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equip.xml" sheetId="1" r:id="rId1"/>
    <sheet name="equip.txt" sheetId="2" r:id="rId2"/>
    <sheet name="Sheet1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Q712" i="1"/>
  <c r="A2790" i="2" l="1"/>
  <c r="B2790"/>
  <c r="C2790"/>
  <c r="D2790"/>
  <c r="E2790"/>
  <c r="F2790"/>
  <c r="G2790"/>
  <c r="H2790"/>
  <c r="I2790"/>
  <c r="J2790"/>
  <c r="K2790"/>
  <c r="L2790"/>
  <c r="M2790"/>
  <c r="N2790"/>
  <c r="O2790"/>
  <c r="A2791"/>
  <c r="B2791"/>
  <c r="C2791"/>
  <c r="D2791"/>
  <c r="E2791"/>
  <c r="F2791"/>
  <c r="G2791"/>
  <c r="H2791"/>
  <c r="I2791"/>
  <c r="J2791"/>
  <c r="K2791"/>
  <c r="L2791"/>
  <c r="M2791"/>
  <c r="N2791"/>
  <c r="O2791"/>
  <c r="A2467" i="1" l="1"/>
  <c r="O3" i="2" l="1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79"/>
  <c r="O1380"/>
  <c r="O1381"/>
  <c r="O1382"/>
  <c r="O1383"/>
  <c r="O1384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18"/>
  <c r="O1519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8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85"/>
  <c r="O1586"/>
  <c r="O1587"/>
  <c r="O1588"/>
  <c r="O1589"/>
  <c r="O1590"/>
  <c r="O1591"/>
  <c r="O1592"/>
  <c r="O1593"/>
  <c r="O1594"/>
  <c r="O1595"/>
  <c r="O1596"/>
  <c r="O1597"/>
  <c r="O1598"/>
  <c r="O1599"/>
  <c r="O1600"/>
  <c r="O1601"/>
  <c r="O1602"/>
  <c r="O1603"/>
  <c r="O1604"/>
  <c r="O1605"/>
  <c r="O1606"/>
  <c r="O1607"/>
  <c r="O1608"/>
  <c r="O1609"/>
  <c r="O1610"/>
  <c r="O1611"/>
  <c r="O1612"/>
  <c r="O1613"/>
  <c r="O1614"/>
  <c r="O1615"/>
  <c r="O1616"/>
  <c r="O1617"/>
  <c r="O1618"/>
  <c r="O1619"/>
  <c r="O1620"/>
  <c r="O1621"/>
  <c r="O1622"/>
  <c r="O1623"/>
  <c r="O1624"/>
  <c r="O1625"/>
  <c r="O1626"/>
  <c r="O1627"/>
  <c r="O1628"/>
  <c r="O1629"/>
  <c r="O1630"/>
  <c r="O1631"/>
  <c r="O1632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69"/>
  <c r="O1670"/>
  <c r="O1671"/>
  <c r="O1672"/>
  <c r="O1673"/>
  <c r="O1674"/>
  <c r="O1675"/>
  <c r="O1676"/>
  <c r="O1677"/>
  <c r="O1678"/>
  <c r="O1679"/>
  <c r="O1680"/>
  <c r="O1681"/>
  <c r="O1682"/>
  <c r="O1683"/>
  <c r="O1684"/>
  <c r="O1685"/>
  <c r="O1686"/>
  <c r="O1687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0"/>
  <c r="O1751"/>
  <c r="O1752"/>
  <c r="O1753"/>
  <c r="O1754"/>
  <c r="O1755"/>
  <c r="O1756"/>
  <c r="O1757"/>
  <c r="O1758"/>
  <c r="O1759"/>
  <c r="O1760"/>
  <c r="O1761"/>
  <c r="O1762"/>
  <c r="O1763"/>
  <c r="O1764"/>
  <c r="O1765"/>
  <c r="O1766"/>
  <c r="O1767"/>
  <c r="O1768"/>
  <c r="O1769"/>
  <c r="O1770"/>
  <c r="O1771"/>
  <c r="O1772"/>
  <c r="O1773"/>
  <c r="O1774"/>
  <c r="O1775"/>
  <c r="O1776"/>
  <c r="O1777"/>
  <c r="O1778"/>
  <c r="O1779"/>
  <c r="O1780"/>
  <c r="O1781"/>
  <c r="O1782"/>
  <c r="O1783"/>
  <c r="O1784"/>
  <c r="O1785"/>
  <c r="O1786"/>
  <c r="O1787"/>
  <c r="O1788"/>
  <c r="O1789"/>
  <c r="O1790"/>
  <c r="O1791"/>
  <c r="O1792"/>
  <c r="O1793"/>
  <c r="O1794"/>
  <c r="O1795"/>
  <c r="O1796"/>
  <c r="O1797"/>
  <c r="O1798"/>
  <c r="O1799"/>
  <c r="O1800"/>
  <c r="O1801"/>
  <c r="O1802"/>
  <c r="O1803"/>
  <c r="O1804"/>
  <c r="O1805"/>
  <c r="O1806"/>
  <c r="O1807"/>
  <c r="O1808"/>
  <c r="O1809"/>
  <c r="O1810"/>
  <c r="O1811"/>
  <c r="O1812"/>
  <c r="O1813"/>
  <c r="O1814"/>
  <c r="O1815"/>
  <c r="O1816"/>
  <c r="O1817"/>
  <c r="O1818"/>
  <c r="O1819"/>
  <c r="O1820"/>
  <c r="O1821"/>
  <c r="O1822"/>
  <c r="O1823"/>
  <c r="O1824"/>
  <c r="O1825"/>
  <c r="O1826"/>
  <c r="O1827"/>
  <c r="O1828"/>
  <c r="O1829"/>
  <c r="O1830"/>
  <c r="O1831"/>
  <c r="O1832"/>
  <c r="O1833"/>
  <c r="O1834"/>
  <c r="O1835"/>
  <c r="O1836"/>
  <c r="O1837"/>
  <c r="O1838"/>
  <c r="O1839"/>
  <c r="O1840"/>
  <c r="O1841"/>
  <c r="O1842"/>
  <c r="O1843"/>
  <c r="O1844"/>
  <c r="O1845"/>
  <c r="O1846"/>
  <c r="O1847"/>
  <c r="O1848"/>
  <c r="O1849"/>
  <c r="O1850"/>
  <c r="O1851"/>
  <c r="O1852"/>
  <c r="O1853"/>
  <c r="O1854"/>
  <c r="O1855"/>
  <c r="O1856"/>
  <c r="O1857"/>
  <c r="O1858"/>
  <c r="O1859"/>
  <c r="O1860"/>
  <c r="O1861"/>
  <c r="O1862"/>
  <c r="O1863"/>
  <c r="O1864"/>
  <c r="O1865"/>
  <c r="O1866"/>
  <c r="O1867"/>
  <c r="O1868"/>
  <c r="O1869"/>
  <c r="O1870"/>
  <c r="O1871"/>
  <c r="O1872"/>
  <c r="O1873"/>
  <c r="O1874"/>
  <c r="O1875"/>
  <c r="O1876"/>
  <c r="O1877"/>
  <c r="O1878"/>
  <c r="O1879"/>
  <c r="O1880"/>
  <c r="O1881"/>
  <c r="O1882"/>
  <c r="O1883"/>
  <c r="O1884"/>
  <c r="O1885"/>
  <c r="O1886"/>
  <c r="O1887"/>
  <c r="O1888"/>
  <c r="O1889"/>
  <c r="O1890"/>
  <c r="O1891"/>
  <c r="O1892"/>
  <c r="O1893"/>
  <c r="O1894"/>
  <c r="O1895"/>
  <c r="O1896"/>
  <c r="O1897"/>
  <c r="O1898"/>
  <c r="O1899"/>
  <c r="O1900"/>
  <c r="O1901"/>
  <c r="O1902"/>
  <c r="O1903"/>
  <c r="O1904"/>
  <c r="O1905"/>
  <c r="O1906"/>
  <c r="O1907"/>
  <c r="O1908"/>
  <c r="O1909"/>
  <c r="O1910"/>
  <c r="O1911"/>
  <c r="O1912"/>
  <c r="O1913"/>
  <c r="O1914"/>
  <c r="O1915"/>
  <c r="O1916"/>
  <c r="O1917"/>
  <c r="O1918"/>
  <c r="O1919"/>
  <c r="O1920"/>
  <c r="O1921"/>
  <c r="O1922"/>
  <c r="O1923"/>
  <c r="O1924"/>
  <c r="O1925"/>
  <c r="O1926"/>
  <c r="O1927"/>
  <c r="O1928"/>
  <c r="O1929"/>
  <c r="O1930"/>
  <c r="O1931"/>
  <c r="O1932"/>
  <c r="O1933"/>
  <c r="O1934"/>
  <c r="O1935"/>
  <c r="O1936"/>
  <c r="O1937"/>
  <c r="O1938"/>
  <c r="O1939"/>
  <c r="O1940"/>
  <c r="O1941"/>
  <c r="O1942"/>
  <c r="O1943"/>
  <c r="O1944"/>
  <c r="O1945"/>
  <c r="O1946"/>
  <c r="O1947"/>
  <c r="O1948"/>
  <c r="O1949"/>
  <c r="O1950"/>
  <c r="O1951"/>
  <c r="O1952"/>
  <c r="O1953"/>
  <c r="O1954"/>
  <c r="O1955"/>
  <c r="O1956"/>
  <c r="O1957"/>
  <c r="O1958"/>
  <c r="O1959"/>
  <c r="O1960"/>
  <c r="O1961"/>
  <c r="O1962"/>
  <c r="O1963"/>
  <c r="O1964"/>
  <c r="O1965"/>
  <c r="O1966"/>
  <c r="O1967"/>
  <c r="O1968"/>
  <c r="O1969"/>
  <c r="O1970"/>
  <c r="O1971"/>
  <c r="O1972"/>
  <c r="O1973"/>
  <c r="O1974"/>
  <c r="O1975"/>
  <c r="O1976"/>
  <c r="O1977"/>
  <c r="O1978"/>
  <c r="O1979"/>
  <c r="O1980"/>
  <c r="O1981"/>
  <c r="O1982"/>
  <c r="O1983"/>
  <c r="O1984"/>
  <c r="O1985"/>
  <c r="O1986"/>
  <c r="O1987"/>
  <c r="O1988"/>
  <c r="O1989"/>
  <c r="O1990"/>
  <c r="O1991"/>
  <c r="O1992"/>
  <c r="O1993"/>
  <c r="O1994"/>
  <c r="O1995"/>
  <c r="O1996"/>
  <c r="O1997"/>
  <c r="O1998"/>
  <c r="O1999"/>
  <c r="O2000"/>
  <c r="O2001"/>
  <c r="O2002"/>
  <c r="O2003"/>
  <c r="O2004"/>
  <c r="O2005"/>
  <c r="O2006"/>
  <c r="O2007"/>
  <c r="O2008"/>
  <c r="O2009"/>
  <c r="O2010"/>
  <c r="O2011"/>
  <c r="O2012"/>
  <c r="O2013"/>
  <c r="O2014"/>
  <c r="O2015"/>
  <c r="O2016"/>
  <c r="O2017"/>
  <c r="O2018"/>
  <c r="O2019"/>
  <c r="O2020"/>
  <c r="O2021"/>
  <c r="O2022"/>
  <c r="O2023"/>
  <c r="O2024"/>
  <c r="O2025"/>
  <c r="O2026"/>
  <c r="O2027"/>
  <c r="O2028"/>
  <c r="O2029"/>
  <c r="O2030"/>
  <c r="O2031"/>
  <c r="O2032"/>
  <c r="O2033"/>
  <c r="O2034"/>
  <c r="O2035"/>
  <c r="O2036"/>
  <c r="O2037"/>
  <c r="O2038"/>
  <c r="O2039"/>
  <c r="O2040"/>
  <c r="O2041"/>
  <c r="O2042"/>
  <c r="O2043"/>
  <c r="O2044"/>
  <c r="O2045"/>
  <c r="O2046"/>
  <c r="O2047"/>
  <c r="O2048"/>
  <c r="O2049"/>
  <c r="O2050"/>
  <c r="O2051"/>
  <c r="O2052"/>
  <c r="O2053"/>
  <c r="O2054"/>
  <c r="O2055"/>
  <c r="O2056"/>
  <c r="O2057"/>
  <c r="O2058"/>
  <c r="O2059"/>
  <c r="O2060"/>
  <c r="O2061"/>
  <c r="O2062"/>
  <c r="O2063"/>
  <c r="O2064"/>
  <c r="O2065"/>
  <c r="O2066"/>
  <c r="O2067"/>
  <c r="O2068"/>
  <c r="O2069"/>
  <c r="O2070"/>
  <c r="O2071"/>
  <c r="O2072"/>
  <c r="O2073"/>
  <c r="O2074"/>
  <c r="O2075"/>
  <c r="O2076"/>
  <c r="O2077"/>
  <c r="O2078"/>
  <c r="O2079"/>
  <c r="O2080"/>
  <c r="O2081"/>
  <c r="O2082"/>
  <c r="O2083"/>
  <c r="O2084"/>
  <c r="O2085"/>
  <c r="O2086"/>
  <c r="O2087"/>
  <c r="O2088"/>
  <c r="O2089"/>
  <c r="O2090"/>
  <c r="O2091"/>
  <c r="O2092"/>
  <c r="O2093"/>
  <c r="O2094"/>
  <c r="O2095"/>
  <c r="O2096"/>
  <c r="O2097"/>
  <c r="O2098"/>
  <c r="O2099"/>
  <c r="O2100"/>
  <c r="O2101"/>
  <c r="O2102"/>
  <c r="O2103"/>
  <c r="O2104"/>
  <c r="O2105"/>
  <c r="O2106"/>
  <c r="O2107"/>
  <c r="O2108"/>
  <c r="O2109"/>
  <c r="O2110"/>
  <c r="O2111"/>
  <c r="O2112"/>
  <c r="O2113"/>
  <c r="O2114"/>
  <c r="O2115"/>
  <c r="O2116"/>
  <c r="O2117"/>
  <c r="O2118"/>
  <c r="O2119"/>
  <c r="O2120"/>
  <c r="O2121"/>
  <c r="O2122"/>
  <c r="O2123"/>
  <c r="O2124"/>
  <c r="O2125"/>
  <c r="O2126"/>
  <c r="O2127"/>
  <c r="O2128"/>
  <c r="O2129"/>
  <c r="O2130"/>
  <c r="O2131"/>
  <c r="O2132"/>
  <c r="O2133"/>
  <c r="O2134"/>
  <c r="O2135"/>
  <c r="O2136"/>
  <c r="O2137"/>
  <c r="O2138"/>
  <c r="O2139"/>
  <c r="O2140"/>
  <c r="O2141"/>
  <c r="O2142"/>
  <c r="O2143"/>
  <c r="O2144"/>
  <c r="O2145"/>
  <c r="O2146"/>
  <c r="O2147"/>
  <c r="O2148"/>
  <c r="O2149"/>
  <c r="O2150"/>
  <c r="O2151"/>
  <c r="O2152"/>
  <c r="O2153"/>
  <c r="O2154"/>
  <c r="O2155"/>
  <c r="O2156"/>
  <c r="O2157"/>
  <c r="O2158"/>
  <c r="O2159"/>
  <c r="O2160"/>
  <c r="O2161"/>
  <c r="O2162"/>
  <c r="O2163"/>
  <c r="O2164"/>
  <c r="O2165"/>
  <c r="O2166"/>
  <c r="O2167"/>
  <c r="O2168"/>
  <c r="O2169"/>
  <c r="O2170"/>
  <c r="O2171"/>
  <c r="O2172"/>
  <c r="O2173"/>
  <c r="O2174"/>
  <c r="O2175"/>
  <c r="O2176"/>
  <c r="O2177"/>
  <c r="O2178"/>
  <c r="O2179"/>
  <c r="O2180"/>
  <c r="O2181"/>
  <c r="O2182"/>
  <c r="O2183"/>
  <c r="O2184"/>
  <c r="O2185"/>
  <c r="O2186"/>
  <c r="O2187"/>
  <c r="O2188"/>
  <c r="O2189"/>
  <c r="O2190"/>
  <c r="O2191"/>
  <c r="O2192"/>
  <c r="O2193"/>
  <c r="O2194"/>
  <c r="O2195"/>
  <c r="O2196"/>
  <c r="O2197"/>
  <c r="O2198"/>
  <c r="O2199"/>
  <c r="O2200"/>
  <c r="O2201"/>
  <c r="O2202"/>
  <c r="O2203"/>
  <c r="O2204"/>
  <c r="O2205"/>
  <c r="O2206"/>
  <c r="O2207"/>
  <c r="O2208"/>
  <c r="O2209"/>
  <c r="O2210"/>
  <c r="O2211"/>
  <c r="O2212"/>
  <c r="O2213"/>
  <c r="O2214"/>
  <c r="O2215"/>
  <c r="O2216"/>
  <c r="O2217"/>
  <c r="O2218"/>
  <c r="O2219"/>
  <c r="O2220"/>
  <c r="O2221"/>
  <c r="O2222"/>
  <c r="O2223"/>
  <c r="O2224"/>
  <c r="O2225"/>
  <c r="O2226"/>
  <c r="O2227"/>
  <c r="O2228"/>
  <c r="O2229"/>
  <c r="O2230"/>
  <c r="O2231"/>
  <c r="O2232"/>
  <c r="O2233"/>
  <c r="O2234"/>
  <c r="O2235"/>
  <c r="O2236"/>
  <c r="O2237"/>
  <c r="O2238"/>
  <c r="O2239"/>
  <c r="O2240"/>
  <c r="O2241"/>
  <c r="O2242"/>
  <c r="O2243"/>
  <c r="O2244"/>
  <c r="O2245"/>
  <c r="O2246"/>
  <c r="O2247"/>
  <c r="O2248"/>
  <c r="O2249"/>
  <c r="O2250"/>
  <c r="O2251"/>
  <c r="O2252"/>
  <c r="O2253"/>
  <c r="O2254"/>
  <c r="O2255"/>
  <c r="O2256"/>
  <c r="O2257"/>
  <c r="O2258"/>
  <c r="O2259"/>
  <c r="O2260"/>
  <c r="O2261"/>
  <c r="O2262"/>
  <c r="O2263"/>
  <c r="O2264"/>
  <c r="O2265"/>
  <c r="O2266"/>
  <c r="O2267"/>
  <c r="O2268"/>
  <c r="O2269"/>
  <c r="O2270"/>
  <c r="O2271"/>
  <c r="O2272"/>
  <c r="O2273"/>
  <c r="O2274"/>
  <c r="O2275"/>
  <c r="O2276"/>
  <c r="O2277"/>
  <c r="O2278"/>
  <c r="O2279"/>
  <c r="O2280"/>
  <c r="O2281"/>
  <c r="O2282"/>
  <c r="O2283"/>
  <c r="O2284"/>
  <c r="O2285"/>
  <c r="O2286"/>
  <c r="O2287"/>
  <c r="O2288"/>
  <c r="O2289"/>
  <c r="O2290"/>
  <c r="O2291"/>
  <c r="O2292"/>
  <c r="O2293"/>
  <c r="O2294"/>
  <c r="O2295"/>
  <c r="O2296"/>
  <c r="O2297"/>
  <c r="O2298"/>
  <c r="O2299"/>
  <c r="O2300"/>
  <c r="O2301"/>
  <c r="O2302"/>
  <c r="O2303"/>
  <c r="O2304"/>
  <c r="O2305"/>
  <c r="O2306"/>
  <c r="O2307"/>
  <c r="O2308"/>
  <c r="O2309"/>
  <c r="O2310"/>
  <c r="O2311"/>
  <c r="O2312"/>
  <c r="O2313"/>
  <c r="O2314"/>
  <c r="O2315"/>
  <c r="O2316"/>
  <c r="O2317"/>
  <c r="O2318"/>
  <c r="O2319"/>
  <c r="O2320"/>
  <c r="O2321"/>
  <c r="O2322"/>
  <c r="O2323"/>
  <c r="O2324"/>
  <c r="O2325"/>
  <c r="O2326"/>
  <c r="O2327"/>
  <c r="O2328"/>
  <c r="O2329"/>
  <c r="O2330"/>
  <c r="O2331"/>
  <c r="O2332"/>
  <c r="O2333"/>
  <c r="O2334"/>
  <c r="O2335"/>
  <c r="O2336"/>
  <c r="O2337"/>
  <c r="O2338"/>
  <c r="O2339"/>
  <c r="O2340"/>
  <c r="O2341"/>
  <c r="O2342"/>
  <c r="O2343"/>
  <c r="O2344"/>
  <c r="O2345"/>
  <c r="O2346"/>
  <c r="O2347"/>
  <c r="O2348"/>
  <c r="O2349"/>
  <c r="O2350"/>
  <c r="O2351"/>
  <c r="O2352"/>
  <c r="O2353"/>
  <c r="O2354"/>
  <c r="O2355"/>
  <c r="O2356"/>
  <c r="O2357"/>
  <c r="O2358"/>
  <c r="O2359"/>
  <c r="O2360"/>
  <c r="O2361"/>
  <c r="O2362"/>
  <c r="O2363"/>
  <c r="O2364"/>
  <c r="O2365"/>
  <c r="O2366"/>
  <c r="O2367"/>
  <c r="O2368"/>
  <c r="O2369"/>
  <c r="O2370"/>
  <c r="O2371"/>
  <c r="O2372"/>
  <c r="O2373"/>
  <c r="O2374"/>
  <c r="O2375"/>
  <c r="O2376"/>
  <c r="O2377"/>
  <c r="O2378"/>
  <c r="O2379"/>
  <c r="O2380"/>
  <c r="O2381"/>
  <c r="O2382"/>
  <c r="O2383"/>
  <c r="O2384"/>
  <c r="O2385"/>
  <c r="O2386"/>
  <c r="O2387"/>
  <c r="O2388"/>
  <c r="O2389"/>
  <c r="O2390"/>
  <c r="O2391"/>
  <c r="O2392"/>
  <c r="O2393"/>
  <c r="O2394"/>
  <c r="O2395"/>
  <c r="O2396"/>
  <c r="O2397"/>
  <c r="O2398"/>
  <c r="O2399"/>
  <c r="O2400"/>
  <c r="O2401"/>
  <c r="O2402"/>
  <c r="O2403"/>
  <c r="O2404"/>
  <c r="O2405"/>
  <c r="O2406"/>
  <c r="O2407"/>
  <c r="O2408"/>
  <c r="O2409"/>
  <c r="O2410"/>
  <c r="O2411"/>
  <c r="O2412"/>
  <c r="O2413"/>
  <c r="O2414"/>
  <c r="O2415"/>
  <c r="O2416"/>
  <c r="O2417"/>
  <c r="O2418"/>
  <c r="O2419"/>
  <c r="O2420"/>
  <c r="O2421"/>
  <c r="O2422"/>
  <c r="O2423"/>
  <c r="O2424"/>
  <c r="O2425"/>
  <c r="O2426"/>
  <c r="O2427"/>
  <c r="O2428"/>
  <c r="O2429"/>
  <c r="O2430"/>
  <c r="O2431"/>
  <c r="O2432"/>
  <c r="O2433"/>
  <c r="O2434"/>
  <c r="O2435"/>
  <c r="O2436"/>
  <c r="O2437"/>
  <c r="O2438"/>
  <c r="O2439"/>
  <c r="O2440"/>
  <c r="O2441"/>
  <c r="O2442"/>
  <c r="O2443"/>
  <c r="O2444"/>
  <c r="O2445"/>
  <c r="O2446"/>
  <c r="O2447"/>
  <c r="O2448"/>
  <c r="O2449"/>
  <c r="O2450"/>
  <c r="O2451"/>
  <c r="O2452"/>
  <c r="O2453"/>
  <c r="O2454"/>
  <c r="O2455"/>
  <c r="O2456"/>
  <c r="O2457"/>
  <c r="O2458"/>
  <c r="O2459"/>
  <c r="O2460"/>
  <c r="O2461"/>
  <c r="O2462"/>
  <c r="O2463"/>
  <c r="O2464"/>
  <c r="O2465"/>
  <c r="O2466"/>
  <c r="O2467"/>
  <c r="O2468"/>
  <c r="O2469"/>
  <c r="O2470"/>
  <c r="O2471"/>
  <c r="O2472"/>
  <c r="O2473"/>
  <c r="O2474"/>
  <c r="O2475"/>
  <c r="O2476"/>
  <c r="O2477"/>
  <c r="O2478"/>
  <c r="O2479"/>
  <c r="O2480"/>
  <c r="O2481"/>
  <c r="O2482"/>
  <c r="O2483"/>
  <c r="O2484"/>
  <c r="O2485"/>
  <c r="O2486"/>
  <c r="O2487"/>
  <c r="O2488"/>
  <c r="O2489"/>
  <c r="O2490"/>
  <c r="O2491"/>
  <c r="O2492"/>
  <c r="O2493"/>
  <c r="O2494"/>
  <c r="O2495"/>
  <c r="O2496"/>
  <c r="O2497"/>
  <c r="O2498"/>
  <c r="O2499"/>
  <c r="O2500"/>
  <c r="O2501"/>
  <c r="O2502"/>
  <c r="O2503"/>
  <c r="O2504"/>
  <c r="O2505"/>
  <c r="O2506"/>
  <c r="O2507"/>
  <c r="O2508"/>
  <c r="O2509"/>
  <c r="O2510"/>
  <c r="O2511"/>
  <c r="O2512"/>
  <c r="O2513"/>
  <c r="O2514"/>
  <c r="O2515"/>
  <c r="O2516"/>
  <c r="O2517"/>
  <c r="O2518"/>
  <c r="O2519"/>
  <c r="O2520"/>
  <c r="O2521"/>
  <c r="O2522"/>
  <c r="O2523"/>
  <c r="O2524"/>
  <c r="O2525"/>
  <c r="O2526"/>
  <c r="O2527"/>
  <c r="O2528"/>
  <c r="O2529"/>
  <c r="O2530"/>
  <c r="O2531"/>
  <c r="O2532"/>
  <c r="O2533"/>
  <c r="O2534"/>
  <c r="O2535"/>
  <c r="O2536"/>
  <c r="O2537"/>
  <c r="O2538"/>
  <c r="O2539"/>
  <c r="O2540"/>
  <c r="O2541"/>
  <c r="O2542"/>
  <c r="O2543"/>
  <c r="O2544"/>
  <c r="O2545"/>
  <c r="O2546"/>
  <c r="O2547"/>
  <c r="O2548"/>
  <c r="O2549"/>
  <c r="O2550"/>
  <c r="O2551"/>
  <c r="O2552"/>
  <c r="O2553"/>
  <c r="O2554"/>
  <c r="O2555"/>
  <c r="O2556"/>
  <c r="O2557"/>
  <c r="O2558"/>
  <c r="O2559"/>
  <c r="O2560"/>
  <c r="O2561"/>
  <c r="O2562"/>
  <c r="O2563"/>
  <c r="O2564"/>
  <c r="O2565"/>
  <c r="O2566"/>
  <c r="O2567"/>
  <c r="O2568"/>
  <c r="O2569"/>
  <c r="O2570"/>
  <c r="O2571"/>
  <c r="O2572"/>
  <c r="O2573"/>
  <c r="O2574"/>
  <c r="O2575"/>
  <c r="O2576"/>
  <c r="O2577"/>
  <c r="O2578"/>
  <c r="O2579"/>
  <c r="O2580"/>
  <c r="O2581"/>
  <c r="O2582"/>
  <c r="O2583"/>
  <c r="O2584"/>
  <c r="O2585"/>
  <c r="O2586"/>
  <c r="O2587"/>
  <c r="O2588"/>
  <c r="O2589"/>
  <c r="O2590"/>
  <c r="O2591"/>
  <c r="O2592"/>
  <c r="O2593"/>
  <c r="O2594"/>
  <c r="O2595"/>
  <c r="O2596"/>
  <c r="O2597"/>
  <c r="O2598"/>
  <c r="O2599"/>
  <c r="O2600"/>
  <c r="O2601"/>
  <c r="O2602"/>
  <c r="O2603"/>
  <c r="O2604"/>
  <c r="O2605"/>
  <c r="O2606"/>
  <c r="O2607"/>
  <c r="O2608"/>
  <c r="O2609"/>
  <c r="O2610"/>
  <c r="O2611"/>
  <c r="O2612"/>
  <c r="O2613"/>
  <c r="O2614"/>
  <c r="O2615"/>
  <c r="O2616"/>
  <c r="O2617"/>
  <c r="O2618"/>
  <c r="O2619"/>
  <c r="O2620"/>
  <c r="O2621"/>
  <c r="O2622"/>
  <c r="O2623"/>
  <c r="O2624"/>
  <c r="O2625"/>
  <c r="O2626"/>
  <c r="O2627"/>
  <c r="O2628"/>
  <c r="O2629"/>
  <c r="O2630"/>
  <c r="O2631"/>
  <c r="O2632"/>
  <c r="O2633"/>
  <c r="O2634"/>
  <c r="O2635"/>
  <c r="O2636"/>
  <c r="O2637"/>
  <c r="O2638"/>
  <c r="O2639"/>
  <c r="O2640"/>
  <c r="O2641"/>
  <c r="O2642"/>
  <c r="O2643"/>
  <c r="O2644"/>
  <c r="O2645"/>
  <c r="O2646"/>
  <c r="O2647"/>
  <c r="O2648"/>
  <c r="O2649"/>
  <c r="O2650"/>
  <c r="O2651"/>
  <c r="O2652"/>
  <c r="O2653"/>
  <c r="O2654"/>
  <c r="O2655"/>
  <c r="O2656"/>
  <c r="O2657"/>
  <c r="O2658"/>
  <c r="O2659"/>
  <c r="O2660"/>
  <c r="O2661"/>
  <c r="O2662"/>
  <c r="O2663"/>
  <c r="O2664"/>
  <c r="O2665"/>
  <c r="O2666"/>
  <c r="O2667"/>
  <c r="O2668"/>
  <c r="O2669"/>
  <c r="O2670"/>
  <c r="O2671"/>
  <c r="O2672"/>
  <c r="O2673"/>
  <c r="O2674"/>
  <c r="O2675"/>
  <c r="O2676"/>
  <c r="O2677"/>
  <c r="O2678"/>
  <c r="O2679"/>
  <c r="O2680"/>
  <c r="O2681"/>
  <c r="O2682"/>
  <c r="O2683"/>
  <c r="O2684"/>
  <c r="O2685"/>
  <c r="O2686"/>
  <c r="O2687"/>
  <c r="O2688"/>
  <c r="O2689"/>
  <c r="O2690"/>
  <c r="O2691"/>
  <c r="O2692"/>
  <c r="O2693"/>
  <c r="O2694"/>
  <c r="O2695"/>
  <c r="O2696"/>
  <c r="O2697"/>
  <c r="O2698"/>
  <c r="O2699"/>
  <c r="O2700"/>
  <c r="O2701"/>
  <c r="O2702"/>
  <c r="O2703"/>
  <c r="O2704"/>
  <c r="O2705"/>
  <c r="O2706"/>
  <c r="O2707"/>
  <c r="O2708"/>
  <c r="O2709"/>
  <c r="O2710"/>
  <c r="O2711"/>
  <c r="O2712"/>
  <c r="O2713"/>
  <c r="O2714"/>
  <c r="O2715"/>
  <c r="O2716"/>
  <c r="O2717"/>
  <c r="O2718"/>
  <c r="O2719"/>
  <c r="O2720"/>
  <c r="O2721"/>
  <c r="O2722"/>
  <c r="O2723"/>
  <c r="O2724"/>
  <c r="O2725"/>
  <c r="O2726"/>
  <c r="O2727"/>
  <c r="O2728"/>
  <c r="O2729"/>
  <c r="O2730"/>
  <c r="O2731"/>
  <c r="O2732"/>
  <c r="O2733"/>
  <c r="O2734"/>
  <c r="O2735"/>
  <c r="O2736"/>
  <c r="O2737"/>
  <c r="O2738"/>
  <c r="O2739"/>
  <c r="O2740"/>
  <c r="O2741"/>
  <c r="O2742"/>
  <c r="O2743"/>
  <c r="O2744"/>
  <c r="O2745"/>
  <c r="O2746"/>
  <c r="O2747"/>
  <c r="O2748"/>
  <c r="O2749"/>
  <c r="O2750"/>
  <c r="O2751"/>
  <c r="O2752"/>
  <c r="O2753"/>
  <c r="O2754"/>
  <c r="O2755"/>
  <c r="O2756"/>
  <c r="O2757"/>
  <c r="O2758"/>
  <c r="O2759"/>
  <c r="O2760"/>
  <c r="O2761"/>
  <c r="O2762"/>
  <c r="O2763"/>
  <c r="O2764"/>
  <c r="O2765"/>
  <c r="O2766"/>
  <c r="O2767"/>
  <c r="O2768"/>
  <c r="O2769"/>
  <c r="O2770"/>
  <c r="O2771"/>
  <c r="O2772"/>
  <c r="O2773"/>
  <c r="O2774"/>
  <c r="O2775"/>
  <c r="O2776"/>
  <c r="O2777"/>
  <c r="O2778"/>
  <c r="O2779"/>
  <c r="O2780"/>
  <c r="O2781"/>
  <c r="O2782"/>
  <c r="O2783"/>
  <c r="O2784"/>
  <c r="O2785"/>
  <c r="O2786"/>
  <c r="O2787"/>
  <c r="O2788"/>
  <c r="O2789"/>
  <c r="O2"/>
  <c r="Q719" i="1"/>
  <c r="M715" i="2" s="1"/>
  <c r="Q1869" i="1"/>
  <c r="Q2331" s="1"/>
  <c r="M2327" i="2" s="1"/>
  <c r="Q1873" i="1"/>
  <c r="Q1901"/>
  <c r="Q2363" s="1"/>
  <c r="M2359" i="2" s="1"/>
  <c r="Q1905" i="1"/>
  <c r="Q1917"/>
  <c r="Q2379" s="1"/>
  <c r="M2375" i="2" s="1"/>
  <c r="Q1921" i="1"/>
  <c r="M1917" i="2" s="1"/>
  <c r="Q1929" i="1"/>
  <c r="Q1937"/>
  <c r="Q2399" s="1"/>
  <c r="M2395" i="2" s="1"/>
  <c r="Q1945" i="1"/>
  <c r="Q1953"/>
  <c r="Q2415" s="1"/>
  <c r="M2411" i="2" s="1"/>
  <c r="Q1961" i="1"/>
  <c r="Q2423" s="1"/>
  <c r="M2419" i="2" s="1"/>
  <c r="Q1969" i="1"/>
  <c r="Q1977"/>
  <c r="Q1985"/>
  <c r="Q1993"/>
  <c r="Q1997"/>
  <c r="Q2459" s="1"/>
  <c r="M2455" i="2" s="1"/>
  <c r="Q2001" i="1"/>
  <c r="Q2463" s="1"/>
  <c r="M2459" i="2" s="1"/>
  <c r="Q2009" i="1"/>
  <c r="M2005" i="2" s="1"/>
  <c r="Q2017" i="1"/>
  <c r="Q2025"/>
  <c r="Q2487" s="1"/>
  <c r="M2483" i="2" s="1"/>
  <c r="Q2029" i="1"/>
  <c r="Q2491" s="1"/>
  <c r="M2487" i="2" s="1"/>
  <c r="Q2033" i="1"/>
  <c r="Q2041"/>
  <c r="Q2503" s="1"/>
  <c r="M2499" i="2" s="1"/>
  <c r="Q2045" i="1"/>
  <c r="Q2507" s="1"/>
  <c r="M2503" i="2" s="1"/>
  <c r="Q2049" i="1"/>
  <c r="Q2057"/>
  <c r="Q2065"/>
  <c r="Q2073"/>
  <c r="Q2535" s="1"/>
  <c r="M2531" i="2" s="1"/>
  <c r="Q2081" i="1"/>
  <c r="Q2089"/>
  <c r="Q2093"/>
  <c r="Q2555" s="1"/>
  <c r="M2551" i="2" s="1"/>
  <c r="Q2097" i="1"/>
  <c r="Q2106"/>
  <c r="Q2568" s="1"/>
  <c r="M2564" i="2" s="1"/>
  <c r="Q2109" i="1"/>
  <c r="Q2571" s="1"/>
  <c r="M2567" i="2" s="1"/>
  <c r="Q2113" i="1"/>
  <c r="Q2114"/>
  <c r="Q2117"/>
  <c r="Q2579" s="1"/>
  <c r="M2575" i="2" s="1"/>
  <c r="Q2121" i="1"/>
  <c r="Q2122"/>
  <c r="Q2584" s="1"/>
  <c r="M2580" i="2" s="1"/>
  <c r="Q2129" i="1"/>
  <c r="Q2591" s="1"/>
  <c r="M2587" i="2" s="1"/>
  <c r="Q2130" i="1"/>
  <c r="Q2137"/>
  <c r="Q2138"/>
  <c r="Q2141"/>
  <c r="Q2603" s="1"/>
  <c r="Q2145"/>
  <c r="Q2146"/>
  <c r="Q2153"/>
  <c r="Q2615" s="1"/>
  <c r="Q2154"/>
  <c r="Q2616" s="1"/>
  <c r="M2612" i="2" s="1"/>
  <c r="Q2157" i="1"/>
  <c r="Q2619" s="1"/>
  <c r="Q2161"/>
  <c r="Q2162"/>
  <c r="Q2169"/>
  <c r="M2165" i="2" s="1"/>
  <c r="Q2170" i="1"/>
  <c r="Q2632" s="1"/>
  <c r="M2628" i="2" s="1"/>
  <c r="Q2177" i="1"/>
  <c r="Q2178"/>
  <c r="Q2181"/>
  <c r="Q2643" s="1"/>
  <c r="M2639" i="2" s="1"/>
  <c r="Q2185" i="1"/>
  <c r="M2181" i="2" s="1"/>
  <c r="Q2186" i="1"/>
  <c r="Q2648" s="1"/>
  <c r="M2644" i="2" s="1"/>
  <c r="Q2189" i="1"/>
  <c r="Q2651" s="1"/>
  <c r="M2647" i="2" s="1"/>
  <c r="Q2193" i="1"/>
  <c r="Q2655" s="1"/>
  <c r="M2651" i="2" s="1"/>
  <c r="Q2194" i="1"/>
  <c r="Q2201"/>
  <c r="M2197" i="2" s="1"/>
  <c r="Q2202" i="1"/>
  <c r="Q2205"/>
  <c r="Q2667" s="1"/>
  <c r="Q2209"/>
  <c r="Q2210"/>
  <c r="Q2213"/>
  <c r="Q2675" s="1"/>
  <c r="M2671" i="2" s="1"/>
  <c r="Q2217" i="1"/>
  <c r="Q2679" s="1"/>
  <c r="Q2218"/>
  <c r="Q2680" s="1"/>
  <c r="M2676" i="2" s="1"/>
  <c r="Q2221" i="1"/>
  <c r="Q2683" s="1"/>
  <c r="Q2225"/>
  <c r="Q2226"/>
  <c r="Q2233"/>
  <c r="Q2234"/>
  <c r="Q2696" s="1"/>
  <c r="M2692" i="2" s="1"/>
  <c r="Q2237" i="1"/>
  <c r="Q2699" s="1"/>
  <c r="M2695" i="2" s="1"/>
  <c r="Q2241" i="1"/>
  <c r="Q2242"/>
  <c r="Q2245"/>
  <c r="Q2707" s="1"/>
  <c r="M2703" i="2" s="1"/>
  <c r="Q2249" i="1"/>
  <c r="Q2711" s="1"/>
  <c r="M2707" i="2" s="1"/>
  <c r="Q2250" i="1"/>
  <c r="Q2712" s="1"/>
  <c r="M2708" i="2" s="1"/>
  <c r="Q2258" i="1"/>
  <c r="Q2266"/>
  <c r="Q2269"/>
  <c r="Q2731" s="1"/>
  <c r="Q2273"/>
  <c r="Q2274"/>
  <c r="Q2281"/>
  <c r="Q2743" s="1"/>
  <c r="Q2282"/>
  <c r="Q2744" s="1"/>
  <c r="M2740" i="2" s="1"/>
  <c r="Q2285" i="1"/>
  <c r="Q2747" s="1"/>
  <c r="Q2289"/>
  <c r="M2285" i="2" s="1"/>
  <c r="Q2290" i="1"/>
  <c r="Q2297"/>
  <c r="Q2759" s="1"/>
  <c r="Q2298"/>
  <c r="Q2760" s="1"/>
  <c r="M2756" i="2" s="1"/>
  <c r="Q2305" i="1"/>
  <c r="Q2306"/>
  <c r="Q2309"/>
  <c r="Q2771" s="1"/>
  <c r="M2767" i="2" s="1"/>
  <c r="Q2313" i="1"/>
  <c r="Q2314"/>
  <c r="Q2776" s="1"/>
  <c r="M2772" i="2" s="1"/>
  <c r="Q2330" i="1"/>
  <c r="M2326" i="2" s="1"/>
  <c r="Q2346" i="1"/>
  <c r="M2342" i="2" s="1"/>
  <c r="Q2362" i="1"/>
  <c r="M2358" i="2" s="1"/>
  <c r="Q2367" i="1"/>
  <c r="M2363" i="2" s="1"/>
  <c r="Q2391" i="1"/>
  <c r="M2387" i="2" s="1"/>
  <c r="Q2394" i="1"/>
  <c r="M2390" i="2" s="1"/>
  <c r="Q2407" i="1"/>
  <c r="M2403" i="2" s="1"/>
  <c r="Q2410" i="1"/>
  <c r="M2406" i="2" s="1"/>
  <c r="Q2426" i="1"/>
  <c r="M2422" i="2" s="1"/>
  <c r="Q2431" i="1"/>
  <c r="M2427" i="2" s="1"/>
  <c r="Q2447" i="1"/>
  <c r="M2443" i="2" s="1"/>
  <c r="Q2455" i="1"/>
  <c r="M2451" i="2" s="1"/>
  <c r="Q2458" i="1"/>
  <c r="M2454" i="2" s="1"/>
  <c r="Q2471" i="1"/>
  <c r="M2467" i="2" s="1"/>
  <c r="Q2474" i="1"/>
  <c r="M2470" i="2" s="1"/>
  <c r="Q2479" i="1"/>
  <c r="M2475" i="2" s="1"/>
  <c r="Q2490" i="1"/>
  <c r="M2486" i="2" s="1"/>
  <c r="Q2495" i="1"/>
  <c r="M2491" i="2" s="1"/>
  <c r="Q2511" i="1"/>
  <c r="M2507" i="2" s="1"/>
  <c r="Q2519" i="1"/>
  <c r="M2515" i="2" s="1"/>
  <c r="Q2522" i="1"/>
  <c r="M2518" i="2" s="1"/>
  <c r="Q2538" i="1"/>
  <c r="M2534" i="2" s="1"/>
  <c r="Q2543" i="1"/>
  <c r="M2539" i="2" s="1"/>
  <c r="Q2554" i="1"/>
  <c r="M2550" i="2" s="1"/>
  <c r="Q2559" i="1"/>
  <c r="M2555" i="2" s="1"/>
  <c r="Q2575" i="1"/>
  <c r="M2571" i="2" s="1"/>
  <c r="Q2599" i="1"/>
  <c r="Q2602"/>
  <c r="M2598" i="2" s="1"/>
  <c r="Q2607" i="1"/>
  <c r="Q2623"/>
  <c r="M2619" i="2" s="1"/>
  <c r="Q2631" i="1"/>
  <c r="M2627" i="2" s="1"/>
  <c r="Q2639" i="1"/>
  <c r="Q2647"/>
  <c r="Q2650"/>
  <c r="M2646" i="2" s="1"/>
  <c r="Q2663" i="1"/>
  <c r="M2659" i="2" s="1"/>
  <c r="Q2671" i="1"/>
  <c r="Q2682"/>
  <c r="M2678" i="2" s="1"/>
  <c r="Q2687" i="1"/>
  <c r="M2683" i="2" s="1"/>
  <c r="Q2695" i="1"/>
  <c r="Q2703"/>
  <c r="Q2714"/>
  <c r="M2710" i="2" s="1"/>
  <c r="Q2735" i="1"/>
  <c r="Q2746"/>
  <c r="M2742" i="2" s="1"/>
  <c r="Q2751" i="1"/>
  <c r="M2747" i="2" s="1"/>
  <c r="Q2767" i="1"/>
  <c r="Q2775"/>
  <c r="M2771" i="2" s="1"/>
  <c r="Q469" i="1"/>
  <c r="Q931" s="1"/>
  <c r="Q1393" s="1"/>
  <c r="Q1855" s="1"/>
  <c r="Q2317" s="1"/>
  <c r="M2313" i="2" s="1"/>
  <c r="Q470" i="1"/>
  <c r="Q932" s="1"/>
  <c r="Q471"/>
  <c r="Q472"/>
  <c r="Q473"/>
  <c r="Q935" s="1"/>
  <c r="Q1397" s="1"/>
  <c r="Q1859" s="1"/>
  <c r="Q2321" s="1"/>
  <c r="M2317" i="2" s="1"/>
  <c r="Q474" i="1"/>
  <c r="Q936" s="1"/>
  <c r="Q1398" s="1"/>
  <c r="Q1860" s="1"/>
  <c r="Q2322" s="1"/>
  <c r="M2318" i="2" s="1"/>
  <c r="Q475" i="1"/>
  <c r="Q476"/>
  <c r="M472" i="2" s="1"/>
  <c r="Q477" i="1"/>
  <c r="Q478"/>
  <c r="Q940" s="1"/>
  <c r="Q479"/>
  <c r="Q480"/>
  <c r="Q481"/>
  <c r="Q482"/>
  <c r="Q944" s="1"/>
  <c r="Q1406" s="1"/>
  <c r="Q1868" s="1"/>
  <c r="Q483"/>
  <c r="Q484"/>
  <c r="Q485"/>
  <c r="Q947" s="1"/>
  <c r="Q486"/>
  <c r="Q948" s="1"/>
  <c r="Q487"/>
  <c r="Q488"/>
  <c r="Q489"/>
  <c r="Q951" s="1"/>
  <c r="Q1413" s="1"/>
  <c r="Q1875" s="1"/>
  <c r="Q2337" s="1"/>
  <c r="M2333" i="2" s="1"/>
  <c r="Q490" i="1"/>
  <c r="Q952" s="1"/>
  <c r="Q1414" s="1"/>
  <c r="Q1876" s="1"/>
  <c r="Q2338" s="1"/>
  <c r="M2334" i="2" s="1"/>
  <c r="Q491" i="1"/>
  <c r="Q492"/>
  <c r="Q493"/>
  <c r="Q955" s="1"/>
  <c r="Q494"/>
  <c r="Q956" s="1"/>
  <c r="Q495"/>
  <c r="Q496"/>
  <c r="Q497"/>
  <c r="Q498"/>
  <c r="Q960" s="1"/>
  <c r="Q1422" s="1"/>
  <c r="Q1884" s="1"/>
  <c r="Q499"/>
  <c r="Q500"/>
  <c r="M496" i="2" s="1"/>
  <c r="Q501" i="1"/>
  <c r="Q963" s="1"/>
  <c r="Q1425" s="1"/>
  <c r="Q1887" s="1"/>
  <c r="Q2349" s="1"/>
  <c r="M2345" i="2" s="1"/>
  <c r="Q502" i="1"/>
  <c r="Q964" s="1"/>
  <c r="Q503"/>
  <c r="Q504"/>
  <c r="Q505"/>
  <c r="Q967" s="1"/>
  <c r="Q1429" s="1"/>
  <c r="Q1891" s="1"/>
  <c r="Q2353" s="1"/>
  <c r="M2349" i="2" s="1"/>
  <c r="Q506" i="1"/>
  <c r="Q968" s="1"/>
  <c r="Q1430" s="1"/>
  <c r="Q1892" s="1"/>
  <c r="Q2354" s="1"/>
  <c r="M2350" i="2" s="1"/>
  <c r="Q507" i="1"/>
  <c r="Q508"/>
  <c r="Q509"/>
  <c r="Q510"/>
  <c r="Q972" s="1"/>
  <c r="Q511"/>
  <c r="Q512"/>
  <c r="Q513"/>
  <c r="Q975" s="1"/>
  <c r="Q1437" s="1"/>
  <c r="Q1899" s="1"/>
  <c r="Q2361" s="1"/>
  <c r="M2357" i="2" s="1"/>
  <c r="Q514" i="1"/>
  <c r="Q976" s="1"/>
  <c r="Q1438" s="1"/>
  <c r="Q1900" s="1"/>
  <c r="Q515"/>
  <c r="Q516"/>
  <c r="Q517"/>
  <c r="Q979" s="1"/>
  <c r="Q1441" s="1"/>
  <c r="Q1903" s="1"/>
  <c r="Q2365" s="1"/>
  <c r="M2361" i="2" s="1"/>
  <c r="Q518" i="1"/>
  <c r="Q980" s="1"/>
  <c r="Q519"/>
  <c r="Q520"/>
  <c r="Q521"/>
  <c r="Q983" s="1"/>
  <c r="Q522"/>
  <c r="Q984" s="1"/>
  <c r="Q1446" s="1"/>
  <c r="Q1908" s="1"/>
  <c r="Q2370" s="1"/>
  <c r="M2366" i="2" s="1"/>
  <c r="Q523" i="1"/>
  <c r="Q524"/>
  <c r="M520" i="2" s="1"/>
  <c r="Q525" i="1"/>
  <c r="Q987" s="1"/>
  <c r="Q1449" s="1"/>
  <c r="Q1911" s="1"/>
  <c r="Q2373" s="1"/>
  <c r="M2369" i="2" s="1"/>
  <c r="Q526" i="1"/>
  <c r="Q988" s="1"/>
  <c r="Q527"/>
  <c r="Q528"/>
  <c r="Q529"/>
  <c r="Q530"/>
  <c r="Q992" s="1"/>
  <c r="Q1454" s="1"/>
  <c r="Q1916" s="1"/>
  <c r="Q2378" s="1"/>
  <c r="M2374" i="2" s="1"/>
  <c r="Q531" i="1"/>
  <c r="Q532"/>
  <c r="Q533"/>
  <c r="Q995" s="1"/>
  <c r="Q534"/>
  <c r="Q996" s="1"/>
  <c r="Q535"/>
  <c r="Q536"/>
  <c r="Q998" s="1"/>
  <c r="Q537"/>
  <c r="Q999" s="1"/>
  <c r="Q1461" s="1"/>
  <c r="Q1923" s="1"/>
  <c r="Q2385" s="1"/>
  <c r="M2381" i="2" s="1"/>
  <c r="Q538" i="1"/>
  <c r="Q1000" s="1"/>
  <c r="Q1462" s="1"/>
  <c r="Q1924" s="1"/>
  <c r="Q2386" s="1"/>
  <c r="M2382" i="2" s="1"/>
  <c r="Q539" i="1"/>
  <c r="Q540"/>
  <c r="Q541"/>
  <c r="Q542"/>
  <c r="Q1004" s="1"/>
  <c r="Q543"/>
  <c r="Q544"/>
  <c r="Q545"/>
  <c r="Q546"/>
  <c r="Q1008" s="1"/>
  <c r="Q1470" s="1"/>
  <c r="Q1932" s="1"/>
  <c r="Q547"/>
  <c r="Q548"/>
  <c r="Q549"/>
  <c r="Q1011" s="1"/>
  <c r="Q550"/>
  <c r="Q1012" s="1"/>
  <c r="Q551"/>
  <c r="Q552"/>
  <c r="Q553"/>
  <c r="Q1015" s="1"/>
  <c r="Q1477" s="1"/>
  <c r="Q1939" s="1"/>
  <c r="Q2401" s="1"/>
  <c r="M2397" i="2" s="1"/>
  <c r="Q554" i="1"/>
  <c r="Q1016" s="1"/>
  <c r="Q1478" s="1"/>
  <c r="Q1940" s="1"/>
  <c r="Q2402" s="1"/>
  <c r="M2398" i="2" s="1"/>
  <c r="Q555" i="1"/>
  <c r="Q556"/>
  <c r="Q557"/>
  <c r="Q1019" s="1"/>
  <c r="Q558"/>
  <c r="Q1020" s="1"/>
  <c r="Q559"/>
  <c r="Q560"/>
  <c r="Q561"/>
  <c r="Q562"/>
  <c r="Q1024" s="1"/>
  <c r="Q1486" s="1"/>
  <c r="Q1948" s="1"/>
  <c r="Q563"/>
  <c r="Q564"/>
  <c r="Q565"/>
  <c r="Q1027" s="1"/>
  <c r="Q1489" s="1"/>
  <c r="Q1951" s="1"/>
  <c r="Q2413" s="1"/>
  <c r="M2409" i="2" s="1"/>
  <c r="Q566" i="1"/>
  <c r="Q1028" s="1"/>
  <c r="Q567"/>
  <c r="Q568"/>
  <c r="Q569"/>
  <c r="Q1031" s="1"/>
  <c r="Q1493" s="1"/>
  <c r="Q1955" s="1"/>
  <c r="Q2417" s="1"/>
  <c r="M2413" i="2" s="1"/>
  <c r="Q570" i="1"/>
  <c r="Q1032" s="1"/>
  <c r="Q1494" s="1"/>
  <c r="Q1956" s="1"/>
  <c r="Q2418" s="1"/>
  <c r="M2414" i="2" s="1"/>
  <c r="Q571" i="1"/>
  <c r="Q572"/>
  <c r="Q1034" s="1"/>
  <c r="Q1496" s="1"/>
  <c r="Q1958" s="1"/>
  <c r="Q2420" s="1"/>
  <c r="Q573"/>
  <c r="Q574"/>
  <c r="Q1036" s="1"/>
  <c r="Q575"/>
  <c r="Q576"/>
  <c r="Q577"/>
  <c r="Q1039" s="1"/>
  <c r="Q1501" s="1"/>
  <c r="Q1963" s="1"/>
  <c r="Q2425" s="1"/>
  <c r="M2421" i="2" s="1"/>
  <c r="Q578" i="1"/>
  <c r="Q1040" s="1"/>
  <c r="Q1502" s="1"/>
  <c r="Q1964" s="1"/>
  <c r="Q579"/>
  <c r="Q580"/>
  <c r="Q1042" s="1"/>
  <c r="Q1504" s="1"/>
  <c r="Q1966" s="1"/>
  <c r="Q2428" s="1"/>
  <c r="M2424" i="2" s="1"/>
  <c r="Q581" i="1"/>
  <c r="Q1043" s="1"/>
  <c r="Q1505" s="1"/>
  <c r="Q1967" s="1"/>
  <c r="Q2429" s="1"/>
  <c r="M2425" i="2" s="1"/>
  <c r="Q582" i="1"/>
  <c r="Q1044" s="1"/>
  <c r="Q583"/>
  <c r="Q584"/>
  <c r="Q585"/>
  <c r="Q1047" s="1"/>
  <c r="Q1509" s="1"/>
  <c r="Q1971" s="1"/>
  <c r="Q2433" s="1"/>
  <c r="M2429" i="2" s="1"/>
  <c r="Q586" i="1"/>
  <c r="Q1048" s="1"/>
  <c r="Q1510" s="1"/>
  <c r="Q1972" s="1"/>
  <c r="Q2434" s="1"/>
  <c r="M2430" i="2" s="1"/>
  <c r="Q587" i="1"/>
  <c r="Q588"/>
  <c r="Q589"/>
  <c r="Q590"/>
  <c r="Q1052" s="1"/>
  <c r="Q591"/>
  <c r="Q592"/>
  <c r="Q593"/>
  <c r="Q594"/>
  <c r="Q1056" s="1"/>
  <c r="Q1518" s="1"/>
  <c r="Q1980" s="1"/>
  <c r="Q2442" s="1"/>
  <c r="M2438" i="2" s="1"/>
  <c r="Q595" i="1"/>
  <c r="Q596"/>
  <c r="Q597"/>
  <c r="Q1059" s="1"/>
  <c r="Q1521" s="1"/>
  <c r="Q1983" s="1"/>
  <c r="Q2445" s="1"/>
  <c r="M2441" i="2" s="1"/>
  <c r="Q598" i="1"/>
  <c r="Q1060" s="1"/>
  <c r="Q599"/>
  <c r="Q600"/>
  <c r="Q601"/>
  <c r="Q1063" s="1"/>
  <c r="Q1525" s="1"/>
  <c r="Q1987" s="1"/>
  <c r="Q2449" s="1"/>
  <c r="M2445" i="2" s="1"/>
  <c r="Q602" i="1"/>
  <c r="Q1064" s="1"/>
  <c r="Q1526" s="1"/>
  <c r="Q1988" s="1"/>
  <c r="Q2450" s="1"/>
  <c r="M2446" i="2" s="1"/>
  <c r="Q603" i="1"/>
  <c r="Q604"/>
  <c r="Q605"/>
  <c r="Q606"/>
  <c r="Q1068" s="1"/>
  <c r="Q607"/>
  <c r="Q608"/>
  <c r="Q609"/>
  <c r="Q610"/>
  <c r="Q1072" s="1"/>
  <c r="Q1534" s="1"/>
  <c r="Q1996" s="1"/>
  <c r="Q611"/>
  <c r="Q612"/>
  <c r="Q613"/>
  <c r="Q1075" s="1"/>
  <c r="Q1537" s="1"/>
  <c r="Q1999" s="1"/>
  <c r="Q2461" s="1"/>
  <c r="M2457" i="2" s="1"/>
  <c r="Q614" i="1"/>
  <c r="Q1076" s="1"/>
  <c r="Q615"/>
  <c r="Q616"/>
  <c r="Q617"/>
  <c r="Q1079" s="1"/>
  <c r="Q1541" s="1"/>
  <c r="Q2003" s="1"/>
  <c r="Q2465" s="1"/>
  <c r="M2461" i="2" s="1"/>
  <c r="Q618" i="1"/>
  <c r="Q1080" s="1"/>
  <c r="Q1542" s="1"/>
  <c r="Q2004" s="1"/>
  <c r="Q2466" s="1"/>
  <c r="M2462" i="2" s="1"/>
  <c r="Q619" i="1"/>
  <c r="Q620"/>
  <c r="Q621"/>
  <c r="Q622"/>
  <c r="Q1084" s="1"/>
  <c r="Q623"/>
  <c r="Q624"/>
  <c r="Q625"/>
  <c r="Q626"/>
  <c r="Q1088" s="1"/>
  <c r="Q1550" s="1"/>
  <c r="Q2012" s="1"/>
  <c r="Q627"/>
  <c r="Q628"/>
  <c r="Q629"/>
  <c r="Q1091" s="1"/>
  <c r="Q1553" s="1"/>
  <c r="Q2015" s="1"/>
  <c r="Q2477" s="1"/>
  <c r="M2473" i="2" s="1"/>
  <c r="Q630" i="1"/>
  <c r="Q1092" s="1"/>
  <c r="Q631"/>
  <c r="Q632"/>
  <c r="Q633"/>
  <c r="Q1095" s="1"/>
  <c r="Q1557" s="1"/>
  <c r="Q2019" s="1"/>
  <c r="Q2481" s="1"/>
  <c r="M2477" i="2" s="1"/>
  <c r="Q634" i="1"/>
  <c r="Q1096" s="1"/>
  <c r="Q1558" s="1"/>
  <c r="Q2020" s="1"/>
  <c r="Q2482" s="1"/>
  <c r="M2478" i="2" s="1"/>
  <c r="Q635" i="1"/>
  <c r="Q636"/>
  <c r="M632" i="2" s="1"/>
  <c r="Q637" i="1"/>
  <c r="Q638"/>
  <c r="Q1100" s="1"/>
  <c r="Q639"/>
  <c r="Q640"/>
  <c r="Q641"/>
  <c r="Q1103" s="1"/>
  <c r="Q1565" s="1"/>
  <c r="Q2027" s="1"/>
  <c r="Q2489" s="1"/>
  <c r="M2485" i="2" s="1"/>
  <c r="Q642" i="1"/>
  <c r="Q1104" s="1"/>
  <c r="Q1566" s="1"/>
  <c r="Q2028" s="1"/>
  <c r="Q643"/>
  <c r="Q644"/>
  <c r="Q645"/>
  <c r="Q1107" s="1"/>
  <c r="Q1569" s="1"/>
  <c r="Q2031" s="1"/>
  <c r="Q2493" s="1"/>
  <c r="M2489" i="2" s="1"/>
  <c r="Q646" i="1"/>
  <c r="Q1108" s="1"/>
  <c r="Q647"/>
  <c r="Q648"/>
  <c r="Q1110" s="1"/>
  <c r="Q649"/>
  <c r="Q1111" s="1"/>
  <c r="Q650"/>
  <c r="Q1112" s="1"/>
  <c r="Q1574" s="1"/>
  <c r="Q2036" s="1"/>
  <c r="Q2498" s="1"/>
  <c r="M2494" i="2" s="1"/>
  <c r="Q651" i="1"/>
  <c r="Q652"/>
  <c r="Q653"/>
  <c r="Q654"/>
  <c r="Q1116" s="1"/>
  <c r="Q655"/>
  <c r="Q656"/>
  <c r="Q657"/>
  <c r="Q658"/>
  <c r="Q1120" s="1"/>
  <c r="Q1582" s="1"/>
  <c r="Q2044" s="1"/>
  <c r="Q2506" s="1"/>
  <c r="M2502" i="2" s="1"/>
  <c r="Q659" i="1"/>
  <c r="Q660"/>
  <c r="M656" i="2" s="1"/>
  <c r="Q661" i="1"/>
  <c r="Q1123" s="1"/>
  <c r="Q662"/>
  <c r="Q1124" s="1"/>
  <c r="Q663"/>
  <c r="Q664"/>
  <c r="Q665"/>
  <c r="Q1127" s="1"/>
  <c r="Q1589" s="1"/>
  <c r="Q2051" s="1"/>
  <c r="Q2513" s="1"/>
  <c r="M2509" i="2" s="1"/>
  <c r="Q666" i="1"/>
  <c r="Q1128" s="1"/>
  <c r="Q1590" s="1"/>
  <c r="Q2052" s="1"/>
  <c r="Q2514" s="1"/>
  <c r="M2510" i="2" s="1"/>
  <c r="Q667" i="1"/>
  <c r="Q668"/>
  <c r="Q669"/>
  <c r="Q670"/>
  <c r="Q1132" s="1"/>
  <c r="Q671"/>
  <c r="Q672"/>
  <c r="Q1134" s="1"/>
  <c r="Q673"/>
  <c r="Q674"/>
  <c r="Q1136" s="1"/>
  <c r="Q1598" s="1"/>
  <c r="Q2060" s="1"/>
  <c r="Q675"/>
  <c r="Q676"/>
  <c r="Q677"/>
  <c r="Q1139" s="1"/>
  <c r="Q1601" s="1"/>
  <c r="Q2063" s="1"/>
  <c r="Q2525" s="1"/>
  <c r="M2521" i="2" s="1"/>
  <c r="Q678" i="1"/>
  <c r="Q1140" s="1"/>
  <c r="Q679"/>
  <c r="Q680"/>
  <c r="Q1142" s="1"/>
  <c r="Q681"/>
  <c r="Q1143" s="1"/>
  <c r="Q1605" s="1"/>
  <c r="Q2067" s="1"/>
  <c r="Q2529" s="1"/>
  <c r="M2525" i="2" s="1"/>
  <c r="Q682" i="1"/>
  <c r="Q1144" s="1"/>
  <c r="Q1606" s="1"/>
  <c r="Q2068" s="1"/>
  <c r="Q2530" s="1"/>
  <c r="M2526" i="2" s="1"/>
  <c r="Q683" i="1"/>
  <c r="Q684"/>
  <c r="Q685"/>
  <c r="Q1147" s="1"/>
  <c r="Q686"/>
  <c r="Q1148" s="1"/>
  <c r="Q687"/>
  <c r="Q688"/>
  <c r="Q689"/>
  <c r="Q690"/>
  <c r="Q1152" s="1"/>
  <c r="Q1614" s="1"/>
  <c r="Q2076" s="1"/>
  <c r="Q691"/>
  <c r="Q692"/>
  <c r="Q693"/>
  <c r="Q1155" s="1"/>
  <c r="Q1617" s="1"/>
  <c r="Q2079" s="1"/>
  <c r="Q2541" s="1"/>
  <c r="M2537" i="2" s="1"/>
  <c r="Q694" i="1"/>
  <c r="Q1156" s="1"/>
  <c r="Q695"/>
  <c r="Q696"/>
  <c r="Q697"/>
  <c r="Q1159" s="1"/>
  <c r="Q1621" s="1"/>
  <c r="Q2083" s="1"/>
  <c r="Q2545" s="1"/>
  <c r="M2541" i="2" s="1"/>
  <c r="Q698" i="1"/>
  <c r="Q1160" s="1"/>
  <c r="Q1622" s="1"/>
  <c r="Q2084" s="1"/>
  <c r="Q2546" s="1"/>
  <c r="M2542" i="2" s="1"/>
  <c r="Q699" i="1"/>
  <c r="Q700"/>
  <c r="M696" i="2" s="1"/>
  <c r="Q701" i="1"/>
  <c r="Q702"/>
  <c r="Q1164" s="1"/>
  <c r="Q703"/>
  <c r="Q704"/>
  <c r="Q705"/>
  <c r="Q1167" s="1"/>
  <c r="Q1629" s="1"/>
  <c r="Q2091" s="1"/>
  <c r="Q2553" s="1"/>
  <c r="M2549" i="2" s="1"/>
  <c r="Q706" i="1"/>
  <c r="Q1168" s="1"/>
  <c r="Q1630" s="1"/>
  <c r="Q2092" s="1"/>
  <c r="Q707"/>
  <c r="Q708"/>
  <c r="Q709"/>
  <c r="Q1171" s="1"/>
  <c r="Q1633" s="1"/>
  <c r="Q2095" s="1"/>
  <c r="Q2557" s="1"/>
  <c r="M2553" i="2" s="1"/>
  <c r="Q710" i="1"/>
  <c r="Q1172" s="1"/>
  <c r="Q711"/>
  <c r="Q713"/>
  <c r="Q1175" s="1"/>
  <c r="Q1637" s="1"/>
  <c r="Q2099" s="1"/>
  <c r="Q2561" s="1"/>
  <c r="M2557" i="2" s="1"/>
  <c r="Q714" i="1"/>
  <c r="Q1176" s="1"/>
  <c r="Q1638" s="1"/>
  <c r="Q2100" s="1"/>
  <c r="Q2562" s="1"/>
  <c r="M2558" i="2" s="1"/>
  <c r="Q715" i="1"/>
  <c r="Q716"/>
  <c r="Q717"/>
  <c r="Q718"/>
  <c r="Q1180" s="1"/>
  <c r="Q720"/>
  <c r="Q721"/>
  <c r="Q722"/>
  <c r="Q1184" s="1"/>
  <c r="Q1646" s="1"/>
  <c r="Q2108" s="1"/>
  <c r="Q2570" s="1"/>
  <c r="M2566" i="2" s="1"/>
  <c r="Q723" i="1"/>
  <c r="Q724"/>
  <c r="Q725"/>
  <c r="Q1187" s="1"/>
  <c r="Q1649" s="1"/>
  <c r="Q2111" s="1"/>
  <c r="Q2573" s="1"/>
  <c r="M2569" i="2" s="1"/>
  <c r="Q726" i="1"/>
  <c r="Q1188" s="1"/>
  <c r="Q727"/>
  <c r="Q728"/>
  <c r="Q729"/>
  <c r="Q1191" s="1"/>
  <c r="Q1653" s="1"/>
  <c r="Q2115" s="1"/>
  <c r="Q2577" s="1"/>
  <c r="M2573" i="2" s="1"/>
  <c r="Q730" i="1"/>
  <c r="Q1192" s="1"/>
  <c r="Q1654" s="1"/>
  <c r="Q2116" s="1"/>
  <c r="Q2578" s="1"/>
  <c r="M2574" i="2" s="1"/>
  <c r="Q731" i="1"/>
  <c r="Q732"/>
  <c r="Q733"/>
  <c r="Q734"/>
  <c r="Q1196" s="1"/>
  <c r="Q1658" s="1"/>
  <c r="Q2120" s="1"/>
  <c r="Q2582" s="1"/>
  <c r="M2578" i="2" s="1"/>
  <c r="Q735" i="1"/>
  <c r="Q736"/>
  <c r="Q737"/>
  <c r="Q738"/>
  <c r="Q1200" s="1"/>
  <c r="Q1662" s="1"/>
  <c r="Q2124" s="1"/>
  <c r="Q2586" s="1"/>
  <c r="M2582" i="2" s="1"/>
  <c r="Q739" i="1"/>
  <c r="Q740"/>
  <c r="Q741"/>
  <c r="Q1203" s="1"/>
  <c r="Q1665" s="1"/>
  <c r="Q2127" s="1"/>
  <c r="Q2589" s="1"/>
  <c r="M2585" i="2" s="1"/>
  <c r="Q742" i="1"/>
  <c r="Q1204" s="1"/>
  <c r="Q1666" s="1"/>
  <c r="Q2128" s="1"/>
  <c r="Q2590" s="1"/>
  <c r="Q743"/>
  <c r="Q744"/>
  <c r="Q745"/>
  <c r="Q1207" s="1"/>
  <c r="Q1669" s="1"/>
  <c r="Q2131" s="1"/>
  <c r="Q2593" s="1"/>
  <c r="M2589" i="2" s="1"/>
  <c r="Q746" i="1"/>
  <c r="Q1208" s="1"/>
  <c r="Q1670" s="1"/>
  <c r="Q2132" s="1"/>
  <c r="Q2594" s="1"/>
  <c r="M2590" i="2" s="1"/>
  <c r="Q747" i="1"/>
  <c r="Q748"/>
  <c r="Q749"/>
  <c r="Q750"/>
  <c r="Q1212" s="1"/>
  <c r="Q751"/>
  <c r="Q752"/>
  <c r="Q753"/>
  <c r="Q754"/>
  <c r="Q1216" s="1"/>
  <c r="Q1678" s="1"/>
  <c r="Q2140" s="1"/>
  <c r="Q755"/>
  <c r="Q756"/>
  <c r="Q757"/>
  <c r="Q1219" s="1"/>
  <c r="Q1681" s="1"/>
  <c r="Q2143" s="1"/>
  <c r="Q2605" s="1"/>
  <c r="Q758"/>
  <c r="Q1220" s="1"/>
  <c r="Q1682" s="1"/>
  <c r="Q2144" s="1"/>
  <c r="Q2606" s="1"/>
  <c r="M2602" i="2" s="1"/>
  <c r="Q759" i="1"/>
  <c r="Q760"/>
  <c r="Q761"/>
  <c r="Q1223" s="1"/>
  <c r="Q1685" s="1"/>
  <c r="Q2147" s="1"/>
  <c r="Q2609" s="1"/>
  <c r="Q762"/>
  <c r="Q1224" s="1"/>
  <c r="Q1686" s="1"/>
  <c r="Q2148" s="1"/>
  <c r="Q2610" s="1"/>
  <c r="M2606" i="2" s="1"/>
  <c r="Q763" i="1"/>
  <c r="Q764"/>
  <c r="Q765"/>
  <c r="Q766"/>
  <c r="Q1228" s="1"/>
  <c r="Q1690" s="1"/>
  <c r="Q2152" s="1"/>
  <c r="Q2614" s="1"/>
  <c r="Q767"/>
  <c r="Q768"/>
  <c r="Q769"/>
  <c r="Q770"/>
  <c r="Q1232" s="1"/>
  <c r="Q1694" s="1"/>
  <c r="Q2156" s="1"/>
  <c r="Q2618" s="1"/>
  <c r="M2614" i="2" s="1"/>
  <c r="Q771" i="1"/>
  <c r="Q772"/>
  <c r="Q773"/>
  <c r="Q1235" s="1"/>
  <c r="Q1697" s="1"/>
  <c r="Q2159" s="1"/>
  <c r="Q2621" s="1"/>
  <c r="M2617" i="2" s="1"/>
  <c r="Q774" i="1"/>
  <c r="Q1236" s="1"/>
  <c r="Q1698" s="1"/>
  <c r="Q2160" s="1"/>
  <c r="Q2622" s="1"/>
  <c r="Q775"/>
  <c r="Q776"/>
  <c r="Q777"/>
  <c r="Q1239" s="1"/>
  <c r="Q1701" s="1"/>
  <c r="Q2163" s="1"/>
  <c r="Q2625" s="1"/>
  <c r="M2621" i="2" s="1"/>
  <c r="Q778" i="1"/>
  <c r="Q1240" s="1"/>
  <c r="Q1702" s="1"/>
  <c r="Q2164" s="1"/>
  <c r="Q2626" s="1"/>
  <c r="M2622" i="2" s="1"/>
  <c r="Q779" i="1"/>
  <c r="Q780"/>
  <c r="Q781"/>
  <c r="Q1243" s="1"/>
  <c r="Q1705" s="1"/>
  <c r="Q2167" s="1"/>
  <c r="Q2629" s="1"/>
  <c r="M2625" i="2" s="1"/>
  <c r="Q782" i="1"/>
  <c r="Q1244" s="1"/>
  <c r="Q1706" s="1"/>
  <c r="Q2168" s="1"/>
  <c r="Q2630" s="1"/>
  <c r="Q783"/>
  <c r="Q784"/>
  <c r="Q785"/>
  <c r="Q786"/>
  <c r="Q1248" s="1"/>
  <c r="Q1710" s="1"/>
  <c r="Q2172" s="1"/>
  <c r="Q2634" s="1"/>
  <c r="M2630" i="2" s="1"/>
  <c r="Q787" i="1"/>
  <c r="Q788"/>
  <c r="Q789"/>
  <c r="Q1251" s="1"/>
  <c r="Q790"/>
  <c r="Q1252" s="1"/>
  <c r="Q1714" s="1"/>
  <c r="Q2176" s="1"/>
  <c r="Q2638" s="1"/>
  <c r="M2634" i="2" s="1"/>
  <c r="Q791" i="1"/>
  <c r="Q792"/>
  <c r="Q793"/>
  <c r="Q1255" s="1"/>
  <c r="Q1717" s="1"/>
  <c r="Q2179" s="1"/>
  <c r="Q2641" s="1"/>
  <c r="M2637" i="2" s="1"/>
  <c r="Q794" i="1"/>
  <c r="Q1256" s="1"/>
  <c r="Q1718" s="1"/>
  <c r="Q2180" s="1"/>
  <c r="Q2642" s="1"/>
  <c r="M2638" i="2" s="1"/>
  <c r="Q795" i="1"/>
  <c r="Q796"/>
  <c r="Q797"/>
  <c r="Q798"/>
  <c r="Q1260" s="1"/>
  <c r="Q1722" s="1"/>
  <c r="Q2184" s="1"/>
  <c r="Q2646" s="1"/>
  <c r="Q799"/>
  <c r="Q800"/>
  <c r="Q801"/>
  <c r="Q802"/>
  <c r="Q1264" s="1"/>
  <c r="Q1726" s="1"/>
  <c r="Q2188" s="1"/>
  <c r="Q803"/>
  <c r="Q804"/>
  <c r="Q805"/>
  <c r="Q1267" s="1"/>
  <c r="Q1729" s="1"/>
  <c r="Q2191" s="1"/>
  <c r="Q2653" s="1"/>
  <c r="M2649" i="2" s="1"/>
  <c r="Q806" i="1"/>
  <c r="Q1268" s="1"/>
  <c r="Q1730" s="1"/>
  <c r="Q2192" s="1"/>
  <c r="Q2654" s="1"/>
  <c r="Q807"/>
  <c r="Q808"/>
  <c r="Q809"/>
  <c r="Q1271" s="1"/>
  <c r="Q1733" s="1"/>
  <c r="Q2195" s="1"/>
  <c r="Q2657" s="1"/>
  <c r="M2653" i="2" s="1"/>
  <c r="Q810" i="1"/>
  <c r="Q1272" s="1"/>
  <c r="Q1734" s="1"/>
  <c r="Q2196" s="1"/>
  <c r="Q2658" s="1"/>
  <c r="M2654" i="2" s="1"/>
  <c r="Q811" i="1"/>
  <c r="Q812"/>
  <c r="Q813"/>
  <c r="Q814"/>
  <c r="Q1276" s="1"/>
  <c r="Q1738" s="1"/>
  <c r="Q2200" s="1"/>
  <c r="Q2662" s="1"/>
  <c r="Q815"/>
  <c r="Q816"/>
  <c r="Q817"/>
  <c r="Q818"/>
  <c r="Q1280" s="1"/>
  <c r="Q1742" s="1"/>
  <c r="Q2204" s="1"/>
  <c r="Q2666" s="1"/>
  <c r="M2662" i="2" s="1"/>
  <c r="Q819" i="1"/>
  <c r="Q820"/>
  <c r="Q821"/>
  <c r="Q1283" s="1"/>
  <c r="Q1745" s="1"/>
  <c r="Q2207" s="1"/>
  <c r="Q2669" s="1"/>
  <c r="Q822"/>
  <c r="Q1284" s="1"/>
  <c r="Q1746" s="1"/>
  <c r="Q2208" s="1"/>
  <c r="Q2670" s="1"/>
  <c r="M2666" i="2" s="1"/>
  <c r="Q823" i="1"/>
  <c r="Q824"/>
  <c r="Q825"/>
  <c r="Q1287" s="1"/>
  <c r="Q1749" s="1"/>
  <c r="Q2211" s="1"/>
  <c r="Q2673" s="1"/>
  <c r="M2669" i="2" s="1"/>
  <c r="Q826" i="1"/>
  <c r="Q1288" s="1"/>
  <c r="Q1750" s="1"/>
  <c r="Q2212" s="1"/>
  <c r="Q2674" s="1"/>
  <c r="M2670" i="2" s="1"/>
  <c r="Q827" i="1"/>
  <c r="Q828"/>
  <c r="Q829"/>
  <c r="Q830"/>
  <c r="Q1292" s="1"/>
  <c r="Q831"/>
  <c r="Q832"/>
  <c r="Q833"/>
  <c r="Q834"/>
  <c r="Q1296" s="1"/>
  <c r="Q1758" s="1"/>
  <c r="Q2220" s="1"/>
  <c r="Q835"/>
  <c r="Q836"/>
  <c r="Q837"/>
  <c r="Q1299" s="1"/>
  <c r="Q1761" s="1"/>
  <c r="Q2223" s="1"/>
  <c r="Q2685" s="1"/>
  <c r="M2681" i="2" s="1"/>
  <c r="Q838" i="1"/>
  <c r="Q1300" s="1"/>
  <c r="Q1762" s="1"/>
  <c r="Q2224" s="1"/>
  <c r="Q2686" s="1"/>
  <c r="Q839"/>
  <c r="Q840"/>
  <c r="Q841"/>
  <c r="Q1303" s="1"/>
  <c r="Q1765" s="1"/>
  <c r="Q2227" s="1"/>
  <c r="Q2689" s="1"/>
  <c r="M2685" i="2" s="1"/>
  <c r="Q842" i="1"/>
  <c r="Q1304" s="1"/>
  <c r="Q1766" s="1"/>
  <c r="Q2228" s="1"/>
  <c r="Q2690" s="1"/>
  <c r="M2686" i="2" s="1"/>
  <c r="Q843" i="1"/>
  <c r="Q844"/>
  <c r="Q845"/>
  <c r="Q846"/>
  <c r="Q1308" s="1"/>
  <c r="Q1770" s="1"/>
  <c r="Q2232" s="1"/>
  <c r="Q2694" s="1"/>
  <c r="Q847"/>
  <c r="Q848"/>
  <c r="Q849"/>
  <c r="Q850"/>
  <c r="Q1312" s="1"/>
  <c r="Q1774" s="1"/>
  <c r="Q2236" s="1"/>
  <c r="Q2698" s="1"/>
  <c r="M2694" i="2" s="1"/>
  <c r="Q851" i="1"/>
  <c r="Q852"/>
  <c r="Q853"/>
  <c r="Q1315" s="1"/>
  <c r="Q1777" s="1"/>
  <c r="Q2239" s="1"/>
  <c r="Q2701" s="1"/>
  <c r="Q854"/>
  <c r="Q1316" s="1"/>
  <c r="Q1778" s="1"/>
  <c r="Q2240" s="1"/>
  <c r="Q2702" s="1"/>
  <c r="M2698" i="2" s="1"/>
  <c r="Q855" i="1"/>
  <c r="Q856"/>
  <c r="Q857"/>
  <c r="Q1319" s="1"/>
  <c r="Q1781" s="1"/>
  <c r="Q2243" s="1"/>
  <c r="Q2705" s="1"/>
  <c r="M2701" i="2" s="1"/>
  <c r="Q858" i="1"/>
  <c r="Q1320" s="1"/>
  <c r="Q1782" s="1"/>
  <c r="Q2244" s="1"/>
  <c r="Q2706" s="1"/>
  <c r="M2702" i="2" s="1"/>
  <c r="Q859" i="1"/>
  <c r="Q860"/>
  <c r="Q861"/>
  <c r="Q862"/>
  <c r="Q1324" s="1"/>
  <c r="Q1786" s="1"/>
  <c r="Q2248" s="1"/>
  <c r="Q2710" s="1"/>
  <c r="Q863"/>
  <c r="Q864"/>
  <c r="Q865"/>
  <c r="Q866"/>
  <c r="Q1328" s="1"/>
  <c r="Q1790" s="1"/>
  <c r="Q2252" s="1"/>
  <c r="Q867"/>
  <c r="Q868"/>
  <c r="Q869"/>
  <c r="Q1331" s="1"/>
  <c r="Q1793" s="1"/>
  <c r="Q2255" s="1"/>
  <c r="Q2717" s="1"/>
  <c r="M2713" i="2" s="1"/>
  <c r="Q870" i="1"/>
  <c r="Q1332" s="1"/>
  <c r="Q1794" s="1"/>
  <c r="Q2256" s="1"/>
  <c r="Q2718" s="1"/>
  <c r="Q871"/>
  <c r="Q1333" s="1"/>
  <c r="Q1795" s="1"/>
  <c r="Q872"/>
  <c r="Q873"/>
  <c r="Q1335" s="1"/>
  <c r="Q1797" s="1"/>
  <c r="Q2259" s="1"/>
  <c r="Q2721" s="1"/>
  <c r="M2717" i="2" s="1"/>
  <c r="Q874" i="1"/>
  <c r="Q1336" s="1"/>
  <c r="Q1798" s="1"/>
  <c r="Q2260" s="1"/>
  <c r="Q2722" s="1"/>
  <c r="M2718" i="2" s="1"/>
  <c r="Q875" i="1"/>
  <c r="Q1337" s="1"/>
  <c r="Q1799" s="1"/>
  <c r="Q2261" s="1"/>
  <c r="Q2723" s="1"/>
  <c r="M2719" i="2" s="1"/>
  <c r="Q876" i="1"/>
  <c r="Q877"/>
  <c r="Q1339" s="1"/>
  <c r="Q1801" s="1"/>
  <c r="Q2263" s="1"/>
  <c r="Q2725" s="1"/>
  <c r="Q878"/>
  <c r="Q1340" s="1"/>
  <c r="Q879"/>
  <c r="Q1341" s="1"/>
  <c r="Q880"/>
  <c r="Q881"/>
  <c r="Q882"/>
  <c r="Q1344" s="1"/>
  <c r="Q1806" s="1"/>
  <c r="Q2268" s="1"/>
  <c r="Q2730" s="1"/>
  <c r="M2726" i="2" s="1"/>
  <c r="Q883" i="1"/>
  <c r="Q884"/>
  <c r="Q885"/>
  <c r="Q1347" s="1"/>
  <c r="Q1809" s="1"/>
  <c r="Q2271" s="1"/>
  <c r="Q2733" s="1"/>
  <c r="M2729" i="2" s="1"/>
  <c r="Q886" i="1"/>
  <c r="Q1348" s="1"/>
  <c r="Q1810" s="1"/>
  <c r="Q2272" s="1"/>
  <c r="Q2734" s="1"/>
  <c r="M2730" i="2" s="1"/>
  <c r="Q887" i="1"/>
  <c r="Q888"/>
  <c r="Q889"/>
  <c r="Q1351" s="1"/>
  <c r="Q1813" s="1"/>
  <c r="Q2275" s="1"/>
  <c r="Q2737" s="1"/>
  <c r="Q890"/>
  <c r="Q1352" s="1"/>
  <c r="Q1814" s="1"/>
  <c r="Q2276" s="1"/>
  <c r="Q2738" s="1"/>
  <c r="M2734" i="2" s="1"/>
  <c r="Q891" i="1"/>
  <c r="Q892"/>
  <c r="Q893"/>
  <c r="Q894"/>
  <c r="Q1356" s="1"/>
  <c r="Q1818" s="1"/>
  <c r="Q2280" s="1"/>
  <c r="Q2742" s="1"/>
  <c r="Q895"/>
  <c r="Q896"/>
  <c r="Q897"/>
  <c r="Q1359" s="1"/>
  <c r="Q1821" s="1"/>
  <c r="Q2283" s="1"/>
  <c r="Q2745" s="1"/>
  <c r="Q898"/>
  <c r="Q1360" s="1"/>
  <c r="Q1822" s="1"/>
  <c r="Q2284" s="1"/>
  <c r="Q899"/>
  <c r="Q900"/>
  <c r="Q901"/>
  <c r="Q1363" s="1"/>
  <c r="Q1825" s="1"/>
  <c r="Q2287" s="1"/>
  <c r="Q2749" s="1"/>
  <c r="M2745" i="2" s="1"/>
  <c r="Q902" i="1"/>
  <c r="Q1364" s="1"/>
  <c r="Q1826" s="1"/>
  <c r="Q2288" s="1"/>
  <c r="Q2750" s="1"/>
  <c r="Q903"/>
  <c r="Q904"/>
  <c r="Q905"/>
  <c r="Q1367" s="1"/>
  <c r="Q1829" s="1"/>
  <c r="Q2291" s="1"/>
  <c r="Q2753" s="1"/>
  <c r="M2749" i="2" s="1"/>
  <c r="Q906" i="1"/>
  <c r="Q1368" s="1"/>
  <c r="Q1830" s="1"/>
  <c r="Q2292" s="1"/>
  <c r="Q2754" s="1"/>
  <c r="M2750" i="2" s="1"/>
  <c r="Q907" i="1"/>
  <c r="Q908"/>
  <c r="Q909"/>
  <c r="Q910"/>
  <c r="Q1372" s="1"/>
  <c r="Q1834" s="1"/>
  <c r="Q2296" s="1"/>
  <c r="Q2758" s="1"/>
  <c r="Q911"/>
  <c r="Q912"/>
  <c r="Q913"/>
  <c r="Q914"/>
  <c r="Q1376" s="1"/>
  <c r="Q1838" s="1"/>
  <c r="Q2300" s="1"/>
  <c r="Q2762" s="1"/>
  <c r="M2758" i="2" s="1"/>
  <c r="Q915" i="1"/>
  <c r="Q916"/>
  <c r="Q917"/>
  <c r="Q1379" s="1"/>
  <c r="Q1841" s="1"/>
  <c r="Q2303" s="1"/>
  <c r="Q2765" s="1"/>
  <c r="M2761" i="2" s="1"/>
  <c r="Q918" i="1"/>
  <c r="Q1380" s="1"/>
  <c r="Q1842" s="1"/>
  <c r="Q2304" s="1"/>
  <c r="Q2766" s="1"/>
  <c r="M2762" i="2" s="1"/>
  <c r="Q919" i="1"/>
  <c r="Q920"/>
  <c r="Q921"/>
  <c r="Q1383" s="1"/>
  <c r="Q1845" s="1"/>
  <c r="Q2307" s="1"/>
  <c r="Q2769" s="1"/>
  <c r="Q922"/>
  <c r="Q1384" s="1"/>
  <c r="Q1846" s="1"/>
  <c r="Q2308" s="1"/>
  <c r="Q2770" s="1"/>
  <c r="M2766" i="2" s="1"/>
  <c r="Q923" i="1"/>
  <c r="Q924"/>
  <c r="Q925"/>
  <c r="Q926"/>
  <c r="Q1388" s="1"/>
  <c r="Q1850" s="1"/>
  <c r="Q2312" s="1"/>
  <c r="Q2774" s="1"/>
  <c r="Q927"/>
  <c r="Q928"/>
  <c r="Q929"/>
  <c r="Q933"/>
  <c r="Q937"/>
  <c r="Q1399" s="1"/>
  <c r="Q1861" s="1"/>
  <c r="Q2323" s="1"/>
  <c r="M2319" i="2" s="1"/>
  <c r="Q938" i="1"/>
  <c r="Q1400" s="1"/>
  <c r="Q1862" s="1"/>
  <c r="Q2324" s="1"/>
  <c r="M2320" i="2" s="1"/>
  <c r="Q941" i="1"/>
  <c r="Q945"/>
  <c r="Q1407" s="1"/>
  <c r="Q949"/>
  <c r="Q1411" s="1"/>
  <c r="Q953"/>
  <c r="Q1415" s="1"/>
  <c r="Q1877" s="1"/>
  <c r="Q2339" s="1"/>
  <c r="M2335" i="2" s="1"/>
  <c r="Q957" i="1"/>
  <c r="Q961"/>
  <c r="Q965"/>
  <c r="Q969"/>
  <c r="Q1431" s="1"/>
  <c r="Q1893" s="1"/>
  <c r="Q2355" s="1"/>
  <c r="M2351" i="2" s="1"/>
  <c r="Q973" i="1"/>
  <c r="Q977"/>
  <c r="Q1439" s="1"/>
  <c r="Q981"/>
  <c r="Q1443" s="1"/>
  <c r="Q985"/>
  <c r="Q1447" s="1"/>
  <c r="Q1909" s="1"/>
  <c r="Q2371" s="1"/>
  <c r="M2367" i="2" s="1"/>
  <c r="Q989" i="1"/>
  <c r="Q993"/>
  <c r="Q1455" s="1"/>
  <c r="Q997"/>
  <c r="Q1459" s="1"/>
  <c r="Q1001"/>
  <c r="Q1463" s="1"/>
  <c r="Q1925" s="1"/>
  <c r="Q2387" s="1"/>
  <c r="M2383" i="2" s="1"/>
  <c r="Q1005" i="1"/>
  <c r="Q1467" s="1"/>
  <c r="M1463" i="2" s="1"/>
  <c r="Q1009" i="1"/>
  <c r="Q1471" s="1"/>
  <c r="Q1933" s="1"/>
  <c r="Q2395" s="1"/>
  <c r="M2391" i="2" s="1"/>
  <c r="Q1013" i="1"/>
  <c r="Q1475" s="1"/>
  <c r="Q1017"/>
  <c r="Q1479" s="1"/>
  <c r="Q1941" s="1"/>
  <c r="Q2403" s="1"/>
  <c r="M2399" i="2" s="1"/>
  <c r="Q1021" i="1"/>
  <c r="Q1483" s="1"/>
  <c r="M1479" i="2" s="1"/>
  <c r="Q1025" i="1"/>
  <c r="Q1487" s="1"/>
  <c r="Q1949" s="1"/>
  <c r="Q2411" s="1"/>
  <c r="M2407" i="2" s="1"/>
  <c r="Q1029" i="1"/>
  <c r="Q1491" s="1"/>
  <c r="Q1033"/>
  <c r="Q1495" s="1"/>
  <c r="Q1957" s="1"/>
  <c r="Q2419" s="1"/>
  <c r="M2415" i="2" s="1"/>
  <c r="Q1037" i="1"/>
  <c r="Q1499" s="1"/>
  <c r="M1495" i="2" s="1"/>
  <c r="Q1041" i="1"/>
  <c r="Q1503" s="1"/>
  <c r="Q1965" s="1"/>
  <c r="Q2427" s="1"/>
  <c r="M2423" i="2" s="1"/>
  <c r="Q1045" i="1"/>
  <c r="Q1507" s="1"/>
  <c r="Q1049"/>
  <c r="Q1511" s="1"/>
  <c r="Q1973" s="1"/>
  <c r="Q2435" s="1"/>
  <c r="M2431" i="2" s="1"/>
  <c r="Q1053" i="1"/>
  <c r="Q1515" s="1"/>
  <c r="M1511" i="2" s="1"/>
  <c r="Q1057" i="1"/>
  <c r="Q1519" s="1"/>
  <c r="Q1981" s="1"/>
  <c r="Q2443" s="1"/>
  <c r="M2439" i="2" s="1"/>
  <c r="Q1061" i="1"/>
  <c r="Q1523" s="1"/>
  <c r="Q1065"/>
  <c r="Q1527" s="1"/>
  <c r="Q1989" s="1"/>
  <c r="Q2451" s="1"/>
  <c r="M2447" i="2" s="1"/>
  <c r="Q1069" i="1"/>
  <c r="Q1531" s="1"/>
  <c r="M1527" i="2" s="1"/>
  <c r="Q1073" i="1"/>
  <c r="Q1535" s="1"/>
  <c r="Q1077"/>
  <c r="Q1539" s="1"/>
  <c r="Q1081"/>
  <c r="Q1543" s="1"/>
  <c r="Q2005" s="1"/>
  <c r="Q2467" s="1"/>
  <c r="M2463" i="2" s="1"/>
  <c r="Q1085" i="1"/>
  <c r="Q1547" s="1"/>
  <c r="M1543" i="2" s="1"/>
  <c r="Q1089" i="1"/>
  <c r="Q1551" s="1"/>
  <c r="Q2013" s="1"/>
  <c r="Q2475" s="1"/>
  <c r="M2471" i="2" s="1"/>
  <c r="Q1093" i="1"/>
  <c r="Q1555" s="1"/>
  <c r="Q1097"/>
  <c r="Q1559" s="1"/>
  <c r="Q2021" s="1"/>
  <c r="Q2483" s="1"/>
  <c r="M2479" i="2" s="1"/>
  <c r="Q1101" i="1"/>
  <c r="Q1563" s="1"/>
  <c r="M1559" i="2" s="1"/>
  <c r="Q1105" i="1"/>
  <c r="Q1567" s="1"/>
  <c r="Q1109"/>
  <c r="Q1571" s="1"/>
  <c r="Q1113"/>
  <c r="Q1575" s="1"/>
  <c r="Q2037" s="1"/>
  <c r="Q2499" s="1"/>
  <c r="M2495" i="2" s="1"/>
  <c r="Q1117" i="1"/>
  <c r="Q1579" s="1"/>
  <c r="M1575" i="2" s="1"/>
  <c r="Q1121" i="1"/>
  <c r="Q1583" s="1"/>
  <c r="Q1125"/>
  <c r="Q1587" s="1"/>
  <c r="Q1129"/>
  <c r="Q1591" s="1"/>
  <c r="Q2053" s="1"/>
  <c r="Q2515" s="1"/>
  <c r="M2511" i="2" s="1"/>
  <c r="Q1133" i="1"/>
  <c r="Q1595" s="1"/>
  <c r="M1591" i="2" s="1"/>
  <c r="Q1137" i="1"/>
  <c r="Q1599" s="1"/>
  <c r="Q2061" s="1"/>
  <c r="Q2523" s="1"/>
  <c r="M2519" i="2" s="1"/>
  <c r="Q1141" i="1"/>
  <c r="Q1603" s="1"/>
  <c r="Q1145"/>
  <c r="Q1607" s="1"/>
  <c r="Q2069" s="1"/>
  <c r="Q2531" s="1"/>
  <c r="M2527" i="2" s="1"/>
  <c r="Q1149" i="1"/>
  <c r="Q1611" s="1"/>
  <c r="M1607" i="2" s="1"/>
  <c r="Q1153" i="1"/>
  <c r="Q1615" s="1"/>
  <c r="Q2077" s="1"/>
  <c r="Q2539" s="1"/>
  <c r="M2535" i="2" s="1"/>
  <c r="Q1157" i="1"/>
  <c r="Q1619" s="1"/>
  <c r="Q1161"/>
  <c r="Q1623" s="1"/>
  <c r="Q2085" s="1"/>
  <c r="Q2547" s="1"/>
  <c r="M2543" i="2" s="1"/>
  <c r="Q1162" i="1"/>
  <c r="Q1624" s="1"/>
  <c r="Q2086" s="1"/>
  <c r="Q2548" s="1"/>
  <c r="M2544" i="2" s="1"/>
  <c r="Q1165" i="1"/>
  <c r="Q1627" s="1"/>
  <c r="M1623" i="2" s="1"/>
  <c r="Q1169" i="1"/>
  <c r="Q1631" s="1"/>
  <c r="Q1173"/>
  <c r="Q1635" s="1"/>
  <c r="Q1177"/>
  <c r="Q1639" s="1"/>
  <c r="Q2101" s="1"/>
  <c r="Q2563" s="1"/>
  <c r="M2559" i="2" s="1"/>
  <c r="Q1182" i="1"/>
  <c r="Q1644" s="1"/>
  <c r="Q1185"/>
  <c r="Q1647" s="1"/>
  <c r="Q1186"/>
  <c r="Q1648" s="1"/>
  <c r="Q2110" s="1"/>
  <c r="Q2572" s="1"/>
  <c r="Q1189"/>
  <c r="Q1651" s="1"/>
  <c r="Q1190"/>
  <c r="Q1652" s="1"/>
  <c r="Q1193"/>
  <c r="Q1655" s="1"/>
  <c r="Q1194"/>
  <c r="Q1656" s="1"/>
  <c r="Q2118" s="1"/>
  <c r="Q2580" s="1"/>
  <c r="Q1197"/>
  <c r="Q1659" s="1"/>
  <c r="M1655" i="2" s="1"/>
  <c r="Q1198" i="1"/>
  <c r="Q1660" s="1"/>
  <c r="Q1201"/>
  <c r="Q1663" s="1"/>
  <c r="Q2125" s="1"/>
  <c r="Q2587" s="1"/>
  <c r="M2583" i="2" s="1"/>
  <c r="Q1202" i="1"/>
  <c r="Q1664" s="1"/>
  <c r="Q2126" s="1"/>
  <c r="Q2588" s="1"/>
  <c r="Q1205"/>
  <c r="Q1667" s="1"/>
  <c r="Q1206"/>
  <c r="Q1668" s="1"/>
  <c r="Q1209"/>
  <c r="Q1671" s="1"/>
  <c r="Q2133" s="1"/>
  <c r="Q2595" s="1"/>
  <c r="Q1210"/>
  <c r="Q1672" s="1"/>
  <c r="Q2134" s="1"/>
  <c r="Q2596" s="1"/>
  <c r="M2592" i="2" s="1"/>
  <c r="Q1213" i="1"/>
  <c r="Q1675" s="1"/>
  <c r="M1671" i="2" s="1"/>
  <c r="Q1214" i="1"/>
  <c r="Q1676" s="1"/>
  <c r="Q1217"/>
  <c r="Q1679" s="1"/>
  <c r="Q1218"/>
  <c r="Q1680" s="1"/>
  <c r="Q2142" s="1"/>
  <c r="Q2604" s="1"/>
  <c r="M2600" i="2" s="1"/>
  <c r="Q1221" i="1"/>
  <c r="Q1683" s="1"/>
  <c r="Q1222"/>
  <c r="Q1684" s="1"/>
  <c r="Q1225"/>
  <c r="Q1687" s="1"/>
  <c r="Q2149" s="1"/>
  <c r="Q2611" s="1"/>
  <c r="M2607" i="2" s="1"/>
  <c r="Q1226" i="1"/>
  <c r="Q1688" s="1"/>
  <c r="Q2150" s="1"/>
  <c r="Q2612" s="1"/>
  <c r="M2608" i="2" s="1"/>
  <c r="Q1229" i="1"/>
  <c r="Q1691" s="1"/>
  <c r="M1687" i="2" s="1"/>
  <c r="Q1230" i="1"/>
  <c r="Q1692" s="1"/>
  <c r="Q1233"/>
  <c r="Q1695" s="1"/>
  <c r="Q1234"/>
  <c r="Q1696" s="1"/>
  <c r="Q2158" s="1"/>
  <c r="Q2620" s="1"/>
  <c r="M2616" i="2" s="1"/>
  <c r="Q1237" i="1"/>
  <c r="Q1699" s="1"/>
  <c r="Q1238"/>
  <c r="Q1700" s="1"/>
  <c r="Q1241"/>
  <c r="Q1703" s="1"/>
  <c r="Q2165" s="1"/>
  <c r="Q2627" s="1"/>
  <c r="Q1242"/>
  <c r="Q1704" s="1"/>
  <c r="Q2166" s="1"/>
  <c r="Q2628" s="1"/>
  <c r="M2624" i="2" s="1"/>
  <c r="Q1245" i="1"/>
  <c r="Q1707" s="1"/>
  <c r="M1703" i="2" s="1"/>
  <c r="Q1246" i="1"/>
  <c r="Q1708" s="1"/>
  <c r="Q1249"/>
  <c r="Q1711" s="1"/>
  <c r="Q2173" s="1"/>
  <c r="Q2635" s="1"/>
  <c r="M2631" i="2" s="1"/>
  <c r="Q1250" i="1"/>
  <c r="Q1712" s="1"/>
  <c r="Q2174" s="1"/>
  <c r="Q2636" s="1"/>
  <c r="M2632" i="2" s="1"/>
  <c r="Q1253" i="1"/>
  <c r="Q1715" s="1"/>
  <c r="Q1254"/>
  <c r="Q1716" s="1"/>
  <c r="Q1257"/>
  <c r="Q1719" s="1"/>
  <c r="Q1258"/>
  <c r="Q1720" s="1"/>
  <c r="Q2182" s="1"/>
  <c r="Q1261"/>
  <c r="Q1723" s="1"/>
  <c r="Q1262"/>
  <c r="Q1724" s="1"/>
  <c r="Q1265"/>
  <c r="Q1727" s="1"/>
  <c r="Q1266"/>
  <c r="Q1728" s="1"/>
  <c r="Q2190" s="1"/>
  <c r="Q2652" s="1"/>
  <c r="M2648" i="2" s="1"/>
  <c r="Q1269" i="1"/>
  <c r="Q1731" s="1"/>
  <c r="M1727" i="2" s="1"/>
  <c r="Q1270" i="1"/>
  <c r="Q1732" s="1"/>
  <c r="Q1273"/>
  <c r="Q1735" s="1"/>
  <c r="Q2197" s="1"/>
  <c r="Q2659" s="1"/>
  <c r="Q1274"/>
  <c r="Q1736" s="1"/>
  <c r="Q2198" s="1"/>
  <c r="Q2660" s="1"/>
  <c r="M2656" i="2" s="1"/>
  <c r="Q1277" i="1"/>
  <c r="Q1739" s="1"/>
  <c r="Q1278"/>
  <c r="Q1740" s="1"/>
  <c r="Q1281"/>
  <c r="Q1743" s="1"/>
  <c r="Q1282"/>
  <c r="Q1744" s="1"/>
  <c r="Q2206" s="1"/>
  <c r="Q2668" s="1"/>
  <c r="M2664" i="2" s="1"/>
  <c r="Q1285" i="1"/>
  <c r="Q1747" s="1"/>
  <c r="M1743" i="2" s="1"/>
  <c r="Q1286" i="1"/>
  <c r="Q1748" s="1"/>
  <c r="Q1289"/>
  <c r="Q1751" s="1"/>
  <c r="Q1290"/>
  <c r="Q1752" s="1"/>
  <c r="Q2214" s="1"/>
  <c r="Q1293"/>
  <c r="Q1755" s="1"/>
  <c r="Q1294"/>
  <c r="Q1756" s="1"/>
  <c r="Q1297"/>
  <c r="Q1759" s="1"/>
  <c r="Q1298"/>
  <c r="Q1760" s="1"/>
  <c r="Q2222" s="1"/>
  <c r="Q2684" s="1"/>
  <c r="M2680" i="2" s="1"/>
  <c r="Q1301" i="1"/>
  <c r="Q1763" s="1"/>
  <c r="M1759" i="2" s="1"/>
  <c r="Q1302" i="1"/>
  <c r="Q1764" s="1"/>
  <c r="Q1305"/>
  <c r="Q1767" s="1"/>
  <c r="Q2229" s="1"/>
  <c r="Q2691" s="1"/>
  <c r="Q1306"/>
  <c r="Q1768" s="1"/>
  <c r="Q2230" s="1"/>
  <c r="Q2692" s="1"/>
  <c r="M2688" i="2" s="1"/>
  <c r="Q1309" i="1"/>
  <c r="Q1771" s="1"/>
  <c r="Q1310"/>
  <c r="Q1772" s="1"/>
  <c r="Q1313"/>
  <c r="Q1775" s="1"/>
  <c r="Q1314"/>
  <c r="Q1776" s="1"/>
  <c r="Q2238" s="1"/>
  <c r="Q2700" s="1"/>
  <c r="M2696" i="2" s="1"/>
  <c r="Q1317" i="1"/>
  <c r="Q1779" s="1"/>
  <c r="M1775" i="2" s="1"/>
  <c r="Q1318" i="1"/>
  <c r="Q1780" s="1"/>
  <c r="Q1321"/>
  <c r="Q1783" s="1"/>
  <c r="Q1322"/>
  <c r="Q1784" s="1"/>
  <c r="Q1325"/>
  <c r="Q1787" s="1"/>
  <c r="Q1326"/>
  <c r="Q1788" s="1"/>
  <c r="Q1329"/>
  <c r="Q1791" s="1"/>
  <c r="Q2253" s="1"/>
  <c r="Q2715" s="1"/>
  <c r="Q1330"/>
  <c r="Q1792" s="1"/>
  <c r="Q2254" s="1"/>
  <c r="Q2716" s="1"/>
  <c r="M2712" i="2" s="1"/>
  <c r="Q1334" i="1"/>
  <c r="Q1796" s="1"/>
  <c r="Q1338"/>
  <c r="Q1800" s="1"/>
  <c r="Q2262" s="1"/>
  <c r="Q2724" s="1"/>
  <c r="M2720" i="2" s="1"/>
  <c r="Q1342" i="1"/>
  <c r="Q1804" s="1"/>
  <c r="Q1345"/>
  <c r="Q1807" s="1"/>
  <c r="Q1346"/>
  <c r="Q1808" s="1"/>
  <c r="Q2270" s="1"/>
  <c r="Q2732" s="1"/>
  <c r="M2728" i="2" s="1"/>
  <c r="Q1349" i="1"/>
  <c r="Q1811" s="1"/>
  <c r="M1807" i="2" s="1"/>
  <c r="Q1350" i="1"/>
  <c r="Q1812" s="1"/>
  <c r="Q1353"/>
  <c r="Q1815" s="1"/>
  <c r="Q2277" s="1"/>
  <c r="Q2739" s="1"/>
  <c r="M2735" i="2" s="1"/>
  <c r="Q1354" i="1"/>
  <c r="Q1816" s="1"/>
  <c r="Q2278" s="1"/>
  <c r="Q2740" s="1"/>
  <c r="M2736" i="2" s="1"/>
  <c r="Q1357" i="1"/>
  <c r="Q1819" s="1"/>
  <c r="Q1358"/>
  <c r="Q1820" s="1"/>
  <c r="Q1361"/>
  <c r="Q1823" s="1"/>
  <c r="Q1362"/>
  <c r="Q1824" s="1"/>
  <c r="Q2286" s="1"/>
  <c r="Q2748" s="1"/>
  <c r="M2744" i="2" s="1"/>
  <c r="Q1365" i="1"/>
  <c r="Q1827" s="1"/>
  <c r="M1823" i="2" s="1"/>
  <c r="Q1366" i="1"/>
  <c r="Q1828" s="1"/>
  <c r="Q1369"/>
  <c r="Q1831" s="1"/>
  <c r="Q2293" s="1"/>
  <c r="Q2755" s="1"/>
  <c r="Q1370"/>
  <c r="Q1832" s="1"/>
  <c r="Q2294" s="1"/>
  <c r="Q2756" s="1"/>
  <c r="M2752" i="2" s="1"/>
  <c r="Q1373" i="1"/>
  <c r="Q1835" s="1"/>
  <c r="Q1374"/>
  <c r="Q1836" s="1"/>
  <c r="Q1377"/>
  <c r="Q1839" s="1"/>
  <c r="Q2301" s="1"/>
  <c r="Q2763" s="1"/>
  <c r="M2759" i="2" s="1"/>
  <c r="Q1378" i="1"/>
  <c r="Q1840" s="1"/>
  <c r="Q2302" s="1"/>
  <c r="Q2764" s="1"/>
  <c r="M2760" i="2" s="1"/>
  <c r="Q1381" i="1"/>
  <c r="Q1843" s="1"/>
  <c r="M1839" i="2" s="1"/>
  <c r="Q1382" i="1"/>
  <c r="Q1844" s="1"/>
  <c r="Q1385"/>
  <c r="Q1847" s="1"/>
  <c r="Q1386"/>
  <c r="Q1848" s="1"/>
  <c r="Q1389"/>
  <c r="Q1851" s="1"/>
  <c r="M1847" i="2" s="1"/>
  <c r="Q1390" i="1"/>
  <c r="Q1852" s="1"/>
  <c r="Q1394"/>
  <c r="Q1856" s="1"/>
  <c r="Q2318" s="1"/>
  <c r="Q1402"/>
  <c r="Q1864" s="1"/>
  <c r="Q2326" s="1"/>
  <c r="Q1409"/>
  <c r="Q1871" s="1"/>
  <c r="Q2333" s="1"/>
  <c r="M2329" i="2" s="1"/>
  <c r="Q1410" i="1"/>
  <c r="Q1872" s="1"/>
  <c r="Q2334" s="1"/>
  <c r="Q1417"/>
  <c r="Q1879" s="1"/>
  <c r="Q2341" s="1"/>
  <c r="M2337" i="2" s="1"/>
  <c r="Q1418" i="1"/>
  <c r="Q1880" s="1"/>
  <c r="Q2342" s="1"/>
  <c r="Q1426"/>
  <c r="Q1888" s="1"/>
  <c r="Q2350" s="1"/>
  <c r="Q1434"/>
  <c r="Q1896" s="1"/>
  <c r="Q2358" s="1"/>
  <c r="M2354" i="2" s="1"/>
  <c r="Q1442" i="1"/>
  <c r="Q1904" s="1"/>
  <c r="Q2366" s="1"/>
  <c r="Q1445"/>
  <c r="Q1907" s="1"/>
  <c r="Q2369" s="1"/>
  <c r="M2365" i="2" s="1"/>
  <c r="Q1450" i="1"/>
  <c r="Q1912" s="1"/>
  <c r="Q2374" s="1"/>
  <c r="Q1457"/>
  <c r="Q1919" s="1"/>
  <c r="Q2381" s="1"/>
  <c r="M2377" i="2" s="1"/>
  <c r="Q1458" i="1"/>
  <c r="Q1920" s="1"/>
  <c r="Q2382" s="1"/>
  <c r="Q1466"/>
  <c r="Q1928" s="1"/>
  <c r="Q2390" s="1"/>
  <c r="M2386" i="2" s="1"/>
  <c r="Q1473" i="1"/>
  <c r="Q1935" s="1"/>
  <c r="Q2397" s="1"/>
  <c r="M2393" i="2" s="1"/>
  <c r="Q1474" i="1"/>
  <c r="Q1936" s="1"/>
  <c r="Q2398" s="1"/>
  <c r="Q1481"/>
  <c r="Q1943" s="1"/>
  <c r="Q2405" s="1"/>
  <c r="M2401" i="2" s="1"/>
  <c r="Q1482" i="1"/>
  <c r="Q1944" s="1"/>
  <c r="Q2406" s="1"/>
  <c r="Q1490"/>
  <c r="Q1952" s="1"/>
  <c r="Q2414" s="1"/>
  <c r="Q1498"/>
  <c r="Q1960" s="1"/>
  <c r="Q2422" s="1"/>
  <c r="Q1506"/>
  <c r="Q1968" s="1"/>
  <c r="Q2430" s="1"/>
  <c r="Q1514"/>
  <c r="Q1976" s="1"/>
  <c r="Q2438" s="1"/>
  <c r="Q1522"/>
  <c r="Q1984" s="1"/>
  <c r="Q2446" s="1"/>
  <c r="Q1530"/>
  <c r="Q1992" s="1"/>
  <c r="Q2454" s="1"/>
  <c r="M2450" i="2" s="1"/>
  <c r="Q1538" i="1"/>
  <c r="Q2000" s="1"/>
  <c r="Q2462" s="1"/>
  <c r="Q1546"/>
  <c r="Q2008" s="1"/>
  <c r="Q2470" s="1"/>
  <c r="Q1554"/>
  <c r="Q2016" s="1"/>
  <c r="Q2478" s="1"/>
  <c r="Q1562"/>
  <c r="Q2024" s="1"/>
  <c r="Q2486" s="1"/>
  <c r="M2482" i="2" s="1"/>
  <c r="Q1570" i="1"/>
  <c r="Q2032" s="1"/>
  <c r="Q2494" s="1"/>
  <c r="Q1573"/>
  <c r="Q2035" s="1"/>
  <c r="Q2497" s="1"/>
  <c r="M2493" i="2" s="1"/>
  <c r="Q1578" i="1"/>
  <c r="Q2040" s="1"/>
  <c r="Q2502" s="1"/>
  <c r="Q1585"/>
  <c r="Q2047" s="1"/>
  <c r="Q2509" s="1"/>
  <c r="M2505" i="2" s="1"/>
  <c r="Q1586" i="1"/>
  <c r="Q2048" s="1"/>
  <c r="Q2510" s="1"/>
  <c r="Q1594"/>
  <c r="Q2056" s="1"/>
  <c r="Q2518" s="1"/>
  <c r="M2514" i="2" s="1"/>
  <c r="Q1602" i="1"/>
  <c r="Q2064" s="1"/>
  <c r="Q2526" s="1"/>
  <c r="Q1609"/>
  <c r="Q2071" s="1"/>
  <c r="Q2533" s="1"/>
  <c r="M2529" i="2" s="1"/>
  <c r="Q1610" i="1"/>
  <c r="Q2072" s="1"/>
  <c r="Q2534" s="1"/>
  <c r="Q1618"/>
  <c r="Q2080" s="1"/>
  <c r="Q2542" s="1"/>
  <c r="Q1626"/>
  <c r="Q2088" s="1"/>
  <c r="Q2550" s="1"/>
  <c r="M2546" i="2" s="1"/>
  <c r="Q1634" i="1"/>
  <c r="Q2096" s="1"/>
  <c r="Q2558" s="1"/>
  <c r="Q1642"/>
  <c r="Q2104" s="1"/>
  <c r="Q2566" s="1"/>
  <c r="Q1650"/>
  <c r="Q2112" s="1"/>
  <c r="Q2574" s="1"/>
  <c r="Q1674"/>
  <c r="Q2136" s="1"/>
  <c r="Q2598" s="1"/>
  <c r="Q1713"/>
  <c r="Q2175" s="1"/>
  <c r="Q2637" s="1"/>
  <c r="M2633" i="2" s="1"/>
  <c r="Q1754" i="1"/>
  <c r="Q2216" s="1"/>
  <c r="Q2678" s="1"/>
  <c r="M2674" i="2" s="1"/>
  <c r="Q1802" i="1"/>
  <c r="Q2264" s="1"/>
  <c r="Q2726" s="1"/>
  <c r="M2722" i="2" s="1"/>
  <c r="Q468" i="1"/>
  <c r="M464" i="2" s="1"/>
  <c r="A3"/>
  <c r="B3"/>
  <c r="C3"/>
  <c r="D3"/>
  <c r="E3"/>
  <c r="F3"/>
  <c r="G3"/>
  <c r="H3"/>
  <c r="I3"/>
  <c r="J3"/>
  <c r="K3"/>
  <c r="L3"/>
  <c r="M3"/>
  <c r="N3"/>
  <c r="A4"/>
  <c r="B4"/>
  <c r="C4"/>
  <c r="D4"/>
  <c r="E4"/>
  <c r="F4"/>
  <c r="G4"/>
  <c r="H4"/>
  <c r="I4"/>
  <c r="J4"/>
  <c r="K4"/>
  <c r="L4"/>
  <c r="M4"/>
  <c r="N4"/>
  <c r="A5"/>
  <c r="B5"/>
  <c r="C5"/>
  <c r="D5"/>
  <c r="E5"/>
  <c r="F5"/>
  <c r="G5"/>
  <c r="H5"/>
  <c r="I5"/>
  <c r="J5"/>
  <c r="K5"/>
  <c r="L5"/>
  <c r="M5"/>
  <c r="N5"/>
  <c r="A6"/>
  <c r="B6"/>
  <c r="C6"/>
  <c r="D6"/>
  <c r="E6"/>
  <c r="F6"/>
  <c r="G6"/>
  <c r="H6"/>
  <c r="I6"/>
  <c r="J6"/>
  <c r="K6"/>
  <c r="L6"/>
  <c r="M6"/>
  <c r="N6"/>
  <c r="A7"/>
  <c r="B7"/>
  <c r="C7"/>
  <c r="D7"/>
  <c r="E7"/>
  <c r="F7"/>
  <c r="G7"/>
  <c r="H7"/>
  <c r="I7"/>
  <c r="J7"/>
  <c r="K7"/>
  <c r="L7"/>
  <c r="M7"/>
  <c r="N7"/>
  <c r="A8"/>
  <c r="B8"/>
  <c r="C8"/>
  <c r="D8"/>
  <c r="E8"/>
  <c r="F8"/>
  <c r="G8"/>
  <c r="H8"/>
  <c r="I8"/>
  <c r="J8"/>
  <c r="K8"/>
  <c r="L8"/>
  <c r="M8"/>
  <c r="N8"/>
  <c r="A9"/>
  <c r="B9"/>
  <c r="C9"/>
  <c r="D9"/>
  <c r="E9"/>
  <c r="F9"/>
  <c r="G9"/>
  <c r="H9"/>
  <c r="I9"/>
  <c r="J9"/>
  <c r="K9"/>
  <c r="L9"/>
  <c r="M9"/>
  <c r="N9"/>
  <c r="A10"/>
  <c r="B10"/>
  <c r="C10"/>
  <c r="D10"/>
  <c r="E10"/>
  <c r="F10"/>
  <c r="G10"/>
  <c r="H10"/>
  <c r="I10"/>
  <c r="J10"/>
  <c r="K10"/>
  <c r="L10"/>
  <c r="M10"/>
  <c r="N10"/>
  <c r="A11"/>
  <c r="B11"/>
  <c r="C11"/>
  <c r="D11"/>
  <c r="E11"/>
  <c r="F11"/>
  <c r="G11"/>
  <c r="H11"/>
  <c r="I11"/>
  <c r="J11"/>
  <c r="K11"/>
  <c r="L11"/>
  <c r="M11"/>
  <c r="N11"/>
  <c r="A12"/>
  <c r="B12"/>
  <c r="C12"/>
  <c r="D12"/>
  <c r="E12"/>
  <c r="F12"/>
  <c r="G12"/>
  <c r="H12"/>
  <c r="I12"/>
  <c r="J12"/>
  <c r="K12"/>
  <c r="L12"/>
  <c r="M12"/>
  <c r="N12"/>
  <c r="A13"/>
  <c r="B13"/>
  <c r="C13"/>
  <c r="D13"/>
  <c r="E13"/>
  <c r="F13"/>
  <c r="G13"/>
  <c r="H13"/>
  <c r="I13"/>
  <c r="J13"/>
  <c r="K13"/>
  <c r="L13"/>
  <c r="M13"/>
  <c r="N13"/>
  <c r="A14"/>
  <c r="B14"/>
  <c r="C14"/>
  <c r="D14"/>
  <c r="E14"/>
  <c r="F14"/>
  <c r="G14"/>
  <c r="H14"/>
  <c r="I14"/>
  <c r="J14"/>
  <c r="K14"/>
  <c r="L14"/>
  <c r="M14"/>
  <c r="N14"/>
  <c r="A15"/>
  <c r="B15"/>
  <c r="C15"/>
  <c r="D15"/>
  <c r="E15"/>
  <c r="F15"/>
  <c r="G15"/>
  <c r="H15"/>
  <c r="I15"/>
  <c r="J15"/>
  <c r="K15"/>
  <c r="L15"/>
  <c r="M15"/>
  <c r="N15"/>
  <c r="A16"/>
  <c r="B16"/>
  <c r="C16"/>
  <c r="D16"/>
  <c r="E16"/>
  <c r="F16"/>
  <c r="G16"/>
  <c r="H16"/>
  <c r="I16"/>
  <c r="J16"/>
  <c r="K16"/>
  <c r="L16"/>
  <c r="M16"/>
  <c r="N16"/>
  <c r="A17"/>
  <c r="B17"/>
  <c r="C17"/>
  <c r="D17"/>
  <c r="E17"/>
  <c r="F17"/>
  <c r="G17"/>
  <c r="H17"/>
  <c r="I17"/>
  <c r="J17"/>
  <c r="K17"/>
  <c r="L17"/>
  <c r="M17"/>
  <c r="N17"/>
  <c r="A18"/>
  <c r="B18"/>
  <c r="C18"/>
  <c r="D18"/>
  <c r="E18"/>
  <c r="F18"/>
  <c r="G18"/>
  <c r="H18"/>
  <c r="I18"/>
  <c r="J18"/>
  <c r="K18"/>
  <c r="L18"/>
  <c r="M18"/>
  <c r="N18"/>
  <c r="A19"/>
  <c r="B19"/>
  <c r="C19"/>
  <c r="D19"/>
  <c r="E19"/>
  <c r="F19"/>
  <c r="G19"/>
  <c r="H19"/>
  <c r="I19"/>
  <c r="J19"/>
  <c r="K19"/>
  <c r="L19"/>
  <c r="M19"/>
  <c r="N19"/>
  <c r="A20"/>
  <c r="B20"/>
  <c r="C20"/>
  <c r="D20"/>
  <c r="E20"/>
  <c r="F20"/>
  <c r="G20"/>
  <c r="H20"/>
  <c r="I20"/>
  <c r="J20"/>
  <c r="K20"/>
  <c r="L20"/>
  <c r="M20"/>
  <c r="N20"/>
  <c r="A21"/>
  <c r="B21"/>
  <c r="C21"/>
  <c r="D21"/>
  <c r="E21"/>
  <c r="F21"/>
  <c r="G21"/>
  <c r="H21"/>
  <c r="I21"/>
  <c r="J21"/>
  <c r="K21"/>
  <c r="L21"/>
  <c r="M21"/>
  <c r="N21"/>
  <c r="A22"/>
  <c r="B22"/>
  <c r="C22"/>
  <c r="D22"/>
  <c r="E22"/>
  <c r="F22"/>
  <c r="G22"/>
  <c r="H22"/>
  <c r="I22"/>
  <c r="J22"/>
  <c r="K22"/>
  <c r="L22"/>
  <c r="M22"/>
  <c r="N22"/>
  <c r="A23"/>
  <c r="B23"/>
  <c r="C23"/>
  <c r="D23"/>
  <c r="E23"/>
  <c r="F23"/>
  <c r="G23"/>
  <c r="H23"/>
  <c r="I23"/>
  <c r="J23"/>
  <c r="K23"/>
  <c r="L23"/>
  <c r="M23"/>
  <c r="N23"/>
  <c r="A24"/>
  <c r="B24"/>
  <c r="C24"/>
  <c r="D24"/>
  <c r="E24"/>
  <c r="F24"/>
  <c r="G24"/>
  <c r="H24"/>
  <c r="I24"/>
  <c r="J24"/>
  <c r="K24"/>
  <c r="L24"/>
  <c r="M24"/>
  <c r="N24"/>
  <c r="A25"/>
  <c r="B25"/>
  <c r="C25"/>
  <c r="D25"/>
  <c r="E25"/>
  <c r="F25"/>
  <c r="G25"/>
  <c r="H25"/>
  <c r="I25"/>
  <c r="J25"/>
  <c r="K25"/>
  <c r="L25"/>
  <c r="M25"/>
  <c r="N25"/>
  <c r="A26"/>
  <c r="B26"/>
  <c r="C26"/>
  <c r="D26"/>
  <c r="E26"/>
  <c r="F26"/>
  <c r="G26"/>
  <c r="H26"/>
  <c r="I26"/>
  <c r="J26"/>
  <c r="K26"/>
  <c r="L26"/>
  <c r="M26"/>
  <c r="N26"/>
  <c r="A27"/>
  <c r="B27"/>
  <c r="C27"/>
  <c r="D27"/>
  <c r="E27"/>
  <c r="F27"/>
  <c r="G27"/>
  <c r="H27"/>
  <c r="I27"/>
  <c r="J27"/>
  <c r="K27"/>
  <c r="L27"/>
  <c r="M27"/>
  <c r="N27"/>
  <c r="A28"/>
  <c r="B28"/>
  <c r="C28"/>
  <c r="D28"/>
  <c r="E28"/>
  <c r="F28"/>
  <c r="G28"/>
  <c r="H28"/>
  <c r="I28"/>
  <c r="J28"/>
  <c r="K28"/>
  <c r="L28"/>
  <c r="M28"/>
  <c r="N28"/>
  <c r="A29"/>
  <c r="B29"/>
  <c r="C29"/>
  <c r="D29"/>
  <c r="E29"/>
  <c r="F29"/>
  <c r="G29"/>
  <c r="H29"/>
  <c r="I29"/>
  <c r="J29"/>
  <c r="K29"/>
  <c r="L29"/>
  <c r="M29"/>
  <c r="N29"/>
  <c r="A30"/>
  <c r="B30"/>
  <c r="C30"/>
  <c r="D30"/>
  <c r="E30"/>
  <c r="F30"/>
  <c r="G30"/>
  <c r="H30"/>
  <c r="I30"/>
  <c r="J30"/>
  <c r="K30"/>
  <c r="L30"/>
  <c r="M30"/>
  <c r="N30"/>
  <c r="A31"/>
  <c r="B31"/>
  <c r="C31"/>
  <c r="D31"/>
  <c r="E31"/>
  <c r="F31"/>
  <c r="G31"/>
  <c r="H31"/>
  <c r="I31"/>
  <c r="J31"/>
  <c r="K31"/>
  <c r="L31"/>
  <c r="M31"/>
  <c r="N31"/>
  <c r="A32"/>
  <c r="B32"/>
  <c r="C32"/>
  <c r="D32"/>
  <c r="E32"/>
  <c r="F32"/>
  <c r="G32"/>
  <c r="H32"/>
  <c r="I32"/>
  <c r="J32"/>
  <c r="K32"/>
  <c r="L32"/>
  <c r="M32"/>
  <c r="N32"/>
  <c r="A33"/>
  <c r="B33"/>
  <c r="C33"/>
  <c r="D33"/>
  <c r="E33"/>
  <c r="F33"/>
  <c r="G33"/>
  <c r="H33"/>
  <c r="I33"/>
  <c r="J33"/>
  <c r="K33"/>
  <c r="L33"/>
  <c r="M33"/>
  <c r="N33"/>
  <c r="A34"/>
  <c r="B34"/>
  <c r="C34"/>
  <c r="D34"/>
  <c r="E34"/>
  <c r="F34"/>
  <c r="G34"/>
  <c r="H34"/>
  <c r="I34"/>
  <c r="J34"/>
  <c r="K34"/>
  <c r="L34"/>
  <c r="M34"/>
  <c r="N34"/>
  <c r="A35"/>
  <c r="B35"/>
  <c r="C35"/>
  <c r="D35"/>
  <c r="E35"/>
  <c r="F35"/>
  <c r="G35"/>
  <c r="H35"/>
  <c r="I35"/>
  <c r="J35"/>
  <c r="K35"/>
  <c r="L35"/>
  <c r="M35"/>
  <c r="N35"/>
  <c r="A36"/>
  <c r="B36"/>
  <c r="C36"/>
  <c r="D36"/>
  <c r="E36"/>
  <c r="F36"/>
  <c r="G36"/>
  <c r="H36"/>
  <c r="I36"/>
  <c r="J36"/>
  <c r="K36"/>
  <c r="L36"/>
  <c r="M36"/>
  <c r="N36"/>
  <c r="A37"/>
  <c r="B37"/>
  <c r="C37"/>
  <c r="D37"/>
  <c r="E37"/>
  <c r="F37"/>
  <c r="G37"/>
  <c r="H37"/>
  <c r="I37"/>
  <c r="J37"/>
  <c r="K37"/>
  <c r="L37"/>
  <c r="M37"/>
  <c r="N37"/>
  <c r="A38"/>
  <c r="B38"/>
  <c r="C38"/>
  <c r="D38"/>
  <c r="E38"/>
  <c r="F38"/>
  <c r="G38"/>
  <c r="H38"/>
  <c r="I38"/>
  <c r="J38"/>
  <c r="K38"/>
  <c r="L38"/>
  <c r="M38"/>
  <c r="N38"/>
  <c r="A39"/>
  <c r="B39"/>
  <c r="C39"/>
  <c r="D39"/>
  <c r="E39"/>
  <c r="F39"/>
  <c r="G39"/>
  <c r="H39"/>
  <c r="I39"/>
  <c r="J39"/>
  <c r="K39"/>
  <c r="L39"/>
  <c r="M39"/>
  <c r="N39"/>
  <c r="A40"/>
  <c r="B40"/>
  <c r="C40"/>
  <c r="D40"/>
  <c r="E40"/>
  <c r="F40"/>
  <c r="G40"/>
  <c r="H40"/>
  <c r="I40"/>
  <c r="J40"/>
  <c r="K40"/>
  <c r="L40"/>
  <c r="M40"/>
  <c r="N40"/>
  <c r="A41"/>
  <c r="B41"/>
  <c r="C41"/>
  <c r="D41"/>
  <c r="E41"/>
  <c r="F41"/>
  <c r="G41"/>
  <c r="H41"/>
  <c r="I41"/>
  <c r="J41"/>
  <c r="K41"/>
  <c r="L41"/>
  <c r="M41"/>
  <c r="N41"/>
  <c r="A42"/>
  <c r="B42"/>
  <c r="C42"/>
  <c r="D42"/>
  <c r="E42"/>
  <c r="F42"/>
  <c r="G42"/>
  <c r="H42"/>
  <c r="I42"/>
  <c r="J42"/>
  <c r="K42"/>
  <c r="L42"/>
  <c r="M42"/>
  <c r="N42"/>
  <c r="A43"/>
  <c r="B43"/>
  <c r="C43"/>
  <c r="D43"/>
  <c r="E43"/>
  <c r="F43"/>
  <c r="G43"/>
  <c r="H43"/>
  <c r="I43"/>
  <c r="J43"/>
  <c r="K43"/>
  <c r="L43"/>
  <c r="M43"/>
  <c r="N43"/>
  <c r="A44"/>
  <c r="B44"/>
  <c r="C44"/>
  <c r="D44"/>
  <c r="E44"/>
  <c r="F44"/>
  <c r="G44"/>
  <c r="H44"/>
  <c r="I44"/>
  <c r="J44"/>
  <c r="K44"/>
  <c r="L44"/>
  <c r="M44"/>
  <c r="N44"/>
  <c r="A45"/>
  <c r="B45"/>
  <c r="C45"/>
  <c r="D45"/>
  <c r="E45"/>
  <c r="F45"/>
  <c r="G45"/>
  <c r="H45"/>
  <c r="I45"/>
  <c r="J45"/>
  <c r="K45"/>
  <c r="L45"/>
  <c r="M45"/>
  <c r="N45"/>
  <c r="A46"/>
  <c r="B46"/>
  <c r="C46"/>
  <c r="D46"/>
  <c r="E46"/>
  <c r="F46"/>
  <c r="G46"/>
  <c r="H46"/>
  <c r="I46"/>
  <c r="J46"/>
  <c r="K46"/>
  <c r="L46"/>
  <c r="M46"/>
  <c r="N46"/>
  <c r="A47"/>
  <c r="B47"/>
  <c r="C47"/>
  <c r="D47"/>
  <c r="E47"/>
  <c r="F47"/>
  <c r="G47"/>
  <c r="H47"/>
  <c r="I47"/>
  <c r="J47"/>
  <c r="K47"/>
  <c r="L47"/>
  <c r="M47"/>
  <c r="N47"/>
  <c r="A48"/>
  <c r="B48"/>
  <c r="C48"/>
  <c r="D48"/>
  <c r="E48"/>
  <c r="F48"/>
  <c r="G48"/>
  <c r="H48"/>
  <c r="I48"/>
  <c r="J48"/>
  <c r="K48"/>
  <c r="L48"/>
  <c r="M48"/>
  <c r="N48"/>
  <c r="A49"/>
  <c r="B49"/>
  <c r="C49"/>
  <c r="D49"/>
  <c r="E49"/>
  <c r="F49"/>
  <c r="G49"/>
  <c r="H49"/>
  <c r="I49"/>
  <c r="J49"/>
  <c r="K49"/>
  <c r="L49"/>
  <c r="M49"/>
  <c r="N49"/>
  <c r="A50"/>
  <c r="B50"/>
  <c r="C50"/>
  <c r="D50"/>
  <c r="E50"/>
  <c r="F50"/>
  <c r="G50"/>
  <c r="H50"/>
  <c r="I50"/>
  <c r="J50"/>
  <c r="K50"/>
  <c r="L50"/>
  <c r="M50"/>
  <c r="N50"/>
  <c r="A51"/>
  <c r="B51"/>
  <c r="C51"/>
  <c r="D51"/>
  <c r="E51"/>
  <c r="F51"/>
  <c r="G51"/>
  <c r="H51"/>
  <c r="I51"/>
  <c r="J51"/>
  <c r="K51"/>
  <c r="L51"/>
  <c r="M51"/>
  <c r="N51"/>
  <c r="A52"/>
  <c r="B52"/>
  <c r="C52"/>
  <c r="D52"/>
  <c r="E52"/>
  <c r="F52"/>
  <c r="G52"/>
  <c r="H52"/>
  <c r="I52"/>
  <c r="J52"/>
  <c r="K52"/>
  <c r="L52"/>
  <c r="M52"/>
  <c r="N52"/>
  <c r="A53"/>
  <c r="B53"/>
  <c r="C53"/>
  <c r="D53"/>
  <c r="E53"/>
  <c r="F53"/>
  <c r="G53"/>
  <c r="H53"/>
  <c r="I53"/>
  <c r="J53"/>
  <c r="K53"/>
  <c r="L53"/>
  <c r="M53"/>
  <c r="N53"/>
  <c r="A54"/>
  <c r="B54"/>
  <c r="C54"/>
  <c r="D54"/>
  <c r="E54"/>
  <c r="F54"/>
  <c r="G54"/>
  <c r="H54"/>
  <c r="I54"/>
  <c r="J54"/>
  <c r="K54"/>
  <c r="L54"/>
  <c r="M54"/>
  <c r="N54"/>
  <c r="A55"/>
  <c r="B55"/>
  <c r="C55"/>
  <c r="D55"/>
  <c r="E55"/>
  <c r="F55"/>
  <c r="G55"/>
  <c r="H55"/>
  <c r="I55"/>
  <c r="J55"/>
  <c r="K55"/>
  <c r="L55"/>
  <c r="M55"/>
  <c r="N55"/>
  <c r="A56"/>
  <c r="B56"/>
  <c r="C56"/>
  <c r="D56"/>
  <c r="E56"/>
  <c r="F56"/>
  <c r="G56"/>
  <c r="H56"/>
  <c r="I56"/>
  <c r="J56"/>
  <c r="K56"/>
  <c r="L56"/>
  <c r="M56"/>
  <c r="N56"/>
  <c r="A57"/>
  <c r="B57"/>
  <c r="C57"/>
  <c r="D57"/>
  <c r="E57"/>
  <c r="F57"/>
  <c r="G57"/>
  <c r="H57"/>
  <c r="I57"/>
  <c r="J57"/>
  <c r="K57"/>
  <c r="L57"/>
  <c r="M57"/>
  <c r="N57"/>
  <c r="A58"/>
  <c r="B58"/>
  <c r="C58"/>
  <c r="D58"/>
  <c r="E58"/>
  <c r="F58"/>
  <c r="G58"/>
  <c r="H58"/>
  <c r="I58"/>
  <c r="J58"/>
  <c r="K58"/>
  <c r="L58"/>
  <c r="M58"/>
  <c r="N58"/>
  <c r="A59"/>
  <c r="B59"/>
  <c r="C59"/>
  <c r="D59"/>
  <c r="E59"/>
  <c r="F59"/>
  <c r="G59"/>
  <c r="H59"/>
  <c r="I59"/>
  <c r="J59"/>
  <c r="K59"/>
  <c r="L59"/>
  <c r="M59"/>
  <c r="N59"/>
  <c r="A60"/>
  <c r="B60"/>
  <c r="C60"/>
  <c r="D60"/>
  <c r="E60"/>
  <c r="F60"/>
  <c r="G60"/>
  <c r="H60"/>
  <c r="I60"/>
  <c r="J60"/>
  <c r="K60"/>
  <c r="L60"/>
  <c r="M60"/>
  <c r="N60"/>
  <c r="A61"/>
  <c r="B61"/>
  <c r="C61"/>
  <c r="D61"/>
  <c r="E61"/>
  <c r="F61"/>
  <c r="G61"/>
  <c r="H61"/>
  <c r="I61"/>
  <c r="J61"/>
  <c r="K61"/>
  <c r="L61"/>
  <c r="M61"/>
  <c r="N61"/>
  <c r="A62"/>
  <c r="B62"/>
  <c r="C62"/>
  <c r="D62"/>
  <c r="E62"/>
  <c r="F62"/>
  <c r="G62"/>
  <c r="H62"/>
  <c r="I62"/>
  <c r="J62"/>
  <c r="K62"/>
  <c r="L62"/>
  <c r="M62"/>
  <c r="N62"/>
  <c r="A63"/>
  <c r="B63"/>
  <c r="C63"/>
  <c r="D63"/>
  <c r="E63"/>
  <c r="F63"/>
  <c r="G63"/>
  <c r="H63"/>
  <c r="I63"/>
  <c r="J63"/>
  <c r="K63"/>
  <c r="L63"/>
  <c r="M63"/>
  <c r="N63"/>
  <c r="A64"/>
  <c r="B64"/>
  <c r="C64"/>
  <c r="D64"/>
  <c r="E64"/>
  <c r="F64"/>
  <c r="G64"/>
  <c r="H64"/>
  <c r="I64"/>
  <c r="J64"/>
  <c r="K64"/>
  <c r="L64"/>
  <c r="M64"/>
  <c r="N64"/>
  <c r="A65"/>
  <c r="B65"/>
  <c r="C65"/>
  <c r="D65"/>
  <c r="E65"/>
  <c r="F65"/>
  <c r="G65"/>
  <c r="H65"/>
  <c r="I65"/>
  <c r="J65"/>
  <c r="K65"/>
  <c r="L65"/>
  <c r="M65"/>
  <c r="N65"/>
  <c r="A66"/>
  <c r="B66"/>
  <c r="C66"/>
  <c r="D66"/>
  <c r="E66"/>
  <c r="F66"/>
  <c r="G66"/>
  <c r="H66"/>
  <c r="I66"/>
  <c r="J66"/>
  <c r="K66"/>
  <c r="L66"/>
  <c r="M66"/>
  <c r="N66"/>
  <c r="A67"/>
  <c r="B67"/>
  <c r="C67"/>
  <c r="D67"/>
  <c r="E67"/>
  <c r="F67"/>
  <c r="G67"/>
  <c r="H67"/>
  <c r="I67"/>
  <c r="J67"/>
  <c r="K67"/>
  <c r="L67"/>
  <c r="M67"/>
  <c r="N67"/>
  <c r="A68"/>
  <c r="B68"/>
  <c r="C68"/>
  <c r="D68"/>
  <c r="E68"/>
  <c r="F68"/>
  <c r="G68"/>
  <c r="H68"/>
  <c r="I68"/>
  <c r="J68"/>
  <c r="K68"/>
  <c r="L68"/>
  <c r="M68"/>
  <c r="N68"/>
  <c r="A69"/>
  <c r="B69"/>
  <c r="C69"/>
  <c r="D69"/>
  <c r="E69"/>
  <c r="F69"/>
  <c r="G69"/>
  <c r="H69"/>
  <c r="I69"/>
  <c r="J69"/>
  <c r="K69"/>
  <c r="L69"/>
  <c r="M69"/>
  <c r="N69"/>
  <c r="A70"/>
  <c r="B70"/>
  <c r="C70"/>
  <c r="D70"/>
  <c r="E70"/>
  <c r="F70"/>
  <c r="G70"/>
  <c r="H70"/>
  <c r="I70"/>
  <c r="J70"/>
  <c r="K70"/>
  <c r="L70"/>
  <c r="M70"/>
  <c r="N70"/>
  <c r="A71"/>
  <c r="B71"/>
  <c r="C71"/>
  <c r="D71"/>
  <c r="E71"/>
  <c r="F71"/>
  <c r="G71"/>
  <c r="H71"/>
  <c r="I71"/>
  <c r="J71"/>
  <c r="K71"/>
  <c r="L71"/>
  <c r="M71"/>
  <c r="N71"/>
  <c r="A72"/>
  <c r="B72"/>
  <c r="C72"/>
  <c r="D72"/>
  <c r="E72"/>
  <c r="F72"/>
  <c r="G72"/>
  <c r="H72"/>
  <c r="I72"/>
  <c r="J72"/>
  <c r="K72"/>
  <c r="L72"/>
  <c r="M72"/>
  <c r="N72"/>
  <c r="A73"/>
  <c r="B73"/>
  <c r="C73"/>
  <c r="D73"/>
  <c r="E73"/>
  <c r="F73"/>
  <c r="G73"/>
  <c r="H73"/>
  <c r="I73"/>
  <c r="J73"/>
  <c r="K73"/>
  <c r="L73"/>
  <c r="M73"/>
  <c r="N73"/>
  <c r="A74"/>
  <c r="B74"/>
  <c r="C74"/>
  <c r="D74"/>
  <c r="E74"/>
  <c r="F74"/>
  <c r="G74"/>
  <c r="H74"/>
  <c r="I74"/>
  <c r="J74"/>
  <c r="K74"/>
  <c r="L74"/>
  <c r="M74"/>
  <c r="N74"/>
  <c r="A75"/>
  <c r="B75"/>
  <c r="C75"/>
  <c r="D75"/>
  <c r="E75"/>
  <c r="F75"/>
  <c r="G75"/>
  <c r="H75"/>
  <c r="I75"/>
  <c r="J75"/>
  <c r="K75"/>
  <c r="L75"/>
  <c r="M75"/>
  <c r="N75"/>
  <c r="A76"/>
  <c r="B76"/>
  <c r="C76"/>
  <c r="D76"/>
  <c r="E76"/>
  <c r="F76"/>
  <c r="G76"/>
  <c r="H76"/>
  <c r="I76"/>
  <c r="J76"/>
  <c r="K76"/>
  <c r="L76"/>
  <c r="M76"/>
  <c r="N76"/>
  <c r="A77"/>
  <c r="B77"/>
  <c r="C77"/>
  <c r="D77"/>
  <c r="E77"/>
  <c r="F77"/>
  <c r="G77"/>
  <c r="H77"/>
  <c r="I77"/>
  <c r="J77"/>
  <c r="K77"/>
  <c r="L77"/>
  <c r="M77"/>
  <c r="N77"/>
  <c r="A78"/>
  <c r="B78"/>
  <c r="C78"/>
  <c r="D78"/>
  <c r="E78"/>
  <c r="F78"/>
  <c r="G78"/>
  <c r="H78"/>
  <c r="I78"/>
  <c r="J78"/>
  <c r="K78"/>
  <c r="L78"/>
  <c r="M78"/>
  <c r="N78"/>
  <c r="A79"/>
  <c r="B79"/>
  <c r="C79"/>
  <c r="D79"/>
  <c r="E79"/>
  <c r="F79"/>
  <c r="G79"/>
  <c r="H79"/>
  <c r="I79"/>
  <c r="J79"/>
  <c r="K79"/>
  <c r="L79"/>
  <c r="M79"/>
  <c r="N79"/>
  <c r="A80"/>
  <c r="B80"/>
  <c r="C80"/>
  <c r="D80"/>
  <c r="E80"/>
  <c r="F80"/>
  <c r="G80"/>
  <c r="H80"/>
  <c r="I80"/>
  <c r="J80"/>
  <c r="K80"/>
  <c r="L80"/>
  <c r="M80"/>
  <c r="N80"/>
  <c r="A81"/>
  <c r="B81"/>
  <c r="C81"/>
  <c r="D81"/>
  <c r="E81"/>
  <c r="F81"/>
  <c r="G81"/>
  <c r="H81"/>
  <c r="I81"/>
  <c r="J81"/>
  <c r="K81"/>
  <c r="L81"/>
  <c r="M81"/>
  <c r="N81"/>
  <c r="A82"/>
  <c r="B82"/>
  <c r="C82"/>
  <c r="D82"/>
  <c r="E82"/>
  <c r="F82"/>
  <c r="G82"/>
  <c r="H82"/>
  <c r="I82"/>
  <c r="J82"/>
  <c r="K82"/>
  <c r="L82"/>
  <c r="M82"/>
  <c r="N82"/>
  <c r="A83"/>
  <c r="B83"/>
  <c r="C83"/>
  <c r="D83"/>
  <c r="E83"/>
  <c r="F83"/>
  <c r="G83"/>
  <c r="H83"/>
  <c r="I83"/>
  <c r="J83"/>
  <c r="K83"/>
  <c r="L83"/>
  <c r="M83"/>
  <c r="N83"/>
  <c r="A84"/>
  <c r="B84"/>
  <c r="C84"/>
  <c r="D84"/>
  <c r="E84"/>
  <c r="F84"/>
  <c r="G84"/>
  <c r="H84"/>
  <c r="I84"/>
  <c r="J84"/>
  <c r="K84"/>
  <c r="L84"/>
  <c r="M84"/>
  <c r="N84"/>
  <c r="A85"/>
  <c r="B85"/>
  <c r="C85"/>
  <c r="D85"/>
  <c r="E85"/>
  <c r="F85"/>
  <c r="G85"/>
  <c r="H85"/>
  <c r="I85"/>
  <c r="J85"/>
  <c r="K85"/>
  <c r="L85"/>
  <c r="M85"/>
  <c r="N85"/>
  <c r="A86"/>
  <c r="B86"/>
  <c r="C86"/>
  <c r="D86"/>
  <c r="E86"/>
  <c r="F86"/>
  <c r="G86"/>
  <c r="H86"/>
  <c r="I86"/>
  <c r="J86"/>
  <c r="K86"/>
  <c r="L86"/>
  <c r="M86"/>
  <c r="N86"/>
  <c r="A87"/>
  <c r="B87"/>
  <c r="C87"/>
  <c r="D87"/>
  <c r="E87"/>
  <c r="F87"/>
  <c r="G87"/>
  <c r="H87"/>
  <c r="I87"/>
  <c r="J87"/>
  <c r="K87"/>
  <c r="L87"/>
  <c r="M87"/>
  <c r="N87"/>
  <c r="A88"/>
  <c r="B88"/>
  <c r="C88"/>
  <c r="D88"/>
  <c r="E88"/>
  <c r="F88"/>
  <c r="G88"/>
  <c r="H88"/>
  <c r="I88"/>
  <c r="J88"/>
  <c r="K88"/>
  <c r="L88"/>
  <c r="M88"/>
  <c r="N88"/>
  <c r="A89"/>
  <c r="B89"/>
  <c r="C89"/>
  <c r="D89"/>
  <c r="E89"/>
  <c r="F89"/>
  <c r="G89"/>
  <c r="H89"/>
  <c r="I89"/>
  <c r="J89"/>
  <c r="K89"/>
  <c r="L89"/>
  <c r="M89"/>
  <c r="N89"/>
  <c r="A90"/>
  <c r="B90"/>
  <c r="C90"/>
  <c r="D90"/>
  <c r="E90"/>
  <c r="F90"/>
  <c r="G90"/>
  <c r="H90"/>
  <c r="I90"/>
  <c r="J90"/>
  <c r="K90"/>
  <c r="L90"/>
  <c r="M90"/>
  <c r="N90"/>
  <c r="A91"/>
  <c r="B91"/>
  <c r="C91"/>
  <c r="D91"/>
  <c r="E91"/>
  <c r="F91"/>
  <c r="G91"/>
  <c r="H91"/>
  <c r="I91"/>
  <c r="J91"/>
  <c r="K91"/>
  <c r="L91"/>
  <c r="M91"/>
  <c r="N91"/>
  <c r="A92"/>
  <c r="B92"/>
  <c r="C92"/>
  <c r="D92"/>
  <c r="E92"/>
  <c r="F92"/>
  <c r="G92"/>
  <c r="H92"/>
  <c r="I92"/>
  <c r="J92"/>
  <c r="K92"/>
  <c r="L92"/>
  <c r="M92"/>
  <c r="N92"/>
  <c r="A93"/>
  <c r="B93"/>
  <c r="C93"/>
  <c r="D93"/>
  <c r="E93"/>
  <c r="F93"/>
  <c r="G93"/>
  <c r="H93"/>
  <c r="I93"/>
  <c r="J93"/>
  <c r="K93"/>
  <c r="L93"/>
  <c r="M93"/>
  <c r="N93"/>
  <c r="A94"/>
  <c r="B94"/>
  <c r="C94"/>
  <c r="D94"/>
  <c r="E94"/>
  <c r="F94"/>
  <c r="G94"/>
  <c r="H94"/>
  <c r="I94"/>
  <c r="J94"/>
  <c r="K94"/>
  <c r="L94"/>
  <c r="M94"/>
  <c r="N94"/>
  <c r="A95"/>
  <c r="B95"/>
  <c r="C95"/>
  <c r="D95"/>
  <c r="E95"/>
  <c r="F95"/>
  <c r="G95"/>
  <c r="H95"/>
  <c r="I95"/>
  <c r="J95"/>
  <c r="K95"/>
  <c r="L95"/>
  <c r="M95"/>
  <c r="N95"/>
  <c r="A96"/>
  <c r="B96"/>
  <c r="C96"/>
  <c r="D96"/>
  <c r="E96"/>
  <c r="F96"/>
  <c r="G96"/>
  <c r="H96"/>
  <c r="I96"/>
  <c r="J96"/>
  <c r="K96"/>
  <c r="L96"/>
  <c r="M96"/>
  <c r="N96"/>
  <c r="A97"/>
  <c r="B97"/>
  <c r="C97"/>
  <c r="D97"/>
  <c r="E97"/>
  <c r="F97"/>
  <c r="G97"/>
  <c r="H97"/>
  <c r="I97"/>
  <c r="J97"/>
  <c r="K97"/>
  <c r="L97"/>
  <c r="M97"/>
  <c r="N97"/>
  <c r="A98"/>
  <c r="B98"/>
  <c r="C98"/>
  <c r="D98"/>
  <c r="E98"/>
  <c r="F98"/>
  <c r="G98"/>
  <c r="H98"/>
  <c r="I98"/>
  <c r="J98"/>
  <c r="K98"/>
  <c r="L98"/>
  <c r="M98"/>
  <c r="N98"/>
  <c r="A99"/>
  <c r="B99"/>
  <c r="C99"/>
  <c r="D99"/>
  <c r="E99"/>
  <c r="F99"/>
  <c r="G99"/>
  <c r="H99"/>
  <c r="I99"/>
  <c r="J99"/>
  <c r="K99"/>
  <c r="L99"/>
  <c r="M99"/>
  <c r="N99"/>
  <c r="A100"/>
  <c r="B100"/>
  <c r="C100"/>
  <c r="D100"/>
  <c r="E100"/>
  <c r="F100"/>
  <c r="G100"/>
  <c r="H100"/>
  <c r="I100"/>
  <c r="J100"/>
  <c r="K100"/>
  <c r="L100"/>
  <c r="M100"/>
  <c r="N100"/>
  <c r="A101"/>
  <c r="B101"/>
  <c r="C101"/>
  <c r="D101"/>
  <c r="E101"/>
  <c r="F101"/>
  <c r="G101"/>
  <c r="H101"/>
  <c r="I101"/>
  <c r="J101"/>
  <c r="K101"/>
  <c r="L101"/>
  <c r="M101"/>
  <c r="N101"/>
  <c r="A102"/>
  <c r="B102"/>
  <c r="C102"/>
  <c r="D102"/>
  <c r="E102"/>
  <c r="F102"/>
  <c r="G102"/>
  <c r="H102"/>
  <c r="I102"/>
  <c r="J102"/>
  <c r="K102"/>
  <c r="L102"/>
  <c r="M102"/>
  <c r="N102"/>
  <c r="A103"/>
  <c r="B103"/>
  <c r="C103"/>
  <c r="D103"/>
  <c r="E103"/>
  <c r="F103"/>
  <c r="G103"/>
  <c r="H103"/>
  <c r="I103"/>
  <c r="J103"/>
  <c r="K103"/>
  <c r="L103"/>
  <c r="M103"/>
  <c r="N103"/>
  <c r="A104"/>
  <c r="B104"/>
  <c r="C104"/>
  <c r="D104"/>
  <c r="E104"/>
  <c r="F104"/>
  <c r="G104"/>
  <c r="H104"/>
  <c r="I104"/>
  <c r="J104"/>
  <c r="K104"/>
  <c r="L104"/>
  <c r="M104"/>
  <c r="N104"/>
  <c r="A105"/>
  <c r="B105"/>
  <c r="C105"/>
  <c r="D105"/>
  <c r="E105"/>
  <c r="F105"/>
  <c r="G105"/>
  <c r="H105"/>
  <c r="I105"/>
  <c r="J105"/>
  <c r="K105"/>
  <c r="L105"/>
  <c r="M105"/>
  <c r="N105"/>
  <c r="A106"/>
  <c r="B106"/>
  <c r="C106"/>
  <c r="D106"/>
  <c r="E106"/>
  <c r="F106"/>
  <c r="G106"/>
  <c r="H106"/>
  <c r="I106"/>
  <c r="J106"/>
  <c r="K106"/>
  <c r="L106"/>
  <c r="M106"/>
  <c r="N106"/>
  <c r="A107"/>
  <c r="B107"/>
  <c r="C107"/>
  <c r="D107"/>
  <c r="E107"/>
  <c r="F107"/>
  <c r="G107"/>
  <c r="H107"/>
  <c r="I107"/>
  <c r="J107"/>
  <c r="K107"/>
  <c r="L107"/>
  <c r="M107"/>
  <c r="N107"/>
  <c r="A108"/>
  <c r="B108"/>
  <c r="C108"/>
  <c r="D108"/>
  <c r="E108"/>
  <c r="F108"/>
  <c r="G108"/>
  <c r="H108"/>
  <c r="I108"/>
  <c r="J108"/>
  <c r="K108"/>
  <c r="L108"/>
  <c r="M108"/>
  <c r="N108"/>
  <c r="A109"/>
  <c r="B109"/>
  <c r="C109"/>
  <c r="D109"/>
  <c r="E109"/>
  <c r="F109"/>
  <c r="G109"/>
  <c r="H109"/>
  <c r="I109"/>
  <c r="J109"/>
  <c r="K109"/>
  <c r="L109"/>
  <c r="M109"/>
  <c r="N109"/>
  <c r="A110"/>
  <c r="B110"/>
  <c r="C110"/>
  <c r="D110"/>
  <c r="E110"/>
  <c r="F110"/>
  <c r="G110"/>
  <c r="H110"/>
  <c r="I110"/>
  <c r="J110"/>
  <c r="K110"/>
  <c r="L110"/>
  <c r="M110"/>
  <c r="N110"/>
  <c r="A111"/>
  <c r="B111"/>
  <c r="C111"/>
  <c r="D111"/>
  <c r="E111"/>
  <c r="F111"/>
  <c r="G111"/>
  <c r="H111"/>
  <c r="I111"/>
  <c r="J111"/>
  <c r="K111"/>
  <c r="L111"/>
  <c r="M111"/>
  <c r="N111"/>
  <c r="A112"/>
  <c r="B112"/>
  <c r="C112"/>
  <c r="D112"/>
  <c r="E112"/>
  <c r="F112"/>
  <c r="G112"/>
  <c r="H112"/>
  <c r="I112"/>
  <c r="J112"/>
  <c r="K112"/>
  <c r="L112"/>
  <c r="M112"/>
  <c r="N112"/>
  <c r="A113"/>
  <c r="B113"/>
  <c r="C113"/>
  <c r="D113"/>
  <c r="E113"/>
  <c r="F113"/>
  <c r="G113"/>
  <c r="H113"/>
  <c r="I113"/>
  <c r="J113"/>
  <c r="K113"/>
  <c r="L113"/>
  <c r="M113"/>
  <c r="N113"/>
  <c r="A114"/>
  <c r="B114"/>
  <c r="C114"/>
  <c r="D114"/>
  <c r="E114"/>
  <c r="F114"/>
  <c r="G114"/>
  <c r="H114"/>
  <c r="I114"/>
  <c r="J114"/>
  <c r="K114"/>
  <c r="L114"/>
  <c r="M114"/>
  <c r="N114"/>
  <c r="A115"/>
  <c r="B115"/>
  <c r="C115"/>
  <c r="D115"/>
  <c r="E115"/>
  <c r="F115"/>
  <c r="G115"/>
  <c r="H115"/>
  <c r="I115"/>
  <c r="J115"/>
  <c r="K115"/>
  <c r="L115"/>
  <c r="M115"/>
  <c r="N115"/>
  <c r="A116"/>
  <c r="B116"/>
  <c r="C116"/>
  <c r="D116"/>
  <c r="E116"/>
  <c r="F116"/>
  <c r="G116"/>
  <c r="H116"/>
  <c r="I116"/>
  <c r="J116"/>
  <c r="K116"/>
  <c r="L116"/>
  <c r="M116"/>
  <c r="N116"/>
  <c r="A117"/>
  <c r="B117"/>
  <c r="C117"/>
  <c r="D117"/>
  <c r="E117"/>
  <c r="F117"/>
  <c r="G117"/>
  <c r="H117"/>
  <c r="I117"/>
  <c r="J117"/>
  <c r="K117"/>
  <c r="L117"/>
  <c r="M117"/>
  <c r="N117"/>
  <c r="A118"/>
  <c r="B118"/>
  <c r="C118"/>
  <c r="D118"/>
  <c r="E118"/>
  <c r="F118"/>
  <c r="G118"/>
  <c r="H118"/>
  <c r="I118"/>
  <c r="J118"/>
  <c r="K118"/>
  <c r="L118"/>
  <c r="M118"/>
  <c r="N118"/>
  <c r="A119"/>
  <c r="B119"/>
  <c r="C119"/>
  <c r="D119"/>
  <c r="E119"/>
  <c r="F119"/>
  <c r="G119"/>
  <c r="H119"/>
  <c r="I119"/>
  <c r="J119"/>
  <c r="K119"/>
  <c r="L119"/>
  <c r="M119"/>
  <c r="N119"/>
  <c r="A120"/>
  <c r="B120"/>
  <c r="C120"/>
  <c r="D120"/>
  <c r="E120"/>
  <c r="F120"/>
  <c r="G120"/>
  <c r="H120"/>
  <c r="I120"/>
  <c r="J120"/>
  <c r="K120"/>
  <c r="L120"/>
  <c r="M120"/>
  <c r="N120"/>
  <c r="A121"/>
  <c r="B121"/>
  <c r="C121"/>
  <c r="D121"/>
  <c r="E121"/>
  <c r="F121"/>
  <c r="G121"/>
  <c r="H121"/>
  <c r="I121"/>
  <c r="J121"/>
  <c r="K121"/>
  <c r="L121"/>
  <c r="M121"/>
  <c r="N121"/>
  <c r="A122"/>
  <c r="B122"/>
  <c r="C122"/>
  <c r="D122"/>
  <c r="E122"/>
  <c r="F122"/>
  <c r="G122"/>
  <c r="H122"/>
  <c r="I122"/>
  <c r="J122"/>
  <c r="K122"/>
  <c r="L122"/>
  <c r="M122"/>
  <c r="N122"/>
  <c r="A123"/>
  <c r="B123"/>
  <c r="C123"/>
  <c r="D123"/>
  <c r="E123"/>
  <c r="F123"/>
  <c r="G123"/>
  <c r="H123"/>
  <c r="I123"/>
  <c r="J123"/>
  <c r="K123"/>
  <c r="L123"/>
  <c r="M123"/>
  <c r="N123"/>
  <c r="A124"/>
  <c r="B124"/>
  <c r="C124"/>
  <c r="D124"/>
  <c r="E124"/>
  <c r="F124"/>
  <c r="G124"/>
  <c r="H124"/>
  <c r="I124"/>
  <c r="J124"/>
  <c r="K124"/>
  <c r="L124"/>
  <c r="M124"/>
  <c r="N124"/>
  <c r="A125"/>
  <c r="B125"/>
  <c r="C125"/>
  <c r="D125"/>
  <c r="E125"/>
  <c r="F125"/>
  <c r="G125"/>
  <c r="H125"/>
  <c r="I125"/>
  <c r="J125"/>
  <c r="K125"/>
  <c r="L125"/>
  <c r="M125"/>
  <c r="N125"/>
  <c r="A126"/>
  <c r="B126"/>
  <c r="C126"/>
  <c r="D126"/>
  <c r="E126"/>
  <c r="F126"/>
  <c r="G126"/>
  <c r="H126"/>
  <c r="I126"/>
  <c r="J126"/>
  <c r="K126"/>
  <c r="L126"/>
  <c r="M126"/>
  <c r="N126"/>
  <c r="A127"/>
  <c r="B127"/>
  <c r="C127"/>
  <c r="D127"/>
  <c r="E127"/>
  <c r="F127"/>
  <c r="G127"/>
  <c r="H127"/>
  <c r="I127"/>
  <c r="J127"/>
  <c r="K127"/>
  <c r="L127"/>
  <c r="M127"/>
  <c r="N127"/>
  <c r="A128"/>
  <c r="B128"/>
  <c r="C128"/>
  <c r="D128"/>
  <c r="E128"/>
  <c r="F128"/>
  <c r="G128"/>
  <c r="H128"/>
  <c r="I128"/>
  <c r="J128"/>
  <c r="K128"/>
  <c r="L128"/>
  <c r="M128"/>
  <c r="N128"/>
  <c r="A129"/>
  <c r="B129"/>
  <c r="C129"/>
  <c r="D129"/>
  <c r="E129"/>
  <c r="F129"/>
  <c r="G129"/>
  <c r="H129"/>
  <c r="I129"/>
  <c r="J129"/>
  <c r="K129"/>
  <c r="L129"/>
  <c r="M129"/>
  <c r="N129"/>
  <c r="A130"/>
  <c r="B130"/>
  <c r="C130"/>
  <c r="D130"/>
  <c r="E130"/>
  <c r="F130"/>
  <c r="G130"/>
  <c r="H130"/>
  <c r="I130"/>
  <c r="J130"/>
  <c r="K130"/>
  <c r="L130"/>
  <c r="M130"/>
  <c r="N130"/>
  <c r="A131"/>
  <c r="B131"/>
  <c r="C131"/>
  <c r="D131"/>
  <c r="E131"/>
  <c r="F131"/>
  <c r="G131"/>
  <c r="H131"/>
  <c r="I131"/>
  <c r="J131"/>
  <c r="K131"/>
  <c r="L131"/>
  <c r="M131"/>
  <c r="N131"/>
  <c r="A132"/>
  <c r="B132"/>
  <c r="C132"/>
  <c r="D132"/>
  <c r="E132"/>
  <c r="F132"/>
  <c r="G132"/>
  <c r="H132"/>
  <c r="I132"/>
  <c r="J132"/>
  <c r="K132"/>
  <c r="L132"/>
  <c r="M132"/>
  <c r="N132"/>
  <c r="A133"/>
  <c r="B133"/>
  <c r="C133"/>
  <c r="D133"/>
  <c r="E133"/>
  <c r="F133"/>
  <c r="G133"/>
  <c r="H133"/>
  <c r="I133"/>
  <c r="J133"/>
  <c r="K133"/>
  <c r="L133"/>
  <c r="M133"/>
  <c r="N133"/>
  <c r="A134"/>
  <c r="B134"/>
  <c r="C134"/>
  <c r="D134"/>
  <c r="E134"/>
  <c r="F134"/>
  <c r="G134"/>
  <c r="H134"/>
  <c r="I134"/>
  <c r="J134"/>
  <c r="K134"/>
  <c r="L134"/>
  <c r="M134"/>
  <c r="N134"/>
  <c r="A135"/>
  <c r="B135"/>
  <c r="C135"/>
  <c r="D135"/>
  <c r="E135"/>
  <c r="F135"/>
  <c r="G135"/>
  <c r="H135"/>
  <c r="I135"/>
  <c r="J135"/>
  <c r="K135"/>
  <c r="L135"/>
  <c r="M135"/>
  <c r="N135"/>
  <c r="A136"/>
  <c r="B136"/>
  <c r="C136"/>
  <c r="D136"/>
  <c r="E136"/>
  <c r="F136"/>
  <c r="G136"/>
  <c r="H136"/>
  <c r="I136"/>
  <c r="J136"/>
  <c r="K136"/>
  <c r="L136"/>
  <c r="M136"/>
  <c r="N136"/>
  <c r="A137"/>
  <c r="B137"/>
  <c r="C137"/>
  <c r="D137"/>
  <c r="E137"/>
  <c r="F137"/>
  <c r="G137"/>
  <c r="H137"/>
  <c r="I137"/>
  <c r="J137"/>
  <c r="K137"/>
  <c r="L137"/>
  <c r="M137"/>
  <c r="N137"/>
  <c r="A138"/>
  <c r="B138"/>
  <c r="C138"/>
  <c r="D138"/>
  <c r="E138"/>
  <c r="F138"/>
  <c r="G138"/>
  <c r="H138"/>
  <c r="I138"/>
  <c r="J138"/>
  <c r="K138"/>
  <c r="L138"/>
  <c r="M138"/>
  <c r="N138"/>
  <c r="A139"/>
  <c r="B139"/>
  <c r="C139"/>
  <c r="D139"/>
  <c r="E139"/>
  <c r="F139"/>
  <c r="G139"/>
  <c r="H139"/>
  <c r="I139"/>
  <c r="J139"/>
  <c r="K139"/>
  <c r="L139"/>
  <c r="M139"/>
  <c r="N139"/>
  <c r="A140"/>
  <c r="B140"/>
  <c r="C140"/>
  <c r="D140"/>
  <c r="E140"/>
  <c r="F140"/>
  <c r="G140"/>
  <c r="H140"/>
  <c r="I140"/>
  <c r="J140"/>
  <c r="K140"/>
  <c r="L140"/>
  <c r="M140"/>
  <c r="N140"/>
  <c r="A141"/>
  <c r="B141"/>
  <c r="C141"/>
  <c r="D141"/>
  <c r="E141"/>
  <c r="F141"/>
  <c r="G141"/>
  <c r="H141"/>
  <c r="I141"/>
  <c r="J141"/>
  <c r="K141"/>
  <c r="L141"/>
  <c r="M141"/>
  <c r="N141"/>
  <c r="A142"/>
  <c r="B142"/>
  <c r="C142"/>
  <c r="D142"/>
  <c r="E142"/>
  <c r="F142"/>
  <c r="G142"/>
  <c r="H142"/>
  <c r="I142"/>
  <c r="J142"/>
  <c r="K142"/>
  <c r="L142"/>
  <c r="M142"/>
  <c r="N142"/>
  <c r="A143"/>
  <c r="B143"/>
  <c r="C143"/>
  <c r="D143"/>
  <c r="E143"/>
  <c r="F143"/>
  <c r="G143"/>
  <c r="H143"/>
  <c r="I143"/>
  <c r="J143"/>
  <c r="K143"/>
  <c r="L143"/>
  <c r="M143"/>
  <c r="N143"/>
  <c r="A144"/>
  <c r="B144"/>
  <c r="C144"/>
  <c r="D144"/>
  <c r="E144"/>
  <c r="F144"/>
  <c r="G144"/>
  <c r="H144"/>
  <c r="I144"/>
  <c r="J144"/>
  <c r="K144"/>
  <c r="L144"/>
  <c r="M144"/>
  <c r="N144"/>
  <c r="A145"/>
  <c r="B145"/>
  <c r="C145"/>
  <c r="D145"/>
  <c r="E145"/>
  <c r="F145"/>
  <c r="G145"/>
  <c r="H145"/>
  <c r="I145"/>
  <c r="J145"/>
  <c r="K145"/>
  <c r="L145"/>
  <c r="M145"/>
  <c r="N145"/>
  <c r="A146"/>
  <c r="B146"/>
  <c r="C146"/>
  <c r="D146"/>
  <c r="E146"/>
  <c r="F146"/>
  <c r="G146"/>
  <c r="H146"/>
  <c r="I146"/>
  <c r="J146"/>
  <c r="K146"/>
  <c r="L146"/>
  <c r="M146"/>
  <c r="N146"/>
  <c r="A147"/>
  <c r="B147"/>
  <c r="C147"/>
  <c r="D147"/>
  <c r="E147"/>
  <c r="F147"/>
  <c r="G147"/>
  <c r="H147"/>
  <c r="I147"/>
  <c r="J147"/>
  <c r="K147"/>
  <c r="L147"/>
  <c r="M147"/>
  <c r="N147"/>
  <c r="A148"/>
  <c r="B148"/>
  <c r="C148"/>
  <c r="D148"/>
  <c r="E148"/>
  <c r="F148"/>
  <c r="G148"/>
  <c r="H148"/>
  <c r="I148"/>
  <c r="J148"/>
  <c r="K148"/>
  <c r="L148"/>
  <c r="M148"/>
  <c r="N148"/>
  <c r="A149"/>
  <c r="B149"/>
  <c r="C149"/>
  <c r="D149"/>
  <c r="E149"/>
  <c r="F149"/>
  <c r="G149"/>
  <c r="H149"/>
  <c r="I149"/>
  <c r="J149"/>
  <c r="K149"/>
  <c r="L149"/>
  <c r="M149"/>
  <c r="N149"/>
  <c r="A150"/>
  <c r="B150"/>
  <c r="C150"/>
  <c r="D150"/>
  <c r="E150"/>
  <c r="F150"/>
  <c r="G150"/>
  <c r="H150"/>
  <c r="I150"/>
  <c r="J150"/>
  <c r="K150"/>
  <c r="L150"/>
  <c r="M150"/>
  <c r="N150"/>
  <c r="A151"/>
  <c r="B151"/>
  <c r="C151"/>
  <c r="D151"/>
  <c r="E151"/>
  <c r="F151"/>
  <c r="G151"/>
  <c r="H151"/>
  <c r="I151"/>
  <c r="J151"/>
  <c r="K151"/>
  <c r="L151"/>
  <c r="M151"/>
  <c r="N151"/>
  <c r="A152"/>
  <c r="B152"/>
  <c r="C152"/>
  <c r="D152"/>
  <c r="E152"/>
  <c r="F152"/>
  <c r="G152"/>
  <c r="H152"/>
  <c r="I152"/>
  <c r="J152"/>
  <c r="K152"/>
  <c r="L152"/>
  <c r="M152"/>
  <c r="N152"/>
  <c r="A153"/>
  <c r="B153"/>
  <c r="C153"/>
  <c r="D153"/>
  <c r="E153"/>
  <c r="F153"/>
  <c r="G153"/>
  <c r="H153"/>
  <c r="I153"/>
  <c r="J153"/>
  <c r="K153"/>
  <c r="L153"/>
  <c r="M153"/>
  <c r="N153"/>
  <c r="A154"/>
  <c r="B154"/>
  <c r="C154"/>
  <c r="D154"/>
  <c r="E154"/>
  <c r="F154"/>
  <c r="G154"/>
  <c r="H154"/>
  <c r="I154"/>
  <c r="J154"/>
  <c r="K154"/>
  <c r="L154"/>
  <c r="M154"/>
  <c r="N154"/>
  <c r="A155"/>
  <c r="B155"/>
  <c r="C155"/>
  <c r="D155"/>
  <c r="E155"/>
  <c r="F155"/>
  <c r="G155"/>
  <c r="H155"/>
  <c r="I155"/>
  <c r="J155"/>
  <c r="K155"/>
  <c r="L155"/>
  <c r="M155"/>
  <c r="N155"/>
  <c r="A156"/>
  <c r="B156"/>
  <c r="C156"/>
  <c r="D156"/>
  <c r="E156"/>
  <c r="F156"/>
  <c r="G156"/>
  <c r="H156"/>
  <c r="I156"/>
  <c r="J156"/>
  <c r="K156"/>
  <c r="L156"/>
  <c r="M156"/>
  <c r="N156"/>
  <c r="A157"/>
  <c r="B157"/>
  <c r="C157"/>
  <c r="D157"/>
  <c r="E157"/>
  <c r="F157"/>
  <c r="G157"/>
  <c r="H157"/>
  <c r="I157"/>
  <c r="J157"/>
  <c r="K157"/>
  <c r="L157"/>
  <c r="M157"/>
  <c r="N157"/>
  <c r="A158"/>
  <c r="B158"/>
  <c r="C158"/>
  <c r="D158"/>
  <c r="E158"/>
  <c r="F158"/>
  <c r="G158"/>
  <c r="H158"/>
  <c r="I158"/>
  <c r="J158"/>
  <c r="K158"/>
  <c r="L158"/>
  <c r="M158"/>
  <c r="N158"/>
  <c r="A159"/>
  <c r="B159"/>
  <c r="C159"/>
  <c r="D159"/>
  <c r="E159"/>
  <c r="F159"/>
  <c r="G159"/>
  <c r="H159"/>
  <c r="I159"/>
  <c r="J159"/>
  <c r="K159"/>
  <c r="L159"/>
  <c r="M159"/>
  <c r="N159"/>
  <c r="A160"/>
  <c r="B160"/>
  <c r="C160"/>
  <c r="D160"/>
  <c r="E160"/>
  <c r="F160"/>
  <c r="G160"/>
  <c r="H160"/>
  <c r="I160"/>
  <c r="J160"/>
  <c r="K160"/>
  <c r="L160"/>
  <c r="M160"/>
  <c r="N160"/>
  <c r="A161"/>
  <c r="B161"/>
  <c r="C161"/>
  <c r="D161"/>
  <c r="E161"/>
  <c r="F161"/>
  <c r="G161"/>
  <c r="H161"/>
  <c r="I161"/>
  <c r="J161"/>
  <c r="K161"/>
  <c r="L161"/>
  <c r="M161"/>
  <c r="N161"/>
  <c r="A162"/>
  <c r="B162"/>
  <c r="C162"/>
  <c r="D162"/>
  <c r="E162"/>
  <c r="F162"/>
  <c r="G162"/>
  <c r="H162"/>
  <c r="I162"/>
  <c r="J162"/>
  <c r="K162"/>
  <c r="L162"/>
  <c r="M162"/>
  <c r="N162"/>
  <c r="A163"/>
  <c r="B163"/>
  <c r="C163"/>
  <c r="D163"/>
  <c r="E163"/>
  <c r="F163"/>
  <c r="G163"/>
  <c r="H163"/>
  <c r="I163"/>
  <c r="J163"/>
  <c r="K163"/>
  <c r="L163"/>
  <c r="M163"/>
  <c r="N163"/>
  <c r="A164"/>
  <c r="B164"/>
  <c r="C164"/>
  <c r="D164"/>
  <c r="E164"/>
  <c r="F164"/>
  <c r="G164"/>
  <c r="H164"/>
  <c r="I164"/>
  <c r="J164"/>
  <c r="K164"/>
  <c r="L164"/>
  <c r="M164"/>
  <c r="N164"/>
  <c r="A165"/>
  <c r="B165"/>
  <c r="C165"/>
  <c r="D165"/>
  <c r="E165"/>
  <c r="F165"/>
  <c r="G165"/>
  <c r="H165"/>
  <c r="I165"/>
  <c r="J165"/>
  <c r="K165"/>
  <c r="L165"/>
  <c r="M165"/>
  <c r="N165"/>
  <c r="A166"/>
  <c r="B166"/>
  <c r="C166"/>
  <c r="D166"/>
  <c r="E166"/>
  <c r="F166"/>
  <c r="G166"/>
  <c r="H166"/>
  <c r="I166"/>
  <c r="J166"/>
  <c r="K166"/>
  <c r="L166"/>
  <c r="M166"/>
  <c r="N166"/>
  <c r="A167"/>
  <c r="B167"/>
  <c r="C167"/>
  <c r="D167"/>
  <c r="E167"/>
  <c r="F167"/>
  <c r="G167"/>
  <c r="H167"/>
  <c r="I167"/>
  <c r="J167"/>
  <c r="K167"/>
  <c r="L167"/>
  <c r="M167"/>
  <c r="N167"/>
  <c r="A168"/>
  <c r="B168"/>
  <c r="C168"/>
  <c r="D168"/>
  <c r="E168"/>
  <c r="F168"/>
  <c r="G168"/>
  <c r="H168"/>
  <c r="I168"/>
  <c r="J168"/>
  <c r="K168"/>
  <c r="L168"/>
  <c r="M168"/>
  <c r="N168"/>
  <c r="A169"/>
  <c r="B169"/>
  <c r="C169"/>
  <c r="D169"/>
  <c r="E169"/>
  <c r="F169"/>
  <c r="G169"/>
  <c r="H169"/>
  <c r="I169"/>
  <c r="J169"/>
  <c r="K169"/>
  <c r="L169"/>
  <c r="M169"/>
  <c r="N169"/>
  <c r="A170"/>
  <c r="B170"/>
  <c r="C170"/>
  <c r="D170"/>
  <c r="E170"/>
  <c r="F170"/>
  <c r="G170"/>
  <c r="H170"/>
  <c r="I170"/>
  <c r="J170"/>
  <c r="K170"/>
  <c r="L170"/>
  <c r="M170"/>
  <c r="N170"/>
  <c r="A171"/>
  <c r="B171"/>
  <c r="C171"/>
  <c r="D171"/>
  <c r="E171"/>
  <c r="F171"/>
  <c r="G171"/>
  <c r="H171"/>
  <c r="I171"/>
  <c r="J171"/>
  <c r="K171"/>
  <c r="L171"/>
  <c r="M171"/>
  <c r="N171"/>
  <c r="A172"/>
  <c r="B172"/>
  <c r="C172"/>
  <c r="D172"/>
  <c r="E172"/>
  <c r="F172"/>
  <c r="G172"/>
  <c r="H172"/>
  <c r="I172"/>
  <c r="J172"/>
  <c r="K172"/>
  <c r="L172"/>
  <c r="M172"/>
  <c r="N172"/>
  <c r="A173"/>
  <c r="B173"/>
  <c r="C173"/>
  <c r="D173"/>
  <c r="E173"/>
  <c r="F173"/>
  <c r="G173"/>
  <c r="H173"/>
  <c r="I173"/>
  <c r="J173"/>
  <c r="K173"/>
  <c r="L173"/>
  <c r="M173"/>
  <c r="N173"/>
  <c r="A174"/>
  <c r="B174"/>
  <c r="C174"/>
  <c r="D174"/>
  <c r="E174"/>
  <c r="F174"/>
  <c r="G174"/>
  <c r="H174"/>
  <c r="I174"/>
  <c r="J174"/>
  <c r="K174"/>
  <c r="L174"/>
  <c r="M174"/>
  <c r="N174"/>
  <c r="A175"/>
  <c r="B175"/>
  <c r="C175"/>
  <c r="D175"/>
  <c r="E175"/>
  <c r="F175"/>
  <c r="G175"/>
  <c r="H175"/>
  <c r="I175"/>
  <c r="J175"/>
  <c r="K175"/>
  <c r="L175"/>
  <c r="M175"/>
  <c r="N175"/>
  <c r="A176"/>
  <c r="B176"/>
  <c r="C176"/>
  <c r="D176"/>
  <c r="E176"/>
  <c r="F176"/>
  <c r="G176"/>
  <c r="H176"/>
  <c r="I176"/>
  <c r="J176"/>
  <c r="K176"/>
  <c r="L176"/>
  <c r="M176"/>
  <c r="N176"/>
  <c r="A177"/>
  <c r="B177"/>
  <c r="C177"/>
  <c r="D177"/>
  <c r="E177"/>
  <c r="F177"/>
  <c r="G177"/>
  <c r="H177"/>
  <c r="I177"/>
  <c r="J177"/>
  <c r="K177"/>
  <c r="L177"/>
  <c r="M177"/>
  <c r="N177"/>
  <c r="A178"/>
  <c r="B178"/>
  <c r="C178"/>
  <c r="D178"/>
  <c r="E178"/>
  <c r="F178"/>
  <c r="G178"/>
  <c r="H178"/>
  <c r="I178"/>
  <c r="J178"/>
  <c r="K178"/>
  <c r="L178"/>
  <c r="M178"/>
  <c r="N178"/>
  <c r="A179"/>
  <c r="B179"/>
  <c r="C179"/>
  <c r="D179"/>
  <c r="E179"/>
  <c r="F179"/>
  <c r="G179"/>
  <c r="H179"/>
  <c r="I179"/>
  <c r="J179"/>
  <c r="K179"/>
  <c r="L179"/>
  <c r="M179"/>
  <c r="N179"/>
  <c r="A180"/>
  <c r="B180"/>
  <c r="C180"/>
  <c r="D180"/>
  <c r="E180"/>
  <c r="F180"/>
  <c r="G180"/>
  <c r="H180"/>
  <c r="I180"/>
  <c r="J180"/>
  <c r="K180"/>
  <c r="L180"/>
  <c r="M180"/>
  <c r="N180"/>
  <c r="A181"/>
  <c r="B181"/>
  <c r="C181"/>
  <c r="D181"/>
  <c r="E181"/>
  <c r="F181"/>
  <c r="G181"/>
  <c r="H181"/>
  <c r="I181"/>
  <c r="J181"/>
  <c r="K181"/>
  <c r="L181"/>
  <c r="M181"/>
  <c r="N181"/>
  <c r="A182"/>
  <c r="B182"/>
  <c r="C182"/>
  <c r="D182"/>
  <c r="E182"/>
  <c r="F182"/>
  <c r="G182"/>
  <c r="H182"/>
  <c r="I182"/>
  <c r="J182"/>
  <c r="K182"/>
  <c r="L182"/>
  <c r="M182"/>
  <c r="N182"/>
  <c r="A183"/>
  <c r="B183"/>
  <c r="C183"/>
  <c r="D183"/>
  <c r="E183"/>
  <c r="F183"/>
  <c r="G183"/>
  <c r="H183"/>
  <c r="I183"/>
  <c r="J183"/>
  <c r="K183"/>
  <c r="L183"/>
  <c r="M183"/>
  <c r="N183"/>
  <c r="A184"/>
  <c r="B184"/>
  <c r="C184"/>
  <c r="D184"/>
  <c r="E184"/>
  <c r="F184"/>
  <c r="G184"/>
  <c r="H184"/>
  <c r="I184"/>
  <c r="J184"/>
  <c r="K184"/>
  <c r="L184"/>
  <c r="M184"/>
  <c r="N184"/>
  <c r="A185"/>
  <c r="B185"/>
  <c r="C185"/>
  <c r="D185"/>
  <c r="E185"/>
  <c r="F185"/>
  <c r="G185"/>
  <c r="H185"/>
  <c r="I185"/>
  <c r="J185"/>
  <c r="K185"/>
  <c r="L185"/>
  <c r="M185"/>
  <c r="N185"/>
  <c r="A186"/>
  <c r="B186"/>
  <c r="C186"/>
  <c r="D186"/>
  <c r="E186"/>
  <c r="F186"/>
  <c r="G186"/>
  <c r="H186"/>
  <c r="I186"/>
  <c r="J186"/>
  <c r="K186"/>
  <c r="L186"/>
  <c r="M186"/>
  <c r="N186"/>
  <c r="A187"/>
  <c r="B187"/>
  <c r="C187"/>
  <c r="D187"/>
  <c r="E187"/>
  <c r="F187"/>
  <c r="G187"/>
  <c r="H187"/>
  <c r="I187"/>
  <c r="J187"/>
  <c r="K187"/>
  <c r="L187"/>
  <c r="M187"/>
  <c r="N187"/>
  <c r="A188"/>
  <c r="B188"/>
  <c r="C188"/>
  <c r="D188"/>
  <c r="E188"/>
  <c r="F188"/>
  <c r="G188"/>
  <c r="H188"/>
  <c r="I188"/>
  <c r="J188"/>
  <c r="K188"/>
  <c r="L188"/>
  <c r="M188"/>
  <c r="N188"/>
  <c r="A189"/>
  <c r="B189"/>
  <c r="C189"/>
  <c r="D189"/>
  <c r="E189"/>
  <c r="F189"/>
  <c r="G189"/>
  <c r="H189"/>
  <c r="I189"/>
  <c r="J189"/>
  <c r="K189"/>
  <c r="L189"/>
  <c r="M189"/>
  <c r="N189"/>
  <c r="A190"/>
  <c r="B190"/>
  <c r="C190"/>
  <c r="D190"/>
  <c r="E190"/>
  <c r="F190"/>
  <c r="G190"/>
  <c r="H190"/>
  <c r="I190"/>
  <c r="J190"/>
  <c r="K190"/>
  <c r="L190"/>
  <c r="M190"/>
  <c r="N190"/>
  <c r="A191"/>
  <c r="B191"/>
  <c r="C191"/>
  <c r="D191"/>
  <c r="E191"/>
  <c r="F191"/>
  <c r="G191"/>
  <c r="H191"/>
  <c r="I191"/>
  <c r="J191"/>
  <c r="K191"/>
  <c r="L191"/>
  <c r="M191"/>
  <c r="N191"/>
  <c r="A192"/>
  <c r="B192"/>
  <c r="C192"/>
  <c r="D192"/>
  <c r="E192"/>
  <c r="F192"/>
  <c r="G192"/>
  <c r="H192"/>
  <c r="I192"/>
  <c r="J192"/>
  <c r="K192"/>
  <c r="L192"/>
  <c r="M192"/>
  <c r="N192"/>
  <c r="A193"/>
  <c r="B193"/>
  <c r="C193"/>
  <c r="D193"/>
  <c r="E193"/>
  <c r="F193"/>
  <c r="G193"/>
  <c r="H193"/>
  <c r="I193"/>
  <c r="J193"/>
  <c r="K193"/>
  <c r="L193"/>
  <c r="M193"/>
  <c r="N193"/>
  <c r="A194"/>
  <c r="B194"/>
  <c r="C194"/>
  <c r="D194"/>
  <c r="E194"/>
  <c r="F194"/>
  <c r="G194"/>
  <c r="H194"/>
  <c r="I194"/>
  <c r="J194"/>
  <c r="K194"/>
  <c r="L194"/>
  <c r="M194"/>
  <c r="N194"/>
  <c r="A195"/>
  <c r="B195"/>
  <c r="C195"/>
  <c r="D195"/>
  <c r="E195"/>
  <c r="F195"/>
  <c r="G195"/>
  <c r="H195"/>
  <c r="I195"/>
  <c r="J195"/>
  <c r="K195"/>
  <c r="L195"/>
  <c r="M195"/>
  <c r="N195"/>
  <c r="A196"/>
  <c r="B196"/>
  <c r="C196"/>
  <c r="D196"/>
  <c r="E196"/>
  <c r="F196"/>
  <c r="G196"/>
  <c r="H196"/>
  <c r="I196"/>
  <c r="J196"/>
  <c r="K196"/>
  <c r="L196"/>
  <c r="M196"/>
  <c r="N196"/>
  <c r="A197"/>
  <c r="B197"/>
  <c r="C197"/>
  <c r="D197"/>
  <c r="E197"/>
  <c r="F197"/>
  <c r="G197"/>
  <c r="H197"/>
  <c r="I197"/>
  <c r="J197"/>
  <c r="K197"/>
  <c r="L197"/>
  <c r="M197"/>
  <c r="N197"/>
  <c r="A198"/>
  <c r="B198"/>
  <c r="C198"/>
  <c r="D198"/>
  <c r="E198"/>
  <c r="F198"/>
  <c r="G198"/>
  <c r="H198"/>
  <c r="I198"/>
  <c r="J198"/>
  <c r="K198"/>
  <c r="L198"/>
  <c r="M198"/>
  <c r="N198"/>
  <c r="A199"/>
  <c r="B199"/>
  <c r="C199"/>
  <c r="D199"/>
  <c r="E199"/>
  <c r="F199"/>
  <c r="G199"/>
  <c r="H199"/>
  <c r="I199"/>
  <c r="J199"/>
  <c r="K199"/>
  <c r="L199"/>
  <c r="M199"/>
  <c r="N199"/>
  <c r="A200"/>
  <c r="B200"/>
  <c r="C200"/>
  <c r="D200"/>
  <c r="E200"/>
  <c r="F200"/>
  <c r="G200"/>
  <c r="H200"/>
  <c r="I200"/>
  <c r="J200"/>
  <c r="K200"/>
  <c r="L200"/>
  <c r="M200"/>
  <c r="N200"/>
  <c r="A201"/>
  <c r="B201"/>
  <c r="C201"/>
  <c r="D201"/>
  <c r="E201"/>
  <c r="F201"/>
  <c r="G201"/>
  <c r="H201"/>
  <c r="I201"/>
  <c r="J201"/>
  <c r="K201"/>
  <c r="L201"/>
  <c r="M201"/>
  <c r="N201"/>
  <c r="A202"/>
  <c r="B202"/>
  <c r="C202"/>
  <c r="D202"/>
  <c r="E202"/>
  <c r="F202"/>
  <c r="G202"/>
  <c r="H202"/>
  <c r="I202"/>
  <c r="J202"/>
  <c r="K202"/>
  <c r="L202"/>
  <c r="M202"/>
  <c r="N202"/>
  <c r="A203"/>
  <c r="B203"/>
  <c r="C203"/>
  <c r="D203"/>
  <c r="E203"/>
  <c r="F203"/>
  <c r="G203"/>
  <c r="H203"/>
  <c r="I203"/>
  <c r="J203"/>
  <c r="K203"/>
  <c r="L203"/>
  <c r="M203"/>
  <c r="N203"/>
  <c r="A204"/>
  <c r="B204"/>
  <c r="C204"/>
  <c r="D204"/>
  <c r="E204"/>
  <c r="F204"/>
  <c r="G204"/>
  <c r="H204"/>
  <c r="I204"/>
  <c r="J204"/>
  <c r="K204"/>
  <c r="L204"/>
  <c r="M204"/>
  <c r="N204"/>
  <c r="A205"/>
  <c r="B205"/>
  <c r="C205"/>
  <c r="D205"/>
  <c r="E205"/>
  <c r="F205"/>
  <c r="G205"/>
  <c r="H205"/>
  <c r="I205"/>
  <c r="J205"/>
  <c r="K205"/>
  <c r="L205"/>
  <c r="M205"/>
  <c r="N205"/>
  <c r="A206"/>
  <c r="B206"/>
  <c r="C206"/>
  <c r="D206"/>
  <c r="E206"/>
  <c r="F206"/>
  <c r="G206"/>
  <c r="H206"/>
  <c r="I206"/>
  <c r="J206"/>
  <c r="K206"/>
  <c r="L206"/>
  <c r="M206"/>
  <c r="N206"/>
  <c r="A207"/>
  <c r="B207"/>
  <c r="C207"/>
  <c r="D207"/>
  <c r="E207"/>
  <c r="F207"/>
  <c r="G207"/>
  <c r="H207"/>
  <c r="I207"/>
  <c r="J207"/>
  <c r="K207"/>
  <c r="L207"/>
  <c r="M207"/>
  <c r="N207"/>
  <c r="A208"/>
  <c r="B208"/>
  <c r="C208"/>
  <c r="D208"/>
  <c r="E208"/>
  <c r="F208"/>
  <c r="G208"/>
  <c r="H208"/>
  <c r="I208"/>
  <c r="J208"/>
  <c r="K208"/>
  <c r="L208"/>
  <c r="M208"/>
  <c r="N208"/>
  <c r="A209"/>
  <c r="B209"/>
  <c r="C209"/>
  <c r="D209"/>
  <c r="E209"/>
  <c r="F209"/>
  <c r="G209"/>
  <c r="H209"/>
  <c r="I209"/>
  <c r="J209"/>
  <c r="K209"/>
  <c r="L209"/>
  <c r="M209"/>
  <c r="N209"/>
  <c r="A210"/>
  <c r="B210"/>
  <c r="C210"/>
  <c r="D210"/>
  <c r="E210"/>
  <c r="F210"/>
  <c r="G210"/>
  <c r="H210"/>
  <c r="I210"/>
  <c r="J210"/>
  <c r="K210"/>
  <c r="L210"/>
  <c r="M210"/>
  <c r="N210"/>
  <c r="A211"/>
  <c r="B211"/>
  <c r="C211"/>
  <c r="D211"/>
  <c r="E211"/>
  <c r="F211"/>
  <c r="G211"/>
  <c r="H211"/>
  <c r="I211"/>
  <c r="J211"/>
  <c r="K211"/>
  <c r="L211"/>
  <c r="M211"/>
  <c r="N211"/>
  <c r="A212"/>
  <c r="B212"/>
  <c r="C212"/>
  <c r="D212"/>
  <c r="E212"/>
  <c r="F212"/>
  <c r="G212"/>
  <c r="H212"/>
  <c r="I212"/>
  <c r="J212"/>
  <c r="K212"/>
  <c r="L212"/>
  <c r="M212"/>
  <c r="N212"/>
  <c r="A213"/>
  <c r="B213"/>
  <c r="C213"/>
  <c r="D213"/>
  <c r="E213"/>
  <c r="F213"/>
  <c r="G213"/>
  <c r="H213"/>
  <c r="I213"/>
  <c r="J213"/>
  <c r="K213"/>
  <c r="L213"/>
  <c r="M213"/>
  <c r="N213"/>
  <c r="A214"/>
  <c r="B214"/>
  <c r="C214"/>
  <c r="D214"/>
  <c r="E214"/>
  <c r="F214"/>
  <c r="G214"/>
  <c r="H214"/>
  <c r="I214"/>
  <c r="J214"/>
  <c r="K214"/>
  <c r="L214"/>
  <c r="M214"/>
  <c r="N214"/>
  <c r="A215"/>
  <c r="B215"/>
  <c r="C215"/>
  <c r="D215"/>
  <c r="E215"/>
  <c r="F215"/>
  <c r="G215"/>
  <c r="H215"/>
  <c r="I215"/>
  <c r="J215"/>
  <c r="K215"/>
  <c r="L215"/>
  <c r="M215"/>
  <c r="N215"/>
  <c r="A216"/>
  <c r="B216"/>
  <c r="C216"/>
  <c r="D216"/>
  <c r="E216"/>
  <c r="F216"/>
  <c r="G216"/>
  <c r="H216"/>
  <c r="I216"/>
  <c r="J216"/>
  <c r="K216"/>
  <c r="L216"/>
  <c r="M216"/>
  <c r="N216"/>
  <c r="A217"/>
  <c r="B217"/>
  <c r="C217"/>
  <c r="D217"/>
  <c r="E217"/>
  <c r="F217"/>
  <c r="G217"/>
  <c r="H217"/>
  <c r="I217"/>
  <c r="J217"/>
  <c r="K217"/>
  <c r="L217"/>
  <c r="M217"/>
  <c r="N217"/>
  <c r="A218"/>
  <c r="B218"/>
  <c r="C218"/>
  <c r="D218"/>
  <c r="E218"/>
  <c r="F218"/>
  <c r="G218"/>
  <c r="H218"/>
  <c r="I218"/>
  <c r="J218"/>
  <c r="K218"/>
  <c r="L218"/>
  <c r="M218"/>
  <c r="N218"/>
  <c r="A219"/>
  <c r="B219"/>
  <c r="C219"/>
  <c r="D219"/>
  <c r="E219"/>
  <c r="F219"/>
  <c r="G219"/>
  <c r="H219"/>
  <c r="I219"/>
  <c r="J219"/>
  <c r="K219"/>
  <c r="L219"/>
  <c r="M219"/>
  <c r="N219"/>
  <c r="A220"/>
  <c r="B220"/>
  <c r="C220"/>
  <c r="D220"/>
  <c r="E220"/>
  <c r="F220"/>
  <c r="G220"/>
  <c r="H220"/>
  <c r="I220"/>
  <c r="J220"/>
  <c r="K220"/>
  <c r="L220"/>
  <c r="M220"/>
  <c r="N220"/>
  <c r="A221"/>
  <c r="B221"/>
  <c r="C221"/>
  <c r="D221"/>
  <c r="E221"/>
  <c r="F221"/>
  <c r="G221"/>
  <c r="H221"/>
  <c r="I221"/>
  <c r="J221"/>
  <c r="K221"/>
  <c r="L221"/>
  <c r="M221"/>
  <c r="N221"/>
  <c r="A222"/>
  <c r="B222"/>
  <c r="C222"/>
  <c r="D222"/>
  <c r="E222"/>
  <c r="F222"/>
  <c r="G222"/>
  <c r="H222"/>
  <c r="I222"/>
  <c r="J222"/>
  <c r="K222"/>
  <c r="L222"/>
  <c r="M222"/>
  <c r="N222"/>
  <c r="A223"/>
  <c r="B223"/>
  <c r="C223"/>
  <c r="D223"/>
  <c r="E223"/>
  <c r="F223"/>
  <c r="G223"/>
  <c r="H223"/>
  <c r="I223"/>
  <c r="J223"/>
  <c r="K223"/>
  <c r="L223"/>
  <c r="M223"/>
  <c r="N223"/>
  <c r="A224"/>
  <c r="B224"/>
  <c r="C224"/>
  <c r="D224"/>
  <c r="E224"/>
  <c r="F224"/>
  <c r="G224"/>
  <c r="H224"/>
  <c r="I224"/>
  <c r="J224"/>
  <c r="K224"/>
  <c r="L224"/>
  <c r="M224"/>
  <c r="N224"/>
  <c r="A225"/>
  <c r="B225"/>
  <c r="C225"/>
  <c r="D225"/>
  <c r="E225"/>
  <c r="F225"/>
  <c r="G225"/>
  <c r="H225"/>
  <c r="I225"/>
  <c r="J225"/>
  <c r="K225"/>
  <c r="L225"/>
  <c r="M225"/>
  <c r="N225"/>
  <c r="A226"/>
  <c r="B226"/>
  <c r="C226"/>
  <c r="D226"/>
  <c r="E226"/>
  <c r="F226"/>
  <c r="G226"/>
  <c r="H226"/>
  <c r="I226"/>
  <c r="J226"/>
  <c r="K226"/>
  <c r="L226"/>
  <c r="M226"/>
  <c r="N226"/>
  <c r="A227"/>
  <c r="B227"/>
  <c r="C227"/>
  <c r="D227"/>
  <c r="E227"/>
  <c r="F227"/>
  <c r="G227"/>
  <c r="H227"/>
  <c r="I227"/>
  <c r="J227"/>
  <c r="K227"/>
  <c r="L227"/>
  <c r="M227"/>
  <c r="N227"/>
  <c r="A228"/>
  <c r="B228"/>
  <c r="C228"/>
  <c r="D228"/>
  <c r="E228"/>
  <c r="F228"/>
  <c r="G228"/>
  <c r="H228"/>
  <c r="I228"/>
  <c r="J228"/>
  <c r="K228"/>
  <c r="L228"/>
  <c r="M228"/>
  <c r="N228"/>
  <c r="A229"/>
  <c r="B229"/>
  <c r="C229"/>
  <c r="D229"/>
  <c r="E229"/>
  <c r="F229"/>
  <c r="G229"/>
  <c r="H229"/>
  <c r="I229"/>
  <c r="J229"/>
  <c r="K229"/>
  <c r="L229"/>
  <c r="M229"/>
  <c r="N229"/>
  <c r="A230"/>
  <c r="B230"/>
  <c r="C230"/>
  <c r="D230"/>
  <c r="E230"/>
  <c r="F230"/>
  <c r="G230"/>
  <c r="H230"/>
  <c r="I230"/>
  <c r="J230"/>
  <c r="K230"/>
  <c r="L230"/>
  <c r="M230"/>
  <c r="N230"/>
  <c r="A231"/>
  <c r="B231"/>
  <c r="C231"/>
  <c r="D231"/>
  <c r="E231"/>
  <c r="F231"/>
  <c r="G231"/>
  <c r="H231"/>
  <c r="I231"/>
  <c r="J231"/>
  <c r="K231"/>
  <c r="L231"/>
  <c r="M231"/>
  <c r="N231"/>
  <c r="A232"/>
  <c r="B232"/>
  <c r="C232"/>
  <c r="D232"/>
  <c r="E232"/>
  <c r="F232"/>
  <c r="G232"/>
  <c r="H232"/>
  <c r="I232"/>
  <c r="J232"/>
  <c r="K232"/>
  <c r="L232"/>
  <c r="M232"/>
  <c r="N232"/>
  <c r="A233"/>
  <c r="B233"/>
  <c r="C233"/>
  <c r="D233"/>
  <c r="E233"/>
  <c r="F233"/>
  <c r="G233"/>
  <c r="H233"/>
  <c r="I233"/>
  <c r="J233"/>
  <c r="K233"/>
  <c r="L233"/>
  <c r="M233"/>
  <c r="N233"/>
  <c r="A234"/>
  <c r="B234"/>
  <c r="C234"/>
  <c r="D234"/>
  <c r="E234"/>
  <c r="F234"/>
  <c r="G234"/>
  <c r="H234"/>
  <c r="I234"/>
  <c r="J234"/>
  <c r="K234"/>
  <c r="L234"/>
  <c r="M234"/>
  <c r="N234"/>
  <c r="A235"/>
  <c r="B235"/>
  <c r="C235"/>
  <c r="D235"/>
  <c r="E235"/>
  <c r="F235"/>
  <c r="G235"/>
  <c r="H235"/>
  <c r="I235"/>
  <c r="J235"/>
  <c r="K235"/>
  <c r="L235"/>
  <c r="M235"/>
  <c r="N235"/>
  <c r="A236"/>
  <c r="B236"/>
  <c r="C236"/>
  <c r="D236"/>
  <c r="E236"/>
  <c r="F236"/>
  <c r="G236"/>
  <c r="H236"/>
  <c r="I236"/>
  <c r="J236"/>
  <c r="K236"/>
  <c r="L236"/>
  <c r="M236"/>
  <c r="N236"/>
  <c r="A237"/>
  <c r="B237"/>
  <c r="C237"/>
  <c r="D237"/>
  <c r="E237"/>
  <c r="F237"/>
  <c r="G237"/>
  <c r="H237"/>
  <c r="I237"/>
  <c r="J237"/>
  <c r="K237"/>
  <c r="L237"/>
  <c r="M237"/>
  <c r="N237"/>
  <c r="A238"/>
  <c r="B238"/>
  <c r="C238"/>
  <c r="D238"/>
  <c r="E238"/>
  <c r="F238"/>
  <c r="G238"/>
  <c r="H238"/>
  <c r="I238"/>
  <c r="J238"/>
  <c r="K238"/>
  <c r="L238"/>
  <c r="M238"/>
  <c r="N238"/>
  <c r="A239"/>
  <c r="B239"/>
  <c r="C239"/>
  <c r="D239"/>
  <c r="E239"/>
  <c r="F239"/>
  <c r="G239"/>
  <c r="H239"/>
  <c r="I239"/>
  <c r="J239"/>
  <c r="K239"/>
  <c r="L239"/>
  <c r="M239"/>
  <c r="N239"/>
  <c r="A240"/>
  <c r="B240"/>
  <c r="C240"/>
  <c r="D240"/>
  <c r="E240"/>
  <c r="F240"/>
  <c r="G240"/>
  <c r="H240"/>
  <c r="I240"/>
  <c r="J240"/>
  <c r="K240"/>
  <c r="L240"/>
  <c r="M240"/>
  <c r="N240"/>
  <c r="A241"/>
  <c r="B241"/>
  <c r="C241"/>
  <c r="D241"/>
  <c r="E241"/>
  <c r="F241"/>
  <c r="G241"/>
  <c r="H241"/>
  <c r="I241"/>
  <c r="J241"/>
  <c r="K241"/>
  <c r="L241"/>
  <c r="M241"/>
  <c r="N241"/>
  <c r="A242"/>
  <c r="B242"/>
  <c r="C242"/>
  <c r="D242"/>
  <c r="E242"/>
  <c r="F242"/>
  <c r="G242"/>
  <c r="H242"/>
  <c r="I242"/>
  <c r="J242"/>
  <c r="K242"/>
  <c r="L242"/>
  <c r="M242"/>
  <c r="N242"/>
  <c r="A243"/>
  <c r="B243"/>
  <c r="C243"/>
  <c r="D243"/>
  <c r="E243"/>
  <c r="F243"/>
  <c r="G243"/>
  <c r="H243"/>
  <c r="I243"/>
  <c r="J243"/>
  <c r="K243"/>
  <c r="L243"/>
  <c r="M243"/>
  <c r="N243"/>
  <c r="A244"/>
  <c r="B244"/>
  <c r="C244"/>
  <c r="D244"/>
  <c r="E244"/>
  <c r="F244"/>
  <c r="G244"/>
  <c r="H244"/>
  <c r="I244"/>
  <c r="J244"/>
  <c r="K244"/>
  <c r="L244"/>
  <c r="M244"/>
  <c r="N244"/>
  <c r="A245"/>
  <c r="B245"/>
  <c r="C245"/>
  <c r="D245"/>
  <c r="E245"/>
  <c r="F245"/>
  <c r="G245"/>
  <c r="H245"/>
  <c r="I245"/>
  <c r="J245"/>
  <c r="K245"/>
  <c r="L245"/>
  <c r="M245"/>
  <c r="N245"/>
  <c r="A246"/>
  <c r="B246"/>
  <c r="C246"/>
  <c r="D246"/>
  <c r="E246"/>
  <c r="F246"/>
  <c r="G246"/>
  <c r="H246"/>
  <c r="I246"/>
  <c r="J246"/>
  <c r="K246"/>
  <c r="L246"/>
  <c r="M246"/>
  <c r="N246"/>
  <c r="A247"/>
  <c r="B247"/>
  <c r="C247"/>
  <c r="D247"/>
  <c r="E247"/>
  <c r="F247"/>
  <c r="G247"/>
  <c r="H247"/>
  <c r="I247"/>
  <c r="J247"/>
  <c r="K247"/>
  <c r="L247"/>
  <c r="M247"/>
  <c r="N247"/>
  <c r="A248"/>
  <c r="B248"/>
  <c r="C248"/>
  <c r="D248"/>
  <c r="E248"/>
  <c r="F248"/>
  <c r="G248"/>
  <c r="H248"/>
  <c r="I248"/>
  <c r="J248"/>
  <c r="K248"/>
  <c r="L248"/>
  <c r="M248"/>
  <c r="N248"/>
  <c r="A249"/>
  <c r="B249"/>
  <c r="C249"/>
  <c r="D249"/>
  <c r="E249"/>
  <c r="F249"/>
  <c r="G249"/>
  <c r="H249"/>
  <c r="I249"/>
  <c r="J249"/>
  <c r="K249"/>
  <c r="L249"/>
  <c r="M249"/>
  <c r="N249"/>
  <c r="A250"/>
  <c r="B250"/>
  <c r="C250"/>
  <c r="D250"/>
  <c r="E250"/>
  <c r="F250"/>
  <c r="G250"/>
  <c r="H250"/>
  <c r="I250"/>
  <c r="J250"/>
  <c r="K250"/>
  <c r="L250"/>
  <c r="M250"/>
  <c r="N250"/>
  <c r="A251"/>
  <c r="B251"/>
  <c r="C251"/>
  <c r="D251"/>
  <c r="E251"/>
  <c r="F251"/>
  <c r="G251"/>
  <c r="H251"/>
  <c r="I251"/>
  <c r="J251"/>
  <c r="K251"/>
  <c r="L251"/>
  <c r="M251"/>
  <c r="N251"/>
  <c r="A252"/>
  <c r="B252"/>
  <c r="C252"/>
  <c r="D252"/>
  <c r="E252"/>
  <c r="F252"/>
  <c r="G252"/>
  <c r="H252"/>
  <c r="I252"/>
  <c r="J252"/>
  <c r="K252"/>
  <c r="L252"/>
  <c r="M252"/>
  <c r="N252"/>
  <c r="A253"/>
  <c r="B253"/>
  <c r="C253"/>
  <c r="D253"/>
  <c r="E253"/>
  <c r="F253"/>
  <c r="G253"/>
  <c r="H253"/>
  <c r="I253"/>
  <c r="J253"/>
  <c r="K253"/>
  <c r="L253"/>
  <c r="M253"/>
  <c r="N253"/>
  <c r="A254"/>
  <c r="B254"/>
  <c r="C254"/>
  <c r="D254"/>
  <c r="E254"/>
  <c r="F254"/>
  <c r="G254"/>
  <c r="H254"/>
  <c r="I254"/>
  <c r="J254"/>
  <c r="K254"/>
  <c r="L254"/>
  <c r="M254"/>
  <c r="N254"/>
  <c r="A255"/>
  <c r="B255"/>
  <c r="C255"/>
  <c r="D255"/>
  <c r="E255"/>
  <c r="F255"/>
  <c r="G255"/>
  <c r="H255"/>
  <c r="I255"/>
  <c r="J255"/>
  <c r="K255"/>
  <c r="L255"/>
  <c r="M255"/>
  <c r="N255"/>
  <c r="A256"/>
  <c r="B256"/>
  <c r="C256"/>
  <c r="D256"/>
  <c r="E256"/>
  <c r="F256"/>
  <c r="G256"/>
  <c r="H256"/>
  <c r="I256"/>
  <c r="J256"/>
  <c r="K256"/>
  <c r="L256"/>
  <c r="M256"/>
  <c r="N256"/>
  <c r="A257"/>
  <c r="B257"/>
  <c r="C257"/>
  <c r="D257"/>
  <c r="E257"/>
  <c r="F257"/>
  <c r="G257"/>
  <c r="H257"/>
  <c r="I257"/>
  <c r="J257"/>
  <c r="K257"/>
  <c r="L257"/>
  <c r="M257"/>
  <c r="N257"/>
  <c r="A258"/>
  <c r="B258"/>
  <c r="C258"/>
  <c r="D258"/>
  <c r="E258"/>
  <c r="F258"/>
  <c r="G258"/>
  <c r="H258"/>
  <c r="I258"/>
  <c r="J258"/>
  <c r="K258"/>
  <c r="L258"/>
  <c r="M258"/>
  <c r="N258"/>
  <c r="A259"/>
  <c r="B259"/>
  <c r="C259"/>
  <c r="D259"/>
  <c r="E259"/>
  <c r="F259"/>
  <c r="G259"/>
  <c r="H259"/>
  <c r="I259"/>
  <c r="J259"/>
  <c r="K259"/>
  <c r="L259"/>
  <c r="M259"/>
  <c r="N259"/>
  <c r="A260"/>
  <c r="B260"/>
  <c r="C260"/>
  <c r="D260"/>
  <c r="E260"/>
  <c r="F260"/>
  <c r="G260"/>
  <c r="H260"/>
  <c r="I260"/>
  <c r="J260"/>
  <c r="K260"/>
  <c r="L260"/>
  <c r="M260"/>
  <c r="N260"/>
  <c r="A261"/>
  <c r="B261"/>
  <c r="C261"/>
  <c r="D261"/>
  <c r="E261"/>
  <c r="F261"/>
  <c r="G261"/>
  <c r="H261"/>
  <c r="I261"/>
  <c r="J261"/>
  <c r="K261"/>
  <c r="L261"/>
  <c r="M261"/>
  <c r="N261"/>
  <c r="A262"/>
  <c r="B262"/>
  <c r="C262"/>
  <c r="D262"/>
  <c r="E262"/>
  <c r="F262"/>
  <c r="G262"/>
  <c r="H262"/>
  <c r="I262"/>
  <c r="J262"/>
  <c r="K262"/>
  <c r="L262"/>
  <c r="M262"/>
  <c r="N262"/>
  <c r="A263"/>
  <c r="B263"/>
  <c r="C263"/>
  <c r="D263"/>
  <c r="E263"/>
  <c r="F263"/>
  <c r="G263"/>
  <c r="H263"/>
  <c r="I263"/>
  <c r="J263"/>
  <c r="K263"/>
  <c r="L263"/>
  <c r="M263"/>
  <c r="N263"/>
  <c r="A264"/>
  <c r="B264"/>
  <c r="C264"/>
  <c r="D264"/>
  <c r="E264"/>
  <c r="F264"/>
  <c r="G264"/>
  <c r="H264"/>
  <c r="I264"/>
  <c r="J264"/>
  <c r="K264"/>
  <c r="L264"/>
  <c r="M264"/>
  <c r="N264"/>
  <c r="A265"/>
  <c r="B265"/>
  <c r="C265"/>
  <c r="D265"/>
  <c r="E265"/>
  <c r="F265"/>
  <c r="G265"/>
  <c r="H265"/>
  <c r="I265"/>
  <c r="J265"/>
  <c r="K265"/>
  <c r="L265"/>
  <c r="M265"/>
  <c r="N265"/>
  <c r="A266"/>
  <c r="B266"/>
  <c r="C266"/>
  <c r="D266"/>
  <c r="E266"/>
  <c r="F266"/>
  <c r="G266"/>
  <c r="H266"/>
  <c r="I266"/>
  <c r="J266"/>
  <c r="K266"/>
  <c r="L266"/>
  <c r="M266"/>
  <c r="N266"/>
  <c r="A267"/>
  <c r="B267"/>
  <c r="C267"/>
  <c r="D267"/>
  <c r="E267"/>
  <c r="F267"/>
  <c r="G267"/>
  <c r="H267"/>
  <c r="I267"/>
  <c r="J267"/>
  <c r="K267"/>
  <c r="L267"/>
  <c r="M267"/>
  <c r="N267"/>
  <c r="A268"/>
  <c r="B268"/>
  <c r="C268"/>
  <c r="D268"/>
  <c r="E268"/>
  <c r="F268"/>
  <c r="G268"/>
  <c r="H268"/>
  <c r="I268"/>
  <c r="J268"/>
  <c r="K268"/>
  <c r="L268"/>
  <c r="M268"/>
  <c r="N268"/>
  <c r="A269"/>
  <c r="B269"/>
  <c r="C269"/>
  <c r="D269"/>
  <c r="E269"/>
  <c r="F269"/>
  <c r="G269"/>
  <c r="H269"/>
  <c r="I269"/>
  <c r="J269"/>
  <c r="K269"/>
  <c r="L269"/>
  <c r="M269"/>
  <c r="N269"/>
  <c r="A270"/>
  <c r="B270"/>
  <c r="C270"/>
  <c r="D270"/>
  <c r="E270"/>
  <c r="F270"/>
  <c r="G270"/>
  <c r="H270"/>
  <c r="I270"/>
  <c r="J270"/>
  <c r="K270"/>
  <c r="L270"/>
  <c r="M270"/>
  <c r="N270"/>
  <c r="A271"/>
  <c r="B271"/>
  <c r="C271"/>
  <c r="D271"/>
  <c r="E271"/>
  <c r="F271"/>
  <c r="G271"/>
  <c r="H271"/>
  <c r="I271"/>
  <c r="J271"/>
  <c r="K271"/>
  <c r="L271"/>
  <c r="M271"/>
  <c r="N271"/>
  <c r="A272"/>
  <c r="B272"/>
  <c r="C272"/>
  <c r="D272"/>
  <c r="E272"/>
  <c r="F272"/>
  <c r="G272"/>
  <c r="H272"/>
  <c r="I272"/>
  <c r="J272"/>
  <c r="K272"/>
  <c r="L272"/>
  <c r="M272"/>
  <c r="N272"/>
  <c r="A273"/>
  <c r="B273"/>
  <c r="C273"/>
  <c r="D273"/>
  <c r="E273"/>
  <c r="F273"/>
  <c r="G273"/>
  <c r="H273"/>
  <c r="I273"/>
  <c r="J273"/>
  <c r="K273"/>
  <c r="L273"/>
  <c r="M273"/>
  <c r="N273"/>
  <c r="A274"/>
  <c r="B274"/>
  <c r="C274"/>
  <c r="D274"/>
  <c r="E274"/>
  <c r="F274"/>
  <c r="G274"/>
  <c r="H274"/>
  <c r="I274"/>
  <c r="J274"/>
  <c r="K274"/>
  <c r="L274"/>
  <c r="M274"/>
  <c r="N274"/>
  <c r="A275"/>
  <c r="B275"/>
  <c r="C275"/>
  <c r="D275"/>
  <c r="E275"/>
  <c r="F275"/>
  <c r="G275"/>
  <c r="H275"/>
  <c r="I275"/>
  <c r="J275"/>
  <c r="K275"/>
  <c r="L275"/>
  <c r="M275"/>
  <c r="N275"/>
  <c r="A276"/>
  <c r="B276"/>
  <c r="C276"/>
  <c r="D276"/>
  <c r="E276"/>
  <c r="F276"/>
  <c r="G276"/>
  <c r="H276"/>
  <c r="I276"/>
  <c r="J276"/>
  <c r="K276"/>
  <c r="L276"/>
  <c r="M276"/>
  <c r="N276"/>
  <c r="A277"/>
  <c r="B277"/>
  <c r="C277"/>
  <c r="D277"/>
  <c r="E277"/>
  <c r="F277"/>
  <c r="G277"/>
  <c r="H277"/>
  <c r="I277"/>
  <c r="J277"/>
  <c r="K277"/>
  <c r="L277"/>
  <c r="M277"/>
  <c r="N277"/>
  <c r="A278"/>
  <c r="B278"/>
  <c r="C278"/>
  <c r="D278"/>
  <c r="E278"/>
  <c r="F278"/>
  <c r="G278"/>
  <c r="H278"/>
  <c r="I278"/>
  <c r="J278"/>
  <c r="K278"/>
  <c r="L278"/>
  <c r="M278"/>
  <c r="N278"/>
  <c r="A279"/>
  <c r="B279"/>
  <c r="C279"/>
  <c r="D279"/>
  <c r="E279"/>
  <c r="F279"/>
  <c r="G279"/>
  <c r="H279"/>
  <c r="I279"/>
  <c r="J279"/>
  <c r="K279"/>
  <c r="L279"/>
  <c r="M279"/>
  <c r="N279"/>
  <c r="A280"/>
  <c r="B280"/>
  <c r="C280"/>
  <c r="D280"/>
  <c r="E280"/>
  <c r="F280"/>
  <c r="G280"/>
  <c r="H280"/>
  <c r="I280"/>
  <c r="J280"/>
  <c r="K280"/>
  <c r="L280"/>
  <c r="M280"/>
  <c r="N280"/>
  <c r="A281"/>
  <c r="B281"/>
  <c r="C281"/>
  <c r="D281"/>
  <c r="E281"/>
  <c r="F281"/>
  <c r="G281"/>
  <c r="H281"/>
  <c r="I281"/>
  <c r="J281"/>
  <c r="K281"/>
  <c r="L281"/>
  <c r="M281"/>
  <c r="N281"/>
  <c r="A282"/>
  <c r="B282"/>
  <c r="C282"/>
  <c r="D282"/>
  <c r="E282"/>
  <c r="F282"/>
  <c r="G282"/>
  <c r="H282"/>
  <c r="I282"/>
  <c r="J282"/>
  <c r="K282"/>
  <c r="L282"/>
  <c r="M282"/>
  <c r="N282"/>
  <c r="A283"/>
  <c r="B283"/>
  <c r="C283"/>
  <c r="D283"/>
  <c r="E283"/>
  <c r="F283"/>
  <c r="G283"/>
  <c r="H283"/>
  <c r="I283"/>
  <c r="J283"/>
  <c r="K283"/>
  <c r="L283"/>
  <c r="M283"/>
  <c r="N283"/>
  <c r="A284"/>
  <c r="B284"/>
  <c r="C284"/>
  <c r="D284"/>
  <c r="E284"/>
  <c r="F284"/>
  <c r="G284"/>
  <c r="H284"/>
  <c r="I284"/>
  <c r="J284"/>
  <c r="K284"/>
  <c r="L284"/>
  <c r="M284"/>
  <c r="N284"/>
  <c r="A285"/>
  <c r="B285"/>
  <c r="C285"/>
  <c r="D285"/>
  <c r="E285"/>
  <c r="F285"/>
  <c r="G285"/>
  <c r="H285"/>
  <c r="I285"/>
  <c r="J285"/>
  <c r="K285"/>
  <c r="L285"/>
  <c r="M285"/>
  <c r="N285"/>
  <c r="A286"/>
  <c r="B286"/>
  <c r="C286"/>
  <c r="D286"/>
  <c r="E286"/>
  <c r="F286"/>
  <c r="G286"/>
  <c r="H286"/>
  <c r="I286"/>
  <c r="J286"/>
  <c r="K286"/>
  <c r="L286"/>
  <c r="M286"/>
  <c r="N286"/>
  <c r="A287"/>
  <c r="B287"/>
  <c r="C287"/>
  <c r="D287"/>
  <c r="E287"/>
  <c r="F287"/>
  <c r="G287"/>
  <c r="H287"/>
  <c r="I287"/>
  <c r="J287"/>
  <c r="K287"/>
  <c r="L287"/>
  <c r="M287"/>
  <c r="N287"/>
  <c r="A288"/>
  <c r="B288"/>
  <c r="C288"/>
  <c r="D288"/>
  <c r="E288"/>
  <c r="F288"/>
  <c r="G288"/>
  <c r="H288"/>
  <c r="I288"/>
  <c r="J288"/>
  <c r="K288"/>
  <c r="L288"/>
  <c r="M288"/>
  <c r="N288"/>
  <c r="A289"/>
  <c r="B289"/>
  <c r="C289"/>
  <c r="D289"/>
  <c r="E289"/>
  <c r="F289"/>
  <c r="G289"/>
  <c r="H289"/>
  <c r="I289"/>
  <c r="J289"/>
  <c r="K289"/>
  <c r="L289"/>
  <c r="M289"/>
  <c r="N289"/>
  <c r="A290"/>
  <c r="B290"/>
  <c r="C290"/>
  <c r="D290"/>
  <c r="E290"/>
  <c r="F290"/>
  <c r="G290"/>
  <c r="H290"/>
  <c r="I290"/>
  <c r="J290"/>
  <c r="K290"/>
  <c r="L290"/>
  <c r="M290"/>
  <c r="N290"/>
  <c r="A291"/>
  <c r="B291"/>
  <c r="C291"/>
  <c r="D291"/>
  <c r="E291"/>
  <c r="F291"/>
  <c r="G291"/>
  <c r="H291"/>
  <c r="I291"/>
  <c r="J291"/>
  <c r="K291"/>
  <c r="L291"/>
  <c r="M291"/>
  <c r="N291"/>
  <c r="A292"/>
  <c r="B292"/>
  <c r="C292"/>
  <c r="D292"/>
  <c r="E292"/>
  <c r="F292"/>
  <c r="G292"/>
  <c r="H292"/>
  <c r="I292"/>
  <c r="J292"/>
  <c r="K292"/>
  <c r="L292"/>
  <c r="M292"/>
  <c r="N292"/>
  <c r="A293"/>
  <c r="B293"/>
  <c r="C293"/>
  <c r="D293"/>
  <c r="E293"/>
  <c r="F293"/>
  <c r="G293"/>
  <c r="H293"/>
  <c r="I293"/>
  <c r="J293"/>
  <c r="K293"/>
  <c r="L293"/>
  <c r="M293"/>
  <c r="N293"/>
  <c r="A294"/>
  <c r="B294"/>
  <c r="C294"/>
  <c r="D294"/>
  <c r="E294"/>
  <c r="F294"/>
  <c r="G294"/>
  <c r="H294"/>
  <c r="I294"/>
  <c r="J294"/>
  <c r="K294"/>
  <c r="L294"/>
  <c r="M294"/>
  <c r="N294"/>
  <c r="A295"/>
  <c r="B295"/>
  <c r="C295"/>
  <c r="D295"/>
  <c r="E295"/>
  <c r="F295"/>
  <c r="G295"/>
  <c r="H295"/>
  <c r="I295"/>
  <c r="J295"/>
  <c r="K295"/>
  <c r="L295"/>
  <c r="M295"/>
  <c r="N295"/>
  <c r="A296"/>
  <c r="B296"/>
  <c r="C296"/>
  <c r="D296"/>
  <c r="E296"/>
  <c r="F296"/>
  <c r="G296"/>
  <c r="H296"/>
  <c r="I296"/>
  <c r="J296"/>
  <c r="K296"/>
  <c r="L296"/>
  <c r="M296"/>
  <c r="N296"/>
  <c r="A297"/>
  <c r="B297"/>
  <c r="C297"/>
  <c r="D297"/>
  <c r="E297"/>
  <c r="F297"/>
  <c r="G297"/>
  <c r="H297"/>
  <c r="I297"/>
  <c r="J297"/>
  <c r="K297"/>
  <c r="L297"/>
  <c r="M297"/>
  <c r="N297"/>
  <c r="A298"/>
  <c r="B298"/>
  <c r="C298"/>
  <c r="D298"/>
  <c r="E298"/>
  <c r="F298"/>
  <c r="G298"/>
  <c r="H298"/>
  <c r="I298"/>
  <c r="J298"/>
  <c r="K298"/>
  <c r="L298"/>
  <c r="M298"/>
  <c r="N298"/>
  <c r="A299"/>
  <c r="B299"/>
  <c r="C299"/>
  <c r="D299"/>
  <c r="E299"/>
  <c r="F299"/>
  <c r="G299"/>
  <c r="H299"/>
  <c r="I299"/>
  <c r="J299"/>
  <c r="K299"/>
  <c r="L299"/>
  <c r="M299"/>
  <c r="N299"/>
  <c r="A300"/>
  <c r="B300"/>
  <c r="C300"/>
  <c r="D300"/>
  <c r="E300"/>
  <c r="F300"/>
  <c r="G300"/>
  <c r="H300"/>
  <c r="I300"/>
  <c r="J300"/>
  <c r="K300"/>
  <c r="L300"/>
  <c r="M300"/>
  <c r="N300"/>
  <c r="A301"/>
  <c r="B301"/>
  <c r="C301"/>
  <c r="D301"/>
  <c r="E301"/>
  <c r="F301"/>
  <c r="G301"/>
  <c r="H301"/>
  <c r="I301"/>
  <c r="J301"/>
  <c r="K301"/>
  <c r="L301"/>
  <c r="M301"/>
  <c r="N301"/>
  <c r="A302"/>
  <c r="B302"/>
  <c r="C302"/>
  <c r="D302"/>
  <c r="E302"/>
  <c r="F302"/>
  <c r="G302"/>
  <c r="H302"/>
  <c r="I302"/>
  <c r="J302"/>
  <c r="K302"/>
  <c r="L302"/>
  <c r="M302"/>
  <c r="N302"/>
  <c r="A303"/>
  <c r="B303"/>
  <c r="C303"/>
  <c r="D303"/>
  <c r="E303"/>
  <c r="F303"/>
  <c r="G303"/>
  <c r="H303"/>
  <c r="I303"/>
  <c r="J303"/>
  <c r="K303"/>
  <c r="L303"/>
  <c r="M303"/>
  <c r="N303"/>
  <c r="A304"/>
  <c r="B304"/>
  <c r="C304"/>
  <c r="D304"/>
  <c r="E304"/>
  <c r="F304"/>
  <c r="G304"/>
  <c r="H304"/>
  <c r="I304"/>
  <c r="J304"/>
  <c r="K304"/>
  <c r="L304"/>
  <c r="M304"/>
  <c r="N304"/>
  <c r="A305"/>
  <c r="B305"/>
  <c r="C305"/>
  <c r="D305"/>
  <c r="E305"/>
  <c r="F305"/>
  <c r="G305"/>
  <c r="H305"/>
  <c r="I305"/>
  <c r="J305"/>
  <c r="K305"/>
  <c r="L305"/>
  <c r="M305"/>
  <c r="N305"/>
  <c r="A306"/>
  <c r="B306"/>
  <c r="C306"/>
  <c r="D306"/>
  <c r="E306"/>
  <c r="F306"/>
  <c r="G306"/>
  <c r="H306"/>
  <c r="I306"/>
  <c r="J306"/>
  <c r="K306"/>
  <c r="L306"/>
  <c r="M306"/>
  <c r="N306"/>
  <c r="A307"/>
  <c r="B307"/>
  <c r="C307"/>
  <c r="D307"/>
  <c r="E307"/>
  <c r="F307"/>
  <c r="G307"/>
  <c r="H307"/>
  <c r="I307"/>
  <c r="J307"/>
  <c r="K307"/>
  <c r="L307"/>
  <c r="M307"/>
  <c r="N307"/>
  <c r="A308"/>
  <c r="B308"/>
  <c r="C308"/>
  <c r="D308"/>
  <c r="E308"/>
  <c r="F308"/>
  <c r="G308"/>
  <c r="H308"/>
  <c r="I308"/>
  <c r="J308"/>
  <c r="K308"/>
  <c r="L308"/>
  <c r="M308"/>
  <c r="N308"/>
  <c r="A309"/>
  <c r="B309"/>
  <c r="C309"/>
  <c r="D309"/>
  <c r="E309"/>
  <c r="F309"/>
  <c r="G309"/>
  <c r="H309"/>
  <c r="I309"/>
  <c r="J309"/>
  <c r="K309"/>
  <c r="L309"/>
  <c r="M309"/>
  <c r="N309"/>
  <c r="A310"/>
  <c r="B310"/>
  <c r="C310"/>
  <c r="D310"/>
  <c r="E310"/>
  <c r="F310"/>
  <c r="G310"/>
  <c r="H310"/>
  <c r="I310"/>
  <c r="J310"/>
  <c r="K310"/>
  <c r="L310"/>
  <c r="M310"/>
  <c r="N310"/>
  <c r="A311"/>
  <c r="B311"/>
  <c r="C311"/>
  <c r="D311"/>
  <c r="E311"/>
  <c r="F311"/>
  <c r="G311"/>
  <c r="H311"/>
  <c r="I311"/>
  <c r="J311"/>
  <c r="K311"/>
  <c r="L311"/>
  <c r="M311"/>
  <c r="N311"/>
  <c r="A312"/>
  <c r="B312"/>
  <c r="C312"/>
  <c r="D312"/>
  <c r="E312"/>
  <c r="F312"/>
  <c r="G312"/>
  <c r="H312"/>
  <c r="I312"/>
  <c r="J312"/>
  <c r="K312"/>
  <c r="L312"/>
  <c r="M312"/>
  <c r="N312"/>
  <c r="A313"/>
  <c r="B313"/>
  <c r="C313"/>
  <c r="D313"/>
  <c r="E313"/>
  <c r="F313"/>
  <c r="G313"/>
  <c r="H313"/>
  <c r="I313"/>
  <c r="J313"/>
  <c r="K313"/>
  <c r="L313"/>
  <c r="M313"/>
  <c r="N313"/>
  <c r="A314"/>
  <c r="B314"/>
  <c r="C314"/>
  <c r="D314"/>
  <c r="E314"/>
  <c r="F314"/>
  <c r="G314"/>
  <c r="H314"/>
  <c r="I314"/>
  <c r="J314"/>
  <c r="K314"/>
  <c r="L314"/>
  <c r="M314"/>
  <c r="N314"/>
  <c r="A315"/>
  <c r="B315"/>
  <c r="C315"/>
  <c r="D315"/>
  <c r="E315"/>
  <c r="F315"/>
  <c r="G315"/>
  <c r="H315"/>
  <c r="I315"/>
  <c r="J315"/>
  <c r="K315"/>
  <c r="L315"/>
  <c r="M315"/>
  <c r="N315"/>
  <c r="A316"/>
  <c r="B316"/>
  <c r="C316"/>
  <c r="D316"/>
  <c r="E316"/>
  <c r="F316"/>
  <c r="G316"/>
  <c r="H316"/>
  <c r="I316"/>
  <c r="J316"/>
  <c r="K316"/>
  <c r="L316"/>
  <c r="M316"/>
  <c r="N316"/>
  <c r="A317"/>
  <c r="B317"/>
  <c r="C317"/>
  <c r="D317"/>
  <c r="E317"/>
  <c r="F317"/>
  <c r="G317"/>
  <c r="H317"/>
  <c r="I317"/>
  <c r="J317"/>
  <c r="K317"/>
  <c r="L317"/>
  <c r="M317"/>
  <c r="N317"/>
  <c r="A318"/>
  <c r="B318"/>
  <c r="C318"/>
  <c r="D318"/>
  <c r="E318"/>
  <c r="F318"/>
  <c r="G318"/>
  <c r="H318"/>
  <c r="I318"/>
  <c r="J318"/>
  <c r="K318"/>
  <c r="L318"/>
  <c r="M318"/>
  <c r="N318"/>
  <c r="A319"/>
  <c r="B319"/>
  <c r="C319"/>
  <c r="D319"/>
  <c r="E319"/>
  <c r="F319"/>
  <c r="G319"/>
  <c r="H319"/>
  <c r="I319"/>
  <c r="J319"/>
  <c r="K319"/>
  <c r="L319"/>
  <c r="M319"/>
  <c r="N319"/>
  <c r="A320"/>
  <c r="B320"/>
  <c r="C320"/>
  <c r="D320"/>
  <c r="E320"/>
  <c r="F320"/>
  <c r="G320"/>
  <c r="H320"/>
  <c r="I320"/>
  <c r="J320"/>
  <c r="K320"/>
  <c r="L320"/>
  <c r="M320"/>
  <c r="N320"/>
  <c r="A321"/>
  <c r="B321"/>
  <c r="C321"/>
  <c r="D321"/>
  <c r="E321"/>
  <c r="F321"/>
  <c r="G321"/>
  <c r="H321"/>
  <c r="I321"/>
  <c r="J321"/>
  <c r="K321"/>
  <c r="L321"/>
  <c r="M321"/>
  <c r="N321"/>
  <c r="A322"/>
  <c r="B322"/>
  <c r="C322"/>
  <c r="D322"/>
  <c r="E322"/>
  <c r="F322"/>
  <c r="G322"/>
  <c r="H322"/>
  <c r="I322"/>
  <c r="J322"/>
  <c r="K322"/>
  <c r="L322"/>
  <c r="M322"/>
  <c r="N322"/>
  <c r="A323"/>
  <c r="B323"/>
  <c r="C323"/>
  <c r="D323"/>
  <c r="E323"/>
  <c r="F323"/>
  <c r="G323"/>
  <c r="H323"/>
  <c r="I323"/>
  <c r="J323"/>
  <c r="K323"/>
  <c r="L323"/>
  <c r="M323"/>
  <c r="N323"/>
  <c r="A324"/>
  <c r="B324"/>
  <c r="C324"/>
  <c r="D324"/>
  <c r="E324"/>
  <c r="F324"/>
  <c r="G324"/>
  <c r="H324"/>
  <c r="I324"/>
  <c r="J324"/>
  <c r="K324"/>
  <c r="L324"/>
  <c r="M324"/>
  <c r="N324"/>
  <c r="A325"/>
  <c r="B325"/>
  <c r="C325"/>
  <c r="D325"/>
  <c r="E325"/>
  <c r="F325"/>
  <c r="G325"/>
  <c r="H325"/>
  <c r="I325"/>
  <c r="J325"/>
  <c r="K325"/>
  <c r="L325"/>
  <c r="M325"/>
  <c r="N325"/>
  <c r="A326"/>
  <c r="B326"/>
  <c r="C326"/>
  <c r="D326"/>
  <c r="E326"/>
  <c r="F326"/>
  <c r="G326"/>
  <c r="H326"/>
  <c r="I326"/>
  <c r="J326"/>
  <c r="K326"/>
  <c r="L326"/>
  <c r="M326"/>
  <c r="N326"/>
  <c r="A327"/>
  <c r="B327"/>
  <c r="C327"/>
  <c r="D327"/>
  <c r="E327"/>
  <c r="F327"/>
  <c r="G327"/>
  <c r="H327"/>
  <c r="I327"/>
  <c r="J327"/>
  <c r="K327"/>
  <c r="L327"/>
  <c r="M327"/>
  <c r="N327"/>
  <c r="A328"/>
  <c r="B328"/>
  <c r="C328"/>
  <c r="D328"/>
  <c r="E328"/>
  <c r="F328"/>
  <c r="G328"/>
  <c r="H328"/>
  <c r="I328"/>
  <c r="J328"/>
  <c r="K328"/>
  <c r="L328"/>
  <c r="M328"/>
  <c r="N328"/>
  <c r="A329"/>
  <c r="B329"/>
  <c r="C329"/>
  <c r="D329"/>
  <c r="E329"/>
  <c r="F329"/>
  <c r="G329"/>
  <c r="H329"/>
  <c r="I329"/>
  <c r="J329"/>
  <c r="K329"/>
  <c r="L329"/>
  <c r="M329"/>
  <c r="N329"/>
  <c r="A330"/>
  <c r="B330"/>
  <c r="C330"/>
  <c r="D330"/>
  <c r="E330"/>
  <c r="F330"/>
  <c r="G330"/>
  <c r="H330"/>
  <c r="I330"/>
  <c r="J330"/>
  <c r="K330"/>
  <c r="L330"/>
  <c r="M330"/>
  <c r="N330"/>
  <c r="A331"/>
  <c r="B331"/>
  <c r="C331"/>
  <c r="D331"/>
  <c r="E331"/>
  <c r="F331"/>
  <c r="G331"/>
  <c r="H331"/>
  <c r="I331"/>
  <c r="J331"/>
  <c r="K331"/>
  <c r="L331"/>
  <c r="M331"/>
  <c r="N331"/>
  <c r="A332"/>
  <c r="B332"/>
  <c r="C332"/>
  <c r="D332"/>
  <c r="E332"/>
  <c r="F332"/>
  <c r="G332"/>
  <c r="H332"/>
  <c r="I332"/>
  <c r="J332"/>
  <c r="K332"/>
  <c r="L332"/>
  <c r="M332"/>
  <c r="N332"/>
  <c r="A333"/>
  <c r="B333"/>
  <c r="C333"/>
  <c r="D333"/>
  <c r="E333"/>
  <c r="F333"/>
  <c r="G333"/>
  <c r="H333"/>
  <c r="I333"/>
  <c r="J333"/>
  <c r="K333"/>
  <c r="L333"/>
  <c r="M333"/>
  <c r="N333"/>
  <c r="A334"/>
  <c r="B334"/>
  <c r="C334"/>
  <c r="D334"/>
  <c r="E334"/>
  <c r="F334"/>
  <c r="G334"/>
  <c r="H334"/>
  <c r="I334"/>
  <c r="J334"/>
  <c r="K334"/>
  <c r="L334"/>
  <c r="M334"/>
  <c r="N334"/>
  <c r="A335"/>
  <c r="B335"/>
  <c r="C335"/>
  <c r="D335"/>
  <c r="E335"/>
  <c r="F335"/>
  <c r="G335"/>
  <c r="H335"/>
  <c r="I335"/>
  <c r="J335"/>
  <c r="K335"/>
  <c r="L335"/>
  <c r="M335"/>
  <c r="N335"/>
  <c r="A336"/>
  <c r="B336"/>
  <c r="C336"/>
  <c r="D336"/>
  <c r="E336"/>
  <c r="F336"/>
  <c r="G336"/>
  <c r="H336"/>
  <c r="I336"/>
  <c r="J336"/>
  <c r="K336"/>
  <c r="L336"/>
  <c r="M336"/>
  <c r="N336"/>
  <c r="A337"/>
  <c r="B337"/>
  <c r="C337"/>
  <c r="D337"/>
  <c r="E337"/>
  <c r="F337"/>
  <c r="G337"/>
  <c r="H337"/>
  <c r="I337"/>
  <c r="J337"/>
  <c r="K337"/>
  <c r="L337"/>
  <c r="M337"/>
  <c r="N337"/>
  <c r="A338"/>
  <c r="B338"/>
  <c r="C338"/>
  <c r="D338"/>
  <c r="E338"/>
  <c r="F338"/>
  <c r="G338"/>
  <c r="H338"/>
  <c r="I338"/>
  <c r="J338"/>
  <c r="K338"/>
  <c r="L338"/>
  <c r="M338"/>
  <c r="N338"/>
  <c r="A339"/>
  <c r="B339"/>
  <c r="C339"/>
  <c r="D339"/>
  <c r="E339"/>
  <c r="F339"/>
  <c r="G339"/>
  <c r="H339"/>
  <c r="I339"/>
  <c r="J339"/>
  <c r="K339"/>
  <c r="L339"/>
  <c r="M339"/>
  <c r="N339"/>
  <c r="A340"/>
  <c r="B340"/>
  <c r="C340"/>
  <c r="D340"/>
  <c r="E340"/>
  <c r="F340"/>
  <c r="G340"/>
  <c r="H340"/>
  <c r="I340"/>
  <c r="J340"/>
  <c r="K340"/>
  <c r="L340"/>
  <c r="M340"/>
  <c r="N340"/>
  <c r="A341"/>
  <c r="B341"/>
  <c r="C341"/>
  <c r="D341"/>
  <c r="E341"/>
  <c r="F341"/>
  <c r="G341"/>
  <c r="H341"/>
  <c r="I341"/>
  <c r="J341"/>
  <c r="K341"/>
  <c r="L341"/>
  <c r="M341"/>
  <c r="N341"/>
  <c r="A342"/>
  <c r="B342"/>
  <c r="C342"/>
  <c r="D342"/>
  <c r="E342"/>
  <c r="F342"/>
  <c r="G342"/>
  <c r="H342"/>
  <c r="I342"/>
  <c r="J342"/>
  <c r="K342"/>
  <c r="L342"/>
  <c r="M342"/>
  <c r="N342"/>
  <c r="A343"/>
  <c r="B343"/>
  <c r="C343"/>
  <c r="D343"/>
  <c r="E343"/>
  <c r="F343"/>
  <c r="G343"/>
  <c r="H343"/>
  <c r="I343"/>
  <c r="J343"/>
  <c r="K343"/>
  <c r="L343"/>
  <c r="M343"/>
  <c r="N343"/>
  <c r="A344"/>
  <c r="B344"/>
  <c r="C344"/>
  <c r="D344"/>
  <c r="E344"/>
  <c r="F344"/>
  <c r="G344"/>
  <c r="H344"/>
  <c r="I344"/>
  <c r="J344"/>
  <c r="K344"/>
  <c r="L344"/>
  <c r="M344"/>
  <c r="N344"/>
  <c r="A345"/>
  <c r="B345"/>
  <c r="C345"/>
  <c r="D345"/>
  <c r="E345"/>
  <c r="F345"/>
  <c r="G345"/>
  <c r="H345"/>
  <c r="I345"/>
  <c r="J345"/>
  <c r="K345"/>
  <c r="L345"/>
  <c r="M345"/>
  <c r="N345"/>
  <c r="A346"/>
  <c r="B346"/>
  <c r="C346"/>
  <c r="D346"/>
  <c r="E346"/>
  <c r="F346"/>
  <c r="G346"/>
  <c r="H346"/>
  <c r="I346"/>
  <c r="J346"/>
  <c r="K346"/>
  <c r="L346"/>
  <c r="M346"/>
  <c r="N346"/>
  <c r="A347"/>
  <c r="B347"/>
  <c r="C347"/>
  <c r="D347"/>
  <c r="E347"/>
  <c r="F347"/>
  <c r="G347"/>
  <c r="H347"/>
  <c r="I347"/>
  <c r="J347"/>
  <c r="K347"/>
  <c r="L347"/>
  <c r="M347"/>
  <c r="N347"/>
  <c r="A348"/>
  <c r="B348"/>
  <c r="C348"/>
  <c r="D348"/>
  <c r="E348"/>
  <c r="F348"/>
  <c r="G348"/>
  <c r="H348"/>
  <c r="I348"/>
  <c r="J348"/>
  <c r="K348"/>
  <c r="L348"/>
  <c r="M348"/>
  <c r="N348"/>
  <c r="A349"/>
  <c r="B349"/>
  <c r="C349"/>
  <c r="D349"/>
  <c r="E349"/>
  <c r="F349"/>
  <c r="G349"/>
  <c r="H349"/>
  <c r="I349"/>
  <c r="J349"/>
  <c r="K349"/>
  <c r="L349"/>
  <c r="M349"/>
  <c r="N349"/>
  <c r="A350"/>
  <c r="B350"/>
  <c r="C350"/>
  <c r="D350"/>
  <c r="E350"/>
  <c r="F350"/>
  <c r="G350"/>
  <c r="H350"/>
  <c r="I350"/>
  <c r="J350"/>
  <c r="K350"/>
  <c r="L350"/>
  <c r="M350"/>
  <c r="N350"/>
  <c r="A351"/>
  <c r="B351"/>
  <c r="C351"/>
  <c r="D351"/>
  <c r="E351"/>
  <c r="F351"/>
  <c r="G351"/>
  <c r="H351"/>
  <c r="I351"/>
  <c r="J351"/>
  <c r="K351"/>
  <c r="L351"/>
  <c r="M351"/>
  <c r="N351"/>
  <c r="A352"/>
  <c r="B352"/>
  <c r="C352"/>
  <c r="D352"/>
  <c r="E352"/>
  <c r="F352"/>
  <c r="G352"/>
  <c r="H352"/>
  <c r="I352"/>
  <c r="J352"/>
  <c r="K352"/>
  <c r="L352"/>
  <c r="M352"/>
  <c r="N352"/>
  <c r="A353"/>
  <c r="B353"/>
  <c r="C353"/>
  <c r="D353"/>
  <c r="E353"/>
  <c r="F353"/>
  <c r="G353"/>
  <c r="H353"/>
  <c r="I353"/>
  <c r="J353"/>
  <c r="K353"/>
  <c r="L353"/>
  <c r="M353"/>
  <c r="N353"/>
  <c r="A354"/>
  <c r="B354"/>
  <c r="C354"/>
  <c r="D354"/>
  <c r="E354"/>
  <c r="F354"/>
  <c r="G354"/>
  <c r="H354"/>
  <c r="I354"/>
  <c r="J354"/>
  <c r="K354"/>
  <c r="L354"/>
  <c r="M354"/>
  <c r="N354"/>
  <c r="A355"/>
  <c r="B355"/>
  <c r="C355"/>
  <c r="D355"/>
  <c r="E355"/>
  <c r="F355"/>
  <c r="G355"/>
  <c r="H355"/>
  <c r="I355"/>
  <c r="J355"/>
  <c r="K355"/>
  <c r="L355"/>
  <c r="M355"/>
  <c r="N355"/>
  <c r="A356"/>
  <c r="B356"/>
  <c r="C356"/>
  <c r="D356"/>
  <c r="E356"/>
  <c r="F356"/>
  <c r="G356"/>
  <c r="H356"/>
  <c r="I356"/>
  <c r="J356"/>
  <c r="K356"/>
  <c r="L356"/>
  <c r="M356"/>
  <c r="N356"/>
  <c r="A357"/>
  <c r="B357"/>
  <c r="C357"/>
  <c r="D357"/>
  <c r="E357"/>
  <c r="F357"/>
  <c r="G357"/>
  <c r="H357"/>
  <c r="I357"/>
  <c r="J357"/>
  <c r="K357"/>
  <c r="L357"/>
  <c r="M357"/>
  <c r="N357"/>
  <c r="A358"/>
  <c r="B358"/>
  <c r="C358"/>
  <c r="D358"/>
  <c r="E358"/>
  <c r="F358"/>
  <c r="G358"/>
  <c r="H358"/>
  <c r="I358"/>
  <c r="J358"/>
  <c r="K358"/>
  <c r="L358"/>
  <c r="M358"/>
  <c r="N358"/>
  <c r="A359"/>
  <c r="B359"/>
  <c r="C359"/>
  <c r="D359"/>
  <c r="E359"/>
  <c r="F359"/>
  <c r="G359"/>
  <c r="H359"/>
  <c r="I359"/>
  <c r="J359"/>
  <c r="K359"/>
  <c r="L359"/>
  <c r="M359"/>
  <c r="N359"/>
  <c r="A360"/>
  <c r="B360"/>
  <c r="C360"/>
  <c r="D360"/>
  <c r="E360"/>
  <c r="F360"/>
  <c r="G360"/>
  <c r="H360"/>
  <c r="I360"/>
  <c r="J360"/>
  <c r="K360"/>
  <c r="L360"/>
  <c r="M360"/>
  <c r="N360"/>
  <c r="A361"/>
  <c r="B361"/>
  <c r="C361"/>
  <c r="D361"/>
  <c r="E361"/>
  <c r="F361"/>
  <c r="G361"/>
  <c r="H361"/>
  <c r="I361"/>
  <c r="J361"/>
  <c r="K361"/>
  <c r="L361"/>
  <c r="M361"/>
  <c r="N361"/>
  <c r="A362"/>
  <c r="B362"/>
  <c r="C362"/>
  <c r="D362"/>
  <c r="E362"/>
  <c r="F362"/>
  <c r="G362"/>
  <c r="H362"/>
  <c r="I362"/>
  <c r="J362"/>
  <c r="K362"/>
  <c r="L362"/>
  <c r="M362"/>
  <c r="N362"/>
  <c r="A363"/>
  <c r="B363"/>
  <c r="C363"/>
  <c r="D363"/>
  <c r="E363"/>
  <c r="F363"/>
  <c r="G363"/>
  <c r="H363"/>
  <c r="I363"/>
  <c r="J363"/>
  <c r="K363"/>
  <c r="L363"/>
  <c r="M363"/>
  <c r="N363"/>
  <c r="A364"/>
  <c r="B364"/>
  <c r="C364"/>
  <c r="D364"/>
  <c r="E364"/>
  <c r="F364"/>
  <c r="G364"/>
  <c r="H364"/>
  <c r="I364"/>
  <c r="J364"/>
  <c r="K364"/>
  <c r="L364"/>
  <c r="M364"/>
  <c r="N364"/>
  <c r="A365"/>
  <c r="B365"/>
  <c r="C365"/>
  <c r="D365"/>
  <c r="E365"/>
  <c r="F365"/>
  <c r="G365"/>
  <c r="H365"/>
  <c r="I365"/>
  <c r="J365"/>
  <c r="K365"/>
  <c r="L365"/>
  <c r="M365"/>
  <c r="N365"/>
  <c r="A366"/>
  <c r="B366"/>
  <c r="C366"/>
  <c r="D366"/>
  <c r="E366"/>
  <c r="F366"/>
  <c r="G366"/>
  <c r="H366"/>
  <c r="I366"/>
  <c r="J366"/>
  <c r="K366"/>
  <c r="L366"/>
  <c r="M366"/>
  <c r="N366"/>
  <c r="A367"/>
  <c r="B367"/>
  <c r="C367"/>
  <c r="D367"/>
  <c r="E367"/>
  <c r="F367"/>
  <c r="G367"/>
  <c r="H367"/>
  <c r="I367"/>
  <c r="J367"/>
  <c r="K367"/>
  <c r="L367"/>
  <c r="M367"/>
  <c r="N367"/>
  <c r="A368"/>
  <c r="B368"/>
  <c r="C368"/>
  <c r="D368"/>
  <c r="E368"/>
  <c r="F368"/>
  <c r="G368"/>
  <c r="H368"/>
  <c r="I368"/>
  <c r="J368"/>
  <c r="K368"/>
  <c r="L368"/>
  <c r="M368"/>
  <c r="N368"/>
  <c r="A369"/>
  <c r="B369"/>
  <c r="C369"/>
  <c r="D369"/>
  <c r="E369"/>
  <c r="F369"/>
  <c r="G369"/>
  <c r="H369"/>
  <c r="I369"/>
  <c r="J369"/>
  <c r="K369"/>
  <c r="L369"/>
  <c r="M369"/>
  <c r="N369"/>
  <c r="A370"/>
  <c r="B370"/>
  <c r="C370"/>
  <c r="D370"/>
  <c r="E370"/>
  <c r="F370"/>
  <c r="G370"/>
  <c r="H370"/>
  <c r="I370"/>
  <c r="J370"/>
  <c r="K370"/>
  <c r="L370"/>
  <c r="M370"/>
  <c r="N370"/>
  <c r="A371"/>
  <c r="B371"/>
  <c r="C371"/>
  <c r="D371"/>
  <c r="E371"/>
  <c r="F371"/>
  <c r="G371"/>
  <c r="H371"/>
  <c r="I371"/>
  <c r="J371"/>
  <c r="K371"/>
  <c r="L371"/>
  <c r="M371"/>
  <c r="N371"/>
  <c r="A372"/>
  <c r="B372"/>
  <c r="C372"/>
  <c r="D372"/>
  <c r="E372"/>
  <c r="F372"/>
  <c r="G372"/>
  <c r="H372"/>
  <c r="I372"/>
  <c r="J372"/>
  <c r="K372"/>
  <c r="L372"/>
  <c r="M372"/>
  <c r="N372"/>
  <c r="A373"/>
  <c r="B373"/>
  <c r="C373"/>
  <c r="D373"/>
  <c r="E373"/>
  <c r="F373"/>
  <c r="G373"/>
  <c r="H373"/>
  <c r="I373"/>
  <c r="J373"/>
  <c r="K373"/>
  <c r="L373"/>
  <c r="M373"/>
  <c r="N373"/>
  <c r="A374"/>
  <c r="B374"/>
  <c r="C374"/>
  <c r="D374"/>
  <c r="E374"/>
  <c r="F374"/>
  <c r="G374"/>
  <c r="H374"/>
  <c r="I374"/>
  <c r="J374"/>
  <c r="K374"/>
  <c r="L374"/>
  <c r="M374"/>
  <c r="N374"/>
  <c r="A375"/>
  <c r="B375"/>
  <c r="C375"/>
  <c r="D375"/>
  <c r="E375"/>
  <c r="F375"/>
  <c r="G375"/>
  <c r="H375"/>
  <c r="I375"/>
  <c r="J375"/>
  <c r="K375"/>
  <c r="L375"/>
  <c r="M375"/>
  <c r="N375"/>
  <c r="A376"/>
  <c r="B376"/>
  <c r="C376"/>
  <c r="D376"/>
  <c r="E376"/>
  <c r="F376"/>
  <c r="G376"/>
  <c r="H376"/>
  <c r="I376"/>
  <c r="J376"/>
  <c r="K376"/>
  <c r="L376"/>
  <c r="M376"/>
  <c r="N376"/>
  <c r="A377"/>
  <c r="B377"/>
  <c r="C377"/>
  <c r="D377"/>
  <c r="E377"/>
  <c r="F377"/>
  <c r="G377"/>
  <c r="H377"/>
  <c r="I377"/>
  <c r="J377"/>
  <c r="K377"/>
  <c r="L377"/>
  <c r="M377"/>
  <c r="N377"/>
  <c r="A378"/>
  <c r="B378"/>
  <c r="C378"/>
  <c r="D378"/>
  <c r="E378"/>
  <c r="F378"/>
  <c r="G378"/>
  <c r="H378"/>
  <c r="I378"/>
  <c r="J378"/>
  <c r="K378"/>
  <c r="L378"/>
  <c r="M378"/>
  <c r="N378"/>
  <c r="A379"/>
  <c r="B379"/>
  <c r="C379"/>
  <c r="D379"/>
  <c r="E379"/>
  <c r="F379"/>
  <c r="G379"/>
  <c r="H379"/>
  <c r="I379"/>
  <c r="J379"/>
  <c r="K379"/>
  <c r="L379"/>
  <c r="M379"/>
  <c r="N379"/>
  <c r="A380"/>
  <c r="B380"/>
  <c r="C380"/>
  <c r="D380"/>
  <c r="E380"/>
  <c r="F380"/>
  <c r="G380"/>
  <c r="H380"/>
  <c r="I380"/>
  <c r="J380"/>
  <c r="K380"/>
  <c r="L380"/>
  <c r="M380"/>
  <c r="N380"/>
  <c r="A381"/>
  <c r="B381"/>
  <c r="C381"/>
  <c r="D381"/>
  <c r="E381"/>
  <c r="F381"/>
  <c r="G381"/>
  <c r="H381"/>
  <c r="I381"/>
  <c r="J381"/>
  <c r="K381"/>
  <c r="L381"/>
  <c r="M381"/>
  <c r="N381"/>
  <c r="A382"/>
  <c r="B382"/>
  <c r="C382"/>
  <c r="D382"/>
  <c r="E382"/>
  <c r="F382"/>
  <c r="G382"/>
  <c r="H382"/>
  <c r="I382"/>
  <c r="J382"/>
  <c r="K382"/>
  <c r="L382"/>
  <c r="M382"/>
  <c r="N382"/>
  <c r="A383"/>
  <c r="B383"/>
  <c r="C383"/>
  <c r="D383"/>
  <c r="E383"/>
  <c r="F383"/>
  <c r="G383"/>
  <c r="H383"/>
  <c r="I383"/>
  <c r="J383"/>
  <c r="K383"/>
  <c r="L383"/>
  <c r="M383"/>
  <c r="N383"/>
  <c r="A384"/>
  <c r="B384"/>
  <c r="C384"/>
  <c r="D384"/>
  <c r="E384"/>
  <c r="F384"/>
  <c r="G384"/>
  <c r="H384"/>
  <c r="I384"/>
  <c r="J384"/>
  <c r="K384"/>
  <c r="L384"/>
  <c r="M384"/>
  <c r="N384"/>
  <c r="A385"/>
  <c r="B385"/>
  <c r="C385"/>
  <c r="D385"/>
  <c r="E385"/>
  <c r="F385"/>
  <c r="G385"/>
  <c r="H385"/>
  <c r="I385"/>
  <c r="J385"/>
  <c r="K385"/>
  <c r="L385"/>
  <c r="M385"/>
  <c r="N385"/>
  <c r="A386"/>
  <c r="B386"/>
  <c r="C386"/>
  <c r="D386"/>
  <c r="E386"/>
  <c r="F386"/>
  <c r="G386"/>
  <c r="H386"/>
  <c r="I386"/>
  <c r="J386"/>
  <c r="K386"/>
  <c r="L386"/>
  <c r="M386"/>
  <c r="N386"/>
  <c r="A387"/>
  <c r="B387"/>
  <c r="C387"/>
  <c r="D387"/>
  <c r="E387"/>
  <c r="F387"/>
  <c r="G387"/>
  <c r="H387"/>
  <c r="I387"/>
  <c r="J387"/>
  <c r="K387"/>
  <c r="L387"/>
  <c r="M387"/>
  <c r="N387"/>
  <c r="A388"/>
  <c r="B388"/>
  <c r="C388"/>
  <c r="D388"/>
  <c r="E388"/>
  <c r="F388"/>
  <c r="G388"/>
  <c r="H388"/>
  <c r="I388"/>
  <c r="J388"/>
  <c r="K388"/>
  <c r="L388"/>
  <c r="M388"/>
  <c r="N388"/>
  <c r="A389"/>
  <c r="B389"/>
  <c r="C389"/>
  <c r="D389"/>
  <c r="E389"/>
  <c r="F389"/>
  <c r="G389"/>
  <c r="H389"/>
  <c r="I389"/>
  <c r="J389"/>
  <c r="K389"/>
  <c r="L389"/>
  <c r="M389"/>
  <c r="N389"/>
  <c r="A390"/>
  <c r="B390"/>
  <c r="C390"/>
  <c r="D390"/>
  <c r="E390"/>
  <c r="F390"/>
  <c r="G390"/>
  <c r="H390"/>
  <c r="I390"/>
  <c r="J390"/>
  <c r="K390"/>
  <c r="L390"/>
  <c r="M390"/>
  <c r="N390"/>
  <c r="A391"/>
  <c r="B391"/>
  <c r="C391"/>
  <c r="D391"/>
  <c r="E391"/>
  <c r="F391"/>
  <c r="G391"/>
  <c r="H391"/>
  <c r="I391"/>
  <c r="J391"/>
  <c r="K391"/>
  <c r="L391"/>
  <c r="M391"/>
  <c r="N391"/>
  <c r="A392"/>
  <c r="B392"/>
  <c r="C392"/>
  <c r="D392"/>
  <c r="E392"/>
  <c r="F392"/>
  <c r="G392"/>
  <c r="H392"/>
  <c r="I392"/>
  <c r="J392"/>
  <c r="K392"/>
  <c r="L392"/>
  <c r="M392"/>
  <c r="N392"/>
  <c r="A393"/>
  <c r="B393"/>
  <c r="C393"/>
  <c r="D393"/>
  <c r="E393"/>
  <c r="F393"/>
  <c r="G393"/>
  <c r="H393"/>
  <c r="I393"/>
  <c r="J393"/>
  <c r="K393"/>
  <c r="L393"/>
  <c r="M393"/>
  <c r="N393"/>
  <c r="A394"/>
  <c r="B394"/>
  <c r="C394"/>
  <c r="D394"/>
  <c r="E394"/>
  <c r="F394"/>
  <c r="G394"/>
  <c r="H394"/>
  <c r="I394"/>
  <c r="J394"/>
  <c r="K394"/>
  <c r="L394"/>
  <c r="M394"/>
  <c r="N394"/>
  <c r="A395"/>
  <c r="B395"/>
  <c r="C395"/>
  <c r="D395"/>
  <c r="E395"/>
  <c r="F395"/>
  <c r="G395"/>
  <c r="H395"/>
  <c r="I395"/>
  <c r="J395"/>
  <c r="K395"/>
  <c r="L395"/>
  <c r="M395"/>
  <c r="N395"/>
  <c r="A396"/>
  <c r="B396"/>
  <c r="C396"/>
  <c r="D396"/>
  <c r="E396"/>
  <c r="F396"/>
  <c r="G396"/>
  <c r="H396"/>
  <c r="I396"/>
  <c r="J396"/>
  <c r="K396"/>
  <c r="L396"/>
  <c r="M396"/>
  <c r="N396"/>
  <c r="A397"/>
  <c r="B397"/>
  <c r="C397"/>
  <c r="D397"/>
  <c r="E397"/>
  <c r="F397"/>
  <c r="G397"/>
  <c r="H397"/>
  <c r="I397"/>
  <c r="J397"/>
  <c r="K397"/>
  <c r="L397"/>
  <c r="M397"/>
  <c r="N397"/>
  <c r="A398"/>
  <c r="B398"/>
  <c r="C398"/>
  <c r="D398"/>
  <c r="E398"/>
  <c r="F398"/>
  <c r="G398"/>
  <c r="H398"/>
  <c r="I398"/>
  <c r="J398"/>
  <c r="K398"/>
  <c r="L398"/>
  <c r="M398"/>
  <c r="N398"/>
  <c r="A399"/>
  <c r="B399"/>
  <c r="C399"/>
  <c r="D399"/>
  <c r="E399"/>
  <c r="F399"/>
  <c r="G399"/>
  <c r="H399"/>
  <c r="I399"/>
  <c r="J399"/>
  <c r="K399"/>
  <c r="L399"/>
  <c r="M399"/>
  <c r="N399"/>
  <c r="A400"/>
  <c r="B400"/>
  <c r="C400"/>
  <c r="D400"/>
  <c r="E400"/>
  <c r="F400"/>
  <c r="G400"/>
  <c r="H400"/>
  <c r="I400"/>
  <c r="J400"/>
  <c r="K400"/>
  <c r="L400"/>
  <c r="M400"/>
  <c r="N400"/>
  <c r="A401"/>
  <c r="B401"/>
  <c r="C401"/>
  <c r="D401"/>
  <c r="E401"/>
  <c r="F401"/>
  <c r="G401"/>
  <c r="H401"/>
  <c r="I401"/>
  <c r="J401"/>
  <c r="K401"/>
  <c r="L401"/>
  <c r="M401"/>
  <c r="N401"/>
  <c r="A402"/>
  <c r="B402"/>
  <c r="C402"/>
  <c r="D402"/>
  <c r="E402"/>
  <c r="F402"/>
  <c r="G402"/>
  <c r="H402"/>
  <c r="I402"/>
  <c r="J402"/>
  <c r="K402"/>
  <c r="L402"/>
  <c r="M402"/>
  <c r="N402"/>
  <c r="A403"/>
  <c r="B403"/>
  <c r="C403"/>
  <c r="D403"/>
  <c r="E403"/>
  <c r="F403"/>
  <c r="G403"/>
  <c r="H403"/>
  <c r="I403"/>
  <c r="J403"/>
  <c r="K403"/>
  <c r="L403"/>
  <c r="M403"/>
  <c r="N403"/>
  <c r="A404"/>
  <c r="B404"/>
  <c r="C404"/>
  <c r="D404"/>
  <c r="E404"/>
  <c r="F404"/>
  <c r="G404"/>
  <c r="H404"/>
  <c r="I404"/>
  <c r="J404"/>
  <c r="K404"/>
  <c r="L404"/>
  <c r="M404"/>
  <c r="N404"/>
  <c r="A405"/>
  <c r="B405"/>
  <c r="C405"/>
  <c r="D405"/>
  <c r="E405"/>
  <c r="F405"/>
  <c r="G405"/>
  <c r="H405"/>
  <c r="I405"/>
  <c r="J405"/>
  <c r="K405"/>
  <c r="L405"/>
  <c r="M405"/>
  <c r="N405"/>
  <c r="A406"/>
  <c r="B406"/>
  <c r="C406"/>
  <c r="D406"/>
  <c r="E406"/>
  <c r="F406"/>
  <c r="G406"/>
  <c r="H406"/>
  <c r="I406"/>
  <c r="J406"/>
  <c r="K406"/>
  <c r="L406"/>
  <c r="M406"/>
  <c r="N406"/>
  <c r="A407"/>
  <c r="B407"/>
  <c r="C407"/>
  <c r="D407"/>
  <c r="E407"/>
  <c r="F407"/>
  <c r="G407"/>
  <c r="H407"/>
  <c r="I407"/>
  <c r="J407"/>
  <c r="K407"/>
  <c r="L407"/>
  <c r="M407"/>
  <c r="N407"/>
  <c r="A408"/>
  <c r="B408"/>
  <c r="C408"/>
  <c r="D408"/>
  <c r="E408"/>
  <c r="F408"/>
  <c r="G408"/>
  <c r="H408"/>
  <c r="I408"/>
  <c r="J408"/>
  <c r="K408"/>
  <c r="L408"/>
  <c r="M408"/>
  <c r="N408"/>
  <c r="A409"/>
  <c r="B409"/>
  <c r="C409"/>
  <c r="D409"/>
  <c r="E409"/>
  <c r="F409"/>
  <c r="G409"/>
  <c r="H409"/>
  <c r="I409"/>
  <c r="J409"/>
  <c r="K409"/>
  <c r="L409"/>
  <c r="M409"/>
  <c r="N409"/>
  <c r="A410"/>
  <c r="B410"/>
  <c r="C410"/>
  <c r="D410"/>
  <c r="E410"/>
  <c r="F410"/>
  <c r="G410"/>
  <c r="H410"/>
  <c r="I410"/>
  <c r="J410"/>
  <c r="K410"/>
  <c r="L410"/>
  <c r="M410"/>
  <c r="N410"/>
  <c r="A411"/>
  <c r="B411"/>
  <c r="C411"/>
  <c r="D411"/>
  <c r="E411"/>
  <c r="F411"/>
  <c r="G411"/>
  <c r="H411"/>
  <c r="I411"/>
  <c r="J411"/>
  <c r="K411"/>
  <c r="L411"/>
  <c r="M411"/>
  <c r="N411"/>
  <c r="A412"/>
  <c r="B412"/>
  <c r="C412"/>
  <c r="D412"/>
  <c r="E412"/>
  <c r="F412"/>
  <c r="G412"/>
  <c r="H412"/>
  <c r="I412"/>
  <c r="J412"/>
  <c r="K412"/>
  <c r="L412"/>
  <c r="M412"/>
  <c r="N412"/>
  <c r="A413"/>
  <c r="B413"/>
  <c r="C413"/>
  <c r="D413"/>
  <c r="E413"/>
  <c r="F413"/>
  <c r="G413"/>
  <c r="H413"/>
  <c r="I413"/>
  <c r="J413"/>
  <c r="K413"/>
  <c r="L413"/>
  <c r="M413"/>
  <c r="N413"/>
  <c r="A414"/>
  <c r="B414"/>
  <c r="C414"/>
  <c r="D414"/>
  <c r="E414"/>
  <c r="F414"/>
  <c r="G414"/>
  <c r="H414"/>
  <c r="I414"/>
  <c r="J414"/>
  <c r="K414"/>
  <c r="L414"/>
  <c r="M414"/>
  <c r="N414"/>
  <c r="A415"/>
  <c r="B415"/>
  <c r="C415"/>
  <c r="D415"/>
  <c r="E415"/>
  <c r="F415"/>
  <c r="G415"/>
  <c r="H415"/>
  <c r="I415"/>
  <c r="J415"/>
  <c r="K415"/>
  <c r="L415"/>
  <c r="M415"/>
  <c r="N415"/>
  <c r="A416"/>
  <c r="B416"/>
  <c r="C416"/>
  <c r="D416"/>
  <c r="E416"/>
  <c r="F416"/>
  <c r="G416"/>
  <c r="H416"/>
  <c r="I416"/>
  <c r="J416"/>
  <c r="K416"/>
  <c r="L416"/>
  <c r="M416"/>
  <c r="N416"/>
  <c r="A417"/>
  <c r="B417"/>
  <c r="C417"/>
  <c r="D417"/>
  <c r="E417"/>
  <c r="F417"/>
  <c r="G417"/>
  <c r="H417"/>
  <c r="I417"/>
  <c r="J417"/>
  <c r="K417"/>
  <c r="L417"/>
  <c r="M417"/>
  <c r="N417"/>
  <c r="A418"/>
  <c r="B418"/>
  <c r="C418"/>
  <c r="D418"/>
  <c r="E418"/>
  <c r="F418"/>
  <c r="G418"/>
  <c r="H418"/>
  <c r="I418"/>
  <c r="J418"/>
  <c r="K418"/>
  <c r="L418"/>
  <c r="M418"/>
  <c r="N418"/>
  <c r="A419"/>
  <c r="B419"/>
  <c r="C419"/>
  <c r="D419"/>
  <c r="E419"/>
  <c r="F419"/>
  <c r="G419"/>
  <c r="H419"/>
  <c r="I419"/>
  <c r="J419"/>
  <c r="K419"/>
  <c r="L419"/>
  <c r="M419"/>
  <c r="N419"/>
  <c r="A420"/>
  <c r="B420"/>
  <c r="C420"/>
  <c r="D420"/>
  <c r="E420"/>
  <c r="F420"/>
  <c r="G420"/>
  <c r="H420"/>
  <c r="I420"/>
  <c r="J420"/>
  <c r="K420"/>
  <c r="L420"/>
  <c r="M420"/>
  <c r="N420"/>
  <c r="A421"/>
  <c r="B421"/>
  <c r="C421"/>
  <c r="D421"/>
  <c r="E421"/>
  <c r="F421"/>
  <c r="G421"/>
  <c r="H421"/>
  <c r="I421"/>
  <c r="J421"/>
  <c r="K421"/>
  <c r="L421"/>
  <c r="M421"/>
  <c r="N421"/>
  <c r="A422"/>
  <c r="B422"/>
  <c r="C422"/>
  <c r="D422"/>
  <c r="E422"/>
  <c r="F422"/>
  <c r="G422"/>
  <c r="H422"/>
  <c r="I422"/>
  <c r="J422"/>
  <c r="K422"/>
  <c r="L422"/>
  <c r="M422"/>
  <c r="N422"/>
  <c r="A423"/>
  <c r="B423"/>
  <c r="C423"/>
  <c r="D423"/>
  <c r="E423"/>
  <c r="F423"/>
  <c r="G423"/>
  <c r="H423"/>
  <c r="I423"/>
  <c r="J423"/>
  <c r="K423"/>
  <c r="L423"/>
  <c r="M423"/>
  <c r="N423"/>
  <c r="A424"/>
  <c r="B424"/>
  <c r="C424"/>
  <c r="D424"/>
  <c r="E424"/>
  <c r="F424"/>
  <c r="G424"/>
  <c r="H424"/>
  <c r="I424"/>
  <c r="J424"/>
  <c r="K424"/>
  <c r="L424"/>
  <c r="M424"/>
  <c r="N424"/>
  <c r="A425"/>
  <c r="B425"/>
  <c r="C425"/>
  <c r="D425"/>
  <c r="E425"/>
  <c r="F425"/>
  <c r="G425"/>
  <c r="H425"/>
  <c r="I425"/>
  <c r="J425"/>
  <c r="K425"/>
  <c r="L425"/>
  <c r="M425"/>
  <c r="N425"/>
  <c r="A426"/>
  <c r="B426"/>
  <c r="C426"/>
  <c r="D426"/>
  <c r="E426"/>
  <c r="F426"/>
  <c r="G426"/>
  <c r="H426"/>
  <c r="I426"/>
  <c r="J426"/>
  <c r="K426"/>
  <c r="L426"/>
  <c r="M426"/>
  <c r="N426"/>
  <c r="A427"/>
  <c r="B427"/>
  <c r="C427"/>
  <c r="D427"/>
  <c r="E427"/>
  <c r="F427"/>
  <c r="G427"/>
  <c r="H427"/>
  <c r="I427"/>
  <c r="J427"/>
  <c r="K427"/>
  <c r="L427"/>
  <c r="M427"/>
  <c r="N427"/>
  <c r="A428"/>
  <c r="B428"/>
  <c r="C428"/>
  <c r="D428"/>
  <c r="E428"/>
  <c r="F428"/>
  <c r="G428"/>
  <c r="H428"/>
  <c r="I428"/>
  <c r="J428"/>
  <c r="K428"/>
  <c r="L428"/>
  <c r="M428"/>
  <c r="N428"/>
  <c r="A429"/>
  <c r="B429"/>
  <c r="C429"/>
  <c r="D429"/>
  <c r="E429"/>
  <c r="F429"/>
  <c r="G429"/>
  <c r="H429"/>
  <c r="I429"/>
  <c r="J429"/>
  <c r="K429"/>
  <c r="L429"/>
  <c r="M429"/>
  <c r="N429"/>
  <c r="A430"/>
  <c r="B430"/>
  <c r="C430"/>
  <c r="D430"/>
  <c r="E430"/>
  <c r="F430"/>
  <c r="G430"/>
  <c r="H430"/>
  <c r="I430"/>
  <c r="J430"/>
  <c r="K430"/>
  <c r="L430"/>
  <c r="M430"/>
  <c r="N430"/>
  <c r="A431"/>
  <c r="B431"/>
  <c r="C431"/>
  <c r="D431"/>
  <c r="E431"/>
  <c r="F431"/>
  <c r="G431"/>
  <c r="H431"/>
  <c r="I431"/>
  <c r="J431"/>
  <c r="K431"/>
  <c r="L431"/>
  <c r="M431"/>
  <c r="N431"/>
  <c r="A432"/>
  <c r="B432"/>
  <c r="C432"/>
  <c r="D432"/>
  <c r="E432"/>
  <c r="F432"/>
  <c r="G432"/>
  <c r="H432"/>
  <c r="I432"/>
  <c r="J432"/>
  <c r="K432"/>
  <c r="L432"/>
  <c r="M432"/>
  <c r="N432"/>
  <c r="A433"/>
  <c r="B433"/>
  <c r="C433"/>
  <c r="D433"/>
  <c r="E433"/>
  <c r="F433"/>
  <c r="G433"/>
  <c r="H433"/>
  <c r="I433"/>
  <c r="J433"/>
  <c r="K433"/>
  <c r="L433"/>
  <c r="M433"/>
  <c r="N433"/>
  <c r="A434"/>
  <c r="B434"/>
  <c r="C434"/>
  <c r="D434"/>
  <c r="E434"/>
  <c r="F434"/>
  <c r="G434"/>
  <c r="H434"/>
  <c r="I434"/>
  <c r="J434"/>
  <c r="K434"/>
  <c r="L434"/>
  <c r="M434"/>
  <c r="N434"/>
  <c r="A435"/>
  <c r="B435"/>
  <c r="C435"/>
  <c r="D435"/>
  <c r="E435"/>
  <c r="F435"/>
  <c r="G435"/>
  <c r="H435"/>
  <c r="I435"/>
  <c r="J435"/>
  <c r="K435"/>
  <c r="L435"/>
  <c r="M435"/>
  <c r="N435"/>
  <c r="A436"/>
  <c r="B436"/>
  <c r="C436"/>
  <c r="D436"/>
  <c r="E436"/>
  <c r="F436"/>
  <c r="G436"/>
  <c r="H436"/>
  <c r="I436"/>
  <c r="J436"/>
  <c r="K436"/>
  <c r="L436"/>
  <c r="M436"/>
  <c r="N436"/>
  <c r="A437"/>
  <c r="B437"/>
  <c r="C437"/>
  <c r="D437"/>
  <c r="E437"/>
  <c r="F437"/>
  <c r="G437"/>
  <c r="H437"/>
  <c r="I437"/>
  <c r="J437"/>
  <c r="K437"/>
  <c r="L437"/>
  <c r="M437"/>
  <c r="N437"/>
  <c r="A438"/>
  <c r="B438"/>
  <c r="C438"/>
  <c r="D438"/>
  <c r="E438"/>
  <c r="F438"/>
  <c r="G438"/>
  <c r="H438"/>
  <c r="I438"/>
  <c r="J438"/>
  <c r="K438"/>
  <c r="L438"/>
  <c r="M438"/>
  <c r="N438"/>
  <c r="A439"/>
  <c r="B439"/>
  <c r="C439"/>
  <c r="D439"/>
  <c r="E439"/>
  <c r="F439"/>
  <c r="G439"/>
  <c r="H439"/>
  <c r="I439"/>
  <c r="J439"/>
  <c r="K439"/>
  <c r="L439"/>
  <c r="M439"/>
  <c r="N439"/>
  <c r="A440"/>
  <c r="B440"/>
  <c r="C440"/>
  <c r="D440"/>
  <c r="E440"/>
  <c r="F440"/>
  <c r="G440"/>
  <c r="H440"/>
  <c r="I440"/>
  <c r="J440"/>
  <c r="K440"/>
  <c r="L440"/>
  <c r="M440"/>
  <c r="N440"/>
  <c r="A441"/>
  <c r="B441"/>
  <c r="C441"/>
  <c r="D441"/>
  <c r="E441"/>
  <c r="F441"/>
  <c r="G441"/>
  <c r="H441"/>
  <c r="I441"/>
  <c r="J441"/>
  <c r="K441"/>
  <c r="L441"/>
  <c r="M441"/>
  <c r="N441"/>
  <c r="A442"/>
  <c r="B442"/>
  <c r="C442"/>
  <c r="D442"/>
  <c r="E442"/>
  <c r="F442"/>
  <c r="G442"/>
  <c r="H442"/>
  <c r="I442"/>
  <c r="J442"/>
  <c r="K442"/>
  <c r="L442"/>
  <c r="M442"/>
  <c r="N442"/>
  <c r="A443"/>
  <c r="B443"/>
  <c r="C443"/>
  <c r="D443"/>
  <c r="E443"/>
  <c r="F443"/>
  <c r="G443"/>
  <c r="H443"/>
  <c r="I443"/>
  <c r="J443"/>
  <c r="K443"/>
  <c r="L443"/>
  <c r="M443"/>
  <c r="N443"/>
  <c r="A444"/>
  <c r="B444"/>
  <c r="C444"/>
  <c r="D444"/>
  <c r="E444"/>
  <c r="F444"/>
  <c r="G444"/>
  <c r="H444"/>
  <c r="I444"/>
  <c r="J444"/>
  <c r="K444"/>
  <c r="L444"/>
  <c r="M444"/>
  <c r="N444"/>
  <c r="A445"/>
  <c r="B445"/>
  <c r="C445"/>
  <c r="D445"/>
  <c r="E445"/>
  <c r="F445"/>
  <c r="G445"/>
  <c r="H445"/>
  <c r="I445"/>
  <c r="J445"/>
  <c r="K445"/>
  <c r="L445"/>
  <c r="M445"/>
  <c r="N445"/>
  <c r="A446"/>
  <c r="B446"/>
  <c r="C446"/>
  <c r="D446"/>
  <c r="E446"/>
  <c r="F446"/>
  <c r="G446"/>
  <c r="H446"/>
  <c r="I446"/>
  <c r="J446"/>
  <c r="K446"/>
  <c r="L446"/>
  <c r="M446"/>
  <c r="N446"/>
  <c r="A447"/>
  <c r="B447"/>
  <c r="C447"/>
  <c r="D447"/>
  <c r="E447"/>
  <c r="F447"/>
  <c r="G447"/>
  <c r="H447"/>
  <c r="I447"/>
  <c r="J447"/>
  <c r="K447"/>
  <c r="L447"/>
  <c r="M447"/>
  <c r="N447"/>
  <c r="A448"/>
  <c r="B448"/>
  <c r="C448"/>
  <c r="D448"/>
  <c r="E448"/>
  <c r="F448"/>
  <c r="G448"/>
  <c r="H448"/>
  <c r="I448"/>
  <c r="J448"/>
  <c r="K448"/>
  <c r="L448"/>
  <c r="M448"/>
  <c r="N448"/>
  <c r="A449"/>
  <c r="B449"/>
  <c r="C449"/>
  <c r="D449"/>
  <c r="E449"/>
  <c r="F449"/>
  <c r="G449"/>
  <c r="H449"/>
  <c r="I449"/>
  <c r="J449"/>
  <c r="K449"/>
  <c r="L449"/>
  <c r="M449"/>
  <c r="N449"/>
  <c r="A450"/>
  <c r="B450"/>
  <c r="C450"/>
  <c r="D450"/>
  <c r="E450"/>
  <c r="F450"/>
  <c r="G450"/>
  <c r="H450"/>
  <c r="I450"/>
  <c r="J450"/>
  <c r="K450"/>
  <c r="L450"/>
  <c r="M450"/>
  <c r="N450"/>
  <c r="A451"/>
  <c r="B451"/>
  <c r="C451"/>
  <c r="D451"/>
  <c r="E451"/>
  <c r="F451"/>
  <c r="G451"/>
  <c r="H451"/>
  <c r="I451"/>
  <c r="J451"/>
  <c r="K451"/>
  <c r="L451"/>
  <c r="M451"/>
  <c r="N451"/>
  <c r="A452"/>
  <c r="B452"/>
  <c r="C452"/>
  <c r="D452"/>
  <c r="E452"/>
  <c r="F452"/>
  <c r="G452"/>
  <c r="H452"/>
  <c r="I452"/>
  <c r="J452"/>
  <c r="K452"/>
  <c r="L452"/>
  <c r="M452"/>
  <c r="N452"/>
  <c r="A453"/>
  <c r="B453"/>
  <c r="C453"/>
  <c r="D453"/>
  <c r="E453"/>
  <c r="F453"/>
  <c r="G453"/>
  <c r="H453"/>
  <c r="I453"/>
  <c r="J453"/>
  <c r="K453"/>
  <c r="L453"/>
  <c r="M453"/>
  <c r="N453"/>
  <c r="A454"/>
  <c r="B454"/>
  <c r="C454"/>
  <c r="D454"/>
  <c r="E454"/>
  <c r="F454"/>
  <c r="G454"/>
  <c r="H454"/>
  <c r="I454"/>
  <c r="J454"/>
  <c r="K454"/>
  <c r="L454"/>
  <c r="M454"/>
  <c r="N454"/>
  <c r="A455"/>
  <c r="B455"/>
  <c r="C455"/>
  <c r="D455"/>
  <c r="E455"/>
  <c r="F455"/>
  <c r="G455"/>
  <c r="H455"/>
  <c r="I455"/>
  <c r="J455"/>
  <c r="K455"/>
  <c r="L455"/>
  <c r="M455"/>
  <c r="N455"/>
  <c r="A456"/>
  <c r="B456"/>
  <c r="C456"/>
  <c r="D456"/>
  <c r="E456"/>
  <c r="F456"/>
  <c r="G456"/>
  <c r="H456"/>
  <c r="I456"/>
  <c r="J456"/>
  <c r="K456"/>
  <c r="L456"/>
  <c r="M456"/>
  <c r="N456"/>
  <c r="A457"/>
  <c r="B457"/>
  <c r="C457"/>
  <c r="D457"/>
  <c r="E457"/>
  <c r="F457"/>
  <c r="G457"/>
  <c r="H457"/>
  <c r="I457"/>
  <c r="J457"/>
  <c r="K457"/>
  <c r="L457"/>
  <c r="M457"/>
  <c r="N457"/>
  <c r="A458"/>
  <c r="B458"/>
  <c r="C458"/>
  <c r="D458"/>
  <c r="E458"/>
  <c r="F458"/>
  <c r="G458"/>
  <c r="H458"/>
  <c r="I458"/>
  <c r="J458"/>
  <c r="K458"/>
  <c r="L458"/>
  <c r="M458"/>
  <c r="N458"/>
  <c r="A459"/>
  <c r="B459"/>
  <c r="C459"/>
  <c r="D459"/>
  <c r="E459"/>
  <c r="F459"/>
  <c r="G459"/>
  <c r="H459"/>
  <c r="I459"/>
  <c r="J459"/>
  <c r="K459"/>
  <c r="L459"/>
  <c r="M459"/>
  <c r="N459"/>
  <c r="A460"/>
  <c r="B460"/>
  <c r="C460"/>
  <c r="D460"/>
  <c r="E460"/>
  <c r="F460"/>
  <c r="G460"/>
  <c r="H460"/>
  <c r="I460"/>
  <c r="J460"/>
  <c r="K460"/>
  <c r="L460"/>
  <c r="M460"/>
  <c r="N460"/>
  <c r="A461"/>
  <c r="B461"/>
  <c r="C461"/>
  <c r="D461"/>
  <c r="E461"/>
  <c r="F461"/>
  <c r="G461"/>
  <c r="H461"/>
  <c r="I461"/>
  <c r="J461"/>
  <c r="K461"/>
  <c r="L461"/>
  <c r="M461"/>
  <c r="N461"/>
  <c r="A462"/>
  <c r="B462"/>
  <c r="C462"/>
  <c r="D462"/>
  <c r="E462"/>
  <c r="F462"/>
  <c r="G462"/>
  <c r="H462"/>
  <c r="I462"/>
  <c r="J462"/>
  <c r="K462"/>
  <c r="L462"/>
  <c r="M462"/>
  <c r="N462"/>
  <c r="A463"/>
  <c r="B463"/>
  <c r="C463"/>
  <c r="D463"/>
  <c r="E463"/>
  <c r="F463"/>
  <c r="G463"/>
  <c r="H463"/>
  <c r="I463"/>
  <c r="J463"/>
  <c r="K463"/>
  <c r="L463"/>
  <c r="M463"/>
  <c r="N463"/>
  <c r="A464"/>
  <c r="B464"/>
  <c r="C464"/>
  <c r="D464"/>
  <c r="E464"/>
  <c r="F464"/>
  <c r="G464"/>
  <c r="H464"/>
  <c r="I464"/>
  <c r="J464"/>
  <c r="K464"/>
  <c r="L464"/>
  <c r="N464"/>
  <c r="A465"/>
  <c r="B465"/>
  <c r="C465"/>
  <c r="D465"/>
  <c r="E465"/>
  <c r="F465"/>
  <c r="G465"/>
  <c r="H465"/>
  <c r="I465"/>
  <c r="J465"/>
  <c r="K465"/>
  <c r="L465"/>
  <c r="N465"/>
  <c r="A466"/>
  <c r="B466"/>
  <c r="C466"/>
  <c r="D466"/>
  <c r="E466"/>
  <c r="F466"/>
  <c r="G466"/>
  <c r="H466"/>
  <c r="I466"/>
  <c r="J466"/>
  <c r="K466"/>
  <c r="L466"/>
  <c r="N466"/>
  <c r="A467"/>
  <c r="B467"/>
  <c r="C467"/>
  <c r="D467"/>
  <c r="E467"/>
  <c r="F467"/>
  <c r="G467"/>
  <c r="H467"/>
  <c r="I467"/>
  <c r="J467"/>
  <c r="K467"/>
  <c r="L467"/>
  <c r="M467"/>
  <c r="N467"/>
  <c r="A468"/>
  <c r="B468"/>
  <c r="C468"/>
  <c r="D468"/>
  <c r="E468"/>
  <c r="F468"/>
  <c r="G468"/>
  <c r="H468"/>
  <c r="I468"/>
  <c r="J468"/>
  <c r="K468"/>
  <c r="L468"/>
  <c r="N468"/>
  <c r="A469"/>
  <c r="B469"/>
  <c r="C469"/>
  <c r="D469"/>
  <c r="E469"/>
  <c r="F469"/>
  <c r="G469"/>
  <c r="H469"/>
  <c r="I469"/>
  <c r="J469"/>
  <c r="K469"/>
  <c r="L469"/>
  <c r="N469"/>
  <c r="A470"/>
  <c r="B470"/>
  <c r="C470"/>
  <c r="D470"/>
  <c r="E470"/>
  <c r="F470"/>
  <c r="G470"/>
  <c r="H470"/>
  <c r="I470"/>
  <c r="J470"/>
  <c r="K470"/>
  <c r="L470"/>
  <c r="N470"/>
  <c r="A471"/>
  <c r="B471"/>
  <c r="C471"/>
  <c r="D471"/>
  <c r="E471"/>
  <c r="F471"/>
  <c r="G471"/>
  <c r="H471"/>
  <c r="I471"/>
  <c r="J471"/>
  <c r="K471"/>
  <c r="L471"/>
  <c r="M471"/>
  <c r="N471"/>
  <c r="A472"/>
  <c r="B472"/>
  <c r="C472"/>
  <c r="D472"/>
  <c r="E472"/>
  <c r="F472"/>
  <c r="G472"/>
  <c r="H472"/>
  <c r="I472"/>
  <c r="J472"/>
  <c r="K472"/>
  <c r="L472"/>
  <c r="N472"/>
  <c r="A473"/>
  <c r="B473"/>
  <c r="C473"/>
  <c r="D473"/>
  <c r="E473"/>
  <c r="F473"/>
  <c r="G473"/>
  <c r="H473"/>
  <c r="I473"/>
  <c r="J473"/>
  <c r="K473"/>
  <c r="L473"/>
  <c r="N473"/>
  <c r="A474"/>
  <c r="B474"/>
  <c r="C474"/>
  <c r="D474"/>
  <c r="E474"/>
  <c r="F474"/>
  <c r="G474"/>
  <c r="H474"/>
  <c r="I474"/>
  <c r="J474"/>
  <c r="K474"/>
  <c r="L474"/>
  <c r="N474"/>
  <c r="A475"/>
  <c r="B475"/>
  <c r="C475"/>
  <c r="D475"/>
  <c r="E475"/>
  <c r="F475"/>
  <c r="G475"/>
  <c r="H475"/>
  <c r="I475"/>
  <c r="J475"/>
  <c r="K475"/>
  <c r="L475"/>
  <c r="M475"/>
  <c r="N475"/>
  <c r="A476"/>
  <c r="B476"/>
  <c r="C476"/>
  <c r="D476"/>
  <c r="E476"/>
  <c r="F476"/>
  <c r="G476"/>
  <c r="H476"/>
  <c r="I476"/>
  <c r="J476"/>
  <c r="K476"/>
  <c r="L476"/>
  <c r="N476"/>
  <c r="A477"/>
  <c r="B477"/>
  <c r="C477"/>
  <c r="D477"/>
  <c r="E477"/>
  <c r="F477"/>
  <c r="G477"/>
  <c r="H477"/>
  <c r="I477"/>
  <c r="J477"/>
  <c r="K477"/>
  <c r="L477"/>
  <c r="N477"/>
  <c r="A478"/>
  <c r="B478"/>
  <c r="C478"/>
  <c r="D478"/>
  <c r="E478"/>
  <c r="F478"/>
  <c r="G478"/>
  <c r="H478"/>
  <c r="I478"/>
  <c r="J478"/>
  <c r="K478"/>
  <c r="L478"/>
  <c r="N478"/>
  <c r="A479"/>
  <c r="B479"/>
  <c r="C479"/>
  <c r="D479"/>
  <c r="E479"/>
  <c r="F479"/>
  <c r="G479"/>
  <c r="H479"/>
  <c r="I479"/>
  <c r="J479"/>
  <c r="K479"/>
  <c r="L479"/>
  <c r="M479"/>
  <c r="N479"/>
  <c r="A480"/>
  <c r="B480"/>
  <c r="C480"/>
  <c r="D480"/>
  <c r="E480"/>
  <c r="F480"/>
  <c r="G480"/>
  <c r="H480"/>
  <c r="I480"/>
  <c r="J480"/>
  <c r="K480"/>
  <c r="L480"/>
  <c r="N480"/>
  <c r="A481"/>
  <c r="B481"/>
  <c r="C481"/>
  <c r="D481"/>
  <c r="E481"/>
  <c r="F481"/>
  <c r="G481"/>
  <c r="H481"/>
  <c r="I481"/>
  <c r="J481"/>
  <c r="K481"/>
  <c r="L481"/>
  <c r="N481"/>
  <c r="A482"/>
  <c r="B482"/>
  <c r="C482"/>
  <c r="D482"/>
  <c r="E482"/>
  <c r="F482"/>
  <c r="G482"/>
  <c r="H482"/>
  <c r="I482"/>
  <c r="J482"/>
  <c r="K482"/>
  <c r="L482"/>
  <c r="N482"/>
  <c r="A483"/>
  <c r="B483"/>
  <c r="C483"/>
  <c r="D483"/>
  <c r="E483"/>
  <c r="F483"/>
  <c r="G483"/>
  <c r="H483"/>
  <c r="I483"/>
  <c r="J483"/>
  <c r="K483"/>
  <c r="L483"/>
  <c r="M483"/>
  <c r="N483"/>
  <c r="A484"/>
  <c r="B484"/>
  <c r="C484"/>
  <c r="D484"/>
  <c r="E484"/>
  <c r="F484"/>
  <c r="G484"/>
  <c r="H484"/>
  <c r="I484"/>
  <c r="J484"/>
  <c r="K484"/>
  <c r="L484"/>
  <c r="N484"/>
  <c r="A485"/>
  <c r="B485"/>
  <c r="C485"/>
  <c r="D485"/>
  <c r="E485"/>
  <c r="F485"/>
  <c r="G485"/>
  <c r="H485"/>
  <c r="I485"/>
  <c r="J485"/>
  <c r="K485"/>
  <c r="L485"/>
  <c r="N485"/>
  <c r="A486"/>
  <c r="B486"/>
  <c r="C486"/>
  <c r="D486"/>
  <c r="E486"/>
  <c r="F486"/>
  <c r="G486"/>
  <c r="H486"/>
  <c r="I486"/>
  <c r="J486"/>
  <c r="K486"/>
  <c r="L486"/>
  <c r="N486"/>
  <c r="A487"/>
  <c r="B487"/>
  <c r="C487"/>
  <c r="D487"/>
  <c r="E487"/>
  <c r="F487"/>
  <c r="G487"/>
  <c r="H487"/>
  <c r="I487"/>
  <c r="J487"/>
  <c r="K487"/>
  <c r="L487"/>
  <c r="M487"/>
  <c r="N487"/>
  <c r="A488"/>
  <c r="B488"/>
  <c r="C488"/>
  <c r="D488"/>
  <c r="E488"/>
  <c r="F488"/>
  <c r="G488"/>
  <c r="H488"/>
  <c r="I488"/>
  <c r="J488"/>
  <c r="K488"/>
  <c r="L488"/>
  <c r="N488"/>
  <c r="A489"/>
  <c r="B489"/>
  <c r="C489"/>
  <c r="D489"/>
  <c r="E489"/>
  <c r="F489"/>
  <c r="G489"/>
  <c r="H489"/>
  <c r="I489"/>
  <c r="J489"/>
  <c r="K489"/>
  <c r="L489"/>
  <c r="M489"/>
  <c r="N489"/>
  <c r="A490"/>
  <c r="B490"/>
  <c r="C490"/>
  <c r="D490"/>
  <c r="E490"/>
  <c r="F490"/>
  <c r="G490"/>
  <c r="H490"/>
  <c r="I490"/>
  <c r="J490"/>
  <c r="K490"/>
  <c r="L490"/>
  <c r="N490"/>
  <c r="A491"/>
  <c r="B491"/>
  <c r="C491"/>
  <c r="D491"/>
  <c r="E491"/>
  <c r="F491"/>
  <c r="G491"/>
  <c r="H491"/>
  <c r="I491"/>
  <c r="J491"/>
  <c r="K491"/>
  <c r="L491"/>
  <c r="M491"/>
  <c r="N491"/>
  <c r="A492"/>
  <c r="B492"/>
  <c r="C492"/>
  <c r="D492"/>
  <c r="E492"/>
  <c r="F492"/>
  <c r="G492"/>
  <c r="H492"/>
  <c r="I492"/>
  <c r="J492"/>
  <c r="K492"/>
  <c r="L492"/>
  <c r="N492"/>
  <c r="A493"/>
  <c r="B493"/>
  <c r="C493"/>
  <c r="D493"/>
  <c r="E493"/>
  <c r="F493"/>
  <c r="G493"/>
  <c r="H493"/>
  <c r="I493"/>
  <c r="J493"/>
  <c r="K493"/>
  <c r="L493"/>
  <c r="N493"/>
  <c r="A494"/>
  <c r="B494"/>
  <c r="C494"/>
  <c r="D494"/>
  <c r="E494"/>
  <c r="F494"/>
  <c r="G494"/>
  <c r="H494"/>
  <c r="I494"/>
  <c r="J494"/>
  <c r="K494"/>
  <c r="L494"/>
  <c r="N494"/>
  <c r="A495"/>
  <c r="B495"/>
  <c r="C495"/>
  <c r="D495"/>
  <c r="E495"/>
  <c r="F495"/>
  <c r="G495"/>
  <c r="H495"/>
  <c r="I495"/>
  <c r="J495"/>
  <c r="K495"/>
  <c r="L495"/>
  <c r="M495"/>
  <c r="N495"/>
  <c r="A496"/>
  <c r="B496"/>
  <c r="C496"/>
  <c r="D496"/>
  <c r="E496"/>
  <c r="F496"/>
  <c r="G496"/>
  <c r="H496"/>
  <c r="I496"/>
  <c r="J496"/>
  <c r="K496"/>
  <c r="L496"/>
  <c r="N496"/>
  <c r="A497"/>
  <c r="B497"/>
  <c r="C497"/>
  <c r="D497"/>
  <c r="E497"/>
  <c r="F497"/>
  <c r="G497"/>
  <c r="H497"/>
  <c r="I497"/>
  <c r="J497"/>
  <c r="K497"/>
  <c r="L497"/>
  <c r="N497"/>
  <c r="A498"/>
  <c r="B498"/>
  <c r="C498"/>
  <c r="D498"/>
  <c r="E498"/>
  <c r="F498"/>
  <c r="G498"/>
  <c r="H498"/>
  <c r="I498"/>
  <c r="J498"/>
  <c r="K498"/>
  <c r="L498"/>
  <c r="N498"/>
  <c r="A499"/>
  <c r="B499"/>
  <c r="C499"/>
  <c r="D499"/>
  <c r="E499"/>
  <c r="F499"/>
  <c r="G499"/>
  <c r="H499"/>
  <c r="I499"/>
  <c r="J499"/>
  <c r="K499"/>
  <c r="L499"/>
  <c r="M499"/>
  <c r="N499"/>
  <c r="A500"/>
  <c r="B500"/>
  <c r="C500"/>
  <c r="D500"/>
  <c r="E500"/>
  <c r="F500"/>
  <c r="G500"/>
  <c r="H500"/>
  <c r="I500"/>
  <c r="J500"/>
  <c r="K500"/>
  <c r="L500"/>
  <c r="N500"/>
  <c r="A501"/>
  <c r="B501"/>
  <c r="C501"/>
  <c r="D501"/>
  <c r="E501"/>
  <c r="F501"/>
  <c r="G501"/>
  <c r="H501"/>
  <c r="I501"/>
  <c r="J501"/>
  <c r="K501"/>
  <c r="L501"/>
  <c r="N501"/>
  <c r="A502"/>
  <c r="B502"/>
  <c r="C502"/>
  <c r="D502"/>
  <c r="E502"/>
  <c r="F502"/>
  <c r="G502"/>
  <c r="H502"/>
  <c r="I502"/>
  <c r="J502"/>
  <c r="K502"/>
  <c r="L502"/>
  <c r="N502"/>
  <c r="A503"/>
  <c r="B503"/>
  <c r="C503"/>
  <c r="D503"/>
  <c r="E503"/>
  <c r="F503"/>
  <c r="G503"/>
  <c r="H503"/>
  <c r="I503"/>
  <c r="J503"/>
  <c r="K503"/>
  <c r="L503"/>
  <c r="M503"/>
  <c r="N503"/>
  <c r="A504"/>
  <c r="B504"/>
  <c r="C504"/>
  <c r="D504"/>
  <c r="E504"/>
  <c r="F504"/>
  <c r="G504"/>
  <c r="H504"/>
  <c r="I504"/>
  <c r="J504"/>
  <c r="K504"/>
  <c r="L504"/>
  <c r="N504"/>
  <c r="A505"/>
  <c r="B505"/>
  <c r="C505"/>
  <c r="D505"/>
  <c r="E505"/>
  <c r="F505"/>
  <c r="G505"/>
  <c r="H505"/>
  <c r="I505"/>
  <c r="J505"/>
  <c r="K505"/>
  <c r="L505"/>
  <c r="N505"/>
  <c r="A506"/>
  <c r="B506"/>
  <c r="C506"/>
  <c r="D506"/>
  <c r="E506"/>
  <c r="F506"/>
  <c r="G506"/>
  <c r="H506"/>
  <c r="I506"/>
  <c r="J506"/>
  <c r="K506"/>
  <c r="L506"/>
  <c r="N506"/>
  <c r="A507"/>
  <c r="B507"/>
  <c r="C507"/>
  <c r="D507"/>
  <c r="E507"/>
  <c r="F507"/>
  <c r="G507"/>
  <c r="H507"/>
  <c r="I507"/>
  <c r="J507"/>
  <c r="K507"/>
  <c r="L507"/>
  <c r="M507"/>
  <c r="N507"/>
  <c r="A508"/>
  <c r="B508"/>
  <c r="C508"/>
  <c r="D508"/>
  <c r="E508"/>
  <c r="F508"/>
  <c r="G508"/>
  <c r="H508"/>
  <c r="I508"/>
  <c r="J508"/>
  <c r="K508"/>
  <c r="L508"/>
  <c r="N508"/>
  <c r="A509"/>
  <c r="B509"/>
  <c r="C509"/>
  <c r="D509"/>
  <c r="E509"/>
  <c r="F509"/>
  <c r="G509"/>
  <c r="H509"/>
  <c r="I509"/>
  <c r="J509"/>
  <c r="K509"/>
  <c r="L509"/>
  <c r="M509"/>
  <c r="N509"/>
  <c r="A510"/>
  <c r="B510"/>
  <c r="C510"/>
  <c r="D510"/>
  <c r="E510"/>
  <c r="F510"/>
  <c r="G510"/>
  <c r="H510"/>
  <c r="I510"/>
  <c r="J510"/>
  <c r="K510"/>
  <c r="L510"/>
  <c r="N510"/>
  <c r="A511"/>
  <c r="B511"/>
  <c r="C511"/>
  <c r="D511"/>
  <c r="E511"/>
  <c r="F511"/>
  <c r="G511"/>
  <c r="H511"/>
  <c r="I511"/>
  <c r="J511"/>
  <c r="K511"/>
  <c r="L511"/>
  <c r="M511"/>
  <c r="N511"/>
  <c r="A512"/>
  <c r="B512"/>
  <c r="C512"/>
  <c r="D512"/>
  <c r="E512"/>
  <c r="F512"/>
  <c r="G512"/>
  <c r="H512"/>
  <c r="I512"/>
  <c r="J512"/>
  <c r="K512"/>
  <c r="L512"/>
  <c r="N512"/>
  <c r="A513"/>
  <c r="B513"/>
  <c r="C513"/>
  <c r="D513"/>
  <c r="E513"/>
  <c r="F513"/>
  <c r="G513"/>
  <c r="H513"/>
  <c r="I513"/>
  <c r="J513"/>
  <c r="K513"/>
  <c r="L513"/>
  <c r="N513"/>
  <c r="A514"/>
  <c r="B514"/>
  <c r="C514"/>
  <c r="D514"/>
  <c r="E514"/>
  <c r="F514"/>
  <c r="G514"/>
  <c r="H514"/>
  <c r="I514"/>
  <c r="J514"/>
  <c r="K514"/>
  <c r="L514"/>
  <c r="N514"/>
  <c r="A515"/>
  <c r="B515"/>
  <c r="C515"/>
  <c r="D515"/>
  <c r="E515"/>
  <c r="F515"/>
  <c r="G515"/>
  <c r="H515"/>
  <c r="I515"/>
  <c r="J515"/>
  <c r="K515"/>
  <c r="L515"/>
  <c r="M515"/>
  <c r="N515"/>
  <c r="A516"/>
  <c r="B516"/>
  <c r="C516"/>
  <c r="D516"/>
  <c r="E516"/>
  <c r="F516"/>
  <c r="G516"/>
  <c r="H516"/>
  <c r="I516"/>
  <c r="J516"/>
  <c r="K516"/>
  <c r="L516"/>
  <c r="N516"/>
  <c r="A517"/>
  <c r="B517"/>
  <c r="C517"/>
  <c r="D517"/>
  <c r="E517"/>
  <c r="F517"/>
  <c r="G517"/>
  <c r="H517"/>
  <c r="I517"/>
  <c r="J517"/>
  <c r="K517"/>
  <c r="L517"/>
  <c r="N517"/>
  <c r="A518"/>
  <c r="B518"/>
  <c r="C518"/>
  <c r="D518"/>
  <c r="E518"/>
  <c r="F518"/>
  <c r="G518"/>
  <c r="H518"/>
  <c r="I518"/>
  <c r="J518"/>
  <c r="K518"/>
  <c r="L518"/>
  <c r="N518"/>
  <c r="A519"/>
  <c r="B519"/>
  <c r="C519"/>
  <c r="D519"/>
  <c r="E519"/>
  <c r="F519"/>
  <c r="G519"/>
  <c r="H519"/>
  <c r="I519"/>
  <c r="J519"/>
  <c r="K519"/>
  <c r="L519"/>
  <c r="M519"/>
  <c r="N519"/>
  <c r="A520"/>
  <c r="B520"/>
  <c r="C520"/>
  <c r="D520"/>
  <c r="E520"/>
  <c r="F520"/>
  <c r="G520"/>
  <c r="H520"/>
  <c r="I520"/>
  <c r="J520"/>
  <c r="K520"/>
  <c r="L520"/>
  <c r="N520"/>
  <c r="A521"/>
  <c r="B521"/>
  <c r="C521"/>
  <c r="D521"/>
  <c r="E521"/>
  <c r="F521"/>
  <c r="G521"/>
  <c r="H521"/>
  <c r="I521"/>
  <c r="J521"/>
  <c r="K521"/>
  <c r="L521"/>
  <c r="M521"/>
  <c r="N521"/>
  <c r="A522"/>
  <c r="B522"/>
  <c r="C522"/>
  <c r="D522"/>
  <c r="E522"/>
  <c r="F522"/>
  <c r="G522"/>
  <c r="H522"/>
  <c r="I522"/>
  <c r="J522"/>
  <c r="K522"/>
  <c r="L522"/>
  <c r="N522"/>
  <c r="A523"/>
  <c r="B523"/>
  <c r="C523"/>
  <c r="D523"/>
  <c r="E523"/>
  <c r="F523"/>
  <c r="G523"/>
  <c r="H523"/>
  <c r="I523"/>
  <c r="J523"/>
  <c r="K523"/>
  <c r="L523"/>
  <c r="M523"/>
  <c r="N523"/>
  <c r="A524"/>
  <c r="B524"/>
  <c r="C524"/>
  <c r="D524"/>
  <c r="E524"/>
  <c r="F524"/>
  <c r="G524"/>
  <c r="H524"/>
  <c r="I524"/>
  <c r="J524"/>
  <c r="K524"/>
  <c r="L524"/>
  <c r="N524"/>
  <c r="A525"/>
  <c r="B525"/>
  <c r="C525"/>
  <c r="D525"/>
  <c r="E525"/>
  <c r="F525"/>
  <c r="G525"/>
  <c r="H525"/>
  <c r="I525"/>
  <c r="J525"/>
  <c r="K525"/>
  <c r="L525"/>
  <c r="N525"/>
  <c r="A526"/>
  <c r="B526"/>
  <c r="C526"/>
  <c r="D526"/>
  <c r="E526"/>
  <c r="F526"/>
  <c r="G526"/>
  <c r="H526"/>
  <c r="I526"/>
  <c r="J526"/>
  <c r="K526"/>
  <c r="L526"/>
  <c r="N526"/>
  <c r="A527"/>
  <c r="B527"/>
  <c r="C527"/>
  <c r="D527"/>
  <c r="E527"/>
  <c r="F527"/>
  <c r="G527"/>
  <c r="H527"/>
  <c r="I527"/>
  <c r="J527"/>
  <c r="K527"/>
  <c r="L527"/>
  <c r="M527"/>
  <c r="N527"/>
  <c r="A528"/>
  <c r="B528"/>
  <c r="C528"/>
  <c r="D528"/>
  <c r="E528"/>
  <c r="F528"/>
  <c r="G528"/>
  <c r="H528"/>
  <c r="I528"/>
  <c r="J528"/>
  <c r="K528"/>
  <c r="L528"/>
  <c r="N528"/>
  <c r="A529"/>
  <c r="B529"/>
  <c r="C529"/>
  <c r="D529"/>
  <c r="E529"/>
  <c r="F529"/>
  <c r="G529"/>
  <c r="H529"/>
  <c r="I529"/>
  <c r="J529"/>
  <c r="K529"/>
  <c r="L529"/>
  <c r="N529"/>
  <c r="A530"/>
  <c r="B530"/>
  <c r="C530"/>
  <c r="D530"/>
  <c r="E530"/>
  <c r="F530"/>
  <c r="G530"/>
  <c r="H530"/>
  <c r="I530"/>
  <c r="J530"/>
  <c r="K530"/>
  <c r="L530"/>
  <c r="N530"/>
  <c r="A531"/>
  <c r="B531"/>
  <c r="C531"/>
  <c r="D531"/>
  <c r="E531"/>
  <c r="F531"/>
  <c r="G531"/>
  <c r="H531"/>
  <c r="I531"/>
  <c r="J531"/>
  <c r="K531"/>
  <c r="L531"/>
  <c r="M531"/>
  <c r="N531"/>
  <c r="A532"/>
  <c r="B532"/>
  <c r="C532"/>
  <c r="D532"/>
  <c r="E532"/>
  <c r="F532"/>
  <c r="G532"/>
  <c r="H532"/>
  <c r="I532"/>
  <c r="J532"/>
  <c r="K532"/>
  <c r="L532"/>
  <c r="N532"/>
  <c r="A533"/>
  <c r="B533"/>
  <c r="C533"/>
  <c r="D533"/>
  <c r="E533"/>
  <c r="F533"/>
  <c r="G533"/>
  <c r="H533"/>
  <c r="I533"/>
  <c r="J533"/>
  <c r="K533"/>
  <c r="L533"/>
  <c r="N533"/>
  <c r="A534"/>
  <c r="B534"/>
  <c r="C534"/>
  <c r="D534"/>
  <c r="E534"/>
  <c r="F534"/>
  <c r="G534"/>
  <c r="H534"/>
  <c r="I534"/>
  <c r="J534"/>
  <c r="K534"/>
  <c r="L534"/>
  <c r="N534"/>
  <c r="A535"/>
  <c r="B535"/>
  <c r="C535"/>
  <c r="D535"/>
  <c r="E535"/>
  <c r="F535"/>
  <c r="G535"/>
  <c r="H535"/>
  <c r="I535"/>
  <c r="J535"/>
  <c r="K535"/>
  <c r="L535"/>
  <c r="M535"/>
  <c r="N535"/>
  <c r="A536"/>
  <c r="B536"/>
  <c r="C536"/>
  <c r="D536"/>
  <c r="E536"/>
  <c r="F536"/>
  <c r="G536"/>
  <c r="H536"/>
  <c r="I536"/>
  <c r="J536"/>
  <c r="K536"/>
  <c r="L536"/>
  <c r="N536"/>
  <c r="A537"/>
  <c r="B537"/>
  <c r="C537"/>
  <c r="D537"/>
  <c r="E537"/>
  <c r="F537"/>
  <c r="G537"/>
  <c r="H537"/>
  <c r="I537"/>
  <c r="J537"/>
  <c r="K537"/>
  <c r="L537"/>
  <c r="N537"/>
  <c r="A538"/>
  <c r="B538"/>
  <c r="C538"/>
  <c r="D538"/>
  <c r="E538"/>
  <c r="F538"/>
  <c r="G538"/>
  <c r="H538"/>
  <c r="I538"/>
  <c r="J538"/>
  <c r="K538"/>
  <c r="L538"/>
  <c r="N538"/>
  <c r="A539"/>
  <c r="B539"/>
  <c r="C539"/>
  <c r="D539"/>
  <c r="E539"/>
  <c r="F539"/>
  <c r="G539"/>
  <c r="H539"/>
  <c r="I539"/>
  <c r="J539"/>
  <c r="K539"/>
  <c r="L539"/>
  <c r="M539"/>
  <c r="N539"/>
  <c r="A540"/>
  <c r="B540"/>
  <c r="C540"/>
  <c r="D540"/>
  <c r="E540"/>
  <c r="F540"/>
  <c r="G540"/>
  <c r="H540"/>
  <c r="I540"/>
  <c r="J540"/>
  <c r="K540"/>
  <c r="L540"/>
  <c r="N540"/>
  <c r="A541"/>
  <c r="B541"/>
  <c r="C541"/>
  <c r="D541"/>
  <c r="E541"/>
  <c r="F541"/>
  <c r="G541"/>
  <c r="H541"/>
  <c r="I541"/>
  <c r="J541"/>
  <c r="K541"/>
  <c r="L541"/>
  <c r="N541"/>
  <c r="A542"/>
  <c r="B542"/>
  <c r="C542"/>
  <c r="D542"/>
  <c r="E542"/>
  <c r="F542"/>
  <c r="G542"/>
  <c r="H542"/>
  <c r="I542"/>
  <c r="J542"/>
  <c r="K542"/>
  <c r="L542"/>
  <c r="N542"/>
  <c r="A543"/>
  <c r="B543"/>
  <c r="C543"/>
  <c r="D543"/>
  <c r="E543"/>
  <c r="F543"/>
  <c r="G543"/>
  <c r="H543"/>
  <c r="I543"/>
  <c r="J543"/>
  <c r="K543"/>
  <c r="L543"/>
  <c r="M543"/>
  <c r="N543"/>
  <c r="A544"/>
  <c r="B544"/>
  <c r="C544"/>
  <c r="D544"/>
  <c r="E544"/>
  <c r="F544"/>
  <c r="G544"/>
  <c r="H544"/>
  <c r="I544"/>
  <c r="J544"/>
  <c r="K544"/>
  <c r="L544"/>
  <c r="N544"/>
  <c r="A545"/>
  <c r="B545"/>
  <c r="C545"/>
  <c r="D545"/>
  <c r="E545"/>
  <c r="F545"/>
  <c r="G545"/>
  <c r="H545"/>
  <c r="I545"/>
  <c r="J545"/>
  <c r="K545"/>
  <c r="L545"/>
  <c r="N545"/>
  <c r="A546"/>
  <c r="B546"/>
  <c r="C546"/>
  <c r="D546"/>
  <c r="E546"/>
  <c r="F546"/>
  <c r="G546"/>
  <c r="H546"/>
  <c r="I546"/>
  <c r="J546"/>
  <c r="K546"/>
  <c r="L546"/>
  <c r="N546"/>
  <c r="A547"/>
  <c r="B547"/>
  <c r="C547"/>
  <c r="D547"/>
  <c r="E547"/>
  <c r="F547"/>
  <c r="G547"/>
  <c r="H547"/>
  <c r="I547"/>
  <c r="J547"/>
  <c r="K547"/>
  <c r="L547"/>
  <c r="M547"/>
  <c r="N547"/>
  <c r="A548"/>
  <c r="B548"/>
  <c r="C548"/>
  <c r="D548"/>
  <c r="E548"/>
  <c r="F548"/>
  <c r="G548"/>
  <c r="H548"/>
  <c r="I548"/>
  <c r="J548"/>
  <c r="K548"/>
  <c r="L548"/>
  <c r="N548"/>
  <c r="A549"/>
  <c r="B549"/>
  <c r="C549"/>
  <c r="D549"/>
  <c r="E549"/>
  <c r="F549"/>
  <c r="G549"/>
  <c r="H549"/>
  <c r="I549"/>
  <c r="J549"/>
  <c r="K549"/>
  <c r="L549"/>
  <c r="N549"/>
  <c r="A550"/>
  <c r="B550"/>
  <c r="C550"/>
  <c r="D550"/>
  <c r="E550"/>
  <c r="F550"/>
  <c r="G550"/>
  <c r="H550"/>
  <c r="I550"/>
  <c r="J550"/>
  <c r="K550"/>
  <c r="L550"/>
  <c r="N550"/>
  <c r="A551"/>
  <c r="B551"/>
  <c r="C551"/>
  <c r="D551"/>
  <c r="E551"/>
  <c r="F551"/>
  <c r="G551"/>
  <c r="H551"/>
  <c r="I551"/>
  <c r="J551"/>
  <c r="K551"/>
  <c r="L551"/>
  <c r="M551"/>
  <c r="N551"/>
  <c r="A552"/>
  <c r="B552"/>
  <c r="C552"/>
  <c r="D552"/>
  <c r="E552"/>
  <c r="F552"/>
  <c r="G552"/>
  <c r="H552"/>
  <c r="I552"/>
  <c r="J552"/>
  <c r="K552"/>
  <c r="L552"/>
  <c r="N552"/>
  <c r="A553"/>
  <c r="B553"/>
  <c r="C553"/>
  <c r="D553"/>
  <c r="E553"/>
  <c r="F553"/>
  <c r="G553"/>
  <c r="H553"/>
  <c r="I553"/>
  <c r="J553"/>
  <c r="K553"/>
  <c r="L553"/>
  <c r="M553"/>
  <c r="N553"/>
  <c r="A554"/>
  <c r="B554"/>
  <c r="C554"/>
  <c r="D554"/>
  <c r="E554"/>
  <c r="F554"/>
  <c r="G554"/>
  <c r="H554"/>
  <c r="I554"/>
  <c r="J554"/>
  <c r="K554"/>
  <c r="L554"/>
  <c r="N554"/>
  <c r="A555"/>
  <c r="B555"/>
  <c r="C555"/>
  <c r="D555"/>
  <c r="E555"/>
  <c r="F555"/>
  <c r="G555"/>
  <c r="H555"/>
  <c r="I555"/>
  <c r="J555"/>
  <c r="K555"/>
  <c r="L555"/>
  <c r="M555"/>
  <c r="N555"/>
  <c r="A556"/>
  <c r="B556"/>
  <c r="C556"/>
  <c r="D556"/>
  <c r="E556"/>
  <c r="F556"/>
  <c r="G556"/>
  <c r="H556"/>
  <c r="I556"/>
  <c r="J556"/>
  <c r="K556"/>
  <c r="L556"/>
  <c r="N556"/>
  <c r="A557"/>
  <c r="B557"/>
  <c r="C557"/>
  <c r="D557"/>
  <c r="E557"/>
  <c r="F557"/>
  <c r="G557"/>
  <c r="H557"/>
  <c r="I557"/>
  <c r="J557"/>
  <c r="K557"/>
  <c r="L557"/>
  <c r="N557"/>
  <c r="A558"/>
  <c r="B558"/>
  <c r="C558"/>
  <c r="D558"/>
  <c r="E558"/>
  <c r="F558"/>
  <c r="G558"/>
  <c r="H558"/>
  <c r="I558"/>
  <c r="J558"/>
  <c r="K558"/>
  <c r="L558"/>
  <c r="N558"/>
  <c r="A559"/>
  <c r="B559"/>
  <c r="C559"/>
  <c r="D559"/>
  <c r="E559"/>
  <c r="F559"/>
  <c r="G559"/>
  <c r="H559"/>
  <c r="I559"/>
  <c r="J559"/>
  <c r="K559"/>
  <c r="L559"/>
  <c r="M559"/>
  <c r="N559"/>
  <c r="A560"/>
  <c r="B560"/>
  <c r="C560"/>
  <c r="D560"/>
  <c r="E560"/>
  <c r="F560"/>
  <c r="G560"/>
  <c r="H560"/>
  <c r="I560"/>
  <c r="J560"/>
  <c r="K560"/>
  <c r="L560"/>
  <c r="N560"/>
  <c r="A561"/>
  <c r="B561"/>
  <c r="C561"/>
  <c r="D561"/>
  <c r="E561"/>
  <c r="F561"/>
  <c r="G561"/>
  <c r="H561"/>
  <c r="I561"/>
  <c r="J561"/>
  <c r="K561"/>
  <c r="L561"/>
  <c r="N561"/>
  <c r="A562"/>
  <c r="B562"/>
  <c r="C562"/>
  <c r="D562"/>
  <c r="E562"/>
  <c r="F562"/>
  <c r="G562"/>
  <c r="H562"/>
  <c r="I562"/>
  <c r="J562"/>
  <c r="K562"/>
  <c r="L562"/>
  <c r="N562"/>
  <c r="A563"/>
  <c r="B563"/>
  <c r="C563"/>
  <c r="D563"/>
  <c r="E563"/>
  <c r="F563"/>
  <c r="G563"/>
  <c r="H563"/>
  <c r="I563"/>
  <c r="J563"/>
  <c r="K563"/>
  <c r="L563"/>
  <c r="M563"/>
  <c r="N563"/>
  <c r="A564"/>
  <c r="B564"/>
  <c r="C564"/>
  <c r="D564"/>
  <c r="E564"/>
  <c r="F564"/>
  <c r="G564"/>
  <c r="H564"/>
  <c r="I564"/>
  <c r="J564"/>
  <c r="K564"/>
  <c r="L564"/>
  <c r="N564"/>
  <c r="A565"/>
  <c r="B565"/>
  <c r="C565"/>
  <c r="D565"/>
  <c r="E565"/>
  <c r="F565"/>
  <c r="G565"/>
  <c r="H565"/>
  <c r="I565"/>
  <c r="J565"/>
  <c r="K565"/>
  <c r="L565"/>
  <c r="N565"/>
  <c r="A566"/>
  <c r="B566"/>
  <c r="C566"/>
  <c r="D566"/>
  <c r="E566"/>
  <c r="F566"/>
  <c r="G566"/>
  <c r="H566"/>
  <c r="I566"/>
  <c r="J566"/>
  <c r="K566"/>
  <c r="L566"/>
  <c r="N566"/>
  <c r="A567"/>
  <c r="B567"/>
  <c r="C567"/>
  <c r="D567"/>
  <c r="E567"/>
  <c r="F567"/>
  <c r="G567"/>
  <c r="H567"/>
  <c r="I567"/>
  <c r="J567"/>
  <c r="K567"/>
  <c r="L567"/>
  <c r="M567"/>
  <c r="N567"/>
  <c r="A568"/>
  <c r="B568"/>
  <c r="C568"/>
  <c r="D568"/>
  <c r="E568"/>
  <c r="F568"/>
  <c r="G568"/>
  <c r="H568"/>
  <c r="I568"/>
  <c r="J568"/>
  <c r="K568"/>
  <c r="L568"/>
  <c r="N568"/>
  <c r="A569"/>
  <c r="B569"/>
  <c r="C569"/>
  <c r="D569"/>
  <c r="E569"/>
  <c r="F569"/>
  <c r="G569"/>
  <c r="H569"/>
  <c r="I569"/>
  <c r="J569"/>
  <c r="K569"/>
  <c r="L569"/>
  <c r="N569"/>
  <c r="A570"/>
  <c r="B570"/>
  <c r="C570"/>
  <c r="D570"/>
  <c r="E570"/>
  <c r="F570"/>
  <c r="G570"/>
  <c r="H570"/>
  <c r="I570"/>
  <c r="J570"/>
  <c r="K570"/>
  <c r="L570"/>
  <c r="N570"/>
  <c r="A571"/>
  <c r="B571"/>
  <c r="C571"/>
  <c r="D571"/>
  <c r="E571"/>
  <c r="F571"/>
  <c r="G571"/>
  <c r="H571"/>
  <c r="I571"/>
  <c r="J571"/>
  <c r="K571"/>
  <c r="L571"/>
  <c r="M571"/>
  <c r="N571"/>
  <c r="A572"/>
  <c r="B572"/>
  <c r="C572"/>
  <c r="D572"/>
  <c r="E572"/>
  <c r="F572"/>
  <c r="G572"/>
  <c r="H572"/>
  <c r="I572"/>
  <c r="J572"/>
  <c r="K572"/>
  <c r="L572"/>
  <c r="N572"/>
  <c r="A573"/>
  <c r="B573"/>
  <c r="C573"/>
  <c r="D573"/>
  <c r="E573"/>
  <c r="F573"/>
  <c r="G573"/>
  <c r="H573"/>
  <c r="I573"/>
  <c r="J573"/>
  <c r="K573"/>
  <c r="L573"/>
  <c r="M573"/>
  <c r="N573"/>
  <c r="A574"/>
  <c r="B574"/>
  <c r="C574"/>
  <c r="D574"/>
  <c r="E574"/>
  <c r="F574"/>
  <c r="G574"/>
  <c r="H574"/>
  <c r="I574"/>
  <c r="J574"/>
  <c r="K574"/>
  <c r="L574"/>
  <c r="N574"/>
  <c r="A575"/>
  <c r="B575"/>
  <c r="C575"/>
  <c r="D575"/>
  <c r="E575"/>
  <c r="F575"/>
  <c r="G575"/>
  <c r="H575"/>
  <c r="I575"/>
  <c r="J575"/>
  <c r="K575"/>
  <c r="L575"/>
  <c r="M575"/>
  <c r="N575"/>
  <c r="A576"/>
  <c r="B576"/>
  <c r="C576"/>
  <c r="D576"/>
  <c r="E576"/>
  <c r="F576"/>
  <c r="G576"/>
  <c r="H576"/>
  <c r="I576"/>
  <c r="J576"/>
  <c r="K576"/>
  <c r="L576"/>
  <c r="N576"/>
  <c r="A577"/>
  <c r="B577"/>
  <c r="C577"/>
  <c r="D577"/>
  <c r="E577"/>
  <c r="F577"/>
  <c r="G577"/>
  <c r="H577"/>
  <c r="I577"/>
  <c r="J577"/>
  <c r="K577"/>
  <c r="L577"/>
  <c r="N577"/>
  <c r="A578"/>
  <c r="B578"/>
  <c r="C578"/>
  <c r="D578"/>
  <c r="E578"/>
  <c r="F578"/>
  <c r="G578"/>
  <c r="H578"/>
  <c r="I578"/>
  <c r="J578"/>
  <c r="K578"/>
  <c r="L578"/>
  <c r="N578"/>
  <c r="A579"/>
  <c r="B579"/>
  <c r="C579"/>
  <c r="D579"/>
  <c r="E579"/>
  <c r="F579"/>
  <c r="G579"/>
  <c r="H579"/>
  <c r="I579"/>
  <c r="J579"/>
  <c r="K579"/>
  <c r="L579"/>
  <c r="M579"/>
  <c r="N579"/>
  <c r="A580"/>
  <c r="B580"/>
  <c r="C580"/>
  <c r="D580"/>
  <c r="E580"/>
  <c r="F580"/>
  <c r="G580"/>
  <c r="H580"/>
  <c r="I580"/>
  <c r="J580"/>
  <c r="K580"/>
  <c r="L580"/>
  <c r="N580"/>
  <c r="A581"/>
  <c r="B581"/>
  <c r="C581"/>
  <c r="D581"/>
  <c r="E581"/>
  <c r="F581"/>
  <c r="G581"/>
  <c r="H581"/>
  <c r="I581"/>
  <c r="J581"/>
  <c r="K581"/>
  <c r="L581"/>
  <c r="N581"/>
  <c r="A582"/>
  <c r="B582"/>
  <c r="C582"/>
  <c r="D582"/>
  <c r="E582"/>
  <c r="F582"/>
  <c r="G582"/>
  <c r="H582"/>
  <c r="I582"/>
  <c r="J582"/>
  <c r="K582"/>
  <c r="L582"/>
  <c r="N582"/>
  <c r="A583"/>
  <c r="B583"/>
  <c r="C583"/>
  <c r="D583"/>
  <c r="E583"/>
  <c r="F583"/>
  <c r="G583"/>
  <c r="H583"/>
  <c r="I583"/>
  <c r="J583"/>
  <c r="K583"/>
  <c r="L583"/>
  <c r="M583"/>
  <c r="N583"/>
  <c r="A584"/>
  <c r="B584"/>
  <c r="C584"/>
  <c r="D584"/>
  <c r="E584"/>
  <c r="F584"/>
  <c r="G584"/>
  <c r="H584"/>
  <c r="I584"/>
  <c r="J584"/>
  <c r="K584"/>
  <c r="L584"/>
  <c r="N584"/>
  <c r="A585"/>
  <c r="B585"/>
  <c r="C585"/>
  <c r="D585"/>
  <c r="E585"/>
  <c r="F585"/>
  <c r="G585"/>
  <c r="H585"/>
  <c r="I585"/>
  <c r="J585"/>
  <c r="K585"/>
  <c r="L585"/>
  <c r="N585"/>
  <c r="A586"/>
  <c r="B586"/>
  <c r="C586"/>
  <c r="D586"/>
  <c r="E586"/>
  <c r="F586"/>
  <c r="G586"/>
  <c r="H586"/>
  <c r="I586"/>
  <c r="J586"/>
  <c r="K586"/>
  <c r="L586"/>
  <c r="N586"/>
  <c r="A587"/>
  <c r="B587"/>
  <c r="C587"/>
  <c r="D587"/>
  <c r="E587"/>
  <c r="F587"/>
  <c r="G587"/>
  <c r="H587"/>
  <c r="I587"/>
  <c r="J587"/>
  <c r="K587"/>
  <c r="L587"/>
  <c r="M587"/>
  <c r="N587"/>
  <c r="A588"/>
  <c r="B588"/>
  <c r="C588"/>
  <c r="D588"/>
  <c r="E588"/>
  <c r="F588"/>
  <c r="G588"/>
  <c r="H588"/>
  <c r="I588"/>
  <c r="J588"/>
  <c r="K588"/>
  <c r="L588"/>
  <c r="N588"/>
  <c r="A589"/>
  <c r="B589"/>
  <c r="C589"/>
  <c r="D589"/>
  <c r="E589"/>
  <c r="F589"/>
  <c r="G589"/>
  <c r="H589"/>
  <c r="I589"/>
  <c r="J589"/>
  <c r="K589"/>
  <c r="L589"/>
  <c r="N589"/>
  <c r="A590"/>
  <c r="B590"/>
  <c r="C590"/>
  <c r="D590"/>
  <c r="E590"/>
  <c r="F590"/>
  <c r="G590"/>
  <c r="H590"/>
  <c r="I590"/>
  <c r="J590"/>
  <c r="K590"/>
  <c r="L590"/>
  <c r="N590"/>
  <c r="A591"/>
  <c r="B591"/>
  <c r="C591"/>
  <c r="D591"/>
  <c r="E591"/>
  <c r="F591"/>
  <c r="G591"/>
  <c r="H591"/>
  <c r="I591"/>
  <c r="J591"/>
  <c r="K591"/>
  <c r="L591"/>
  <c r="M591"/>
  <c r="N591"/>
  <c r="A592"/>
  <c r="B592"/>
  <c r="C592"/>
  <c r="D592"/>
  <c r="E592"/>
  <c r="F592"/>
  <c r="G592"/>
  <c r="H592"/>
  <c r="I592"/>
  <c r="J592"/>
  <c r="K592"/>
  <c r="L592"/>
  <c r="N592"/>
  <c r="A593"/>
  <c r="B593"/>
  <c r="C593"/>
  <c r="D593"/>
  <c r="E593"/>
  <c r="F593"/>
  <c r="G593"/>
  <c r="H593"/>
  <c r="I593"/>
  <c r="J593"/>
  <c r="K593"/>
  <c r="L593"/>
  <c r="N593"/>
  <c r="A594"/>
  <c r="B594"/>
  <c r="C594"/>
  <c r="D594"/>
  <c r="E594"/>
  <c r="F594"/>
  <c r="G594"/>
  <c r="H594"/>
  <c r="I594"/>
  <c r="J594"/>
  <c r="K594"/>
  <c r="L594"/>
  <c r="N594"/>
  <c r="A595"/>
  <c r="B595"/>
  <c r="C595"/>
  <c r="D595"/>
  <c r="E595"/>
  <c r="F595"/>
  <c r="G595"/>
  <c r="H595"/>
  <c r="I595"/>
  <c r="J595"/>
  <c r="K595"/>
  <c r="L595"/>
  <c r="M595"/>
  <c r="N595"/>
  <c r="A596"/>
  <c r="B596"/>
  <c r="C596"/>
  <c r="D596"/>
  <c r="E596"/>
  <c r="F596"/>
  <c r="G596"/>
  <c r="H596"/>
  <c r="I596"/>
  <c r="J596"/>
  <c r="K596"/>
  <c r="L596"/>
  <c r="N596"/>
  <c r="A597"/>
  <c r="B597"/>
  <c r="C597"/>
  <c r="D597"/>
  <c r="E597"/>
  <c r="F597"/>
  <c r="G597"/>
  <c r="H597"/>
  <c r="I597"/>
  <c r="J597"/>
  <c r="K597"/>
  <c r="L597"/>
  <c r="N597"/>
  <c r="A598"/>
  <c r="B598"/>
  <c r="C598"/>
  <c r="D598"/>
  <c r="E598"/>
  <c r="F598"/>
  <c r="G598"/>
  <c r="H598"/>
  <c r="I598"/>
  <c r="J598"/>
  <c r="K598"/>
  <c r="L598"/>
  <c r="N598"/>
  <c r="A599"/>
  <c r="B599"/>
  <c r="C599"/>
  <c r="D599"/>
  <c r="E599"/>
  <c r="F599"/>
  <c r="G599"/>
  <c r="H599"/>
  <c r="I599"/>
  <c r="J599"/>
  <c r="K599"/>
  <c r="L599"/>
  <c r="M599"/>
  <c r="N599"/>
  <c r="A600"/>
  <c r="B600"/>
  <c r="C600"/>
  <c r="D600"/>
  <c r="E600"/>
  <c r="F600"/>
  <c r="G600"/>
  <c r="H600"/>
  <c r="I600"/>
  <c r="J600"/>
  <c r="K600"/>
  <c r="L600"/>
  <c r="N600"/>
  <c r="A601"/>
  <c r="B601"/>
  <c r="C601"/>
  <c r="D601"/>
  <c r="E601"/>
  <c r="F601"/>
  <c r="G601"/>
  <c r="H601"/>
  <c r="I601"/>
  <c r="J601"/>
  <c r="K601"/>
  <c r="L601"/>
  <c r="N601"/>
  <c r="A602"/>
  <c r="B602"/>
  <c r="C602"/>
  <c r="D602"/>
  <c r="E602"/>
  <c r="F602"/>
  <c r="G602"/>
  <c r="H602"/>
  <c r="I602"/>
  <c r="J602"/>
  <c r="K602"/>
  <c r="L602"/>
  <c r="N602"/>
  <c r="A603"/>
  <c r="B603"/>
  <c r="C603"/>
  <c r="D603"/>
  <c r="E603"/>
  <c r="F603"/>
  <c r="G603"/>
  <c r="H603"/>
  <c r="I603"/>
  <c r="J603"/>
  <c r="K603"/>
  <c r="L603"/>
  <c r="M603"/>
  <c r="N603"/>
  <c r="A604"/>
  <c r="B604"/>
  <c r="C604"/>
  <c r="D604"/>
  <c r="E604"/>
  <c r="F604"/>
  <c r="G604"/>
  <c r="H604"/>
  <c r="I604"/>
  <c r="J604"/>
  <c r="K604"/>
  <c r="L604"/>
  <c r="N604"/>
  <c r="A605"/>
  <c r="B605"/>
  <c r="C605"/>
  <c r="D605"/>
  <c r="E605"/>
  <c r="F605"/>
  <c r="G605"/>
  <c r="H605"/>
  <c r="I605"/>
  <c r="J605"/>
  <c r="K605"/>
  <c r="L605"/>
  <c r="N605"/>
  <c r="A606"/>
  <c r="B606"/>
  <c r="C606"/>
  <c r="D606"/>
  <c r="E606"/>
  <c r="F606"/>
  <c r="G606"/>
  <c r="H606"/>
  <c r="I606"/>
  <c r="J606"/>
  <c r="K606"/>
  <c r="L606"/>
  <c r="N606"/>
  <c r="A607"/>
  <c r="B607"/>
  <c r="C607"/>
  <c r="D607"/>
  <c r="E607"/>
  <c r="F607"/>
  <c r="G607"/>
  <c r="H607"/>
  <c r="I607"/>
  <c r="J607"/>
  <c r="K607"/>
  <c r="L607"/>
  <c r="M607"/>
  <c r="N607"/>
  <c r="A608"/>
  <c r="B608"/>
  <c r="C608"/>
  <c r="D608"/>
  <c r="E608"/>
  <c r="F608"/>
  <c r="G608"/>
  <c r="H608"/>
  <c r="I608"/>
  <c r="J608"/>
  <c r="K608"/>
  <c r="L608"/>
  <c r="N608"/>
  <c r="A609"/>
  <c r="B609"/>
  <c r="C609"/>
  <c r="D609"/>
  <c r="E609"/>
  <c r="F609"/>
  <c r="G609"/>
  <c r="H609"/>
  <c r="I609"/>
  <c r="J609"/>
  <c r="K609"/>
  <c r="L609"/>
  <c r="N609"/>
  <c r="A610"/>
  <c r="B610"/>
  <c r="C610"/>
  <c r="D610"/>
  <c r="E610"/>
  <c r="F610"/>
  <c r="G610"/>
  <c r="H610"/>
  <c r="I610"/>
  <c r="J610"/>
  <c r="K610"/>
  <c r="L610"/>
  <c r="N610"/>
  <c r="A611"/>
  <c r="B611"/>
  <c r="C611"/>
  <c r="D611"/>
  <c r="E611"/>
  <c r="F611"/>
  <c r="G611"/>
  <c r="H611"/>
  <c r="I611"/>
  <c r="J611"/>
  <c r="K611"/>
  <c r="L611"/>
  <c r="M611"/>
  <c r="N611"/>
  <c r="A612"/>
  <c r="B612"/>
  <c r="C612"/>
  <c r="D612"/>
  <c r="E612"/>
  <c r="F612"/>
  <c r="G612"/>
  <c r="H612"/>
  <c r="I612"/>
  <c r="J612"/>
  <c r="K612"/>
  <c r="L612"/>
  <c r="N612"/>
  <c r="A613"/>
  <c r="B613"/>
  <c r="C613"/>
  <c r="D613"/>
  <c r="E613"/>
  <c r="F613"/>
  <c r="G613"/>
  <c r="H613"/>
  <c r="I613"/>
  <c r="J613"/>
  <c r="K613"/>
  <c r="L613"/>
  <c r="N613"/>
  <c r="A614"/>
  <c r="B614"/>
  <c r="C614"/>
  <c r="D614"/>
  <c r="E614"/>
  <c r="F614"/>
  <c r="G614"/>
  <c r="H614"/>
  <c r="I614"/>
  <c r="J614"/>
  <c r="K614"/>
  <c r="L614"/>
  <c r="N614"/>
  <c r="A615"/>
  <c r="B615"/>
  <c r="C615"/>
  <c r="D615"/>
  <c r="E615"/>
  <c r="F615"/>
  <c r="G615"/>
  <c r="H615"/>
  <c r="I615"/>
  <c r="J615"/>
  <c r="K615"/>
  <c r="L615"/>
  <c r="M615"/>
  <c r="N615"/>
  <c r="A616"/>
  <c r="B616"/>
  <c r="C616"/>
  <c r="D616"/>
  <c r="E616"/>
  <c r="F616"/>
  <c r="G616"/>
  <c r="H616"/>
  <c r="I616"/>
  <c r="J616"/>
  <c r="K616"/>
  <c r="L616"/>
  <c r="N616"/>
  <c r="A617"/>
  <c r="B617"/>
  <c r="C617"/>
  <c r="D617"/>
  <c r="E617"/>
  <c r="F617"/>
  <c r="G617"/>
  <c r="H617"/>
  <c r="I617"/>
  <c r="J617"/>
  <c r="K617"/>
  <c r="L617"/>
  <c r="N617"/>
  <c r="A618"/>
  <c r="B618"/>
  <c r="C618"/>
  <c r="D618"/>
  <c r="E618"/>
  <c r="F618"/>
  <c r="G618"/>
  <c r="H618"/>
  <c r="I618"/>
  <c r="J618"/>
  <c r="K618"/>
  <c r="L618"/>
  <c r="N618"/>
  <c r="A619"/>
  <c r="B619"/>
  <c r="C619"/>
  <c r="D619"/>
  <c r="E619"/>
  <c r="F619"/>
  <c r="G619"/>
  <c r="H619"/>
  <c r="I619"/>
  <c r="J619"/>
  <c r="K619"/>
  <c r="L619"/>
  <c r="M619"/>
  <c r="N619"/>
  <c r="A620"/>
  <c r="B620"/>
  <c r="C620"/>
  <c r="D620"/>
  <c r="E620"/>
  <c r="F620"/>
  <c r="G620"/>
  <c r="H620"/>
  <c r="I620"/>
  <c r="J620"/>
  <c r="K620"/>
  <c r="L620"/>
  <c r="N620"/>
  <c r="A621"/>
  <c r="B621"/>
  <c r="C621"/>
  <c r="D621"/>
  <c r="E621"/>
  <c r="F621"/>
  <c r="G621"/>
  <c r="H621"/>
  <c r="I621"/>
  <c r="J621"/>
  <c r="K621"/>
  <c r="L621"/>
  <c r="N621"/>
  <c r="A622"/>
  <c r="B622"/>
  <c r="C622"/>
  <c r="D622"/>
  <c r="E622"/>
  <c r="F622"/>
  <c r="G622"/>
  <c r="H622"/>
  <c r="I622"/>
  <c r="J622"/>
  <c r="K622"/>
  <c r="L622"/>
  <c r="N622"/>
  <c r="A623"/>
  <c r="B623"/>
  <c r="C623"/>
  <c r="D623"/>
  <c r="E623"/>
  <c r="F623"/>
  <c r="G623"/>
  <c r="H623"/>
  <c r="I623"/>
  <c r="J623"/>
  <c r="K623"/>
  <c r="L623"/>
  <c r="M623"/>
  <c r="N623"/>
  <c r="A624"/>
  <c r="B624"/>
  <c r="C624"/>
  <c r="D624"/>
  <c r="E624"/>
  <c r="F624"/>
  <c r="G624"/>
  <c r="H624"/>
  <c r="I624"/>
  <c r="J624"/>
  <c r="K624"/>
  <c r="L624"/>
  <c r="N624"/>
  <c r="A625"/>
  <c r="B625"/>
  <c r="C625"/>
  <c r="D625"/>
  <c r="E625"/>
  <c r="F625"/>
  <c r="G625"/>
  <c r="H625"/>
  <c r="I625"/>
  <c r="J625"/>
  <c r="K625"/>
  <c r="L625"/>
  <c r="N625"/>
  <c r="A626"/>
  <c r="B626"/>
  <c r="C626"/>
  <c r="D626"/>
  <c r="E626"/>
  <c r="F626"/>
  <c r="G626"/>
  <c r="H626"/>
  <c r="I626"/>
  <c r="J626"/>
  <c r="K626"/>
  <c r="L626"/>
  <c r="N626"/>
  <c r="A627"/>
  <c r="B627"/>
  <c r="C627"/>
  <c r="D627"/>
  <c r="E627"/>
  <c r="F627"/>
  <c r="G627"/>
  <c r="H627"/>
  <c r="I627"/>
  <c r="J627"/>
  <c r="K627"/>
  <c r="L627"/>
  <c r="M627"/>
  <c r="N627"/>
  <c r="A628"/>
  <c r="B628"/>
  <c r="C628"/>
  <c r="D628"/>
  <c r="E628"/>
  <c r="F628"/>
  <c r="G628"/>
  <c r="H628"/>
  <c r="I628"/>
  <c r="J628"/>
  <c r="K628"/>
  <c r="L628"/>
  <c r="N628"/>
  <c r="A629"/>
  <c r="B629"/>
  <c r="C629"/>
  <c r="D629"/>
  <c r="E629"/>
  <c r="F629"/>
  <c r="G629"/>
  <c r="H629"/>
  <c r="I629"/>
  <c r="J629"/>
  <c r="K629"/>
  <c r="L629"/>
  <c r="N629"/>
  <c r="A630"/>
  <c r="B630"/>
  <c r="C630"/>
  <c r="D630"/>
  <c r="E630"/>
  <c r="F630"/>
  <c r="G630"/>
  <c r="H630"/>
  <c r="I630"/>
  <c r="J630"/>
  <c r="K630"/>
  <c r="L630"/>
  <c r="N630"/>
  <c r="A631"/>
  <c r="B631"/>
  <c r="C631"/>
  <c r="D631"/>
  <c r="E631"/>
  <c r="F631"/>
  <c r="G631"/>
  <c r="H631"/>
  <c r="I631"/>
  <c r="J631"/>
  <c r="K631"/>
  <c r="L631"/>
  <c r="M631"/>
  <c r="N631"/>
  <c r="A632"/>
  <c r="B632"/>
  <c r="C632"/>
  <c r="D632"/>
  <c r="E632"/>
  <c r="F632"/>
  <c r="G632"/>
  <c r="H632"/>
  <c r="I632"/>
  <c r="J632"/>
  <c r="K632"/>
  <c r="L632"/>
  <c r="N632"/>
  <c r="A633"/>
  <c r="B633"/>
  <c r="C633"/>
  <c r="D633"/>
  <c r="E633"/>
  <c r="F633"/>
  <c r="G633"/>
  <c r="H633"/>
  <c r="I633"/>
  <c r="J633"/>
  <c r="K633"/>
  <c r="L633"/>
  <c r="N633"/>
  <c r="A634"/>
  <c r="B634"/>
  <c r="C634"/>
  <c r="D634"/>
  <c r="E634"/>
  <c r="F634"/>
  <c r="G634"/>
  <c r="H634"/>
  <c r="I634"/>
  <c r="J634"/>
  <c r="K634"/>
  <c r="L634"/>
  <c r="N634"/>
  <c r="A635"/>
  <c r="B635"/>
  <c r="C635"/>
  <c r="D635"/>
  <c r="E635"/>
  <c r="F635"/>
  <c r="G635"/>
  <c r="H635"/>
  <c r="I635"/>
  <c r="J635"/>
  <c r="K635"/>
  <c r="L635"/>
  <c r="M635"/>
  <c r="N635"/>
  <c r="A636"/>
  <c r="B636"/>
  <c r="C636"/>
  <c r="D636"/>
  <c r="E636"/>
  <c r="F636"/>
  <c r="G636"/>
  <c r="H636"/>
  <c r="I636"/>
  <c r="J636"/>
  <c r="K636"/>
  <c r="L636"/>
  <c r="N636"/>
  <c r="A637"/>
  <c r="B637"/>
  <c r="C637"/>
  <c r="D637"/>
  <c r="E637"/>
  <c r="F637"/>
  <c r="G637"/>
  <c r="H637"/>
  <c r="I637"/>
  <c r="J637"/>
  <c r="K637"/>
  <c r="L637"/>
  <c r="N637"/>
  <c r="A638"/>
  <c r="B638"/>
  <c r="C638"/>
  <c r="D638"/>
  <c r="E638"/>
  <c r="F638"/>
  <c r="G638"/>
  <c r="H638"/>
  <c r="I638"/>
  <c r="J638"/>
  <c r="K638"/>
  <c r="L638"/>
  <c r="N638"/>
  <c r="A639"/>
  <c r="B639"/>
  <c r="C639"/>
  <c r="D639"/>
  <c r="E639"/>
  <c r="F639"/>
  <c r="G639"/>
  <c r="H639"/>
  <c r="I639"/>
  <c r="J639"/>
  <c r="K639"/>
  <c r="L639"/>
  <c r="M639"/>
  <c r="N639"/>
  <c r="A640"/>
  <c r="B640"/>
  <c r="C640"/>
  <c r="D640"/>
  <c r="E640"/>
  <c r="F640"/>
  <c r="G640"/>
  <c r="H640"/>
  <c r="I640"/>
  <c r="J640"/>
  <c r="K640"/>
  <c r="L640"/>
  <c r="N640"/>
  <c r="A641"/>
  <c r="B641"/>
  <c r="C641"/>
  <c r="D641"/>
  <c r="E641"/>
  <c r="F641"/>
  <c r="G641"/>
  <c r="H641"/>
  <c r="I641"/>
  <c r="J641"/>
  <c r="K641"/>
  <c r="L641"/>
  <c r="N641"/>
  <c r="A642"/>
  <c r="B642"/>
  <c r="C642"/>
  <c r="D642"/>
  <c r="E642"/>
  <c r="F642"/>
  <c r="G642"/>
  <c r="H642"/>
  <c r="I642"/>
  <c r="J642"/>
  <c r="K642"/>
  <c r="L642"/>
  <c r="N642"/>
  <c r="A643"/>
  <c r="B643"/>
  <c r="C643"/>
  <c r="D643"/>
  <c r="E643"/>
  <c r="F643"/>
  <c r="G643"/>
  <c r="H643"/>
  <c r="I643"/>
  <c r="J643"/>
  <c r="K643"/>
  <c r="L643"/>
  <c r="M643"/>
  <c r="N643"/>
  <c r="A644"/>
  <c r="B644"/>
  <c r="C644"/>
  <c r="D644"/>
  <c r="E644"/>
  <c r="F644"/>
  <c r="G644"/>
  <c r="H644"/>
  <c r="I644"/>
  <c r="J644"/>
  <c r="K644"/>
  <c r="L644"/>
  <c r="M644"/>
  <c r="N644"/>
  <c r="A645"/>
  <c r="B645"/>
  <c r="C645"/>
  <c r="D645"/>
  <c r="E645"/>
  <c r="F645"/>
  <c r="G645"/>
  <c r="H645"/>
  <c r="I645"/>
  <c r="J645"/>
  <c r="K645"/>
  <c r="L645"/>
  <c r="N645"/>
  <c r="A646"/>
  <c r="B646"/>
  <c r="C646"/>
  <c r="D646"/>
  <c r="E646"/>
  <c r="F646"/>
  <c r="G646"/>
  <c r="H646"/>
  <c r="I646"/>
  <c r="J646"/>
  <c r="K646"/>
  <c r="L646"/>
  <c r="N646"/>
  <c r="A647"/>
  <c r="B647"/>
  <c r="C647"/>
  <c r="D647"/>
  <c r="E647"/>
  <c r="F647"/>
  <c r="G647"/>
  <c r="H647"/>
  <c r="I647"/>
  <c r="J647"/>
  <c r="K647"/>
  <c r="L647"/>
  <c r="M647"/>
  <c r="N647"/>
  <c r="A648"/>
  <c r="B648"/>
  <c r="C648"/>
  <c r="D648"/>
  <c r="E648"/>
  <c r="F648"/>
  <c r="G648"/>
  <c r="H648"/>
  <c r="I648"/>
  <c r="J648"/>
  <c r="K648"/>
  <c r="L648"/>
  <c r="N648"/>
  <c r="A649"/>
  <c r="B649"/>
  <c r="C649"/>
  <c r="D649"/>
  <c r="E649"/>
  <c r="F649"/>
  <c r="G649"/>
  <c r="H649"/>
  <c r="I649"/>
  <c r="J649"/>
  <c r="K649"/>
  <c r="L649"/>
  <c r="N649"/>
  <c r="A650"/>
  <c r="B650"/>
  <c r="C650"/>
  <c r="D650"/>
  <c r="E650"/>
  <c r="F650"/>
  <c r="G650"/>
  <c r="H650"/>
  <c r="I650"/>
  <c r="J650"/>
  <c r="K650"/>
  <c r="L650"/>
  <c r="N650"/>
  <c r="A651"/>
  <c r="B651"/>
  <c r="C651"/>
  <c r="D651"/>
  <c r="E651"/>
  <c r="F651"/>
  <c r="G651"/>
  <c r="H651"/>
  <c r="I651"/>
  <c r="J651"/>
  <c r="K651"/>
  <c r="L651"/>
  <c r="M651"/>
  <c r="N651"/>
  <c r="A652"/>
  <c r="B652"/>
  <c r="C652"/>
  <c r="D652"/>
  <c r="E652"/>
  <c r="F652"/>
  <c r="G652"/>
  <c r="H652"/>
  <c r="I652"/>
  <c r="J652"/>
  <c r="K652"/>
  <c r="L652"/>
  <c r="N652"/>
  <c r="A653"/>
  <c r="B653"/>
  <c r="C653"/>
  <c r="D653"/>
  <c r="E653"/>
  <c r="F653"/>
  <c r="G653"/>
  <c r="H653"/>
  <c r="I653"/>
  <c r="J653"/>
  <c r="K653"/>
  <c r="L653"/>
  <c r="N653"/>
  <c r="A654"/>
  <c r="B654"/>
  <c r="C654"/>
  <c r="D654"/>
  <c r="E654"/>
  <c r="F654"/>
  <c r="G654"/>
  <c r="H654"/>
  <c r="I654"/>
  <c r="J654"/>
  <c r="K654"/>
  <c r="L654"/>
  <c r="N654"/>
  <c r="A655"/>
  <c r="B655"/>
  <c r="C655"/>
  <c r="D655"/>
  <c r="E655"/>
  <c r="F655"/>
  <c r="G655"/>
  <c r="H655"/>
  <c r="I655"/>
  <c r="J655"/>
  <c r="K655"/>
  <c r="L655"/>
  <c r="M655"/>
  <c r="N655"/>
  <c r="A656"/>
  <c r="B656"/>
  <c r="C656"/>
  <c r="D656"/>
  <c r="E656"/>
  <c r="F656"/>
  <c r="G656"/>
  <c r="H656"/>
  <c r="I656"/>
  <c r="J656"/>
  <c r="K656"/>
  <c r="L656"/>
  <c r="N656"/>
  <c r="A657"/>
  <c r="B657"/>
  <c r="C657"/>
  <c r="D657"/>
  <c r="E657"/>
  <c r="F657"/>
  <c r="G657"/>
  <c r="H657"/>
  <c r="I657"/>
  <c r="J657"/>
  <c r="K657"/>
  <c r="L657"/>
  <c r="N657"/>
  <c r="A658"/>
  <c r="B658"/>
  <c r="C658"/>
  <c r="D658"/>
  <c r="E658"/>
  <c r="F658"/>
  <c r="G658"/>
  <c r="H658"/>
  <c r="I658"/>
  <c r="J658"/>
  <c r="K658"/>
  <c r="L658"/>
  <c r="N658"/>
  <c r="A659"/>
  <c r="B659"/>
  <c r="C659"/>
  <c r="D659"/>
  <c r="E659"/>
  <c r="F659"/>
  <c r="G659"/>
  <c r="H659"/>
  <c r="I659"/>
  <c r="J659"/>
  <c r="K659"/>
  <c r="L659"/>
  <c r="M659"/>
  <c r="N659"/>
  <c r="A660"/>
  <c r="B660"/>
  <c r="C660"/>
  <c r="D660"/>
  <c r="E660"/>
  <c r="F660"/>
  <c r="G660"/>
  <c r="H660"/>
  <c r="I660"/>
  <c r="J660"/>
  <c r="K660"/>
  <c r="L660"/>
  <c r="N660"/>
  <c r="A661"/>
  <c r="B661"/>
  <c r="C661"/>
  <c r="D661"/>
  <c r="E661"/>
  <c r="F661"/>
  <c r="G661"/>
  <c r="H661"/>
  <c r="I661"/>
  <c r="J661"/>
  <c r="K661"/>
  <c r="L661"/>
  <c r="N661"/>
  <c r="A662"/>
  <c r="B662"/>
  <c r="C662"/>
  <c r="D662"/>
  <c r="E662"/>
  <c r="F662"/>
  <c r="G662"/>
  <c r="H662"/>
  <c r="I662"/>
  <c r="J662"/>
  <c r="K662"/>
  <c r="L662"/>
  <c r="N662"/>
  <c r="A663"/>
  <c r="B663"/>
  <c r="C663"/>
  <c r="D663"/>
  <c r="E663"/>
  <c r="F663"/>
  <c r="G663"/>
  <c r="H663"/>
  <c r="I663"/>
  <c r="J663"/>
  <c r="K663"/>
  <c r="L663"/>
  <c r="M663"/>
  <c r="N663"/>
  <c r="A664"/>
  <c r="B664"/>
  <c r="C664"/>
  <c r="D664"/>
  <c r="E664"/>
  <c r="F664"/>
  <c r="G664"/>
  <c r="H664"/>
  <c r="I664"/>
  <c r="J664"/>
  <c r="K664"/>
  <c r="L664"/>
  <c r="N664"/>
  <c r="A665"/>
  <c r="B665"/>
  <c r="C665"/>
  <c r="D665"/>
  <c r="E665"/>
  <c r="F665"/>
  <c r="G665"/>
  <c r="H665"/>
  <c r="I665"/>
  <c r="J665"/>
  <c r="K665"/>
  <c r="L665"/>
  <c r="N665"/>
  <c r="A666"/>
  <c r="B666"/>
  <c r="C666"/>
  <c r="D666"/>
  <c r="E666"/>
  <c r="F666"/>
  <c r="G666"/>
  <c r="H666"/>
  <c r="I666"/>
  <c r="J666"/>
  <c r="K666"/>
  <c r="L666"/>
  <c r="N666"/>
  <c r="A667"/>
  <c r="B667"/>
  <c r="C667"/>
  <c r="D667"/>
  <c r="E667"/>
  <c r="F667"/>
  <c r="G667"/>
  <c r="H667"/>
  <c r="I667"/>
  <c r="J667"/>
  <c r="K667"/>
  <c r="L667"/>
  <c r="M667"/>
  <c r="N667"/>
  <c r="A668"/>
  <c r="B668"/>
  <c r="C668"/>
  <c r="D668"/>
  <c r="E668"/>
  <c r="F668"/>
  <c r="G668"/>
  <c r="H668"/>
  <c r="I668"/>
  <c r="J668"/>
  <c r="K668"/>
  <c r="L668"/>
  <c r="N668"/>
  <c r="A669"/>
  <c r="B669"/>
  <c r="C669"/>
  <c r="D669"/>
  <c r="E669"/>
  <c r="F669"/>
  <c r="G669"/>
  <c r="H669"/>
  <c r="I669"/>
  <c r="J669"/>
  <c r="K669"/>
  <c r="L669"/>
  <c r="N669"/>
  <c r="A670"/>
  <c r="B670"/>
  <c r="C670"/>
  <c r="D670"/>
  <c r="E670"/>
  <c r="F670"/>
  <c r="G670"/>
  <c r="H670"/>
  <c r="I670"/>
  <c r="J670"/>
  <c r="K670"/>
  <c r="L670"/>
  <c r="N670"/>
  <c r="A671"/>
  <c r="B671"/>
  <c r="C671"/>
  <c r="D671"/>
  <c r="E671"/>
  <c r="F671"/>
  <c r="G671"/>
  <c r="H671"/>
  <c r="I671"/>
  <c r="J671"/>
  <c r="K671"/>
  <c r="L671"/>
  <c r="M671"/>
  <c r="N671"/>
  <c r="A672"/>
  <c r="B672"/>
  <c r="C672"/>
  <c r="D672"/>
  <c r="E672"/>
  <c r="F672"/>
  <c r="G672"/>
  <c r="H672"/>
  <c r="I672"/>
  <c r="J672"/>
  <c r="K672"/>
  <c r="L672"/>
  <c r="N672"/>
  <c r="A673"/>
  <c r="B673"/>
  <c r="C673"/>
  <c r="D673"/>
  <c r="E673"/>
  <c r="F673"/>
  <c r="G673"/>
  <c r="H673"/>
  <c r="I673"/>
  <c r="J673"/>
  <c r="K673"/>
  <c r="L673"/>
  <c r="N673"/>
  <c r="A674"/>
  <c r="B674"/>
  <c r="C674"/>
  <c r="D674"/>
  <c r="E674"/>
  <c r="F674"/>
  <c r="G674"/>
  <c r="H674"/>
  <c r="I674"/>
  <c r="J674"/>
  <c r="K674"/>
  <c r="L674"/>
  <c r="N674"/>
  <c r="A675"/>
  <c r="B675"/>
  <c r="C675"/>
  <c r="D675"/>
  <c r="E675"/>
  <c r="F675"/>
  <c r="G675"/>
  <c r="H675"/>
  <c r="I675"/>
  <c r="J675"/>
  <c r="K675"/>
  <c r="L675"/>
  <c r="M675"/>
  <c r="N675"/>
  <c r="A676"/>
  <c r="B676"/>
  <c r="C676"/>
  <c r="D676"/>
  <c r="E676"/>
  <c r="F676"/>
  <c r="G676"/>
  <c r="H676"/>
  <c r="I676"/>
  <c r="J676"/>
  <c r="K676"/>
  <c r="L676"/>
  <c r="N676"/>
  <c r="A677"/>
  <c r="B677"/>
  <c r="C677"/>
  <c r="D677"/>
  <c r="E677"/>
  <c r="F677"/>
  <c r="G677"/>
  <c r="H677"/>
  <c r="I677"/>
  <c r="J677"/>
  <c r="K677"/>
  <c r="L677"/>
  <c r="N677"/>
  <c r="A678"/>
  <c r="B678"/>
  <c r="C678"/>
  <c r="D678"/>
  <c r="E678"/>
  <c r="F678"/>
  <c r="G678"/>
  <c r="H678"/>
  <c r="I678"/>
  <c r="J678"/>
  <c r="K678"/>
  <c r="L678"/>
  <c r="N678"/>
  <c r="A679"/>
  <c r="B679"/>
  <c r="C679"/>
  <c r="D679"/>
  <c r="E679"/>
  <c r="F679"/>
  <c r="G679"/>
  <c r="H679"/>
  <c r="I679"/>
  <c r="J679"/>
  <c r="K679"/>
  <c r="L679"/>
  <c r="M679"/>
  <c r="N679"/>
  <c r="A680"/>
  <c r="B680"/>
  <c r="C680"/>
  <c r="D680"/>
  <c r="E680"/>
  <c r="F680"/>
  <c r="G680"/>
  <c r="H680"/>
  <c r="I680"/>
  <c r="J680"/>
  <c r="K680"/>
  <c r="L680"/>
  <c r="N680"/>
  <c r="A681"/>
  <c r="B681"/>
  <c r="C681"/>
  <c r="D681"/>
  <c r="E681"/>
  <c r="F681"/>
  <c r="G681"/>
  <c r="H681"/>
  <c r="I681"/>
  <c r="J681"/>
  <c r="K681"/>
  <c r="L681"/>
  <c r="M681"/>
  <c r="N681"/>
  <c r="A682"/>
  <c r="B682"/>
  <c r="C682"/>
  <c r="D682"/>
  <c r="E682"/>
  <c r="F682"/>
  <c r="G682"/>
  <c r="H682"/>
  <c r="I682"/>
  <c r="J682"/>
  <c r="K682"/>
  <c r="L682"/>
  <c r="N682"/>
  <c r="A683"/>
  <c r="B683"/>
  <c r="C683"/>
  <c r="D683"/>
  <c r="E683"/>
  <c r="F683"/>
  <c r="G683"/>
  <c r="H683"/>
  <c r="I683"/>
  <c r="J683"/>
  <c r="K683"/>
  <c r="L683"/>
  <c r="M683"/>
  <c r="N683"/>
  <c r="A684"/>
  <c r="B684"/>
  <c r="C684"/>
  <c r="D684"/>
  <c r="E684"/>
  <c r="F684"/>
  <c r="G684"/>
  <c r="H684"/>
  <c r="I684"/>
  <c r="J684"/>
  <c r="K684"/>
  <c r="L684"/>
  <c r="N684"/>
  <c r="A685"/>
  <c r="B685"/>
  <c r="C685"/>
  <c r="D685"/>
  <c r="E685"/>
  <c r="F685"/>
  <c r="G685"/>
  <c r="H685"/>
  <c r="I685"/>
  <c r="J685"/>
  <c r="K685"/>
  <c r="L685"/>
  <c r="N685"/>
  <c r="A686"/>
  <c r="B686"/>
  <c r="C686"/>
  <c r="D686"/>
  <c r="E686"/>
  <c r="F686"/>
  <c r="G686"/>
  <c r="H686"/>
  <c r="I686"/>
  <c r="J686"/>
  <c r="K686"/>
  <c r="L686"/>
  <c r="N686"/>
  <c r="A687"/>
  <c r="B687"/>
  <c r="C687"/>
  <c r="D687"/>
  <c r="E687"/>
  <c r="F687"/>
  <c r="G687"/>
  <c r="H687"/>
  <c r="I687"/>
  <c r="J687"/>
  <c r="K687"/>
  <c r="L687"/>
  <c r="M687"/>
  <c r="N687"/>
  <c r="A688"/>
  <c r="B688"/>
  <c r="C688"/>
  <c r="D688"/>
  <c r="E688"/>
  <c r="F688"/>
  <c r="G688"/>
  <c r="H688"/>
  <c r="I688"/>
  <c r="J688"/>
  <c r="K688"/>
  <c r="L688"/>
  <c r="N688"/>
  <c r="A689"/>
  <c r="B689"/>
  <c r="C689"/>
  <c r="D689"/>
  <c r="E689"/>
  <c r="F689"/>
  <c r="G689"/>
  <c r="H689"/>
  <c r="I689"/>
  <c r="J689"/>
  <c r="K689"/>
  <c r="L689"/>
  <c r="N689"/>
  <c r="A690"/>
  <c r="B690"/>
  <c r="C690"/>
  <c r="D690"/>
  <c r="E690"/>
  <c r="F690"/>
  <c r="G690"/>
  <c r="H690"/>
  <c r="I690"/>
  <c r="J690"/>
  <c r="K690"/>
  <c r="L690"/>
  <c r="N690"/>
  <c r="A691"/>
  <c r="B691"/>
  <c r="C691"/>
  <c r="D691"/>
  <c r="E691"/>
  <c r="F691"/>
  <c r="G691"/>
  <c r="H691"/>
  <c r="I691"/>
  <c r="J691"/>
  <c r="K691"/>
  <c r="L691"/>
  <c r="M691"/>
  <c r="N691"/>
  <c r="A692"/>
  <c r="B692"/>
  <c r="C692"/>
  <c r="D692"/>
  <c r="E692"/>
  <c r="F692"/>
  <c r="G692"/>
  <c r="H692"/>
  <c r="I692"/>
  <c r="J692"/>
  <c r="K692"/>
  <c r="L692"/>
  <c r="N692"/>
  <c r="A693"/>
  <c r="B693"/>
  <c r="C693"/>
  <c r="D693"/>
  <c r="E693"/>
  <c r="F693"/>
  <c r="G693"/>
  <c r="H693"/>
  <c r="I693"/>
  <c r="J693"/>
  <c r="K693"/>
  <c r="L693"/>
  <c r="N693"/>
  <c r="A694"/>
  <c r="B694"/>
  <c r="C694"/>
  <c r="D694"/>
  <c r="E694"/>
  <c r="F694"/>
  <c r="G694"/>
  <c r="H694"/>
  <c r="I694"/>
  <c r="J694"/>
  <c r="K694"/>
  <c r="L694"/>
  <c r="N694"/>
  <c r="A695"/>
  <c r="B695"/>
  <c r="C695"/>
  <c r="D695"/>
  <c r="E695"/>
  <c r="F695"/>
  <c r="G695"/>
  <c r="H695"/>
  <c r="I695"/>
  <c r="J695"/>
  <c r="K695"/>
  <c r="L695"/>
  <c r="M695"/>
  <c r="N695"/>
  <c r="A696"/>
  <c r="B696"/>
  <c r="C696"/>
  <c r="D696"/>
  <c r="E696"/>
  <c r="F696"/>
  <c r="G696"/>
  <c r="H696"/>
  <c r="I696"/>
  <c r="J696"/>
  <c r="K696"/>
  <c r="L696"/>
  <c r="N696"/>
  <c r="A697"/>
  <c r="B697"/>
  <c r="C697"/>
  <c r="D697"/>
  <c r="E697"/>
  <c r="F697"/>
  <c r="G697"/>
  <c r="H697"/>
  <c r="I697"/>
  <c r="J697"/>
  <c r="K697"/>
  <c r="L697"/>
  <c r="N697"/>
  <c r="A698"/>
  <c r="B698"/>
  <c r="C698"/>
  <c r="D698"/>
  <c r="E698"/>
  <c r="F698"/>
  <c r="G698"/>
  <c r="H698"/>
  <c r="I698"/>
  <c r="J698"/>
  <c r="K698"/>
  <c r="L698"/>
  <c r="N698"/>
  <c r="A699"/>
  <c r="B699"/>
  <c r="C699"/>
  <c r="D699"/>
  <c r="E699"/>
  <c r="F699"/>
  <c r="G699"/>
  <c r="H699"/>
  <c r="I699"/>
  <c r="J699"/>
  <c r="K699"/>
  <c r="L699"/>
  <c r="M699"/>
  <c r="N699"/>
  <c r="A700"/>
  <c r="B700"/>
  <c r="C700"/>
  <c r="D700"/>
  <c r="E700"/>
  <c r="F700"/>
  <c r="G700"/>
  <c r="H700"/>
  <c r="I700"/>
  <c r="J700"/>
  <c r="K700"/>
  <c r="L700"/>
  <c r="N700"/>
  <c r="A701"/>
  <c r="B701"/>
  <c r="C701"/>
  <c r="D701"/>
  <c r="E701"/>
  <c r="F701"/>
  <c r="G701"/>
  <c r="H701"/>
  <c r="I701"/>
  <c r="J701"/>
  <c r="K701"/>
  <c r="L701"/>
  <c r="M701"/>
  <c r="N701"/>
  <c r="A702"/>
  <c r="B702"/>
  <c r="C702"/>
  <c r="D702"/>
  <c r="E702"/>
  <c r="F702"/>
  <c r="G702"/>
  <c r="H702"/>
  <c r="I702"/>
  <c r="J702"/>
  <c r="K702"/>
  <c r="L702"/>
  <c r="N702"/>
  <c r="A703"/>
  <c r="B703"/>
  <c r="C703"/>
  <c r="D703"/>
  <c r="E703"/>
  <c r="F703"/>
  <c r="G703"/>
  <c r="H703"/>
  <c r="I703"/>
  <c r="J703"/>
  <c r="K703"/>
  <c r="L703"/>
  <c r="M703"/>
  <c r="N703"/>
  <c r="A704"/>
  <c r="B704"/>
  <c r="C704"/>
  <c r="D704"/>
  <c r="E704"/>
  <c r="F704"/>
  <c r="G704"/>
  <c r="H704"/>
  <c r="I704"/>
  <c r="J704"/>
  <c r="K704"/>
  <c r="L704"/>
  <c r="N704"/>
  <c r="A705"/>
  <c r="B705"/>
  <c r="C705"/>
  <c r="D705"/>
  <c r="E705"/>
  <c r="F705"/>
  <c r="G705"/>
  <c r="H705"/>
  <c r="I705"/>
  <c r="J705"/>
  <c r="K705"/>
  <c r="L705"/>
  <c r="N705"/>
  <c r="A706"/>
  <c r="B706"/>
  <c r="C706"/>
  <c r="D706"/>
  <c r="E706"/>
  <c r="F706"/>
  <c r="G706"/>
  <c r="H706"/>
  <c r="I706"/>
  <c r="J706"/>
  <c r="K706"/>
  <c r="L706"/>
  <c r="N706"/>
  <c r="A707"/>
  <c r="B707"/>
  <c r="C707"/>
  <c r="D707"/>
  <c r="E707"/>
  <c r="F707"/>
  <c r="G707"/>
  <c r="H707"/>
  <c r="I707"/>
  <c r="J707"/>
  <c r="K707"/>
  <c r="L707"/>
  <c r="M707"/>
  <c r="N707"/>
  <c r="A708"/>
  <c r="B708"/>
  <c r="C708"/>
  <c r="D708"/>
  <c r="E708"/>
  <c r="F708"/>
  <c r="G708"/>
  <c r="H708"/>
  <c r="I708"/>
  <c r="J708"/>
  <c r="K708"/>
  <c r="L708"/>
  <c r="N708"/>
  <c r="A709"/>
  <c r="B709"/>
  <c r="C709"/>
  <c r="D709"/>
  <c r="E709"/>
  <c r="F709"/>
  <c r="G709"/>
  <c r="H709"/>
  <c r="I709"/>
  <c r="J709"/>
  <c r="K709"/>
  <c r="L709"/>
  <c r="N709"/>
  <c r="A710"/>
  <c r="B710"/>
  <c r="C710"/>
  <c r="D710"/>
  <c r="E710"/>
  <c r="F710"/>
  <c r="G710"/>
  <c r="H710"/>
  <c r="I710"/>
  <c r="J710"/>
  <c r="K710"/>
  <c r="L710"/>
  <c r="N710"/>
  <c r="A711"/>
  <c r="B711"/>
  <c r="C711"/>
  <c r="D711"/>
  <c r="E711"/>
  <c r="F711"/>
  <c r="G711"/>
  <c r="H711"/>
  <c r="I711"/>
  <c r="J711"/>
  <c r="K711"/>
  <c r="L711"/>
  <c r="M711"/>
  <c r="N711"/>
  <c r="A712"/>
  <c r="B712"/>
  <c r="C712"/>
  <c r="D712"/>
  <c r="E712"/>
  <c r="F712"/>
  <c r="G712"/>
  <c r="H712"/>
  <c r="I712"/>
  <c r="J712"/>
  <c r="K712"/>
  <c r="L712"/>
  <c r="N712"/>
  <c r="A713"/>
  <c r="B713"/>
  <c r="C713"/>
  <c r="D713"/>
  <c r="E713"/>
  <c r="F713"/>
  <c r="G713"/>
  <c r="H713"/>
  <c r="I713"/>
  <c r="J713"/>
  <c r="K713"/>
  <c r="L713"/>
  <c r="N713"/>
  <c r="A714"/>
  <c r="B714"/>
  <c r="C714"/>
  <c r="D714"/>
  <c r="E714"/>
  <c r="F714"/>
  <c r="G714"/>
  <c r="H714"/>
  <c r="I714"/>
  <c r="J714"/>
  <c r="K714"/>
  <c r="L714"/>
  <c r="N714"/>
  <c r="A715"/>
  <c r="B715"/>
  <c r="C715"/>
  <c r="D715"/>
  <c r="E715"/>
  <c r="F715"/>
  <c r="G715"/>
  <c r="H715"/>
  <c r="I715"/>
  <c r="J715"/>
  <c r="K715"/>
  <c r="L715"/>
  <c r="N715"/>
  <c r="A716"/>
  <c r="B716"/>
  <c r="C716"/>
  <c r="D716"/>
  <c r="E716"/>
  <c r="F716"/>
  <c r="G716"/>
  <c r="H716"/>
  <c r="I716"/>
  <c r="J716"/>
  <c r="K716"/>
  <c r="L716"/>
  <c r="M716"/>
  <c r="N716"/>
  <c r="A717"/>
  <c r="B717"/>
  <c r="C717"/>
  <c r="D717"/>
  <c r="E717"/>
  <c r="F717"/>
  <c r="G717"/>
  <c r="H717"/>
  <c r="I717"/>
  <c r="J717"/>
  <c r="K717"/>
  <c r="L717"/>
  <c r="N717"/>
  <c r="A718"/>
  <c r="B718"/>
  <c r="C718"/>
  <c r="D718"/>
  <c r="E718"/>
  <c r="F718"/>
  <c r="G718"/>
  <c r="H718"/>
  <c r="I718"/>
  <c r="J718"/>
  <c r="K718"/>
  <c r="L718"/>
  <c r="N718"/>
  <c r="A719"/>
  <c r="B719"/>
  <c r="C719"/>
  <c r="D719"/>
  <c r="E719"/>
  <c r="F719"/>
  <c r="G719"/>
  <c r="H719"/>
  <c r="I719"/>
  <c r="J719"/>
  <c r="K719"/>
  <c r="L719"/>
  <c r="M719"/>
  <c r="N719"/>
  <c r="A720"/>
  <c r="B720"/>
  <c r="C720"/>
  <c r="D720"/>
  <c r="E720"/>
  <c r="F720"/>
  <c r="G720"/>
  <c r="H720"/>
  <c r="I720"/>
  <c r="J720"/>
  <c r="K720"/>
  <c r="L720"/>
  <c r="M720"/>
  <c r="N720"/>
  <c r="A721"/>
  <c r="B721"/>
  <c r="C721"/>
  <c r="D721"/>
  <c r="E721"/>
  <c r="F721"/>
  <c r="G721"/>
  <c r="H721"/>
  <c r="I721"/>
  <c r="J721"/>
  <c r="K721"/>
  <c r="L721"/>
  <c r="N721"/>
  <c r="A722"/>
  <c r="B722"/>
  <c r="C722"/>
  <c r="D722"/>
  <c r="E722"/>
  <c r="F722"/>
  <c r="G722"/>
  <c r="H722"/>
  <c r="I722"/>
  <c r="J722"/>
  <c r="K722"/>
  <c r="L722"/>
  <c r="N722"/>
  <c r="A723"/>
  <c r="B723"/>
  <c r="C723"/>
  <c r="D723"/>
  <c r="E723"/>
  <c r="F723"/>
  <c r="G723"/>
  <c r="H723"/>
  <c r="I723"/>
  <c r="J723"/>
  <c r="K723"/>
  <c r="L723"/>
  <c r="M723"/>
  <c r="N723"/>
  <c r="A724"/>
  <c r="B724"/>
  <c r="C724"/>
  <c r="D724"/>
  <c r="E724"/>
  <c r="F724"/>
  <c r="G724"/>
  <c r="H724"/>
  <c r="I724"/>
  <c r="J724"/>
  <c r="K724"/>
  <c r="L724"/>
  <c r="M724"/>
  <c r="N724"/>
  <c r="A725"/>
  <c r="B725"/>
  <c r="C725"/>
  <c r="D725"/>
  <c r="E725"/>
  <c r="F725"/>
  <c r="G725"/>
  <c r="H725"/>
  <c r="I725"/>
  <c r="J725"/>
  <c r="K725"/>
  <c r="L725"/>
  <c r="N725"/>
  <c r="A726"/>
  <c r="B726"/>
  <c r="C726"/>
  <c r="D726"/>
  <c r="E726"/>
  <c r="F726"/>
  <c r="G726"/>
  <c r="H726"/>
  <c r="I726"/>
  <c r="J726"/>
  <c r="K726"/>
  <c r="L726"/>
  <c r="N726"/>
  <c r="A727"/>
  <c r="B727"/>
  <c r="C727"/>
  <c r="D727"/>
  <c r="E727"/>
  <c r="F727"/>
  <c r="G727"/>
  <c r="H727"/>
  <c r="I727"/>
  <c r="J727"/>
  <c r="K727"/>
  <c r="L727"/>
  <c r="M727"/>
  <c r="N727"/>
  <c r="A728"/>
  <c r="B728"/>
  <c r="C728"/>
  <c r="D728"/>
  <c r="E728"/>
  <c r="F728"/>
  <c r="G728"/>
  <c r="H728"/>
  <c r="I728"/>
  <c r="J728"/>
  <c r="K728"/>
  <c r="L728"/>
  <c r="M728"/>
  <c r="N728"/>
  <c r="A729"/>
  <c r="B729"/>
  <c r="C729"/>
  <c r="D729"/>
  <c r="E729"/>
  <c r="F729"/>
  <c r="G729"/>
  <c r="H729"/>
  <c r="I729"/>
  <c r="J729"/>
  <c r="K729"/>
  <c r="L729"/>
  <c r="N729"/>
  <c r="A730"/>
  <c r="B730"/>
  <c r="C730"/>
  <c r="D730"/>
  <c r="E730"/>
  <c r="F730"/>
  <c r="G730"/>
  <c r="H730"/>
  <c r="I730"/>
  <c r="J730"/>
  <c r="K730"/>
  <c r="L730"/>
  <c r="N730"/>
  <c r="A731"/>
  <c r="B731"/>
  <c r="C731"/>
  <c r="D731"/>
  <c r="E731"/>
  <c r="F731"/>
  <c r="G731"/>
  <c r="H731"/>
  <c r="I731"/>
  <c r="J731"/>
  <c r="K731"/>
  <c r="L731"/>
  <c r="M731"/>
  <c r="N731"/>
  <c r="A732"/>
  <c r="B732"/>
  <c r="C732"/>
  <c r="D732"/>
  <c r="E732"/>
  <c r="F732"/>
  <c r="G732"/>
  <c r="H732"/>
  <c r="I732"/>
  <c r="J732"/>
  <c r="K732"/>
  <c r="L732"/>
  <c r="M732"/>
  <c r="N732"/>
  <c r="A733"/>
  <c r="B733"/>
  <c r="C733"/>
  <c r="D733"/>
  <c r="E733"/>
  <c r="F733"/>
  <c r="G733"/>
  <c r="H733"/>
  <c r="I733"/>
  <c r="J733"/>
  <c r="K733"/>
  <c r="L733"/>
  <c r="N733"/>
  <c r="A734"/>
  <c r="B734"/>
  <c r="C734"/>
  <c r="D734"/>
  <c r="E734"/>
  <c r="F734"/>
  <c r="G734"/>
  <c r="H734"/>
  <c r="I734"/>
  <c r="J734"/>
  <c r="K734"/>
  <c r="L734"/>
  <c r="N734"/>
  <c r="A735"/>
  <c r="B735"/>
  <c r="C735"/>
  <c r="D735"/>
  <c r="E735"/>
  <c r="F735"/>
  <c r="G735"/>
  <c r="H735"/>
  <c r="I735"/>
  <c r="J735"/>
  <c r="K735"/>
  <c r="L735"/>
  <c r="M735"/>
  <c r="N735"/>
  <c r="A736"/>
  <c r="B736"/>
  <c r="C736"/>
  <c r="D736"/>
  <c r="E736"/>
  <c r="F736"/>
  <c r="G736"/>
  <c r="H736"/>
  <c r="I736"/>
  <c r="J736"/>
  <c r="K736"/>
  <c r="L736"/>
  <c r="M736"/>
  <c r="N736"/>
  <c r="A737"/>
  <c r="B737"/>
  <c r="C737"/>
  <c r="D737"/>
  <c r="E737"/>
  <c r="F737"/>
  <c r="G737"/>
  <c r="H737"/>
  <c r="I737"/>
  <c r="J737"/>
  <c r="K737"/>
  <c r="L737"/>
  <c r="N737"/>
  <c r="A738"/>
  <c r="B738"/>
  <c r="C738"/>
  <c r="D738"/>
  <c r="E738"/>
  <c r="F738"/>
  <c r="G738"/>
  <c r="H738"/>
  <c r="I738"/>
  <c r="J738"/>
  <c r="K738"/>
  <c r="L738"/>
  <c r="N738"/>
  <c r="A739"/>
  <c r="B739"/>
  <c r="C739"/>
  <c r="D739"/>
  <c r="E739"/>
  <c r="F739"/>
  <c r="G739"/>
  <c r="H739"/>
  <c r="I739"/>
  <c r="J739"/>
  <c r="K739"/>
  <c r="L739"/>
  <c r="M739"/>
  <c r="N739"/>
  <c r="A740"/>
  <c r="B740"/>
  <c r="C740"/>
  <c r="D740"/>
  <c r="E740"/>
  <c r="F740"/>
  <c r="G740"/>
  <c r="H740"/>
  <c r="I740"/>
  <c r="J740"/>
  <c r="K740"/>
  <c r="L740"/>
  <c r="M740"/>
  <c r="N740"/>
  <c r="A741"/>
  <c r="B741"/>
  <c r="C741"/>
  <c r="D741"/>
  <c r="E741"/>
  <c r="F741"/>
  <c r="G741"/>
  <c r="H741"/>
  <c r="I741"/>
  <c r="J741"/>
  <c r="K741"/>
  <c r="L741"/>
  <c r="N741"/>
  <c r="A742"/>
  <c r="B742"/>
  <c r="C742"/>
  <c r="D742"/>
  <c r="E742"/>
  <c r="F742"/>
  <c r="G742"/>
  <c r="H742"/>
  <c r="I742"/>
  <c r="J742"/>
  <c r="K742"/>
  <c r="L742"/>
  <c r="N742"/>
  <c r="A743"/>
  <c r="B743"/>
  <c r="C743"/>
  <c r="D743"/>
  <c r="E743"/>
  <c r="F743"/>
  <c r="G743"/>
  <c r="H743"/>
  <c r="I743"/>
  <c r="J743"/>
  <c r="K743"/>
  <c r="L743"/>
  <c r="M743"/>
  <c r="N743"/>
  <c r="A744"/>
  <c r="B744"/>
  <c r="C744"/>
  <c r="D744"/>
  <c r="E744"/>
  <c r="F744"/>
  <c r="G744"/>
  <c r="H744"/>
  <c r="I744"/>
  <c r="J744"/>
  <c r="K744"/>
  <c r="L744"/>
  <c r="M744"/>
  <c r="N744"/>
  <c r="A745"/>
  <c r="B745"/>
  <c r="C745"/>
  <c r="D745"/>
  <c r="E745"/>
  <c r="F745"/>
  <c r="G745"/>
  <c r="H745"/>
  <c r="I745"/>
  <c r="J745"/>
  <c r="K745"/>
  <c r="L745"/>
  <c r="N745"/>
  <c r="A746"/>
  <c r="B746"/>
  <c r="C746"/>
  <c r="D746"/>
  <c r="E746"/>
  <c r="F746"/>
  <c r="G746"/>
  <c r="H746"/>
  <c r="I746"/>
  <c r="J746"/>
  <c r="K746"/>
  <c r="L746"/>
  <c r="N746"/>
  <c r="A747"/>
  <c r="B747"/>
  <c r="C747"/>
  <c r="D747"/>
  <c r="E747"/>
  <c r="F747"/>
  <c r="G747"/>
  <c r="H747"/>
  <c r="I747"/>
  <c r="J747"/>
  <c r="K747"/>
  <c r="L747"/>
  <c r="M747"/>
  <c r="N747"/>
  <c r="A748"/>
  <c r="B748"/>
  <c r="C748"/>
  <c r="D748"/>
  <c r="E748"/>
  <c r="F748"/>
  <c r="G748"/>
  <c r="H748"/>
  <c r="I748"/>
  <c r="J748"/>
  <c r="K748"/>
  <c r="L748"/>
  <c r="M748"/>
  <c r="N748"/>
  <c r="A749"/>
  <c r="B749"/>
  <c r="C749"/>
  <c r="D749"/>
  <c r="E749"/>
  <c r="F749"/>
  <c r="G749"/>
  <c r="H749"/>
  <c r="I749"/>
  <c r="J749"/>
  <c r="K749"/>
  <c r="L749"/>
  <c r="N749"/>
  <c r="A750"/>
  <c r="B750"/>
  <c r="C750"/>
  <c r="D750"/>
  <c r="E750"/>
  <c r="F750"/>
  <c r="G750"/>
  <c r="H750"/>
  <c r="I750"/>
  <c r="J750"/>
  <c r="K750"/>
  <c r="L750"/>
  <c r="N750"/>
  <c r="A751"/>
  <c r="B751"/>
  <c r="C751"/>
  <c r="D751"/>
  <c r="E751"/>
  <c r="F751"/>
  <c r="G751"/>
  <c r="H751"/>
  <c r="I751"/>
  <c r="J751"/>
  <c r="K751"/>
  <c r="L751"/>
  <c r="M751"/>
  <c r="N751"/>
  <c r="A752"/>
  <c r="B752"/>
  <c r="C752"/>
  <c r="D752"/>
  <c r="E752"/>
  <c r="F752"/>
  <c r="G752"/>
  <c r="H752"/>
  <c r="I752"/>
  <c r="J752"/>
  <c r="K752"/>
  <c r="L752"/>
  <c r="M752"/>
  <c r="N752"/>
  <c r="A753"/>
  <c r="B753"/>
  <c r="C753"/>
  <c r="D753"/>
  <c r="E753"/>
  <c r="F753"/>
  <c r="G753"/>
  <c r="H753"/>
  <c r="I753"/>
  <c r="J753"/>
  <c r="K753"/>
  <c r="L753"/>
  <c r="N753"/>
  <c r="A754"/>
  <c r="B754"/>
  <c r="C754"/>
  <c r="D754"/>
  <c r="E754"/>
  <c r="F754"/>
  <c r="G754"/>
  <c r="H754"/>
  <c r="I754"/>
  <c r="J754"/>
  <c r="K754"/>
  <c r="L754"/>
  <c r="N754"/>
  <c r="A755"/>
  <c r="B755"/>
  <c r="C755"/>
  <c r="D755"/>
  <c r="E755"/>
  <c r="F755"/>
  <c r="G755"/>
  <c r="H755"/>
  <c r="I755"/>
  <c r="J755"/>
  <c r="K755"/>
  <c r="L755"/>
  <c r="M755"/>
  <c r="N755"/>
  <c r="A756"/>
  <c r="B756"/>
  <c r="C756"/>
  <c r="D756"/>
  <c r="E756"/>
  <c r="F756"/>
  <c r="G756"/>
  <c r="H756"/>
  <c r="I756"/>
  <c r="J756"/>
  <c r="K756"/>
  <c r="L756"/>
  <c r="M756"/>
  <c r="N756"/>
  <c r="A757"/>
  <c r="B757"/>
  <c r="C757"/>
  <c r="D757"/>
  <c r="E757"/>
  <c r="F757"/>
  <c r="G757"/>
  <c r="H757"/>
  <c r="I757"/>
  <c r="J757"/>
  <c r="K757"/>
  <c r="L757"/>
  <c r="N757"/>
  <c r="A758"/>
  <c r="B758"/>
  <c r="C758"/>
  <c r="D758"/>
  <c r="E758"/>
  <c r="F758"/>
  <c r="G758"/>
  <c r="H758"/>
  <c r="I758"/>
  <c r="J758"/>
  <c r="K758"/>
  <c r="L758"/>
  <c r="N758"/>
  <c r="A759"/>
  <c r="B759"/>
  <c r="C759"/>
  <c r="D759"/>
  <c r="E759"/>
  <c r="F759"/>
  <c r="G759"/>
  <c r="H759"/>
  <c r="I759"/>
  <c r="J759"/>
  <c r="K759"/>
  <c r="L759"/>
  <c r="M759"/>
  <c r="N759"/>
  <c r="A760"/>
  <c r="B760"/>
  <c r="C760"/>
  <c r="D760"/>
  <c r="E760"/>
  <c r="F760"/>
  <c r="G760"/>
  <c r="H760"/>
  <c r="I760"/>
  <c r="J760"/>
  <c r="K760"/>
  <c r="L760"/>
  <c r="M760"/>
  <c r="N760"/>
  <c r="A761"/>
  <c r="B761"/>
  <c r="C761"/>
  <c r="D761"/>
  <c r="E761"/>
  <c r="F761"/>
  <c r="G761"/>
  <c r="H761"/>
  <c r="I761"/>
  <c r="J761"/>
  <c r="K761"/>
  <c r="L761"/>
  <c r="N761"/>
  <c r="A762"/>
  <c r="B762"/>
  <c r="C762"/>
  <c r="D762"/>
  <c r="E762"/>
  <c r="F762"/>
  <c r="G762"/>
  <c r="H762"/>
  <c r="I762"/>
  <c r="J762"/>
  <c r="K762"/>
  <c r="L762"/>
  <c r="N762"/>
  <c r="A763"/>
  <c r="B763"/>
  <c r="C763"/>
  <c r="D763"/>
  <c r="E763"/>
  <c r="F763"/>
  <c r="G763"/>
  <c r="H763"/>
  <c r="I763"/>
  <c r="J763"/>
  <c r="K763"/>
  <c r="L763"/>
  <c r="M763"/>
  <c r="N763"/>
  <c r="A764"/>
  <c r="B764"/>
  <c r="C764"/>
  <c r="D764"/>
  <c r="E764"/>
  <c r="F764"/>
  <c r="G764"/>
  <c r="H764"/>
  <c r="I764"/>
  <c r="J764"/>
  <c r="K764"/>
  <c r="L764"/>
  <c r="M764"/>
  <c r="N764"/>
  <c r="A765"/>
  <c r="B765"/>
  <c r="C765"/>
  <c r="D765"/>
  <c r="E765"/>
  <c r="F765"/>
  <c r="G765"/>
  <c r="H765"/>
  <c r="I765"/>
  <c r="J765"/>
  <c r="K765"/>
  <c r="L765"/>
  <c r="N765"/>
  <c r="A766"/>
  <c r="B766"/>
  <c r="C766"/>
  <c r="D766"/>
  <c r="E766"/>
  <c r="F766"/>
  <c r="G766"/>
  <c r="H766"/>
  <c r="I766"/>
  <c r="J766"/>
  <c r="K766"/>
  <c r="L766"/>
  <c r="N766"/>
  <c r="A767"/>
  <c r="B767"/>
  <c r="C767"/>
  <c r="D767"/>
  <c r="E767"/>
  <c r="F767"/>
  <c r="G767"/>
  <c r="H767"/>
  <c r="I767"/>
  <c r="J767"/>
  <c r="K767"/>
  <c r="L767"/>
  <c r="M767"/>
  <c r="N767"/>
  <c r="A768"/>
  <c r="B768"/>
  <c r="C768"/>
  <c r="D768"/>
  <c r="E768"/>
  <c r="F768"/>
  <c r="G768"/>
  <c r="H768"/>
  <c r="I768"/>
  <c r="J768"/>
  <c r="K768"/>
  <c r="L768"/>
  <c r="M768"/>
  <c r="N768"/>
  <c r="A769"/>
  <c r="B769"/>
  <c r="C769"/>
  <c r="D769"/>
  <c r="E769"/>
  <c r="F769"/>
  <c r="G769"/>
  <c r="H769"/>
  <c r="I769"/>
  <c r="J769"/>
  <c r="K769"/>
  <c r="L769"/>
  <c r="N769"/>
  <c r="A770"/>
  <c r="B770"/>
  <c r="C770"/>
  <c r="D770"/>
  <c r="E770"/>
  <c r="F770"/>
  <c r="G770"/>
  <c r="H770"/>
  <c r="I770"/>
  <c r="J770"/>
  <c r="K770"/>
  <c r="L770"/>
  <c r="N770"/>
  <c r="A771"/>
  <c r="B771"/>
  <c r="C771"/>
  <c r="D771"/>
  <c r="E771"/>
  <c r="F771"/>
  <c r="G771"/>
  <c r="H771"/>
  <c r="I771"/>
  <c r="J771"/>
  <c r="K771"/>
  <c r="L771"/>
  <c r="M771"/>
  <c r="N771"/>
  <c r="A772"/>
  <c r="B772"/>
  <c r="C772"/>
  <c r="D772"/>
  <c r="E772"/>
  <c r="F772"/>
  <c r="G772"/>
  <c r="H772"/>
  <c r="I772"/>
  <c r="J772"/>
  <c r="K772"/>
  <c r="L772"/>
  <c r="M772"/>
  <c r="N772"/>
  <c r="A773"/>
  <c r="B773"/>
  <c r="C773"/>
  <c r="D773"/>
  <c r="E773"/>
  <c r="F773"/>
  <c r="G773"/>
  <c r="H773"/>
  <c r="I773"/>
  <c r="J773"/>
  <c r="K773"/>
  <c r="L773"/>
  <c r="N773"/>
  <c r="A774"/>
  <c r="B774"/>
  <c r="C774"/>
  <c r="D774"/>
  <c r="E774"/>
  <c r="F774"/>
  <c r="G774"/>
  <c r="H774"/>
  <c r="I774"/>
  <c r="J774"/>
  <c r="K774"/>
  <c r="L774"/>
  <c r="N774"/>
  <c r="A775"/>
  <c r="B775"/>
  <c r="C775"/>
  <c r="D775"/>
  <c r="E775"/>
  <c r="F775"/>
  <c r="G775"/>
  <c r="H775"/>
  <c r="I775"/>
  <c r="J775"/>
  <c r="K775"/>
  <c r="L775"/>
  <c r="M775"/>
  <c r="N775"/>
  <c r="A776"/>
  <c r="B776"/>
  <c r="C776"/>
  <c r="D776"/>
  <c r="E776"/>
  <c r="F776"/>
  <c r="G776"/>
  <c r="H776"/>
  <c r="I776"/>
  <c r="J776"/>
  <c r="K776"/>
  <c r="L776"/>
  <c r="M776"/>
  <c r="N776"/>
  <c r="A777"/>
  <c r="B777"/>
  <c r="C777"/>
  <c r="D777"/>
  <c r="E777"/>
  <c r="F777"/>
  <c r="G777"/>
  <c r="H777"/>
  <c r="I777"/>
  <c r="J777"/>
  <c r="K777"/>
  <c r="L777"/>
  <c r="N777"/>
  <c r="A778"/>
  <c r="B778"/>
  <c r="C778"/>
  <c r="D778"/>
  <c r="E778"/>
  <c r="F778"/>
  <c r="G778"/>
  <c r="H778"/>
  <c r="I778"/>
  <c r="J778"/>
  <c r="K778"/>
  <c r="L778"/>
  <c r="N778"/>
  <c r="A779"/>
  <c r="B779"/>
  <c r="C779"/>
  <c r="D779"/>
  <c r="E779"/>
  <c r="F779"/>
  <c r="G779"/>
  <c r="H779"/>
  <c r="I779"/>
  <c r="J779"/>
  <c r="K779"/>
  <c r="L779"/>
  <c r="M779"/>
  <c r="N779"/>
  <c r="A780"/>
  <c r="B780"/>
  <c r="C780"/>
  <c r="D780"/>
  <c r="E780"/>
  <c r="F780"/>
  <c r="G780"/>
  <c r="H780"/>
  <c r="I780"/>
  <c r="J780"/>
  <c r="K780"/>
  <c r="L780"/>
  <c r="M780"/>
  <c r="N780"/>
  <c r="A781"/>
  <c r="B781"/>
  <c r="C781"/>
  <c r="D781"/>
  <c r="E781"/>
  <c r="F781"/>
  <c r="G781"/>
  <c r="H781"/>
  <c r="I781"/>
  <c r="J781"/>
  <c r="K781"/>
  <c r="L781"/>
  <c r="N781"/>
  <c r="A782"/>
  <c r="B782"/>
  <c r="C782"/>
  <c r="D782"/>
  <c r="E782"/>
  <c r="F782"/>
  <c r="G782"/>
  <c r="H782"/>
  <c r="I782"/>
  <c r="J782"/>
  <c r="K782"/>
  <c r="L782"/>
  <c r="N782"/>
  <c r="A783"/>
  <c r="B783"/>
  <c r="C783"/>
  <c r="D783"/>
  <c r="E783"/>
  <c r="F783"/>
  <c r="G783"/>
  <c r="H783"/>
  <c r="I783"/>
  <c r="J783"/>
  <c r="K783"/>
  <c r="L783"/>
  <c r="M783"/>
  <c r="N783"/>
  <c r="A784"/>
  <c r="B784"/>
  <c r="C784"/>
  <c r="D784"/>
  <c r="E784"/>
  <c r="F784"/>
  <c r="G784"/>
  <c r="H784"/>
  <c r="I784"/>
  <c r="J784"/>
  <c r="K784"/>
  <c r="L784"/>
  <c r="M784"/>
  <c r="N784"/>
  <c r="A785"/>
  <c r="B785"/>
  <c r="C785"/>
  <c r="D785"/>
  <c r="E785"/>
  <c r="F785"/>
  <c r="G785"/>
  <c r="H785"/>
  <c r="I785"/>
  <c r="J785"/>
  <c r="K785"/>
  <c r="L785"/>
  <c r="N785"/>
  <c r="A786"/>
  <c r="B786"/>
  <c r="C786"/>
  <c r="D786"/>
  <c r="E786"/>
  <c r="F786"/>
  <c r="G786"/>
  <c r="H786"/>
  <c r="I786"/>
  <c r="J786"/>
  <c r="K786"/>
  <c r="L786"/>
  <c r="N786"/>
  <c r="A787"/>
  <c r="B787"/>
  <c r="C787"/>
  <c r="D787"/>
  <c r="E787"/>
  <c r="F787"/>
  <c r="G787"/>
  <c r="H787"/>
  <c r="I787"/>
  <c r="J787"/>
  <c r="K787"/>
  <c r="L787"/>
  <c r="M787"/>
  <c r="N787"/>
  <c r="A788"/>
  <c r="B788"/>
  <c r="C788"/>
  <c r="D788"/>
  <c r="E788"/>
  <c r="F788"/>
  <c r="G788"/>
  <c r="H788"/>
  <c r="I788"/>
  <c r="J788"/>
  <c r="K788"/>
  <c r="L788"/>
  <c r="M788"/>
  <c r="N788"/>
  <c r="A789"/>
  <c r="B789"/>
  <c r="C789"/>
  <c r="D789"/>
  <c r="E789"/>
  <c r="F789"/>
  <c r="G789"/>
  <c r="H789"/>
  <c r="I789"/>
  <c r="J789"/>
  <c r="K789"/>
  <c r="L789"/>
  <c r="N789"/>
  <c r="A790"/>
  <c r="B790"/>
  <c r="C790"/>
  <c r="D790"/>
  <c r="E790"/>
  <c r="F790"/>
  <c r="G790"/>
  <c r="H790"/>
  <c r="I790"/>
  <c r="J790"/>
  <c r="K790"/>
  <c r="L790"/>
  <c r="N790"/>
  <c r="A791"/>
  <c r="B791"/>
  <c r="C791"/>
  <c r="D791"/>
  <c r="E791"/>
  <c r="F791"/>
  <c r="G791"/>
  <c r="H791"/>
  <c r="I791"/>
  <c r="J791"/>
  <c r="K791"/>
  <c r="L791"/>
  <c r="M791"/>
  <c r="N791"/>
  <c r="A792"/>
  <c r="B792"/>
  <c r="C792"/>
  <c r="D792"/>
  <c r="E792"/>
  <c r="F792"/>
  <c r="G792"/>
  <c r="H792"/>
  <c r="I792"/>
  <c r="J792"/>
  <c r="K792"/>
  <c r="L792"/>
  <c r="M792"/>
  <c r="N792"/>
  <c r="A793"/>
  <c r="B793"/>
  <c r="C793"/>
  <c r="D793"/>
  <c r="E793"/>
  <c r="F793"/>
  <c r="G793"/>
  <c r="H793"/>
  <c r="I793"/>
  <c r="J793"/>
  <c r="K793"/>
  <c r="L793"/>
  <c r="N793"/>
  <c r="A794"/>
  <c r="C794"/>
  <c r="D794"/>
  <c r="E794"/>
  <c r="F794"/>
  <c r="G794"/>
  <c r="H794"/>
  <c r="I794"/>
  <c r="J794"/>
  <c r="K794"/>
  <c r="N794"/>
  <c r="A795"/>
  <c r="C795"/>
  <c r="D795"/>
  <c r="E795"/>
  <c r="F795"/>
  <c r="G795"/>
  <c r="H795"/>
  <c r="I795"/>
  <c r="J795"/>
  <c r="K795"/>
  <c r="M795"/>
  <c r="N795"/>
  <c r="A796"/>
  <c r="C796"/>
  <c r="D796"/>
  <c r="E796"/>
  <c r="F796"/>
  <c r="G796"/>
  <c r="H796"/>
  <c r="I796"/>
  <c r="J796"/>
  <c r="K796"/>
  <c r="M796"/>
  <c r="N796"/>
  <c r="A797"/>
  <c r="C797"/>
  <c r="D797"/>
  <c r="E797"/>
  <c r="F797"/>
  <c r="G797"/>
  <c r="H797"/>
  <c r="I797"/>
  <c r="J797"/>
  <c r="K797"/>
  <c r="N797"/>
  <c r="A798"/>
  <c r="C798"/>
  <c r="D798"/>
  <c r="E798"/>
  <c r="F798"/>
  <c r="G798"/>
  <c r="H798"/>
  <c r="I798"/>
  <c r="J798"/>
  <c r="K798"/>
  <c r="N798"/>
  <c r="A799"/>
  <c r="C799"/>
  <c r="D799"/>
  <c r="E799"/>
  <c r="F799"/>
  <c r="G799"/>
  <c r="H799"/>
  <c r="I799"/>
  <c r="J799"/>
  <c r="K799"/>
  <c r="M799"/>
  <c r="N799"/>
  <c r="A800"/>
  <c r="C800"/>
  <c r="D800"/>
  <c r="E800"/>
  <c r="F800"/>
  <c r="G800"/>
  <c r="H800"/>
  <c r="I800"/>
  <c r="J800"/>
  <c r="K800"/>
  <c r="M800"/>
  <c r="N800"/>
  <c r="A801"/>
  <c r="C801"/>
  <c r="D801"/>
  <c r="E801"/>
  <c r="F801"/>
  <c r="G801"/>
  <c r="H801"/>
  <c r="I801"/>
  <c r="J801"/>
  <c r="K801"/>
  <c r="N801"/>
  <c r="A802"/>
  <c r="C802"/>
  <c r="D802"/>
  <c r="E802"/>
  <c r="F802"/>
  <c r="G802"/>
  <c r="H802"/>
  <c r="I802"/>
  <c r="J802"/>
  <c r="K802"/>
  <c r="N802"/>
  <c r="A803"/>
  <c r="C803"/>
  <c r="D803"/>
  <c r="E803"/>
  <c r="F803"/>
  <c r="G803"/>
  <c r="H803"/>
  <c r="I803"/>
  <c r="J803"/>
  <c r="K803"/>
  <c r="M803"/>
  <c r="N803"/>
  <c r="A804"/>
  <c r="C804"/>
  <c r="D804"/>
  <c r="E804"/>
  <c r="F804"/>
  <c r="G804"/>
  <c r="H804"/>
  <c r="I804"/>
  <c r="J804"/>
  <c r="K804"/>
  <c r="M804"/>
  <c r="N804"/>
  <c r="A805"/>
  <c r="C805"/>
  <c r="D805"/>
  <c r="E805"/>
  <c r="F805"/>
  <c r="G805"/>
  <c r="H805"/>
  <c r="I805"/>
  <c r="J805"/>
  <c r="K805"/>
  <c r="N805"/>
  <c r="A806"/>
  <c r="C806"/>
  <c r="D806"/>
  <c r="E806"/>
  <c r="F806"/>
  <c r="G806"/>
  <c r="H806"/>
  <c r="I806"/>
  <c r="J806"/>
  <c r="K806"/>
  <c r="N806"/>
  <c r="A807"/>
  <c r="C807"/>
  <c r="D807"/>
  <c r="E807"/>
  <c r="F807"/>
  <c r="G807"/>
  <c r="H807"/>
  <c r="I807"/>
  <c r="J807"/>
  <c r="K807"/>
  <c r="M807"/>
  <c r="N807"/>
  <c r="A808"/>
  <c r="C808"/>
  <c r="D808"/>
  <c r="E808"/>
  <c r="F808"/>
  <c r="G808"/>
  <c r="H808"/>
  <c r="I808"/>
  <c r="J808"/>
  <c r="K808"/>
  <c r="M808"/>
  <c r="N808"/>
  <c r="A809"/>
  <c r="C809"/>
  <c r="D809"/>
  <c r="E809"/>
  <c r="F809"/>
  <c r="G809"/>
  <c r="H809"/>
  <c r="I809"/>
  <c r="J809"/>
  <c r="K809"/>
  <c r="N809"/>
  <c r="A810"/>
  <c r="C810"/>
  <c r="D810"/>
  <c r="E810"/>
  <c r="F810"/>
  <c r="G810"/>
  <c r="H810"/>
  <c r="I810"/>
  <c r="J810"/>
  <c r="K810"/>
  <c r="N810"/>
  <c r="A811"/>
  <c r="C811"/>
  <c r="D811"/>
  <c r="E811"/>
  <c r="F811"/>
  <c r="G811"/>
  <c r="H811"/>
  <c r="I811"/>
  <c r="J811"/>
  <c r="K811"/>
  <c r="M811"/>
  <c r="N811"/>
  <c r="A812"/>
  <c r="C812"/>
  <c r="D812"/>
  <c r="E812"/>
  <c r="F812"/>
  <c r="G812"/>
  <c r="H812"/>
  <c r="I812"/>
  <c r="J812"/>
  <c r="K812"/>
  <c r="M812"/>
  <c r="N812"/>
  <c r="A813"/>
  <c r="C813"/>
  <c r="D813"/>
  <c r="E813"/>
  <c r="F813"/>
  <c r="G813"/>
  <c r="H813"/>
  <c r="I813"/>
  <c r="J813"/>
  <c r="K813"/>
  <c r="N813"/>
  <c r="A814"/>
  <c r="C814"/>
  <c r="D814"/>
  <c r="E814"/>
  <c r="F814"/>
  <c r="G814"/>
  <c r="H814"/>
  <c r="I814"/>
  <c r="J814"/>
  <c r="K814"/>
  <c r="N814"/>
  <c r="A815"/>
  <c r="C815"/>
  <c r="D815"/>
  <c r="E815"/>
  <c r="F815"/>
  <c r="G815"/>
  <c r="H815"/>
  <c r="I815"/>
  <c r="J815"/>
  <c r="K815"/>
  <c r="M815"/>
  <c r="N815"/>
  <c r="A816"/>
  <c r="C816"/>
  <c r="D816"/>
  <c r="E816"/>
  <c r="F816"/>
  <c r="G816"/>
  <c r="H816"/>
  <c r="I816"/>
  <c r="J816"/>
  <c r="K816"/>
  <c r="M816"/>
  <c r="N816"/>
  <c r="A817"/>
  <c r="C817"/>
  <c r="D817"/>
  <c r="E817"/>
  <c r="F817"/>
  <c r="G817"/>
  <c r="H817"/>
  <c r="I817"/>
  <c r="J817"/>
  <c r="K817"/>
  <c r="N817"/>
  <c r="A818"/>
  <c r="C818"/>
  <c r="D818"/>
  <c r="E818"/>
  <c r="F818"/>
  <c r="G818"/>
  <c r="H818"/>
  <c r="I818"/>
  <c r="J818"/>
  <c r="K818"/>
  <c r="N818"/>
  <c r="A819"/>
  <c r="C819"/>
  <c r="D819"/>
  <c r="E819"/>
  <c r="F819"/>
  <c r="G819"/>
  <c r="H819"/>
  <c r="I819"/>
  <c r="J819"/>
  <c r="K819"/>
  <c r="M819"/>
  <c r="N819"/>
  <c r="A820"/>
  <c r="C820"/>
  <c r="D820"/>
  <c r="E820"/>
  <c r="F820"/>
  <c r="G820"/>
  <c r="H820"/>
  <c r="I820"/>
  <c r="J820"/>
  <c r="K820"/>
  <c r="M820"/>
  <c r="N820"/>
  <c r="A821"/>
  <c r="C821"/>
  <c r="D821"/>
  <c r="E821"/>
  <c r="F821"/>
  <c r="G821"/>
  <c r="H821"/>
  <c r="I821"/>
  <c r="J821"/>
  <c r="K821"/>
  <c r="N821"/>
  <c r="A822"/>
  <c r="C822"/>
  <c r="D822"/>
  <c r="E822"/>
  <c r="F822"/>
  <c r="G822"/>
  <c r="H822"/>
  <c r="I822"/>
  <c r="J822"/>
  <c r="K822"/>
  <c r="N822"/>
  <c r="A823"/>
  <c r="C823"/>
  <c r="D823"/>
  <c r="E823"/>
  <c r="F823"/>
  <c r="G823"/>
  <c r="H823"/>
  <c r="I823"/>
  <c r="J823"/>
  <c r="K823"/>
  <c r="M823"/>
  <c r="N823"/>
  <c r="A824"/>
  <c r="C824"/>
  <c r="D824"/>
  <c r="E824"/>
  <c r="F824"/>
  <c r="G824"/>
  <c r="H824"/>
  <c r="I824"/>
  <c r="J824"/>
  <c r="K824"/>
  <c r="M824"/>
  <c r="N824"/>
  <c r="A825"/>
  <c r="C825"/>
  <c r="D825"/>
  <c r="E825"/>
  <c r="F825"/>
  <c r="G825"/>
  <c r="H825"/>
  <c r="I825"/>
  <c r="J825"/>
  <c r="K825"/>
  <c r="N825"/>
  <c r="A826"/>
  <c r="C826"/>
  <c r="D826"/>
  <c r="E826"/>
  <c r="F826"/>
  <c r="G826"/>
  <c r="H826"/>
  <c r="I826"/>
  <c r="J826"/>
  <c r="K826"/>
  <c r="N826"/>
  <c r="A827"/>
  <c r="C827"/>
  <c r="D827"/>
  <c r="E827"/>
  <c r="F827"/>
  <c r="G827"/>
  <c r="H827"/>
  <c r="I827"/>
  <c r="J827"/>
  <c r="K827"/>
  <c r="M827"/>
  <c r="N827"/>
  <c r="A828"/>
  <c r="C828"/>
  <c r="D828"/>
  <c r="E828"/>
  <c r="F828"/>
  <c r="G828"/>
  <c r="H828"/>
  <c r="I828"/>
  <c r="J828"/>
  <c r="K828"/>
  <c r="M828"/>
  <c r="N828"/>
  <c r="A829"/>
  <c r="C829"/>
  <c r="D829"/>
  <c r="E829"/>
  <c r="F829"/>
  <c r="G829"/>
  <c r="H829"/>
  <c r="I829"/>
  <c r="J829"/>
  <c r="K829"/>
  <c r="N829"/>
  <c r="A830"/>
  <c r="C830"/>
  <c r="D830"/>
  <c r="E830"/>
  <c r="F830"/>
  <c r="G830"/>
  <c r="H830"/>
  <c r="I830"/>
  <c r="J830"/>
  <c r="K830"/>
  <c r="N830"/>
  <c r="A831"/>
  <c r="C831"/>
  <c r="D831"/>
  <c r="E831"/>
  <c r="F831"/>
  <c r="G831"/>
  <c r="H831"/>
  <c r="I831"/>
  <c r="J831"/>
  <c r="K831"/>
  <c r="M831"/>
  <c r="N831"/>
  <c r="A832"/>
  <c r="C832"/>
  <c r="D832"/>
  <c r="E832"/>
  <c r="F832"/>
  <c r="G832"/>
  <c r="H832"/>
  <c r="I832"/>
  <c r="J832"/>
  <c r="K832"/>
  <c r="M832"/>
  <c r="N832"/>
  <c r="A833"/>
  <c r="C833"/>
  <c r="D833"/>
  <c r="E833"/>
  <c r="F833"/>
  <c r="G833"/>
  <c r="H833"/>
  <c r="I833"/>
  <c r="J833"/>
  <c r="K833"/>
  <c r="N833"/>
  <c r="A834"/>
  <c r="C834"/>
  <c r="D834"/>
  <c r="E834"/>
  <c r="F834"/>
  <c r="G834"/>
  <c r="H834"/>
  <c r="I834"/>
  <c r="J834"/>
  <c r="K834"/>
  <c r="N834"/>
  <c r="A835"/>
  <c r="C835"/>
  <c r="D835"/>
  <c r="E835"/>
  <c r="F835"/>
  <c r="G835"/>
  <c r="H835"/>
  <c r="I835"/>
  <c r="J835"/>
  <c r="K835"/>
  <c r="M835"/>
  <c r="N835"/>
  <c r="A836"/>
  <c r="C836"/>
  <c r="D836"/>
  <c r="E836"/>
  <c r="F836"/>
  <c r="G836"/>
  <c r="H836"/>
  <c r="I836"/>
  <c r="J836"/>
  <c r="K836"/>
  <c r="M836"/>
  <c r="N836"/>
  <c r="A837"/>
  <c r="C837"/>
  <c r="D837"/>
  <c r="E837"/>
  <c r="F837"/>
  <c r="G837"/>
  <c r="H837"/>
  <c r="I837"/>
  <c r="J837"/>
  <c r="K837"/>
  <c r="N837"/>
  <c r="A838"/>
  <c r="C838"/>
  <c r="D838"/>
  <c r="E838"/>
  <c r="F838"/>
  <c r="G838"/>
  <c r="H838"/>
  <c r="I838"/>
  <c r="J838"/>
  <c r="K838"/>
  <c r="N838"/>
  <c r="A839"/>
  <c r="C839"/>
  <c r="D839"/>
  <c r="E839"/>
  <c r="F839"/>
  <c r="G839"/>
  <c r="H839"/>
  <c r="I839"/>
  <c r="J839"/>
  <c r="K839"/>
  <c r="M839"/>
  <c r="N839"/>
  <c r="A840"/>
  <c r="C840"/>
  <c r="D840"/>
  <c r="E840"/>
  <c r="F840"/>
  <c r="G840"/>
  <c r="H840"/>
  <c r="I840"/>
  <c r="J840"/>
  <c r="K840"/>
  <c r="M840"/>
  <c r="N840"/>
  <c r="A841"/>
  <c r="C841"/>
  <c r="D841"/>
  <c r="E841"/>
  <c r="F841"/>
  <c r="G841"/>
  <c r="H841"/>
  <c r="I841"/>
  <c r="J841"/>
  <c r="K841"/>
  <c r="N841"/>
  <c r="A842"/>
  <c r="C842"/>
  <c r="D842"/>
  <c r="E842"/>
  <c r="F842"/>
  <c r="G842"/>
  <c r="H842"/>
  <c r="I842"/>
  <c r="J842"/>
  <c r="K842"/>
  <c r="N842"/>
  <c r="A843"/>
  <c r="C843"/>
  <c r="D843"/>
  <c r="E843"/>
  <c r="F843"/>
  <c r="G843"/>
  <c r="H843"/>
  <c r="I843"/>
  <c r="J843"/>
  <c r="K843"/>
  <c r="M843"/>
  <c r="N843"/>
  <c r="A844"/>
  <c r="C844"/>
  <c r="D844"/>
  <c r="E844"/>
  <c r="F844"/>
  <c r="G844"/>
  <c r="H844"/>
  <c r="I844"/>
  <c r="J844"/>
  <c r="K844"/>
  <c r="M844"/>
  <c r="N844"/>
  <c r="A845"/>
  <c r="C845"/>
  <c r="D845"/>
  <c r="E845"/>
  <c r="F845"/>
  <c r="G845"/>
  <c r="H845"/>
  <c r="I845"/>
  <c r="J845"/>
  <c r="K845"/>
  <c r="N845"/>
  <c r="A846"/>
  <c r="C846"/>
  <c r="D846"/>
  <c r="E846"/>
  <c r="F846"/>
  <c r="G846"/>
  <c r="H846"/>
  <c r="I846"/>
  <c r="J846"/>
  <c r="K846"/>
  <c r="N846"/>
  <c r="A847"/>
  <c r="C847"/>
  <c r="D847"/>
  <c r="E847"/>
  <c r="F847"/>
  <c r="G847"/>
  <c r="H847"/>
  <c r="I847"/>
  <c r="J847"/>
  <c r="K847"/>
  <c r="M847"/>
  <c r="N847"/>
  <c r="A848"/>
  <c r="C848"/>
  <c r="D848"/>
  <c r="E848"/>
  <c r="F848"/>
  <c r="G848"/>
  <c r="H848"/>
  <c r="I848"/>
  <c r="J848"/>
  <c r="K848"/>
  <c r="M848"/>
  <c r="N848"/>
  <c r="A849"/>
  <c r="C849"/>
  <c r="D849"/>
  <c r="E849"/>
  <c r="F849"/>
  <c r="G849"/>
  <c r="H849"/>
  <c r="I849"/>
  <c r="J849"/>
  <c r="K849"/>
  <c r="N849"/>
  <c r="A850"/>
  <c r="C850"/>
  <c r="D850"/>
  <c r="E850"/>
  <c r="F850"/>
  <c r="G850"/>
  <c r="H850"/>
  <c r="I850"/>
  <c r="J850"/>
  <c r="K850"/>
  <c r="N850"/>
  <c r="A851"/>
  <c r="C851"/>
  <c r="D851"/>
  <c r="E851"/>
  <c r="F851"/>
  <c r="G851"/>
  <c r="H851"/>
  <c r="I851"/>
  <c r="J851"/>
  <c r="K851"/>
  <c r="M851"/>
  <c r="N851"/>
  <c r="A852"/>
  <c r="C852"/>
  <c r="D852"/>
  <c r="E852"/>
  <c r="F852"/>
  <c r="G852"/>
  <c r="H852"/>
  <c r="I852"/>
  <c r="J852"/>
  <c r="K852"/>
  <c r="M852"/>
  <c r="N852"/>
  <c r="A853"/>
  <c r="C853"/>
  <c r="D853"/>
  <c r="E853"/>
  <c r="F853"/>
  <c r="G853"/>
  <c r="H853"/>
  <c r="I853"/>
  <c r="J853"/>
  <c r="K853"/>
  <c r="N853"/>
  <c r="A854"/>
  <c r="C854"/>
  <c r="D854"/>
  <c r="E854"/>
  <c r="F854"/>
  <c r="G854"/>
  <c r="H854"/>
  <c r="I854"/>
  <c r="J854"/>
  <c r="K854"/>
  <c r="N854"/>
  <c r="A855"/>
  <c r="C855"/>
  <c r="D855"/>
  <c r="E855"/>
  <c r="F855"/>
  <c r="G855"/>
  <c r="H855"/>
  <c r="I855"/>
  <c r="J855"/>
  <c r="K855"/>
  <c r="M855"/>
  <c r="N855"/>
  <c r="A856"/>
  <c r="C856"/>
  <c r="D856"/>
  <c r="E856"/>
  <c r="F856"/>
  <c r="G856"/>
  <c r="H856"/>
  <c r="I856"/>
  <c r="J856"/>
  <c r="K856"/>
  <c r="M856"/>
  <c r="N856"/>
  <c r="A857"/>
  <c r="C857"/>
  <c r="D857"/>
  <c r="E857"/>
  <c r="F857"/>
  <c r="G857"/>
  <c r="H857"/>
  <c r="I857"/>
  <c r="J857"/>
  <c r="K857"/>
  <c r="N857"/>
  <c r="A858"/>
  <c r="C858"/>
  <c r="D858"/>
  <c r="E858"/>
  <c r="F858"/>
  <c r="G858"/>
  <c r="H858"/>
  <c r="I858"/>
  <c r="J858"/>
  <c r="K858"/>
  <c r="N858"/>
  <c r="A859"/>
  <c r="C859"/>
  <c r="D859"/>
  <c r="E859"/>
  <c r="F859"/>
  <c r="G859"/>
  <c r="H859"/>
  <c r="I859"/>
  <c r="J859"/>
  <c r="K859"/>
  <c r="M859"/>
  <c r="N859"/>
  <c r="A860"/>
  <c r="C860"/>
  <c r="D860"/>
  <c r="E860"/>
  <c r="F860"/>
  <c r="G860"/>
  <c r="H860"/>
  <c r="I860"/>
  <c r="J860"/>
  <c r="K860"/>
  <c r="M860"/>
  <c r="N860"/>
  <c r="A861"/>
  <c r="C861"/>
  <c r="D861"/>
  <c r="E861"/>
  <c r="F861"/>
  <c r="G861"/>
  <c r="H861"/>
  <c r="I861"/>
  <c r="J861"/>
  <c r="K861"/>
  <c r="N861"/>
  <c r="A862"/>
  <c r="C862"/>
  <c r="D862"/>
  <c r="E862"/>
  <c r="F862"/>
  <c r="G862"/>
  <c r="H862"/>
  <c r="I862"/>
  <c r="J862"/>
  <c r="K862"/>
  <c r="N862"/>
  <c r="A863"/>
  <c r="C863"/>
  <c r="D863"/>
  <c r="E863"/>
  <c r="F863"/>
  <c r="G863"/>
  <c r="H863"/>
  <c r="I863"/>
  <c r="J863"/>
  <c r="K863"/>
  <c r="M863"/>
  <c r="N863"/>
  <c r="A864"/>
  <c r="C864"/>
  <c r="D864"/>
  <c r="E864"/>
  <c r="F864"/>
  <c r="G864"/>
  <c r="H864"/>
  <c r="I864"/>
  <c r="J864"/>
  <c r="K864"/>
  <c r="M864"/>
  <c r="N864"/>
  <c r="A865"/>
  <c r="C865"/>
  <c r="D865"/>
  <c r="E865"/>
  <c r="F865"/>
  <c r="G865"/>
  <c r="H865"/>
  <c r="I865"/>
  <c r="J865"/>
  <c r="K865"/>
  <c r="N865"/>
  <c r="A866"/>
  <c r="C866"/>
  <c r="D866"/>
  <c r="E866"/>
  <c r="F866"/>
  <c r="G866"/>
  <c r="H866"/>
  <c r="I866"/>
  <c r="J866"/>
  <c r="K866"/>
  <c r="N866"/>
  <c r="A867"/>
  <c r="C867"/>
  <c r="D867"/>
  <c r="E867"/>
  <c r="F867"/>
  <c r="G867"/>
  <c r="H867"/>
  <c r="I867"/>
  <c r="J867"/>
  <c r="K867"/>
  <c r="M867"/>
  <c r="N867"/>
  <c r="A868"/>
  <c r="C868"/>
  <c r="D868"/>
  <c r="E868"/>
  <c r="F868"/>
  <c r="G868"/>
  <c r="H868"/>
  <c r="I868"/>
  <c r="J868"/>
  <c r="K868"/>
  <c r="M868"/>
  <c r="N868"/>
  <c r="A869"/>
  <c r="C869"/>
  <c r="D869"/>
  <c r="E869"/>
  <c r="F869"/>
  <c r="G869"/>
  <c r="H869"/>
  <c r="I869"/>
  <c r="J869"/>
  <c r="K869"/>
  <c r="N869"/>
  <c r="A870"/>
  <c r="C870"/>
  <c r="D870"/>
  <c r="E870"/>
  <c r="F870"/>
  <c r="G870"/>
  <c r="H870"/>
  <c r="I870"/>
  <c r="J870"/>
  <c r="K870"/>
  <c r="N870"/>
  <c r="A871"/>
  <c r="C871"/>
  <c r="D871"/>
  <c r="E871"/>
  <c r="F871"/>
  <c r="G871"/>
  <c r="H871"/>
  <c r="I871"/>
  <c r="J871"/>
  <c r="K871"/>
  <c r="N871"/>
  <c r="A872"/>
  <c r="C872"/>
  <c r="D872"/>
  <c r="E872"/>
  <c r="F872"/>
  <c r="G872"/>
  <c r="H872"/>
  <c r="I872"/>
  <c r="J872"/>
  <c r="K872"/>
  <c r="M872"/>
  <c r="N872"/>
  <c r="A873"/>
  <c r="C873"/>
  <c r="D873"/>
  <c r="E873"/>
  <c r="F873"/>
  <c r="G873"/>
  <c r="H873"/>
  <c r="I873"/>
  <c r="J873"/>
  <c r="K873"/>
  <c r="N873"/>
  <c r="A874"/>
  <c r="C874"/>
  <c r="D874"/>
  <c r="E874"/>
  <c r="F874"/>
  <c r="G874"/>
  <c r="H874"/>
  <c r="I874"/>
  <c r="J874"/>
  <c r="K874"/>
  <c r="N874"/>
  <c r="A875"/>
  <c r="C875"/>
  <c r="D875"/>
  <c r="E875"/>
  <c r="F875"/>
  <c r="G875"/>
  <c r="H875"/>
  <c r="I875"/>
  <c r="J875"/>
  <c r="K875"/>
  <c r="N875"/>
  <c r="A876"/>
  <c r="C876"/>
  <c r="D876"/>
  <c r="E876"/>
  <c r="F876"/>
  <c r="G876"/>
  <c r="H876"/>
  <c r="I876"/>
  <c r="J876"/>
  <c r="K876"/>
  <c r="M876"/>
  <c r="N876"/>
  <c r="A877"/>
  <c r="C877"/>
  <c r="D877"/>
  <c r="E877"/>
  <c r="F877"/>
  <c r="G877"/>
  <c r="H877"/>
  <c r="I877"/>
  <c r="J877"/>
  <c r="K877"/>
  <c r="N877"/>
  <c r="A878"/>
  <c r="C878"/>
  <c r="D878"/>
  <c r="E878"/>
  <c r="F878"/>
  <c r="G878"/>
  <c r="H878"/>
  <c r="I878"/>
  <c r="J878"/>
  <c r="K878"/>
  <c r="N878"/>
  <c r="A879"/>
  <c r="C879"/>
  <c r="D879"/>
  <c r="E879"/>
  <c r="F879"/>
  <c r="G879"/>
  <c r="H879"/>
  <c r="I879"/>
  <c r="J879"/>
  <c r="K879"/>
  <c r="M879"/>
  <c r="N879"/>
  <c r="A880"/>
  <c r="C880"/>
  <c r="D880"/>
  <c r="E880"/>
  <c r="F880"/>
  <c r="G880"/>
  <c r="H880"/>
  <c r="I880"/>
  <c r="J880"/>
  <c r="K880"/>
  <c r="M880"/>
  <c r="N880"/>
  <c r="A881"/>
  <c r="C881"/>
  <c r="D881"/>
  <c r="E881"/>
  <c r="F881"/>
  <c r="G881"/>
  <c r="H881"/>
  <c r="I881"/>
  <c r="J881"/>
  <c r="K881"/>
  <c r="N881"/>
  <c r="A882"/>
  <c r="C882"/>
  <c r="D882"/>
  <c r="E882"/>
  <c r="F882"/>
  <c r="G882"/>
  <c r="H882"/>
  <c r="I882"/>
  <c r="J882"/>
  <c r="K882"/>
  <c r="N882"/>
  <c r="A883"/>
  <c r="C883"/>
  <c r="D883"/>
  <c r="E883"/>
  <c r="F883"/>
  <c r="G883"/>
  <c r="H883"/>
  <c r="I883"/>
  <c r="J883"/>
  <c r="K883"/>
  <c r="M883"/>
  <c r="N883"/>
  <c r="A884"/>
  <c r="C884"/>
  <c r="D884"/>
  <c r="E884"/>
  <c r="F884"/>
  <c r="G884"/>
  <c r="H884"/>
  <c r="I884"/>
  <c r="J884"/>
  <c r="K884"/>
  <c r="M884"/>
  <c r="N884"/>
  <c r="A885"/>
  <c r="C885"/>
  <c r="D885"/>
  <c r="E885"/>
  <c r="F885"/>
  <c r="G885"/>
  <c r="H885"/>
  <c r="I885"/>
  <c r="J885"/>
  <c r="K885"/>
  <c r="N885"/>
  <c r="A886"/>
  <c r="C886"/>
  <c r="D886"/>
  <c r="E886"/>
  <c r="F886"/>
  <c r="G886"/>
  <c r="H886"/>
  <c r="I886"/>
  <c r="J886"/>
  <c r="K886"/>
  <c r="N886"/>
  <c r="A887"/>
  <c r="C887"/>
  <c r="D887"/>
  <c r="E887"/>
  <c r="F887"/>
  <c r="G887"/>
  <c r="H887"/>
  <c r="I887"/>
  <c r="J887"/>
  <c r="K887"/>
  <c r="M887"/>
  <c r="N887"/>
  <c r="A888"/>
  <c r="C888"/>
  <c r="D888"/>
  <c r="E888"/>
  <c r="F888"/>
  <c r="G888"/>
  <c r="H888"/>
  <c r="I888"/>
  <c r="J888"/>
  <c r="K888"/>
  <c r="M888"/>
  <c r="N888"/>
  <c r="A889"/>
  <c r="C889"/>
  <c r="D889"/>
  <c r="E889"/>
  <c r="F889"/>
  <c r="G889"/>
  <c r="H889"/>
  <c r="I889"/>
  <c r="J889"/>
  <c r="K889"/>
  <c r="N889"/>
  <c r="A890"/>
  <c r="C890"/>
  <c r="D890"/>
  <c r="E890"/>
  <c r="F890"/>
  <c r="G890"/>
  <c r="H890"/>
  <c r="I890"/>
  <c r="J890"/>
  <c r="K890"/>
  <c r="N890"/>
  <c r="A891"/>
  <c r="C891"/>
  <c r="D891"/>
  <c r="E891"/>
  <c r="F891"/>
  <c r="G891"/>
  <c r="H891"/>
  <c r="I891"/>
  <c r="J891"/>
  <c r="K891"/>
  <c r="M891"/>
  <c r="N891"/>
  <c r="A892"/>
  <c r="C892"/>
  <c r="D892"/>
  <c r="E892"/>
  <c r="F892"/>
  <c r="G892"/>
  <c r="H892"/>
  <c r="I892"/>
  <c r="J892"/>
  <c r="K892"/>
  <c r="M892"/>
  <c r="N892"/>
  <c r="A893"/>
  <c r="C893"/>
  <c r="D893"/>
  <c r="E893"/>
  <c r="F893"/>
  <c r="G893"/>
  <c r="H893"/>
  <c r="I893"/>
  <c r="J893"/>
  <c r="K893"/>
  <c r="N893"/>
  <c r="A894"/>
  <c r="C894"/>
  <c r="D894"/>
  <c r="E894"/>
  <c r="F894"/>
  <c r="G894"/>
  <c r="H894"/>
  <c r="I894"/>
  <c r="J894"/>
  <c r="K894"/>
  <c r="N894"/>
  <c r="A895"/>
  <c r="C895"/>
  <c r="D895"/>
  <c r="E895"/>
  <c r="F895"/>
  <c r="G895"/>
  <c r="H895"/>
  <c r="I895"/>
  <c r="J895"/>
  <c r="K895"/>
  <c r="M895"/>
  <c r="N895"/>
  <c r="A896"/>
  <c r="C896"/>
  <c r="D896"/>
  <c r="E896"/>
  <c r="F896"/>
  <c r="G896"/>
  <c r="H896"/>
  <c r="I896"/>
  <c r="J896"/>
  <c r="K896"/>
  <c r="M896"/>
  <c r="N896"/>
  <c r="A897"/>
  <c r="C897"/>
  <c r="D897"/>
  <c r="E897"/>
  <c r="F897"/>
  <c r="G897"/>
  <c r="H897"/>
  <c r="I897"/>
  <c r="J897"/>
  <c r="K897"/>
  <c r="N897"/>
  <c r="A898"/>
  <c r="C898"/>
  <c r="D898"/>
  <c r="E898"/>
  <c r="F898"/>
  <c r="G898"/>
  <c r="H898"/>
  <c r="I898"/>
  <c r="J898"/>
  <c r="K898"/>
  <c r="N898"/>
  <c r="A899"/>
  <c r="C899"/>
  <c r="D899"/>
  <c r="E899"/>
  <c r="F899"/>
  <c r="G899"/>
  <c r="H899"/>
  <c r="I899"/>
  <c r="J899"/>
  <c r="K899"/>
  <c r="M899"/>
  <c r="N899"/>
  <c r="A900"/>
  <c r="C900"/>
  <c r="D900"/>
  <c r="E900"/>
  <c r="F900"/>
  <c r="G900"/>
  <c r="H900"/>
  <c r="I900"/>
  <c r="J900"/>
  <c r="K900"/>
  <c r="M900"/>
  <c r="N900"/>
  <c r="A901"/>
  <c r="C901"/>
  <c r="D901"/>
  <c r="E901"/>
  <c r="F901"/>
  <c r="G901"/>
  <c r="H901"/>
  <c r="I901"/>
  <c r="J901"/>
  <c r="K901"/>
  <c r="N901"/>
  <c r="A902"/>
  <c r="C902"/>
  <c r="D902"/>
  <c r="E902"/>
  <c r="F902"/>
  <c r="G902"/>
  <c r="H902"/>
  <c r="I902"/>
  <c r="J902"/>
  <c r="K902"/>
  <c r="N902"/>
  <c r="A903"/>
  <c r="C903"/>
  <c r="D903"/>
  <c r="E903"/>
  <c r="F903"/>
  <c r="G903"/>
  <c r="H903"/>
  <c r="I903"/>
  <c r="J903"/>
  <c r="K903"/>
  <c r="M903"/>
  <c r="N903"/>
  <c r="A904"/>
  <c r="C904"/>
  <c r="D904"/>
  <c r="E904"/>
  <c r="F904"/>
  <c r="G904"/>
  <c r="H904"/>
  <c r="I904"/>
  <c r="J904"/>
  <c r="K904"/>
  <c r="M904"/>
  <c r="N904"/>
  <c r="A905"/>
  <c r="C905"/>
  <c r="D905"/>
  <c r="E905"/>
  <c r="F905"/>
  <c r="G905"/>
  <c r="H905"/>
  <c r="I905"/>
  <c r="J905"/>
  <c r="K905"/>
  <c r="N905"/>
  <c r="A906"/>
  <c r="C906"/>
  <c r="D906"/>
  <c r="E906"/>
  <c r="F906"/>
  <c r="G906"/>
  <c r="H906"/>
  <c r="I906"/>
  <c r="J906"/>
  <c r="K906"/>
  <c r="N906"/>
  <c r="A907"/>
  <c r="C907"/>
  <c r="D907"/>
  <c r="E907"/>
  <c r="F907"/>
  <c r="G907"/>
  <c r="H907"/>
  <c r="I907"/>
  <c r="J907"/>
  <c r="K907"/>
  <c r="M907"/>
  <c r="N907"/>
  <c r="A908"/>
  <c r="C908"/>
  <c r="D908"/>
  <c r="E908"/>
  <c r="F908"/>
  <c r="G908"/>
  <c r="H908"/>
  <c r="I908"/>
  <c r="J908"/>
  <c r="K908"/>
  <c r="M908"/>
  <c r="N908"/>
  <c r="A909"/>
  <c r="C909"/>
  <c r="D909"/>
  <c r="E909"/>
  <c r="F909"/>
  <c r="G909"/>
  <c r="H909"/>
  <c r="I909"/>
  <c r="J909"/>
  <c r="K909"/>
  <c r="N909"/>
  <c r="A910"/>
  <c r="C910"/>
  <c r="D910"/>
  <c r="E910"/>
  <c r="F910"/>
  <c r="G910"/>
  <c r="H910"/>
  <c r="I910"/>
  <c r="J910"/>
  <c r="K910"/>
  <c r="N910"/>
  <c r="A911"/>
  <c r="C911"/>
  <c r="D911"/>
  <c r="E911"/>
  <c r="F911"/>
  <c r="G911"/>
  <c r="H911"/>
  <c r="I911"/>
  <c r="J911"/>
  <c r="K911"/>
  <c r="M911"/>
  <c r="N911"/>
  <c r="A912"/>
  <c r="C912"/>
  <c r="D912"/>
  <c r="E912"/>
  <c r="F912"/>
  <c r="G912"/>
  <c r="H912"/>
  <c r="I912"/>
  <c r="J912"/>
  <c r="K912"/>
  <c r="M912"/>
  <c r="N912"/>
  <c r="A913"/>
  <c r="C913"/>
  <c r="D913"/>
  <c r="E913"/>
  <c r="F913"/>
  <c r="G913"/>
  <c r="H913"/>
  <c r="I913"/>
  <c r="J913"/>
  <c r="K913"/>
  <c r="N913"/>
  <c r="A914"/>
  <c r="C914"/>
  <c r="D914"/>
  <c r="E914"/>
  <c r="F914"/>
  <c r="G914"/>
  <c r="H914"/>
  <c r="I914"/>
  <c r="J914"/>
  <c r="K914"/>
  <c r="N914"/>
  <c r="A915"/>
  <c r="C915"/>
  <c r="D915"/>
  <c r="E915"/>
  <c r="F915"/>
  <c r="G915"/>
  <c r="H915"/>
  <c r="I915"/>
  <c r="J915"/>
  <c r="K915"/>
  <c r="M915"/>
  <c r="N915"/>
  <c r="A916"/>
  <c r="C916"/>
  <c r="D916"/>
  <c r="E916"/>
  <c r="F916"/>
  <c r="G916"/>
  <c r="H916"/>
  <c r="I916"/>
  <c r="J916"/>
  <c r="K916"/>
  <c r="M916"/>
  <c r="N916"/>
  <c r="A917"/>
  <c r="C917"/>
  <c r="D917"/>
  <c r="E917"/>
  <c r="F917"/>
  <c r="G917"/>
  <c r="H917"/>
  <c r="I917"/>
  <c r="J917"/>
  <c r="K917"/>
  <c r="N917"/>
  <c r="A918"/>
  <c r="C918"/>
  <c r="D918"/>
  <c r="E918"/>
  <c r="F918"/>
  <c r="G918"/>
  <c r="H918"/>
  <c r="I918"/>
  <c r="J918"/>
  <c r="K918"/>
  <c r="N918"/>
  <c r="A919"/>
  <c r="C919"/>
  <c r="D919"/>
  <c r="E919"/>
  <c r="F919"/>
  <c r="G919"/>
  <c r="H919"/>
  <c r="I919"/>
  <c r="J919"/>
  <c r="K919"/>
  <c r="M919"/>
  <c r="N919"/>
  <c r="A920"/>
  <c r="C920"/>
  <c r="D920"/>
  <c r="E920"/>
  <c r="F920"/>
  <c r="G920"/>
  <c r="H920"/>
  <c r="I920"/>
  <c r="J920"/>
  <c r="K920"/>
  <c r="M920"/>
  <c r="N920"/>
  <c r="A921"/>
  <c r="C921"/>
  <c r="D921"/>
  <c r="E921"/>
  <c r="F921"/>
  <c r="G921"/>
  <c r="H921"/>
  <c r="I921"/>
  <c r="J921"/>
  <c r="K921"/>
  <c r="N921"/>
  <c r="A922"/>
  <c r="C922"/>
  <c r="D922"/>
  <c r="E922"/>
  <c r="F922"/>
  <c r="G922"/>
  <c r="H922"/>
  <c r="I922"/>
  <c r="J922"/>
  <c r="K922"/>
  <c r="N922"/>
  <c r="A923"/>
  <c r="C923"/>
  <c r="D923"/>
  <c r="E923"/>
  <c r="F923"/>
  <c r="G923"/>
  <c r="H923"/>
  <c r="I923"/>
  <c r="J923"/>
  <c r="K923"/>
  <c r="M923"/>
  <c r="N923"/>
  <c r="A924"/>
  <c r="C924"/>
  <c r="D924"/>
  <c r="E924"/>
  <c r="F924"/>
  <c r="G924"/>
  <c r="H924"/>
  <c r="I924"/>
  <c r="J924"/>
  <c r="K924"/>
  <c r="M924"/>
  <c r="N924"/>
  <c r="A925"/>
  <c r="C925"/>
  <c r="D925"/>
  <c r="E925"/>
  <c r="F925"/>
  <c r="G925"/>
  <c r="H925"/>
  <c r="I925"/>
  <c r="J925"/>
  <c r="K925"/>
  <c r="N925"/>
  <c r="A926"/>
  <c r="B926"/>
  <c r="C926"/>
  <c r="D926"/>
  <c r="E926"/>
  <c r="F926"/>
  <c r="G926"/>
  <c r="H926"/>
  <c r="I926"/>
  <c r="J926"/>
  <c r="K926"/>
  <c r="L926"/>
  <c r="N926"/>
  <c r="A927"/>
  <c r="B927"/>
  <c r="C927"/>
  <c r="D927"/>
  <c r="E927"/>
  <c r="F927"/>
  <c r="G927"/>
  <c r="H927"/>
  <c r="I927"/>
  <c r="J927"/>
  <c r="K927"/>
  <c r="L927"/>
  <c r="N927"/>
  <c r="A928"/>
  <c r="B928"/>
  <c r="C928"/>
  <c r="D928"/>
  <c r="E928"/>
  <c r="F928"/>
  <c r="G928"/>
  <c r="H928"/>
  <c r="I928"/>
  <c r="J928"/>
  <c r="K928"/>
  <c r="L928"/>
  <c r="N928"/>
  <c r="A929"/>
  <c r="B929"/>
  <c r="C929"/>
  <c r="D929"/>
  <c r="E929"/>
  <c r="F929"/>
  <c r="G929"/>
  <c r="H929"/>
  <c r="I929"/>
  <c r="J929"/>
  <c r="K929"/>
  <c r="L929"/>
  <c r="N929"/>
  <c r="A930"/>
  <c r="B930"/>
  <c r="C930"/>
  <c r="D930"/>
  <c r="E930"/>
  <c r="F930"/>
  <c r="G930"/>
  <c r="H930"/>
  <c r="I930"/>
  <c r="J930"/>
  <c r="K930"/>
  <c r="L930"/>
  <c r="N930"/>
  <c r="A931"/>
  <c r="B931"/>
  <c r="C931"/>
  <c r="D931"/>
  <c r="E931"/>
  <c r="F931"/>
  <c r="G931"/>
  <c r="H931"/>
  <c r="I931"/>
  <c r="J931"/>
  <c r="K931"/>
  <c r="L931"/>
  <c r="N931"/>
  <c r="A932"/>
  <c r="B932"/>
  <c r="C932"/>
  <c r="D932"/>
  <c r="E932"/>
  <c r="F932"/>
  <c r="G932"/>
  <c r="H932"/>
  <c r="I932"/>
  <c r="J932"/>
  <c r="K932"/>
  <c r="L932"/>
  <c r="N932"/>
  <c r="A933"/>
  <c r="B933"/>
  <c r="C933"/>
  <c r="D933"/>
  <c r="E933"/>
  <c r="F933"/>
  <c r="G933"/>
  <c r="H933"/>
  <c r="I933"/>
  <c r="J933"/>
  <c r="K933"/>
  <c r="L933"/>
  <c r="M933"/>
  <c r="N933"/>
  <c r="A934"/>
  <c r="B934"/>
  <c r="C934"/>
  <c r="D934"/>
  <c r="E934"/>
  <c r="F934"/>
  <c r="G934"/>
  <c r="H934"/>
  <c r="I934"/>
  <c r="J934"/>
  <c r="K934"/>
  <c r="L934"/>
  <c r="N934"/>
  <c r="A935"/>
  <c r="B935"/>
  <c r="C935"/>
  <c r="D935"/>
  <c r="E935"/>
  <c r="F935"/>
  <c r="G935"/>
  <c r="H935"/>
  <c r="I935"/>
  <c r="J935"/>
  <c r="K935"/>
  <c r="L935"/>
  <c r="N935"/>
  <c r="A936"/>
  <c r="B936"/>
  <c r="C936"/>
  <c r="D936"/>
  <c r="E936"/>
  <c r="F936"/>
  <c r="G936"/>
  <c r="H936"/>
  <c r="I936"/>
  <c r="J936"/>
  <c r="K936"/>
  <c r="L936"/>
  <c r="N936"/>
  <c r="A937"/>
  <c r="B937"/>
  <c r="C937"/>
  <c r="D937"/>
  <c r="E937"/>
  <c r="F937"/>
  <c r="G937"/>
  <c r="H937"/>
  <c r="I937"/>
  <c r="J937"/>
  <c r="K937"/>
  <c r="L937"/>
  <c r="N937"/>
  <c r="A938"/>
  <c r="B938"/>
  <c r="C938"/>
  <c r="D938"/>
  <c r="E938"/>
  <c r="F938"/>
  <c r="G938"/>
  <c r="H938"/>
  <c r="I938"/>
  <c r="J938"/>
  <c r="K938"/>
  <c r="L938"/>
  <c r="N938"/>
  <c r="A939"/>
  <c r="B939"/>
  <c r="C939"/>
  <c r="D939"/>
  <c r="E939"/>
  <c r="F939"/>
  <c r="G939"/>
  <c r="H939"/>
  <c r="I939"/>
  <c r="J939"/>
  <c r="K939"/>
  <c r="L939"/>
  <c r="N939"/>
  <c r="A940"/>
  <c r="B940"/>
  <c r="C940"/>
  <c r="D940"/>
  <c r="E940"/>
  <c r="F940"/>
  <c r="G940"/>
  <c r="H940"/>
  <c r="I940"/>
  <c r="J940"/>
  <c r="K940"/>
  <c r="L940"/>
  <c r="N940"/>
  <c r="A941"/>
  <c r="B941"/>
  <c r="C941"/>
  <c r="D941"/>
  <c r="E941"/>
  <c r="F941"/>
  <c r="G941"/>
  <c r="H941"/>
  <c r="I941"/>
  <c r="J941"/>
  <c r="K941"/>
  <c r="L941"/>
  <c r="N941"/>
  <c r="A942"/>
  <c r="B942"/>
  <c r="C942"/>
  <c r="D942"/>
  <c r="E942"/>
  <c r="F942"/>
  <c r="G942"/>
  <c r="H942"/>
  <c r="I942"/>
  <c r="J942"/>
  <c r="K942"/>
  <c r="L942"/>
  <c r="N942"/>
  <c r="A943"/>
  <c r="B943"/>
  <c r="C943"/>
  <c r="D943"/>
  <c r="E943"/>
  <c r="F943"/>
  <c r="G943"/>
  <c r="H943"/>
  <c r="I943"/>
  <c r="J943"/>
  <c r="K943"/>
  <c r="L943"/>
  <c r="N943"/>
  <c r="A944"/>
  <c r="B944"/>
  <c r="C944"/>
  <c r="D944"/>
  <c r="E944"/>
  <c r="F944"/>
  <c r="G944"/>
  <c r="H944"/>
  <c r="I944"/>
  <c r="J944"/>
  <c r="K944"/>
  <c r="L944"/>
  <c r="N944"/>
  <c r="A945"/>
  <c r="B945"/>
  <c r="C945"/>
  <c r="D945"/>
  <c r="E945"/>
  <c r="F945"/>
  <c r="G945"/>
  <c r="H945"/>
  <c r="I945"/>
  <c r="J945"/>
  <c r="K945"/>
  <c r="L945"/>
  <c r="M945"/>
  <c r="N945"/>
  <c r="A946"/>
  <c r="B946"/>
  <c r="C946"/>
  <c r="D946"/>
  <c r="E946"/>
  <c r="F946"/>
  <c r="G946"/>
  <c r="H946"/>
  <c r="I946"/>
  <c r="J946"/>
  <c r="K946"/>
  <c r="L946"/>
  <c r="N946"/>
  <c r="A947"/>
  <c r="B947"/>
  <c r="C947"/>
  <c r="D947"/>
  <c r="E947"/>
  <c r="F947"/>
  <c r="G947"/>
  <c r="H947"/>
  <c r="I947"/>
  <c r="J947"/>
  <c r="K947"/>
  <c r="L947"/>
  <c r="N947"/>
  <c r="A948"/>
  <c r="B948"/>
  <c r="C948"/>
  <c r="D948"/>
  <c r="E948"/>
  <c r="F948"/>
  <c r="G948"/>
  <c r="H948"/>
  <c r="I948"/>
  <c r="J948"/>
  <c r="K948"/>
  <c r="L948"/>
  <c r="N948"/>
  <c r="A949"/>
  <c r="B949"/>
  <c r="C949"/>
  <c r="D949"/>
  <c r="E949"/>
  <c r="F949"/>
  <c r="G949"/>
  <c r="H949"/>
  <c r="I949"/>
  <c r="J949"/>
  <c r="K949"/>
  <c r="L949"/>
  <c r="N949"/>
  <c r="A950"/>
  <c r="B950"/>
  <c r="C950"/>
  <c r="D950"/>
  <c r="E950"/>
  <c r="F950"/>
  <c r="G950"/>
  <c r="H950"/>
  <c r="I950"/>
  <c r="J950"/>
  <c r="K950"/>
  <c r="L950"/>
  <c r="N950"/>
  <c r="A951"/>
  <c r="B951"/>
  <c r="C951"/>
  <c r="D951"/>
  <c r="E951"/>
  <c r="F951"/>
  <c r="G951"/>
  <c r="H951"/>
  <c r="I951"/>
  <c r="J951"/>
  <c r="K951"/>
  <c r="L951"/>
  <c r="N951"/>
  <c r="A952"/>
  <c r="B952"/>
  <c r="C952"/>
  <c r="D952"/>
  <c r="E952"/>
  <c r="F952"/>
  <c r="G952"/>
  <c r="H952"/>
  <c r="I952"/>
  <c r="J952"/>
  <c r="K952"/>
  <c r="L952"/>
  <c r="N952"/>
  <c r="A953"/>
  <c r="B953"/>
  <c r="C953"/>
  <c r="D953"/>
  <c r="E953"/>
  <c r="F953"/>
  <c r="G953"/>
  <c r="H953"/>
  <c r="I953"/>
  <c r="J953"/>
  <c r="K953"/>
  <c r="L953"/>
  <c r="N953"/>
  <c r="A954"/>
  <c r="B954"/>
  <c r="C954"/>
  <c r="D954"/>
  <c r="E954"/>
  <c r="F954"/>
  <c r="G954"/>
  <c r="H954"/>
  <c r="I954"/>
  <c r="J954"/>
  <c r="K954"/>
  <c r="L954"/>
  <c r="N954"/>
  <c r="A955"/>
  <c r="B955"/>
  <c r="C955"/>
  <c r="D955"/>
  <c r="E955"/>
  <c r="F955"/>
  <c r="G955"/>
  <c r="H955"/>
  <c r="I955"/>
  <c r="J955"/>
  <c r="K955"/>
  <c r="L955"/>
  <c r="N955"/>
  <c r="A956"/>
  <c r="B956"/>
  <c r="C956"/>
  <c r="D956"/>
  <c r="E956"/>
  <c r="F956"/>
  <c r="G956"/>
  <c r="H956"/>
  <c r="I956"/>
  <c r="J956"/>
  <c r="K956"/>
  <c r="L956"/>
  <c r="N956"/>
  <c r="A957"/>
  <c r="B957"/>
  <c r="C957"/>
  <c r="D957"/>
  <c r="E957"/>
  <c r="F957"/>
  <c r="G957"/>
  <c r="H957"/>
  <c r="I957"/>
  <c r="J957"/>
  <c r="K957"/>
  <c r="L957"/>
  <c r="N957"/>
  <c r="A958"/>
  <c r="B958"/>
  <c r="C958"/>
  <c r="D958"/>
  <c r="E958"/>
  <c r="F958"/>
  <c r="G958"/>
  <c r="H958"/>
  <c r="I958"/>
  <c r="J958"/>
  <c r="K958"/>
  <c r="L958"/>
  <c r="N958"/>
  <c r="A959"/>
  <c r="B959"/>
  <c r="C959"/>
  <c r="D959"/>
  <c r="E959"/>
  <c r="F959"/>
  <c r="G959"/>
  <c r="H959"/>
  <c r="I959"/>
  <c r="J959"/>
  <c r="K959"/>
  <c r="L959"/>
  <c r="N959"/>
  <c r="A960"/>
  <c r="B960"/>
  <c r="C960"/>
  <c r="D960"/>
  <c r="E960"/>
  <c r="F960"/>
  <c r="G960"/>
  <c r="H960"/>
  <c r="I960"/>
  <c r="J960"/>
  <c r="K960"/>
  <c r="L960"/>
  <c r="N960"/>
  <c r="A961"/>
  <c r="B961"/>
  <c r="C961"/>
  <c r="D961"/>
  <c r="E961"/>
  <c r="F961"/>
  <c r="G961"/>
  <c r="H961"/>
  <c r="I961"/>
  <c r="J961"/>
  <c r="K961"/>
  <c r="L961"/>
  <c r="N961"/>
  <c r="A962"/>
  <c r="B962"/>
  <c r="C962"/>
  <c r="D962"/>
  <c r="E962"/>
  <c r="F962"/>
  <c r="G962"/>
  <c r="H962"/>
  <c r="I962"/>
  <c r="J962"/>
  <c r="K962"/>
  <c r="L962"/>
  <c r="N962"/>
  <c r="A963"/>
  <c r="B963"/>
  <c r="C963"/>
  <c r="D963"/>
  <c r="E963"/>
  <c r="F963"/>
  <c r="G963"/>
  <c r="H963"/>
  <c r="I963"/>
  <c r="J963"/>
  <c r="K963"/>
  <c r="L963"/>
  <c r="N963"/>
  <c r="A964"/>
  <c r="B964"/>
  <c r="C964"/>
  <c r="D964"/>
  <c r="E964"/>
  <c r="F964"/>
  <c r="G964"/>
  <c r="H964"/>
  <c r="I964"/>
  <c r="J964"/>
  <c r="K964"/>
  <c r="L964"/>
  <c r="N964"/>
  <c r="A965"/>
  <c r="B965"/>
  <c r="C965"/>
  <c r="D965"/>
  <c r="E965"/>
  <c r="F965"/>
  <c r="G965"/>
  <c r="H965"/>
  <c r="I965"/>
  <c r="J965"/>
  <c r="K965"/>
  <c r="L965"/>
  <c r="M965"/>
  <c r="N965"/>
  <c r="A966"/>
  <c r="B966"/>
  <c r="C966"/>
  <c r="D966"/>
  <c r="E966"/>
  <c r="F966"/>
  <c r="G966"/>
  <c r="H966"/>
  <c r="I966"/>
  <c r="J966"/>
  <c r="K966"/>
  <c r="L966"/>
  <c r="N966"/>
  <c r="A967"/>
  <c r="B967"/>
  <c r="C967"/>
  <c r="D967"/>
  <c r="E967"/>
  <c r="F967"/>
  <c r="G967"/>
  <c r="H967"/>
  <c r="I967"/>
  <c r="J967"/>
  <c r="K967"/>
  <c r="L967"/>
  <c r="N967"/>
  <c r="A968"/>
  <c r="B968"/>
  <c r="C968"/>
  <c r="D968"/>
  <c r="E968"/>
  <c r="F968"/>
  <c r="G968"/>
  <c r="H968"/>
  <c r="I968"/>
  <c r="J968"/>
  <c r="K968"/>
  <c r="L968"/>
  <c r="N968"/>
  <c r="A969"/>
  <c r="B969"/>
  <c r="C969"/>
  <c r="D969"/>
  <c r="E969"/>
  <c r="F969"/>
  <c r="G969"/>
  <c r="H969"/>
  <c r="I969"/>
  <c r="J969"/>
  <c r="K969"/>
  <c r="L969"/>
  <c r="N969"/>
  <c r="A970"/>
  <c r="B970"/>
  <c r="C970"/>
  <c r="D970"/>
  <c r="E970"/>
  <c r="F970"/>
  <c r="G970"/>
  <c r="H970"/>
  <c r="I970"/>
  <c r="J970"/>
  <c r="K970"/>
  <c r="L970"/>
  <c r="N970"/>
  <c r="A971"/>
  <c r="B971"/>
  <c r="C971"/>
  <c r="D971"/>
  <c r="E971"/>
  <c r="F971"/>
  <c r="G971"/>
  <c r="H971"/>
  <c r="I971"/>
  <c r="J971"/>
  <c r="K971"/>
  <c r="L971"/>
  <c r="N971"/>
  <c r="A972"/>
  <c r="B972"/>
  <c r="C972"/>
  <c r="D972"/>
  <c r="E972"/>
  <c r="F972"/>
  <c r="G972"/>
  <c r="H972"/>
  <c r="I972"/>
  <c r="J972"/>
  <c r="K972"/>
  <c r="L972"/>
  <c r="N972"/>
  <c r="A973"/>
  <c r="B973"/>
  <c r="C973"/>
  <c r="D973"/>
  <c r="E973"/>
  <c r="F973"/>
  <c r="G973"/>
  <c r="H973"/>
  <c r="I973"/>
  <c r="J973"/>
  <c r="K973"/>
  <c r="L973"/>
  <c r="N973"/>
  <c r="A974"/>
  <c r="B974"/>
  <c r="C974"/>
  <c r="D974"/>
  <c r="E974"/>
  <c r="F974"/>
  <c r="G974"/>
  <c r="H974"/>
  <c r="I974"/>
  <c r="J974"/>
  <c r="K974"/>
  <c r="L974"/>
  <c r="N974"/>
  <c r="A975"/>
  <c r="B975"/>
  <c r="C975"/>
  <c r="D975"/>
  <c r="E975"/>
  <c r="F975"/>
  <c r="G975"/>
  <c r="H975"/>
  <c r="I975"/>
  <c r="J975"/>
  <c r="K975"/>
  <c r="L975"/>
  <c r="N975"/>
  <c r="A976"/>
  <c r="B976"/>
  <c r="C976"/>
  <c r="D976"/>
  <c r="E976"/>
  <c r="F976"/>
  <c r="G976"/>
  <c r="H976"/>
  <c r="I976"/>
  <c r="J976"/>
  <c r="K976"/>
  <c r="L976"/>
  <c r="N976"/>
  <c r="A977"/>
  <c r="B977"/>
  <c r="C977"/>
  <c r="D977"/>
  <c r="E977"/>
  <c r="F977"/>
  <c r="G977"/>
  <c r="H977"/>
  <c r="I977"/>
  <c r="J977"/>
  <c r="K977"/>
  <c r="L977"/>
  <c r="N977"/>
  <c r="A978"/>
  <c r="B978"/>
  <c r="C978"/>
  <c r="D978"/>
  <c r="E978"/>
  <c r="F978"/>
  <c r="G978"/>
  <c r="H978"/>
  <c r="I978"/>
  <c r="J978"/>
  <c r="K978"/>
  <c r="L978"/>
  <c r="N978"/>
  <c r="A979"/>
  <c r="B979"/>
  <c r="C979"/>
  <c r="D979"/>
  <c r="E979"/>
  <c r="F979"/>
  <c r="G979"/>
  <c r="H979"/>
  <c r="I979"/>
  <c r="J979"/>
  <c r="K979"/>
  <c r="L979"/>
  <c r="N979"/>
  <c r="A980"/>
  <c r="B980"/>
  <c r="C980"/>
  <c r="D980"/>
  <c r="E980"/>
  <c r="F980"/>
  <c r="G980"/>
  <c r="H980"/>
  <c r="I980"/>
  <c r="J980"/>
  <c r="K980"/>
  <c r="L980"/>
  <c r="N980"/>
  <c r="A981"/>
  <c r="B981"/>
  <c r="C981"/>
  <c r="D981"/>
  <c r="E981"/>
  <c r="F981"/>
  <c r="G981"/>
  <c r="H981"/>
  <c r="I981"/>
  <c r="J981"/>
  <c r="K981"/>
  <c r="L981"/>
  <c r="N981"/>
  <c r="A982"/>
  <c r="B982"/>
  <c r="C982"/>
  <c r="D982"/>
  <c r="E982"/>
  <c r="F982"/>
  <c r="G982"/>
  <c r="H982"/>
  <c r="I982"/>
  <c r="J982"/>
  <c r="K982"/>
  <c r="L982"/>
  <c r="N982"/>
  <c r="A983"/>
  <c r="B983"/>
  <c r="C983"/>
  <c r="D983"/>
  <c r="E983"/>
  <c r="F983"/>
  <c r="G983"/>
  <c r="H983"/>
  <c r="I983"/>
  <c r="J983"/>
  <c r="K983"/>
  <c r="L983"/>
  <c r="N983"/>
  <c r="A984"/>
  <c r="B984"/>
  <c r="C984"/>
  <c r="D984"/>
  <c r="E984"/>
  <c r="F984"/>
  <c r="G984"/>
  <c r="H984"/>
  <c r="I984"/>
  <c r="J984"/>
  <c r="K984"/>
  <c r="L984"/>
  <c r="N984"/>
  <c r="A985"/>
  <c r="B985"/>
  <c r="C985"/>
  <c r="D985"/>
  <c r="E985"/>
  <c r="F985"/>
  <c r="G985"/>
  <c r="H985"/>
  <c r="I985"/>
  <c r="J985"/>
  <c r="K985"/>
  <c r="L985"/>
  <c r="N985"/>
  <c r="A986"/>
  <c r="B986"/>
  <c r="C986"/>
  <c r="D986"/>
  <c r="E986"/>
  <c r="F986"/>
  <c r="G986"/>
  <c r="H986"/>
  <c r="I986"/>
  <c r="J986"/>
  <c r="K986"/>
  <c r="L986"/>
  <c r="N986"/>
  <c r="A987"/>
  <c r="B987"/>
  <c r="C987"/>
  <c r="D987"/>
  <c r="E987"/>
  <c r="F987"/>
  <c r="G987"/>
  <c r="H987"/>
  <c r="I987"/>
  <c r="J987"/>
  <c r="K987"/>
  <c r="L987"/>
  <c r="N987"/>
  <c r="A988"/>
  <c r="B988"/>
  <c r="C988"/>
  <c r="D988"/>
  <c r="E988"/>
  <c r="F988"/>
  <c r="G988"/>
  <c r="H988"/>
  <c r="I988"/>
  <c r="J988"/>
  <c r="K988"/>
  <c r="L988"/>
  <c r="N988"/>
  <c r="A989"/>
  <c r="B989"/>
  <c r="C989"/>
  <c r="D989"/>
  <c r="E989"/>
  <c r="F989"/>
  <c r="G989"/>
  <c r="H989"/>
  <c r="I989"/>
  <c r="J989"/>
  <c r="K989"/>
  <c r="L989"/>
  <c r="M989"/>
  <c r="N989"/>
  <c r="A990"/>
  <c r="B990"/>
  <c r="C990"/>
  <c r="D990"/>
  <c r="E990"/>
  <c r="F990"/>
  <c r="G990"/>
  <c r="H990"/>
  <c r="I990"/>
  <c r="J990"/>
  <c r="K990"/>
  <c r="L990"/>
  <c r="N990"/>
  <c r="A991"/>
  <c r="B991"/>
  <c r="C991"/>
  <c r="D991"/>
  <c r="E991"/>
  <c r="F991"/>
  <c r="G991"/>
  <c r="H991"/>
  <c r="I991"/>
  <c r="J991"/>
  <c r="K991"/>
  <c r="L991"/>
  <c r="N991"/>
  <c r="A992"/>
  <c r="B992"/>
  <c r="C992"/>
  <c r="D992"/>
  <c r="E992"/>
  <c r="F992"/>
  <c r="G992"/>
  <c r="H992"/>
  <c r="I992"/>
  <c r="J992"/>
  <c r="K992"/>
  <c r="L992"/>
  <c r="N992"/>
  <c r="A993"/>
  <c r="B993"/>
  <c r="C993"/>
  <c r="D993"/>
  <c r="E993"/>
  <c r="F993"/>
  <c r="G993"/>
  <c r="H993"/>
  <c r="I993"/>
  <c r="J993"/>
  <c r="K993"/>
  <c r="L993"/>
  <c r="N993"/>
  <c r="A994"/>
  <c r="B994"/>
  <c r="C994"/>
  <c r="D994"/>
  <c r="E994"/>
  <c r="F994"/>
  <c r="G994"/>
  <c r="H994"/>
  <c r="I994"/>
  <c r="J994"/>
  <c r="K994"/>
  <c r="L994"/>
  <c r="N994"/>
  <c r="A995"/>
  <c r="B995"/>
  <c r="C995"/>
  <c r="D995"/>
  <c r="E995"/>
  <c r="F995"/>
  <c r="G995"/>
  <c r="H995"/>
  <c r="I995"/>
  <c r="J995"/>
  <c r="K995"/>
  <c r="L995"/>
  <c r="N995"/>
  <c r="A996"/>
  <c r="B996"/>
  <c r="C996"/>
  <c r="D996"/>
  <c r="E996"/>
  <c r="F996"/>
  <c r="G996"/>
  <c r="H996"/>
  <c r="I996"/>
  <c r="J996"/>
  <c r="K996"/>
  <c r="L996"/>
  <c r="N996"/>
  <c r="A997"/>
  <c r="B997"/>
  <c r="C997"/>
  <c r="D997"/>
  <c r="E997"/>
  <c r="F997"/>
  <c r="G997"/>
  <c r="H997"/>
  <c r="I997"/>
  <c r="J997"/>
  <c r="K997"/>
  <c r="L997"/>
  <c r="N997"/>
  <c r="A998"/>
  <c r="B998"/>
  <c r="C998"/>
  <c r="D998"/>
  <c r="E998"/>
  <c r="F998"/>
  <c r="G998"/>
  <c r="H998"/>
  <c r="I998"/>
  <c r="J998"/>
  <c r="K998"/>
  <c r="L998"/>
  <c r="N998"/>
  <c r="A999"/>
  <c r="B999"/>
  <c r="C999"/>
  <c r="D999"/>
  <c r="E999"/>
  <c r="F999"/>
  <c r="G999"/>
  <c r="H999"/>
  <c r="I999"/>
  <c r="J999"/>
  <c r="K999"/>
  <c r="L999"/>
  <c r="N999"/>
  <c r="A1000"/>
  <c r="B1000"/>
  <c r="C1000"/>
  <c r="D1000"/>
  <c r="E1000"/>
  <c r="F1000"/>
  <c r="G1000"/>
  <c r="H1000"/>
  <c r="I1000"/>
  <c r="J1000"/>
  <c r="K1000"/>
  <c r="L1000"/>
  <c r="N1000"/>
  <c r="A1001"/>
  <c r="B1001"/>
  <c r="C1001"/>
  <c r="D1001"/>
  <c r="E1001"/>
  <c r="F1001"/>
  <c r="G1001"/>
  <c r="H1001"/>
  <c r="I1001"/>
  <c r="J1001"/>
  <c r="K1001"/>
  <c r="L1001"/>
  <c r="M1001"/>
  <c r="N1001"/>
  <c r="A1002"/>
  <c r="B1002"/>
  <c r="C1002"/>
  <c r="D1002"/>
  <c r="E1002"/>
  <c r="F1002"/>
  <c r="G1002"/>
  <c r="H1002"/>
  <c r="I1002"/>
  <c r="J1002"/>
  <c r="K1002"/>
  <c r="L1002"/>
  <c r="N1002"/>
  <c r="A1003"/>
  <c r="B1003"/>
  <c r="C1003"/>
  <c r="D1003"/>
  <c r="E1003"/>
  <c r="F1003"/>
  <c r="G1003"/>
  <c r="H1003"/>
  <c r="I1003"/>
  <c r="J1003"/>
  <c r="K1003"/>
  <c r="L1003"/>
  <c r="N1003"/>
  <c r="A1004"/>
  <c r="B1004"/>
  <c r="C1004"/>
  <c r="D1004"/>
  <c r="E1004"/>
  <c r="F1004"/>
  <c r="G1004"/>
  <c r="H1004"/>
  <c r="I1004"/>
  <c r="J1004"/>
  <c r="K1004"/>
  <c r="L1004"/>
  <c r="N1004"/>
  <c r="A1005"/>
  <c r="B1005"/>
  <c r="C1005"/>
  <c r="D1005"/>
  <c r="E1005"/>
  <c r="F1005"/>
  <c r="G1005"/>
  <c r="H1005"/>
  <c r="I1005"/>
  <c r="J1005"/>
  <c r="K1005"/>
  <c r="L1005"/>
  <c r="N1005"/>
  <c r="A1006"/>
  <c r="B1006"/>
  <c r="C1006"/>
  <c r="D1006"/>
  <c r="E1006"/>
  <c r="F1006"/>
  <c r="G1006"/>
  <c r="H1006"/>
  <c r="I1006"/>
  <c r="J1006"/>
  <c r="K1006"/>
  <c r="L1006"/>
  <c r="N1006"/>
  <c r="A1007"/>
  <c r="B1007"/>
  <c r="C1007"/>
  <c r="D1007"/>
  <c r="E1007"/>
  <c r="F1007"/>
  <c r="G1007"/>
  <c r="H1007"/>
  <c r="I1007"/>
  <c r="J1007"/>
  <c r="K1007"/>
  <c r="L1007"/>
  <c r="N1007"/>
  <c r="A1008"/>
  <c r="B1008"/>
  <c r="C1008"/>
  <c r="D1008"/>
  <c r="E1008"/>
  <c r="F1008"/>
  <c r="G1008"/>
  <c r="H1008"/>
  <c r="I1008"/>
  <c r="J1008"/>
  <c r="K1008"/>
  <c r="L1008"/>
  <c r="N1008"/>
  <c r="A1009"/>
  <c r="B1009"/>
  <c r="C1009"/>
  <c r="D1009"/>
  <c r="E1009"/>
  <c r="F1009"/>
  <c r="G1009"/>
  <c r="H1009"/>
  <c r="I1009"/>
  <c r="J1009"/>
  <c r="K1009"/>
  <c r="L1009"/>
  <c r="N1009"/>
  <c r="A1010"/>
  <c r="B1010"/>
  <c r="C1010"/>
  <c r="D1010"/>
  <c r="E1010"/>
  <c r="F1010"/>
  <c r="G1010"/>
  <c r="H1010"/>
  <c r="I1010"/>
  <c r="J1010"/>
  <c r="K1010"/>
  <c r="L1010"/>
  <c r="N1010"/>
  <c r="A1011"/>
  <c r="B1011"/>
  <c r="C1011"/>
  <c r="D1011"/>
  <c r="E1011"/>
  <c r="F1011"/>
  <c r="G1011"/>
  <c r="H1011"/>
  <c r="I1011"/>
  <c r="J1011"/>
  <c r="K1011"/>
  <c r="L1011"/>
  <c r="N1011"/>
  <c r="A1012"/>
  <c r="B1012"/>
  <c r="C1012"/>
  <c r="D1012"/>
  <c r="E1012"/>
  <c r="F1012"/>
  <c r="G1012"/>
  <c r="H1012"/>
  <c r="I1012"/>
  <c r="J1012"/>
  <c r="K1012"/>
  <c r="L1012"/>
  <c r="N1012"/>
  <c r="A1013"/>
  <c r="B1013"/>
  <c r="C1013"/>
  <c r="D1013"/>
  <c r="E1013"/>
  <c r="F1013"/>
  <c r="G1013"/>
  <c r="H1013"/>
  <c r="I1013"/>
  <c r="J1013"/>
  <c r="K1013"/>
  <c r="L1013"/>
  <c r="N1013"/>
  <c r="A1014"/>
  <c r="B1014"/>
  <c r="C1014"/>
  <c r="D1014"/>
  <c r="E1014"/>
  <c r="F1014"/>
  <c r="G1014"/>
  <c r="H1014"/>
  <c r="I1014"/>
  <c r="J1014"/>
  <c r="K1014"/>
  <c r="L1014"/>
  <c r="N1014"/>
  <c r="A1015"/>
  <c r="B1015"/>
  <c r="C1015"/>
  <c r="D1015"/>
  <c r="E1015"/>
  <c r="F1015"/>
  <c r="G1015"/>
  <c r="H1015"/>
  <c r="I1015"/>
  <c r="J1015"/>
  <c r="K1015"/>
  <c r="L1015"/>
  <c r="N1015"/>
  <c r="A1016"/>
  <c r="B1016"/>
  <c r="C1016"/>
  <c r="D1016"/>
  <c r="E1016"/>
  <c r="F1016"/>
  <c r="G1016"/>
  <c r="H1016"/>
  <c r="I1016"/>
  <c r="J1016"/>
  <c r="K1016"/>
  <c r="L1016"/>
  <c r="N1016"/>
  <c r="A1017"/>
  <c r="B1017"/>
  <c r="C1017"/>
  <c r="D1017"/>
  <c r="E1017"/>
  <c r="F1017"/>
  <c r="G1017"/>
  <c r="H1017"/>
  <c r="I1017"/>
  <c r="J1017"/>
  <c r="K1017"/>
  <c r="L1017"/>
  <c r="M1017"/>
  <c r="N1017"/>
  <c r="A1018"/>
  <c r="B1018"/>
  <c r="C1018"/>
  <c r="D1018"/>
  <c r="E1018"/>
  <c r="F1018"/>
  <c r="G1018"/>
  <c r="H1018"/>
  <c r="I1018"/>
  <c r="J1018"/>
  <c r="K1018"/>
  <c r="L1018"/>
  <c r="N1018"/>
  <c r="A1019"/>
  <c r="B1019"/>
  <c r="C1019"/>
  <c r="D1019"/>
  <c r="E1019"/>
  <c r="F1019"/>
  <c r="G1019"/>
  <c r="H1019"/>
  <c r="I1019"/>
  <c r="J1019"/>
  <c r="K1019"/>
  <c r="L1019"/>
  <c r="N1019"/>
  <c r="A1020"/>
  <c r="B1020"/>
  <c r="C1020"/>
  <c r="D1020"/>
  <c r="E1020"/>
  <c r="F1020"/>
  <c r="G1020"/>
  <c r="H1020"/>
  <c r="I1020"/>
  <c r="J1020"/>
  <c r="K1020"/>
  <c r="L1020"/>
  <c r="N1020"/>
  <c r="A1021"/>
  <c r="B1021"/>
  <c r="C1021"/>
  <c r="D1021"/>
  <c r="E1021"/>
  <c r="F1021"/>
  <c r="G1021"/>
  <c r="H1021"/>
  <c r="I1021"/>
  <c r="J1021"/>
  <c r="K1021"/>
  <c r="L1021"/>
  <c r="N1021"/>
  <c r="A1022"/>
  <c r="B1022"/>
  <c r="C1022"/>
  <c r="D1022"/>
  <c r="E1022"/>
  <c r="F1022"/>
  <c r="G1022"/>
  <c r="H1022"/>
  <c r="I1022"/>
  <c r="J1022"/>
  <c r="K1022"/>
  <c r="L1022"/>
  <c r="N1022"/>
  <c r="A1023"/>
  <c r="B1023"/>
  <c r="C1023"/>
  <c r="D1023"/>
  <c r="E1023"/>
  <c r="F1023"/>
  <c r="G1023"/>
  <c r="H1023"/>
  <c r="I1023"/>
  <c r="J1023"/>
  <c r="K1023"/>
  <c r="L1023"/>
  <c r="N1023"/>
  <c r="A1024"/>
  <c r="B1024"/>
  <c r="C1024"/>
  <c r="D1024"/>
  <c r="E1024"/>
  <c r="F1024"/>
  <c r="G1024"/>
  <c r="H1024"/>
  <c r="I1024"/>
  <c r="J1024"/>
  <c r="K1024"/>
  <c r="L1024"/>
  <c r="N1024"/>
  <c r="A1025"/>
  <c r="B1025"/>
  <c r="C1025"/>
  <c r="D1025"/>
  <c r="E1025"/>
  <c r="F1025"/>
  <c r="G1025"/>
  <c r="H1025"/>
  <c r="I1025"/>
  <c r="J1025"/>
  <c r="K1025"/>
  <c r="L1025"/>
  <c r="N1025"/>
  <c r="A1026"/>
  <c r="B1026"/>
  <c r="C1026"/>
  <c r="D1026"/>
  <c r="E1026"/>
  <c r="F1026"/>
  <c r="G1026"/>
  <c r="H1026"/>
  <c r="I1026"/>
  <c r="J1026"/>
  <c r="K1026"/>
  <c r="L1026"/>
  <c r="N1026"/>
  <c r="A1027"/>
  <c r="B1027"/>
  <c r="C1027"/>
  <c r="D1027"/>
  <c r="E1027"/>
  <c r="F1027"/>
  <c r="G1027"/>
  <c r="H1027"/>
  <c r="I1027"/>
  <c r="J1027"/>
  <c r="K1027"/>
  <c r="L1027"/>
  <c r="N1027"/>
  <c r="A1028"/>
  <c r="B1028"/>
  <c r="C1028"/>
  <c r="D1028"/>
  <c r="E1028"/>
  <c r="F1028"/>
  <c r="G1028"/>
  <c r="H1028"/>
  <c r="I1028"/>
  <c r="J1028"/>
  <c r="K1028"/>
  <c r="L1028"/>
  <c r="N1028"/>
  <c r="A1029"/>
  <c r="B1029"/>
  <c r="C1029"/>
  <c r="D1029"/>
  <c r="E1029"/>
  <c r="F1029"/>
  <c r="G1029"/>
  <c r="H1029"/>
  <c r="I1029"/>
  <c r="J1029"/>
  <c r="K1029"/>
  <c r="L1029"/>
  <c r="N1029"/>
  <c r="A1030"/>
  <c r="B1030"/>
  <c r="C1030"/>
  <c r="D1030"/>
  <c r="E1030"/>
  <c r="F1030"/>
  <c r="G1030"/>
  <c r="H1030"/>
  <c r="I1030"/>
  <c r="J1030"/>
  <c r="K1030"/>
  <c r="L1030"/>
  <c r="N1030"/>
  <c r="A1031"/>
  <c r="B1031"/>
  <c r="C1031"/>
  <c r="D1031"/>
  <c r="E1031"/>
  <c r="F1031"/>
  <c r="G1031"/>
  <c r="H1031"/>
  <c r="I1031"/>
  <c r="J1031"/>
  <c r="K1031"/>
  <c r="L1031"/>
  <c r="N1031"/>
  <c r="A1032"/>
  <c r="B1032"/>
  <c r="C1032"/>
  <c r="D1032"/>
  <c r="E1032"/>
  <c r="F1032"/>
  <c r="G1032"/>
  <c r="H1032"/>
  <c r="I1032"/>
  <c r="J1032"/>
  <c r="K1032"/>
  <c r="L1032"/>
  <c r="N1032"/>
  <c r="A1033"/>
  <c r="B1033"/>
  <c r="C1033"/>
  <c r="D1033"/>
  <c r="E1033"/>
  <c r="F1033"/>
  <c r="G1033"/>
  <c r="H1033"/>
  <c r="I1033"/>
  <c r="J1033"/>
  <c r="K1033"/>
  <c r="L1033"/>
  <c r="M1033"/>
  <c r="N1033"/>
  <c r="A1034"/>
  <c r="B1034"/>
  <c r="C1034"/>
  <c r="D1034"/>
  <c r="E1034"/>
  <c r="F1034"/>
  <c r="G1034"/>
  <c r="H1034"/>
  <c r="I1034"/>
  <c r="J1034"/>
  <c r="K1034"/>
  <c r="L1034"/>
  <c r="N1034"/>
  <c r="A1035"/>
  <c r="B1035"/>
  <c r="C1035"/>
  <c r="D1035"/>
  <c r="E1035"/>
  <c r="F1035"/>
  <c r="G1035"/>
  <c r="H1035"/>
  <c r="I1035"/>
  <c r="J1035"/>
  <c r="K1035"/>
  <c r="L1035"/>
  <c r="N1035"/>
  <c r="A1036"/>
  <c r="B1036"/>
  <c r="C1036"/>
  <c r="D1036"/>
  <c r="E1036"/>
  <c r="F1036"/>
  <c r="G1036"/>
  <c r="H1036"/>
  <c r="I1036"/>
  <c r="J1036"/>
  <c r="K1036"/>
  <c r="L1036"/>
  <c r="N1036"/>
  <c r="A1037"/>
  <c r="B1037"/>
  <c r="C1037"/>
  <c r="D1037"/>
  <c r="E1037"/>
  <c r="F1037"/>
  <c r="G1037"/>
  <c r="H1037"/>
  <c r="I1037"/>
  <c r="J1037"/>
  <c r="K1037"/>
  <c r="L1037"/>
  <c r="N1037"/>
  <c r="A1038"/>
  <c r="B1038"/>
  <c r="C1038"/>
  <c r="D1038"/>
  <c r="E1038"/>
  <c r="F1038"/>
  <c r="G1038"/>
  <c r="H1038"/>
  <c r="I1038"/>
  <c r="J1038"/>
  <c r="K1038"/>
  <c r="L1038"/>
  <c r="N1038"/>
  <c r="A1039"/>
  <c r="B1039"/>
  <c r="C1039"/>
  <c r="D1039"/>
  <c r="E1039"/>
  <c r="F1039"/>
  <c r="G1039"/>
  <c r="H1039"/>
  <c r="I1039"/>
  <c r="J1039"/>
  <c r="K1039"/>
  <c r="L1039"/>
  <c r="N1039"/>
  <c r="A1040"/>
  <c r="B1040"/>
  <c r="C1040"/>
  <c r="D1040"/>
  <c r="E1040"/>
  <c r="F1040"/>
  <c r="G1040"/>
  <c r="H1040"/>
  <c r="I1040"/>
  <c r="J1040"/>
  <c r="K1040"/>
  <c r="L1040"/>
  <c r="N1040"/>
  <c r="A1041"/>
  <c r="B1041"/>
  <c r="C1041"/>
  <c r="D1041"/>
  <c r="E1041"/>
  <c r="F1041"/>
  <c r="G1041"/>
  <c r="H1041"/>
  <c r="I1041"/>
  <c r="J1041"/>
  <c r="K1041"/>
  <c r="L1041"/>
  <c r="N1041"/>
  <c r="A1042"/>
  <c r="B1042"/>
  <c r="C1042"/>
  <c r="D1042"/>
  <c r="E1042"/>
  <c r="F1042"/>
  <c r="G1042"/>
  <c r="H1042"/>
  <c r="I1042"/>
  <c r="J1042"/>
  <c r="K1042"/>
  <c r="L1042"/>
  <c r="N1042"/>
  <c r="A1043"/>
  <c r="B1043"/>
  <c r="C1043"/>
  <c r="D1043"/>
  <c r="E1043"/>
  <c r="F1043"/>
  <c r="G1043"/>
  <c r="H1043"/>
  <c r="I1043"/>
  <c r="J1043"/>
  <c r="K1043"/>
  <c r="L1043"/>
  <c r="N1043"/>
  <c r="A1044"/>
  <c r="B1044"/>
  <c r="C1044"/>
  <c r="D1044"/>
  <c r="E1044"/>
  <c r="F1044"/>
  <c r="G1044"/>
  <c r="H1044"/>
  <c r="I1044"/>
  <c r="J1044"/>
  <c r="K1044"/>
  <c r="L1044"/>
  <c r="N1044"/>
  <c r="A1045"/>
  <c r="B1045"/>
  <c r="C1045"/>
  <c r="D1045"/>
  <c r="E1045"/>
  <c r="F1045"/>
  <c r="G1045"/>
  <c r="H1045"/>
  <c r="I1045"/>
  <c r="J1045"/>
  <c r="K1045"/>
  <c r="L1045"/>
  <c r="N1045"/>
  <c r="A1046"/>
  <c r="B1046"/>
  <c r="C1046"/>
  <c r="D1046"/>
  <c r="E1046"/>
  <c r="F1046"/>
  <c r="G1046"/>
  <c r="H1046"/>
  <c r="I1046"/>
  <c r="J1046"/>
  <c r="K1046"/>
  <c r="L1046"/>
  <c r="N1046"/>
  <c r="A1047"/>
  <c r="B1047"/>
  <c r="C1047"/>
  <c r="D1047"/>
  <c r="E1047"/>
  <c r="F1047"/>
  <c r="G1047"/>
  <c r="H1047"/>
  <c r="I1047"/>
  <c r="J1047"/>
  <c r="K1047"/>
  <c r="L1047"/>
  <c r="N1047"/>
  <c r="A1048"/>
  <c r="B1048"/>
  <c r="C1048"/>
  <c r="D1048"/>
  <c r="E1048"/>
  <c r="F1048"/>
  <c r="G1048"/>
  <c r="H1048"/>
  <c r="I1048"/>
  <c r="J1048"/>
  <c r="K1048"/>
  <c r="L1048"/>
  <c r="N1048"/>
  <c r="A1049"/>
  <c r="B1049"/>
  <c r="C1049"/>
  <c r="D1049"/>
  <c r="E1049"/>
  <c r="F1049"/>
  <c r="G1049"/>
  <c r="H1049"/>
  <c r="I1049"/>
  <c r="J1049"/>
  <c r="K1049"/>
  <c r="L1049"/>
  <c r="M1049"/>
  <c r="N1049"/>
  <c r="A1050"/>
  <c r="B1050"/>
  <c r="C1050"/>
  <c r="D1050"/>
  <c r="E1050"/>
  <c r="F1050"/>
  <c r="G1050"/>
  <c r="H1050"/>
  <c r="I1050"/>
  <c r="J1050"/>
  <c r="K1050"/>
  <c r="L1050"/>
  <c r="N1050"/>
  <c r="A1051"/>
  <c r="B1051"/>
  <c r="C1051"/>
  <c r="D1051"/>
  <c r="E1051"/>
  <c r="F1051"/>
  <c r="G1051"/>
  <c r="H1051"/>
  <c r="I1051"/>
  <c r="J1051"/>
  <c r="K1051"/>
  <c r="L1051"/>
  <c r="N1051"/>
  <c r="A1052"/>
  <c r="B1052"/>
  <c r="C1052"/>
  <c r="D1052"/>
  <c r="E1052"/>
  <c r="F1052"/>
  <c r="G1052"/>
  <c r="H1052"/>
  <c r="I1052"/>
  <c r="J1052"/>
  <c r="K1052"/>
  <c r="L1052"/>
  <c r="N1052"/>
  <c r="A1053"/>
  <c r="B1053"/>
  <c r="C1053"/>
  <c r="D1053"/>
  <c r="E1053"/>
  <c r="F1053"/>
  <c r="G1053"/>
  <c r="H1053"/>
  <c r="I1053"/>
  <c r="J1053"/>
  <c r="K1053"/>
  <c r="L1053"/>
  <c r="N1053"/>
  <c r="A1054"/>
  <c r="B1054"/>
  <c r="C1054"/>
  <c r="D1054"/>
  <c r="E1054"/>
  <c r="F1054"/>
  <c r="G1054"/>
  <c r="H1054"/>
  <c r="I1054"/>
  <c r="J1054"/>
  <c r="K1054"/>
  <c r="L1054"/>
  <c r="N1054"/>
  <c r="A1055"/>
  <c r="B1055"/>
  <c r="C1055"/>
  <c r="D1055"/>
  <c r="E1055"/>
  <c r="F1055"/>
  <c r="G1055"/>
  <c r="H1055"/>
  <c r="I1055"/>
  <c r="J1055"/>
  <c r="K1055"/>
  <c r="L1055"/>
  <c r="N1055"/>
  <c r="A1056"/>
  <c r="B1056"/>
  <c r="C1056"/>
  <c r="D1056"/>
  <c r="E1056"/>
  <c r="F1056"/>
  <c r="G1056"/>
  <c r="H1056"/>
  <c r="I1056"/>
  <c r="J1056"/>
  <c r="K1056"/>
  <c r="L1056"/>
  <c r="N1056"/>
  <c r="A1057"/>
  <c r="B1057"/>
  <c r="C1057"/>
  <c r="D1057"/>
  <c r="E1057"/>
  <c r="F1057"/>
  <c r="G1057"/>
  <c r="H1057"/>
  <c r="I1057"/>
  <c r="J1057"/>
  <c r="K1057"/>
  <c r="L1057"/>
  <c r="N1057"/>
  <c r="A1058"/>
  <c r="B1058"/>
  <c r="C1058"/>
  <c r="D1058"/>
  <c r="E1058"/>
  <c r="F1058"/>
  <c r="G1058"/>
  <c r="H1058"/>
  <c r="I1058"/>
  <c r="J1058"/>
  <c r="K1058"/>
  <c r="L1058"/>
  <c r="N1058"/>
  <c r="A1059"/>
  <c r="B1059"/>
  <c r="C1059"/>
  <c r="D1059"/>
  <c r="E1059"/>
  <c r="F1059"/>
  <c r="G1059"/>
  <c r="H1059"/>
  <c r="I1059"/>
  <c r="J1059"/>
  <c r="K1059"/>
  <c r="L1059"/>
  <c r="N1059"/>
  <c r="A1060"/>
  <c r="B1060"/>
  <c r="C1060"/>
  <c r="D1060"/>
  <c r="E1060"/>
  <c r="F1060"/>
  <c r="G1060"/>
  <c r="H1060"/>
  <c r="I1060"/>
  <c r="J1060"/>
  <c r="K1060"/>
  <c r="L1060"/>
  <c r="N1060"/>
  <c r="A1061"/>
  <c r="B1061"/>
  <c r="C1061"/>
  <c r="D1061"/>
  <c r="E1061"/>
  <c r="F1061"/>
  <c r="G1061"/>
  <c r="H1061"/>
  <c r="I1061"/>
  <c r="J1061"/>
  <c r="K1061"/>
  <c r="L1061"/>
  <c r="N1061"/>
  <c r="A1062"/>
  <c r="B1062"/>
  <c r="C1062"/>
  <c r="D1062"/>
  <c r="E1062"/>
  <c r="F1062"/>
  <c r="G1062"/>
  <c r="H1062"/>
  <c r="I1062"/>
  <c r="J1062"/>
  <c r="K1062"/>
  <c r="L1062"/>
  <c r="N1062"/>
  <c r="A1063"/>
  <c r="B1063"/>
  <c r="C1063"/>
  <c r="D1063"/>
  <c r="E1063"/>
  <c r="F1063"/>
  <c r="G1063"/>
  <c r="H1063"/>
  <c r="I1063"/>
  <c r="J1063"/>
  <c r="K1063"/>
  <c r="L1063"/>
  <c r="N1063"/>
  <c r="A1064"/>
  <c r="B1064"/>
  <c r="C1064"/>
  <c r="D1064"/>
  <c r="E1064"/>
  <c r="F1064"/>
  <c r="G1064"/>
  <c r="H1064"/>
  <c r="I1064"/>
  <c r="J1064"/>
  <c r="K1064"/>
  <c r="L1064"/>
  <c r="N1064"/>
  <c r="A1065"/>
  <c r="B1065"/>
  <c r="C1065"/>
  <c r="D1065"/>
  <c r="E1065"/>
  <c r="F1065"/>
  <c r="G1065"/>
  <c r="H1065"/>
  <c r="I1065"/>
  <c r="J1065"/>
  <c r="K1065"/>
  <c r="L1065"/>
  <c r="M1065"/>
  <c r="N1065"/>
  <c r="A1066"/>
  <c r="B1066"/>
  <c r="C1066"/>
  <c r="D1066"/>
  <c r="E1066"/>
  <c r="F1066"/>
  <c r="G1066"/>
  <c r="H1066"/>
  <c r="I1066"/>
  <c r="J1066"/>
  <c r="K1066"/>
  <c r="L1066"/>
  <c r="N1066"/>
  <c r="A1067"/>
  <c r="B1067"/>
  <c r="C1067"/>
  <c r="D1067"/>
  <c r="E1067"/>
  <c r="F1067"/>
  <c r="G1067"/>
  <c r="H1067"/>
  <c r="I1067"/>
  <c r="J1067"/>
  <c r="K1067"/>
  <c r="L1067"/>
  <c r="N1067"/>
  <c r="A1068"/>
  <c r="B1068"/>
  <c r="C1068"/>
  <c r="D1068"/>
  <c r="E1068"/>
  <c r="F1068"/>
  <c r="G1068"/>
  <c r="H1068"/>
  <c r="I1068"/>
  <c r="J1068"/>
  <c r="K1068"/>
  <c r="L1068"/>
  <c r="N1068"/>
  <c r="A1069"/>
  <c r="B1069"/>
  <c r="C1069"/>
  <c r="D1069"/>
  <c r="E1069"/>
  <c r="F1069"/>
  <c r="G1069"/>
  <c r="H1069"/>
  <c r="I1069"/>
  <c r="J1069"/>
  <c r="K1069"/>
  <c r="L1069"/>
  <c r="N1069"/>
  <c r="A1070"/>
  <c r="B1070"/>
  <c r="C1070"/>
  <c r="D1070"/>
  <c r="E1070"/>
  <c r="F1070"/>
  <c r="G1070"/>
  <c r="H1070"/>
  <c r="I1070"/>
  <c r="J1070"/>
  <c r="K1070"/>
  <c r="L1070"/>
  <c r="N1070"/>
  <c r="A1071"/>
  <c r="B1071"/>
  <c r="C1071"/>
  <c r="D1071"/>
  <c r="E1071"/>
  <c r="F1071"/>
  <c r="G1071"/>
  <c r="H1071"/>
  <c r="I1071"/>
  <c r="J1071"/>
  <c r="K1071"/>
  <c r="L1071"/>
  <c r="N1071"/>
  <c r="A1072"/>
  <c r="B1072"/>
  <c r="C1072"/>
  <c r="D1072"/>
  <c r="E1072"/>
  <c r="F1072"/>
  <c r="G1072"/>
  <c r="H1072"/>
  <c r="I1072"/>
  <c r="J1072"/>
  <c r="K1072"/>
  <c r="L1072"/>
  <c r="N1072"/>
  <c r="A1073"/>
  <c r="B1073"/>
  <c r="C1073"/>
  <c r="D1073"/>
  <c r="E1073"/>
  <c r="F1073"/>
  <c r="G1073"/>
  <c r="H1073"/>
  <c r="I1073"/>
  <c r="J1073"/>
  <c r="K1073"/>
  <c r="L1073"/>
  <c r="N1073"/>
  <c r="A1074"/>
  <c r="B1074"/>
  <c r="C1074"/>
  <c r="D1074"/>
  <c r="E1074"/>
  <c r="F1074"/>
  <c r="G1074"/>
  <c r="H1074"/>
  <c r="I1074"/>
  <c r="J1074"/>
  <c r="K1074"/>
  <c r="L1074"/>
  <c r="N1074"/>
  <c r="A1075"/>
  <c r="B1075"/>
  <c r="C1075"/>
  <c r="D1075"/>
  <c r="E1075"/>
  <c r="F1075"/>
  <c r="G1075"/>
  <c r="H1075"/>
  <c r="I1075"/>
  <c r="J1075"/>
  <c r="K1075"/>
  <c r="L1075"/>
  <c r="N1075"/>
  <c r="A1076"/>
  <c r="B1076"/>
  <c r="C1076"/>
  <c r="D1076"/>
  <c r="E1076"/>
  <c r="F1076"/>
  <c r="G1076"/>
  <c r="H1076"/>
  <c r="I1076"/>
  <c r="J1076"/>
  <c r="K1076"/>
  <c r="L1076"/>
  <c r="N1076"/>
  <c r="A1077"/>
  <c r="B1077"/>
  <c r="C1077"/>
  <c r="D1077"/>
  <c r="E1077"/>
  <c r="F1077"/>
  <c r="G1077"/>
  <c r="H1077"/>
  <c r="I1077"/>
  <c r="J1077"/>
  <c r="K1077"/>
  <c r="L1077"/>
  <c r="N1077"/>
  <c r="A1078"/>
  <c r="B1078"/>
  <c r="C1078"/>
  <c r="D1078"/>
  <c r="E1078"/>
  <c r="F1078"/>
  <c r="G1078"/>
  <c r="H1078"/>
  <c r="I1078"/>
  <c r="J1078"/>
  <c r="K1078"/>
  <c r="L1078"/>
  <c r="N1078"/>
  <c r="A1079"/>
  <c r="B1079"/>
  <c r="C1079"/>
  <c r="D1079"/>
  <c r="E1079"/>
  <c r="F1079"/>
  <c r="G1079"/>
  <c r="H1079"/>
  <c r="I1079"/>
  <c r="J1079"/>
  <c r="K1079"/>
  <c r="L1079"/>
  <c r="N1079"/>
  <c r="A1080"/>
  <c r="B1080"/>
  <c r="C1080"/>
  <c r="D1080"/>
  <c r="E1080"/>
  <c r="F1080"/>
  <c r="G1080"/>
  <c r="H1080"/>
  <c r="I1080"/>
  <c r="J1080"/>
  <c r="K1080"/>
  <c r="L1080"/>
  <c r="N1080"/>
  <c r="A1081"/>
  <c r="B1081"/>
  <c r="C1081"/>
  <c r="D1081"/>
  <c r="E1081"/>
  <c r="F1081"/>
  <c r="G1081"/>
  <c r="H1081"/>
  <c r="I1081"/>
  <c r="J1081"/>
  <c r="K1081"/>
  <c r="L1081"/>
  <c r="M1081"/>
  <c r="N1081"/>
  <c r="A1082"/>
  <c r="B1082"/>
  <c r="C1082"/>
  <c r="D1082"/>
  <c r="E1082"/>
  <c r="F1082"/>
  <c r="G1082"/>
  <c r="H1082"/>
  <c r="I1082"/>
  <c r="J1082"/>
  <c r="K1082"/>
  <c r="L1082"/>
  <c r="N1082"/>
  <c r="A1083"/>
  <c r="B1083"/>
  <c r="C1083"/>
  <c r="D1083"/>
  <c r="E1083"/>
  <c r="F1083"/>
  <c r="G1083"/>
  <c r="H1083"/>
  <c r="I1083"/>
  <c r="J1083"/>
  <c r="K1083"/>
  <c r="L1083"/>
  <c r="N1083"/>
  <c r="A1084"/>
  <c r="B1084"/>
  <c r="C1084"/>
  <c r="D1084"/>
  <c r="E1084"/>
  <c r="F1084"/>
  <c r="G1084"/>
  <c r="H1084"/>
  <c r="I1084"/>
  <c r="J1084"/>
  <c r="K1084"/>
  <c r="L1084"/>
  <c r="N1084"/>
  <c r="A1085"/>
  <c r="B1085"/>
  <c r="C1085"/>
  <c r="D1085"/>
  <c r="E1085"/>
  <c r="F1085"/>
  <c r="G1085"/>
  <c r="H1085"/>
  <c r="I1085"/>
  <c r="J1085"/>
  <c r="K1085"/>
  <c r="L1085"/>
  <c r="N1085"/>
  <c r="A1086"/>
  <c r="B1086"/>
  <c r="C1086"/>
  <c r="D1086"/>
  <c r="E1086"/>
  <c r="F1086"/>
  <c r="G1086"/>
  <c r="H1086"/>
  <c r="I1086"/>
  <c r="J1086"/>
  <c r="K1086"/>
  <c r="L1086"/>
  <c r="N1086"/>
  <c r="A1087"/>
  <c r="B1087"/>
  <c r="C1087"/>
  <c r="D1087"/>
  <c r="E1087"/>
  <c r="F1087"/>
  <c r="G1087"/>
  <c r="H1087"/>
  <c r="I1087"/>
  <c r="J1087"/>
  <c r="K1087"/>
  <c r="L1087"/>
  <c r="N1087"/>
  <c r="A1088"/>
  <c r="B1088"/>
  <c r="C1088"/>
  <c r="D1088"/>
  <c r="E1088"/>
  <c r="F1088"/>
  <c r="G1088"/>
  <c r="H1088"/>
  <c r="I1088"/>
  <c r="J1088"/>
  <c r="K1088"/>
  <c r="L1088"/>
  <c r="N1088"/>
  <c r="A1089"/>
  <c r="B1089"/>
  <c r="C1089"/>
  <c r="D1089"/>
  <c r="E1089"/>
  <c r="F1089"/>
  <c r="G1089"/>
  <c r="H1089"/>
  <c r="I1089"/>
  <c r="J1089"/>
  <c r="K1089"/>
  <c r="L1089"/>
  <c r="N1089"/>
  <c r="A1090"/>
  <c r="B1090"/>
  <c r="C1090"/>
  <c r="D1090"/>
  <c r="E1090"/>
  <c r="F1090"/>
  <c r="G1090"/>
  <c r="H1090"/>
  <c r="I1090"/>
  <c r="J1090"/>
  <c r="K1090"/>
  <c r="L1090"/>
  <c r="N1090"/>
  <c r="A1091"/>
  <c r="B1091"/>
  <c r="C1091"/>
  <c r="D1091"/>
  <c r="E1091"/>
  <c r="F1091"/>
  <c r="G1091"/>
  <c r="H1091"/>
  <c r="I1091"/>
  <c r="J1091"/>
  <c r="K1091"/>
  <c r="L1091"/>
  <c r="N1091"/>
  <c r="A1092"/>
  <c r="B1092"/>
  <c r="C1092"/>
  <c r="D1092"/>
  <c r="E1092"/>
  <c r="F1092"/>
  <c r="G1092"/>
  <c r="H1092"/>
  <c r="I1092"/>
  <c r="J1092"/>
  <c r="K1092"/>
  <c r="L1092"/>
  <c r="N1092"/>
  <c r="A1093"/>
  <c r="B1093"/>
  <c r="C1093"/>
  <c r="D1093"/>
  <c r="E1093"/>
  <c r="F1093"/>
  <c r="G1093"/>
  <c r="H1093"/>
  <c r="I1093"/>
  <c r="J1093"/>
  <c r="K1093"/>
  <c r="L1093"/>
  <c r="N1093"/>
  <c r="A1094"/>
  <c r="B1094"/>
  <c r="C1094"/>
  <c r="D1094"/>
  <c r="E1094"/>
  <c r="F1094"/>
  <c r="G1094"/>
  <c r="H1094"/>
  <c r="I1094"/>
  <c r="J1094"/>
  <c r="K1094"/>
  <c r="L1094"/>
  <c r="N1094"/>
  <c r="A1095"/>
  <c r="B1095"/>
  <c r="C1095"/>
  <c r="D1095"/>
  <c r="E1095"/>
  <c r="F1095"/>
  <c r="G1095"/>
  <c r="H1095"/>
  <c r="I1095"/>
  <c r="J1095"/>
  <c r="K1095"/>
  <c r="L1095"/>
  <c r="N1095"/>
  <c r="A1096"/>
  <c r="B1096"/>
  <c r="C1096"/>
  <c r="D1096"/>
  <c r="E1096"/>
  <c r="F1096"/>
  <c r="G1096"/>
  <c r="H1096"/>
  <c r="I1096"/>
  <c r="J1096"/>
  <c r="K1096"/>
  <c r="L1096"/>
  <c r="N1096"/>
  <c r="A1097"/>
  <c r="B1097"/>
  <c r="C1097"/>
  <c r="D1097"/>
  <c r="E1097"/>
  <c r="F1097"/>
  <c r="G1097"/>
  <c r="H1097"/>
  <c r="I1097"/>
  <c r="J1097"/>
  <c r="K1097"/>
  <c r="L1097"/>
  <c r="M1097"/>
  <c r="N1097"/>
  <c r="A1098"/>
  <c r="B1098"/>
  <c r="C1098"/>
  <c r="D1098"/>
  <c r="E1098"/>
  <c r="F1098"/>
  <c r="G1098"/>
  <c r="H1098"/>
  <c r="I1098"/>
  <c r="J1098"/>
  <c r="K1098"/>
  <c r="L1098"/>
  <c r="N1098"/>
  <c r="A1099"/>
  <c r="B1099"/>
  <c r="C1099"/>
  <c r="D1099"/>
  <c r="E1099"/>
  <c r="F1099"/>
  <c r="G1099"/>
  <c r="H1099"/>
  <c r="I1099"/>
  <c r="J1099"/>
  <c r="K1099"/>
  <c r="L1099"/>
  <c r="N1099"/>
  <c r="A1100"/>
  <c r="B1100"/>
  <c r="C1100"/>
  <c r="D1100"/>
  <c r="E1100"/>
  <c r="F1100"/>
  <c r="G1100"/>
  <c r="H1100"/>
  <c r="I1100"/>
  <c r="J1100"/>
  <c r="K1100"/>
  <c r="L1100"/>
  <c r="N1100"/>
  <c r="A1101"/>
  <c r="B1101"/>
  <c r="C1101"/>
  <c r="D1101"/>
  <c r="E1101"/>
  <c r="F1101"/>
  <c r="G1101"/>
  <c r="H1101"/>
  <c r="I1101"/>
  <c r="J1101"/>
  <c r="K1101"/>
  <c r="L1101"/>
  <c r="N1101"/>
  <c r="A1102"/>
  <c r="B1102"/>
  <c r="C1102"/>
  <c r="D1102"/>
  <c r="E1102"/>
  <c r="F1102"/>
  <c r="G1102"/>
  <c r="H1102"/>
  <c r="I1102"/>
  <c r="J1102"/>
  <c r="K1102"/>
  <c r="L1102"/>
  <c r="N1102"/>
  <c r="A1103"/>
  <c r="B1103"/>
  <c r="C1103"/>
  <c r="D1103"/>
  <c r="E1103"/>
  <c r="F1103"/>
  <c r="G1103"/>
  <c r="H1103"/>
  <c r="I1103"/>
  <c r="J1103"/>
  <c r="K1103"/>
  <c r="L1103"/>
  <c r="N1103"/>
  <c r="A1104"/>
  <c r="B1104"/>
  <c r="C1104"/>
  <c r="D1104"/>
  <c r="E1104"/>
  <c r="F1104"/>
  <c r="G1104"/>
  <c r="H1104"/>
  <c r="I1104"/>
  <c r="J1104"/>
  <c r="K1104"/>
  <c r="L1104"/>
  <c r="N1104"/>
  <c r="A1105"/>
  <c r="B1105"/>
  <c r="C1105"/>
  <c r="D1105"/>
  <c r="E1105"/>
  <c r="F1105"/>
  <c r="G1105"/>
  <c r="H1105"/>
  <c r="I1105"/>
  <c r="J1105"/>
  <c r="K1105"/>
  <c r="L1105"/>
  <c r="N1105"/>
  <c r="A1106"/>
  <c r="B1106"/>
  <c r="C1106"/>
  <c r="D1106"/>
  <c r="E1106"/>
  <c r="F1106"/>
  <c r="G1106"/>
  <c r="H1106"/>
  <c r="I1106"/>
  <c r="J1106"/>
  <c r="K1106"/>
  <c r="L1106"/>
  <c r="N1106"/>
  <c r="A1107"/>
  <c r="B1107"/>
  <c r="C1107"/>
  <c r="D1107"/>
  <c r="E1107"/>
  <c r="F1107"/>
  <c r="G1107"/>
  <c r="H1107"/>
  <c r="I1107"/>
  <c r="J1107"/>
  <c r="K1107"/>
  <c r="L1107"/>
  <c r="N1107"/>
  <c r="A1108"/>
  <c r="B1108"/>
  <c r="C1108"/>
  <c r="D1108"/>
  <c r="E1108"/>
  <c r="F1108"/>
  <c r="G1108"/>
  <c r="H1108"/>
  <c r="I1108"/>
  <c r="J1108"/>
  <c r="K1108"/>
  <c r="L1108"/>
  <c r="N1108"/>
  <c r="A1109"/>
  <c r="B1109"/>
  <c r="C1109"/>
  <c r="D1109"/>
  <c r="E1109"/>
  <c r="F1109"/>
  <c r="G1109"/>
  <c r="H1109"/>
  <c r="I1109"/>
  <c r="J1109"/>
  <c r="K1109"/>
  <c r="L1109"/>
  <c r="N1109"/>
  <c r="A1110"/>
  <c r="B1110"/>
  <c r="C1110"/>
  <c r="D1110"/>
  <c r="E1110"/>
  <c r="F1110"/>
  <c r="G1110"/>
  <c r="H1110"/>
  <c r="I1110"/>
  <c r="J1110"/>
  <c r="K1110"/>
  <c r="L1110"/>
  <c r="N1110"/>
  <c r="A1111"/>
  <c r="B1111"/>
  <c r="C1111"/>
  <c r="D1111"/>
  <c r="E1111"/>
  <c r="F1111"/>
  <c r="G1111"/>
  <c r="H1111"/>
  <c r="I1111"/>
  <c r="J1111"/>
  <c r="K1111"/>
  <c r="L1111"/>
  <c r="N1111"/>
  <c r="A1112"/>
  <c r="B1112"/>
  <c r="C1112"/>
  <c r="D1112"/>
  <c r="E1112"/>
  <c r="F1112"/>
  <c r="G1112"/>
  <c r="H1112"/>
  <c r="I1112"/>
  <c r="J1112"/>
  <c r="K1112"/>
  <c r="L1112"/>
  <c r="N1112"/>
  <c r="A1113"/>
  <c r="B1113"/>
  <c r="C1113"/>
  <c r="D1113"/>
  <c r="E1113"/>
  <c r="F1113"/>
  <c r="G1113"/>
  <c r="H1113"/>
  <c r="I1113"/>
  <c r="J1113"/>
  <c r="K1113"/>
  <c r="L1113"/>
  <c r="M1113"/>
  <c r="N1113"/>
  <c r="A1114"/>
  <c r="B1114"/>
  <c r="C1114"/>
  <c r="D1114"/>
  <c r="E1114"/>
  <c r="F1114"/>
  <c r="G1114"/>
  <c r="H1114"/>
  <c r="I1114"/>
  <c r="J1114"/>
  <c r="K1114"/>
  <c r="L1114"/>
  <c r="N1114"/>
  <c r="A1115"/>
  <c r="B1115"/>
  <c r="C1115"/>
  <c r="D1115"/>
  <c r="E1115"/>
  <c r="F1115"/>
  <c r="G1115"/>
  <c r="H1115"/>
  <c r="I1115"/>
  <c r="J1115"/>
  <c r="K1115"/>
  <c r="L1115"/>
  <c r="N1115"/>
  <c r="A1116"/>
  <c r="B1116"/>
  <c r="C1116"/>
  <c r="D1116"/>
  <c r="E1116"/>
  <c r="F1116"/>
  <c r="G1116"/>
  <c r="H1116"/>
  <c r="I1116"/>
  <c r="J1116"/>
  <c r="K1116"/>
  <c r="L1116"/>
  <c r="N1116"/>
  <c r="A1117"/>
  <c r="B1117"/>
  <c r="C1117"/>
  <c r="D1117"/>
  <c r="E1117"/>
  <c r="F1117"/>
  <c r="G1117"/>
  <c r="H1117"/>
  <c r="I1117"/>
  <c r="J1117"/>
  <c r="K1117"/>
  <c r="L1117"/>
  <c r="N1117"/>
  <c r="A1118"/>
  <c r="B1118"/>
  <c r="C1118"/>
  <c r="D1118"/>
  <c r="E1118"/>
  <c r="F1118"/>
  <c r="G1118"/>
  <c r="H1118"/>
  <c r="I1118"/>
  <c r="J1118"/>
  <c r="K1118"/>
  <c r="L1118"/>
  <c r="N1118"/>
  <c r="A1119"/>
  <c r="B1119"/>
  <c r="C1119"/>
  <c r="D1119"/>
  <c r="E1119"/>
  <c r="F1119"/>
  <c r="G1119"/>
  <c r="H1119"/>
  <c r="I1119"/>
  <c r="J1119"/>
  <c r="K1119"/>
  <c r="L1119"/>
  <c r="N1119"/>
  <c r="A1120"/>
  <c r="B1120"/>
  <c r="C1120"/>
  <c r="D1120"/>
  <c r="E1120"/>
  <c r="F1120"/>
  <c r="G1120"/>
  <c r="H1120"/>
  <c r="I1120"/>
  <c r="J1120"/>
  <c r="K1120"/>
  <c r="L1120"/>
  <c r="N1120"/>
  <c r="A1121"/>
  <c r="B1121"/>
  <c r="C1121"/>
  <c r="D1121"/>
  <c r="E1121"/>
  <c r="F1121"/>
  <c r="G1121"/>
  <c r="H1121"/>
  <c r="I1121"/>
  <c r="J1121"/>
  <c r="K1121"/>
  <c r="L1121"/>
  <c r="N1121"/>
  <c r="A1122"/>
  <c r="B1122"/>
  <c r="C1122"/>
  <c r="D1122"/>
  <c r="E1122"/>
  <c r="F1122"/>
  <c r="G1122"/>
  <c r="H1122"/>
  <c r="I1122"/>
  <c r="J1122"/>
  <c r="K1122"/>
  <c r="L1122"/>
  <c r="N1122"/>
  <c r="A1123"/>
  <c r="B1123"/>
  <c r="C1123"/>
  <c r="D1123"/>
  <c r="E1123"/>
  <c r="F1123"/>
  <c r="G1123"/>
  <c r="H1123"/>
  <c r="I1123"/>
  <c r="J1123"/>
  <c r="K1123"/>
  <c r="L1123"/>
  <c r="N1123"/>
  <c r="A1124"/>
  <c r="B1124"/>
  <c r="C1124"/>
  <c r="D1124"/>
  <c r="E1124"/>
  <c r="F1124"/>
  <c r="G1124"/>
  <c r="H1124"/>
  <c r="I1124"/>
  <c r="J1124"/>
  <c r="K1124"/>
  <c r="L1124"/>
  <c r="N1124"/>
  <c r="A1125"/>
  <c r="B1125"/>
  <c r="C1125"/>
  <c r="D1125"/>
  <c r="E1125"/>
  <c r="F1125"/>
  <c r="G1125"/>
  <c r="H1125"/>
  <c r="I1125"/>
  <c r="J1125"/>
  <c r="K1125"/>
  <c r="L1125"/>
  <c r="N1125"/>
  <c r="A1126"/>
  <c r="B1126"/>
  <c r="C1126"/>
  <c r="D1126"/>
  <c r="E1126"/>
  <c r="F1126"/>
  <c r="G1126"/>
  <c r="H1126"/>
  <c r="I1126"/>
  <c r="J1126"/>
  <c r="K1126"/>
  <c r="L1126"/>
  <c r="N1126"/>
  <c r="A1127"/>
  <c r="B1127"/>
  <c r="C1127"/>
  <c r="D1127"/>
  <c r="E1127"/>
  <c r="F1127"/>
  <c r="G1127"/>
  <c r="H1127"/>
  <c r="I1127"/>
  <c r="J1127"/>
  <c r="K1127"/>
  <c r="L1127"/>
  <c r="N1127"/>
  <c r="A1128"/>
  <c r="B1128"/>
  <c r="C1128"/>
  <c r="D1128"/>
  <c r="E1128"/>
  <c r="F1128"/>
  <c r="G1128"/>
  <c r="H1128"/>
  <c r="I1128"/>
  <c r="J1128"/>
  <c r="K1128"/>
  <c r="L1128"/>
  <c r="N1128"/>
  <c r="A1129"/>
  <c r="B1129"/>
  <c r="C1129"/>
  <c r="D1129"/>
  <c r="E1129"/>
  <c r="F1129"/>
  <c r="G1129"/>
  <c r="H1129"/>
  <c r="I1129"/>
  <c r="J1129"/>
  <c r="K1129"/>
  <c r="L1129"/>
  <c r="M1129"/>
  <c r="N1129"/>
  <c r="A1130"/>
  <c r="B1130"/>
  <c r="C1130"/>
  <c r="D1130"/>
  <c r="E1130"/>
  <c r="F1130"/>
  <c r="G1130"/>
  <c r="H1130"/>
  <c r="I1130"/>
  <c r="J1130"/>
  <c r="K1130"/>
  <c r="L1130"/>
  <c r="N1130"/>
  <c r="A1131"/>
  <c r="B1131"/>
  <c r="C1131"/>
  <c r="D1131"/>
  <c r="E1131"/>
  <c r="F1131"/>
  <c r="G1131"/>
  <c r="H1131"/>
  <c r="I1131"/>
  <c r="J1131"/>
  <c r="K1131"/>
  <c r="L1131"/>
  <c r="N1131"/>
  <c r="A1132"/>
  <c r="B1132"/>
  <c r="C1132"/>
  <c r="D1132"/>
  <c r="E1132"/>
  <c r="F1132"/>
  <c r="G1132"/>
  <c r="H1132"/>
  <c r="I1132"/>
  <c r="J1132"/>
  <c r="K1132"/>
  <c r="L1132"/>
  <c r="N1132"/>
  <c r="A1133"/>
  <c r="B1133"/>
  <c r="C1133"/>
  <c r="D1133"/>
  <c r="E1133"/>
  <c r="F1133"/>
  <c r="G1133"/>
  <c r="H1133"/>
  <c r="I1133"/>
  <c r="J1133"/>
  <c r="K1133"/>
  <c r="L1133"/>
  <c r="N1133"/>
  <c r="A1134"/>
  <c r="B1134"/>
  <c r="C1134"/>
  <c r="D1134"/>
  <c r="E1134"/>
  <c r="F1134"/>
  <c r="G1134"/>
  <c r="H1134"/>
  <c r="I1134"/>
  <c r="J1134"/>
  <c r="K1134"/>
  <c r="L1134"/>
  <c r="N1134"/>
  <c r="A1135"/>
  <c r="B1135"/>
  <c r="C1135"/>
  <c r="D1135"/>
  <c r="E1135"/>
  <c r="F1135"/>
  <c r="G1135"/>
  <c r="H1135"/>
  <c r="I1135"/>
  <c r="J1135"/>
  <c r="K1135"/>
  <c r="L1135"/>
  <c r="N1135"/>
  <c r="A1136"/>
  <c r="B1136"/>
  <c r="C1136"/>
  <c r="D1136"/>
  <c r="E1136"/>
  <c r="F1136"/>
  <c r="G1136"/>
  <c r="H1136"/>
  <c r="I1136"/>
  <c r="J1136"/>
  <c r="K1136"/>
  <c r="L1136"/>
  <c r="N1136"/>
  <c r="A1137"/>
  <c r="B1137"/>
  <c r="C1137"/>
  <c r="D1137"/>
  <c r="E1137"/>
  <c r="F1137"/>
  <c r="G1137"/>
  <c r="H1137"/>
  <c r="I1137"/>
  <c r="J1137"/>
  <c r="K1137"/>
  <c r="L1137"/>
  <c r="N1137"/>
  <c r="A1138"/>
  <c r="B1138"/>
  <c r="C1138"/>
  <c r="D1138"/>
  <c r="E1138"/>
  <c r="F1138"/>
  <c r="G1138"/>
  <c r="H1138"/>
  <c r="I1138"/>
  <c r="J1138"/>
  <c r="K1138"/>
  <c r="L1138"/>
  <c r="N1138"/>
  <c r="A1139"/>
  <c r="B1139"/>
  <c r="C1139"/>
  <c r="D1139"/>
  <c r="E1139"/>
  <c r="F1139"/>
  <c r="G1139"/>
  <c r="H1139"/>
  <c r="I1139"/>
  <c r="J1139"/>
  <c r="K1139"/>
  <c r="L1139"/>
  <c r="N1139"/>
  <c r="A1140"/>
  <c r="B1140"/>
  <c r="C1140"/>
  <c r="D1140"/>
  <c r="E1140"/>
  <c r="F1140"/>
  <c r="G1140"/>
  <c r="H1140"/>
  <c r="I1140"/>
  <c r="J1140"/>
  <c r="K1140"/>
  <c r="L1140"/>
  <c r="N1140"/>
  <c r="A1141"/>
  <c r="B1141"/>
  <c r="C1141"/>
  <c r="D1141"/>
  <c r="E1141"/>
  <c r="F1141"/>
  <c r="G1141"/>
  <c r="H1141"/>
  <c r="I1141"/>
  <c r="J1141"/>
  <c r="K1141"/>
  <c r="L1141"/>
  <c r="N1141"/>
  <c r="A1142"/>
  <c r="B1142"/>
  <c r="C1142"/>
  <c r="D1142"/>
  <c r="E1142"/>
  <c r="F1142"/>
  <c r="G1142"/>
  <c r="H1142"/>
  <c r="I1142"/>
  <c r="J1142"/>
  <c r="K1142"/>
  <c r="L1142"/>
  <c r="N1142"/>
  <c r="A1143"/>
  <c r="B1143"/>
  <c r="C1143"/>
  <c r="D1143"/>
  <c r="E1143"/>
  <c r="F1143"/>
  <c r="G1143"/>
  <c r="H1143"/>
  <c r="I1143"/>
  <c r="J1143"/>
  <c r="K1143"/>
  <c r="L1143"/>
  <c r="N1143"/>
  <c r="A1144"/>
  <c r="B1144"/>
  <c r="C1144"/>
  <c r="D1144"/>
  <c r="E1144"/>
  <c r="F1144"/>
  <c r="G1144"/>
  <c r="H1144"/>
  <c r="I1144"/>
  <c r="J1144"/>
  <c r="K1144"/>
  <c r="L1144"/>
  <c r="N1144"/>
  <c r="A1145"/>
  <c r="B1145"/>
  <c r="C1145"/>
  <c r="D1145"/>
  <c r="E1145"/>
  <c r="F1145"/>
  <c r="G1145"/>
  <c r="H1145"/>
  <c r="I1145"/>
  <c r="J1145"/>
  <c r="K1145"/>
  <c r="L1145"/>
  <c r="M1145"/>
  <c r="N1145"/>
  <c r="A1146"/>
  <c r="B1146"/>
  <c r="C1146"/>
  <c r="D1146"/>
  <c r="E1146"/>
  <c r="F1146"/>
  <c r="G1146"/>
  <c r="H1146"/>
  <c r="I1146"/>
  <c r="J1146"/>
  <c r="K1146"/>
  <c r="L1146"/>
  <c r="N1146"/>
  <c r="A1147"/>
  <c r="B1147"/>
  <c r="C1147"/>
  <c r="D1147"/>
  <c r="E1147"/>
  <c r="F1147"/>
  <c r="G1147"/>
  <c r="H1147"/>
  <c r="I1147"/>
  <c r="J1147"/>
  <c r="K1147"/>
  <c r="L1147"/>
  <c r="N1147"/>
  <c r="A1148"/>
  <c r="B1148"/>
  <c r="C1148"/>
  <c r="D1148"/>
  <c r="E1148"/>
  <c r="F1148"/>
  <c r="G1148"/>
  <c r="H1148"/>
  <c r="I1148"/>
  <c r="J1148"/>
  <c r="K1148"/>
  <c r="L1148"/>
  <c r="N1148"/>
  <c r="A1149"/>
  <c r="B1149"/>
  <c r="C1149"/>
  <c r="D1149"/>
  <c r="E1149"/>
  <c r="F1149"/>
  <c r="G1149"/>
  <c r="H1149"/>
  <c r="I1149"/>
  <c r="J1149"/>
  <c r="K1149"/>
  <c r="L1149"/>
  <c r="N1149"/>
  <c r="A1150"/>
  <c r="B1150"/>
  <c r="C1150"/>
  <c r="D1150"/>
  <c r="E1150"/>
  <c r="F1150"/>
  <c r="G1150"/>
  <c r="H1150"/>
  <c r="I1150"/>
  <c r="J1150"/>
  <c r="K1150"/>
  <c r="L1150"/>
  <c r="N1150"/>
  <c r="A1151"/>
  <c r="B1151"/>
  <c r="C1151"/>
  <c r="D1151"/>
  <c r="E1151"/>
  <c r="F1151"/>
  <c r="G1151"/>
  <c r="H1151"/>
  <c r="I1151"/>
  <c r="J1151"/>
  <c r="K1151"/>
  <c r="L1151"/>
  <c r="N1151"/>
  <c r="A1152"/>
  <c r="B1152"/>
  <c r="C1152"/>
  <c r="D1152"/>
  <c r="E1152"/>
  <c r="F1152"/>
  <c r="G1152"/>
  <c r="H1152"/>
  <c r="I1152"/>
  <c r="J1152"/>
  <c r="K1152"/>
  <c r="L1152"/>
  <c r="N1152"/>
  <c r="A1153"/>
  <c r="B1153"/>
  <c r="C1153"/>
  <c r="D1153"/>
  <c r="E1153"/>
  <c r="F1153"/>
  <c r="G1153"/>
  <c r="H1153"/>
  <c r="I1153"/>
  <c r="J1153"/>
  <c r="K1153"/>
  <c r="L1153"/>
  <c r="N1153"/>
  <c r="A1154"/>
  <c r="B1154"/>
  <c r="C1154"/>
  <c r="D1154"/>
  <c r="E1154"/>
  <c r="F1154"/>
  <c r="G1154"/>
  <c r="H1154"/>
  <c r="I1154"/>
  <c r="J1154"/>
  <c r="K1154"/>
  <c r="L1154"/>
  <c r="N1154"/>
  <c r="A1155"/>
  <c r="B1155"/>
  <c r="C1155"/>
  <c r="D1155"/>
  <c r="E1155"/>
  <c r="F1155"/>
  <c r="G1155"/>
  <c r="H1155"/>
  <c r="I1155"/>
  <c r="J1155"/>
  <c r="K1155"/>
  <c r="L1155"/>
  <c r="N1155"/>
  <c r="A1156"/>
  <c r="B1156"/>
  <c r="C1156"/>
  <c r="D1156"/>
  <c r="E1156"/>
  <c r="F1156"/>
  <c r="G1156"/>
  <c r="H1156"/>
  <c r="I1156"/>
  <c r="J1156"/>
  <c r="K1156"/>
  <c r="L1156"/>
  <c r="N1156"/>
  <c r="A1157"/>
  <c r="B1157"/>
  <c r="C1157"/>
  <c r="D1157"/>
  <c r="E1157"/>
  <c r="F1157"/>
  <c r="G1157"/>
  <c r="H1157"/>
  <c r="I1157"/>
  <c r="J1157"/>
  <c r="K1157"/>
  <c r="L1157"/>
  <c r="N1157"/>
  <c r="A1158"/>
  <c r="B1158"/>
  <c r="C1158"/>
  <c r="D1158"/>
  <c r="E1158"/>
  <c r="F1158"/>
  <c r="G1158"/>
  <c r="H1158"/>
  <c r="I1158"/>
  <c r="J1158"/>
  <c r="K1158"/>
  <c r="L1158"/>
  <c r="N1158"/>
  <c r="A1159"/>
  <c r="B1159"/>
  <c r="C1159"/>
  <c r="D1159"/>
  <c r="E1159"/>
  <c r="F1159"/>
  <c r="G1159"/>
  <c r="H1159"/>
  <c r="I1159"/>
  <c r="J1159"/>
  <c r="K1159"/>
  <c r="L1159"/>
  <c r="N1159"/>
  <c r="A1160"/>
  <c r="B1160"/>
  <c r="C1160"/>
  <c r="D1160"/>
  <c r="E1160"/>
  <c r="F1160"/>
  <c r="G1160"/>
  <c r="H1160"/>
  <c r="I1160"/>
  <c r="J1160"/>
  <c r="K1160"/>
  <c r="L1160"/>
  <c r="N1160"/>
  <c r="A1161"/>
  <c r="B1161"/>
  <c r="C1161"/>
  <c r="D1161"/>
  <c r="E1161"/>
  <c r="F1161"/>
  <c r="G1161"/>
  <c r="H1161"/>
  <c r="I1161"/>
  <c r="J1161"/>
  <c r="K1161"/>
  <c r="L1161"/>
  <c r="M1161"/>
  <c r="N1161"/>
  <c r="A1162"/>
  <c r="B1162"/>
  <c r="C1162"/>
  <c r="D1162"/>
  <c r="E1162"/>
  <c r="F1162"/>
  <c r="G1162"/>
  <c r="H1162"/>
  <c r="I1162"/>
  <c r="J1162"/>
  <c r="K1162"/>
  <c r="L1162"/>
  <c r="N1162"/>
  <c r="A1163"/>
  <c r="B1163"/>
  <c r="C1163"/>
  <c r="D1163"/>
  <c r="E1163"/>
  <c r="F1163"/>
  <c r="G1163"/>
  <c r="H1163"/>
  <c r="I1163"/>
  <c r="J1163"/>
  <c r="K1163"/>
  <c r="L1163"/>
  <c r="N1163"/>
  <c r="A1164"/>
  <c r="B1164"/>
  <c r="C1164"/>
  <c r="D1164"/>
  <c r="E1164"/>
  <c r="F1164"/>
  <c r="G1164"/>
  <c r="H1164"/>
  <c r="I1164"/>
  <c r="J1164"/>
  <c r="K1164"/>
  <c r="L1164"/>
  <c r="N1164"/>
  <c r="A1165"/>
  <c r="B1165"/>
  <c r="C1165"/>
  <c r="D1165"/>
  <c r="E1165"/>
  <c r="F1165"/>
  <c r="G1165"/>
  <c r="H1165"/>
  <c r="I1165"/>
  <c r="J1165"/>
  <c r="K1165"/>
  <c r="L1165"/>
  <c r="N1165"/>
  <c r="A1166"/>
  <c r="B1166"/>
  <c r="C1166"/>
  <c r="D1166"/>
  <c r="E1166"/>
  <c r="F1166"/>
  <c r="G1166"/>
  <c r="H1166"/>
  <c r="I1166"/>
  <c r="J1166"/>
  <c r="K1166"/>
  <c r="L1166"/>
  <c r="N1166"/>
  <c r="A1167"/>
  <c r="B1167"/>
  <c r="C1167"/>
  <c r="D1167"/>
  <c r="E1167"/>
  <c r="F1167"/>
  <c r="G1167"/>
  <c r="H1167"/>
  <c r="I1167"/>
  <c r="J1167"/>
  <c r="K1167"/>
  <c r="L1167"/>
  <c r="N1167"/>
  <c r="A1168"/>
  <c r="B1168"/>
  <c r="C1168"/>
  <c r="D1168"/>
  <c r="E1168"/>
  <c r="F1168"/>
  <c r="G1168"/>
  <c r="H1168"/>
  <c r="I1168"/>
  <c r="J1168"/>
  <c r="K1168"/>
  <c r="L1168"/>
  <c r="N1168"/>
  <c r="A1169"/>
  <c r="B1169"/>
  <c r="C1169"/>
  <c r="D1169"/>
  <c r="E1169"/>
  <c r="F1169"/>
  <c r="G1169"/>
  <c r="H1169"/>
  <c r="I1169"/>
  <c r="J1169"/>
  <c r="K1169"/>
  <c r="L1169"/>
  <c r="N1169"/>
  <c r="A1170"/>
  <c r="B1170"/>
  <c r="C1170"/>
  <c r="D1170"/>
  <c r="E1170"/>
  <c r="F1170"/>
  <c r="G1170"/>
  <c r="H1170"/>
  <c r="I1170"/>
  <c r="J1170"/>
  <c r="K1170"/>
  <c r="L1170"/>
  <c r="N1170"/>
  <c r="A1171"/>
  <c r="B1171"/>
  <c r="C1171"/>
  <c r="D1171"/>
  <c r="E1171"/>
  <c r="F1171"/>
  <c r="G1171"/>
  <c r="H1171"/>
  <c r="I1171"/>
  <c r="J1171"/>
  <c r="K1171"/>
  <c r="L1171"/>
  <c r="N1171"/>
  <c r="A1172"/>
  <c r="B1172"/>
  <c r="C1172"/>
  <c r="D1172"/>
  <c r="E1172"/>
  <c r="F1172"/>
  <c r="G1172"/>
  <c r="H1172"/>
  <c r="I1172"/>
  <c r="J1172"/>
  <c r="K1172"/>
  <c r="L1172"/>
  <c r="N1172"/>
  <c r="A1173"/>
  <c r="B1173"/>
  <c r="C1173"/>
  <c r="D1173"/>
  <c r="E1173"/>
  <c r="F1173"/>
  <c r="G1173"/>
  <c r="H1173"/>
  <c r="I1173"/>
  <c r="J1173"/>
  <c r="K1173"/>
  <c r="L1173"/>
  <c r="N1173"/>
  <c r="A1174"/>
  <c r="B1174"/>
  <c r="C1174"/>
  <c r="D1174"/>
  <c r="E1174"/>
  <c r="F1174"/>
  <c r="G1174"/>
  <c r="H1174"/>
  <c r="I1174"/>
  <c r="J1174"/>
  <c r="K1174"/>
  <c r="L1174"/>
  <c r="N1174"/>
  <c r="A1175"/>
  <c r="B1175"/>
  <c r="C1175"/>
  <c r="D1175"/>
  <c r="E1175"/>
  <c r="F1175"/>
  <c r="G1175"/>
  <c r="H1175"/>
  <c r="I1175"/>
  <c r="J1175"/>
  <c r="K1175"/>
  <c r="L1175"/>
  <c r="N1175"/>
  <c r="A1176"/>
  <c r="B1176"/>
  <c r="C1176"/>
  <c r="D1176"/>
  <c r="E1176"/>
  <c r="F1176"/>
  <c r="G1176"/>
  <c r="H1176"/>
  <c r="I1176"/>
  <c r="J1176"/>
  <c r="K1176"/>
  <c r="L1176"/>
  <c r="N1176"/>
  <c r="A1177"/>
  <c r="B1177"/>
  <c r="C1177"/>
  <c r="D1177"/>
  <c r="E1177"/>
  <c r="F1177"/>
  <c r="G1177"/>
  <c r="H1177"/>
  <c r="I1177"/>
  <c r="J1177"/>
  <c r="K1177"/>
  <c r="L1177"/>
  <c r="N1177"/>
  <c r="A1178"/>
  <c r="B1178"/>
  <c r="C1178"/>
  <c r="D1178"/>
  <c r="E1178"/>
  <c r="F1178"/>
  <c r="G1178"/>
  <c r="H1178"/>
  <c r="I1178"/>
  <c r="J1178"/>
  <c r="K1178"/>
  <c r="L1178"/>
  <c r="M1178"/>
  <c r="N1178"/>
  <c r="A1179"/>
  <c r="B1179"/>
  <c r="C1179"/>
  <c r="D1179"/>
  <c r="E1179"/>
  <c r="F1179"/>
  <c r="G1179"/>
  <c r="H1179"/>
  <c r="I1179"/>
  <c r="J1179"/>
  <c r="K1179"/>
  <c r="L1179"/>
  <c r="N1179"/>
  <c r="A1180"/>
  <c r="B1180"/>
  <c r="C1180"/>
  <c r="D1180"/>
  <c r="E1180"/>
  <c r="F1180"/>
  <c r="G1180"/>
  <c r="H1180"/>
  <c r="I1180"/>
  <c r="J1180"/>
  <c r="K1180"/>
  <c r="L1180"/>
  <c r="N1180"/>
  <c r="A1181"/>
  <c r="B1181"/>
  <c r="C1181"/>
  <c r="D1181"/>
  <c r="E1181"/>
  <c r="F1181"/>
  <c r="G1181"/>
  <c r="H1181"/>
  <c r="I1181"/>
  <c r="J1181"/>
  <c r="K1181"/>
  <c r="L1181"/>
  <c r="N1181"/>
  <c r="A1182"/>
  <c r="B1182"/>
  <c r="C1182"/>
  <c r="D1182"/>
  <c r="E1182"/>
  <c r="F1182"/>
  <c r="G1182"/>
  <c r="H1182"/>
  <c r="I1182"/>
  <c r="J1182"/>
  <c r="K1182"/>
  <c r="L1182"/>
  <c r="N1182"/>
  <c r="A1183"/>
  <c r="B1183"/>
  <c r="C1183"/>
  <c r="D1183"/>
  <c r="E1183"/>
  <c r="F1183"/>
  <c r="G1183"/>
  <c r="H1183"/>
  <c r="I1183"/>
  <c r="J1183"/>
  <c r="K1183"/>
  <c r="L1183"/>
  <c r="N1183"/>
  <c r="A1184"/>
  <c r="B1184"/>
  <c r="C1184"/>
  <c r="D1184"/>
  <c r="E1184"/>
  <c r="F1184"/>
  <c r="G1184"/>
  <c r="H1184"/>
  <c r="I1184"/>
  <c r="J1184"/>
  <c r="K1184"/>
  <c r="L1184"/>
  <c r="N1184"/>
  <c r="A1185"/>
  <c r="B1185"/>
  <c r="C1185"/>
  <c r="D1185"/>
  <c r="E1185"/>
  <c r="F1185"/>
  <c r="G1185"/>
  <c r="H1185"/>
  <c r="I1185"/>
  <c r="J1185"/>
  <c r="K1185"/>
  <c r="L1185"/>
  <c r="N1185"/>
  <c r="A1186"/>
  <c r="B1186"/>
  <c r="C1186"/>
  <c r="D1186"/>
  <c r="E1186"/>
  <c r="F1186"/>
  <c r="G1186"/>
  <c r="H1186"/>
  <c r="I1186"/>
  <c r="J1186"/>
  <c r="K1186"/>
  <c r="L1186"/>
  <c r="M1186"/>
  <c r="N1186"/>
  <c r="A1187"/>
  <c r="B1187"/>
  <c r="C1187"/>
  <c r="D1187"/>
  <c r="E1187"/>
  <c r="F1187"/>
  <c r="G1187"/>
  <c r="H1187"/>
  <c r="I1187"/>
  <c r="J1187"/>
  <c r="K1187"/>
  <c r="L1187"/>
  <c r="N1187"/>
  <c r="A1188"/>
  <c r="B1188"/>
  <c r="C1188"/>
  <c r="D1188"/>
  <c r="E1188"/>
  <c r="F1188"/>
  <c r="G1188"/>
  <c r="H1188"/>
  <c r="I1188"/>
  <c r="J1188"/>
  <c r="K1188"/>
  <c r="L1188"/>
  <c r="N1188"/>
  <c r="A1189"/>
  <c r="B1189"/>
  <c r="C1189"/>
  <c r="D1189"/>
  <c r="E1189"/>
  <c r="F1189"/>
  <c r="G1189"/>
  <c r="H1189"/>
  <c r="I1189"/>
  <c r="J1189"/>
  <c r="K1189"/>
  <c r="L1189"/>
  <c r="N1189"/>
  <c r="A1190"/>
  <c r="B1190"/>
  <c r="C1190"/>
  <c r="D1190"/>
  <c r="E1190"/>
  <c r="F1190"/>
  <c r="G1190"/>
  <c r="H1190"/>
  <c r="I1190"/>
  <c r="J1190"/>
  <c r="K1190"/>
  <c r="L1190"/>
  <c r="N1190"/>
  <c r="A1191"/>
  <c r="B1191"/>
  <c r="C1191"/>
  <c r="D1191"/>
  <c r="E1191"/>
  <c r="F1191"/>
  <c r="G1191"/>
  <c r="H1191"/>
  <c r="I1191"/>
  <c r="J1191"/>
  <c r="K1191"/>
  <c r="L1191"/>
  <c r="N1191"/>
  <c r="A1192"/>
  <c r="B1192"/>
  <c r="C1192"/>
  <c r="D1192"/>
  <c r="E1192"/>
  <c r="F1192"/>
  <c r="G1192"/>
  <c r="H1192"/>
  <c r="I1192"/>
  <c r="J1192"/>
  <c r="K1192"/>
  <c r="L1192"/>
  <c r="N1192"/>
  <c r="A1193"/>
  <c r="B1193"/>
  <c r="C1193"/>
  <c r="D1193"/>
  <c r="E1193"/>
  <c r="F1193"/>
  <c r="G1193"/>
  <c r="H1193"/>
  <c r="I1193"/>
  <c r="J1193"/>
  <c r="K1193"/>
  <c r="L1193"/>
  <c r="M1193"/>
  <c r="N1193"/>
  <c r="A1194"/>
  <c r="B1194"/>
  <c r="C1194"/>
  <c r="D1194"/>
  <c r="E1194"/>
  <c r="F1194"/>
  <c r="G1194"/>
  <c r="H1194"/>
  <c r="I1194"/>
  <c r="J1194"/>
  <c r="K1194"/>
  <c r="L1194"/>
  <c r="M1194"/>
  <c r="N1194"/>
  <c r="A1195"/>
  <c r="B1195"/>
  <c r="C1195"/>
  <c r="D1195"/>
  <c r="E1195"/>
  <c r="F1195"/>
  <c r="G1195"/>
  <c r="H1195"/>
  <c r="I1195"/>
  <c r="J1195"/>
  <c r="K1195"/>
  <c r="L1195"/>
  <c r="N1195"/>
  <c r="A1196"/>
  <c r="B1196"/>
  <c r="C1196"/>
  <c r="D1196"/>
  <c r="E1196"/>
  <c r="F1196"/>
  <c r="G1196"/>
  <c r="H1196"/>
  <c r="I1196"/>
  <c r="J1196"/>
  <c r="K1196"/>
  <c r="L1196"/>
  <c r="N1196"/>
  <c r="A1197"/>
  <c r="B1197"/>
  <c r="C1197"/>
  <c r="D1197"/>
  <c r="E1197"/>
  <c r="F1197"/>
  <c r="G1197"/>
  <c r="H1197"/>
  <c r="I1197"/>
  <c r="J1197"/>
  <c r="K1197"/>
  <c r="L1197"/>
  <c r="N1197"/>
  <c r="A1198"/>
  <c r="B1198"/>
  <c r="C1198"/>
  <c r="D1198"/>
  <c r="E1198"/>
  <c r="F1198"/>
  <c r="G1198"/>
  <c r="H1198"/>
  <c r="I1198"/>
  <c r="J1198"/>
  <c r="K1198"/>
  <c r="L1198"/>
  <c r="N1198"/>
  <c r="A1199"/>
  <c r="B1199"/>
  <c r="C1199"/>
  <c r="D1199"/>
  <c r="E1199"/>
  <c r="F1199"/>
  <c r="G1199"/>
  <c r="H1199"/>
  <c r="I1199"/>
  <c r="J1199"/>
  <c r="K1199"/>
  <c r="L1199"/>
  <c r="N1199"/>
  <c r="A1200"/>
  <c r="B1200"/>
  <c r="C1200"/>
  <c r="D1200"/>
  <c r="E1200"/>
  <c r="F1200"/>
  <c r="G1200"/>
  <c r="H1200"/>
  <c r="I1200"/>
  <c r="J1200"/>
  <c r="K1200"/>
  <c r="L1200"/>
  <c r="N1200"/>
  <c r="A1201"/>
  <c r="B1201"/>
  <c r="C1201"/>
  <c r="D1201"/>
  <c r="E1201"/>
  <c r="F1201"/>
  <c r="G1201"/>
  <c r="H1201"/>
  <c r="I1201"/>
  <c r="J1201"/>
  <c r="K1201"/>
  <c r="L1201"/>
  <c r="N1201"/>
  <c r="A1202"/>
  <c r="B1202"/>
  <c r="C1202"/>
  <c r="D1202"/>
  <c r="E1202"/>
  <c r="F1202"/>
  <c r="G1202"/>
  <c r="H1202"/>
  <c r="I1202"/>
  <c r="J1202"/>
  <c r="K1202"/>
  <c r="L1202"/>
  <c r="M1202"/>
  <c r="N1202"/>
  <c r="A1203"/>
  <c r="B1203"/>
  <c r="C1203"/>
  <c r="D1203"/>
  <c r="E1203"/>
  <c r="F1203"/>
  <c r="G1203"/>
  <c r="H1203"/>
  <c r="I1203"/>
  <c r="J1203"/>
  <c r="K1203"/>
  <c r="L1203"/>
  <c r="N1203"/>
  <c r="A1204"/>
  <c r="B1204"/>
  <c r="C1204"/>
  <c r="D1204"/>
  <c r="E1204"/>
  <c r="F1204"/>
  <c r="G1204"/>
  <c r="H1204"/>
  <c r="I1204"/>
  <c r="J1204"/>
  <c r="K1204"/>
  <c r="L1204"/>
  <c r="N1204"/>
  <c r="A1205"/>
  <c r="B1205"/>
  <c r="C1205"/>
  <c r="D1205"/>
  <c r="E1205"/>
  <c r="F1205"/>
  <c r="G1205"/>
  <c r="H1205"/>
  <c r="I1205"/>
  <c r="J1205"/>
  <c r="K1205"/>
  <c r="L1205"/>
  <c r="N1205"/>
  <c r="A1206"/>
  <c r="B1206"/>
  <c r="C1206"/>
  <c r="D1206"/>
  <c r="E1206"/>
  <c r="F1206"/>
  <c r="G1206"/>
  <c r="H1206"/>
  <c r="I1206"/>
  <c r="J1206"/>
  <c r="K1206"/>
  <c r="L1206"/>
  <c r="N1206"/>
  <c r="A1207"/>
  <c r="B1207"/>
  <c r="C1207"/>
  <c r="D1207"/>
  <c r="E1207"/>
  <c r="F1207"/>
  <c r="G1207"/>
  <c r="H1207"/>
  <c r="I1207"/>
  <c r="J1207"/>
  <c r="K1207"/>
  <c r="L1207"/>
  <c r="N1207"/>
  <c r="A1208"/>
  <c r="B1208"/>
  <c r="C1208"/>
  <c r="D1208"/>
  <c r="E1208"/>
  <c r="F1208"/>
  <c r="G1208"/>
  <c r="H1208"/>
  <c r="I1208"/>
  <c r="J1208"/>
  <c r="K1208"/>
  <c r="L1208"/>
  <c r="N1208"/>
  <c r="A1209"/>
  <c r="B1209"/>
  <c r="C1209"/>
  <c r="D1209"/>
  <c r="E1209"/>
  <c r="F1209"/>
  <c r="G1209"/>
  <c r="H1209"/>
  <c r="I1209"/>
  <c r="J1209"/>
  <c r="K1209"/>
  <c r="L1209"/>
  <c r="M1209"/>
  <c r="N1209"/>
  <c r="A1210"/>
  <c r="B1210"/>
  <c r="C1210"/>
  <c r="D1210"/>
  <c r="E1210"/>
  <c r="F1210"/>
  <c r="G1210"/>
  <c r="H1210"/>
  <c r="I1210"/>
  <c r="J1210"/>
  <c r="K1210"/>
  <c r="L1210"/>
  <c r="M1210"/>
  <c r="N1210"/>
  <c r="A1211"/>
  <c r="B1211"/>
  <c r="C1211"/>
  <c r="D1211"/>
  <c r="E1211"/>
  <c r="F1211"/>
  <c r="G1211"/>
  <c r="H1211"/>
  <c r="I1211"/>
  <c r="J1211"/>
  <c r="K1211"/>
  <c r="L1211"/>
  <c r="N1211"/>
  <c r="A1212"/>
  <c r="B1212"/>
  <c r="C1212"/>
  <c r="D1212"/>
  <c r="E1212"/>
  <c r="F1212"/>
  <c r="G1212"/>
  <c r="H1212"/>
  <c r="I1212"/>
  <c r="J1212"/>
  <c r="K1212"/>
  <c r="L1212"/>
  <c r="N1212"/>
  <c r="A1213"/>
  <c r="B1213"/>
  <c r="C1213"/>
  <c r="D1213"/>
  <c r="E1213"/>
  <c r="F1213"/>
  <c r="G1213"/>
  <c r="H1213"/>
  <c r="I1213"/>
  <c r="J1213"/>
  <c r="K1213"/>
  <c r="L1213"/>
  <c r="N1213"/>
  <c r="A1214"/>
  <c r="B1214"/>
  <c r="C1214"/>
  <c r="D1214"/>
  <c r="E1214"/>
  <c r="F1214"/>
  <c r="G1214"/>
  <c r="H1214"/>
  <c r="I1214"/>
  <c r="J1214"/>
  <c r="K1214"/>
  <c r="L1214"/>
  <c r="N1214"/>
  <c r="A1215"/>
  <c r="B1215"/>
  <c r="C1215"/>
  <c r="D1215"/>
  <c r="E1215"/>
  <c r="F1215"/>
  <c r="G1215"/>
  <c r="H1215"/>
  <c r="I1215"/>
  <c r="J1215"/>
  <c r="K1215"/>
  <c r="L1215"/>
  <c r="N1215"/>
  <c r="A1216"/>
  <c r="B1216"/>
  <c r="C1216"/>
  <c r="D1216"/>
  <c r="E1216"/>
  <c r="F1216"/>
  <c r="G1216"/>
  <c r="H1216"/>
  <c r="I1216"/>
  <c r="J1216"/>
  <c r="K1216"/>
  <c r="L1216"/>
  <c r="N1216"/>
  <c r="A1217"/>
  <c r="B1217"/>
  <c r="C1217"/>
  <c r="D1217"/>
  <c r="E1217"/>
  <c r="F1217"/>
  <c r="G1217"/>
  <c r="H1217"/>
  <c r="I1217"/>
  <c r="J1217"/>
  <c r="K1217"/>
  <c r="L1217"/>
  <c r="M1217"/>
  <c r="N1217"/>
  <c r="A1218"/>
  <c r="B1218"/>
  <c r="C1218"/>
  <c r="D1218"/>
  <c r="E1218"/>
  <c r="F1218"/>
  <c r="G1218"/>
  <c r="H1218"/>
  <c r="I1218"/>
  <c r="J1218"/>
  <c r="K1218"/>
  <c r="L1218"/>
  <c r="M1218"/>
  <c r="N1218"/>
  <c r="A1219"/>
  <c r="B1219"/>
  <c r="C1219"/>
  <c r="D1219"/>
  <c r="E1219"/>
  <c r="F1219"/>
  <c r="G1219"/>
  <c r="H1219"/>
  <c r="I1219"/>
  <c r="J1219"/>
  <c r="K1219"/>
  <c r="L1219"/>
  <c r="N1219"/>
  <c r="A1220"/>
  <c r="B1220"/>
  <c r="C1220"/>
  <c r="D1220"/>
  <c r="E1220"/>
  <c r="F1220"/>
  <c r="G1220"/>
  <c r="H1220"/>
  <c r="I1220"/>
  <c r="J1220"/>
  <c r="K1220"/>
  <c r="L1220"/>
  <c r="N1220"/>
  <c r="A1221"/>
  <c r="B1221"/>
  <c r="C1221"/>
  <c r="D1221"/>
  <c r="E1221"/>
  <c r="F1221"/>
  <c r="G1221"/>
  <c r="H1221"/>
  <c r="I1221"/>
  <c r="J1221"/>
  <c r="K1221"/>
  <c r="L1221"/>
  <c r="N1221"/>
  <c r="A1222"/>
  <c r="B1222"/>
  <c r="C1222"/>
  <c r="D1222"/>
  <c r="E1222"/>
  <c r="F1222"/>
  <c r="G1222"/>
  <c r="H1222"/>
  <c r="I1222"/>
  <c r="J1222"/>
  <c r="K1222"/>
  <c r="L1222"/>
  <c r="N1222"/>
  <c r="A1223"/>
  <c r="B1223"/>
  <c r="C1223"/>
  <c r="D1223"/>
  <c r="E1223"/>
  <c r="F1223"/>
  <c r="G1223"/>
  <c r="H1223"/>
  <c r="I1223"/>
  <c r="J1223"/>
  <c r="K1223"/>
  <c r="L1223"/>
  <c r="N1223"/>
  <c r="A1224"/>
  <c r="B1224"/>
  <c r="C1224"/>
  <c r="D1224"/>
  <c r="E1224"/>
  <c r="F1224"/>
  <c r="G1224"/>
  <c r="H1224"/>
  <c r="I1224"/>
  <c r="J1224"/>
  <c r="K1224"/>
  <c r="L1224"/>
  <c r="N1224"/>
  <c r="A1225"/>
  <c r="B1225"/>
  <c r="C1225"/>
  <c r="D1225"/>
  <c r="E1225"/>
  <c r="F1225"/>
  <c r="G1225"/>
  <c r="H1225"/>
  <c r="I1225"/>
  <c r="J1225"/>
  <c r="K1225"/>
  <c r="L1225"/>
  <c r="N1225"/>
  <c r="A1226"/>
  <c r="B1226"/>
  <c r="C1226"/>
  <c r="D1226"/>
  <c r="E1226"/>
  <c r="F1226"/>
  <c r="G1226"/>
  <c r="H1226"/>
  <c r="I1226"/>
  <c r="J1226"/>
  <c r="K1226"/>
  <c r="L1226"/>
  <c r="M1226"/>
  <c r="N1226"/>
  <c r="A1227"/>
  <c r="B1227"/>
  <c r="C1227"/>
  <c r="D1227"/>
  <c r="E1227"/>
  <c r="F1227"/>
  <c r="G1227"/>
  <c r="H1227"/>
  <c r="I1227"/>
  <c r="J1227"/>
  <c r="K1227"/>
  <c r="L1227"/>
  <c r="N1227"/>
  <c r="A1228"/>
  <c r="B1228"/>
  <c r="C1228"/>
  <c r="D1228"/>
  <c r="E1228"/>
  <c r="F1228"/>
  <c r="G1228"/>
  <c r="H1228"/>
  <c r="I1228"/>
  <c r="J1228"/>
  <c r="K1228"/>
  <c r="L1228"/>
  <c r="N1228"/>
  <c r="A1229"/>
  <c r="B1229"/>
  <c r="C1229"/>
  <c r="D1229"/>
  <c r="E1229"/>
  <c r="F1229"/>
  <c r="G1229"/>
  <c r="H1229"/>
  <c r="I1229"/>
  <c r="J1229"/>
  <c r="K1229"/>
  <c r="L1229"/>
  <c r="N1229"/>
  <c r="A1230"/>
  <c r="B1230"/>
  <c r="C1230"/>
  <c r="D1230"/>
  <c r="E1230"/>
  <c r="F1230"/>
  <c r="G1230"/>
  <c r="H1230"/>
  <c r="I1230"/>
  <c r="J1230"/>
  <c r="K1230"/>
  <c r="L1230"/>
  <c r="N1230"/>
  <c r="A1231"/>
  <c r="B1231"/>
  <c r="C1231"/>
  <c r="D1231"/>
  <c r="E1231"/>
  <c r="F1231"/>
  <c r="G1231"/>
  <c r="H1231"/>
  <c r="I1231"/>
  <c r="J1231"/>
  <c r="K1231"/>
  <c r="L1231"/>
  <c r="N1231"/>
  <c r="A1232"/>
  <c r="B1232"/>
  <c r="C1232"/>
  <c r="D1232"/>
  <c r="E1232"/>
  <c r="F1232"/>
  <c r="G1232"/>
  <c r="H1232"/>
  <c r="I1232"/>
  <c r="J1232"/>
  <c r="K1232"/>
  <c r="L1232"/>
  <c r="N1232"/>
  <c r="A1233"/>
  <c r="B1233"/>
  <c r="C1233"/>
  <c r="D1233"/>
  <c r="E1233"/>
  <c r="F1233"/>
  <c r="G1233"/>
  <c r="H1233"/>
  <c r="I1233"/>
  <c r="J1233"/>
  <c r="K1233"/>
  <c r="L1233"/>
  <c r="M1233"/>
  <c r="N1233"/>
  <c r="A1234"/>
  <c r="B1234"/>
  <c r="C1234"/>
  <c r="D1234"/>
  <c r="E1234"/>
  <c r="F1234"/>
  <c r="G1234"/>
  <c r="H1234"/>
  <c r="I1234"/>
  <c r="J1234"/>
  <c r="K1234"/>
  <c r="L1234"/>
  <c r="M1234"/>
  <c r="N1234"/>
  <c r="A1235"/>
  <c r="B1235"/>
  <c r="C1235"/>
  <c r="D1235"/>
  <c r="E1235"/>
  <c r="F1235"/>
  <c r="G1235"/>
  <c r="H1235"/>
  <c r="I1235"/>
  <c r="J1235"/>
  <c r="K1235"/>
  <c r="L1235"/>
  <c r="N1235"/>
  <c r="A1236"/>
  <c r="B1236"/>
  <c r="C1236"/>
  <c r="D1236"/>
  <c r="E1236"/>
  <c r="F1236"/>
  <c r="G1236"/>
  <c r="H1236"/>
  <c r="I1236"/>
  <c r="J1236"/>
  <c r="K1236"/>
  <c r="L1236"/>
  <c r="N1236"/>
  <c r="A1237"/>
  <c r="B1237"/>
  <c r="C1237"/>
  <c r="D1237"/>
  <c r="E1237"/>
  <c r="F1237"/>
  <c r="G1237"/>
  <c r="H1237"/>
  <c r="I1237"/>
  <c r="J1237"/>
  <c r="K1237"/>
  <c r="L1237"/>
  <c r="N1237"/>
  <c r="A1238"/>
  <c r="B1238"/>
  <c r="C1238"/>
  <c r="D1238"/>
  <c r="E1238"/>
  <c r="F1238"/>
  <c r="G1238"/>
  <c r="H1238"/>
  <c r="I1238"/>
  <c r="J1238"/>
  <c r="K1238"/>
  <c r="L1238"/>
  <c r="N1238"/>
  <c r="A1239"/>
  <c r="B1239"/>
  <c r="C1239"/>
  <c r="D1239"/>
  <c r="E1239"/>
  <c r="F1239"/>
  <c r="G1239"/>
  <c r="H1239"/>
  <c r="I1239"/>
  <c r="J1239"/>
  <c r="K1239"/>
  <c r="L1239"/>
  <c r="N1239"/>
  <c r="A1240"/>
  <c r="B1240"/>
  <c r="C1240"/>
  <c r="D1240"/>
  <c r="E1240"/>
  <c r="F1240"/>
  <c r="G1240"/>
  <c r="H1240"/>
  <c r="I1240"/>
  <c r="J1240"/>
  <c r="K1240"/>
  <c r="L1240"/>
  <c r="N1240"/>
  <c r="A1241"/>
  <c r="B1241"/>
  <c r="C1241"/>
  <c r="D1241"/>
  <c r="E1241"/>
  <c r="F1241"/>
  <c r="G1241"/>
  <c r="H1241"/>
  <c r="I1241"/>
  <c r="J1241"/>
  <c r="K1241"/>
  <c r="L1241"/>
  <c r="N1241"/>
  <c r="A1242"/>
  <c r="B1242"/>
  <c r="C1242"/>
  <c r="D1242"/>
  <c r="E1242"/>
  <c r="F1242"/>
  <c r="G1242"/>
  <c r="H1242"/>
  <c r="I1242"/>
  <c r="J1242"/>
  <c r="K1242"/>
  <c r="L1242"/>
  <c r="M1242"/>
  <c r="N1242"/>
  <c r="A1243"/>
  <c r="B1243"/>
  <c r="C1243"/>
  <c r="D1243"/>
  <c r="E1243"/>
  <c r="F1243"/>
  <c r="G1243"/>
  <c r="H1243"/>
  <c r="I1243"/>
  <c r="J1243"/>
  <c r="K1243"/>
  <c r="L1243"/>
  <c r="N1243"/>
  <c r="A1244"/>
  <c r="B1244"/>
  <c r="C1244"/>
  <c r="D1244"/>
  <c r="E1244"/>
  <c r="F1244"/>
  <c r="G1244"/>
  <c r="H1244"/>
  <c r="I1244"/>
  <c r="J1244"/>
  <c r="K1244"/>
  <c r="L1244"/>
  <c r="N1244"/>
  <c r="A1245"/>
  <c r="B1245"/>
  <c r="C1245"/>
  <c r="D1245"/>
  <c r="E1245"/>
  <c r="F1245"/>
  <c r="G1245"/>
  <c r="H1245"/>
  <c r="I1245"/>
  <c r="J1245"/>
  <c r="K1245"/>
  <c r="L1245"/>
  <c r="N1245"/>
  <c r="A1246"/>
  <c r="B1246"/>
  <c r="C1246"/>
  <c r="D1246"/>
  <c r="E1246"/>
  <c r="F1246"/>
  <c r="G1246"/>
  <c r="H1246"/>
  <c r="I1246"/>
  <c r="J1246"/>
  <c r="K1246"/>
  <c r="L1246"/>
  <c r="N1246"/>
  <c r="A1247"/>
  <c r="B1247"/>
  <c r="C1247"/>
  <c r="D1247"/>
  <c r="E1247"/>
  <c r="F1247"/>
  <c r="G1247"/>
  <c r="H1247"/>
  <c r="I1247"/>
  <c r="J1247"/>
  <c r="K1247"/>
  <c r="L1247"/>
  <c r="N1247"/>
  <c r="A1248"/>
  <c r="B1248"/>
  <c r="C1248"/>
  <c r="D1248"/>
  <c r="E1248"/>
  <c r="F1248"/>
  <c r="G1248"/>
  <c r="H1248"/>
  <c r="I1248"/>
  <c r="J1248"/>
  <c r="K1248"/>
  <c r="L1248"/>
  <c r="N1248"/>
  <c r="A1249"/>
  <c r="B1249"/>
  <c r="C1249"/>
  <c r="D1249"/>
  <c r="E1249"/>
  <c r="F1249"/>
  <c r="G1249"/>
  <c r="H1249"/>
  <c r="I1249"/>
  <c r="J1249"/>
  <c r="K1249"/>
  <c r="L1249"/>
  <c r="M1249"/>
  <c r="N1249"/>
  <c r="A1250"/>
  <c r="B1250"/>
  <c r="C1250"/>
  <c r="D1250"/>
  <c r="E1250"/>
  <c r="F1250"/>
  <c r="G1250"/>
  <c r="H1250"/>
  <c r="I1250"/>
  <c r="J1250"/>
  <c r="K1250"/>
  <c r="L1250"/>
  <c r="M1250"/>
  <c r="N1250"/>
  <c r="A1251"/>
  <c r="B1251"/>
  <c r="C1251"/>
  <c r="D1251"/>
  <c r="E1251"/>
  <c r="F1251"/>
  <c r="G1251"/>
  <c r="H1251"/>
  <c r="I1251"/>
  <c r="J1251"/>
  <c r="K1251"/>
  <c r="L1251"/>
  <c r="N1251"/>
  <c r="A1252"/>
  <c r="B1252"/>
  <c r="C1252"/>
  <c r="D1252"/>
  <c r="E1252"/>
  <c r="F1252"/>
  <c r="G1252"/>
  <c r="H1252"/>
  <c r="I1252"/>
  <c r="J1252"/>
  <c r="K1252"/>
  <c r="L1252"/>
  <c r="N1252"/>
  <c r="A1253"/>
  <c r="B1253"/>
  <c r="C1253"/>
  <c r="D1253"/>
  <c r="E1253"/>
  <c r="F1253"/>
  <c r="G1253"/>
  <c r="H1253"/>
  <c r="I1253"/>
  <c r="J1253"/>
  <c r="K1253"/>
  <c r="L1253"/>
  <c r="N1253"/>
  <c r="A1254"/>
  <c r="B1254"/>
  <c r="C1254"/>
  <c r="D1254"/>
  <c r="E1254"/>
  <c r="F1254"/>
  <c r="G1254"/>
  <c r="H1254"/>
  <c r="I1254"/>
  <c r="J1254"/>
  <c r="K1254"/>
  <c r="L1254"/>
  <c r="N1254"/>
  <c r="A1255"/>
  <c r="B1255"/>
  <c r="C1255"/>
  <c r="D1255"/>
  <c r="E1255"/>
  <c r="F1255"/>
  <c r="G1255"/>
  <c r="H1255"/>
  <c r="I1255"/>
  <c r="J1255"/>
  <c r="K1255"/>
  <c r="L1255"/>
  <c r="N1255"/>
  <c r="A1256"/>
  <c r="C1256"/>
  <c r="D1256"/>
  <c r="E1256"/>
  <c r="F1256"/>
  <c r="G1256"/>
  <c r="H1256"/>
  <c r="I1256"/>
  <c r="J1256"/>
  <c r="N1256"/>
  <c r="A1257"/>
  <c r="C1257"/>
  <c r="D1257"/>
  <c r="E1257"/>
  <c r="F1257"/>
  <c r="G1257"/>
  <c r="H1257"/>
  <c r="I1257"/>
  <c r="J1257"/>
  <c r="N1257"/>
  <c r="A1258"/>
  <c r="C1258"/>
  <c r="D1258"/>
  <c r="E1258"/>
  <c r="F1258"/>
  <c r="G1258"/>
  <c r="H1258"/>
  <c r="I1258"/>
  <c r="J1258"/>
  <c r="M1258"/>
  <c r="N1258"/>
  <c r="A1259"/>
  <c r="C1259"/>
  <c r="D1259"/>
  <c r="E1259"/>
  <c r="F1259"/>
  <c r="G1259"/>
  <c r="H1259"/>
  <c r="I1259"/>
  <c r="J1259"/>
  <c r="N1259"/>
  <c r="A1260"/>
  <c r="C1260"/>
  <c r="D1260"/>
  <c r="E1260"/>
  <c r="F1260"/>
  <c r="G1260"/>
  <c r="H1260"/>
  <c r="I1260"/>
  <c r="J1260"/>
  <c r="N1260"/>
  <c r="A1261"/>
  <c r="C1261"/>
  <c r="D1261"/>
  <c r="E1261"/>
  <c r="F1261"/>
  <c r="G1261"/>
  <c r="H1261"/>
  <c r="I1261"/>
  <c r="J1261"/>
  <c r="N1261"/>
  <c r="A1262"/>
  <c r="C1262"/>
  <c r="D1262"/>
  <c r="E1262"/>
  <c r="F1262"/>
  <c r="G1262"/>
  <c r="H1262"/>
  <c r="I1262"/>
  <c r="J1262"/>
  <c r="N1262"/>
  <c r="A1263"/>
  <c r="C1263"/>
  <c r="D1263"/>
  <c r="E1263"/>
  <c r="F1263"/>
  <c r="G1263"/>
  <c r="H1263"/>
  <c r="I1263"/>
  <c r="J1263"/>
  <c r="N1263"/>
  <c r="A1264"/>
  <c r="C1264"/>
  <c r="D1264"/>
  <c r="E1264"/>
  <c r="F1264"/>
  <c r="G1264"/>
  <c r="H1264"/>
  <c r="I1264"/>
  <c r="J1264"/>
  <c r="N1264"/>
  <c r="A1265"/>
  <c r="C1265"/>
  <c r="D1265"/>
  <c r="E1265"/>
  <c r="F1265"/>
  <c r="G1265"/>
  <c r="H1265"/>
  <c r="I1265"/>
  <c r="J1265"/>
  <c r="M1265"/>
  <c r="N1265"/>
  <c r="A1266"/>
  <c r="C1266"/>
  <c r="D1266"/>
  <c r="E1266"/>
  <c r="F1266"/>
  <c r="G1266"/>
  <c r="H1266"/>
  <c r="I1266"/>
  <c r="J1266"/>
  <c r="M1266"/>
  <c r="N1266"/>
  <c r="A1267"/>
  <c r="C1267"/>
  <c r="D1267"/>
  <c r="E1267"/>
  <c r="F1267"/>
  <c r="G1267"/>
  <c r="H1267"/>
  <c r="I1267"/>
  <c r="J1267"/>
  <c r="N1267"/>
  <c r="A1268"/>
  <c r="C1268"/>
  <c r="D1268"/>
  <c r="E1268"/>
  <c r="F1268"/>
  <c r="G1268"/>
  <c r="H1268"/>
  <c r="I1268"/>
  <c r="J1268"/>
  <c r="N1268"/>
  <c r="A1269"/>
  <c r="C1269"/>
  <c r="D1269"/>
  <c r="E1269"/>
  <c r="F1269"/>
  <c r="G1269"/>
  <c r="H1269"/>
  <c r="I1269"/>
  <c r="J1269"/>
  <c r="N1269"/>
  <c r="A1270"/>
  <c r="C1270"/>
  <c r="D1270"/>
  <c r="E1270"/>
  <c r="F1270"/>
  <c r="G1270"/>
  <c r="H1270"/>
  <c r="I1270"/>
  <c r="J1270"/>
  <c r="N1270"/>
  <c r="A1271"/>
  <c r="C1271"/>
  <c r="D1271"/>
  <c r="E1271"/>
  <c r="F1271"/>
  <c r="G1271"/>
  <c r="H1271"/>
  <c r="I1271"/>
  <c r="J1271"/>
  <c r="N1271"/>
  <c r="A1272"/>
  <c r="C1272"/>
  <c r="D1272"/>
  <c r="E1272"/>
  <c r="F1272"/>
  <c r="G1272"/>
  <c r="H1272"/>
  <c r="I1272"/>
  <c r="J1272"/>
  <c r="N1272"/>
  <c r="A1273"/>
  <c r="C1273"/>
  <c r="D1273"/>
  <c r="E1273"/>
  <c r="F1273"/>
  <c r="G1273"/>
  <c r="H1273"/>
  <c r="I1273"/>
  <c r="J1273"/>
  <c r="N1273"/>
  <c r="A1274"/>
  <c r="C1274"/>
  <c r="D1274"/>
  <c r="E1274"/>
  <c r="F1274"/>
  <c r="G1274"/>
  <c r="H1274"/>
  <c r="I1274"/>
  <c r="J1274"/>
  <c r="M1274"/>
  <c r="N1274"/>
  <c r="A1275"/>
  <c r="C1275"/>
  <c r="D1275"/>
  <c r="E1275"/>
  <c r="F1275"/>
  <c r="G1275"/>
  <c r="H1275"/>
  <c r="I1275"/>
  <c r="J1275"/>
  <c r="N1275"/>
  <c r="A1276"/>
  <c r="C1276"/>
  <c r="D1276"/>
  <c r="E1276"/>
  <c r="F1276"/>
  <c r="G1276"/>
  <c r="H1276"/>
  <c r="I1276"/>
  <c r="J1276"/>
  <c r="N1276"/>
  <c r="A1277"/>
  <c r="C1277"/>
  <c r="D1277"/>
  <c r="E1277"/>
  <c r="F1277"/>
  <c r="G1277"/>
  <c r="H1277"/>
  <c r="I1277"/>
  <c r="J1277"/>
  <c r="N1277"/>
  <c r="A1278"/>
  <c r="C1278"/>
  <c r="D1278"/>
  <c r="E1278"/>
  <c r="F1278"/>
  <c r="G1278"/>
  <c r="H1278"/>
  <c r="I1278"/>
  <c r="J1278"/>
  <c r="N1278"/>
  <c r="A1279"/>
  <c r="C1279"/>
  <c r="D1279"/>
  <c r="E1279"/>
  <c r="F1279"/>
  <c r="G1279"/>
  <c r="H1279"/>
  <c r="I1279"/>
  <c r="J1279"/>
  <c r="N1279"/>
  <c r="A1280"/>
  <c r="C1280"/>
  <c r="D1280"/>
  <c r="E1280"/>
  <c r="F1280"/>
  <c r="G1280"/>
  <c r="H1280"/>
  <c r="I1280"/>
  <c r="J1280"/>
  <c r="N1280"/>
  <c r="A1281"/>
  <c r="C1281"/>
  <c r="D1281"/>
  <c r="E1281"/>
  <c r="F1281"/>
  <c r="G1281"/>
  <c r="H1281"/>
  <c r="I1281"/>
  <c r="J1281"/>
  <c r="M1281"/>
  <c r="N1281"/>
  <c r="A1282"/>
  <c r="C1282"/>
  <c r="D1282"/>
  <c r="E1282"/>
  <c r="F1282"/>
  <c r="G1282"/>
  <c r="H1282"/>
  <c r="I1282"/>
  <c r="J1282"/>
  <c r="M1282"/>
  <c r="N1282"/>
  <c r="A1283"/>
  <c r="C1283"/>
  <c r="D1283"/>
  <c r="E1283"/>
  <c r="F1283"/>
  <c r="G1283"/>
  <c r="H1283"/>
  <c r="I1283"/>
  <c r="J1283"/>
  <c r="N1283"/>
  <c r="A1284"/>
  <c r="C1284"/>
  <c r="D1284"/>
  <c r="E1284"/>
  <c r="F1284"/>
  <c r="G1284"/>
  <c r="H1284"/>
  <c r="I1284"/>
  <c r="J1284"/>
  <c r="N1284"/>
  <c r="A1285"/>
  <c r="C1285"/>
  <c r="D1285"/>
  <c r="E1285"/>
  <c r="F1285"/>
  <c r="G1285"/>
  <c r="H1285"/>
  <c r="I1285"/>
  <c r="J1285"/>
  <c r="N1285"/>
  <c r="A1286"/>
  <c r="C1286"/>
  <c r="D1286"/>
  <c r="E1286"/>
  <c r="F1286"/>
  <c r="G1286"/>
  <c r="H1286"/>
  <c r="I1286"/>
  <c r="J1286"/>
  <c r="N1286"/>
  <c r="A1287"/>
  <c r="C1287"/>
  <c r="D1287"/>
  <c r="E1287"/>
  <c r="F1287"/>
  <c r="G1287"/>
  <c r="H1287"/>
  <c r="I1287"/>
  <c r="J1287"/>
  <c r="N1287"/>
  <c r="A1288"/>
  <c r="C1288"/>
  <c r="D1288"/>
  <c r="E1288"/>
  <c r="F1288"/>
  <c r="G1288"/>
  <c r="H1288"/>
  <c r="I1288"/>
  <c r="J1288"/>
  <c r="N1288"/>
  <c r="A1289"/>
  <c r="C1289"/>
  <c r="D1289"/>
  <c r="E1289"/>
  <c r="F1289"/>
  <c r="G1289"/>
  <c r="H1289"/>
  <c r="I1289"/>
  <c r="J1289"/>
  <c r="N1289"/>
  <c r="A1290"/>
  <c r="C1290"/>
  <c r="D1290"/>
  <c r="E1290"/>
  <c r="F1290"/>
  <c r="G1290"/>
  <c r="H1290"/>
  <c r="I1290"/>
  <c r="J1290"/>
  <c r="M1290"/>
  <c r="N1290"/>
  <c r="A1291"/>
  <c r="C1291"/>
  <c r="D1291"/>
  <c r="E1291"/>
  <c r="F1291"/>
  <c r="G1291"/>
  <c r="H1291"/>
  <c r="I1291"/>
  <c r="J1291"/>
  <c r="N1291"/>
  <c r="A1292"/>
  <c r="C1292"/>
  <c r="D1292"/>
  <c r="E1292"/>
  <c r="F1292"/>
  <c r="G1292"/>
  <c r="H1292"/>
  <c r="I1292"/>
  <c r="J1292"/>
  <c r="N1292"/>
  <c r="A1293"/>
  <c r="C1293"/>
  <c r="D1293"/>
  <c r="E1293"/>
  <c r="F1293"/>
  <c r="G1293"/>
  <c r="H1293"/>
  <c r="I1293"/>
  <c r="J1293"/>
  <c r="N1293"/>
  <c r="A1294"/>
  <c r="C1294"/>
  <c r="D1294"/>
  <c r="E1294"/>
  <c r="F1294"/>
  <c r="G1294"/>
  <c r="H1294"/>
  <c r="I1294"/>
  <c r="J1294"/>
  <c r="N1294"/>
  <c r="A1295"/>
  <c r="C1295"/>
  <c r="D1295"/>
  <c r="E1295"/>
  <c r="F1295"/>
  <c r="G1295"/>
  <c r="H1295"/>
  <c r="I1295"/>
  <c r="J1295"/>
  <c r="N1295"/>
  <c r="A1296"/>
  <c r="C1296"/>
  <c r="D1296"/>
  <c r="E1296"/>
  <c r="F1296"/>
  <c r="G1296"/>
  <c r="H1296"/>
  <c r="I1296"/>
  <c r="J1296"/>
  <c r="N1296"/>
  <c r="A1297"/>
  <c r="C1297"/>
  <c r="D1297"/>
  <c r="E1297"/>
  <c r="F1297"/>
  <c r="G1297"/>
  <c r="H1297"/>
  <c r="I1297"/>
  <c r="J1297"/>
  <c r="M1297"/>
  <c r="N1297"/>
  <c r="A1298"/>
  <c r="C1298"/>
  <c r="D1298"/>
  <c r="E1298"/>
  <c r="F1298"/>
  <c r="G1298"/>
  <c r="H1298"/>
  <c r="I1298"/>
  <c r="J1298"/>
  <c r="M1298"/>
  <c r="N1298"/>
  <c r="A1299"/>
  <c r="C1299"/>
  <c r="D1299"/>
  <c r="E1299"/>
  <c r="F1299"/>
  <c r="G1299"/>
  <c r="H1299"/>
  <c r="I1299"/>
  <c r="J1299"/>
  <c r="N1299"/>
  <c r="A1300"/>
  <c r="C1300"/>
  <c r="D1300"/>
  <c r="E1300"/>
  <c r="F1300"/>
  <c r="G1300"/>
  <c r="H1300"/>
  <c r="I1300"/>
  <c r="J1300"/>
  <c r="N1300"/>
  <c r="A1301"/>
  <c r="C1301"/>
  <c r="D1301"/>
  <c r="E1301"/>
  <c r="F1301"/>
  <c r="G1301"/>
  <c r="H1301"/>
  <c r="I1301"/>
  <c r="J1301"/>
  <c r="N1301"/>
  <c r="A1302"/>
  <c r="C1302"/>
  <c r="D1302"/>
  <c r="E1302"/>
  <c r="F1302"/>
  <c r="G1302"/>
  <c r="H1302"/>
  <c r="I1302"/>
  <c r="J1302"/>
  <c r="N1302"/>
  <c r="A1303"/>
  <c r="C1303"/>
  <c r="D1303"/>
  <c r="E1303"/>
  <c r="F1303"/>
  <c r="G1303"/>
  <c r="H1303"/>
  <c r="I1303"/>
  <c r="J1303"/>
  <c r="N1303"/>
  <c r="A1304"/>
  <c r="C1304"/>
  <c r="D1304"/>
  <c r="E1304"/>
  <c r="F1304"/>
  <c r="G1304"/>
  <c r="H1304"/>
  <c r="I1304"/>
  <c r="J1304"/>
  <c r="N1304"/>
  <c r="A1305"/>
  <c r="C1305"/>
  <c r="D1305"/>
  <c r="E1305"/>
  <c r="F1305"/>
  <c r="G1305"/>
  <c r="H1305"/>
  <c r="I1305"/>
  <c r="J1305"/>
  <c r="N1305"/>
  <c r="A1306"/>
  <c r="C1306"/>
  <c r="D1306"/>
  <c r="E1306"/>
  <c r="F1306"/>
  <c r="G1306"/>
  <c r="H1306"/>
  <c r="I1306"/>
  <c r="J1306"/>
  <c r="M1306"/>
  <c r="N1306"/>
  <c r="A1307"/>
  <c r="C1307"/>
  <c r="D1307"/>
  <c r="E1307"/>
  <c r="F1307"/>
  <c r="G1307"/>
  <c r="H1307"/>
  <c r="I1307"/>
  <c r="J1307"/>
  <c r="N1307"/>
  <c r="A1308"/>
  <c r="C1308"/>
  <c r="D1308"/>
  <c r="E1308"/>
  <c r="F1308"/>
  <c r="G1308"/>
  <c r="H1308"/>
  <c r="I1308"/>
  <c r="J1308"/>
  <c r="N1308"/>
  <c r="A1309"/>
  <c r="C1309"/>
  <c r="D1309"/>
  <c r="E1309"/>
  <c r="F1309"/>
  <c r="G1309"/>
  <c r="H1309"/>
  <c r="I1309"/>
  <c r="J1309"/>
  <c r="N1309"/>
  <c r="A1310"/>
  <c r="C1310"/>
  <c r="D1310"/>
  <c r="E1310"/>
  <c r="F1310"/>
  <c r="G1310"/>
  <c r="H1310"/>
  <c r="I1310"/>
  <c r="J1310"/>
  <c r="N1310"/>
  <c r="A1311"/>
  <c r="C1311"/>
  <c r="D1311"/>
  <c r="E1311"/>
  <c r="F1311"/>
  <c r="G1311"/>
  <c r="H1311"/>
  <c r="I1311"/>
  <c r="J1311"/>
  <c r="N1311"/>
  <c r="A1312"/>
  <c r="C1312"/>
  <c r="D1312"/>
  <c r="E1312"/>
  <c r="F1312"/>
  <c r="G1312"/>
  <c r="H1312"/>
  <c r="I1312"/>
  <c r="J1312"/>
  <c r="N1312"/>
  <c r="A1313"/>
  <c r="C1313"/>
  <c r="D1313"/>
  <c r="E1313"/>
  <c r="F1313"/>
  <c r="G1313"/>
  <c r="H1313"/>
  <c r="I1313"/>
  <c r="J1313"/>
  <c r="N1313"/>
  <c r="A1314"/>
  <c r="C1314"/>
  <c r="D1314"/>
  <c r="E1314"/>
  <c r="F1314"/>
  <c r="G1314"/>
  <c r="H1314"/>
  <c r="I1314"/>
  <c r="J1314"/>
  <c r="M1314"/>
  <c r="N1314"/>
  <c r="A1315"/>
  <c r="C1315"/>
  <c r="D1315"/>
  <c r="E1315"/>
  <c r="F1315"/>
  <c r="G1315"/>
  <c r="H1315"/>
  <c r="I1315"/>
  <c r="J1315"/>
  <c r="N1315"/>
  <c r="A1316"/>
  <c r="C1316"/>
  <c r="D1316"/>
  <c r="E1316"/>
  <c r="F1316"/>
  <c r="G1316"/>
  <c r="H1316"/>
  <c r="I1316"/>
  <c r="J1316"/>
  <c r="N1316"/>
  <c r="A1317"/>
  <c r="C1317"/>
  <c r="D1317"/>
  <c r="E1317"/>
  <c r="F1317"/>
  <c r="G1317"/>
  <c r="H1317"/>
  <c r="I1317"/>
  <c r="J1317"/>
  <c r="N1317"/>
  <c r="A1318"/>
  <c r="C1318"/>
  <c r="D1318"/>
  <c r="E1318"/>
  <c r="F1318"/>
  <c r="G1318"/>
  <c r="H1318"/>
  <c r="I1318"/>
  <c r="J1318"/>
  <c r="N1318"/>
  <c r="A1319"/>
  <c r="C1319"/>
  <c r="D1319"/>
  <c r="E1319"/>
  <c r="F1319"/>
  <c r="G1319"/>
  <c r="H1319"/>
  <c r="I1319"/>
  <c r="J1319"/>
  <c r="N1319"/>
  <c r="A1320"/>
  <c r="C1320"/>
  <c r="D1320"/>
  <c r="E1320"/>
  <c r="F1320"/>
  <c r="G1320"/>
  <c r="H1320"/>
  <c r="I1320"/>
  <c r="J1320"/>
  <c r="N1320"/>
  <c r="A1321"/>
  <c r="C1321"/>
  <c r="D1321"/>
  <c r="E1321"/>
  <c r="F1321"/>
  <c r="G1321"/>
  <c r="H1321"/>
  <c r="I1321"/>
  <c r="J1321"/>
  <c r="M1321"/>
  <c r="N1321"/>
  <c r="A1322"/>
  <c r="C1322"/>
  <c r="D1322"/>
  <c r="E1322"/>
  <c r="F1322"/>
  <c r="G1322"/>
  <c r="H1322"/>
  <c r="I1322"/>
  <c r="J1322"/>
  <c r="M1322"/>
  <c r="N1322"/>
  <c r="A1323"/>
  <c r="C1323"/>
  <c r="D1323"/>
  <c r="E1323"/>
  <c r="F1323"/>
  <c r="G1323"/>
  <c r="H1323"/>
  <c r="I1323"/>
  <c r="J1323"/>
  <c r="N1323"/>
  <c r="A1324"/>
  <c r="C1324"/>
  <c r="D1324"/>
  <c r="E1324"/>
  <c r="F1324"/>
  <c r="G1324"/>
  <c r="H1324"/>
  <c r="I1324"/>
  <c r="J1324"/>
  <c r="N1324"/>
  <c r="A1325"/>
  <c r="C1325"/>
  <c r="D1325"/>
  <c r="E1325"/>
  <c r="F1325"/>
  <c r="G1325"/>
  <c r="H1325"/>
  <c r="I1325"/>
  <c r="J1325"/>
  <c r="N1325"/>
  <c r="A1326"/>
  <c r="C1326"/>
  <c r="D1326"/>
  <c r="E1326"/>
  <c r="F1326"/>
  <c r="G1326"/>
  <c r="H1326"/>
  <c r="I1326"/>
  <c r="J1326"/>
  <c r="N1326"/>
  <c r="A1327"/>
  <c r="C1327"/>
  <c r="D1327"/>
  <c r="E1327"/>
  <c r="F1327"/>
  <c r="G1327"/>
  <c r="H1327"/>
  <c r="I1327"/>
  <c r="J1327"/>
  <c r="N1327"/>
  <c r="A1328"/>
  <c r="C1328"/>
  <c r="D1328"/>
  <c r="E1328"/>
  <c r="F1328"/>
  <c r="G1328"/>
  <c r="H1328"/>
  <c r="I1328"/>
  <c r="J1328"/>
  <c r="N1328"/>
  <c r="A1329"/>
  <c r="C1329"/>
  <c r="D1329"/>
  <c r="E1329"/>
  <c r="F1329"/>
  <c r="G1329"/>
  <c r="H1329"/>
  <c r="I1329"/>
  <c r="J1329"/>
  <c r="N1329"/>
  <c r="A1330"/>
  <c r="C1330"/>
  <c r="D1330"/>
  <c r="E1330"/>
  <c r="F1330"/>
  <c r="G1330"/>
  <c r="H1330"/>
  <c r="I1330"/>
  <c r="J1330"/>
  <c r="M1330"/>
  <c r="N1330"/>
  <c r="A1331"/>
  <c r="C1331"/>
  <c r="D1331"/>
  <c r="E1331"/>
  <c r="F1331"/>
  <c r="G1331"/>
  <c r="H1331"/>
  <c r="I1331"/>
  <c r="J1331"/>
  <c r="N1331"/>
  <c r="A1332"/>
  <c r="C1332"/>
  <c r="D1332"/>
  <c r="E1332"/>
  <c r="F1332"/>
  <c r="G1332"/>
  <c r="H1332"/>
  <c r="I1332"/>
  <c r="J1332"/>
  <c r="N1332"/>
  <c r="A1333"/>
  <c r="C1333"/>
  <c r="D1333"/>
  <c r="E1333"/>
  <c r="F1333"/>
  <c r="G1333"/>
  <c r="H1333"/>
  <c r="I1333"/>
  <c r="J1333"/>
  <c r="N1333"/>
  <c r="A1334"/>
  <c r="C1334"/>
  <c r="D1334"/>
  <c r="E1334"/>
  <c r="F1334"/>
  <c r="G1334"/>
  <c r="H1334"/>
  <c r="I1334"/>
  <c r="J1334"/>
  <c r="N1334"/>
  <c r="A1335"/>
  <c r="C1335"/>
  <c r="D1335"/>
  <c r="E1335"/>
  <c r="F1335"/>
  <c r="G1335"/>
  <c r="H1335"/>
  <c r="I1335"/>
  <c r="J1335"/>
  <c r="N1335"/>
  <c r="A1336"/>
  <c r="C1336"/>
  <c r="D1336"/>
  <c r="E1336"/>
  <c r="F1336"/>
  <c r="G1336"/>
  <c r="H1336"/>
  <c r="I1336"/>
  <c r="J1336"/>
  <c r="N1336"/>
  <c r="A1337"/>
  <c r="C1337"/>
  <c r="D1337"/>
  <c r="E1337"/>
  <c r="F1337"/>
  <c r="G1337"/>
  <c r="H1337"/>
  <c r="I1337"/>
  <c r="J1337"/>
  <c r="N1337"/>
  <c r="A1338"/>
  <c r="C1338"/>
  <c r="D1338"/>
  <c r="E1338"/>
  <c r="F1338"/>
  <c r="G1338"/>
  <c r="H1338"/>
  <c r="I1338"/>
  <c r="J1338"/>
  <c r="M1338"/>
  <c r="N1338"/>
  <c r="A1339"/>
  <c r="C1339"/>
  <c r="D1339"/>
  <c r="E1339"/>
  <c r="F1339"/>
  <c r="G1339"/>
  <c r="H1339"/>
  <c r="I1339"/>
  <c r="J1339"/>
  <c r="N1339"/>
  <c r="A1340"/>
  <c r="C1340"/>
  <c r="D1340"/>
  <c r="E1340"/>
  <c r="F1340"/>
  <c r="G1340"/>
  <c r="H1340"/>
  <c r="I1340"/>
  <c r="J1340"/>
  <c r="N1340"/>
  <c r="A1341"/>
  <c r="C1341"/>
  <c r="D1341"/>
  <c r="E1341"/>
  <c r="F1341"/>
  <c r="G1341"/>
  <c r="H1341"/>
  <c r="I1341"/>
  <c r="J1341"/>
  <c r="N1341"/>
  <c r="A1342"/>
  <c r="C1342"/>
  <c r="D1342"/>
  <c r="E1342"/>
  <c r="F1342"/>
  <c r="G1342"/>
  <c r="H1342"/>
  <c r="I1342"/>
  <c r="J1342"/>
  <c r="N1342"/>
  <c r="A1343"/>
  <c r="C1343"/>
  <c r="D1343"/>
  <c r="E1343"/>
  <c r="F1343"/>
  <c r="G1343"/>
  <c r="H1343"/>
  <c r="I1343"/>
  <c r="J1343"/>
  <c r="N1343"/>
  <c r="A1344"/>
  <c r="C1344"/>
  <c r="D1344"/>
  <c r="E1344"/>
  <c r="F1344"/>
  <c r="G1344"/>
  <c r="H1344"/>
  <c r="I1344"/>
  <c r="J1344"/>
  <c r="N1344"/>
  <c r="A1345"/>
  <c r="C1345"/>
  <c r="D1345"/>
  <c r="E1345"/>
  <c r="F1345"/>
  <c r="G1345"/>
  <c r="H1345"/>
  <c r="I1345"/>
  <c r="J1345"/>
  <c r="N1345"/>
  <c r="A1346"/>
  <c r="C1346"/>
  <c r="D1346"/>
  <c r="E1346"/>
  <c r="F1346"/>
  <c r="G1346"/>
  <c r="H1346"/>
  <c r="I1346"/>
  <c r="J1346"/>
  <c r="M1346"/>
  <c r="N1346"/>
  <c r="A1347"/>
  <c r="C1347"/>
  <c r="D1347"/>
  <c r="E1347"/>
  <c r="F1347"/>
  <c r="G1347"/>
  <c r="H1347"/>
  <c r="I1347"/>
  <c r="J1347"/>
  <c r="N1347"/>
  <c r="A1348"/>
  <c r="C1348"/>
  <c r="D1348"/>
  <c r="E1348"/>
  <c r="F1348"/>
  <c r="G1348"/>
  <c r="H1348"/>
  <c r="I1348"/>
  <c r="J1348"/>
  <c r="N1348"/>
  <c r="A1349"/>
  <c r="C1349"/>
  <c r="D1349"/>
  <c r="E1349"/>
  <c r="F1349"/>
  <c r="G1349"/>
  <c r="H1349"/>
  <c r="I1349"/>
  <c r="J1349"/>
  <c r="N1349"/>
  <c r="A1350"/>
  <c r="C1350"/>
  <c r="D1350"/>
  <c r="E1350"/>
  <c r="F1350"/>
  <c r="G1350"/>
  <c r="H1350"/>
  <c r="I1350"/>
  <c r="J1350"/>
  <c r="N1350"/>
  <c r="A1351"/>
  <c r="C1351"/>
  <c r="D1351"/>
  <c r="E1351"/>
  <c r="F1351"/>
  <c r="G1351"/>
  <c r="H1351"/>
  <c r="I1351"/>
  <c r="J1351"/>
  <c r="N1351"/>
  <c r="A1352"/>
  <c r="C1352"/>
  <c r="D1352"/>
  <c r="E1352"/>
  <c r="F1352"/>
  <c r="G1352"/>
  <c r="H1352"/>
  <c r="I1352"/>
  <c r="J1352"/>
  <c r="N1352"/>
  <c r="A1353"/>
  <c r="C1353"/>
  <c r="D1353"/>
  <c r="E1353"/>
  <c r="F1353"/>
  <c r="G1353"/>
  <c r="H1353"/>
  <c r="I1353"/>
  <c r="J1353"/>
  <c r="M1353"/>
  <c r="N1353"/>
  <c r="A1354"/>
  <c r="C1354"/>
  <c r="D1354"/>
  <c r="E1354"/>
  <c r="F1354"/>
  <c r="G1354"/>
  <c r="H1354"/>
  <c r="I1354"/>
  <c r="J1354"/>
  <c r="M1354"/>
  <c r="N1354"/>
  <c r="A1355"/>
  <c r="C1355"/>
  <c r="D1355"/>
  <c r="E1355"/>
  <c r="F1355"/>
  <c r="G1355"/>
  <c r="H1355"/>
  <c r="I1355"/>
  <c r="J1355"/>
  <c r="N1355"/>
  <c r="A1356"/>
  <c r="C1356"/>
  <c r="D1356"/>
  <c r="E1356"/>
  <c r="F1356"/>
  <c r="G1356"/>
  <c r="H1356"/>
  <c r="I1356"/>
  <c r="J1356"/>
  <c r="N1356"/>
  <c r="A1357"/>
  <c r="C1357"/>
  <c r="D1357"/>
  <c r="E1357"/>
  <c r="F1357"/>
  <c r="G1357"/>
  <c r="H1357"/>
  <c r="I1357"/>
  <c r="J1357"/>
  <c r="N1357"/>
  <c r="A1358"/>
  <c r="C1358"/>
  <c r="D1358"/>
  <c r="E1358"/>
  <c r="F1358"/>
  <c r="G1358"/>
  <c r="H1358"/>
  <c r="I1358"/>
  <c r="J1358"/>
  <c r="N1358"/>
  <c r="A1359"/>
  <c r="C1359"/>
  <c r="D1359"/>
  <c r="E1359"/>
  <c r="F1359"/>
  <c r="G1359"/>
  <c r="H1359"/>
  <c r="I1359"/>
  <c r="J1359"/>
  <c r="N1359"/>
  <c r="A1360"/>
  <c r="C1360"/>
  <c r="D1360"/>
  <c r="E1360"/>
  <c r="F1360"/>
  <c r="G1360"/>
  <c r="H1360"/>
  <c r="I1360"/>
  <c r="J1360"/>
  <c r="N1360"/>
  <c r="A1361"/>
  <c r="C1361"/>
  <c r="D1361"/>
  <c r="E1361"/>
  <c r="F1361"/>
  <c r="G1361"/>
  <c r="H1361"/>
  <c r="I1361"/>
  <c r="J1361"/>
  <c r="N1361"/>
  <c r="A1362"/>
  <c r="C1362"/>
  <c r="D1362"/>
  <c r="E1362"/>
  <c r="F1362"/>
  <c r="G1362"/>
  <c r="H1362"/>
  <c r="I1362"/>
  <c r="J1362"/>
  <c r="M1362"/>
  <c r="N1362"/>
  <c r="A1363"/>
  <c r="C1363"/>
  <c r="D1363"/>
  <c r="E1363"/>
  <c r="F1363"/>
  <c r="G1363"/>
  <c r="H1363"/>
  <c r="I1363"/>
  <c r="J1363"/>
  <c r="N1363"/>
  <c r="A1364"/>
  <c r="C1364"/>
  <c r="D1364"/>
  <c r="E1364"/>
  <c r="F1364"/>
  <c r="G1364"/>
  <c r="H1364"/>
  <c r="I1364"/>
  <c r="J1364"/>
  <c r="N1364"/>
  <c r="A1365"/>
  <c r="C1365"/>
  <c r="D1365"/>
  <c r="E1365"/>
  <c r="F1365"/>
  <c r="G1365"/>
  <c r="H1365"/>
  <c r="I1365"/>
  <c r="J1365"/>
  <c r="N1365"/>
  <c r="A1366"/>
  <c r="C1366"/>
  <c r="D1366"/>
  <c r="E1366"/>
  <c r="F1366"/>
  <c r="G1366"/>
  <c r="H1366"/>
  <c r="I1366"/>
  <c r="J1366"/>
  <c r="N1366"/>
  <c r="A1367"/>
  <c r="C1367"/>
  <c r="D1367"/>
  <c r="E1367"/>
  <c r="F1367"/>
  <c r="G1367"/>
  <c r="H1367"/>
  <c r="I1367"/>
  <c r="J1367"/>
  <c r="N1367"/>
  <c r="A1368"/>
  <c r="C1368"/>
  <c r="D1368"/>
  <c r="E1368"/>
  <c r="F1368"/>
  <c r="G1368"/>
  <c r="H1368"/>
  <c r="I1368"/>
  <c r="J1368"/>
  <c r="N1368"/>
  <c r="A1369"/>
  <c r="C1369"/>
  <c r="D1369"/>
  <c r="E1369"/>
  <c r="F1369"/>
  <c r="G1369"/>
  <c r="H1369"/>
  <c r="I1369"/>
  <c r="J1369"/>
  <c r="M1369"/>
  <c r="N1369"/>
  <c r="A1370"/>
  <c r="C1370"/>
  <c r="D1370"/>
  <c r="E1370"/>
  <c r="F1370"/>
  <c r="G1370"/>
  <c r="H1370"/>
  <c r="I1370"/>
  <c r="J1370"/>
  <c r="M1370"/>
  <c r="N1370"/>
  <c r="A1371"/>
  <c r="C1371"/>
  <c r="D1371"/>
  <c r="E1371"/>
  <c r="F1371"/>
  <c r="G1371"/>
  <c r="H1371"/>
  <c r="I1371"/>
  <c r="J1371"/>
  <c r="N1371"/>
  <c r="A1372"/>
  <c r="C1372"/>
  <c r="D1372"/>
  <c r="E1372"/>
  <c r="F1372"/>
  <c r="G1372"/>
  <c r="H1372"/>
  <c r="I1372"/>
  <c r="J1372"/>
  <c r="N1372"/>
  <c r="A1373"/>
  <c r="C1373"/>
  <c r="D1373"/>
  <c r="E1373"/>
  <c r="F1373"/>
  <c r="G1373"/>
  <c r="H1373"/>
  <c r="I1373"/>
  <c r="J1373"/>
  <c r="N1373"/>
  <c r="A1374"/>
  <c r="C1374"/>
  <c r="D1374"/>
  <c r="E1374"/>
  <c r="F1374"/>
  <c r="G1374"/>
  <c r="H1374"/>
  <c r="I1374"/>
  <c r="J1374"/>
  <c r="N1374"/>
  <c r="A1375"/>
  <c r="C1375"/>
  <c r="D1375"/>
  <c r="E1375"/>
  <c r="F1375"/>
  <c r="G1375"/>
  <c r="H1375"/>
  <c r="I1375"/>
  <c r="J1375"/>
  <c r="N1375"/>
  <c r="A1376"/>
  <c r="C1376"/>
  <c r="D1376"/>
  <c r="E1376"/>
  <c r="F1376"/>
  <c r="G1376"/>
  <c r="H1376"/>
  <c r="I1376"/>
  <c r="J1376"/>
  <c r="N1376"/>
  <c r="A1377"/>
  <c r="C1377"/>
  <c r="D1377"/>
  <c r="E1377"/>
  <c r="F1377"/>
  <c r="G1377"/>
  <c r="H1377"/>
  <c r="I1377"/>
  <c r="J1377"/>
  <c r="N1377"/>
  <c r="A1378"/>
  <c r="C1378"/>
  <c r="D1378"/>
  <c r="E1378"/>
  <c r="F1378"/>
  <c r="G1378"/>
  <c r="H1378"/>
  <c r="I1378"/>
  <c r="J1378"/>
  <c r="M1378"/>
  <c r="N1378"/>
  <c r="A1379"/>
  <c r="C1379"/>
  <c r="D1379"/>
  <c r="E1379"/>
  <c r="F1379"/>
  <c r="G1379"/>
  <c r="H1379"/>
  <c r="I1379"/>
  <c r="J1379"/>
  <c r="N1379"/>
  <c r="A1380"/>
  <c r="C1380"/>
  <c r="D1380"/>
  <c r="E1380"/>
  <c r="F1380"/>
  <c r="G1380"/>
  <c r="H1380"/>
  <c r="I1380"/>
  <c r="J1380"/>
  <c r="N1380"/>
  <c r="A1381"/>
  <c r="C1381"/>
  <c r="D1381"/>
  <c r="E1381"/>
  <c r="F1381"/>
  <c r="G1381"/>
  <c r="H1381"/>
  <c r="I1381"/>
  <c r="J1381"/>
  <c r="N1381"/>
  <c r="A1382"/>
  <c r="C1382"/>
  <c r="D1382"/>
  <c r="E1382"/>
  <c r="F1382"/>
  <c r="G1382"/>
  <c r="H1382"/>
  <c r="I1382"/>
  <c r="J1382"/>
  <c r="N1382"/>
  <c r="A1383"/>
  <c r="C1383"/>
  <c r="D1383"/>
  <c r="E1383"/>
  <c r="F1383"/>
  <c r="G1383"/>
  <c r="H1383"/>
  <c r="I1383"/>
  <c r="J1383"/>
  <c r="N1383"/>
  <c r="A1384"/>
  <c r="C1384"/>
  <c r="D1384"/>
  <c r="E1384"/>
  <c r="F1384"/>
  <c r="G1384"/>
  <c r="H1384"/>
  <c r="I1384"/>
  <c r="J1384"/>
  <c r="N1384"/>
  <c r="A1385"/>
  <c r="C1385"/>
  <c r="D1385"/>
  <c r="E1385"/>
  <c r="F1385"/>
  <c r="G1385"/>
  <c r="H1385"/>
  <c r="I1385"/>
  <c r="J1385"/>
  <c r="M1385"/>
  <c r="N1385"/>
  <c r="A1386"/>
  <c r="C1386"/>
  <c r="D1386"/>
  <c r="E1386"/>
  <c r="F1386"/>
  <c r="G1386"/>
  <c r="H1386"/>
  <c r="I1386"/>
  <c r="J1386"/>
  <c r="M1386"/>
  <c r="N1386"/>
  <c r="A1387"/>
  <c r="C1387"/>
  <c r="D1387"/>
  <c r="E1387"/>
  <c r="F1387"/>
  <c r="G1387"/>
  <c r="H1387"/>
  <c r="I1387"/>
  <c r="J1387"/>
  <c r="N1387"/>
  <c r="A1388"/>
  <c r="B1388"/>
  <c r="C1388"/>
  <c r="D1388"/>
  <c r="E1388"/>
  <c r="F1388"/>
  <c r="G1388"/>
  <c r="H1388"/>
  <c r="I1388"/>
  <c r="J1388"/>
  <c r="K1388"/>
  <c r="L1388"/>
  <c r="N1388"/>
  <c r="A1389"/>
  <c r="B1389"/>
  <c r="C1389"/>
  <c r="D1389"/>
  <c r="E1389"/>
  <c r="F1389"/>
  <c r="G1389"/>
  <c r="H1389"/>
  <c r="I1389"/>
  <c r="J1389"/>
  <c r="K1389"/>
  <c r="L1389"/>
  <c r="N1389"/>
  <c r="A1390"/>
  <c r="B1390"/>
  <c r="C1390"/>
  <c r="D1390"/>
  <c r="E1390"/>
  <c r="F1390"/>
  <c r="G1390"/>
  <c r="H1390"/>
  <c r="I1390"/>
  <c r="J1390"/>
  <c r="K1390"/>
  <c r="L1390"/>
  <c r="N1390"/>
  <c r="A1391"/>
  <c r="B1391"/>
  <c r="C1391"/>
  <c r="D1391"/>
  <c r="E1391"/>
  <c r="F1391"/>
  <c r="G1391"/>
  <c r="H1391"/>
  <c r="I1391"/>
  <c r="J1391"/>
  <c r="K1391"/>
  <c r="L1391"/>
  <c r="N1391"/>
  <c r="A1392"/>
  <c r="B1392"/>
  <c r="C1392"/>
  <c r="D1392"/>
  <c r="E1392"/>
  <c r="F1392"/>
  <c r="G1392"/>
  <c r="H1392"/>
  <c r="I1392"/>
  <c r="J1392"/>
  <c r="K1392"/>
  <c r="L1392"/>
  <c r="N1392"/>
  <c r="A1393"/>
  <c r="B1393"/>
  <c r="C1393"/>
  <c r="D1393"/>
  <c r="E1393"/>
  <c r="F1393"/>
  <c r="G1393"/>
  <c r="H1393"/>
  <c r="I1393"/>
  <c r="J1393"/>
  <c r="K1393"/>
  <c r="L1393"/>
  <c r="N1393"/>
  <c r="A1394"/>
  <c r="B1394"/>
  <c r="C1394"/>
  <c r="D1394"/>
  <c r="E1394"/>
  <c r="F1394"/>
  <c r="G1394"/>
  <c r="H1394"/>
  <c r="I1394"/>
  <c r="J1394"/>
  <c r="K1394"/>
  <c r="L1394"/>
  <c r="N1394"/>
  <c r="A1395"/>
  <c r="B1395"/>
  <c r="C1395"/>
  <c r="D1395"/>
  <c r="E1395"/>
  <c r="F1395"/>
  <c r="G1395"/>
  <c r="H1395"/>
  <c r="I1395"/>
  <c r="J1395"/>
  <c r="K1395"/>
  <c r="L1395"/>
  <c r="N1395"/>
  <c r="A1396"/>
  <c r="B1396"/>
  <c r="C1396"/>
  <c r="D1396"/>
  <c r="E1396"/>
  <c r="F1396"/>
  <c r="G1396"/>
  <c r="H1396"/>
  <c r="I1396"/>
  <c r="J1396"/>
  <c r="K1396"/>
  <c r="L1396"/>
  <c r="N1396"/>
  <c r="A1397"/>
  <c r="B1397"/>
  <c r="C1397"/>
  <c r="D1397"/>
  <c r="E1397"/>
  <c r="F1397"/>
  <c r="G1397"/>
  <c r="H1397"/>
  <c r="I1397"/>
  <c r="J1397"/>
  <c r="K1397"/>
  <c r="L1397"/>
  <c r="N1397"/>
  <c r="A1398"/>
  <c r="B1398"/>
  <c r="C1398"/>
  <c r="D1398"/>
  <c r="E1398"/>
  <c r="F1398"/>
  <c r="G1398"/>
  <c r="H1398"/>
  <c r="I1398"/>
  <c r="J1398"/>
  <c r="K1398"/>
  <c r="L1398"/>
  <c r="N1398"/>
  <c r="A1399"/>
  <c r="B1399"/>
  <c r="C1399"/>
  <c r="D1399"/>
  <c r="E1399"/>
  <c r="F1399"/>
  <c r="G1399"/>
  <c r="H1399"/>
  <c r="I1399"/>
  <c r="J1399"/>
  <c r="K1399"/>
  <c r="L1399"/>
  <c r="N1399"/>
  <c r="A1400"/>
  <c r="B1400"/>
  <c r="C1400"/>
  <c r="D1400"/>
  <c r="E1400"/>
  <c r="F1400"/>
  <c r="G1400"/>
  <c r="H1400"/>
  <c r="I1400"/>
  <c r="J1400"/>
  <c r="K1400"/>
  <c r="L1400"/>
  <c r="N1400"/>
  <c r="A1401"/>
  <c r="B1401"/>
  <c r="C1401"/>
  <c r="D1401"/>
  <c r="E1401"/>
  <c r="F1401"/>
  <c r="G1401"/>
  <c r="H1401"/>
  <c r="I1401"/>
  <c r="J1401"/>
  <c r="K1401"/>
  <c r="L1401"/>
  <c r="N1401"/>
  <c r="A1402"/>
  <c r="B1402"/>
  <c r="C1402"/>
  <c r="D1402"/>
  <c r="E1402"/>
  <c r="F1402"/>
  <c r="G1402"/>
  <c r="H1402"/>
  <c r="I1402"/>
  <c r="J1402"/>
  <c r="K1402"/>
  <c r="L1402"/>
  <c r="N1402"/>
  <c r="A1403"/>
  <c r="B1403"/>
  <c r="C1403"/>
  <c r="D1403"/>
  <c r="E1403"/>
  <c r="F1403"/>
  <c r="G1403"/>
  <c r="H1403"/>
  <c r="I1403"/>
  <c r="J1403"/>
  <c r="K1403"/>
  <c r="L1403"/>
  <c r="N1403"/>
  <c r="A1404"/>
  <c r="B1404"/>
  <c r="C1404"/>
  <c r="D1404"/>
  <c r="E1404"/>
  <c r="F1404"/>
  <c r="G1404"/>
  <c r="H1404"/>
  <c r="I1404"/>
  <c r="J1404"/>
  <c r="K1404"/>
  <c r="L1404"/>
  <c r="N1404"/>
  <c r="A1405"/>
  <c r="B1405"/>
  <c r="C1405"/>
  <c r="D1405"/>
  <c r="E1405"/>
  <c r="F1405"/>
  <c r="G1405"/>
  <c r="H1405"/>
  <c r="I1405"/>
  <c r="J1405"/>
  <c r="K1405"/>
  <c r="L1405"/>
  <c r="N1405"/>
  <c r="A1406"/>
  <c r="B1406"/>
  <c r="C1406"/>
  <c r="D1406"/>
  <c r="E1406"/>
  <c r="F1406"/>
  <c r="G1406"/>
  <c r="H1406"/>
  <c r="I1406"/>
  <c r="J1406"/>
  <c r="K1406"/>
  <c r="L1406"/>
  <c r="N1406"/>
  <c r="A1407"/>
  <c r="B1407"/>
  <c r="C1407"/>
  <c r="D1407"/>
  <c r="E1407"/>
  <c r="F1407"/>
  <c r="G1407"/>
  <c r="H1407"/>
  <c r="I1407"/>
  <c r="J1407"/>
  <c r="K1407"/>
  <c r="L1407"/>
  <c r="M1407"/>
  <c r="N1407"/>
  <c r="A1408"/>
  <c r="B1408"/>
  <c r="C1408"/>
  <c r="D1408"/>
  <c r="E1408"/>
  <c r="F1408"/>
  <c r="G1408"/>
  <c r="H1408"/>
  <c r="I1408"/>
  <c r="J1408"/>
  <c r="K1408"/>
  <c r="L1408"/>
  <c r="N1408"/>
  <c r="A1409"/>
  <c r="B1409"/>
  <c r="C1409"/>
  <c r="D1409"/>
  <c r="E1409"/>
  <c r="F1409"/>
  <c r="G1409"/>
  <c r="H1409"/>
  <c r="I1409"/>
  <c r="J1409"/>
  <c r="K1409"/>
  <c r="L1409"/>
  <c r="N1409"/>
  <c r="A1410"/>
  <c r="B1410"/>
  <c r="C1410"/>
  <c r="D1410"/>
  <c r="E1410"/>
  <c r="F1410"/>
  <c r="G1410"/>
  <c r="H1410"/>
  <c r="I1410"/>
  <c r="J1410"/>
  <c r="K1410"/>
  <c r="L1410"/>
  <c r="N1410"/>
  <c r="A1411"/>
  <c r="B1411"/>
  <c r="C1411"/>
  <c r="D1411"/>
  <c r="E1411"/>
  <c r="F1411"/>
  <c r="G1411"/>
  <c r="H1411"/>
  <c r="I1411"/>
  <c r="J1411"/>
  <c r="K1411"/>
  <c r="L1411"/>
  <c r="N1411"/>
  <c r="A1412"/>
  <c r="B1412"/>
  <c r="C1412"/>
  <c r="D1412"/>
  <c r="E1412"/>
  <c r="F1412"/>
  <c r="G1412"/>
  <c r="H1412"/>
  <c r="I1412"/>
  <c r="J1412"/>
  <c r="K1412"/>
  <c r="L1412"/>
  <c r="N1412"/>
  <c r="A1413"/>
  <c r="B1413"/>
  <c r="C1413"/>
  <c r="D1413"/>
  <c r="E1413"/>
  <c r="F1413"/>
  <c r="G1413"/>
  <c r="H1413"/>
  <c r="I1413"/>
  <c r="J1413"/>
  <c r="K1413"/>
  <c r="L1413"/>
  <c r="N1413"/>
  <c r="A1414"/>
  <c r="B1414"/>
  <c r="C1414"/>
  <c r="D1414"/>
  <c r="E1414"/>
  <c r="F1414"/>
  <c r="G1414"/>
  <c r="H1414"/>
  <c r="I1414"/>
  <c r="J1414"/>
  <c r="K1414"/>
  <c r="L1414"/>
  <c r="N1414"/>
  <c r="A1415"/>
  <c r="B1415"/>
  <c r="C1415"/>
  <c r="D1415"/>
  <c r="E1415"/>
  <c r="F1415"/>
  <c r="G1415"/>
  <c r="H1415"/>
  <c r="I1415"/>
  <c r="J1415"/>
  <c r="K1415"/>
  <c r="L1415"/>
  <c r="N1415"/>
  <c r="A1416"/>
  <c r="B1416"/>
  <c r="C1416"/>
  <c r="D1416"/>
  <c r="E1416"/>
  <c r="F1416"/>
  <c r="G1416"/>
  <c r="H1416"/>
  <c r="I1416"/>
  <c r="J1416"/>
  <c r="K1416"/>
  <c r="L1416"/>
  <c r="N1416"/>
  <c r="A1417"/>
  <c r="B1417"/>
  <c r="C1417"/>
  <c r="D1417"/>
  <c r="E1417"/>
  <c r="F1417"/>
  <c r="G1417"/>
  <c r="H1417"/>
  <c r="I1417"/>
  <c r="J1417"/>
  <c r="K1417"/>
  <c r="L1417"/>
  <c r="N1417"/>
  <c r="A1418"/>
  <c r="B1418"/>
  <c r="C1418"/>
  <c r="D1418"/>
  <c r="E1418"/>
  <c r="F1418"/>
  <c r="G1418"/>
  <c r="H1418"/>
  <c r="I1418"/>
  <c r="J1418"/>
  <c r="K1418"/>
  <c r="L1418"/>
  <c r="N1418"/>
  <c r="A1419"/>
  <c r="B1419"/>
  <c r="C1419"/>
  <c r="D1419"/>
  <c r="E1419"/>
  <c r="F1419"/>
  <c r="G1419"/>
  <c r="H1419"/>
  <c r="I1419"/>
  <c r="J1419"/>
  <c r="K1419"/>
  <c r="L1419"/>
  <c r="N1419"/>
  <c r="A1420"/>
  <c r="B1420"/>
  <c r="C1420"/>
  <c r="D1420"/>
  <c r="E1420"/>
  <c r="F1420"/>
  <c r="G1420"/>
  <c r="H1420"/>
  <c r="I1420"/>
  <c r="J1420"/>
  <c r="K1420"/>
  <c r="L1420"/>
  <c r="N1420"/>
  <c r="A1421"/>
  <c r="B1421"/>
  <c r="C1421"/>
  <c r="D1421"/>
  <c r="E1421"/>
  <c r="F1421"/>
  <c r="G1421"/>
  <c r="H1421"/>
  <c r="I1421"/>
  <c r="J1421"/>
  <c r="K1421"/>
  <c r="L1421"/>
  <c r="N1421"/>
  <c r="A1422"/>
  <c r="B1422"/>
  <c r="C1422"/>
  <c r="D1422"/>
  <c r="E1422"/>
  <c r="F1422"/>
  <c r="G1422"/>
  <c r="H1422"/>
  <c r="I1422"/>
  <c r="J1422"/>
  <c r="K1422"/>
  <c r="L1422"/>
  <c r="N1422"/>
  <c r="A1423"/>
  <c r="B1423"/>
  <c r="C1423"/>
  <c r="D1423"/>
  <c r="E1423"/>
  <c r="F1423"/>
  <c r="G1423"/>
  <c r="H1423"/>
  <c r="I1423"/>
  <c r="J1423"/>
  <c r="K1423"/>
  <c r="L1423"/>
  <c r="N1423"/>
  <c r="A1424"/>
  <c r="B1424"/>
  <c r="C1424"/>
  <c r="D1424"/>
  <c r="E1424"/>
  <c r="F1424"/>
  <c r="G1424"/>
  <c r="H1424"/>
  <c r="I1424"/>
  <c r="J1424"/>
  <c r="K1424"/>
  <c r="L1424"/>
  <c r="N1424"/>
  <c r="A1425"/>
  <c r="B1425"/>
  <c r="C1425"/>
  <c r="D1425"/>
  <c r="E1425"/>
  <c r="F1425"/>
  <c r="G1425"/>
  <c r="H1425"/>
  <c r="I1425"/>
  <c r="J1425"/>
  <c r="K1425"/>
  <c r="L1425"/>
  <c r="N1425"/>
  <c r="A1426"/>
  <c r="B1426"/>
  <c r="C1426"/>
  <c r="D1426"/>
  <c r="E1426"/>
  <c r="F1426"/>
  <c r="G1426"/>
  <c r="H1426"/>
  <c r="I1426"/>
  <c r="J1426"/>
  <c r="K1426"/>
  <c r="L1426"/>
  <c r="N1426"/>
  <c r="A1427"/>
  <c r="B1427"/>
  <c r="C1427"/>
  <c r="D1427"/>
  <c r="E1427"/>
  <c r="F1427"/>
  <c r="G1427"/>
  <c r="H1427"/>
  <c r="I1427"/>
  <c r="J1427"/>
  <c r="K1427"/>
  <c r="L1427"/>
  <c r="N1427"/>
  <c r="A1428"/>
  <c r="B1428"/>
  <c r="C1428"/>
  <c r="D1428"/>
  <c r="E1428"/>
  <c r="F1428"/>
  <c r="G1428"/>
  <c r="H1428"/>
  <c r="I1428"/>
  <c r="J1428"/>
  <c r="K1428"/>
  <c r="L1428"/>
  <c r="N1428"/>
  <c r="A1429"/>
  <c r="B1429"/>
  <c r="C1429"/>
  <c r="D1429"/>
  <c r="E1429"/>
  <c r="F1429"/>
  <c r="G1429"/>
  <c r="H1429"/>
  <c r="I1429"/>
  <c r="J1429"/>
  <c r="K1429"/>
  <c r="L1429"/>
  <c r="N1429"/>
  <c r="A1430"/>
  <c r="B1430"/>
  <c r="C1430"/>
  <c r="D1430"/>
  <c r="E1430"/>
  <c r="F1430"/>
  <c r="G1430"/>
  <c r="H1430"/>
  <c r="I1430"/>
  <c r="J1430"/>
  <c r="K1430"/>
  <c r="L1430"/>
  <c r="N1430"/>
  <c r="A1431"/>
  <c r="B1431"/>
  <c r="C1431"/>
  <c r="D1431"/>
  <c r="E1431"/>
  <c r="F1431"/>
  <c r="G1431"/>
  <c r="H1431"/>
  <c r="I1431"/>
  <c r="J1431"/>
  <c r="K1431"/>
  <c r="L1431"/>
  <c r="N1431"/>
  <c r="A1432"/>
  <c r="B1432"/>
  <c r="C1432"/>
  <c r="D1432"/>
  <c r="E1432"/>
  <c r="F1432"/>
  <c r="G1432"/>
  <c r="H1432"/>
  <c r="I1432"/>
  <c r="J1432"/>
  <c r="K1432"/>
  <c r="L1432"/>
  <c r="N1432"/>
  <c r="A1433"/>
  <c r="B1433"/>
  <c r="C1433"/>
  <c r="D1433"/>
  <c r="E1433"/>
  <c r="F1433"/>
  <c r="G1433"/>
  <c r="H1433"/>
  <c r="I1433"/>
  <c r="J1433"/>
  <c r="K1433"/>
  <c r="L1433"/>
  <c r="N1433"/>
  <c r="A1434"/>
  <c r="B1434"/>
  <c r="C1434"/>
  <c r="D1434"/>
  <c r="E1434"/>
  <c r="F1434"/>
  <c r="G1434"/>
  <c r="H1434"/>
  <c r="I1434"/>
  <c r="J1434"/>
  <c r="K1434"/>
  <c r="L1434"/>
  <c r="N1434"/>
  <c r="A1435"/>
  <c r="B1435"/>
  <c r="C1435"/>
  <c r="D1435"/>
  <c r="E1435"/>
  <c r="F1435"/>
  <c r="G1435"/>
  <c r="H1435"/>
  <c r="I1435"/>
  <c r="J1435"/>
  <c r="K1435"/>
  <c r="L1435"/>
  <c r="N1435"/>
  <c r="A1436"/>
  <c r="B1436"/>
  <c r="C1436"/>
  <c r="D1436"/>
  <c r="E1436"/>
  <c r="F1436"/>
  <c r="G1436"/>
  <c r="H1436"/>
  <c r="I1436"/>
  <c r="J1436"/>
  <c r="K1436"/>
  <c r="L1436"/>
  <c r="N1436"/>
  <c r="A1437"/>
  <c r="B1437"/>
  <c r="C1437"/>
  <c r="D1437"/>
  <c r="E1437"/>
  <c r="F1437"/>
  <c r="G1437"/>
  <c r="H1437"/>
  <c r="I1437"/>
  <c r="J1437"/>
  <c r="K1437"/>
  <c r="L1437"/>
  <c r="N1437"/>
  <c r="A1438"/>
  <c r="B1438"/>
  <c r="C1438"/>
  <c r="D1438"/>
  <c r="E1438"/>
  <c r="F1438"/>
  <c r="G1438"/>
  <c r="H1438"/>
  <c r="I1438"/>
  <c r="J1438"/>
  <c r="K1438"/>
  <c r="L1438"/>
  <c r="N1438"/>
  <c r="A1439"/>
  <c r="B1439"/>
  <c r="C1439"/>
  <c r="D1439"/>
  <c r="E1439"/>
  <c r="F1439"/>
  <c r="G1439"/>
  <c r="H1439"/>
  <c r="I1439"/>
  <c r="J1439"/>
  <c r="K1439"/>
  <c r="L1439"/>
  <c r="M1439"/>
  <c r="N1439"/>
  <c r="A1440"/>
  <c r="B1440"/>
  <c r="C1440"/>
  <c r="D1440"/>
  <c r="E1440"/>
  <c r="F1440"/>
  <c r="G1440"/>
  <c r="H1440"/>
  <c r="I1440"/>
  <c r="J1440"/>
  <c r="K1440"/>
  <c r="L1440"/>
  <c r="N1440"/>
  <c r="A1441"/>
  <c r="B1441"/>
  <c r="C1441"/>
  <c r="D1441"/>
  <c r="E1441"/>
  <c r="F1441"/>
  <c r="G1441"/>
  <c r="H1441"/>
  <c r="I1441"/>
  <c r="J1441"/>
  <c r="K1441"/>
  <c r="L1441"/>
  <c r="N1441"/>
  <c r="A1442"/>
  <c r="B1442"/>
  <c r="C1442"/>
  <c r="D1442"/>
  <c r="E1442"/>
  <c r="F1442"/>
  <c r="G1442"/>
  <c r="H1442"/>
  <c r="I1442"/>
  <c r="J1442"/>
  <c r="K1442"/>
  <c r="L1442"/>
  <c r="N1442"/>
  <c r="A1443"/>
  <c r="B1443"/>
  <c r="C1443"/>
  <c r="D1443"/>
  <c r="E1443"/>
  <c r="F1443"/>
  <c r="G1443"/>
  <c r="H1443"/>
  <c r="I1443"/>
  <c r="J1443"/>
  <c r="K1443"/>
  <c r="L1443"/>
  <c r="N1443"/>
  <c r="A1444"/>
  <c r="B1444"/>
  <c r="C1444"/>
  <c r="D1444"/>
  <c r="E1444"/>
  <c r="F1444"/>
  <c r="G1444"/>
  <c r="H1444"/>
  <c r="I1444"/>
  <c r="J1444"/>
  <c r="K1444"/>
  <c r="L1444"/>
  <c r="N1444"/>
  <c r="A1445"/>
  <c r="B1445"/>
  <c r="C1445"/>
  <c r="D1445"/>
  <c r="E1445"/>
  <c r="F1445"/>
  <c r="G1445"/>
  <c r="H1445"/>
  <c r="I1445"/>
  <c r="J1445"/>
  <c r="K1445"/>
  <c r="L1445"/>
  <c r="N1445"/>
  <c r="A1446"/>
  <c r="B1446"/>
  <c r="C1446"/>
  <c r="D1446"/>
  <c r="E1446"/>
  <c r="F1446"/>
  <c r="G1446"/>
  <c r="H1446"/>
  <c r="I1446"/>
  <c r="J1446"/>
  <c r="K1446"/>
  <c r="L1446"/>
  <c r="N1446"/>
  <c r="A1447"/>
  <c r="B1447"/>
  <c r="C1447"/>
  <c r="D1447"/>
  <c r="E1447"/>
  <c r="F1447"/>
  <c r="G1447"/>
  <c r="H1447"/>
  <c r="I1447"/>
  <c r="J1447"/>
  <c r="K1447"/>
  <c r="L1447"/>
  <c r="N1447"/>
  <c r="A1448"/>
  <c r="B1448"/>
  <c r="C1448"/>
  <c r="D1448"/>
  <c r="E1448"/>
  <c r="F1448"/>
  <c r="G1448"/>
  <c r="H1448"/>
  <c r="I1448"/>
  <c r="J1448"/>
  <c r="K1448"/>
  <c r="L1448"/>
  <c r="N1448"/>
  <c r="A1449"/>
  <c r="B1449"/>
  <c r="C1449"/>
  <c r="D1449"/>
  <c r="E1449"/>
  <c r="F1449"/>
  <c r="G1449"/>
  <c r="H1449"/>
  <c r="I1449"/>
  <c r="J1449"/>
  <c r="K1449"/>
  <c r="L1449"/>
  <c r="N1449"/>
  <c r="A1450"/>
  <c r="B1450"/>
  <c r="C1450"/>
  <c r="D1450"/>
  <c r="E1450"/>
  <c r="F1450"/>
  <c r="G1450"/>
  <c r="H1450"/>
  <c r="I1450"/>
  <c r="J1450"/>
  <c r="K1450"/>
  <c r="L1450"/>
  <c r="N1450"/>
  <c r="A1451"/>
  <c r="B1451"/>
  <c r="C1451"/>
  <c r="D1451"/>
  <c r="E1451"/>
  <c r="F1451"/>
  <c r="G1451"/>
  <c r="H1451"/>
  <c r="I1451"/>
  <c r="J1451"/>
  <c r="K1451"/>
  <c r="L1451"/>
  <c r="N1451"/>
  <c r="A1452"/>
  <c r="B1452"/>
  <c r="C1452"/>
  <c r="D1452"/>
  <c r="E1452"/>
  <c r="F1452"/>
  <c r="G1452"/>
  <c r="H1452"/>
  <c r="I1452"/>
  <c r="J1452"/>
  <c r="K1452"/>
  <c r="L1452"/>
  <c r="N1452"/>
  <c r="A1453"/>
  <c r="B1453"/>
  <c r="C1453"/>
  <c r="D1453"/>
  <c r="E1453"/>
  <c r="F1453"/>
  <c r="G1453"/>
  <c r="H1453"/>
  <c r="I1453"/>
  <c r="J1453"/>
  <c r="K1453"/>
  <c r="L1453"/>
  <c r="N1453"/>
  <c r="A1454"/>
  <c r="B1454"/>
  <c r="C1454"/>
  <c r="D1454"/>
  <c r="E1454"/>
  <c r="F1454"/>
  <c r="G1454"/>
  <c r="H1454"/>
  <c r="I1454"/>
  <c r="J1454"/>
  <c r="K1454"/>
  <c r="L1454"/>
  <c r="N1454"/>
  <c r="A1455"/>
  <c r="B1455"/>
  <c r="C1455"/>
  <c r="D1455"/>
  <c r="E1455"/>
  <c r="F1455"/>
  <c r="G1455"/>
  <c r="H1455"/>
  <c r="I1455"/>
  <c r="J1455"/>
  <c r="K1455"/>
  <c r="L1455"/>
  <c r="M1455"/>
  <c r="N1455"/>
  <c r="A1456"/>
  <c r="B1456"/>
  <c r="C1456"/>
  <c r="D1456"/>
  <c r="E1456"/>
  <c r="F1456"/>
  <c r="G1456"/>
  <c r="H1456"/>
  <c r="I1456"/>
  <c r="J1456"/>
  <c r="K1456"/>
  <c r="L1456"/>
  <c r="N1456"/>
  <c r="A1457"/>
  <c r="B1457"/>
  <c r="C1457"/>
  <c r="D1457"/>
  <c r="E1457"/>
  <c r="F1457"/>
  <c r="G1457"/>
  <c r="H1457"/>
  <c r="I1457"/>
  <c r="J1457"/>
  <c r="K1457"/>
  <c r="L1457"/>
  <c r="N1457"/>
  <c r="A1458"/>
  <c r="B1458"/>
  <c r="C1458"/>
  <c r="D1458"/>
  <c r="E1458"/>
  <c r="F1458"/>
  <c r="G1458"/>
  <c r="H1458"/>
  <c r="I1458"/>
  <c r="J1458"/>
  <c r="K1458"/>
  <c r="L1458"/>
  <c r="N1458"/>
  <c r="A1459"/>
  <c r="B1459"/>
  <c r="C1459"/>
  <c r="D1459"/>
  <c r="E1459"/>
  <c r="F1459"/>
  <c r="G1459"/>
  <c r="H1459"/>
  <c r="I1459"/>
  <c r="J1459"/>
  <c r="K1459"/>
  <c r="L1459"/>
  <c r="N1459"/>
  <c r="A1460"/>
  <c r="B1460"/>
  <c r="C1460"/>
  <c r="D1460"/>
  <c r="E1460"/>
  <c r="F1460"/>
  <c r="G1460"/>
  <c r="H1460"/>
  <c r="I1460"/>
  <c r="J1460"/>
  <c r="K1460"/>
  <c r="L1460"/>
  <c r="N1460"/>
  <c r="A1461"/>
  <c r="B1461"/>
  <c r="C1461"/>
  <c r="D1461"/>
  <c r="E1461"/>
  <c r="F1461"/>
  <c r="G1461"/>
  <c r="H1461"/>
  <c r="I1461"/>
  <c r="J1461"/>
  <c r="K1461"/>
  <c r="L1461"/>
  <c r="N1461"/>
  <c r="A1462"/>
  <c r="B1462"/>
  <c r="C1462"/>
  <c r="D1462"/>
  <c r="E1462"/>
  <c r="F1462"/>
  <c r="G1462"/>
  <c r="H1462"/>
  <c r="I1462"/>
  <c r="J1462"/>
  <c r="K1462"/>
  <c r="L1462"/>
  <c r="N1462"/>
  <c r="A1463"/>
  <c r="B1463"/>
  <c r="C1463"/>
  <c r="D1463"/>
  <c r="E1463"/>
  <c r="F1463"/>
  <c r="G1463"/>
  <c r="H1463"/>
  <c r="I1463"/>
  <c r="J1463"/>
  <c r="K1463"/>
  <c r="L1463"/>
  <c r="N1463"/>
  <c r="A1464"/>
  <c r="B1464"/>
  <c r="C1464"/>
  <c r="D1464"/>
  <c r="E1464"/>
  <c r="F1464"/>
  <c r="G1464"/>
  <c r="H1464"/>
  <c r="I1464"/>
  <c r="J1464"/>
  <c r="K1464"/>
  <c r="L1464"/>
  <c r="N1464"/>
  <c r="A1465"/>
  <c r="B1465"/>
  <c r="C1465"/>
  <c r="D1465"/>
  <c r="E1465"/>
  <c r="F1465"/>
  <c r="G1465"/>
  <c r="H1465"/>
  <c r="I1465"/>
  <c r="J1465"/>
  <c r="K1465"/>
  <c r="L1465"/>
  <c r="N1465"/>
  <c r="A1466"/>
  <c r="B1466"/>
  <c r="C1466"/>
  <c r="D1466"/>
  <c r="E1466"/>
  <c r="F1466"/>
  <c r="G1466"/>
  <c r="H1466"/>
  <c r="I1466"/>
  <c r="J1466"/>
  <c r="K1466"/>
  <c r="L1466"/>
  <c r="N1466"/>
  <c r="A1467"/>
  <c r="B1467"/>
  <c r="C1467"/>
  <c r="D1467"/>
  <c r="E1467"/>
  <c r="F1467"/>
  <c r="G1467"/>
  <c r="H1467"/>
  <c r="I1467"/>
  <c r="J1467"/>
  <c r="K1467"/>
  <c r="L1467"/>
  <c r="N1467"/>
  <c r="A1468"/>
  <c r="B1468"/>
  <c r="C1468"/>
  <c r="D1468"/>
  <c r="E1468"/>
  <c r="F1468"/>
  <c r="G1468"/>
  <c r="H1468"/>
  <c r="I1468"/>
  <c r="J1468"/>
  <c r="K1468"/>
  <c r="L1468"/>
  <c r="N1468"/>
  <c r="A1469"/>
  <c r="B1469"/>
  <c r="C1469"/>
  <c r="D1469"/>
  <c r="E1469"/>
  <c r="F1469"/>
  <c r="G1469"/>
  <c r="H1469"/>
  <c r="I1469"/>
  <c r="J1469"/>
  <c r="K1469"/>
  <c r="L1469"/>
  <c r="N1469"/>
  <c r="A1470"/>
  <c r="B1470"/>
  <c r="C1470"/>
  <c r="D1470"/>
  <c r="E1470"/>
  <c r="F1470"/>
  <c r="G1470"/>
  <c r="H1470"/>
  <c r="I1470"/>
  <c r="J1470"/>
  <c r="K1470"/>
  <c r="L1470"/>
  <c r="N1470"/>
  <c r="A1471"/>
  <c r="B1471"/>
  <c r="C1471"/>
  <c r="D1471"/>
  <c r="E1471"/>
  <c r="F1471"/>
  <c r="G1471"/>
  <c r="H1471"/>
  <c r="I1471"/>
  <c r="J1471"/>
  <c r="K1471"/>
  <c r="L1471"/>
  <c r="M1471"/>
  <c r="N1471"/>
  <c r="A1472"/>
  <c r="B1472"/>
  <c r="C1472"/>
  <c r="D1472"/>
  <c r="E1472"/>
  <c r="F1472"/>
  <c r="G1472"/>
  <c r="H1472"/>
  <c r="I1472"/>
  <c r="J1472"/>
  <c r="K1472"/>
  <c r="L1472"/>
  <c r="N1472"/>
  <c r="A1473"/>
  <c r="B1473"/>
  <c r="C1473"/>
  <c r="D1473"/>
  <c r="E1473"/>
  <c r="F1473"/>
  <c r="G1473"/>
  <c r="H1473"/>
  <c r="I1473"/>
  <c r="J1473"/>
  <c r="K1473"/>
  <c r="L1473"/>
  <c r="N1473"/>
  <c r="A1474"/>
  <c r="B1474"/>
  <c r="C1474"/>
  <c r="D1474"/>
  <c r="E1474"/>
  <c r="F1474"/>
  <c r="G1474"/>
  <c r="H1474"/>
  <c r="I1474"/>
  <c r="J1474"/>
  <c r="K1474"/>
  <c r="L1474"/>
  <c r="N1474"/>
  <c r="A1475"/>
  <c r="B1475"/>
  <c r="C1475"/>
  <c r="D1475"/>
  <c r="E1475"/>
  <c r="F1475"/>
  <c r="G1475"/>
  <c r="H1475"/>
  <c r="I1475"/>
  <c r="J1475"/>
  <c r="K1475"/>
  <c r="L1475"/>
  <c r="N1475"/>
  <c r="A1476"/>
  <c r="B1476"/>
  <c r="C1476"/>
  <c r="D1476"/>
  <c r="E1476"/>
  <c r="F1476"/>
  <c r="G1476"/>
  <c r="H1476"/>
  <c r="I1476"/>
  <c r="J1476"/>
  <c r="K1476"/>
  <c r="L1476"/>
  <c r="N1476"/>
  <c r="A1477"/>
  <c r="B1477"/>
  <c r="C1477"/>
  <c r="D1477"/>
  <c r="E1477"/>
  <c r="F1477"/>
  <c r="G1477"/>
  <c r="H1477"/>
  <c r="I1477"/>
  <c r="J1477"/>
  <c r="K1477"/>
  <c r="L1477"/>
  <c r="N1477"/>
  <c r="A1478"/>
  <c r="B1478"/>
  <c r="C1478"/>
  <c r="D1478"/>
  <c r="E1478"/>
  <c r="F1478"/>
  <c r="G1478"/>
  <c r="H1478"/>
  <c r="I1478"/>
  <c r="J1478"/>
  <c r="K1478"/>
  <c r="L1478"/>
  <c r="N1478"/>
  <c r="A1479"/>
  <c r="B1479"/>
  <c r="C1479"/>
  <c r="D1479"/>
  <c r="E1479"/>
  <c r="F1479"/>
  <c r="G1479"/>
  <c r="H1479"/>
  <c r="I1479"/>
  <c r="J1479"/>
  <c r="K1479"/>
  <c r="L1479"/>
  <c r="N1479"/>
  <c r="A1480"/>
  <c r="B1480"/>
  <c r="C1480"/>
  <c r="D1480"/>
  <c r="E1480"/>
  <c r="F1480"/>
  <c r="G1480"/>
  <c r="H1480"/>
  <c r="I1480"/>
  <c r="J1480"/>
  <c r="K1480"/>
  <c r="L1480"/>
  <c r="N1480"/>
  <c r="A1481"/>
  <c r="B1481"/>
  <c r="C1481"/>
  <c r="D1481"/>
  <c r="E1481"/>
  <c r="F1481"/>
  <c r="G1481"/>
  <c r="H1481"/>
  <c r="I1481"/>
  <c r="J1481"/>
  <c r="K1481"/>
  <c r="L1481"/>
  <c r="N1481"/>
  <c r="A1482"/>
  <c r="B1482"/>
  <c r="C1482"/>
  <c r="D1482"/>
  <c r="E1482"/>
  <c r="F1482"/>
  <c r="G1482"/>
  <c r="H1482"/>
  <c r="I1482"/>
  <c r="J1482"/>
  <c r="K1482"/>
  <c r="L1482"/>
  <c r="N1482"/>
  <c r="A1483"/>
  <c r="B1483"/>
  <c r="C1483"/>
  <c r="D1483"/>
  <c r="E1483"/>
  <c r="F1483"/>
  <c r="G1483"/>
  <c r="H1483"/>
  <c r="I1483"/>
  <c r="J1483"/>
  <c r="K1483"/>
  <c r="L1483"/>
  <c r="N1483"/>
  <c r="A1484"/>
  <c r="B1484"/>
  <c r="C1484"/>
  <c r="D1484"/>
  <c r="E1484"/>
  <c r="F1484"/>
  <c r="G1484"/>
  <c r="H1484"/>
  <c r="I1484"/>
  <c r="J1484"/>
  <c r="K1484"/>
  <c r="L1484"/>
  <c r="N1484"/>
  <c r="A1485"/>
  <c r="B1485"/>
  <c r="C1485"/>
  <c r="D1485"/>
  <c r="E1485"/>
  <c r="F1485"/>
  <c r="G1485"/>
  <c r="H1485"/>
  <c r="I1485"/>
  <c r="J1485"/>
  <c r="K1485"/>
  <c r="L1485"/>
  <c r="N1485"/>
  <c r="A1486"/>
  <c r="B1486"/>
  <c r="C1486"/>
  <c r="D1486"/>
  <c r="E1486"/>
  <c r="F1486"/>
  <c r="G1486"/>
  <c r="H1486"/>
  <c r="I1486"/>
  <c r="J1486"/>
  <c r="K1486"/>
  <c r="L1486"/>
  <c r="N1486"/>
  <c r="A1487"/>
  <c r="B1487"/>
  <c r="C1487"/>
  <c r="D1487"/>
  <c r="E1487"/>
  <c r="F1487"/>
  <c r="G1487"/>
  <c r="H1487"/>
  <c r="I1487"/>
  <c r="J1487"/>
  <c r="K1487"/>
  <c r="L1487"/>
  <c r="M1487"/>
  <c r="N1487"/>
  <c r="A1488"/>
  <c r="B1488"/>
  <c r="C1488"/>
  <c r="D1488"/>
  <c r="E1488"/>
  <c r="F1488"/>
  <c r="G1488"/>
  <c r="H1488"/>
  <c r="I1488"/>
  <c r="J1488"/>
  <c r="K1488"/>
  <c r="L1488"/>
  <c r="N1488"/>
  <c r="A1489"/>
  <c r="B1489"/>
  <c r="C1489"/>
  <c r="D1489"/>
  <c r="E1489"/>
  <c r="F1489"/>
  <c r="G1489"/>
  <c r="H1489"/>
  <c r="I1489"/>
  <c r="J1489"/>
  <c r="K1489"/>
  <c r="L1489"/>
  <c r="N1489"/>
  <c r="A1490"/>
  <c r="B1490"/>
  <c r="C1490"/>
  <c r="D1490"/>
  <c r="E1490"/>
  <c r="F1490"/>
  <c r="G1490"/>
  <c r="H1490"/>
  <c r="I1490"/>
  <c r="J1490"/>
  <c r="K1490"/>
  <c r="L1490"/>
  <c r="N1490"/>
  <c r="A1491"/>
  <c r="B1491"/>
  <c r="C1491"/>
  <c r="D1491"/>
  <c r="E1491"/>
  <c r="F1491"/>
  <c r="G1491"/>
  <c r="H1491"/>
  <c r="I1491"/>
  <c r="J1491"/>
  <c r="K1491"/>
  <c r="L1491"/>
  <c r="N1491"/>
  <c r="A1492"/>
  <c r="B1492"/>
  <c r="C1492"/>
  <c r="D1492"/>
  <c r="E1492"/>
  <c r="F1492"/>
  <c r="G1492"/>
  <c r="H1492"/>
  <c r="I1492"/>
  <c r="J1492"/>
  <c r="K1492"/>
  <c r="L1492"/>
  <c r="N1492"/>
  <c r="A1493"/>
  <c r="B1493"/>
  <c r="C1493"/>
  <c r="D1493"/>
  <c r="E1493"/>
  <c r="F1493"/>
  <c r="G1493"/>
  <c r="H1493"/>
  <c r="I1493"/>
  <c r="J1493"/>
  <c r="K1493"/>
  <c r="L1493"/>
  <c r="N1493"/>
  <c r="A1494"/>
  <c r="B1494"/>
  <c r="C1494"/>
  <c r="D1494"/>
  <c r="E1494"/>
  <c r="F1494"/>
  <c r="G1494"/>
  <c r="H1494"/>
  <c r="I1494"/>
  <c r="J1494"/>
  <c r="K1494"/>
  <c r="L1494"/>
  <c r="N1494"/>
  <c r="A1495"/>
  <c r="B1495"/>
  <c r="C1495"/>
  <c r="D1495"/>
  <c r="E1495"/>
  <c r="F1495"/>
  <c r="G1495"/>
  <c r="H1495"/>
  <c r="I1495"/>
  <c r="J1495"/>
  <c r="K1495"/>
  <c r="L1495"/>
  <c r="N1495"/>
  <c r="A1496"/>
  <c r="B1496"/>
  <c r="C1496"/>
  <c r="D1496"/>
  <c r="E1496"/>
  <c r="F1496"/>
  <c r="G1496"/>
  <c r="H1496"/>
  <c r="I1496"/>
  <c r="J1496"/>
  <c r="K1496"/>
  <c r="L1496"/>
  <c r="N1496"/>
  <c r="A1497"/>
  <c r="B1497"/>
  <c r="C1497"/>
  <c r="D1497"/>
  <c r="E1497"/>
  <c r="F1497"/>
  <c r="G1497"/>
  <c r="H1497"/>
  <c r="I1497"/>
  <c r="J1497"/>
  <c r="K1497"/>
  <c r="L1497"/>
  <c r="N1497"/>
  <c r="A1498"/>
  <c r="B1498"/>
  <c r="C1498"/>
  <c r="D1498"/>
  <c r="E1498"/>
  <c r="F1498"/>
  <c r="G1498"/>
  <c r="H1498"/>
  <c r="I1498"/>
  <c r="J1498"/>
  <c r="K1498"/>
  <c r="L1498"/>
  <c r="N1498"/>
  <c r="A1499"/>
  <c r="B1499"/>
  <c r="C1499"/>
  <c r="D1499"/>
  <c r="E1499"/>
  <c r="F1499"/>
  <c r="G1499"/>
  <c r="H1499"/>
  <c r="I1499"/>
  <c r="J1499"/>
  <c r="K1499"/>
  <c r="L1499"/>
  <c r="N1499"/>
  <c r="A1500"/>
  <c r="B1500"/>
  <c r="C1500"/>
  <c r="D1500"/>
  <c r="E1500"/>
  <c r="F1500"/>
  <c r="G1500"/>
  <c r="H1500"/>
  <c r="I1500"/>
  <c r="J1500"/>
  <c r="K1500"/>
  <c r="L1500"/>
  <c r="N1500"/>
  <c r="A1501"/>
  <c r="B1501"/>
  <c r="C1501"/>
  <c r="D1501"/>
  <c r="E1501"/>
  <c r="F1501"/>
  <c r="G1501"/>
  <c r="H1501"/>
  <c r="I1501"/>
  <c r="J1501"/>
  <c r="K1501"/>
  <c r="L1501"/>
  <c r="N1501"/>
  <c r="A1502"/>
  <c r="B1502"/>
  <c r="C1502"/>
  <c r="D1502"/>
  <c r="E1502"/>
  <c r="F1502"/>
  <c r="G1502"/>
  <c r="H1502"/>
  <c r="I1502"/>
  <c r="J1502"/>
  <c r="K1502"/>
  <c r="L1502"/>
  <c r="N1502"/>
  <c r="A1503"/>
  <c r="B1503"/>
  <c r="C1503"/>
  <c r="D1503"/>
  <c r="E1503"/>
  <c r="F1503"/>
  <c r="G1503"/>
  <c r="H1503"/>
  <c r="I1503"/>
  <c r="J1503"/>
  <c r="K1503"/>
  <c r="L1503"/>
  <c r="M1503"/>
  <c r="N1503"/>
  <c r="A1504"/>
  <c r="B1504"/>
  <c r="C1504"/>
  <c r="D1504"/>
  <c r="E1504"/>
  <c r="F1504"/>
  <c r="G1504"/>
  <c r="H1504"/>
  <c r="I1504"/>
  <c r="J1504"/>
  <c r="K1504"/>
  <c r="L1504"/>
  <c r="N1504"/>
  <c r="A1505"/>
  <c r="B1505"/>
  <c r="C1505"/>
  <c r="D1505"/>
  <c r="E1505"/>
  <c r="F1505"/>
  <c r="G1505"/>
  <c r="H1505"/>
  <c r="I1505"/>
  <c r="J1505"/>
  <c r="K1505"/>
  <c r="L1505"/>
  <c r="N1505"/>
  <c r="A1506"/>
  <c r="B1506"/>
  <c r="C1506"/>
  <c r="D1506"/>
  <c r="E1506"/>
  <c r="F1506"/>
  <c r="G1506"/>
  <c r="H1506"/>
  <c r="I1506"/>
  <c r="J1506"/>
  <c r="K1506"/>
  <c r="L1506"/>
  <c r="N1506"/>
  <c r="A1507"/>
  <c r="B1507"/>
  <c r="C1507"/>
  <c r="D1507"/>
  <c r="E1507"/>
  <c r="F1507"/>
  <c r="G1507"/>
  <c r="H1507"/>
  <c r="I1507"/>
  <c r="J1507"/>
  <c r="K1507"/>
  <c r="L1507"/>
  <c r="N1507"/>
  <c r="A1508"/>
  <c r="B1508"/>
  <c r="C1508"/>
  <c r="D1508"/>
  <c r="E1508"/>
  <c r="F1508"/>
  <c r="G1508"/>
  <c r="H1508"/>
  <c r="I1508"/>
  <c r="J1508"/>
  <c r="K1508"/>
  <c r="L1508"/>
  <c r="N1508"/>
  <c r="A1509"/>
  <c r="B1509"/>
  <c r="C1509"/>
  <c r="D1509"/>
  <c r="E1509"/>
  <c r="F1509"/>
  <c r="G1509"/>
  <c r="H1509"/>
  <c r="I1509"/>
  <c r="J1509"/>
  <c r="K1509"/>
  <c r="L1509"/>
  <c r="N1509"/>
  <c r="A1510"/>
  <c r="B1510"/>
  <c r="C1510"/>
  <c r="D1510"/>
  <c r="E1510"/>
  <c r="F1510"/>
  <c r="G1510"/>
  <c r="H1510"/>
  <c r="I1510"/>
  <c r="J1510"/>
  <c r="K1510"/>
  <c r="L1510"/>
  <c r="N1510"/>
  <c r="A1511"/>
  <c r="B1511"/>
  <c r="C1511"/>
  <c r="D1511"/>
  <c r="E1511"/>
  <c r="F1511"/>
  <c r="G1511"/>
  <c r="H1511"/>
  <c r="I1511"/>
  <c r="J1511"/>
  <c r="K1511"/>
  <c r="L1511"/>
  <c r="N1511"/>
  <c r="A1512"/>
  <c r="B1512"/>
  <c r="C1512"/>
  <c r="D1512"/>
  <c r="E1512"/>
  <c r="F1512"/>
  <c r="G1512"/>
  <c r="H1512"/>
  <c r="I1512"/>
  <c r="J1512"/>
  <c r="K1512"/>
  <c r="L1512"/>
  <c r="N1512"/>
  <c r="A1513"/>
  <c r="B1513"/>
  <c r="C1513"/>
  <c r="D1513"/>
  <c r="E1513"/>
  <c r="F1513"/>
  <c r="G1513"/>
  <c r="H1513"/>
  <c r="I1513"/>
  <c r="J1513"/>
  <c r="K1513"/>
  <c r="L1513"/>
  <c r="N1513"/>
  <c r="A1514"/>
  <c r="B1514"/>
  <c r="C1514"/>
  <c r="D1514"/>
  <c r="E1514"/>
  <c r="F1514"/>
  <c r="G1514"/>
  <c r="H1514"/>
  <c r="I1514"/>
  <c r="J1514"/>
  <c r="K1514"/>
  <c r="L1514"/>
  <c r="N1514"/>
  <c r="A1515"/>
  <c r="B1515"/>
  <c r="C1515"/>
  <c r="D1515"/>
  <c r="E1515"/>
  <c r="F1515"/>
  <c r="G1515"/>
  <c r="H1515"/>
  <c r="I1515"/>
  <c r="J1515"/>
  <c r="K1515"/>
  <c r="L1515"/>
  <c r="N1515"/>
  <c r="A1516"/>
  <c r="B1516"/>
  <c r="C1516"/>
  <c r="D1516"/>
  <c r="E1516"/>
  <c r="F1516"/>
  <c r="G1516"/>
  <c r="H1516"/>
  <c r="I1516"/>
  <c r="J1516"/>
  <c r="K1516"/>
  <c r="L1516"/>
  <c r="N1516"/>
  <c r="A1517"/>
  <c r="B1517"/>
  <c r="C1517"/>
  <c r="D1517"/>
  <c r="E1517"/>
  <c r="F1517"/>
  <c r="G1517"/>
  <c r="H1517"/>
  <c r="I1517"/>
  <c r="J1517"/>
  <c r="K1517"/>
  <c r="L1517"/>
  <c r="N1517"/>
  <c r="A1518"/>
  <c r="B1518"/>
  <c r="C1518"/>
  <c r="D1518"/>
  <c r="E1518"/>
  <c r="F1518"/>
  <c r="G1518"/>
  <c r="H1518"/>
  <c r="I1518"/>
  <c r="J1518"/>
  <c r="K1518"/>
  <c r="L1518"/>
  <c r="N1518"/>
  <c r="A1519"/>
  <c r="B1519"/>
  <c r="C1519"/>
  <c r="D1519"/>
  <c r="E1519"/>
  <c r="F1519"/>
  <c r="G1519"/>
  <c r="H1519"/>
  <c r="I1519"/>
  <c r="J1519"/>
  <c r="K1519"/>
  <c r="L1519"/>
  <c r="M1519"/>
  <c r="N1519"/>
  <c r="A1520"/>
  <c r="B1520"/>
  <c r="C1520"/>
  <c r="D1520"/>
  <c r="E1520"/>
  <c r="F1520"/>
  <c r="G1520"/>
  <c r="H1520"/>
  <c r="I1520"/>
  <c r="J1520"/>
  <c r="K1520"/>
  <c r="L1520"/>
  <c r="N1520"/>
  <c r="A1521"/>
  <c r="B1521"/>
  <c r="C1521"/>
  <c r="D1521"/>
  <c r="E1521"/>
  <c r="F1521"/>
  <c r="G1521"/>
  <c r="H1521"/>
  <c r="I1521"/>
  <c r="J1521"/>
  <c r="K1521"/>
  <c r="L1521"/>
  <c r="N1521"/>
  <c r="A1522"/>
  <c r="B1522"/>
  <c r="C1522"/>
  <c r="D1522"/>
  <c r="E1522"/>
  <c r="F1522"/>
  <c r="G1522"/>
  <c r="H1522"/>
  <c r="I1522"/>
  <c r="J1522"/>
  <c r="K1522"/>
  <c r="L1522"/>
  <c r="N1522"/>
  <c r="A1523"/>
  <c r="B1523"/>
  <c r="C1523"/>
  <c r="D1523"/>
  <c r="E1523"/>
  <c r="F1523"/>
  <c r="G1523"/>
  <c r="H1523"/>
  <c r="I1523"/>
  <c r="J1523"/>
  <c r="K1523"/>
  <c r="L1523"/>
  <c r="N1523"/>
  <c r="A1524"/>
  <c r="B1524"/>
  <c r="C1524"/>
  <c r="D1524"/>
  <c r="E1524"/>
  <c r="F1524"/>
  <c r="G1524"/>
  <c r="H1524"/>
  <c r="I1524"/>
  <c r="J1524"/>
  <c r="K1524"/>
  <c r="L1524"/>
  <c r="N1524"/>
  <c r="A1525"/>
  <c r="B1525"/>
  <c r="C1525"/>
  <c r="D1525"/>
  <c r="E1525"/>
  <c r="F1525"/>
  <c r="G1525"/>
  <c r="H1525"/>
  <c r="I1525"/>
  <c r="J1525"/>
  <c r="K1525"/>
  <c r="L1525"/>
  <c r="N1525"/>
  <c r="A1526"/>
  <c r="B1526"/>
  <c r="C1526"/>
  <c r="D1526"/>
  <c r="E1526"/>
  <c r="F1526"/>
  <c r="G1526"/>
  <c r="H1526"/>
  <c r="I1526"/>
  <c r="J1526"/>
  <c r="K1526"/>
  <c r="L1526"/>
  <c r="N1526"/>
  <c r="A1527"/>
  <c r="B1527"/>
  <c r="C1527"/>
  <c r="D1527"/>
  <c r="E1527"/>
  <c r="F1527"/>
  <c r="G1527"/>
  <c r="H1527"/>
  <c r="I1527"/>
  <c r="J1527"/>
  <c r="K1527"/>
  <c r="L1527"/>
  <c r="N1527"/>
  <c r="A1528"/>
  <c r="B1528"/>
  <c r="C1528"/>
  <c r="D1528"/>
  <c r="E1528"/>
  <c r="F1528"/>
  <c r="G1528"/>
  <c r="H1528"/>
  <c r="I1528"/>
  <c r="J1528"/>
  <c r="K1528"/>
  <c r="L1528"/>
  <c r="N1528"/>
  <c r="A1529"/>
  <c r="B1529"/>
  <c r="C1529"/>
  <c r="D1529"/>
  <c r="E1529"/>
  <c r="F1529"/>
  <c r="G1529"/>
  <c r="H1529"/>
  <c r="I1529"/>
  <c r="J1529"/>
  <c r="K1529"/>
  <c r="L1529"/>
  <c r="N1529"/>
  <c r="A1530"/>
  <c r="B1530"/>
  <c r="C1530"/>
  <c r="D1530"/>
  <c r="E1530"/>
  <c r="F1530"/>
  <c r="G1530"/>
  <c r="H1530"/>
  <c r="I1530"/>
  <c r="J1530"/>
  <c r="K1530"/>
  <c r="L1530"/>
  <c r="N1530"/>
  <c r="A1531"/>
  <c r="B1531"/>
  <c r="C1531"/>
  <c r="D1531"/>
  <c r="E1531"/>
  <c r="F1531"/>
  <c r="G1531"/>
  <c r="H1531"/>
  <c r="I1531"/>
  <c r="J1531"/>
  <c r="K1531"/>
  <c r="L1531"/>
  <c r="N1531"/>
  <c r="A1532"/>
  <c r="B1532"/>
  <c r="C1532"/>
  <c r="D1532"/>
  <c r="E1532"/>
  <c r="F1532"/>
  <c r="G1532"/>
  <c r="H1532"/>
  <c r="I1532"/>
  <c r="J1532"/>
  <c r="K1532"/>
  <c r="L1532"/>
  <c r="N1532"/>
  <c r="A1533"/>
  <c r="B1533"/>
  <c r="C1533"/>
  <c r="D1533"/>
  <c r="E1533"/>
  <c r="F1533"/>
  <c r="G1533"/>
  <c r="H1533"/>
  <c r="I1533"/>
  <c r="J1533"/>
  <c r="K1533"/>
  <c r="L1533"/>
  <c r="N1533"/>
  <c r="A1534"/>
  <c r="B1534"/>
  <c r="C1534"/>
  <c r="D1534"/>
  <c r="E1534"/>
  <c r="F1534"/>
  <c r="G1534"/>
  <c r="H1534"/>
  <c r="I1534"/>
  <c r="J1534"/>
  <c r="K1534"/>
  <c r="L1534"/>
  <c r="N1534"/>
  <c r="A1535"/>
  <c r="B1535"/>
  <c r="C1535"/>
  <c r="D1535"/>
  <c r="E1535"/>
  <c r="F1535"/>
  <c r="G1535"/>
  <c r="H1535"/>
  <c r="I1535"/>
  <c r="J1535"/>
  <c r="K1535"/>
  <c r="L1535"/>
  <c r="M1535"/>
  <c r="N1535"/>
  <c r="A1536"/>
  <c r="B1536"/>
  <c r="C1536"/>
  <c r="D1536"/>
  <c r="E1536"/>
  <c r="F1536"/>
  <c r="G1536"/>
  <c r="H1536"/>
  <c r="I1536"/>
  <c r="J1536"/>
  <c r="K1536"/>
  <c r="L1536"/>
  <c r="N1536"/>
  <c r="A1537"/>
  <c r="B1537"/>
  <c r="C1537"/>
  <c r="D1537"/>
  <c r="E1537"/>
  <c r="F1537"/>
  <c r="G1537"/>
  <c r="H1537"/>
  <c r="I1537"/>
  <c r="J1537"/>
  <c r="K1537"/>
  <c r="L1537"/>
  <c r="N1537"/>
  <c r="A1538"/>
  <c r="B1538"/>
  <c r="C1538"/>
  <c r="D1538"/>
  <c r="E1538"/>
  <c r="F1538"/>
  <c r="G1538"/>
  <c r="H1538"/>
  <c r="I1538"/>
  <c r="J1538"/>
  <c r="K1538"/>
  <c r="L1538"/>
  <c r="N1538"/>
  <c r="A1539"/>
  <c r="B1539"/>
  <c r="C1539"/>
  <c r="D1539"/>
  <c r="E1539"/>
  <c r="F1539"/>
  <c r="G1539"/>
  <c r="H1539"/>
  <c r="I1539"/>
  <c r="J1539"/>
  <c r="K1539"/>
  <c r="L1539"/>
  <c r="N1539"/>
  <c r="A1540"/>
  <c r="B1540"/>
  <c r="C1540"/>
  <c r="D1540"/>
  <c r="E1540"/>
  <c r="F1540"/>
  <c r="G1540"/>
  <c r="H1540"/>
  <c r="I1540"/>
  <c r="J1540"/>
  <c r="K1540"/>
  <c r="L1540"/>
  <c r="N1540"/>
  <c r="A1541"/>
  <c r="B1541"/>
  <c r="C1541"/>
  <c r="D1541"/>
  <c r="E1541"/>
  <c r="F1541"/>
  <c r="G1541"/>
  <c r="H1541"/>
  <c r="I1541"/>
  <c r="J1541"/>
  <c r="K1541"/>
  <c r="L1541"/>
  <c r="N1541"/>
  <c r="A1542"/>
  <c r="B1542"/>
  <c r="C1542"/>
  <c r="D1542"/>
  <c r="E1542"/>
  <c r="F1542"/>
  <c r="G1542"/>
  <c r="H1542"/>
  <c r="I1542"/>
  <c r="J1542"/>
  <c r="K1542"/>
  <c r="L1542"/>
  <c r="N1542"/>
  <c r="A1543"/>
  <c r="B1543"/>
  <c r="C1543"/>
  <c r="D1543"/>
  <c r="E1543"/>
  <c r="F1543"/>
  <c r="G1543"/>
  <c r="H1543"/>
  <c r="I1543"/>
  <c r="J1543"/>
  <c r="K1543"/>
  <c r="L1543"/>
  <c r="N1543"/>
  <c r="A1544"/>
  <c r="B1544"/>
  <c r="C1544"/>
  <c r="D1544"/>
  <c r="E1544"/>
  <c r="F1544"/>
  <c r="G1544"/>
  <c r="H1544"/>
  <c r="I1544"/>
  <c r="J1544"/>
  <c r="K1544"/>
  <c r="L1544"/>
  <c r="N1544"/>
  <c r="A1545"/>
  <c r="B1545"/>
  <c r="C1545"/>
  <c r="D1545"/>
  <c r="E1545"/>
  <c r="F1545"/>
  <c r="G1545"/>
  <c r="H1545"/>
  <c r="I1545"/>
  <c r="J1545"/>
  <c r="K1545"/>
  <c r="L1545"/>
  <c r="N1545"/>
  <c r="A1546"/>
  <c r="B1546"/>
  <c r="C1546"/>
  <c r="D1546"/>
  <c r="E1546"/>
  <c r="F1546"/>
  <c r="G1546"/>
  <c r="H1546"/>
  <c r="I1546"/>
  <c r="J1546"/>
  <c r="K1546"/>
  <c r="L1546"/>
  <c r="N1546"/>
  <c r="A1547"/>
  <c r="B1547"/>
  <c r="C1547"/>
  <c r="D1547"/>
  <c r="E1547"/>
  <c r="F1547"/>
  <c r="G1547"/>
  <c r="H1547"/>
  <c r="I1547"/>
  <c r="J1547"/>
  <c r="K1547"/>
  <c r="L1547"/>
  <c r="N1547"/>
  <c r="A1548"/>
  <c r="B1548"/>
  <c r="C1548"/>
  <c r="D1548"/>
  <c r="E1548"/>
  <c r="F1548"/>
  <c r="G1548"/>
  <c r="H1548"/>
  <c r="I1548"/>
  <c r="J1548"/>
  <c r="K1548"/>
  <c r="L1548"/>
  <c r="N1548"/>
  <c r="A1549"/>
  <c r="B1549"/>
  <c r="C1549"/>
  <c r="D1549"/>
  <c r="E1549"/>
  <c r="F1549"/>
  <c r="G1549"/>
  <c r="H1549"/>
  <c r="I1549"/>
  <c r="J1549"/>
  <c r="K1549"/>
  <c r="L1549"/>
  <c r="N1549"/>
  <c r="A1550"/>
  <c r="B1550"/>
  <c r="C1550"/>
  <c r="D1550"/>
  <c r="E1550"/>
  <c r="F1550"/>
  <c r="G1550"/>
  <c r="H1550"/>
  <c r="I1550"/>
  <c r="J1550"/>
  <c r="K1550"/>
  <c r="L1550"/>
  <c r="N1550"/>
  <c r="A1551"/>
  <c r="B1551"/>
  <c r="C1551"/>
  <c r="D1551"/>
  <c r="E1551"/>
  <c r="F1551"/>
  <c r="G1551"/>
  <c r="H1551"/>
  <c r="I1551"/>
  <c r="J1551"/>
  <c r="K1551"/>
  <c r="L1551"/>
  <c r="M1551"/>
  <c r="N1551"/>
  <c r="A1552"/>
  <c r="B1552"/>
  <c r="C1552"/>
  <c r="D1552"/>
  <c r="E1552"/>
  <c r="F1552"/>
  <c r="G1552"/>
  <c r="H1552"/>
  <c r="I1552"/>
  <c r="J1552"/>
  <c r="K1552"/>
  <c r="L1552"/>
  <c r="N1552"/>
  <c r="A1553"/>
  <c r="B1553"/>
  <c r="C1553"/>
  <c r="D1553"/>
  <c r="E1553"/>
  <c r="F1553"/>
  <c r="G1553"/>
  <c r="H1553"/>
  <c r="I1553"/>
  <c r="J1553"/>
  <c r="K1553"/>
  <c r="L1553"/>
  <c r="N1553"/>
  <c r="A1554"/>
  <c r="B1554"/>
  <c r="C1554"/>
  <c r="D1554"/>
  <c r="E1554"/>
  <c r="F1554"/>
  <c r="G1554"/>
  <c r="H1554"/>
  <c r="I1554"/>
  <c r="J1554"/>
  <c r="K1554"/>
  <c r="L1554"/>
  <c r="N1554"/>
  <c r="A1555"/>
  <c r="B1555"/>
  <c r="C1555"/>
  <c r="D1555"/>
  <c r="E1555"/>
  <c r="F1555"/>
  <c r="G1555"/>
  <c r="H1555"/>
  <c r="I1555"/>
  <c r="J1555"/>
  <c r="K1555"/>
  <c r="L1555"/>
  <c r="N1555"/>
  <c r="A1556"/>
  <c r="B1556"/>
  <c r="C1556"/>
  <c r="D1556"/>
  <c r="E1556"/>
  <c r="F1556"/>
  <c r="G1556"/>
  <c r="H1556"/>
  <c r="I1556"/>
  <c r="J1556"/>
  <c r="K1556"/>
  <c r="L1556"/>
  <c r="N1556"/>
  <c r="A1557"/>
  <c r="B1557"/>
  <c r="C1557"/>
  <c r="D1557"/>
  <c r="E1557"/>
  <c r="F1557"/>
  <c r="G1557"/>
  <c r="H1557"/>
  <c r="I1557"/>
  <c r="J1557"/>
  <c r="K1557"/>
  <c r="L1557"/>
  <c r="N1557"/>
  <c r="A1558"/>
  <c r="B1558"/>
  <c r="C1558"/>
  <c r="D1558"/>
  <c r="E1558"/>
  <c r="F1558"/>
  <c r="G1558"/>
  <c r="H1558"/>
  <c r="I1558"/>
  <c r="J1558"/>
  <c r="K1558"/>
  <c r="L1558"/>
  <c r="N1558"/>
  <c r="A1559"/>
  <c r="B1559"/>
  <c r="C1559"/>
  <c r="D1559"/>
  <c r="E1559"/>
  <c r="F1559"/>
  <c r="G1559"/>
  <c r="H1559"/>
  <c r="I1559"/>
  <c r="J1559"/>
  <c r="K1559"/>
  <c r="L1559"/>
  <c r="N1559"/>
  <c r="A1560"/>
  <c r="B1560"/>
  <c r="C1560"/>
  <c r="D1560"/>
  <c r="E1560"/>
  <c r="F1560"/>
  <c r="G1560"/>
  <c r="H1560"/>
  <c r="I1560"/>
  <c r="J1560"/>
  <c r="K1560"/>
  <c r="L1560"/>
  <c r="N1560"/>
  <c r="A1561"/>
  <c r="B1561"/>
  <c r="C1561"/>
  <c r="D1561"/>
  <c r="E1561"/>
  <c r="F1561"/>
  <c r="G1561"/>
  <c r="H1561"/>
  <c r="I1561"/>
  <c r="J1561"/>
  <c r="K1561"/>
  <c r="L1561"/>
  <c r="N1561"/>
  <c r="A1562"/>
  <c r="B1562"/>
  <c r="C1562"/>
  <c r="D1562"/>
  <c r="E1562"/>
  <c r="F1562"/>
  <c r="G1562"/>
  <c r="H1562"/>
  <c r="I1562"/>
  <c r="J1562"/>
  <c r="K1562"/>
  <c r="L1562"/>
  <c r="N1562"/>
  <c r="A1563"/>
  <c r="B1563"/>
  <c r="C1563"/>
  <c r="D1563"/>
  <c r="E1563"/>
  <c r="F1563"/>
  <c r="G1563"/>
  <c r="H1563"/>
  <c r="I1563"/>
  <c r="J1563"/>
  <c r="K1563"/>
  <c r="L1563"/>
  <c r="N1563"/>
  <c r="A1564"/>
  <c r="B1564"/>
  <c r="C1564"/>
  <c r="D1564"/>
  <c r="E1564"/>
  <c r="F1564"/>
  <c r="G1564"/>
  <c r="H1564"/>
  <c r="I1564"/>
  <c r="J1564"/>
  <c r="K1564"/>
  <c r="L1564"/>
  <c r="N1564"/>
  <c r="A1565"/>
  <c r="B1565"/>
  <c r="C1565"/>
  <c r="D1565"/>
  <c r="E1565"/>
  <c r="F1565"/>
  <c r="G1565"/>
  <c r="H1565"/>
  <c r="I1565"/>
  <c r="J1565"/>
  <c r="K1565"/>
  <c r="L1565"/>
  <c r="N1565"/>
  <c r="A1566"/>
  <c r="B1566"/>
  <c r="C1566"/>
  <c r="D1566"/>
  <c r="E1566"/>
  <c r="F1566"/>
  <c r="G1566"/>
  <c r="H1566"/>
  <c r="I1566"/>
  <c r="J1566"/>
  <c r="K1566"/>
  <c r="L1566"/>
  <c r="N1566"/>
  <c r="A1567"/>
  <c r="B1567"/>
  <c r="C1567"/>
  <c r="D1567"/>
  <c r="E1567"/>
  <c r="F1567"/>
  <c r="G1567"/>
  <c r="H1567"/>
  <c r="I1567"/>
  <c r="J1567"/>
  <c r="K1567"/>
  <c r="L1567"/>
  <c r="M1567"/>
  <c r="N1567"/>
  <c r="A1568"/>
  <c r="B1568"/>
  <c r="C1568"/>
  <c r="D1568"/>
  <c r="E1568"/>
  <c r="F1568"/>
  <c r="G1568"/>
  <c r="H1568"/>
  <c r="I1568"/>
  <c r="J1568"/>
  <c r="K1568"/>
  <c r="L1568"/>
  <c r="N1568"/>
  <c r="A1569"/>
  <c r="B1569"/>
  <c r="C1569"/>
  <c r="D1569"/>
  <c r="E1569"/>
  <c r="F1569"/>
  <c r="G1569"/>
  <c r="H1569"/>
  <c r="I1569"/>
  <c r="J1569"/>
  <c r="K1569"/>
  <c r="L1569"/>
  <c r="N1569"/>
  <c r="A1570"/>
  <c r="B1570"/>
  <c r="C1570"/>
  <c r="D1570"/>
  <c r="E1570"/>
  <c r="F1570"/>
  <c r="G1570"/>
  <c r="H1570"/>
  <c r="I1570"/>
  <c r="J1570"/>
  <c r="K1570"/>
  <c r="L1570"/>
  <c r="N1570"/>
  <c r="A1571"/>
  <c r="B1571"/>
  <c r="C1571"/>
  <c r="D1571"/>
  <c r="E1571"/>
  <c r="F1571"/>
  <c r="G1571"/>
  <c r="H1571"/>
  <c r="I1571"/>
  <c r="J1571"/>
  <c r="K1571"/>
  <c r="L1571"/>
  <c r="N1571"/>
  <c r="A1572"/>
  <c r="B1572"/>
  <c r="C1572"/>
  <c r="D1572"/>
  <c r="E1572"/>
  <c r="F1572"/>
  <c r="G1572"/>
  <c r="H1572"/>
  <c r="I1572"/>
  <c r="J1572"/>
  <c r="K1572"/>
  <c r="L1572"/>
  <c r="N1572"/>
  <c r="A1573"/>
  <c r="B1573"/>
  <c r="C1573"/>
  <c r="D1573"/>
  <c r="E1573"/>
  <c r="F1573"/>
  <c r="G1573"/>
  <c r="H1573"/>
  <c r="I1573"/>
  <c r="J1573"/>
  <c r="K1573"/>
  <c r="L1573"/>
  <c r="N1573"/>
  <c r="A1574"/>
  <c r="B1574"/>
  <c r="C1574"/>
  <c r="D1574"/>
  <c r="E1574"/>
  <c r="F1574"/>
  <c r="G1574"/>
  <c r="H1574"/>
  <c r="I1574"/>
  <c r="J1574"/>
  <c r="K1574"/>
  <c r="L1574"/>
  <c r="N1574"/>
  <c r="A1575"/>
  <c r="B1575"/>
  <c r="C1575"/>
  <c r="D1575"/>
  <c r="E1575"/>
  <c r="F1575"/>
  <c r="G1575"/>
  <c r="H1575"/>
  <c r="I1575"/>
  <c r="J1575"/>
  <c r="K1575"/>
  <c r="L1575"/>
  <c r="N1575"/>
  <c r="A1576"/>
  <c r="B1576"/>
  <c r="C1576"/>
  <c r="D1576"/>
  <c r="E1576"/>
  <c r="F1576"/>
  <c r="G1576"/>
  <c r="H1576"/>
  <c r="I1576"/>
  <c r="J1576"/>
  <c r="K1576"/>
  <c r="L1576"/>
  <c r="N1576"/>
  <c r="A1577"/>
  <c r="B1577"/>
  <c r="C1577"/>
  <c r="D1577"/>
  <c r="E1577"/>
  <c r="F1577"/>
  <c r="G1577"/>
  <c r="H1577"/>
  <c r="I1577"/>
  <c r="J1577"/>
  <c r="K1577"/>
  <c r="L1577"/>
  <c r="N1577"/>
  <c r="A1578"/>
  <c r="B1578"/>
  <c r="C1578"/>
  <c r="D1578"/>
  <c r="E1578"/>
  <c r="F1578"/>
  <c r="G1578"/>
  <c r="H1578"/>
  <c r="I1578"/>
  <c r="J1578"/>
  <c r="K1578"/>
  <c r="L1578"/>
  <c r="N1578"/>
  <c r="A1579"/>
  <c r="B1579"/>
  <c r="C1579"/>
  <c r="D1579"/>
  <c r="E1579"/>
  <c r="F1579"/>
  <c r="G1579"/>
  <c r="H1579"/>
  <c r="I1579"/>
  <c r="J1579"/>
  <c r="K1579"/>
  <c r="L1579"/>
  <c r="N1579"/>
  <c r="A1580"/>
  <c r="B1580"/>
  <c r="C1580"/>
  <c r="D1580"/>
  <c r="E1580"/>
  <c r="F1580"/>
  <c r="G1580"/>
  <c r="H1580"/>
  <c r="I1580"/>
  <c r="J1580"/>
  <c r="K1580"/>
  <c r="L1580"/>
  <c r="N1580"/>
  <c r="A1581"/>
  <c r="B1581"/>
  <c r="C1581"/>
  <c r="D1581"/>
  <c r="E1581"/>
  <c r="F1581"/>
  <c r="G1581"/>
  <c r="H1581"/>
  <c r="I1581"/>
  <c r="J1581"/>
  <c r="K1581"/>
  <c r="L1581"/>
  <c r="N1581"/>
  <c r="A1582"/>
  <c r="B1582"/>
  <c r="C1582"/>
  <c r="D1582"/>
  <c r="E1582"/>
  <c r="F1582"/>
  <c r="G1582"/>
  <c r="H1582"/>
  <c r="I1582"/>
  <c r="J1582"/>
  <c r="K1582"/>
  <c r="L1582"/>
  <c r="N1582"/>
  <c r="A1583"/>
  <c r="B1583"/>
  <c r="C1583"/>
  <c r="D1583"/>
  <c r="E1583"/>
  <c r="F1583"/>
  <c r="G1583"/>
  <c r="H1583"/>
  <c r="I1583"/>
  <c r="J1583"/>
  <c r="K1583"/>
  <c r="L1583"/>
  <c r="M1583"/>
  <c r="N1583"/>
  <c r="A1584"/>
  <c r="B1584"/>
  <c r="C1584"/>
  <c r="D1584"/>
  <c r="E1584"/>
  <c r="F1584"/>
  <c r="G1584"/>
  <c r="H1584"/>
  <c r="I1584"/>
  <c r="J1584"/>
  <c r="K1584"/>
  <c r="L1584"/>
  <c r="N1584"/>
  <c r="A1585"/>
  <c r="B1585"/>
  <c r="C1585"/>
  <c r="D1585"/>
  <c r="E1585"/>
  <c r="F1585"/>
  <c r="G1585"/>
  <c r="H1585"/>
  <c r="I1585"/>
  <c r="J1585"/>
  <c r="K1585"/>
  <c r="L1585"/>
  <c r="N1585"/>
  <c r="A1586"/>
  <c r="B1586"/>
  <c r="C1586"/>
  <c r="D1586"/>
  <c r="E1586"/>
  <c r="F1586"/>
  <c r="G1586"/>
  <c r="H1586"/>
  <c r="I1586"/>
  <c r="J1586"/>
  <c r="K1586"/>
  <c r="L1586"/>
  <c r="N1586"/>
  <c r="A1587"/>
  <c r="B1587"/>
  <c r="C1587"/>
  <c r="D1587"/>
  <c r="E1587"/>
  <c r="F1587"/>
  <c r="G1587"/>
  <c r="H1587"/>
  <c r="I1587"/>
  <c r="J1587"/>
  <c r="K1587"/>
  <c r="L1587"/>
  <c r="N1587"/>
  <c r="A1588"/>
  <c r="B1588"/>
  <c r="C1588"/>
  <c r="D1588"/>
  <c r="E1588"/>
  <c r="F1588"/>
  <c r="G1588"/>
  <c r="H1588"/>
  <c r="I1588"/>
  <c r="J1588"/>
  <c r="K1588"/>
  <c r="L1588"/>
  <c r="N1588"/>
  <c r="A1589"/>
  <c r="B1589"/>
  <c r="C1589"/>
  <c r="D1589"/>
  <c r="E1589"/>
  <c r="F1589"/>
  <c r="G1589"/>
  <c r="H1589"/>
  <c r="I1589"/>
  <c r="J1589"/>
  <c r="K1589"/>
  <c r="L1589"/>
  <c r="N1589"/>
  <c r="A1590"/>
  <c r="B1590"/>
  <c r="C1590"/>
  <c r="D1590"/>
  <c r="E1590"/>
  <c r="F1590"/>
  <c r="G1590"/>
  <c r="H1590"/>
  <c r="I1590"/>
  <c r="J1590"/>
  <c r="K1590"/>
  <c r="L1590"/>
  <c r="N1590"/>
  <c r="A1591"/>
  <c r="B1591"/>
  <c r="C1591"/>
  <c r="D1591"/>
  <c r="E1591"/>
  <c r="F1591"/>
  <c r="G1591"/>
  <c r="H1591"/>
  <c r="I1591"/>
  <c r="J1591"/>
  <c r="K1591"/>
  <c r="L1591"/>
  <c r="N1591"/>
  <c r="A1592"/>
  <c r="B1592"/>
  <c r="C1592"/>
  <c r="D1592"/>
  <c r="E1592"/>
  <c r="F1592"/>
  <c r="G1592"/>
  <c r="H1592"/>
  <c r="I1592"/>
  <c r="J1592"/>
  <c r="K1592"/>
  <c r="L1592"/>
  <c r="N1592"/>
  <c r="A1593"/>
  <c r="B1593"/>
  <c r="C1593"/>
  <c r="D1593"/>
  <c r="E1593"/>
  <c r="F1593"/>
  <c r="G1593"/>
  <c r="H1593"/>
  <c r="I1593"/>
  <c r="J1593"/>
  <c r="K1593"/>
  <c r="L1593"/>
  <c r="N1593"/>
  <c r="A1594"/>
  <c r="B1594"/>
  <c r="C1594"/>
  <c r="D1594"/>
  <c r="E1594"/>
  <c r="F1594"/>
  <c r="G1594"/>
  <c r="H1594"/>
  <c r="I1594"/>
  <c r="J1594"/>
  <c r="K1594"/>
  <c r="L1594"/>
  <c r="N1594"/>
  <c r="A1595"/>
  <c r="B1595"/>
  <c r="C1595"/>
  <c r="D1595"/>
  <c r="E1595"/>
  <c r="F1595"/>
  <c r="G1595"/>
  <c r="H1595"/>
  <c r="I1595"/>
  <c r="J1595"/>
  <c r="K1595"/>
  <c r="L1595"/>
  <c r="N1595"/>
  <c r="A1596"/>
  <c r="B1596"/>
  <c r="C1596"/>
  <c r="D1596"/>
  <c r="E1596"/>
  <c r="F1596"/>
  <c r="G1596"/>
  <c r="H1596"/>
  <c r="I1596"/>
  <c r="J1596"/>
  <c r="K1596"/>
  <c r="L1596"/>
  <c r="N1596"/>
  <c r="A1597"/>
  <c r="B1597"/>
  <c r="C1597"/>
  <c r="D1597"/>
  <c r="E1597"/>
  <c r="F1597"/>
  <c r="G1597"/>
  <c r="H1597"/>
  <c r="I1597"/>
  <c r="J1597"/>
  <c r="K1597"/>
  <c r="L1597"/>
  <c r="N1597"/>
  <c r="A1598"/>
  <c r="B1598"/>
  <c r="C1598"/>
  <c r="D1598"/>
  <c r="E1598"/>
  <c r="F1598"/>
  <c r="G1598"/>
  <c r="H1598"/>
  <c r="I1598"/>
  <c r="J1598"/>
  <c r="K1598"/>
  <c r="L1598"/>
  <c r="N1598"/>
  <c r="A1599"/>
  <c r="B1599"/>
  <c r="C1599"/>
  <c r="D1599"/>
  <c r="E1599"/>
  <c r="F1599"/>
  <c r="G1599"/>
  <c r="H1599"/>
  <c r="I1599"/>
  <c r="J1599"/>
  <c r="K1599"/>
  <c r="L1599"/>
  <c r="M1599"/>
  <c r="N1599"/>
  <c r="A1600"/>
  <c r="B1600"/>
  <c r="C1600"/>
  <c r="D1600"/>
  <c r="E1600"/>
  <c r="F1600"/>
  <c r="G1600"/>
  <c r="H1600"/>
  <c r="I1600"/>
  <c r="J1600"/>
  <c r="K1600"/>
  <c r="L1600"/>
  <c r="N1600"/>
  <c r="A1601"/>
  <c r="B1601"/>
  <c r="C1601"/>
  <c r="D1601"/>
  <c r="E1601"/>
  <c r="F1601"/>
  <c r="G1601"/>
  <c r="H1601"/>
  <c r="I1601"/>
  <c r="J1601"/>
  <c r="K1601"/>
  <c r="L1601"/>
  <c r="N1601"/>
  <c r="A1602"/>
  <c r="B1602"/>
  <c r="C1602"/>
  <c r="D1602"/>
  <c r="E1602"/>
  <c r="F1602"/>
  <c r="G1602"/>
  <c r="H1602"/>
  <c r="I1602"/>
  <c r="J1602"/>
  <c r="K1602"/>
  <c r="L1602"/>
  <c r="N1602"/>
  <c r="A1603"/>
  <c r="B1603"/>
  <c r="C1603"/>
  <c r="D1603"/>
  <c r="E1603"/>
  <c r="F1603"/>
  <c r="G1603"/>
  <c r="H1603"/>
  <c r="I1603"/>
  <c r="J1603"/>
  <c r="K1603"/>
  <c r="L1603"/>
  <c r="N1603"/>
  <c r="A1604"/>
  <c r="B1604"/>
  <c r="C1604"/>
  <c r="D1604"/>
  <c r="E1604"/>
  <c r="F1604"/>
  <c r="G1604"/>
  <c r="H1604"/>
  <c r="I1604"/>
  <c r="J1604"/>
  <c r="K1604"/>
  <c r="L1604"/>
  <c r="N1604"/>
  <c r="A1605"/>
  <c r="B1605"/>
  <c r="C1605"/>
  <c r="D1605"/>
  <c r="E1605"/>
  <c r="F1605"/>
  <c r="G1605"/>
  <c r="H1605"/>
  <c r="I1605"/>
  <c r="J1605"/>
  <c r="K1605"/>
  <c r="L1605"/>
  <c r="N1605"/>
  <c r="A1606"/>
  <c r="B1606"/>
  <c r="C1606"/>
  <c r="D1606"/>
  <c r="E1606"/>
  <c r="F1606"/>
  <c r="G1606"/>
  <c r="H1606"/>
  <c r="I1606"/>
  <c r="J1606"/>
  <c r="K1606"/>
  <c r="L1606"/>
  <c r="N1606"/>
  <c r="A1607"/>
  <c r="B1607"/>
  <c r="C1607"/>
  <c r="D1607"/>
  <c r="E1607"/>
  <c r="F1607"/>
  <c r="G1607"/>
  <c r="H1607"/>
  <c r="I1607"/>
  <c r="J1607"/>
  <c r="K1607"/>
  <c r="L1607"/>
  <c r="N1607"/>
  <c r="A1608"/>
  <c r="B1608"/>
  <c r="C1608"/>
  <c r="D1608"/>
  <c r="E1608"/>
  <c r="F1608"/>
  <c r="G1608"/>
  <c r="H1608"/>
  <c r="I1608"/>
  <c r="J1608"/>
  <c r="K1608"/>
  <c r="L1608"/>
  <c r="N1608"/>
  <c r="A1609"/>
  <c r="B1609"/>
  <c r="C1609"/>
  <c r="D1609"/>
  <c r="E1609"/>
  <c r="F1609"/>
  <c r="G1609"/>
  <c r="H1609"/>
  <c r="I1609"/>
  <c r="J1609"/>
  <c r="K1609"/>
  <c r="L1609"/>
  <c r="N1609"/>
  <c r="A1610"/>
  <c r="B1610"/>
  <c r="C1610"/>
  <c r="D1610"/>
  <c r="E1610"/>
  <c r="F1610"/>
  <c r="G1610"/>
  <c r="H1610"/>
  <c r="I1610"/>
  <c r="J1610"/>
  <c r="K1610"/>
  <c r="L1610"/>
  <c r="N1610"/>
  <c r="A1611"/>
  <c r="B1611"/>
  <c r="C1611"/>
  <c r="D1611"/>
  <c r="E1611"/>
  <c r="F1611"/>
  <c r="G1611"/>
  <c r="H1611"/>
  <c r="I1611"/>
  <c r="J1611"/>
  <c r="K1611"/>
  <c r="L1611"/>
  <c r="N1611"/>
  <c r="A1612"/>
  <c r="B1612"/>
  <c r="C1612"/>
  <c r="D1612"/>
  <c r="E1612"/>
  <c r="F1612"/>
  <c r="G1612"/>
  <c r="H1612"/>
  <c r="I1612"/>
  <c r="J1612"/>
  <c r="K1612"/>
  <c r="L1612"/>
  <c r="N1612"/>
  <c r="A1613"/>
  <c r="B1613"/>
  <c r="C1613"/>
  <c r="D1613"/>
  <c r="E1613"/>
  <c r="F1613"/>
  <c r="G1613"/>
  <c r="H1613"/>
  <c r="I1613"/>
  <c r="J1613"/>
  <c r="K1613"/>
  <c r="L1613"/>
  <c r="N1613"/>
  <c r="A1614"/>
  <c r="B1614"/>
  <c r="C1614"/>
  <c r="D1614"/>
  <c r="E1614"/>
  <c r="F1614"/>
  <c r="G1614"/>
  <c r="H1614"/>
  <c r="I1614"/>
  <c r="J1614"/>
  <c r="K1614"/>
  <c r="L1614"/>
  <c r="N1614"/>
  <c r="A1615"/>
  <c r="B1615"/>
  <c r="C1615"/>
  <c r="D1615"/>
  <c r="E1615"/>
  <c r="F1615"/>
  <c r="G1615"/>
  <c r="H1615"/>
  <c r="I1615"/>
  <c r="J1615"/>
  <c r="K1615"/>
  <c r="L1615"/>
  <c r="M1615"/>
  <c r="N1615"/>
  <c r="A1616"/>
  <c r="B1616"/>
  <c r="C1616"/>
  <c r="D1616"/>
  <c r="E1616"/>
  <c r="F1616"/>
  <c r="G1616"/>
  <c r="H1616"/>
  <c r="I1616"/>
  <c r="J1616"/>
  <c r="K1616"/>
  <c r="L1616"/>
  <c r="N1616"/>
  <c r="A1617"/>
  <c r="B1617"/>
  <c r="C1617"/>
  <c r="D1617"/>
  <c r="E1617"/>
  <c r="F1617"/>
  <c r="G1617"/>
  <c r="H1617"/>
  <c r="I1617"/>
  <c r="J1617"/>
  <c r="K1617"/>
  <c r="L1617"/>
  <c r="N1617"/>
  <c r="A1618"/>
  <c r="B1618"/>
  <c r="C1618"/>
  <c r="D1618"/>
  <c r="E1618"/>
  <c r="F1618"/>
  <c r="G1618"/>
  <c r="H1618"/>
  <c r="I1618"/>
  <c r="J1618"/>
  <c r="K1618"/>
  <c r="L1618"/>
  <c r="N1618"/>
  <c r="A1619"/>
  <c r="B1619"/>
  <c r="C1619"/>
  <c r="D1619"/>
  <c r="E1619"/>
  <c r="F1619"/>
  <c r="G1619"/>
  <c r="H1619"/>
  <c r="I1619"/>
  <c r="J1619"/>
  <c r="K1619"/>
  <c r="L1619"/>
  <c r="N1619"/>
  <c r="A1620"/>
  <c r="B1620"/>
  <c r="C1620"/>
  <c r="D1620"/>
  <c r="E1620"/>
  <c r="F1620"/>
  <c r="G1620"/>
  <c r="H1620"/>
  <c r="I1620"/>
  <c r="J1620"/>
  <c r="K1620"/>
  <c r="L1620"/>
  <c r="N1620"/>
  <c r="A1621"/>
  <c r="B1621"/>
  <c r="C1621"/>
  <c r="D1621"/>
  <c r="E1621"/>
  <c r="F1621"/>
  <c r="G1621"/>
  <c r="H1621"/>
  <c r="I1621"/>
  <c r="J1621"/>
  <c r="K1621"/>
  <c r="L1621"/>
  <c r="N1621"/>
  <c r="A1622"/>
  <c r="B1622"/>
  <c r="C1622"/>
  <c r="D1622"/>
  <c r="E1622"/>
  <c r="F1622"/>
  <c r="G1622"/>
  <c r="H1622"/>
  <c r="I1622"/>
  <c r="J1622"/>
  <c r="K1622"/>
  <c r="L1622"/>
  <c r="N1622"/>
  <c r="A1623"/>
  <c r="B1623"/>
  <c r="C1623"/>
  <c r="D1623"/>
  <c r="E1623"/>
  <c r="F1623"/>
  <c r="G1623"/>
  <c r="H1623"/>
  <c r="I1623"/>
  <c r="J1623"/>
  <c r="K1623"/>
  <c r="L1623"/>
  <c r="N1623"/>
  <c r="A1624"/>
  <c r="B1624"/>
  <c r="C1624"/>
  <c r="D1624"/>
  <c r="E1624"/>
  <c r="F1624"/>
  <c r="G1624"/>
  <c r="H1624"/>
  <c r="I1624"/>
  <c r="J1624"/>
  <c r="K1624"/>
  <c r="L1624"/>
  <c r="N1624"/>
  <c r="A1625"/>
  <c r="B1625"/>
  <c r="C1625"/>
  <c r="D1625"/>
  <c r="E1625"/>
  <c r="F1625"/>
  <c r="G1625"/>
  <c r="H1625"/>
  <c r="I1625"/>
  <c r="J1625"/>
  <c r="K1625"/>
  <c r="L1625"/>
  <c r="N1625"/>
  <c r="A1626"/>
  <c r="B1626"/>
  <c r="C1626"/>
  <c r="D1626"/>
  <c r="E1626"/>
  <c r="F1626"/>
  <c r="G1626"/>
  <c r="H1626"/>
  <c r="I1626"/>
  <c r="J1626"/>
  <c r="K1626"/>
  <c r="L1626"/>
  <c r="N1626"/>
  <c r="A1627"/>
  <c r="B1627"/>
  <c r="C1627"/>
  <c r="D1627"/>
  <c r="E1627"/>
  <c r="F1627"/>
  <c r="G1627"/>
  <c r="H1627"/>
  <c r="I1627"/>
  <c r="J1627"/>
  <c r="K1627"/>
  <c r="L1627"/>
  <c r="N1627"/>
  <c r="A1628"/>
  <c r="B1628"/>
  <c r="C1628"/>
  <c r="D1628"/>
  <c r="E1628"/>
  <c r="F1628"/>
  <c r="G1628"/>
  <c r="H1628"/>
  <c r="I1628"/>
  <c r="J1628"/>
  <c r="K1628"/>
  <c r="L1628"/>
  <c r="N1628"/>
  <c r="A1629"/>
  <c r="B1629"/>
  <c r="C1629"/>
  <c r="D1629"/>
  <c r="E1629"/>
  <c r="F1629"/>
  <c r="G1629"/>
  <c r="H1629"/>
  <c r="I1629"/>
  <c r="J1629"/>
  <c r="K1629"/>
  <c r="L1629"/>
  <c r="N1629"/>
  <c r="A1630"/>
  <c r="B1630"/>
  <c r="C1630"/>
  <c r="D1630"/>
  <c r="E1630"/>
  <c r="F1630"/>
  <c r="G1630"/>
  <c r="H1630"/>
  <c r="I1630"/>
  <c r="J1630"/>
  <c r="K1630"/>
  <c r="L1630"/>
  <c r="N1630"/>
  <c r="A1631"/>
  <c r="B1631"/>
  <c r="C1631"/>
  <c r="D1631"/>
  <c r="E1631"/>
  <c r="F1631"/>
  <c r="G1631"/>
  <c r="H1631"/>
  <c r="I1631"/>
  <c r="J1631"/>
  <c r="K1631"/>
  <c r="L1631"/>
  <c r="M1631"/>
  <c r="N1631"/>
  <c r="A1632"/>
  <c r="B1632"/>
  <c r="C1632"/>
  <c r="D1632"/>
  <c r="E1632"/>
  <c r="F1632"/>
  <c r="G1632"/>
  <c r="H1632"/>
  <c r="I1632"/>
  <c r="J1632"/>
  <c r="K1632"/>
  <c r="L1632"/>
  <c r="N1632"/>
  <c r="A1633"/>
  <c r="B1633"/>
  <c r="C1633"/>
  <c r="D1633"/>
  <c r="E1633"/>
  <c r="F1633"/>
  <c r="G1633"/>
  <c r="H1633"/>
  <c r="I1633"/>
  <c r="J1633"/>
  <c r="K1633"/>
  <c r="L1633"/>
  <c r="N1633"/>
  <c r="A1634"/>
  <c r="B1634"/>
  <c r="C1634"/>
  <c r="D1634"/>
  <c r="E1634"/>
  <c r="F1634"/>
  <c r="G1634"/>
  <c r="H1634"/>
  <c r="I1634"/>
  <c r="J1634"/>
  <c r="K1634"/>
  <c r="L1634"/>
  <c r="N1634"/>
  <c r="A1635"/>
  <c r="B1635"/>
  <c r="C1635"/>
  <c r="D1635"/>
  <c r="E1635"/>
  <c r="F1635"/>
  <c r="G1635"/>
  <c r="H1635"/>
  <c r="I1635"/>
  <c r="J1635"/>
  <c r="K1635"/>
  <c r="L1635"/>
  <c r="N1635"/>
  <c r="A1636"/>
  <c r="B1636"/>
  <c r="C1636"/>
  <c r="D1636"/>
  <c r="E1636"/>
  <c r="F1636"/>
  <c r="G1636"/>
  <c r="H1636"/>
  <c r="I1636"/>
  <c r="J1636"/>
  <c r="K1636"/>
  <c r="L1636"/>
  <c r="N1636"/>
  <c r="A1637"/>
  <c r="B1637"/>
  <c r="C1637"/>
  <c r="D1637"/>
  <c r="E1637"/>
  <c r="F1637"/>
  <c r="G1637"/>
  <c r="H1637"/>
  <c r="I1637"/>
  <c r="J1637"/>
  <c r="K1637"/>
  <c r="L1637"/>
  <c r="N1637"/>
  <c r="A1638"/>
  <c r="B1638"/>
  <c r="C1638"/>
  <c r="D1638"/>
  <c r="E1638"/>
  <c r="F1638"/>
  <c r="G1638"/>
  <c r="H1638"/>
  <c r="I1638"/>
  <c r="J1638"/>
  <c r="K1638"/>
  <c r="L1638"/>
  <c r="N1638"/>
  <c r="A1639"/>
  <c r="B1639"/>
  <c r="C1639"/>
  <c r="D1639"/>
  <c r="E1639"/>
  <c r="F1639"/>
  <c r="G1639"/>
  <c r="H1639"/>
  <c r="I1639"/>
  <c r="J1639"/>
  <c r="K1639"/>
  <c r="L1639"/>
  <c r="N1639"/>
  <c r="A1640"/>
  <c r="B1640"/>
  <c r="C1640"/>
  <c r="D1640"/>
  <c r="E1640"/>
  <c r="F1640"/>
  <c r="G1640"/>
  <c r="H1640"/>
  <c r="I1640"/>
  <c r="J1640"/>
  <c r="K1640"/>
  <c r="L1640"/>
  <c r="M1640"/>
  <c r="N1640"/>
  <c r="A1641"/>
  <c r="B1641"/>
  <c r="C1641"/>
  <c r="D1641"/>
  <c r="E1641"/>
  <c r="F1641"/>
  <c r="G1641"/>
  <c r="H1641"/>
  <c r="I1641"/>
  <c r="J1641"/>
  <c r="K1641"/>
  <c r="L1641"/>
  <c r="N1641"/>
  <c r="A1642"/>
  <c r="B1642"/>
  <c r="C1642"/>
  <c r="D1642"/>
  <c r="E1642"/>
  <c r="F1642"/>
  <c r="G1642"/>
  <c r="H1642"/>
  <c r="I1642"/>
  <c r="J1642"/>
  <c r="K1642"/>
  <c r="L1642"/>
  <c r="N1642"/>
  <c r="A1643"/>
  <c r="B1643"/>
  <c r="C1643"/>
  <c r="D1643"/>
  <c r="E1643"/>
  <c r="F1643"/>
  <c r="G1643"/>
  <c r="H1643"/>
  <c r="I1643"/>
  <c r="J1643"/>
  <c r="K1643"/>
  <c r="L1643"/>
  <c r="N1643"/>
  <c r="A1644"/>
  <c r="B1644"/>
  <c r="C1644"/>
  <c r="D1644"/>
  <c r="E1644"/>
  <c r="F1644"/>
  <c r="G1644"/>
  <c r="H1644"/>
  <c r="I1644"/>
  <c r="J1644"/>
  <c r="K1644"/>
  <c r="L1644"/>
  <c r="N1644"/>
  <c r="A1645"/>
  <c r="B1645"/>
  <c r="C1645"/>
  <c r="D1645"/>
  <c r="E1645"/>
  <c r="F1645"/>
  <c r="G1645"/>
  <c r="H1645"/>
  <c r="I1645"/>
  <c r="J1645"/>
  <c r="K1645"/>
  <c r="L1645"/>
  <c r="N1645"/>
  <c r="A1646"/>
  <c r="B1646"/>
  <c r="C1646"/>
  <c r="D1646"/>
  <c r="E1646"/>
  <c r="F1646"/>
  <c r="G1646"/>
  <c r="H1646"/>
  <c r="I1646"/>
  <c r="J1646"/>
  <c r="K1646"/>
  <c r="L1646"/>
  <c r="N1646"/>
  <c r="A1647"/>
  <c r="B1647"/>
  <c r="C1647"/>
  <c r="D1647"/>
  <c r="E1647"/>
  <c r="F1647"/>
  <c r="G1647"/>
  <c r="H1647"/>
  <c r="I1647"/>
  <c r="J1647"/>
  <c r="K1647"/>
  <c r="L1647"/>
  <c r="M1647"/>
  <c r="N1647"/>
  <c r="A1648"/>
  <c r="B1648"/>
  <c r="C1648"/>
  <c r="D1648"/>
  <c r="E1648"/>
  <c r="F1648"/>
  <c r="G1648"/>
  <c r="H1648"/>
  <c r="I1648"/>
  <c r="J1648"/>
  <c r="K1648"/>
  <c r="L1648"/>
  <c r="M1648"/>
  <c r="N1648"/>
  <c r="A1649"/>
  <c r="B1649"/>
  <c r="C1649"/>
  <c r="D1649"/>
  <c r="E1649"/>
  <c r="F1649"/>
  <c r="G1649"/>
  <c r="H1649"/>
  <c r="I1649"/>
  <c r="J1649"/>
  <c r="K1649"/>
  <c r="L1649"/>
  <c r="N1649"/>
  <c r="A1650"/>
  <c r="B1650"/>
  <c r="C1650"/>
  <c r="D1650"/>
  <c r="E1650"/>
  <c r="F1650"/>
  <c r="G1650"/>
  <c r="H1650"/>
  <c r="I1650"/>
  <c r="J1650"/>
  <c r="K1650"/>
  <c r="L1650"/>
  <c r="N1650"/>
  <c r="A1651"/>
  <c r="B1651"/>
  <c r="C1651"/>
  <c r="D1651"/>
  <c r="E1651"/>
  <c r="F1651"/>
  <c r="G1651"/>
  <c r="H1651"/>
  <c r="I1651"/>
  <c r="J1651"/>
  <c r="K1651"/>
  <c r="L1651"/>
  <c r="N1651"/>
  <c r="A1652"/>
  <c r="B1652"/>
  <c r="C1652"/>
  <c r="D1652"/>
  <c r="E1652"/>
  <c r="F1652"/>
  <c r="G1652"/>
  <c r="H1652"/>
  <c r="I1652"/>
  <c r="J1652"/>
  <c r="K1652"/>
  <c r="L1652"/>
  <c r="N1652"/>
  <c r="A1653"/>
  <c r="B1653"/>
  <c r="C1653"/>
  <c r="D1653"/>
  <c r="E1653"/>
  <c r="F1653"/>
  <c r="G1653"/>
  <c r="H1653"/>
  <c r="I1653"/>
  <c r="J1653"/>
  <c r="K1653"/>
  <c r="L1653"/>
  <c r="N1653"/>
  <c r="A1654"/>
  <c r="B1654"/>
  <c r="C1654"/>
  <c r="D1654"/>
  <c r="E1654"/>
  <c r="F1654"/>
  <c r="G1654"/>
  <c r="H1654"/>
  <c r="I1654"/>
  <c r="J1654"/>
  <c r="K1654"/>
  <c r="L1654"/>
  <c r="N1654"/>
  <c r="A1655"/>
  <c r="B1655"/>
  <c r="C1655"/>
  <c r="D1655"/>
  <c r="E1655"/>
  <c r="F1655"/>
  <c r="G1655"/>
  <c r="H1655"/>
  <c r="I1655"/>
  <c r="J1655"/>
  <c r="K1655"/>
  <c r="L1655"/>
  <c r="N1655"/>
  <c r="A1656"/>
  <c r="B1656"/>
  <c r="C1656"/>
  <c r="D1656"/>
  <c r="E1656"/>
  <c r="F1656"/>
  <c r="G1656"/>
  <c r="H1656"/>
  <c r="I1656"/>
  <c r="J1656"/>
  <c r="K1656"/>
  <c r="L1656"/>
  <c r="M1656"/>
  <c r="N1656"/>
  <c r="A1657"/>
  <c r="B1657"/>
  <c r="C1657"/>
  <c r="D1657"/>
  <c r="E1657"/>
  <c r="F1657"/>
  <c r="G1657"/>
  <c r="H1657"/>
  <c r="I1657"/>
  <c r="J1657"/>
  <c r="K1657"/>
  <c r="L1657"/>
  <c r="N1657"/>
  <c r="A1658"/>
  <c r="B1658"/>
  <c r="C1658"/>
  <c r="D1658"/>
  <c r="E1658"/>
  <c r="F1658"/>
  <c r="G1658"/>
  <c r="H1658"/>
  <c r="I1658"/>
  <c r="J1658"/>
  <c r="K1658"/>
  <c r="L1658"/>
  <c r="N1658"/>
  <c r="A1659"/>
  <c r="B1659"/>
  <c r="C1659"/>
  <c r="D1659"/>
  <c r="E1659"/>
  <c r="F1659"/>
  <c r="G1659"/>
  <c r="H1659"/>
  <c r="I1659"/>
  <c r="J1659"/>
  <c r="K1659"/>
  <c r="L1659"/>
  <c r="N1659"/>
  <c r="A1660"/>
  <c r="B1660"/>
  <c r="C1660"/>
  <c r="D1660"/>
  <c r="E1660"/>
  <c r="F1660"/>
  <c r="G1660"/>
  <c r="H1660"/>
  <c r="I1660"/>
  <c r="J1660"/>
  <c r="K1660"/>
  <c r="L1660"/>
  <c r="N1660"/>
  <c r="A1661"/>
  <c r="B1661"/>
  <c r="C1661"/>
  <c r="D1661"/>
  <c r="E1661"/>
  <c r="F1661"/>
  <c r="G1661"/>
  <c r="H1661"/>
  <c r="I1661"/>
  <c r="J1661"/>
  <c r="K1661"/>
  <c r="L1661"/>
  <c r="N1661"/>
  <c r="A1662"/>
  <c r="B1662"/>
  <c r="C1662"/>
  <c r="D1662"/>
  <c r="E1662"/>
  <c r="F1662"/>
  <c r="G1662"/>
  <c r="H1662"/>
  <c r="I1662"/>
  <c r="J1662"/>
  <c r="K1662"/>
  <c r="L1662"/>
  <c r="N1662"/>
  <c r="A1663"/>
  <c r="B1663"/>
  <c r="C1663"/>
  <c r="D1663"/>
  <c r="E1663"/>
  <c r="F1663"/>
  <c r="G1663"/>
  <c r="H1663"/>
  <c r="I1663"/>
  <c r="J1663"/>
  <c r="K1663"/>
  <c r="L1663"/>
  <c r="M1663"/>
  <c r="N1663"/>
  <c r="A1664"/>
  <c r="B1664"/>
  <c r="C1664"/>
  <c r="D1664"/>
  <c r="E1664"/>
  <c r="F1664"/>
  <c r="G1664"/>
  <c r="H1664"/>
  <c r="I1664"/>
  <c r="J1664"/>
  <c r="K1664"/>
  <c r="L1664"/>
  <c r="M1664"/>
  <c r="N1664"/>
  <c r="A1665"/>
  <c r="B1665"/>
  <c r="C1665"/>
  <c r="D1665"/>
  <c r="E1665"/>
  <c r="F1665"/>
  <c r="G1665"/>
  <c r="H1665"/>
  <c r="I1665"/>
  <c r="J1665"/>
  <c r="K1665"/>
  <c r="L1665"/>
  <c r="N1665"/>
  <c r="A1666"/>
  <c r="B1666"/>
  <c r="C1666"/>
  <c r="D1666"/>
  <c r="E1666"/>
  <c r="F1666"/>
  <c r="G1666"/>
  <c r="H1666"/>
  <c r="I1666"/>
  <c r="J1666"/>
  <c r="K1666"/>
  <c r="L1666"/>
  <c r="N1666"/>
  <c r="A1667"/>
  <c r="B1667"/>
  <c r="C1667"/>
  <c r="D1667"/>
  <c r="E1667"/>
  <c r="F1667"/>
  <c r="G1667"/>
  <c r="H1667"/>
  <c r="I1667"/>
  <c r="J1667"/>
  <c r="K1667"/>
  <c r="L1667"/>
  <c r="N1667"/>
  <c r="A1668"/>
  <c r="B1668"/>
  <c r="C1668"/>
  <c r="D1668"/>
  <c r="E1668"/>
  <c r="F1668"/>
  <c r="G1668"/>
  <c r="H1668"/>
  <c r="I1668"/>
  <c r="J1668"/>
  <c r="K1668"/>
  <c r="L1668"/>
  <c r="N1668"/>
  <c r="A1669"/>
  <c r="B1669"/>
  <c r="C1669"/>
  <c r="D1669"/>
  <c r="E1669"/>
  <c r="F1669"/>
  <c r="G1669"/>
  <c r="H1669"/>
  <c r="I1669"/>
  <c r="J1669"/>
  <c r="K1669"/>
  <c r="L1669"/>
  <c r="N1669"/>
  <c r="A1670"/>
  <c r="B1670"/>
  <c r="C1670"/>
  <c r="D1670"/>
  <c r="E1670"/>
  <c r="F1670"/>
  <c r="G1670"/>
  <c r="H1670"/>
  <c r="I1670"/>
  <c r="J1670"/>
  <c r="K1670"/>
  <c r="L1670"/>
  <c r="N1670"/>
  <c r="A1671"/>
  <c r="B1671"/>
  <c r="C1671"/>
  <c r="D1671"/>
  <c r="E1671"/>
  <c r="F1671"/>
  <c r="G1671"/>
  <c r="H1671"/>
  <c r="I1671"/>
  <c r="J1671"/>
  <c r="K1671"/>
  <c r="L1671"/>
  <c r="N1671"/>
  <c r="A1672"/>
  <c r="B1672"/>
  <c r="C1672"/>
  <c r="D1672"/>
  <c r="E1672"/>
  <c r="F1672"/>
  <c r="G1672"/>
  <c r="H1672"/>
  <c r="I1672"/>
  <c r="J1672"/>
  <c r="K1672"/>
  <c r="L1672"/>
  <c r="M1672"/>
  <c r="N1672"/>
  <c r="A1673"/>
  <c r="B1673"/>
  <c r="C1673"/>
  <c r="D1673"/>
  <c r="E1673"/>
  <c r="F1673"/>
  <c r="G1673"/>
  <c r="H1673"/>
  <c r="I1673"/>
  <c r="J1673"/>
  <c r="K1673"/>
  <c r="L1673"/>
  <c r="N1673"/>
  <c r="A1674"/>
  <c r="B1674"/>
  <c r="C1674"/>
  <c r="D1674"/>
  <c r="E1674"/>
  <c r="F1674"/>
  <c r="G1674"/>
  <c r="H1674"/>
  <c r="I1674"/>
  <c r="J1674"/>
  <c r="K1674"/>
  <c r="L1674"/>
  <c r="N1674"/>
  <c r="A1675"/>
  <c r="B1675"/>
  <c r="C1675"/>
  <c r="D1675"/>
  <c r="E1675"/>
  <c r="F1675"/>
  <c r="G1675"/>
  <c r="H1675"/>
  <c r="I1675"/>
  <c r="J1675"/>
  <c r="K1675"/>
  <c r="L1675"/>
  <c r="N1675"/>
  <c r="A1676"/>
  <c r="B1676"/>
  <c r="C1676"/>
  <c r="D1676"/>
  <c r="E1676"/>
  <c r="F1676"/>
  <c r="G1676"/>
  <c r="H1676"/>
  <c r="I1676"/>
  <c r="J1676"/>
  <c r="K1676"/>
  <c r="L1676"/>
  <c r="N1676"/>
  <c r="A1677"/>
  <c r="B1677"/>
  <c r="C1677"/>
  <c r="D1677"/>
  <c r="E1677"/>
  <c r="F1677"/>
  <c r="G1677"/>
  <c r="H1677"/>
  <c r="I1677"/>
  <c r="J1677"/>
  <c r="K1677"/>
  <c r="L1677"/>
  <c r="N1677"/>
  <c r="A1678"/>
  <c r="B1678"/>
  <c r="C1678"/>
  <c r="D1678"/>
  <c r="E1678"/>
  <c r="F1678"/>
  <c r="G1678"/>
  <c r="H1678"/>
  <c r="I1678"/>
  <c r="J1678"/>
  <c r="K1678"/>
  <c r="L1678"/>
  <c r="N1678"/>
  <c r="A1679"/>
  <c r="B1679"/>
  <c r="C1679"/>
  <c r="D1679"/>
  <c r="E1679"/>
  <c r="F1679"/>
  <c r="G1679"/>
  <c r="H1679"/>
  <c r="I1679"/>
  <c r="J1679"/>
  <c r="K1679"/>
  <c r="L1679"/>
  <c r="M1679"/>
  <c r="N1679"/>
  <c r="A1680"/>
  <c r="B1680"/>
  <c r="C1680"/>
  <c r="D1680"/>
  <c r="E1680"/>
  <c r="F1680"/>
  <c r="G1680"/>
  <c r="H1680"/>
  <c r="I1680"/>
  <c r="J1680"/>
  <c r="K1680"/>
  <c r="L1680"/>
  <c r="M1680"/>
  <c r="N1680"/>
  <c r="A1681"/>
  <c r="B1681"/>
  <c r="C1681"/>
  <c r="D1681"/>
  <c r="E1681"/>
  <c r="F1681"/>
  <c r="G1681"/>
  <c r="H1681"/>
  <c r="I1681"/>
  <c r="J1681"/>
  <c r="K1681"/>
  <c r="L1681"/>
  <c r="N1681"/>
  <c r="A1682"/>
  <c r="B1682"/>
  <c r="C1682"/>
  <c r="D1682"/>
  <c r="E1682"/>
  <c r="F1682"/>
  <c r="G1682"/>
  <c r="H1682"/>
  <c r="I1682"/>
  <c r="J1682"/>
  <c r="K1682"/>
  <c r="L1682"/>
  <c r="N1682"/>
  <c r="A1683"/>
  <c r="B1683"/>
  <c r="C1683"/>
  <c r="D1683"/>
  <c r="E1683"/>
  <c r="F1683"/>
  <c r="G1683"/>
  <c r="H1683"/>
  <c r="I1683"/>
  <c r="J1683"/>
  <c r="K1683"/>
  <c r="L1683"/>
  <c r="N1683"/>
  <c r="A1684"/>
  <c r="B1684"/>
  <c r="C1684"/>
  <c r="D1684"/>
  <c r="E1684"/>
  <c r="F1684"/>
  <c r="G1684"/>
  <c r="H1684"/>
  <c r="I1684"/>
  <c r="J1684"/>
  <c r="K1684"/>
  <c r="L1684"/>
  <c r="N1684"/>
  <c r="A1685"/>
  <c r="B1685"/>
  <c r="C1685"/>
  <c r="D1685"/>
  <c r="E1685"/>
  <c r="F1685"/>
  <c r="G1685"/>
  <c r="H1685"/>
  <c r="I1685"/>
  <c r="J1685"/>
  <c r="K1685"/>
  <c r="L1685"/>
  <c r="N1685"/>
  <c r="A1686"/>
  <c r="B1686"/>
  <c r="C1686"/>
  <c r="D1686"/>
  <c r="E1686"/>
  <c r="F1686"/>
  <c r="G1686"/>
  <c r="H1686"/>
  <c r="I1686"/>
  <c r="J1686"/>
  <c r="K1686"/>
  <c r="L1686"/>
  <c r="N1686"/>
  <c r="A1687"/>
  <c r="B1687"/>
  <c r="C1687"/>
  <c r="D1687"/>
  <c r="E1687"/>
  <c r="F1687"/>
  <c r="G1687"/>
  <c r="H1687"/>
  <c r="I1687"/>
  <c r="J1687"/>
  <c r="K1687"/>
  <c r="L1687"/>
  <c r="N1687"/>
  <c r="A1688"/>
  <c r="B1688"/>
  <c r="C1688"/>
  <c r="D1688"/>
  <c r="E1688"/>
  <c r="F1688"/>
  <c r="G1688"/>
  <c r="H1688"/>
  <c r="I1688"/>
  <c r="J1688"/>
  <c r="K1688"/>
  <c r="L1688"/>
  <c r="M1688"/>
  <c r="N1688"/>
  <c r="A1689"/>
  <c r="B1689"/>
  <c r="C1689"/>
  <c r="D1689"/>
  <c r="E1689"/>
  <c r="F1689"/>
  <c r="G1689"/>
  <c r="H1689"/>
  <c r="I1689"/>
  <c r="J1689"/>
  <c r="K1689"/>
  <c r="L1689"/>
  <c r="N1689"/>
  <c r="A1690"/>
  <c r="B1690"/>
  <c r="C1690"/>
  <c r="D1690"/>
  <c r="E1690"/>
  <c r="F1690"/>
  <c r="G1690"/>
  <c r="H1690"/>
  <c r="I1690"/>
  <c r="J1690"/>
  <c r="K1690"/>
  <c r="L1690"/>
  <c r="N1690"/>
  <c r="A1691"/>
  <c r="B1691"/>
  <c r="C1691"/>
  <c r="D1691"/>
  <c r="E1691"/>
  <c r="F1691"/>
  <c r="G1691"/>
  <c r="H1691"/>
  <c r="I1691"/>
  <c r="J1691"/>
  <c r="K1691"/>
  <c r="L1691"/>
  <c r="N1691"/>
  <c r="A1692"/>
  <c r="B1692"/>
  <c r="C1692"/>
  <c r="D1692"/>
  <c r="E1692"/>
  <c r="F1692"/>
  <c r="G1692"/>
  <c r="H1692"/>
  <c r="I1692"/>
  <c r="J1692"/>
  <c r="K1692"/>
  <c r="L1692"/>
  <c r="N1692"/>
  <c r="A1693"/>
  <c r="B1693"/>
  <c r="C1693"/>
  <c r="D1693"/>
  <c r="E1693"/>
  <c r="F1693"/>
  <c r="G1693"/>
  <c r="H1693"/>
  <c r="I1693"/>
  <c r="J1693"/>
  <c r="K1693"/>
  <c r="L1693"/>
  <c r="N1693"/>
  <c r="A1694"/>
  <c r="B1694"/>
  <c r="C1694"/>
  <c r="D1694"/>
  <c r="E1694"/>
  <c r="F1694"/>
  <c r="G1694"/>
  <c r="H1694"/>
  <c r="I1694"/>
  <c r="J1694"/>
  <c r="K1694"/>
  <c r="L1694"/>
  <c r="N1694"/>
  <c r="A1695"/>
  <c r="B1695"/>
  <c r="C1695"/>
  <c r="D1695"/>
  <c r="E1695"/>
  <c r="F1695"/>
  <c r="G1695"/>
  <c r="H1695"/>
  <c r="I1695"/>
  <c r="J1695"/>
  <c r="K1695"/>
  <c r="L1695"/>
  <c r="M1695"/>
  <c r="N1695"/>
  <c r="A1696"/>
  <c r="B1696"/>
  <c r="C1696"/>
  <c r="D1696"/>
  <c r="E1696"/>
  <c r="F1696"/>
  <c r="G1696"/>
  <c r="H1696"/>
  <c r="I1696"/>
  <c r="J1696"/>
  <c r="K1696"/>
  <c r="L1696"/>
  <c r="M1696"/>
  <c r="N1696"/>
  <c r="A1697"/>
  <c r="B1697"/>
  <c r="C1697"/>
  <c r="D1697"/>
  <c r="E1697"/>
  <c r="F1697"/>
  <c r="G1697"/>
  <c r="H1697"/>
  <c r="I1697"/>
  <c r="J1697"/>
  <c r="K1697"/>
  <c r="L1697"/>
  <c r="N1697"/>
  <c r="A1698"/>
  <c r="B1698"/>
  <c r="C1698"/>
  <c r="D1698"/>
  <c r="E1698"/>
  <c r="F1698"/>
  <c r="G1698"/>
  <c r="H1698"/>
  <c r="I1698"/>
  <c r="J1698"/>
  <c r="K1698"/>
  <c r="L1698"/>
  <c r="N1698"/>
  <c r="A1699"/>
  <c r="B1699"/>
  <c r="C1699"/>
  <c r="D1699"/>
  <c r="E1699"/>
  <c r="F1699"/>
  <c r="G1699"/>
  <c r="H1699"/>
  <c r="I1699"/>
  <c r="J1699"/>
  <c r="K1699"/>
  <c r="L1699"/>
  <c r="N1699"/>
  <c r="A1700"/>
  <c r="B1700"/>
  <c r="C1700"/>
  <c r="D1700"/>
  <c r="E1700"/>
  <c r="F1700"/>
  <c r="G1700"/>
  <c r="H1700"/>
  <c r="I1700"/>
  <c r="J1700"/>
  <c r="K1700"/>
  <c r="L1700"/>
  <c r="N1700"/>
  <c r="A1701"/>
  <c r="B1701"/>
  <c r="C1701"/>
  <c r="D1701"/>
  <c r="E1701"/>
  <c r="F1701"/>
  <c r="G1701"/>
  <c r="H1701"/>
  <c r="I1701"/>
  <c r="J1701"/>
  <c r="K1701"/>
  <c r="L1701"/>
  <c r="N1701"/>
  <c r="A1702"/>
  <c r="B1702"/>
  <c r="C1702"/>
  <c r="D1702"/>
  <c r="E1702"/>
  <c r="F1702"/>
  <c r="G1702"/>
  <c r="H1702"/>
  <c r="I1702"/>
  <c r="J1702"/>
  <c r="K1702"/>
  <c r="L1702"/>
  <c r="N1702"/>
  <c r="A1703"/>
  <c r="B1703"/>
  <c r="C1703"/>
  <c r="D1703"/>
  <c r="E1703"/>
  <c r="F1703"/>
  <c r="G1703"/>
  <c r="H1703"/>
  <c r="I1703"/>
  <c r="J1703"/>
  <c r="K1703"/>
  <c r="L1703"/>
  <c r="N1703"/>
  <c r="A1704"/>
  <c r="B1704"/>
  <c r="C1704"/>
  <c r="D1704"/>
  <c r="E1704"/>
  <c r="F1704"/>
  <c r="G1704"/>
  <c r="H1704"/>
  <c r="I1704"/>
  <c r="J1704"/>
  <c r="K1704"/>
  <c r="L1704"/>
  <c r="M1704"/>
  <c r="N1704"/>
  <c r="A1705"/>
  <c r="B1705"/>
  <c r="C1705"/>
  <c r="D1705"/>
  <c r="E1705"/>
  <c r="F1705"/>
  <c r="G1705"/>
  <c r="H1705"/>
  <c r="I1705"/>
  <c r="J1705"/>
  <c r="K1705"/>
  <c r="L1705"/>
  <c r="N1705"/>
  <c r="A1706"/>
  <c r="B1706"/>
  <c r="C1706"/>
  <c r="D1706"/>
  <c r="E1706"/>
  <c r="F1706"/>
  <c r="G1706"/>
  <c r="H1706"/>
  <c r="I1706"/>
  <c r="J1706"/>
  <c r="K1706"/>
  <c r="L1706"/>
  <c r="N1706"/>
  <c r="A1707"/>
  <c r="B1707"/>
  <c r="C1707"/>
  <c r="D1707"/>
  <c r="E1707"/>
  <c r="F1707"/>
  <c r="G1707"/>
  <c r="H1707"/>
  <c r="I1707"/>
  <c r="J1707"/>
  <c r="K1707"/>
  <c r="L1707"/>
  <c r="N1707"/>
  <c r="A1708"/>
  <c r="B1708"/>
  <c r="C1708"/>
  <c r="D1708"/>
  <c r="E1708"/>
  <c r="F1708"/>
  <c r="G1708"/>
  <c r="H1708"/>
  <c r="I1708"/>
  <c r="J1708"/>
  <c r="K1708"/>
  <c r="L1708"/>
  <c r="N1708"/>
  <c r="A1709"/>
  <c r="B1709"/>
  <c r="C1709"/>
  <c r="D1709"/>
  <c r="E1709"/>
  <c r="F1709"/>
  <c r="G1709"/>
  <c r="H1709"/>
  <c r="I1709"/>
  <c r="J1709"/>
  <c r="K1709"/>
  <c r="L1709"/>
  <c r="N1709"/>
  <c r="A1710"/>
  <c r="B1710"/>
  <c r="C1710"/>
  <c r="D1710"/>
  <c r="E1710"/>
  <c r="F1710"/>
  <c r="G1710"/>
  <c r="H1710"/>
  <c r="I1710"/>
  <c r="J1710"/>
  <c r="K1710"/>
  <c r="L1710"/>
  <c r="N1710"/>
  <c r="A1711"/>
  <c r="B1711"/>
  <c r="C1711"/>
  <c r="D1711"/>
  <c r="E1711"/>
  <c r="F1711"/>
  <c r="G1711"/>
  <c r="H1711"/>
  <c r="I1711"/>
  <c r="J1711"/>
  <c r="K1711"/>
  <c r="L1711"/>
  <c r="M1711"/>
  <c r="N1711"/>
  <c r="A1712"/>
  <c r="B1712"/>
  <c r="C1712"/>
  <c r="D1712"/>
  <c r="E1712"/>
  <c r="F1712"/>
  <c r="G1712"/>
  <c r="H1712"/>
  <c r="I1712"/>
  <c r="J1712"/>
  <c r="K1712"/>
  <c r="L1712"/>
  <c r="M1712"/>
  <c r="N1712"/>
  <c r="A1713"/>
  <c r="B1713"/>
  <c r="C1713"/>
  <c r="D1713"/>
  <c r="E1713"/>
  <c r="F1713"/>
  <c r="G1713"/>
  <c r="H1713"/>
  <c r="I1713"/>
  <c r="J1713"/>
  <c r="K1713"/>
  <c r="L1713"/>
  <c r="N1713"/>
  <c r="A1714"/>
  <c r="B1714"/>
  <c r="C1714"/>
  <c r="D1714"/>
  <c r="E1714"/>
  <c r="F1714"/>
  <c r="G1714"/>
  <c r="H1714"/>
  <c r="I1714"/>
  <c r="J1714"/>
  <c r="K1714"/>
  <c r="L1714"/>
  <c r="N1714"/>
  <c r="A1715"/>
  <c r="B1715"/>
  <c r="C1715"/>
  <c r="D1715"/>
  <c r="E1715"/>
  <c r="F1715"/>
  <c r="G1715"/>
  <c r="H1715"/>
  <c r="I1715"/>
  <c r="J1715"/>
  <c r="K1715"/>
  <c r="L1715"/>
  <c r="N1715"/>
  <c r="A1716"/>
  <c r="B1716"/>
  <c r="C1716"/>
  <c r="D1716"/>
  <c r="E1716"/>
  <c r="F1716"/>
  <c r="G1716"/>
  <c r="H1716"/>
  <c r="I1716"/>
  <c r="J1716"/>
  <c r="K1716"/>
  <c r="L1716"/>
  <c r="M1716"/>
  <c r="N1716"/>
  <c r="A1717"/>
  <c r="B1717"/>
  <c r="C1717"/>
  <c r="D1717"/>
  <c r="E1717"/>
  <c r="F1717"/>
  <c r="G1717"/>
  <c r="H1717"/>
  <c r="I1717"/>
  <c r="J1717"/>
  <c r="K1717"/>
  <c r="L1717"/>
  <c r="N1717"/>
  <c r="A1718"/>
  <c r="C1718"/>
  <c r="D1718"/>
  <c r="E1718"/>
  <c r="F1718"/>
  <c r="G1718"/>
  <c r="H1718"/>
  <c r="I1718"/>
  <c r="J1718"/>
  <c r="K1718"/>
  <c r="N1718"/>
  <c r="A1719"/>
  <c r="C1719"/>
  <c r="D1719"/>
  <c r="E1719"/>
  <c r="F1719"/>
  <c r="G1719"/>
  <c r="H1719"/>
  <c r="I1719"/>
  <c r="J1719"/>
  <c r="K1719"/>
  <c r="M1719"/>
  <c r="N1719"/>
  <c r="A1720"/>
  <c r="C1720"/>
  <c r="D1720"/>
  <c r="E1720"/>
  <c r="F1720"/>
  <c r="G1720"/>
  <c r="H1720"/>
  <c r="I1720"/>
  <c r="J1720"/>
  <c r="K1720"/>
  <c r="M1720"/>
  <c r="N1720"/>
  <c r="A1721"/>
  <c r="C1721"/>
  <c r="D1721"/>
  <c r="E1721"/>
  <c r="F1721"/>
  <c r="G1721"/>
  <c r="H1721"/>
  <c r="I1721"/>
  <c r="J1721"/>
  <c r="K1721"/>
  <c r="N1721"/>
  <c r="A1722"/>
  <c r="C1722"/>
  <c r="D1722"/>
  <c r="E1722"/>
  <c r="F1722"/>
  <c r="G1722"/>
  <c r="H1722"/>
  <c r="I1722"/>
  <c r="J1722"/>
  <c r="K1722"/>
  <c r="N1722"/>
  <c r="A1723"/>
  <c r="C1723"/>
  <c r="D1723"/>
  <c r="E1723"/>
  <c r="F1723"/>
  <c r="G1723"/>
  <c r="H1723"/>
  <c r="I1723"/>
  <c r="J1723"/>
  <c r="K1723"/>
  <c r="N1723"/>
  <c r="A1724"/>
  <c r="C1724"/>
  <c r="D1724"/>
  <c r="E1724"/>
  <c r="F1724"/>
  <c r="G1724"/>
  <c r="H1724"/>
  <c r="I1724"/>
  <c r="J1724"/>
  <c r="K1724"/>
  <c r="N1724"/>
  <c r="A1725"/>
  <c r="C1725"/>
  <c r="D1725"/>
  <c r="E1725"/>
  <c r="F1725"/>
  <c r="G1725"/>
  <c r="H1725"/>
  <c r="I1725"/>
  <c r="J1725"/>
  <c r="K1725"/>
  <c r="N1725"/>
  <c r="A1726"/>
  <c r="C1726"/>
  <c r="D1726"/>
  <c r="E1726"/>
  <c r="F1726"/>
  <c r="G1726"/>
  <c r="H1726"/>
  <c r="I1726"/>
  <c r="J1726"/>
  <c r="K1726"/>
  <c r="N1726"/>
  <c r="A1727"/>
  <c r="C1727"/>
  <c r="D1727"/>
  <c r="E1727"/>
  <c r="F1727"/>
  <c r="G1727"/>
  <c r="H1727"/>
  <c r="I1727"/>
  <c r="J1727"/>
  <c r="K1727"/>
  <c r="N1727"/>
  <c r="A1728"/>
  <c r="C1728"/>
  <c r="D1728"/>
  <c r="E1728"/>
  <c r="F1728"/>
  <c r="G1728"/>
  <c r="H1728"/>
  <c r="I1728"/>
  <c r="J1728"/>
  <c r="K1728"/>
  <c r="M1728"/>
  <c r="N1728"/>
  <c r="A1729"/>
  <c r="C1729"/>
  <c r="D1729"/>
  <c r="E1729"/>
  <c r="F1729"/>
  <c r="G1729"/>
  <c r="H1729"/>
  <c r="I1729"/>
  <c r="J1729"/>
  <c r="K1729"/>
  <c r="N1729"/>
  <c r="A1730"/>
  <c r="C1730"/>
  <c r="D1730"/>
  <c r="E1730"/>
  <c r="F1730"/>
  <c r="G1730"/>
  <c r="H1730"/>
  <c r="I1730"/>
  <c r="J1730"/>
  <c r="K1730"/>
  <c r="N1730"/>
  <c r="A1731"/>
  <c r="C1731"/>
  <c r="D1731"/>
  <c r="E1731"/>
  <c r="F1731"/>
  <c r="G1731"/>
  <c r="H1731"/>
  <c r="I1731"/>
  <c r="J1731"/>
  <c r="K1731"/>
  <c r="N1731"/>
  <c r="A1732"/>
  <c r="C1732"/>
  <c r="D1732"/>
  <c r="E1732"/>
  <c r="F1732"/>
  <c r="G1732"/>
  <c r="H1732"/>
  <c r="I1732"/>
  <c r="J1732"/>
  <c r="K1732"/>
  <c r="N1732"/>
  <c r="A1733"/>
  <c r="C1733"/>
  <c r="D1733"/>
  <c r="E1733"/>
  <c r="F1733"/>
  <c r="G1733"/>
  <c r="H1733"/>
  <c r="I1733"/>
  <c r="J1733"/>
  <c r="K1733"/>
  <c r="N1733"/>
  <c r="A1734"/>
  <c r="C1734"/>
  <c r="D1734"/>
  <c r="E1734"/>
  <c r="F1734"/>
  <c r="G1734"/>
  <c r="H1734"/>
  <c r="I1734"/>
  <c r="J1734"/>
  <c r="K1734"/>
  <c r="N1734"/>
  <c r="A1735"/>
  <c r="C1735"/>
  <c r="D1735"/>
  <c r="E1735"/>
  <c r="F1735"/>
  <c r="G1735"/>
  <c r="H1735"/>
  <c r="I1735"/>
  <c r="J1735"/>
  <c r="K1735"/>
  <c r="M1735"/>
  <c r="N1735"/>
  <c r="A1736"/>
  <c r="C1736"/>
  <c r="D1736"/>
  <c r="E1736"/>
  <c r="F1736"/>
  <c r="G1736"/>
  <c r="H1736"/>
  <c r="I1736"/>
  <c r="J1736"/>
  <c r="K1736"/>
  <c r="M1736"/>
  <c r="N1736"/>
  <c r="A1737"/>
  <c r="C1737"/>
  <c r="D1737"/>
  <c r="E1737"/>
  <c r="F1737"/>
  <c r="G1737"/>
  <c r="H1737"/>
  <c r="I1737"/>
  <c r="J1737"/>
  <c r="K1737"/>
  <c r="N1737"/>
  <c r="A1738"/>
  <c r="C1738"/>
  <c r="D1738"/>
  <c r="E1738"/>
  <c r="F1738"/>
  <c r="G1738"/>
  <c r="H1738"/>
  <c r="I1738"/>
  <c r="J1738"/>
  <c r="K1738"/>
  <c r="N1738"/>
  <c r="A1739"/>
  <c r="C1739"/>
  <c r="D1739"/>
  <c r="E1739"/>
  <c r="F1739"/>
  <c r="G1739"/>
  <c r="H1739"/>
  <c r="I1739"/>
  <c r="J1739"/>
  <c r="K1739"/>
  <c r="N1739"/>
  <c r="A1740"/>
  <c r="C1740"/>
  <c r="D1740"/>
  <c r="E1740"/>
  <c r="F1740"/>
  <c r="G1740"/>
  <c r="H1740"/>
  <c r="I1740"/>
  <c r="J1740"/>
  <c r="K1740"/>
  <c r="N1740"/>
  <c r="A1741"/>
  <c r="C1741"/>
  <c r="D1741"/>
  <c r="E1741"/>
  <c r="F1741"/>
  <c r="G1741"/>
  <c r="H1741"/>
  <c r="I1741"/>
  <c r="J1741"/>
  <c r="K1741"/>
  <c r="N1741"/>
  <c r="A1742"/>
  <c r="C1742"/>
  <c r="D1742"/>
  <c r="E1742"/>
  <c r="F1742"/>
  <c r="G1742"/>
  <c r="H1742"/>
  <c r="I1742"/>
  <c r="J1742"/>
  <c r="K1742"/>
  <c r="N1742"/>
  <c r="A1743"/>
  <c r="C1743"/>
  <c r="D1743"/>
  <c r="E1743"/>
  <c r="F1743"/>
  <c r="G1743"/>
  <c r="H1743"/>
  <c r="I1743"/>
  <c r="J1743"/>
  <c r="K1743"/>
  <c r="N1743"/>
  <c r="A1744"/>
  <c r="C1744"/>
  <c r="D1744"/>
  <c r="E1744"/>
  <c r="F1744"/>
  <c r="G1744"/>
  <c r="H1744"/>
  <c r="I1744"/>
  <c r="J1744"/>
  <c r="K1744"/>
  <c r="M1744"/>
  <c r="N1744"/>
  <c r="A1745"/>
  <c r="C1745"/>
  <c r="D1745"/>
  <c r="E1745"/>
  <c r="F1745"/>
  <c r="G1745"/>
  <c r="H1745"/>
  <c r="I1745"/>
  <c r="J1745"/>
  <c r="K1745"/>
  <c r="N1745"/>
  <c r="A1746"/>
  <c r="C1746"/>
  <c r="D1746"/>
  <c r="E1746"/>
  <c r="F1746"/>
  <c r="G1746"/>
  <c r="H1746"/>
  <c r="I1746"/>
  <c r="J1746"/>
  <c r="K1746"/>
  <c r="N1746"/>
  <c r="A1747"/>
  <c r="C1747"/>
  <c r="D1747"/>
  <c r="E1747"/>
  <c r="F1747"/>
  <c r="G1747"/>
  <c r="H1747"/>
  <c r="I1747"/>
  <c r="J1747"/>
  <c r="K1747"/>
  <c r="N1747"/>
  <c r="A1748"/>
  <c r="C1748"/>
  <c r="D1748"/>
  <c r="E1748"/>
  <c r="F1748"/>
  <c r="G1748"/>
  <c r="H1748"/>
  <c r="I1748"/>
  <c r="J1748"/>
  <c r="K1748"/>
  <c r="N1748"/>
  <c r="A1749"/>
  <c r="C1749"/>
  <c r="D1749"/>
  <c r="E1749"/>
  <c r="F1749"/>
  <c r="G1749"/>
  <c r="H1749"/>
  <c r="I1749"/>
  <c r="J1749"/>
  <c r="K1749"/>
  <c r="N1749"/>
  <c r="A1750"/>
  <c r="C1750"/>
  <c r="D1750"/>
  <c r="E1750"/>
  <c r="F1750"/>
  <c r="G1750"/>
  <c r="H1750"/>
  <c r="I1750"/>
  <c r="J1750"/>
  <c r="K1750"/>
  <c r="N1750"/>
  <c r="A1751"/>
  <c r="C1751"/>
  <c r="D1751"/>
  <c r="E1751"/>
  <c r="F1751"/>
  <c r="G1751"/>
  <c r="H1751"/>
  <c r="I1751"/>
  <c r="J1751"/>
  <c r="K1751"/>
  <c r="M1751"/>
  <c r="N1751"/>
  <c r="A1752"/>
  <c r="C1752"/>
  <c r="D1752"/>
  <c r="E1752"/>
  <c r="F1752"/>
  <c r="G1752"/>
  <c r="H1752"/>
  <c r="I1752"/>
  <c r="J1752"/>
  <c r="K1752"/>
  <c r="M1752"/>
  <c r="N1752"/>
  <c r="A1753"/>
  <c r="C1753"/>
  <c r="D1753"/>
  <c r="E1753"/>
  <c r="F1753"/>
  <c r="G1753"/>
  <c r="H1753"/>
  <c r="I1753"/>
  <c r="J1753"/>
  <c r="K1753"/>
  <c r="N1753"/>
  <c r="A1754"/>
  <c r="C1754"/>
  <c r="D1754"/>
  <c r="E1754"/>
  <c r="F1754"/>
  <c r="G1754"/>
  <c r="H1754"/>
  <c r="I1754"/>
  <c r="J1754"/>
  <c r="K1754"/>
  <c r="N1754"/>
  <c r="A1755"/>
  <c r="C1755"/>
  <c r="D1755"/>
  <c r="E1755"/>
  <c r="F1755"/>
  <c r="G1755"/>
  <c r="H1755"/>
  <c r="I1755"/>
  <c r="J1755"/>
  <c r="K1755"/>
  <c r="N1755"/>
  <c r="A1756"/>
  <c r="C1756"/>
  <c r="D1756"/>
  <c r="E1756"/>
  <c r="F1756"/>
  <c r="G1756"/>
  <c r="H1756"/>
  <c r="I1756"/>
  <c r="J1756"/>
  <c r="K1756"/>
  <c r="N1756"/>
  <c r="A1757"/>
  <c r="C1757"/>
  <c r="D1757"/>
  <c r="E1757"/>
  <c r="F1757"/>
  <c r="G1757"/>
  <c r="H1757"/>
  <c r="I1757"/>
  <c r="J1757"/>
  <c r="K1757"/>
  <c r="N1757"/>
  <c r="A1758"/>
  <c r="C1758"/>
  <c r="D1758"/>
  <c r="E1758"/>
  <c r="F1758"/>
  <c r="G1758"/>
  <c r="H1758"/>
  <c r="I1758"/>
  <c r="J1758"/>
  <c r="K1758"/>
  <c r="N1758"/>
  <c r="A1759"/>
  <c r="C1759"/>
  <c r="D1759"/>
  <c r="E1759"/>
  <c r="F1759"/>
  <c r="G1759"/>
  <c r="H1759"/>
  <c r="I1759"/>
  <c r="J1759"/>
  <c r="K1759"/>
  <c r="N1759"/>
  <c r="A1760"/>
  <c r="C1760"/>
  <c r="D1760"/>
  <c r="E1760"/>
  <c r="F1760"/>
  <c r="G1760"/>
  <c r="H1760"/>
  <c r="I1760"/>
  <c r="J1760"/>
  <c r="K1760"/>
  <c r="M1760"/>
  <c r="N1760"/>
  <c r="A1761"/>
  <c r="C1761"/>
  <c r="D1761"/>
  <c r="E1761"/>
  <c r="F1761"/>
  <c r="G1761"/>
  <c r="H1761"/>
  <c r="I1761"/>
  <c r="J1761"/>
  <c r="K1761"/>
  <c r="N1761"/>
  <c r="A1762"/>
  <c r="C1762"/>
  <c r="D1762"/>
  <c r="E1762"/>
  <c r="F1762"/>
  <c r="G1762"/>
  <c r="H1762"/>
  <c r="I1762"/>
  <c r="J1762"/>
  <c r="K1762"/>
  <c r="N1762"/>
  <c r="A1763"/>
  <c r="C1763"/>
  <c r="D1763"/>
  <c r="E1763"/>
  <c r="F1763"/>
  <c r="G1763"/>
  <c r="H1763"/>
  <c r="I1763"/>
  <c r="J1763"/>
  <c r="K1763"/>
  <c r="N1763"/>
  <c r="A1764"/>
  <c r="C1764"/>
  <c r="D1764"/>
  <c r="E1764"/>
  <c r="F1764"/>
  <c r="G1764"/>
  <c r="H1764"/>
  <c r="I1764"/>
  <c r="J1764"/>
  <c r="K1764"/>
  <c r="N1764"/>
  <c r="A1765"/>
  <c r="C1765"/>
  <c r="D1765"/>
  <c r="E1765"/>
  <c r="F1765"/>
  <c r="G1765"/>
  <c r="H1765"/>
  <c r="I1765"/>
  <c r="J1765"/>
  <c r="K1765"/>
  <c r="N1765"/>
  <c r="A1766"/>
  <c r="C1766"/>
  <c r="D1766"/>
  <c r="E1766"/>
  <c r="F1766"/>
  <c r="G1766"/>
  <c r="H1766"/>
  <c r="I1766"/>
  <c r="J1766"/>
  <c r="K1766"/>
  <c r="N1766"/>
  <c r="A1767"/>
  <c r="C1767"/>
  <c r="D1767"/>
  <c r="E1767"/>
  <c r="F1767"/>
  <c r="G1767"/>
  <c r="H1767"/>
  <c r="I1767"/>
  <c r="J1767"/>
  <c r="K1767"/>
  <c r="M1767"/>
  <c r="N1767"/>
  <c r="A1768"/>
  <c r="C1768"/>
  <c r="D1768"/>
  <c r="E1768"/>
  <c r="F1768"/>
  <c r="G1768"/>
  <c r="H1768"/>
  <c r="I1768"/>
  <c r="J1768"/>
  <c r="K1768"/>
  <c r="M1768"/>
  <c r="N1768"/>
  <c r="A1769"/>
  <c r="C1769"/>
  <c r="D1769"/>
  <c r="E1769"/>
  <c r="F1769"/>
  <c r="G1769"/>
  <c r="H1769"/>
  <c r="I1769"/>
  <c r="J1769"/>
  <c r="K1769"/>
  <c r="N1769"/>
  <c r="A1770"/>
  <c r="C1770"/>
  <c r="D1770"/>
  <c r="E1770"/>
  <c r="F1770"/>
  <c r="G1770"/>
  <c r="H1770"/>
  <c r="I1770"/>
  <c r="J1770"/>
  <c r="K1770"/>
  <c r="N1770"/>
  <c r="A1771"/>
  <c r="C1771"/>
  <c r="D1771"/>
  <c r="E1771"/>
  <c r="F1771"/>
  <c r="G1771"/>
  <c r="H1771"/>
  <c r="I1771"/>
  <c r="J1771"/>
  <c r="K1771"/>
  <c r="N1771"/>
  <c r="A1772"/>
  <c r="C1772"/>
  <c r="D1772"/>
  <c r="E1772"/>
  <c r="F1772"/>
  <c r="G1772"/>
  <c r="H1772"/>
  <c r="I1772"/>
  <c r="J1772"/>
  <c r="K1772"/>
  <c r="N1772"/>
  <c r="A1773"/>
  <c r="C1773"/>
  <c r="D1773"/>
  <c r="E1773"/>
  <c r="F1773"/>
  <c r="G1773"/>
  <c r="H1773"/>
  <c r="I1773"/>
  <c r="J1773"/>
  <c r="K1773"/>
  <c r="N1773"/>
  <c r="A1774"/>
  <c r="C1774"/>
  <c r="D1774"/>
  <c r="E1774"/>
  <c r="F1774"/>
  <c r="G1774"/>
  <c r="H1774"/>
  <c r="I1774"/>
  <c r="J1774"/>
  <c r="K1774"/>
  <c r="N1774"/>
  <c r="A1775"/>
  <c r="C1775"/>
  <c r="D1775"/>
  <c r="E1775"/>
  <c r="F1775"/>
  <c r="G1775"/>
  <c r="H1775"/>
  <c r="I1775"/>
  <c r="J1775"/>
  <c r="K1775"/>
  <c r="N1775"/>
  <c r="A1776"/>
  <c r="C1776"/>
  <c r="D1776"/>
  <c r="E1776"/>
  <c r="F1776"/>
  <c r="G1776"/>
  <c r="H1776"/>
  <c r="I1776"/>
  <c r="J1776"/>
  <c r="K1776"/>
  <c r="M1776"/>
  <c r="N1776"/>
  <c r="A1777"/>
  <c r="C1777"/>
  <c r="D1777"/>
  <c r="E1777"/>
  <c r="F1777"/>
  <c r="G1777"/>
  <c r="H1777"/>
  <c r="I1777"/>
  <c r="J1777"/>
  <c r="K1777"/>
  <c r="N1777"/>
  <c r="A1778"/>
  <c r="C1778"/>
  <c r="D1778"/>
  <c r="E1778"/>
  <c r="F1778"/>
  <c r="G1778"/>
  <c r="H1778"/>
  <c r="I1778"/>
  <c r="J1778"/>
  <c r="K1778"/>
  <c r="N1778"/>
  <c r="A1779"/>
  <c r="C1779"/>
  <c r="D1779"/>
  <c r="E1779"/>
  <c r="F1779"/>
  <c r="G1779"/>
  <c r="H1779"/>
  <c r="I1779"/>
  <c r="J1779"/>
  <c r="K1779"/>
  <c r="N1779"/>
  <c r="A1780"/>
  <c r="C1780"/>
  <c r="D1780"/>
  <c r="E1780"/>
  <c r="F1780"/>
  <c r="G1780"/>
  <c r="H1780"/>
  <c r="I1780"/>
  <c r="J1780"/>
  <c r="K1780"/>
  <c r="N1780"/>
  <c r="A1781"/>
  <c r="C1781"/>
  <c r="D1781"/>
  <c r="E1781"/>
  <c r="F1781"/>
  <c r="G1781"/>
  <c r="H1781"/>
  <c r="I1781"/>
  <c r="J1781"/>
  <c r="K1781"/>
  <c r="N1781"/>
  <c r="A1782"/>
  <c r="C1782"/>
  <c r="D1782"/>
  <c r="E1782"/>
  <c r="F1782"/>
  <c r="G1782"/>
  <c r="H1782"/>
  <c r="I1782"/>
  <c r="J1782"/>
  <c r="K1782"/>
  <c r="N1782"/>
  <c r="A1783"/>
  <c r="C1783"/>
  <c r="D1783"/>
  <c r="E1783"/>
  <c r="F1783"/>
  <c r="G1783"/>
  <c r="H1783"/>
  <c r="I1783"/>
  <c r="J1783"/>
  <c r="K1783"/>
  <c r="M1783"/>
  <c r="N1783"/>
  <c r="A1784"/>
  <c r="C1784"/>
  <c r="D1784"/>
  <c r="E1784"/>
  <c r="F1784"/>
  <c r="G1784"/>
  <c r="H1784"/>
  <c r="I1784"/>
  <c r="J1784"/>
  <c r="K1784"/>
  <c r="M1784"/>
  <c r="N1784"/>
  <c r="A1785"/>
  <c r="C1785"/>
  <c r="D1785"/>
  <c r="E1785"/>
  <c r="F1785"/>
  <c r="G1785"/>
  <c r="H1785"/>
  <c r="I1785"/>
  <c r="J1785"/>
  <c r="K1785"/>
  <c r="N1785"/>
  <c r="A1786"/>
  <c r="C1786"/>
  <c r="D1786"/>
  <c r="E1786"/>
  <c r="F1786"/>
  <c r="G1786"/>
  <c r="H1786"/>
  <c r="I1786"/>
  <c r="J1786"/>
  <c r="K1786"/>
  <c r="N1786"/>
  <c r="A1787"/>
  <c r="C1787"/>
  <c r="D1787"/>
  <c r="E1787"/>
  <c r="F1787"/>
  <c r="G1787"/>
  <c r="H1787"/>
  <c r="I1787"/>
  <c r="J1787"/>
  <c r="K1787"/>
  <c r="N1787"/>
  <c r="A1788"/>
  <c r="C1788"/>
  <c r="D1788"/>
  <c r="E1788"/>
  <c r="F1788"/>
  <c r="G1788"/>
  <c r="H1788"/>
  <c r="I1788"/>
  <c r="J1788"/>
  <c r="K1788"/>
  <c r="N1788"/>
  <c r="A1789"/>
  <c r="C1789"/>
  <c r="D1789"/>
  <c r="E1789"/>
  <c r="F1789"/>
  <c r="G1789"/>
  <c r="H1789"/>
  <c r="I1789"/>
  <c r="J1789"/>
  <c r="K1789"/>
  <c r="N1789"/>
  <c r="A1790"/>
  <c r="C1790"/>
  <c r="D1790"/>
  <c r="E1790"/>
  <c r="F1790"/>
  <c r="G1790"/>
  <c r="H1790"/>
  <c r="I1790"/>
  <c r="J1790"/>
  <c r="K1790"/>
  <c r="N1790"/>
  <c r="A1791"/>
  <c r="C1791"/>
  <c r="D1791"/>
  <c r="E1791"/>
  <c r="F1791"/>
  <c r="G1791"/>
  <c r="H1791"/>
  <c r="I1791"/>
  <c r="J1791"/>
  <c r="K1791"/>
  <c r="N1791"/>
  <c r="A1792"/>
  <c r="C1792"/>
  <c r="D1792"/>
  <c r="E1792"/>
  <c r="F1792"/>
  <c r="G1792"/>
  <c r="H1792"/>
  <c r="I1792"/>
  <c r="J1792"/>
  <c r="K1792"/>
  <c r="M1792"/>
  <c r="N1792"/>
  <c r="A1793"/>
  <c r="C1793"/>
  <c r="D1793"/>
  <c r="E1793"/>
  <c r="F1793"/>
  <c r="G1793"/>
  <c r="H1793"/>
  <c r="I1793"/>
  <c r="J1793"/>
  <c r="K1793"/>
  <c r="N1793"/>
  <c r="A1794"/>
  <c r="C1794"/>
  <c r="D1794"/>
  <c r="E1794"/>
  <c r="F1794"/>
  <c r="G1794"/>
  <c r="H1794"/>
  <c r="I1794"/>
  <c r="J1794"/>
  <c r="K1794"/>
  <c r="N1794"/>
  <c r="A1795"/>
  <c r="C1795"/>
  <c r="D1795"/>
  <c r="E1795"/>
  <c r="F1795"/>
  <c r="G1795"/>
  <c r="H1795"/>
  <c r="I1795"/>
  <c r="J1795"/>
  <c r="K1795"/>
  <c r="N1795"/>
  <c r="A1796"/>
  <c r="C1796"/>
  <c r="D1796"/>
  <c r="E1796"/>
  <c r="F1796"/>
  <c r="G1796"/>
  <c r="H1796"/>
  <c r="I1796"/>
  <c r="J1796"/>
  <c r="K1796"/>
  <c r="N1796"/>
  <c r="A1797"/>
  <c r="C1797"/>
  <c r="D1797"/>
  <c r="E1797"/>
  <c r="F1797"/>
  <c r="G1797"/>
  <c r="H1797"/>
  <c r="I1797"/>
  <c r="J1797"/>
  <c r="K1797"/>
  <c r="N1797"/>
  <c r="A1798"/>
  <c r="C1798"/>
  <c r="D1798"/>
  <c r="E1798"/>
  <c r="F1798"/>
  <c r="G1798"/>
  <c r="H1798"/>
  <c r="I1798"/>
  <c r="J1798"/>
  <c r="K1798"/>
  <c r="N1798"/>
  <c r="A1799"/>
  <c r="C1799"/>
  <c r="D1799"/>
  <c r="E1799"/>
  <c r="F1799"/>
  <c r="G1799"/>
  <c r="H1799"/>
  <c r="I1799"/>
  <c r="J1799"/>
  <c r="K1799"/>
  <c r="N1799"/>
  <c r="A1800"/>
  <c r="C1800"/>
  <c r="D1800"/>
  <c r="E1800"/>
  <c r="F1800"/>
  <c r="G1800"/>
  <c r="H1800"/>
  <c r="I1800"/>
  <c r="J1800"/>
  <c r="K1800"/>
  <c r="M1800"/>
  <c r="N1800"/>
  <c r="A1801"/>
  <c r="C1801"/>
  <c r="D1801"/>
  <c r="E1801"/>
  <c r="F1801"/>
  <c r="G1801"/>
  <c r="H1801"/>
  <c r="I1801"/>
  <c r="J1801"/>
  <c r="K1801"/>
  <c r="N1801"/>
  <c r="A1802"/>
  <c r="C1802"/>
  <c r="D1802"/>
  <c r="E1802"/>
  <c r="F1802"/>
  <c r="G1802"/>
  <c r="H1802"/>
  <c r="I1802"/>
  <c r="J1802"/>
  <c r="K1802"/>
  <c r="N1802"/>
  <c r="A1803"/>
  <c r="C1803"/>
  <c r="D1803"/>
  <c r="E1803"/>
  <c r="F1803"/>
  <c r="G1803"/>
  <c r="H1803"/>
  <c r="I1803"/>
  <c r="J1803"/>
  <c r="K1803"/>
  <c r="N1803"/>
  <c r="A1804"/>
  <c r="C1804"/>
  <c r="D1804"/>
  <c r="E1804"/>
  <c r="F1804"/>
  <c r="G1804"/>
  <c r="H1804"/>
  <c r="I1804"/>
  <c r="J1804"/>
  <c r="K1804"/>
  <c r="N1804"/>
  <c r="A1805"/>
  <c r="C1805"/>
  <c r="D1805"/>
  <c r="E1805"/>
  <c r="F1805"/>
  <c r="G1805"/>
  <c r="H1805"/>
  <c r="I1805"/>
  <c r="J1805"/>
  <c r="K1805"/>
  <c r="N1805"/>
  <c r="A1806"/>
  <c r="C1806"/>
  <c r="D1806"/>
  <c r="E1806"/>
  <c r="F1806"/>
  <c r="G1806"/>
  <c r="H1806"/>
  <c r="I1806"/>
  <c r="J1806"/>
  <c r="K1806"/>
  <c r="N1806"/>
  <c r="A1807"/>
  <c r="C1807"/>
  <c r="D1807"/>
  <c r="E1807"/>
  <c r="F1807"/>
  <c r="G1807"/>
  <c r="H1807"/>
  <c r="I1807"/>
  <c r="J1807"/>
  <c r="K1807"/>
  <c r="N1807"/>
  <c r="A1808"/>
  <c r="C1808"/>
  <c r="D1808"/>
  <c r="E1808"/>
  <c r="F1808"/>
  <c r="G1808"/>
  <c r="H1808"/>
  <c r="I1808"/>
  <c r="J1808"/>
  <c r="K1808"/>
  <c r="M1808"/>
  <c r="N1808"/>
  <c r="A1809"/>
  <c r="C1809"/>
  <c r="D1809"/>
  <c r="E1809"/>
  <c r="F1809"/>
  <c r="G1809"/>
  <c r="H1809"/>
  <c r="I1809"/>
  <c r="J1809"/>
  <c r="K1809"/>
  <c r="N1809"/>
  <c r="A1810"/>
  <c r="C1810"/>
  <c r="D1810"/>
  <c r="E1810"/>
  <c r="F1810"/>
  <c r="G1810"/>
  <c r="H1810"/>
  <c r="I1810"/>
  <c r="J1810"/>
  <c r="K1810"/>
  <c r="N1810"/>
  <c r="A1811"/>
  <c r="C1811"/>
  <c r="D1811"/>
  <c r="E1811"/>
  <c r="F1811"/>
  <c r="G1811"/>
  <c r="H1811"/>
  <c r="I1811"/>
  <c r="J1811"/>
  <c r="K1811"/>
  <c r="N1811"/>
  <c r="A1812"/>
  <c r="C1812"/>
  <c r="D1812"/>
  <c r="E1812"/>
  <c r="F1812"/>
  <c r="G1812"/>
  <c r="H1812"/>
  <c r="I1812"/>
  <c r="J1812"/>
  <c r="K1812"/>
  <c r="N1812"/>
  <c r="A1813"/>
  <c r="C1813"/>
  <c r="D1813"/>
  <c r="E1813"/>
  <c r="F1813"/>
  <c r="G1813"/>
  <c r="H1813"/>
  <c r="I1813"/>
  <c r="J1813"/>
  <c r="K1813"/>
  <c r="N1813"/>
  <c r="A1814"/>
  <c r="C1814"/>
  <c r="D1814"/>
  <c r="E1814"/>
  <c r="F1814"/>
  <c r="G1814"/>
  <c r="H1814"/>
  <c r="I1814"/>
  <c r="J1814"/>
  <c r="K1814"/>
  <c r="N1814"/>
  <c r="A1815"/>
  <c r="C1815"/>
  <c r="D1815"/>
  <c r="E1815"/>
  <c r="F1815"/>
  <c r="G1815"/>
  <c r="H1815"/>
  <c r="I1815"/>
  <c r="J1815"/>
  <c r="K1815"/>
  <c r="M1815"/>
  <c r="N1815"/>
  <c r="A1816"/>
  <c r="C1816"/>
  <c r="D1816"/>
  <c r="E1816"/>
  <c r="F1816"/>
  <c r="G1816"/>
  <c r="H1816"/>
  <c r="I1816"/>
  <c r="J1816"/>
  <c r="K1816"/>
  <c r="M1816"/>
  <c r="N1816"/>
  <c r="A1817"/>
  <c r="C1817"/>
  <c r="D1817"/>
  <c r="E1817"/>
  <c r="F1817"/>
  <c r="G1817"/>
  <c r="H1817"/>
  <c r="I1817"/>
  <c r="J1817"/>
  <c r="K1817"/>
  <c r="N1817"/>
  <c r="A1818"/>
  <c r="C1818"/>
  <c r="D1818"/>
  <c r="E1818"/>
  <c r="F1818"/>
  <c r="G1818"/>
  <c r="H1818"/>
  <c r="I1818"/>
  <c r="J1818"/>
  <c r="K1818"/>
  <c r="N1818"/>
  <c r="A1819"/>
  <c r="C1819"/>
  <c r="D1819"/>
  <c r="E1819"/>
  <c r="F1819"/>
  <c r="G1819"/>
  <c r="H1819"/>
  <c r="I1819"/>
  <c r="J1819"/>
  <c r="K1819"/>
  <c r="N1819"/>
  <c r="A1820"/>
  <c r="C1820"/>
  <c r="D1820"/>
  <c r="E1820"/>
  <c r="F1820"/>
  <c r="G1820"/>
  <c r="H1820"/>
  <c r="I1820"/>
  <c r="J1820"/>
  <c r="K1820"/>
  <c r="N1820"/>
  <c r="A1821"/>
  <c r="C1821"/>
  <c r="D1821"/>
  <c r="E1821"/>
  <c r="F1821"/>
  <c r="G1821"/>
  <c r="H1821"/>
  <c r="I1821"/>
  <c r="J1821"/>
  <c r="K1821"/>
  <c r="N1821"/>
  <c r="A1822"/>
  <c r="C1822"/>
  <c r="D1822"/>
  <c r="E1822"/>
  <c r="F1822"/>
  <c r="G1822"/>
  <c r="H1822"/>
  <c r="I1822"/>
  <c r="J1822"/>
  <c r="K1822"/>
  <c r="N1822"/>
  <c r="A1823"/>
  <c r="C1823"/>
  <c r="D1823"/>
  <c r="E1823"/>
  <c r="F1823"/>
  <c r="G1823"/>
  <c r="H1823"/>
  <c r="I1823"/>
  <c r="J1823"/>
  <c r="K1823"/>
  <c r="N1823"/>
  <c r="A1824"/>
  <c r="C1824"/>
  <c r="D1824"/>
  <c r="E1824"/>
  <c r="F1824"/>
  <c r="G1824"/>
  <c r="H1824"/>
  <c r="I1824"/>
  <c r="J1824"/>
  <c r="K1824"/>
  <c r="M1824"/>
  <c r="N1824"/>
  <c r="A1825"/>
  <c r="C1825"/>
  <c r="D1825"/>
  <c r="E1825"/>
  <c r="F1825"/>
  <c r="G1825"/>
  <c r="H1825"/>
  <c r="I1825"/>
  <c r="J1825"/>
  <c r="K1825"/>
  <c r="N1825"/>
  <c r="A1826"/>
  <c r="C1826"/>
  <c r="D1826"/>
  <c r="E1826"/>
  <c r="F1826"/>
  <c r="G1826"/>
  <c r="H1826"/>
  <c r="I1826"/>
  <c r="J1826"/>
  <c r="K1826"/>
  <c r="N1826"/>
  <c r="A1827"/>
  <c r="C1827"/>
  <c r="D1827"/>
  <c r="E1827"/>
  <c r="F1827"/>
  <c r="G1827"/>
  <c r="H1827"/>
  <c r="I1827"/>
  <c r="J1827"/>
  <c r="K1827"/>
  <c r="N1827"/>
  <c r="A1828"/>
  <c r="C1828"/>
  <c r="D1828"/>
  <c r="E1828"/>
  <c r="F1828"/>
  <c r="G1828"/>
  <c r="H1828"/>
  <c r="I1828"/>
  <c r="J1828"/>
  <c r="K1828"/>
  <c r="N1828"/>
  <c r="A1829"/>
  <c r="C1829"/>
  <c r="D1829"/>
  <c r="E1829"/>
  <c r="F1829"/>
  <c r="G1829"/>
  <c r="H1829"/>
  <c r="I1829"/>
  <c r="J1829"/>
  <c r="K1829"/>
  <c r="N1829"/>
  <c r="A1830"/>
  <c r="C1830"/>
  <c r="D1830"/>
  <c r="E1830"/>
  <c r="F1830"/>
  <c r="G1830"/>
  <c r="H1830"/>
  <c r="I1830"/>
  <c r="J1830"/>
  <c r="K1830"/>
  <c r="N1830"/>
  <c r="A1831"/>
  <c r="C1831"/>
  <c r="D1831"/>
  <c r="E1831"/>
  <c r="F1831"/>
  <c r="G1831"/>
  <c r="H1831"/>
  <c r="I1831"/>
  <c r="J1831"/>
  <c r="K1831"/>
  <c r="M1831"/>
  <c r="N1831"/>
  <c r="A1832"/>
  <c r="C1832"/>
  <c r="D1832"/>
  <c r="E1832"/>
  <c r="F1832"/>
  <c r="G1832"/>
  <c r="H1832"/>
  <c r="I1832"/>
  <c r="J1832"/>
  <c r="K1832"/>
  <c r="M1832"/>
  <c r="N1832"/>
  <c r="A1833"/>
  <c r="C1833"/>
  <c r="D1833"/>
  <c r="E1833"/>
  <c r="F1833"/>
  <c r="G1833"/>
  <c r="H1833"/>
  <c r="I1833"/>
  <c r="J1833"/>
  <c r="K1833"/>
  <c r="N1833"/>
  <c r="A1834"/>
  <c r="C1834"/>
  <c r="D1834"/>
  <c r="E1834"/>
  <c r="F1834"/>
  <c r="G1834"/>
  <c r="H1834"/>
  <c r="I1834"/>
  <c r="J1834"/>
  <c r="K1834"/>
  <c r="N1834"/>
  <c r="A1835"/>
  <c r="C1835"/>
  <c r="D1835"/>
  <c r="E1835"/>
  <c r="F1835"/>
  <c r="G1835"/>
  <c r="H1835"/>
  <c r="I1835"/>
  <c r="J1835"/>
  <c r="K1835"/>
  <c r="N1835"/>
  <c r="A1836"/>
  <c r="C1836"/>
  <c r="D1836"/>
  <c r="E1836"/>
  <c r="F1836"/>
  <c r="G1836"/>
  <c r="H1836"/>
  <c r="I1836"/>
  <c r="J1836"/>
  <c r="K1836"/>
  <c r="N1836"/>
  <c r="A1837"/>
  <c r="C1837"/>
  <c r="D1837"/>
  <c r="E1837"/>
  <c r="F1837"/>
  <c r="G1837"/>
  <c r="H1837"/>
  <c r="I1837"/>
  <c r="J1837"/>
  <c r="K1837"/>
  <c r="N1837"/>
  <c r="A1838"/>
  <c r="C1838"/>
  <c r="D1838"/>
  <c r="E1838"/>
  <c r="F1838"/>
  <c r="G1838"/>
  <c r="H1838"/>
  <c r="I1838"/>
  <c r="J1838"/>
  <c r="K1838"/>
  <c r="N1838"/>
  <c r="A1839"/>
  <c r="C1839"/>
  <c r="D1839"/>
  <c r="E1839"/>
  <c r="F1839"/>
  <c r="G1839"/>
  <c r="H1839"/>
  <c r="I1839"/>
  <c r="J1839"/>
  <c r="K1839"/>
  <c r="N1839"/>
  <c r="A1840"/>
  <c r="C1840"/>
  <c r="D1840"/>
  <c r="E1840"/>
  <c r="F1840"/>
  <c r="G1840"/>
  <c r="H1840"/>
  <c r="I1840"/>
  <c r="J1840"/>
  <c r="K1840"/>
  <c r="M1840"/>
  <c r="N1840"/>
  <c r="A1841"/>
  <c r="C1841"/>
  <c r="D1841"/>
  <c r="E1841"/>
  <c r="F1841"/>
  <c r="G1841"/>
  <c r="H1841"/>
  <c r="I1841"/>
  <c r="J1841"/>
  <c r="K1841"/>
  <c r="N1841"/>
  <c r="A1842"/>
  <c r="C1842"/>
  <c r="D1842"/>
  <c r="E1842"/>
  <c r="F1842"/>
  <c r="G1842"/>
  <c r="H1842"/>
  <c r="I1842"/>
  <c r="J1842"/>
  <c r="K1842"/>
  <c r="N1842"/>
  <c r="A1843"/>
  <c r="C1843"/>
  <c r="D1843"/>
  <c r="E1843"/>
  <c r="F1843"/>
  <c r="G1843"/>
  <c r="H1843"/>
  <c r="I1843"/>
  <c r="J1843"/>
  <c r="K1843"/>
  <c r="N1843"/>
  <c r="A1844"/>
  <c r="C1844"/>
  <c r="D1844"/>
  <c r="E1844"/>
  <c r="F1844"/>
  <c r="G1844"/>
  <c r="H1844"/>
  <c r="I1844"/>
  <c r="J1844"/>
  <c r="K1844"/>
  <c r="N1844"/>
  <c r="A1845"/>
  <c r="C1845"/>
  <c r="D1845"/>
  <c r="E1845"/>
  <c r="F1845"/>
  <c r="G1845"/>
  <c r="H1845"/>
  <c r="I1845"/>
  <c r="J1845"/>
  <c r="K1845"/>
  <c r="N1845"/>
  <c r="A1846"/>
  <c r="C1846"/>
  <c r="D1846"/>
  <c r="E1846"/>
  <c r="F1846"/>
  <c r="G1846"/>
  <c r="H1846"/>
  <c r="I1846"/>
  <c r="J1846"/>
  <c r="K1846"/>
  <c r="N1846"/>
  <c r="A1847"/>
  <c r="C1847"/>
  <c r="D1847"/>
  <c r="E1847"/>
  <c r="F1847"/>
  <c r="G1847"/>
  <c r="H1847"/>
  <c r="I1847"/>
  <c r="J1847"/>
  <c r="K1847"/>
  <c r="N1847"/>
  <c r="A1848"/>
  <c r="C1848"/>
  <c r="D1848"/>
  <c r="E1848"/>
  <c r="F1848"/>
  <c r="G1848"/>
  <c r="H1848"/>
  <c r="I1848"/>
  <c r="J1848"/>
  <c r="K1848"/>
  <c r="M1848"/>
  <c r="N1848"/>
  <c r="A1849"/>
  <c r="C1849"/>
  <c r="D1849"/>
  <c r="E1849"/>
  <c r="F1849"/>
  <c r="G1849"/>
  <c r="H1849"/>
  <c r="I1849"/>
  <c r="J1849"/>
  <c r="K1849"/>
  <c r="N1849"/>
  <c r="A1850"/>
  <c r="B1850"/>
  <c r="D1850"/>
  <c r="E1850"/>
  <c r="F1850"/>
  <c r="G1850"/>
  <c r="H1850"/>
  <c r="I1850"/>
  <c r="J1850"/>
  <c r="K1850"/>
  <c r="N1850"/>
  <c r="A1851"/>
  <c r="B1851"/>
  <c r="D1851"/>
  <c r="E1851"/>
  <c r="F1851"/>
  <c r="G1851"/>
  <c r="H1851"/>
  <c r="I1851"/>
  <c r="J1851"/>
  <c r="K1851"/>
  <c r="N1851"/>
  <c r="A1852"/>
  <c r="B1852"/>
  <c r="D1852"/>
  <c r="E1852"/>
  <c r="F1852"/>
  <c r="G1852"/>
  <c r="H1852"/>
  <c r="I1852"/>
  <c r="J1852"/>
  <c r="K1852"/>
  <c r="N1852"/>
  <c r="A1853"/>
  <c r="B1853"/>
  <c r="D1853"/>
  <c r="E1853"/>
  <c r="F1853"/>
  <c r="G1853"/>
  <c r="H1853"/>
  <c r="I1853"/>
  <c r="J1853"/>
  <c r="K1853"/>
  <c r="N1853"/>
  <c r="A1854"/>
  <c r="B1854"/>
  <c r="D1854"/>
  <c r="E1854"/>
  <c r="F1854"/>
  <c r="G1854"/>
  <c r="H1854"/>
  <c r="I1854"/>
  <c r="J1854"/>
  <c r="K1854"/>
  <c r="N1854"/>
  <c r="A1855"/>
  <c r="B1855"/>
  <c r="D1855"/>
  <c r="E1855"/>
  <c r="F1855"/>
  <c r="G1855"/>
  <c r="H1855"/>
  <c r="I1855"/>
  <c r="J1855"/>
  <c r="K1855"/>
  <c r="N1855"/>
  <c r="A1856"/>
  <c r="B1856"/>
  <c r="D1856"/>
  <c r="E1856"/>
  <c r="F1856"/>
  <c r="G1856"/>
  <c r="H1856"/>
  <c r="I1856"/>
  <c r="J1856"/>
  <c r="K1856"/>
  <c r="N1856"/>
  <c r="A1857"/>
  <c r="B1857"/>
  <c r="D1857"/>
  <c r="E1857"/>
  <c r="F1857"/>
  <c r="G1857"/>
  <c r="H1857"/>
  <c r="I1857"/>
  <c r="J1857"/>
  <c r="K1857"/>
  <c r="N1857"/>
  <c r="A1858"/>
  <c r="B1858"/>
  <c r="D1858"/>
  <c r="E1858"/>
  <c r="F1858"/>
  <c r="G1858"/>
  <c r="H1858"/>
  <c r="I1858"/>
  <c r="J1858"/>
  <c r="K1858"/>
  <c r="N1858"/>
  <c r="A1859"/>
  <c r="B1859"/>
  <c r="D1859"/>
  <c r="E1859"/>
  <c r="F1859"/>
  <c r="G1859"/>
  <c r="H1859"/>
  <c r="I1859"/>
  <c r="J1859"/>
  <c r="K1859"/>
  <c r="N1859"/>
  <c r="A1860"/>
  <c r="B1860"/>
  <c r="D1860"/>
  <c r="E1860"/>
  <c r="F1860"/>
  <c r="G1860"/>
  <c r="H1860"/>
  <c r="I1860"/>
  <c r="J1860"/>
  <c r="K1860"/>
  <c r="N1860"/>
  <c r="A1861"/>
  <c r="B1861"/>
  <c r="D1861"/>
  <c r="E1861"/>
  <c r="F1861"/>
  <c r="G1861"/>
  <c r="H1861"/>
  <c r="I1861"/>
  <c r="J1861"/>
  <c r="K1861"/>
  <c r="N1861"/>
  <c r="A1862"/>
  <c r="B1862"/>
  <c r="D1862"/>
  <c r="E1862"/>
  <c r="F1862"/>
  <c r="G1862"/>
  <c r="H1862"/>
  <c r="I1862"/>
  <c r="J1862"/>
  <c r="K1862"/>
  <c r="N1862"/>
  <c r="A1863"/>
  <c r="B1863"/>
  <c r="D1863"/>
  <c r="E1863"/>
  <c r="F1863"/>
  <c r="G1863"/>
  <c r="H1863"/>
  <c r="I1863"/>
  <c r="J1863"/>
  <c r="K1863"/>
  <c r="N1863"/>
  <c r="A1864"/>
  <c r="B1864"/>
  <c r="D1864"/>
  <c r="E1864"/>
  <c r="F1864"/>
  <c r="G1864"/>
  <c r="H1864"/>
  <c r="I1864"/>
  <c r="J1864"/>
  <c r="K1864"/>
  <c r="N1864"/>
  <c r="A1865"/>
  <c r="B1865"/>
  <c r="D1865"/>
  <c r="E1865"/>
  <c r="F1865"/>
  <c r="G1865"/>
  <c r="H1865"/>
  <c r="I1865"/>
  <c r="J1865"/>
  <c r="K1865"/>
  <c r="N1865"/>
  <c r="A1866"/>
  <c r="B1866"/>
  <c r="D1866"/>
  <c r="E1866"/>
  <c r="F1866"/>
  <c r="G1866"/>
  <c r="H1866"/>
  <c r="I1866"/>
  <c r="J1866"/>
  <c r="K1866"/>
  <c r="N1866"/>
  <c r="A1867"/>
  <c r="B1867"/>
  <c r="D1867"/>
  <c r="E1867"/>
  <c r="F1867"/>
  <c r="G1867"/>
  <c r="H1867"/>
  <c r="I1867"/>
  <c r="J1867"/>
  <c r="K1867"/>
  <c r="N1867"/>
  <c r="A1868"/>
  <c r="B1868"/>
  <c r="D1868"/>
  <c r="E1868"/>
  <c r="F1868"/>
  <c r="G1868"/>
  <c r="H1868"/>
  <c r="I1868"/>
  <c r="J1868"/>
  <c r="K1868"/>
  <c r="N1868"/>
  <c r="A1869"/>
  <c r="B1869"/>
  <c r="D1869"/>
  <c r="E1869"/>
  <c r="F1869"/>
  <c r="G1869"/>
  <c r="H1869"/>
  <c r="I1869"/>
  <c r="J1869"/>
  <c r="K1869"/>
  <c r="N1869"/>
  <c r="A1870"/>
  <c r="B1870"/>
  <c r="D1870"/>
  <c r="E1870"/>
  <c r="F1870"/>
  <c r="G1870"/>
  <c r="H1870"/>
  <c r="I1870"/>
  <c r="J1870"/>
  <c r="K1870"/>
  <c r="N1870"/>
  <c r="A1871"/>
  <c r="B1871"/>
  <c r="D1871"/>
  <c r="E1871"/>
  <c r="F1871"/>
  <c r="G1871"/>
  <c r="H1871"/>
  <c r="I1871"/>
  <c r="J1871"/>
  <c r="K1871"/>
  <c r="N1871"/>
  <c r="A1872"/>
  <c r="B1872"/>
  <c r="D1872"/>
  <c r="E1872"/>
  <c r="F1872"/>
  <c r="G1872"/>
  <c r="H1872"/>
  <c r="I1872"/>
  <c r="J1872"/>
  <c r="K1872"/>
  <c r="N1872"/>
  <c r="A1873"/>
  <c r="B1873"/>
  <c r="D1873"/>
  <c r="E1873"/>
  <c r="F1873"/>
  <c r="G1873"/>
  <c r="H1873"/>
  <c r="I1873"/>
  <c r="J1873"/>
  <c r="K1873"/>
  <c r="N1873"/>
  <c r="A1874"/>
  <c r="B1874"/>
  <c r="D1874"/>
  <c r="E1874"/>
  <c r="F1874"/>
  <c r="G1874"/>
  <c r="H1874"/>
  <c r="I1874"/>
  <c r="J1874"/>
  <c r="K1874"/>
  <c r="N1874"/>
  <c r="A1875"/>
  <c r="B1875"/>
  <c r="D1875"/>
  <c r="E1875"/>
  <c r="F1875"/>
  <c r="G1875"/>
  <c r="H1875"/>
  <c r="I1875"/>
  <c r="J1875"/>
  <c r="K1875"/>
  <c r="N1875"/>
  <c r="A1876"/>
  <c r="B1876"/>
  <c r="D1876"/>
  <c r="E1876"/>
  <c r="F1876"/>
  <c r="G1876"/>
  <c r="H1876"/>
  <c r="I1876"/>
  <c r="J1876"/>
  <c r="K1876"/>
  <c r="N1876"/>
  <c r="A1877"/>
  <c r="B1877"/>
  <c r="D1877"/>
  <c r="E1877"/>
  <c r="F1877"/>
  <c r="G1877"/>
  <c r="H1877"/>
  <c r="I1877"/>
  <c r="J1877"/>
  <c r="K1877"/>
  <c r="N1877"/>
  <c r="A1878"/>
  <c r="B1878"/>
  <c r="D1878"/>
  <c r="E1878"/>
  <c r="F1878"/>
  <c r="G1878"/>
  <c r="H1878"/>
  <c r="I1878"/>
  <c r="J1878"/>
  <c r="K1878"/>
  <c r="N1878"/>
  <c r="A1879"/>
  <c r="B1879"/>
  <c r="D1879"/>
  <c r="E1879"/>
  <c r="F1879"/>
  <c r="G1879"/>
  <c r="H1879"/>
  <c r="I1879"/>
  <c r="J1879"/>
  <c r="K1879"/>
  <c r="N1879"/>
  <c r="A1880"/>
  <c r="B1880"/>
  <c r="D1880"/>
  <c r="E1880"/>
  <c r="F1880"/>
  <c r="G1880"/>
  <c r="H1880"/>
  <c r="I1880"/>
  <c r="J1880"/>
  <c r="K1880"/>
  <c r="N1880"/>
  <c r="A1881"/>
  <c r="B1881"/>
  <c r="D1881"/>
  <c r="E1881"/>
  <c r="F1881"/>
  <c r="G1881"/>
  <c r="H1881"/>
  <c r="I1881"/>
  <c r="J1881"/>
  <c r="K1881"/>
  <c r="N1881"/>
  <c r="A1882"/>
  <c r="B1882"/>
  <c r="D1882"/>
  <c r="E1882"/>
  <c r="F1882"/>
  <c r="G1882"/>
  <c r="H1882"/>
  <c r="I1882"/>
  <c r="J1882"/>
  <c r="K1882"/>
  <c r="N1882"/>
  <c r="A1883"/>
  <c r="B1883"/>
  <c r="D1883"/>
  <c r="E1883"/>
  <c r="F1883"/>
  <c r="G1883"/>
  <c r="H1883"/>
  <c r="I1883"/>
  <c r="J1883"/>
  <c r="K1883"/>
  <c r="N1883"/>
  <c r="A1884"/>
  <c r="B1884"/>
  <c r="D1884"/>
  <c r="E1884"/>
  <c r="F1884"/>
  <c r="G1884"/>
  <c r="H1884"/>
  <c r="I1884"/>
  <c r="J1884"/>
  <c r="K1884"/>
  <c r="N1884"/>
  <c r="A1885"/>
  <c r="B1885"/>
  <c r="D1885"/>
  <c r="E1885"/>
  <c r="F1885"/>
  <c r="G1885"/>
  <c r="H1885"/>
  <c r="I1885"/>
  <c r="J1885"/>
  <c r="K1885"/>
  <c r="N1885"/>
  <c r="A1886"/>
  <c r="B1886"/>
  <c r="D1886"/>
  <c r="E1886"/>
  <c r="F1886"/>
  <c r="G1886"/>
  <c r="H1886"/>
  <c r="I1886"/>
  <c r="J1886"/>
  <c r="K1886"/>
  <c r="N1886"/>
  <c r="A1887"/>
  <c r="B1887"/>
  <c r="D1887"/>
  <c r="E1887"/>
  <c r="F1887"/>
  <c r="G1887"/>
  <c r="H1887"/>
  <c r="I1887"/>
  <c r="J1887"/>
  <c r="K1887"/>
  <c r="N1887"/>
  <c r="A1888"/>
  <c r="B1888"/>
  <c r="D1888"/>
  <c r="E1888"/>
  <c r="F1888"/>
  <c r="G1888"/>
  <c r="H1888"/>
  <c r="I1888"/>
  <c r="J1888"/>
  <c r="K1888"/>
  <c r="N1888"/>
  <c r="A1889"/>
  <c r="B1889"/>
  <c r="D1889"/>
  <c r="E1889"/>
  <c r="F1889"/>
  <c r="G1889"/>
  <c r="H1889"/>
  <c r="I1889"/>
  <c r="J1889"/>
  <c r="K1889"/>
  <c r="N1889"/>
  <c r="A1890"/>
  <c r="B1890"/>
  <c r="D1890"/>
  <c r="E1890"/>
  <c r="F1890"/>
  <c r="G1890"/>
  <c r="H1890"/>
  <c r="I1890"/>
  <c r="J1890"/>
  <c r="K1890"/>
  <c r="N1890"/>
  <c r="A1891"/>
  <c r="B1891"/>
  <c r="D1891"/>
  <c r="E1891"/>
  <c r="F1891"/>
  <c r="G1891"/>
  <c r="H1891"/>
  <c r="I1891"/>
  <c r="J1891"/>
  <c r="K1891"/>
  <c r="N1891"/>
  <c r="A1892"/>
  <c r="B1892"/>
  <c r="D1892"/>
  <c r="E1892"/>
  <c r="F1892"/>
  <c r="G1892"/>
  <c r="H1892"/>
  <c r="I1892"/>
  <c r="J1892"/>
  <c r="K1892"/>
  <c r="N1892"/>
  <c r="A1893"/>
  <c r="B1893"/>
  <c r="D1893"/>
  <c r="E1893"/>
  <c r="F1893"/>
  <c r="G1893"/>
  <c r="H1893"/>
  <c r="I1893"/>
  <c r="J1893"/>
  <c r="K1893"/>
  <c r="N1893"/>
  <c r="A1894"/>
  <c r="B1894"/>
  <c r="D1894"/>
  <c r="E1894"/>
  <c r="F1894"/>
  <c r="G1894"/>
  <c r="H1894"/>
  <c r="I1894"/>
  <c r="J1894"/>
  <c r="K1894"/>
  <c r="N1894"/>
  <c r="A1895"/>
  <c r="B1895"/>
  <c r="D1895"/>
  <c r="E1895"/>
  <c r="F1895"/>
  <c r="G1895"/>
  <c r="H1895"/>
  <c r="I1895"/>
  <c r="J1895"/>
  <c r="K1895"/>
  <c r="N1895"/>
  <c r="A1896"/>
  <c r="B1896"/>
  <c r="D1896"/>
  <c r="E1896"/>
  <c r="F1896"/>
  <c r="G1896"/>
  <c r="H1896"/>
  <c r="I1896"/>
  <c r="J1896"/>
  <c r="K1896"/>
  <c r="N1896"/>
  <c r="A1897"/>
  <c r="B1897"/>
  <c r="D1897"/>
  <c r="E1897"/>
  <c r="F1897"/>
  <c r="G1897"/>
  <c r="H1897"/>
  <c r="I1897"/>
  <c r="J1897"/>
  <c r="K1897"/>
  <c r="N1897"/>
  <c r="A1898"/>
  <c r="B1898"/>
  <c r="D1898"/>
  <c r="E1898"/>
  <c r="F1898"/>
  <c r="G1898"/>
  <c r="H1898"/>
  <c r="I1898"/>
  <c r="J1898"/>
  <c r="K1898"/>
  <c r="N1898"/>
  <c r="A1899"/>
  <c r="B1899"/>
  <c r="D1899"/>
  <c r="E1899"/>
  <c r="F1899"/>
  <c r="G1899"/>
  <c r="H1899"/>
  <c r="I1899"/>
  <c r="J1899"/>
  <c r="K1899"/>
  <c r="N1899"/>
  <c r="A1900"/>
  <c r="B1900"/>
  <c r="D1900"/>
  <c r="E1900"/>
  <c r="F1900"/>
  <c r="G1900"/>
  <c r="H1900"/>
  <c r="I1900"/>
  <c r="J1900"/>
  <c r="K1900"/>
  <c r="N1900"/>
  <c r="A1901"/>
  <c r="B1901"/>
  <c r="D1901"/>
  <c r="E1901"/>
  <c r="F1901"/>
  <c r="G1901"/>
  <c r="H1901"/>
  <c r="I1901"/>
  <c r="J1901"/>
  <c r="K1901"/>
  <c r="M1901"/>
  <c r="N1901"/>
  <c r="A1902"/>
  <c r="B1902"/>
  <c r="D1902"/>
  <c r="E1902"/>
  <c r="F1902"/>
  <c r="G1902"/>
  <c r="H1902"/>
  <c r="I1902"/>
  <c r="J1902"/>
  <c r="K1902"/>
  <c r="N1902"/>
  <c r="A1903"/>
  <c r="B1903"/>
  <c r="D1903"/>
  <c r="E1903"/>
  <c r="F1903"/>
  <c r="G1903"/>
  <c r="H1903"/>
  <c r="I1903"/>
  <c r="J1903"/>
  <c r="K1903"/>
  <c r="N1903"/>
  <c r="A1904"/>
  <c r="B1904"/>
  <c r="D1904"/>
  <c r="E1904"/>
  <c r="F1904"/>
  <c r="G1904"/>
  <c r="H1904"/>
  <c r="I1904"/>
  <c r="J1904"/>
  <c r="K1904"/>
  <c r="N1904"/>
  <c r="A1905"/>
  <c r="B1905"/>
  <c r="D1905"/>
  <c r="E1905"/>
  <c r="F1905"/>
  <c r="G1905"/>
  <c r="H1905"/>
  <c r="I1905"/>
  <c r="J1905"/>
  <c r="K1905"/>
  <c r="N1905"/>
  <c r="A1906"/>
  <c r="B1906"/>
  <c r="D1906"/>
  <c r="E1906"/>
  <c r="F1906"/>
  <c r="G1906"/>
  <c r="H1906"/>
  <c r="I1906"/>
  <c r="J1906"/>
  <c r="K1906"/>
  <c r="N1906"/>
  <c r="A1907"/>
  <c r="B1907"/>
  <c r="D1907"/>
  <c r="E1907"/>
  <c r="F1907"/>
  <c r="G1907"/>
  <c r="H1907"/>
  <c r="I1907"/>
  <c r="J1907"/>
  <c r="K1907"/>
  <c r="N1907"/>
  <c r="A1908"/>
  <c r="B1908"/>
  <c r="D1908"/>
  <c r="E1908"/>
  <c r="F1908"/>
  <c r="G1908"/>
  <c r="H1908"/>
  <c r="I1908"/>
  <c r="J1908"/>
  <c r="K1908"/>
  <c r="N1908"/>
  <c r="A1909"/>
  <c r="B1909"/>
  <c r="D1909"/>
  <c r="E1909"/>
  <c r="F1909"/>
  <c r="G1909"/>
  <c r="H1909"/>
  <c r="I1909"/>
  <c r="J1909"/>
  <c r="K1909"/>
  <c r="N1909"/>
  <c r="A1910"/>
  <c r="B1910"/>
  <c r="D1910"/>
  <c r="E1910"/>
  <c r="F1910"/>
  <c r="G1910"/>
  <c r="H1910"/>
  <c r="I1910"/>
  <c r="J1910"/>
  <c r="K1910"/>
  <c r="N1910"/>
  <c r="A1911"/>
  <c r="B1911"/>
  <c r="D1911"/>
  <c r="E1911"/>
  <c r="F1911"/>
  <c r="G1911"/>
  <c r="H1911"/>
  <c r="I1911"/>
  <c r="J1911"/>
  <c r="K1911"/>
  <c r="N1911"/>
  <c r="A1912"/>
  <c r="B1912"/>
  <c r="D1912"/>
  <c r="E1912"/>
  <c r="F1912"/>
  <c r="G1912"/>
  <c r="H1912"/>
  <c r="I1912"/>
  <c r="J1912"/>
  <c r="K1912"/>
  <c r="N1912"/>
  <c r="A1913"/>
  <c r="B1913"/>
  <c r="D1913"/>
  <c r="E1913"/>
  <c r="F1913"/>
  <c r="G1913"/>
  <c r="H1913"/>
  <c r="I1913"/>
  <c r="J1913"/>
  <c r="K1913"/>
  <c r="N1913"/>
  <c r="A1914"/>
  <c r="B1914"/>
  <c r="D1914"/>
  <c r="E1914"/>
  <c r="F1914"/>
  <c r="G1914"/>
  <c r="H1914"/>
  <c r="I1914"/>
  <c r="J1914"/>
  <c r="K1914"/>
  <c r="N1914"/>
  <c r="A1915"/>
  <c r="B1915"/>
  <c r="D1915"/>
  <c r="E1915"/>
  <c r="F1915"/>
  <c r="G1915"/>
  <c r="H1915"/>
  <c r="I1915"/>
  <c r="J1915"/>
  <c r="K1915"/>
  <c r="N1915"/>
  <c r="A1916"/>
  <c r="B1916"/>
  <c r="D1916"/>
  <c r="E1916"/>
  <c r="F1916"/>
  <c r="G1916"/>
  <c r="H1916"/>
  <c r="I1916"/>
  <c r="J1916"/>
  <c r="K1916"/>
  <c r="N1916"/>
  <c r="A1917"/>
  <c r="B1917"/>
  <c r="D1917"/>
  <c r="E1917"/>
  <c r="F1917"/>
  <c r="G1917"/>
  <c r="H1917"/>
  <c r="I1917"/>
  <c r="J1917"/>
  <c r="K1917"/>
  <c r="N1917"/>
  <c r="A1918"/>
  <c r="B1918"/>
  <c r="D1918"/>
  <c r="E1918"/>
  <c r="F1918"/>
  <c r="G1918"/>
  <c r="H1918"/>
  <c r="I1918"/>
  <c r="J1918"/>
  <c r="K1918"/>
  <c r="N1918"/>
  <c r="A1919"/>
  <c r="B1919"/>
  <c r="D1919"/>
  <c r="E1919"/>
  <c r="F1919"/>
  <c r="G1919"/>
  <c r="H1919"/>
  <c r="I1919"/>
  <c r="J1919"/>
  <c r="K1919"/>
  <c r="N1919"/>
  <c r="A1920"/>
  <c r="B1920"/>
  <c r="D1920"/>
  <c r="E1920"/>
  <c r="F1920"/>
  <c r="G1920"/>
  <c r="H1920"/>
  <c r="I1920"/>
  <c r="J1920"/>
  <c r="K1920"/>
  <c r="N1920"/>
  <c r="A1921"/>
  <c r="B1921"/>
  <c r="D1921"/>
  <c r="E1921"/>
  <c r="F1921"/>
  <c r="G1921"/>
  <c r="H1921"/>
  <c r="I1921"/>
  <c r="J1921"/>
  <c r="K1921"/>
  <c r="N1921"/>
  <c r="A1922"/>
  <c r="B1922"/>
  <c r="D1922"/>
  <c r="E1922"/>
  <c r="F1922"/>
  <c r="G1922"/>
  <c r="H1922"/>
  <c r="I1922"/>
  <c r="J1922"/>
  <c r="K1922"/>
  <c r="N1922"/>
  <c r="A1923"/>
  <c r="B1923"/>
  <c r="D1923"/>
  <c r="E1923"/>
  <c r="F1923"/>
  <c r="G1923"/>
  <c r="H1923"/>
  <c r="I1923"/>
  <c r="J1923"/>
  <c r="K1923"/>
  <c r="N1923"/>
  <c r="A1924"/>
  <c r="B1924"/>
  <c r="D1924"/>
  <c r="E1924"/>
  <c r="F1924"/>
  <c r="G1924"/>
  <c r="H1924"/>
  <c r="I1924"/>
  <c r="J1924"/>
  <c r="K1924"/>
  <c r="N1924"/>
  <c r="A1925"/>
  <c r="B1925"/>
  <c r="D1925"/>
  <c r="E1925"/>
  <c r="F1925"/>
  <c r="G1925"/>
  <c r="H1925"/>
  <c r="I1925"/>
  <c r="J1925"/>
  <c r="K1925"/>
  <c r="M1925"/>
  <c r="N1925"/>
  <c r="A1926"/>
  <c r="B1926"/>
  <c r="D1926"/>
  <c r="E1926"/>
  <c r="F1926"/>
  <c r="G1926"/>
  <c r="H1926"/>
  <c r="I1926"/>
  <c r="J1926"/>
  <c r="K1926"/>
  <c r="N1926"/>
  <c r="A1927"/>
  <c r="B1927"/>
  <c r="D1927"/>
  <c r="E1927"/>
  <c r="F1927"/>
  <c r="G1927"/>
  <c r="H1927"/>
  <c r="I1927"/>
  <c r="J1927"/>
  <c r="K1927"/>
  <c r="N1927"/>
  <c r="A1928"/>
  <c r="B1928"/>
  <c r="D1928"/>
  <c r="E1928"/>
  <c r="F1928"/>
  <c r="G1928"/>
  <c r="H1928"/>
  <c r="I1928"/>
  <c r="J1928"/>
  <c r="K1928"/>
  <c r="N1928"/>
  <c r="A1929"/>
  <c r="B1929"/>
  <c r="D1929"/>
  <c r="E1929"/>
  <c r="F1929"/>
  <c r="G1929"/>
  <c r="H1929"/>
  <c r="I1929"/>
  <c r="J1929"/>
  <c r="K1929"/>
  <c r="N1929"/>
  <c r="A1930"/>
  <c r="B1930"/>
  <c r="D1930"/>
  <c r="E1930"/>
  <c r="F1930"/>
  <c r="G1930"/>
  <c r="H1930"/>
  <c r="I1930"/>
  <c r="J1930"/>
  <c r="K1930"/>
  <c r="N1930"/>
  <c r="A1931"/>
  <c r="B1931"/>
  <c r="D1931"/>
  <c r="E1931"/>
  <c r="F1931"/>
  <c r="G1931"/>
  <c r="H1931"/>
  <c r="I1931"/>
  <c r="J1931"/>
  <c r="K1931"/>
  <c r="N1931"/>
  <c r="A1932"/>
  <c r="B1932"/>
  <c r="D1932"/>
  <c r="E1932"/>
  <c r="F1932"/>
  <c r="G1932"/>
  <c r="H1932"/>
  <c r="I1932"/>
  <c r="J1932"/>
  <c r="K1932"/>
  <c r="N1932"/>
  <c r="A1933"/>
  <c r="B1933"/>
  <c r="D1933"/>
  <c r="E1933"/>
  <c r="F1933"/>
  <c r="G1933"/>
  <c r="H1933"/>
  <c r="I1933"/>
  <c r="J1933"/>
  <c r="K1933"/>
  <c r="M1933"/>
  <c r="N1933"/>
  <c r="A1934"/>
  <c r="B1934"/>
  <c r="D1934"/>
  <c r="E1934"/>
  <c r="F1934"/>
  <c r="G1934"/>
  <c r="H1934"/>
  <c r="I1934"/>
  <c r="J1934"/>
  <c r="K1934"/>
  <c r="N1934"/>
  <c r="A1935"/>
  <c r="B1935"/>
  <c r="D1935"/>
  <c r="E1935"/>
  <c r="F1935"/>
  <c r="G1935"/>
  <c r="H1935"/>
  <c r="I1935"/>
  <c r="J1935"/>
  <c r="K1935"/>
  <c r="N1935"/>
  <c r="A1936"/>
  <c r="B1936"/>
  <c r="D1936"/>
  <c r="E1936"/>
  <c r="F1936"/>
  <c r="G1936"/>
  <c r="H1936"/>
  <c r="I1936"/>
  <c r="J1936"/>
  <c r="K1936"/>
  <c r="N1936"/>
  <c r="A1937"/>
  <c r="B1937"/>
  <c r="D1937"/>
  <c r="E1937"/>
  <c r="F1937"/>
  <c r="G1937"/>
  <c r="H1937"/>
  <c r="I1937"/>
  <c r="J1937"/>
  <c r="K1937"/>
  <c r="N1937"/>
  <c r="A1938"/>
  <c r="B1938"/>
  <c r="D1938"/>
  <c r="E1938"/>
  <c r="F1938"/>
  <c r="G1938"/>
  <c r="H1938"/>
  <c r="I1938"/>
  <c r="J1938"/>
  <c r="K1938"/>
  <c r="N1938"/>
  <c r="A1939"/>
  <c r="B1939"/>
  <c r="D1939"/>
  <c r="E1939"/>
  <c r="F1939"/>
  <c r="G1939"/>
  <c r="H1939"/>
  <c r="I1939"/>
  <c r="J1939"/>
  <c r="K1939"/>
  <c r="N1939"/>
  <c r="A1940"/>
  <c r="B1940"/>
  <c r="D1940"/>
  <c r="E1940"/>
  <c r="F1940"/>
  <c r="G1940"/>
  <c r="H1940"/>
  <c r="I1940"/>
  <c r="J1940"/>
  <c r="K1940"/>
  <c r="N1940"/>
  <c r="A1941"/>
  <c r="B1941"/>
  <c r="C1941"/>
  <c r="D1941"/>
  <c r="E1941"/>
  <c r="F1941"/>
  <c r="G1941"/>
  <c r="H1941"/>
  <c r="I1941"/>
  <c r="J1941"/>
  <c r="K1941"/>
  <c r="L1941"/>
  <c r="M1941"/>
  <c r="N1941"/>
  <c r="A1942"/>
  <c r="B1942"/>
  <c r="D1942"/>
  <c r="E1942"/>
  <c r="F1942"/>
  <c r="G1942"/>
  <c r="H1942"/>
  <c r="I1942"/>
  <c r="J1942"/>
  <c r="K1942"/>
  <c r="N1942"/>
  <c r="A1943"/>
  <c r="B1943"/>
  <c r="D1943"/>
  <c r="E1943"/>
  <c r="F1943"/>
  <c r="G1943"/>
  <c r="H1943"/>
  <c r="I1943"/>
  <c r="J1943"/>
  <c r="K1943"/>
  <c r="N1943"/>
  <c r="A1944"/>
  <c r="B1944"/>
  <c r="D1944"/>
  <c r="E1944"/>
  <c r="F1944"/>
  <c r="G1944"/>
  <c r="H1944"/>
  <c r="I1944"/>
  <c r="J1944"/>
  <c r="K1944"/>
  <c r="N1944"/>
  <c r="A1945"/>
  <c r="B1945"/>
  <c r="D1945"/>
  <c r="E1945"/>
  <c r="F1945"/>
  <c r="G1945"/>
  <c r="H1945"/>
  <c r="I1945"/>
  <c r="J1945"/>
  <c r="K1945"/>
  <c r="N1945"/>
  <c r="A1946"/>
  <c r="B1946"/>
  <c r="D1946"/>
  <c r="E1946"/>
  <c r="F1946"/>
  <c r="G1946"/>
  <c r="H1946"/>
  <c r="I1946"/>
  <c r="J1946"/>
  <c r="K1946"/>
  <c r="N1946"/>
  <c r="A1947"/>
  <c r="B1947"/>
  <c r="D1947"/>
  <c r="E1947"/>
  <c r="F1947"/>
  <c r="G1947"/>
  <c r="H1947"/>
  <c r="I1947"/>
  <c r="J1947"/>
  <c r="K1947"/>
  <c r="N1947"/>
  <c r="A1948"/>
  <c r="B1948"/>
  <c r="D1948"/>
  <c r="E1948"/>
  <c r="F1948"/>
  <c r="G1948"/>
  <c r="H1948"/>
  <c r="I1948"/>
  <c r="J1948"/>
  <c r="K1948"/>
  <c r="N1948"/>
  <c r="A1949"/>
  <c r="B1949"/>
  <c r="D1949"/>
  <c r="E1949"/>
  <c r="F1949"/>
  <c r="G1949"/>
  <c r="H1949"/>
  <c r="I1949"/>
  <c r="J1949"/>
  <c r="K1949"/>
  <c r="M1949"/>
  <c r="N1949"/>
  <c r="A1950"/>
  <c r="B1950"/>
  <c r="D1950"/>
  <c r="E1950"/>
  <c r="F1950"/>
  <c r="G1950"/>
  <c r="H1950"/>
  <c r="I1950"/>
  <c r="J1950"/>
  <c r="K1950"/>
  <c r="N1950"/>
  <c r="A1951"/>
  <c r="B1951"/>
  <c r="D1951"/>
  <c r="E1951"/>
  <c r="F1951"/>
  <c r="G1951"/>
  <c r="H1951"/>
  <c r="I1951"/>
  <c r="J1951"/>
  <c r="K1951"/>
  <c r="N1951"/>
  <c r="A1952"/>
  <c r="B1952"/>
  <c r="D1952"/>
  <c r="E1952"/>
  <c r="F1952"/>
  <c r="G1952"/>
  <c r="H1952"/>
  <c r="I1952"/>
  <c r="J1952"/>
  <c r="K1952"/>
  <c r="N1952"/>
  <c r="A1953"/>
  <c r="B1953"/>
  <c r="D1953"/>
  <c r="E1953"/>
  <c r="F1953"/>
  <c r="G1953"/>
  <c r="H1953"/>
  <c r="I1953"/>
  <c r="J1953"/>
  <c r="K1953"/>
  <c r="N1953"/>
  <c r="A1954"/>
  <c r="B1954"/>
  <c r="D1954"/>
  <c r="E1954"/>
  <c r="F1954"/>
  <c r="G1954"/>
  <c r="H1954"/>
  <c r="I1954"/>
  <c r="J1954"/>
  <c r="K1954"/>
  <c r="N1954"/>
  <c r="A1955"/>
  <c r="B1955"/>
  <c r="D1955"/>
  <c r="E1955"/>
  <c r="F1955"/>
  <c r="G1955"/>
  <c r="H1955"/>
  <c r="I1955"/>
  <c r="J1955"/>
  <c r="K1955"/>
  <c r="N1955"/>
  <c r="A1956"/>
  <c r="B1956"/>
  <c r="D1956"/>
  <c r="E1956"/>
  <c r="F1956"/>
  <c r="G1956"/>
  <c r="H1956"/>
  <c r="I1956"/>
  <c r="J1956"/>
  <c r="K1956"/>
  <c r="N1956"/>
  <c r="A1957"/>
  <c r="B1957"/>
  <c r="D1957"/>
  <c r="E1957"/>
  <c r="F1957"/>
  <c r="G1957"/>
  <c r="H1957"/>
  <c r="I1957"/>
  <c r="J1957"/>
  <c r="K1957"/>
  <c r="M1957"/>
  <c r="N1957"/>
  <c r="A1958"/>
  <c r="B1958"/>
  <c r="D1958"/>
  <c r="E1958"/>
  <c r="F1958"/>
  <c r="G1958"/>
  <c r="H1958"/>
  <c r="I1958"/>
  <c r="J1958"/>
  <c r="K1958"/>
  <c r="N1958"/>
  <c r="A1959"/>
  <c r="B1959"/>
  <c r="D1959"/>
  <c r="E1959"/>
  <c r="F1959"/>
  <c r="G1959"/>
  <c r="H1959"/>
  <c r="I1959"/>
  <c r="J1959"/>
  <c r="K1959"/>
  <c r="N1959"/>
  <c r="A1960"/>
  <c r="B1960"/>
  <c r="D1960"/>
  <c r="E1960"/>
  <c r="F1960"/>
  <c r="G1960"/>
  <c r="H1960"/>
  <c r="I1960"/>
  <c r="J1960"/>
  <c r="K1960"/>
  <c r="N1960"/>
  <c r="A1961"/>
  <c r="B1961"/>
  <c r="D1961"/>
  <c r="E1961"/>
  <c r="F1961"/>
  <c r="G1961"/>
  <c r="H1961"/>
  <c r="I1961"/>
  <c r="J1961"/>
  <c r="K1961"/>
  <c r="N1961"/>
  <c r="A1962"/>
  <c r="B1962"/>
  <c r="D1962"/>
  <c r="E1962"/>
  <c r="F1962"/>
  <c r="G1962"/>
  <c r="H1962"/>
  <c r="I1962"/>
  <c r="J1962"/>
  <c r="K1962"/>
  <c r="N1962"/>
  <c r="A1963"/>
  <c r="B1963"/>
  <c r="D1963"/>
  <c r="E1963"/>
  <c r="F1963"/>
  <c r="G1963"/>
  <c r="H1963"/>
  <c r="I1963"/>
  <c r="J1963"/>
  <c r="K1963"/>
  <c r="N1963"/>
  <c r="A1964"/>
  <c r="B1964"/>
  <c r="C1964"/>
  <c r="D1964"/>
  <c r="E1964"/>
  <c r="F1964"/>
  <c r="G1964"/>
  <c r="H1964"/>
  <c r="I1964"/>
  <c r="J1964"/>
  <c r="K1964"/>
  <c r="N1964"/>
  <c r="A1965"/>
  <c r="B1965"/>
  <c r="D1965"/>
  <c r="E1965"/>
  <c r="F1965"/>
  <c r="G1965"/>
  <c r="H1965"/>
  <c r="I1965"/>
  <c r="J1965"/>
  <c r="K1965"/>
  <c r="M1965"/>
  <c r="N1965"/>
  <c r="A1966"/>
  <c r="B1966"/>
  <c r="D1966"/>
  <c r="E1966"/>
  <c r="F1966"/>
  <c r="G1966"/>
  <c r="H1966"/>
  <c r="I1966"/>
  <c r="J1966"/>
  <c r="K1966"/>
  <c r="N1966"/>
  <c r="A1967"/>
  <c r="B1967"/>
  <c r="D1967"/>
  <c r="E1967"/>
  <c r="F1967"/>
  <c r="G1967"/>
  <c r="H1967"/>
  <c r="I1967"/>
  <c r="J1967"/>
  <c r="K1967"/>
  <c r="N1967"/>
  <c r="A1968"/>
  <c r="B1968"/>
  <c r="D1968"/>
  <c r="E1968"/>
  <c r="F1968"/>
  <c r="G1968"/>
  <c r="H1968"/>
  <c r="I1968"/>
  <c r="J1968"/>
  <c r="K1968"/>
  <c r="N1968"/>
  <c r="A1969"/>
  <c r="B1969"/>
  <c r="D1969"/>
  <c r="E1969"/>
  <c r="F1969"/>
  <c r="G1969"/>
  <c r="H1969"/>
  <c r="I1969"/>
  <c r="J1969"/>
  <c r="K1969"/>
  <c r="N1969"/>
  <c r="A1970"/>
  <c r="B1970"/>
  <c r="D1970"/>
  <c r="E1970"/>
  <c r="F1970"/>
  <c r="G1970"/>
  <c r="H1970"/>
  <c r="I1970"/>
  <c r="J1970"/>
  <c r="K1970"/>
  <c r="N1970"/>
  <c r="A1971"/>
  <c r="B1971"/>
  <c r="D1971"/>
  <c r="E1971"/>
  <c r="F1971"/>
  <c r="G1971"/>
  <c r="H1971"/>
  <c r="I1971"/>
  <c r="J1971"/>
  <c r="K1971"/>
  <c r="N1971"/>
  <c r="A1972"/>
  <c r="B1972"/>
  <c r="D1972"/>
  <c r="E1972"/>
  <c r="F1972"/>
  <c r="G1972"/>
  <c r="H1972"/>
  <c r="I1972"/>
  <c r="J1972"/>
  <c r="K1972"/>
  <c r="N1972"/>
  <c r="A1973"/>
  <c r="B1973"/>
  <c r="D1973"/>
  <c r="E1973"/>
  <c r="F1973"/>
  <c r="G1973"/>
  <c r="H1973"/>
  <c r="I1973"/>
  <c r="J1973"/>
  <c r="K1973"/>
  <c r="N1973"/>
  <c r="A1974"/>
  <c r="B1974"/>
  <c r="D1974"/>
  <c r="E1974"/>
  <c r="F1974"/>
  <c r="G1974"/>
  <c r="H1974"/>
  <c r="I1974"/>
  <c r="J1974"/>
  <c r="K1974"/>
  <c r="N1974"/>
  <c r="A1975"/>
  <c r="B1975"/>
  <c r="D1975"/>
  <c r="E1975"/>
  <c r="F1975"/>
  <c r="G1975"/>
  <c r="H1975"/>
  <c r="I1975"/>
  <c r="J1975"/>
  <c r="K1975"/>
  <c r="N1975"/>
  <c r="A1976"/>
  <c r="B1976"/>
  <c r="D1976"/>
  <c r="E1976"/>
  <c r="F1976"/>
  <c r="G1976"/>
  <c r="H1976"/>
  <c r="I1976"/>
  <c r="J1976"/>
  <c r="K1976"/>
  <c r="N1976"/>
  <c r="A1977"/>
  <c r="B1977"/>
  <c r="D1977"/>
  <c r="E1977"/>
  <c r="F1977"/>
  <c r="G1977"/>
  <c r="H1977"/>
  <c r="I1977"/>
  <c r="J1977"/>
  <c r="K1977"/>
  <c r="N1977"/>
  <c r="A1978"/>
  <c r="B1978"/>
  <c r="D1978"/>
  <c r="E1978"/>
  <c r="F1978"/>
  <c r="G1978"/>
  <c r="H1978"/>
  <c r="I1978"/>
  <c r="J1978"/>
  <c r="K1978"/>
  <c r="N1978"/>
  <c r="A1979"/>
  <c r="B1979"/>
  <c r="D1979"/>
  <c r="E1979"/>
  <c r="F1979"/>
  <c r="G1979"/>
  <c r="H1979"/>
  <c r="I1979"/>
  <c r="J1979"/>
  <c r="K1979"/>
  <c r="N1979"/>
  <c r="A1980"/>
  <c r="B1980"/>
  <c r="D1980"/>
  <c r="E1980"/>
  <c r="F1980"/>
  <c r="G1980"/>
  <c r="H1980"/>
  <c r="I1980"/>
  <c r="J1980"/>
  <c r="K1980"/>
  <c r="N1980"/>
  <c r="A1981"/>
  <c r="B1981"/>
  <c r="D1981"/>
  <c r="E1981"/>
  <c r="F1981"/>
  <c r="G1981"/>
  <c r="H1981"/>
  <c r="I1981"/>
  <c r="J1981"/>
  <c r="K1981"/>
  <c r="M1981"/>
  <c r="N1981"/>
  <c r="A1982"/>
  <c r="B1982"/>
  <c r="D1982"/>
  <c r="E1982"/>
  <c r="F1982"/>
  <c r="G1982"/>
  <c r="H1982"/>
  <c r="I1982"/>
  <c r="J1982"/>
  <c r="K1982"/>
  <c r="N1982"/>
  <c r="A1983"/>
  <c r="B1983"/>
  <c r="D1983"/>
  <c r="E1983"/>
  <c r="F1983"/>
  <c r="G1983"/>
  <c r="H1983"/>
  <c r="I1983"/>
  <c r="J1983"/>
  <c r="K1983"/>
  <c r="N1983"/>
  <c r="A1984"/>
  <c r="B1984"/>
  <c r="D1984"/>
  <c r="E1984"/>
  <c r="F1984"/>
  <c r="G1984"/>
  <c r="H1984"/>
  <c r="I1984"/>
  <c r="J1984"/>
  <c r="K1984"/>
  <c r="L1984"/>
  <c r="N1984"/>
  <c r="A1985"/>
  <c r="B1985"/>
  <c r="D1985"/>
  <c r="E1985"/>
  <c r="F1985"/>
  <c r="G1985"/>
  <c r="H1985"/>
  <c r="I1985"/>
  <c r="J1985"/>
  <c r="K1985"/>
  <c r="N1985"/>
  <c r="A1986"/>
  <c r="B1986"/>
  <c r="D1986"/>
  <c r="E1986"/>
  <c r="F1986"/>
  <c r="G1986"/>
  <c r="H1986"/>
  <c r="I1986"/>
  <c r="J1986"/>
  <c r="K1986"/>
  <c r="N1986"/>
  <c r="A1987"/>
  <c r="B1987"/>
  <c r="D1987"/>
  <c r="E1987"/>
  <c r="F1987"/>
  <c r="G1987"/>
  <c r="H1987"/>
  <c r="I1987"/>
  <c r="J1987"/>
  <c r="K1987"/>
  <c r="N1987"/>
  <c r="A1988"/>
  <c r="B1988"/>
  <c r="D1988"/>
  <c r="E1988"/>
  <c r="F1988"/>
  <c r="G1988"/>
  <c r="H1988"/>
  <c r="I1988"/>
  <c r="J1988"/>
  <c r="K1988"/>
  <c r="N1988"/>
  <c r="A1989"/>
  <c r="B1989"/>
  <c r="D1989"/>
  <c r="E1989"/>
  <c r="F1989"/>
  <c r="G1989"/>
  <c r="H1989"/>
  <c r="I1989"/>
  <c r="J1989"/>
  <c r="K1989"/>
  <c r="M1989"/>
  <c r="N1989"/>
  <c r="A1990"/>
  <c r="B1990"/>
  <c r="D1990"/>
  <c r="E1990"/>
  <c r="F1990"/>
  <c r="G1990"/>
  <c r="H1990"/>
  <c r="I1990"/>
  <c r="J1990"/>
  <c r="K1990"/>
  <c r="N1990"/>
  <c r="A1991"/>
  <c r="B1991"/>
  <c r="D1991"/>
  <c r="E1991"/>
  <c r="F1991"/>
  <c r="G1991"/>
  <c r="H1991"/>
  <c r="I1991"/>
  <c r="J1991"/>
  <c r="K1991"/>
  <c r="N1991"/>
  <c r="A1992"/>
  <c r="B1992"/>
  <c r="D1992"/>
  <c r="E1992"/>
  <c r="F1992"/>
  <c r="G1992"/>
  <c r="H1992"/>
  <c r="I1992"/>
  <c r="J1992"/>
  <c r="K1992"/>
  <c r="N1992"/>
  <c r="A1993"/>
  <c r="B1993"/>
  <c r="D1993"/>
  <c r="E1993"/>
  <c r="F1993"/>
  <c r="G1993"/>
  <c r="H1993"/>
  <c r="I1993"/>
  <c r="J1993"/>
  <c r="K1993"/>
  <c r="N1993"/>
  <c r="A1994"/>
  <c r="B1994"/>
  <c r="D1994"/>
  <c r="E1994"/>
  <c r="F1994"/>
  <c r="G1994"/>
  <c r="H1994"/>
  <c r="I1994"/>
  <c r="J1994"/>
  <c r="K1994"/>
  <c r="N1994"/>
  <c r="A1995"/>
  <c r="B1995"/>
  <c r="D1995"/>
  <c r="E1995"/>
  <c r="F1995"/>
  <c r="G1995"/>
  <c r="H1995"/>
  <c r="I1995"/>
  <c r="J1995"/>
  <c r="K1995"/>
  <c r="N1995"/>
  <c r="A1996"/>
  <c r="B1996"/>
  <c r="D1996"/>
  <c r="E1996"/>
  <c r="F1996"/>
  <c r="G1996"/>
  <c r="H1996"/>
  <c r="I1996"/>
  <c r="J1996"/>
  <c r="K1996"/>
  <c r="N1996"/>
  <c r="A1997"/>
  <c r="B1997"/>
  <c r="D1997"/>
  <c r="E1997"/>
  <c r="F1997"/>
  <c r="G1997"/>
  <c r="H1997"/>
  <c r="I1997"/>
  <c r="J1997"/>
  <c r="K1997"/>
  <c r="N1997"/>
  <c r="A1998"/>
  <c r="B1998"/>
  <c r="D1998"/>
  <c r="E1998"/>
  <c r="F1998"/>
  <c r="G1998"/>
  <c r="H1998"/>
  <c r="I1998"/>
  <c r="J1998"/>
  <c r="K1998"/>
  <c r="N1998"/>
  <c r="A1999"/>
  <c r="B1999"/>
  <c r="D1999"/>
  <c r="E1999"/>
  <c r="F1999"/>
  <c r="G1999"/>
  <c r="H1999"/>
  <c r="I1999"/>
  <c r="J1999"/>
  <c r="K1999"/>
  <c r="N1999"/>
  <c r="A2000"/>
  <c r="B2000"/>
  <c r="D2000"/>
  <c r="E2000"/>
  <c r="F2000"/>
  <c r="G2000"/>
  <c r="H2000"/>
  <c r="I2000"/>
  <c r="J2000"/>
  <c r="K2000"/>
  <c r="N2000"/>
  <c r="A2001"/>
  <c r="B2001"/>
  <c r="D2001"/>
  <c r="E2001"/>
  <c r="F2001"/>
  <c r="G2001"/>
  <c r="H2001"/>
  <c r="I2001"/>
  <c r="J2001"/>
  <c r="K2001"/>
  <c r="N2001"/>
  <c r="A2002"/>
  <c r="B2002"/>
  <c r="D2002"/>
  <c r="E2002"/>
  <c r="F2002"/>
  <c r="G2002"/>
  <c r="H2002"/>
  <c r="I2002"/>
  <c r="J2002"/>
  <c r="K2002"/>
  <c r="N2002"/>
  <c r="A2003"/>
  <c r="B2003"/>
  <c r="D2003"/>
  <c r="E2003"/>
  <c r="F2003"/>
  <c r="G2003"/>
  <c r="H2003"/>
  <c r="I2003"/>
  <c r="J2003"/>
  <c r="K2003"/>
  <c r="N2003"/>
  <c r="A2004"/>
  <c r="B2004"/>
  <c r="D2004"/>
  <c r="E2004"/>
  <c r="F2004"/>
  <c r="G2004"/>
  <c r="H2004"/>
  <c r="I2004"/>
  <c r="J2004"/>
  <c r="K2004"/>
  <c r="N2004"/>
  <c r="A2005"/>
  <c r="B2005"/>
  <c r="D2005"/>
  <c r="E2005"/>
  <c r="F2005"/>
  <c r="G2005"/>
  <c r="H2005"/>
  <c r="I2005"/>
  <c r="J2005"/>
  <c r="K2005"/>
  <c r="N2005"/>
  <c r="A2006"/>
  <c r="B2006"/>
  <c r="D2006"/>
  <c r="E2006"/>
  <c r="F2006"/>
  <c r="G2006"/>
  <c r="H2006"/>
  <c r="I2006"/>
  <c r="J2006"/>
  <c r="K2006"/>
  <c r="N2006"/>
  <c r="A2007"/>
  <c r="B2007"/>
  <c r="D2007"/>
  <c r="E2007"/>
  <c r="F2007"/>
  <c r="G2007"/>
  <c r="H2007"/>
  <c r="I2007"/>
  <c r="J2007"/>
  <c r="K2007"/>
  <c r="N2007"/>
  <c r="A2008"/>
  <c r="B2008"/>
  <c r="D2008"/>
  <c r="E2008"/>
  <c r="F2008"/>
  <c r="G2008"/>
  <c r="H2008"/>
  <c r="I2008"/>
  <c r="J2008"/>
  <c r="K2008"/>
  <c r="N2008"/>
  <c r="A2009"/>
  <c r="B2009"/>
  <c r="D2009"/>
  <c r="E2009"/>
  <c r="F2009"/>
  <c r="G2009"/>
  <c r="H2009"/>
  <c r="I2009"/>
  <c r="J2009"/>
  <c r="K2009"/>
  <c r="N2009"/>
  <c r="A2010"/>
  <c r="B2010"/>
  <c r="D2010"/>
  <c r="E2010"/>
  <c r="F2010"/>
  <c r="G2010"/>
  <c r="H2010"/>
  <c r="I2010"/>
  <c r="J2010"/>
  <c r="K2010"/>
  <c r="N2010"/>
  <c r="A2011"/>
  <c r="B2011"/>
  <c r="D2011"/>
  <c r="E2011"/>
  <c r="F2011"/>
  <c r="G2011"/>
  <c r="H2011"/>
  <c r="I2011"/>
  <c r="J2011"/>
  <c r="K2011"/>
  <c r="N2011"/>
  <c r="A2012"/>
  <c r="B2012"/>
  <c r="D2012"/>
  <c r="E2012"/>
  <c r="F2012"/>
  <c r="G2012"/>
  <c r="H2012"/>
  <c r="I2012"/>
  <c r="J2012"/>
  <c r="K2012"/>
  <c r="N2012"/>
  <c r="A2013"/>
  <c r="B2013"/>
  <c r="D2013"/>
  <c r="E2013"/>
  <c r="F2013"/>
  <c r="G2013"/>
  <c r="H2013"/>
  <c r="I2013"/>
  <c r="J2013"/>
  <c r="K2013"/>
  <c r="M2013"/>
  <c r="N2013"/>
  <c r="A2014"/>
  <c r="B2014"/>
  <c r="D2014"/>
  <c r="E2014"/>
  <c r="F2014"/>
  <c r="G2014"/>
  <c r="H2014"/>
  <c r="I2014"/>
  <c r="J2014"/>
  <c r="K2014"/>
  <c r="N2014"/>
  <c r="A2015"/>
  <c r="B2015"/>
  <c r="D2015"/>
  <c r="E2015"/>
  <c r="F2015"/>
  <c r="G2015"/>
  <c r="H2015"/>
  <c r="I2015"/>
  <c r="J2015"/>
  <c r="K2015"/>
  <c r="N2015"/>
  <c r="A2016"/>
  <c r="B2016"/>
  <c r="D2016"/>
  <c r="E2016"/>
  <c r="F2016"/>
  <c r="G2016"/>
  <c r="H2016"/>
  <c r="I2016"/>
  <c r="J2016"/>
  <c r="K2016"/>
  <c r="N2016"/>
  <c r="A2017"/>
  <c r="B2017"/>
  <c r="D2017"/>
  <c r="E2017"/>
  <c r="F2017"/>
  <c r="G2017"/>
  <c r="H2017"/>
  <c r="I2017"/>
  <c r="J2017"/>
  <c r="K2017"/>
  <c r="N2017"/>
  <c r="A2018"/>
  <c r="B2018"/>
  <c r="D2018"/>
  <c r="E2018"/>
  <c r="F2018"/>
  <c r="G2018"/>
  <c r="H2018"/>
  <c r="I2018"/>
  <c r="J2018"/>
  <c r="K2018"/>
  <c r="N2018"/>
  <c r="A2019"/>
  <c r="B2019"/>
  <c r="D2019"/>
  <c r="E2019"/>
  <c r="F2019"/>
  <c r="G2019"/>
  <c r="H2019"/>
  <c r="I2019"/>
  <c r="J2019"/>
  <c r="K2019"/>
  <c r="N2019"/>
  <c r="A2020"/>
  <c r="B2020"/>
  <c r="D2020"/>
  <c r="E2020"/>
  <c r="F2020"/>
  <c r="G2020"/>
  <c r="H2020"/>
  <c r="I2020"/>
  <c r="J2020"/>
  <c r="K2020"/>
  <c r="N2020"/>
  <c r="A2021"/>
  <c r="B2021"/>
  <c r="D2021"/>
  <c r="E2021"/>
  <c r="F2021"/>
  <c r="G2021"/>
  <c r="H2021"/>
  <c r="I2021"/>
  <c r="J2021"/>
  <c r="K2021"/>
  <c r="M2021"/>
  <c r="N2021"/>
  <c r="A2022"/>
  <c r="B2022"/>
  <c r="D2022"/>
  <c r="E2022"/>
  <c r="F2022"/>
  <c r="G2022"/>
  <c r="H2022"/>
  <c r="I2022"/>
  <c r="J2022"/>
  <c r="K2022"/>
  <c r="N2022"/>
  <c r="A2023"/>
  <c r="B2023"/>
  <c r="D2023"/>
  <c r="E2023"/>
  <c r="F2023"/>
  <c r="G2023"/>
  <c r="H2023"/>
  <c r="I2023"/>
  <c r="J2023"/>
  <c r="K2023"/>
  <c r="N2023"/>
  <c r="A2024"/>
  <c r="B2024"/>
  <c r="D2024"/>
  <c r="E2024"/>
  <c r="F2024"/>
  <c r="G2024"/>
  <c r="H2024"/>
  <c r="I2024"/>
  <c r="J2024"/>
  <c r="K2024"/>
  <c r="N2024"/>
  <c r="A2025"/>
  <c r="B2025"/>
  <c r="D2025"/>
  <c r="E2025"/>
  <c r="F2025"/>
  <c r="G2025"/>
  <c r="H2025"/>
  <c r="I2025"/>
  <c r="J2025"/>
  <c r="K2025"/>
  <c r="N2025"/>
  <c r="A2026"/>
  <c r="B2026"/>
  <c r="D2026"/>
  <c r="E2026"/>
  <c r="F2026"/>
  <c r="G2026"/>
  <c r="H2026"/>
  <c r="I2026"/>
  <c r="J2026"/>
  <c r="K2026"/>
  <c r="N2026"/>
  <c r="A2027"/>
  <c r="B2027"/>
  <c r="D2027"/>
  <c r="E2027"/>
  <c r="F2027"/>
  <c r="G2027"/>
  <c r="H2027"/>
  <c r="I2027"/>
  <c r="J2027"/>
  <c r="K2027"/>
  <c r="N2027"/>
  <c r="A2028"/>
  <c r="B2028"/>
  <c r="D2028"/>
  <c r="E2028"/>
  <c r="F2028"/>
  <c r="G2028"/>
  <c r="H2028"/>
  <c r="I2028"/>
  <c r="J2028"/>
  <c r="K2028"/>
  <c r="N2028"/>
  <c r="A2029"/>
  <c r="B2029"/>
  <c r="D2029"/>
  <c r="E2029"/>
  <c r="F2029"/>
  <c r="G2029"/>
  <c r="H2029"/>
  <c r="I2029"/>
  <c r="J2029"/>
  <c r="K2029"/>
  <c r="M2029"/>
  <c r="N2029"/>
  <c r="A2030"/>
  <c r="B2030"/>
  <c r="D2030"/>
  <c r="E2030"/>
  <c r="F2030"/>
  <c r="G2030"/>
  <c r="H2030"/>
  <c r="I2030"/>
  <c r="J2030"/>
  <c r="K2030"/>
  <c r="N2030"/>
  <c r="A2031"/>
  <c r="B2031"/>
  <c r="D2031"/>
  <c r="E2031"/>
  <c r="F2031"/>
  <c r="G2031"/>
  <c r="H2031"/>
  <c r="I2031"/>
  <c r="J2031"/>
  <c r="K2031"/>
  <c r="N2031"/>
  <c r="A2032"/>
  <c r="B2032"/>
  <c r="D2032"/>
  <c r="E2032"/>
  <c r="F2032"/>
  <c r="G2032"/>
  <c r="H2032"/>
  <c r="I2032"/>
  <c r="J2032"/>
  <c r="K2032"/>
  <c r="N2032"/>
  <c r="A2033"/>
  <c r="B2033"/>
  <c r="D2033"/>
  <c r="E2033"/>
  <c r="F2033"/>
  <c r="G2033"/>
  <c r="H2033"/>
  <c r="I2033"/>
  <c r="J2033"/>
  <c r="K2033"/>
  <c r="N2033"/>
  <c r="A2034"/>
  <c r="B2034"/>
  <c r="D2034"/>
  <c r="E2034"/>
  <c r="F2034"/>
  <c r="G2034"/>
  <c r="H2034"/>
  <c r="I2034"/>
  <c r="J2034"/>
  <c r="K2034"/>
  <c r="N2034"/>
  <c r="A2035"/>
  <c r="B2035"/>
  <c r="D2035"/>
  <c r="E2035"/>
  <c r="F2035"/>
  <c r="G2035"/>
  <c r="H2035"/>
  <c r="I2035"/>
  <c r="J2035"/>
  <c r="K2035"/>
  <c r="N2035"/>
  <c r="A2036"/>
  <c r="B2036"/>
  <c r="D2036"/>
  <c r="E2036"/>
  <c r="F2036"/>
  <c r="G2036"/>
  <c r="H2036"/>
  <c r="I2036"/>
  <c r="J2036"/>
  <c r="K2036"/>
  <c r="N2036"/>
  <c r="A2037"/>
  <c r="B2037"/>
  <c r="D2037"/>
  <c r="E2037"/>
  <c r="F2037"/>
  <c r="G2037"/>
  <c r="H2037"/>
  <c r="I2037"/>
  <c r="J2037"/>
  <c r="K2037"/>
  <c r="N2037"/>
  <c r="A2038"/>
  <c r="B2038"/>
  <c r="D2038"/>
  <c r="E2038"/>
  <c r="F2038"/>
  <c r="G2038"/>
  <c r="H2038"/>
  <c r="I2038"/>
  <c r="J2038"/>
  <c r="K2038"/>
  <c r="N2038"/>
  <c r="A2039"/>
  <c r="B2039"/>
  <c r="D2039"/>
  <c r="E2039"/>
  <c r="F2039"/>
  <c r="G2039"/>
  <c r="H2039"/>
  <c r="I2039"/>
  <c r="J2039"/>
  <c r="K2039"/>
  <c r="N2039"/>
  <c r="A2040"/>
  <c r="B2040"/>
  <c r="D2040"/>
  <c r="E2040"/>
  <c r="F2040"/>
  <c r="G2040"/>
  <c r="H2040"/>
  <c r="I2040"/>
  <c r="J2040"/>
  <c r="K2040"/>
  <c r="N2040"/>
  <c r="A2041"/>
  <c r="B2041"/>
  <c r="D2041"/>
  <c r="E2041"/>
  <c r="F2041"/>
  <c r="G2041"/>
  <c r="H2041"/>
  <c r="I2041"/>
  <c r="J2041"/>
  <c r="K2041"/>
  <c r="N2041"/>
  <c r="A2042"/>
  <c r="B2042"/>
  <c r="D2042"/>
  <c r="E2042"/>
  <c r="F2042"/>
  <c r="G2042"/>
  <c r="H2042"/>
  <c r="I2042"/>
  <c r="J2042"/>
  <c r="K2042"/>
  <c r="N2042"/>
  <c r="A2043"/>
  <c r="B2043"/>
  <c r="D2043"/>
  <c r="E2043"/>
  <c r="F2043"/>
  <c r="G2043"/>
  <c r="H2043"/>
  <c r="I2043"/>
  <c r="J2043"/>
  <c r="K2043"/>
  <c r="N2043"/>
  <c r="A2044"/>
  <c r="B2044"/>
  <c r="D2044"/>
  <c r="E2044"/>
  <c r="F2044"/>
  <c r="G2044"/>
  <c r="H2044"/>
  <c r="I2044"/>
  <c r="J2044"/>
  <c r="K2044"/>
  <c r="N2044"/>
  <c r="A2045"/>
  <c r="B2045"/>
  <c r="D2045"/>
  <c r="E2045"/>
  <c r="F2045"/>
  <c r="G2045"/>
  <c r="H2045"/>
  <c r="I2045"/>
  <c r="J2045"/>
  <c r="K2045"/>
  <c r="M2045"/>
  <c r="N2045"/>
  <c r="A2046"/>
  <c r="B2046"/>
  <c r="D2046"/>
  <c r="E2046"/>
  <c r="F2046"/>
  <c r="G2046"/>
  <c r="H2046"/>
  <c r="I2046"/>
  <c r="J2046"/>
  <c r="K2046"/>
  <c r="N2046"/>
  <c r="A2047"/>
  <c r="B2047"/>
  <c r="D2047"/>
  <c r="E2047"/>
  <c r="F2047"/>
  <c r="G2047"/>
  <c r="H2047"/>
  <c r="I2047"/>
  <c r="J2047"/>
  <c r="K2047"/>
  <c r="N2047"/>
  <c r="A2048"/>
  <c r="B2048"/>
  <c r="D2048"/>
  <c r="E2048"/>
  <c r="F2048"/>
  <c r="G2048"/>
  <c r="H2048"/>
  <c r="I2048"/>
  <c r="J2048"/>
  <c r="K2048"/>
  <c r="N2048"/>
  <c r="A2049"/>
  <c r="B2049"/>
  <c r="D2049"/>
  <c r="E2049"/>
  <c r="F2049"/>
  <c r="G2049"/>
  <c r="H2049"/>
  <c r="I2049"/>
  <c r="J2049"/>
  <c r="K2049"/>
  <c r="N2049"/>
  <c r="A2050"/>
  <c r="B2050"/>
  <c r="D2050"/>
  <c r="E2050"/>
  <c r="F2050"/>
  <c r="G2050"/>
  <c r="H2050"/>
  <c r="I2050"/>
  <c r="J2050"/>
  <c r="K2050"/>
  <c r="N2050"/>
  <c r="A2051"/>
  <c r="B2051"/>
  <c r="D2051"/>
  <c r="E2051"/>
  <c r="F2051"/>
  <c r="G2051"/>
  <c r="H2051"/>
  <c r="I2051"/>
  <c r="J2051"/>
  <c r="K2051"/>
  <c r="N2051"/>
  <c r="A2052"/>
  <c r="B2052"/>
  <c r="D2052"/>
  <c r="E2052"/>
  <c r="F2052"/>
  <c r="G2052"/>
  <c r="H2052"/>
  <c r="I2052"/>
  <c r="J2052"/>
  <c r="K2052"/>
  <c r="N2052"/>
  <c r="A2053"/>
  <c r="B2053"/>
  <c r="D2053"/>
  <c r="E2053"/>
  <c r="F2053"/>
  <c r="G2053"/>
  <c r="H2053"/>
  <c r="I2053"/>
  <c r="J2053"/>
  <c r="K2053"/>
  <c r="M2053"/>
  <c r="N2053"/>
  <c r="A2054"/>
  <c r="B2054"/>
  <c r="D2054"/>
  <c r="E2054"/>
  <c r="F2054"/>
  <c r="G2054"/>
  <c r="H2054"/>
  <c r="I2054"/>
  <c r="J2054"/>
  <c r="K2054"/>
  <c r="N2054"/>
  <c r="A2055"/>
  <c r="B2055"/>
  <c r="D2055"/>
  <c r="E2055"/>
  <c r="F2055"/>
  <c r="G2055"/>
  <c r="H2055"/>
  <c r="I2055"/>
  <c r="J2055"/>
  <c r="K2055"/>
  <c r="N2055"/>
  <c r="A2056"/>
  <c r="B2056"/>
  <c r="D2056"/>
  <c r="E2056"/>
  <c r="F2056"/>
  <c r="G2056"/>
  <c r="H2056"/>
  <c r="I2056"/>
  <c r="J2056"/>
  <c r="K2056"/>
  <c r="N2056"/>
  <c r="A2057"/>
  <c r="B2057"/>
  <c r="D2057"/>
  <c r="E2057"/>
  <c r="F2057"/>
  <c r="G2057"/>
  <c r="H2057"/>
  <c r="I2057"/>
  <c r="J2057"/>
  <c r="K2057"/>
  <c r="N2057"/>
  <c r="A2058"/>
  <c r="B2058"/>
  <c r="D2058"/>
  <c r="E2058"/>
  <c r="F2058"/>
  <c r="G2058"/>
  <c r="H2058"/>
  <c r="I2058"/>
  <c r="J2058"/>
  <c r="K2058"/>
  <c r="N2058"/>
  <c r="A2059"/>
  <c r="B2059"/>
  <c r="D2059"/>
  <c r="E2059"/>
  <c r="F2059"/>
  <c r="G2059"/>
  <c r="H2059"/>
  <c r="I2059"/>
  <c r="J2059"/>
  <c r="K2059"/>
  <c r="N2059"/>
  <c r="A2060"/>
  <c r="B2060"/>
  <c r="D2060"/>
  <c r="E2060"/>
  <c r="F2060"/>
  <c r="G2060"/>
  <c r="H2060"/>
  <c r="I2060"/>
  <c r="J2060"/>
  <c r="K2060"/>
  <c r="N2060"/>
  <c r="A2061"/>
  <c r="B2061"/>
  <c r="D2061"/>
  <c r="E2061"/>
  <c r="F2061"/>
  <c r="G2061"/>
  <c r="H2061"/>
  <c r="I2061"/>
  <c r="J2061"/>
  <c r="K2061"/>
  <c r="N2061"/>
  <c r="A2062"/>
  <c r="B2062"/>
  <c r="D2062"/>
  <c r="E2062"/>
  <c r="F2062"/>
  <c r="G2062"/>
  <c r="H2062"/>
  <c r="I2062"/>
  <c r="J2062"/>
  <c r="K2062"/>
  <c r="N2062"/>
  <c r="A2063"/>
  <c r="B2063"/>
  <c r="D2063"/>
  <c r="E2063"/>
  <c r="F2063"/>
  <c r="G2063"/>
  <c r="H2063"/>
  <c r="I2063"/>
  <c r="J2063"/>
  <c r="K2063"/>
  <c r="N2063"/>
  <c r="A2064"/>
  <c r="B2064"/>
  <c r="D2064"/>
  <c r="E2064"/>
  <c r="F2064"/>
  <c r="G2064"/>
  <c r="H2064"/>
  <c r="I2064"/>
  <c r="J2064"/>
  <c r="K2064"/>
  <c r="N2064"/>
  <c r="A2065"/>
  <c r="B2065"/>
  <c r="D2065"/>
  <c r="E2065"/>
  <c r="F2065"/>
  <c r="G2065"/>
  <c r="H2065"/>
  <c r="I2065"/>
  <c r="J2065"/>
  <c r="K2065"/>
  <c r="N2065"/>
  <c r="A2066"/>
  <c r="B2066"/>
  <c r="D2066"/>
  <c r="E2066"/>
  <c r="F2066"/>
  <c r="G2066"/>
  <c r="H2066"/>
  <c r="I2066"/>
  <c r="J2066"/>
  <c r="K2066"/>
  <c r="N2066"/>
  <c r="A2067"/>
  <c r="B2067"/>
  <c r="D2067"/>
  <c r="E2067"/>
  <c r="F2067"/>
  <c r="G2067"/>
  <c r="H2067"/>
  <c r="I2067"/>
  <c r="J2067"/>
  <c r="K2067"/>
  <c r="N2067"/>
  <c r="A2068"/>
  <c r="B2068"/>
  <c r="D2068"/>
  <c r="E2068"/>
  <c r="F2068"/>
  <c r="G2068"/>
  <c r="H2068"/>
  <c r="I2068"/>
  <c r="J2068"/>
  <c r="K2068"/>
  <c r="N2068"/>
  <c r="A2069"/>
  <c r="B2069"/>
  <c r="D2069"/>
  <c r="E2069"/>
  <c r="F2069"/>
  <c r="G2069"/>
  <c r="H2069"/>
  <c r="I2069"/>
  <c r="J2069"/>
  <c r="K2069"/>
  <c r="M2069"/>
  <c r="N2069"/>
  <c r="A2070"/>
  <c r="B2070"/>
  <c r="D2070"/>
  <c r="E2070"/>
  <c r="F2070"/>
  <c r="G2070"/>
  <c r="H2070"/>
  <c r="I2070"/>
  <c r="J2070"/>
  <c r="K2070"/>
  <c r="N2070"/>
  <c r="A2071"/>
  <c r="B2071"/>
  <c r="D2071"/>
  <c r="E2071"/>
  <c r="F2071"/>
  <c r="G2071"/>
  <c r="H2071"/>
  <c r="I2071"/>
  <c r="J2071"/>
  <c r="K2071"/>
  <c r="N2071"/>
  <c r="A2072"/>
  <c r="B2072"/>
  <c r="D2072"/>
  <c r="E2072"/>
  <c r="F2072"/>
  <c r="G2072"/>
  <c r="H2072"/>
  <c r="I2072"/>
  <c r="J2072"/>
  <c r="K2072"/>
  <c r="N2072"/>
  <c r="A2073"/>
  <c r="B2073"/>
  <c r="D2073"/>
  <c r="E2073"/>
  <c r="F2073"/>
  <c r="G2073"/>
  <c r="H2073"/>
  <c r="I2073"/>
  <c r="J2073"/>
  <c r="K2073"/>
  <c r="N2073"/>
  <c r="A2074"/>
  <c r="B2074"/>
  <c r="D2074"/>
  <c r="E2074"/>
  <c r="F2074"/>
  <c r="G2074"/>
  <c r="H2074"/>
  <c r="I2074"/>
  <c r="J2074"/>
  <c r="K2074"/>
  <c r="N2074"/>
  <c r="A2075"/>
  <c r="B2075"/>
  <c r="D2075"/>
  <c r="E2075"/>
  <c r="F2075"/>
  <c r="G2075"/>
  <c r="H2075"/>
  <c r="I2075"/>
  <c r="J2075"/>
  <c r="K2075"/>
  <c r="N2075"/>
  <c r="A2076"/>
  <c r="B2076"/>
  <c r="D2076"/>
  <c r="E2076"/>
  <c r="F2076"/>
  <c r="G2076"/>
  <c r="H2076"/>
  <c r="I2076"/>
  <c r="J2076"/>
  <c r="K2076"/>
  <c r="N2076"/>
  <c r="A2077"/>
  <c r="B2077"/>
  <c r="D2077"/>
  <c r="E2077"/>
  <c r="F2077"/>
  <c r="G2077"/>
  <c r="H2077"/>
  <c r="I2077"/>
  <c r="J2077"/>
  <c r="K2077"/>
  <c r="M2077"/>
  <c r="N2077"/>
  <c r="A2078"/>
  <c r="B2078"/>
  <c r="D2078"/>
  <c r="E2078"/>
  <c r="F2078"/>
  <c r="G2078"/>
  <c r="H2078"/>
  <c r="I2078"/>
  <c r="J2078"/>
  <c r="K2078"/>
  <c r="N2078"/>
  <c r="A2079"/>
  <c r="B2079"/>
  <c r="D2079"/>
  <c r="E2079"/>
  <c r="F2079"/>
  <c r="G2079"/>
  <c r="H2079"/>
  <c r="I2079"/>
  <c r="J2079"/>
  <c r="K2079"/>
  <c r="N2079"/>
  <c r="A2080"/>
  <c r="B2080"/>
  <c r="D2080"/>
  <c r="E2080"/>
  <c r="F2080"/>
  <c r="G2080"/>
  <c r="H2080"/>
  <c r="I2080"/>
  <c r="J2080"/>
  <c r="K2080"/>
  <c r="N2080"/>
  <c r="A2081"/>
  <c r="B2081"/>
  <c r="D2081"/>
  <c r="E2081"/>
  <c r="F2081"/>
  <c r="G2081"/>
  <c r="H2081"/>
  <c r="I2081"/>
  <c r="J2081"/>
  <c r="K2081"/>
  <c r="N2081"/>
  <c r="A2082"/>
  <c r="B2082"/>
  <c r="D2082"/>
  <c r="E2082"/>
  <c r="F2082"/>
  <c r="G2082"/>
  <c r="H2082"/>
  <c r="I2082"/>
  <c r="J2082"/>
  <c r="K2082"/>
  <c r="N2082"/>
  <c r="A2083"/>
  <c r="B2083"/>
  <c r="D2083"/>
  <c r="E2083"/>
  <c r="F2083"/>
  <c r="G2083"/>
  <c r="H2083"/>
  <c r="I2083"/>
  <c r="J2083"/>
  <c r="K2083"/>
  <c r="N2083"/>
  <c r="A2084"/>
  <c r="B2084"/>
  <c r="D2084"/>
  <c r="E2084"/>
  <c r="F2084"/>
  <c r="G2084"/>
  <c r="H2084"/>
  <c r="I2084"/>
  <c r="J2084"/>
  <c r="K2084"/>
  <c r="N2084"/>
  <c r="A2085"/>
  <c r="B2085"/>
  <c r="D2085"/>
  <c r="E2085"/>
  <c r="F2085"/>
  <c r="G2085"/>
  <c r="H2085"/>
  <c r="I2085"/>
  <c r="J2085"/>
  <c r="K2085"/>
  <c r="N2085"/>
  <c r="A2086"/>
  <c r="B2086"/>
  <c r="D2086"/>
  <c r="E2086"/>
  <c r="F2086"/>
  <c r="G2086"/>
  <c r="H2086"/>
  <c r="I2086"/>
  <c r="J2086"/>
  <c r="K2086"/>
  <c r="N2086"/>
  <c r="A2087"/>
  <c r="B2087"/>
  <c r="D2087"/>
  <c r="E2087"/>
  <c r="F2087"/>
  <c r="G2087"/>
  <c r="H2087"/>
  <c r="I2087"/>
  <c r="J2087"/>
  <c r="K2087"/>
  <c r="N2087"/>
  <c r="A2088"/>
  <c r="B2088"/>
  <c r="D2088"/>
  <c r="E2088"/>
  <c r="F2088"/>
  <c r="G2088"/>
  <c r="H2088"/>
  <c r="I2088"/>
  <c r="J2088"/>
  <c r="K2088"/>
  <c r="N2088"/>
  <c r="A2089"/>
  <c r="B2089"/>
  <c r="D2089"/>
  <c r="E2089"/>
  <c r="F2089"/>
  <c r="G2089"/>
  <c r="H2089"/>
  <c r="I2089"/>
  <c r="J2089"/>
  <c r="K2089"/>
  <c r="N2089"/>
  <c r="A2090"/>
  <c r="B2090"/>
  <c r="D2090"/>
  <c r="E2090"/>
  <c r="F2090"/>
  <c r="G2090"/>
  <c r="H2090"/>
  <c r="I2090"/>
  <c r="J2090"/>
  <c r="K2090"/>
  <c r="N2090"/>
  <c r="A2091"/>
  <c r="B2091"/>
  <c r="D2091"/>
  <c r="E2091"/>
  <c r="F2091"/>
  <c r="G2091"/>
  <c r="H2091"/>
  <c r="I2091"/>
  <c r="J2091"/>
  <c r="K2091"/>
  <c r="N2091"/>
  <c r="A2092"/>
  <c r="B2092"/>
  <c r="D2092"/>
  <c r="E2092"/>
  <c r="F2092"/>
  <c r="G2092"/>
  <c r="H2092"/>
  <c r="I2092"/>
  <c r="J2092"/>
  <c r="K2092"/>
  <c r="N2092"/>
  <c r="A2093"/>
  <c r="B2093"/>
  <c r="D2093"/>
  <c r="E2093"/>
  <c r="F2093"/>
  <c r="G2093"/>
  <c r="H2093"/>
  <c r="I2093"/>
  <c r="J2093"/>
  <c r="K2093"/>
  <c r="M2093"/>
  <c r="N2093"/>
  <c r="A2094"/>
  <c r="B2094"/>
  <c r="D2094"/>
  <c r="E2094"/>
  <c r="F2094"/>
  <c r="G2094"/>
  <c r="H2094"/>
  <c r="I2094"/>
  <c r="J2094"/>
  <c r="K2094"/>
  <c r="L2094"/>
  <c r="N2094"/>
  <c r="A2095"/>
  <c r="B2095"/>
  <c r="D2095"/>
  <c r="E2095"/>
  <c r="F2095"/>
  <c r="G2095"/>
  <c r="H2095"/>
  <c r="I2095"/>
  <c r="J2095"/>
  <c r="K2095"/>
  <c r="N2095"/>
  <c r="A2096"/>
  <c r="B2096"/>
  <c r="C2096"/>
  <c r="D2096"/>
  <c r="E2096"/>
  <c r="F2096"/>
  <c r="G2096"/>
  <c r="H2096"/>
  <c r="I2096"/>
  <c r="J2096"/>
  <c r="K2096"/>
  <c r="N2096"/>
  <c r="A2097"/>
  <c r="B2097"/>
  <c r="D2097"/>
  <c r="E2097"/>
  <c r="F2097"/>
  <c r="G2097"/>
  <c r="H2097"/>
  <c r="I2097"/>
  <c r="J2097"/>
  <c r="K2097"/>
  <c r="N2097"/>
  <c r="A2098"/>
  <c r="B2098"/>
  <c r="D2098"/>
  <c r="E2098"/>
  <c r="F2098"/>
  <c r="G2098"/>
  <c r="H2098"/>
  <c r="I2098"/>
  <c r="J2098"/>
  <c r="K2098"/>
  <c r="N2098"/>
  <c r="A2099"/>
  <c r="B2099"/>
  <c r="D2099"/>
  <c r="E2099"/>
  <c r="F2099"/>
  <c r="G2099"/>
  <c r="H2099"/>
  <c r="I2099"/>
  <c r="J2099"/>
  <c r="K2099"/>
  <c r="N2099"/>
  <c r="A2100"/>
  <c r="B2100"/>
  <c r="D2100"/>
  <c r="E2100"/>
  <c r="F2100"/>
  <c r="G2100"/>
  <c r="H2100"/>
  <c r="I2100"/>
  <c r="J2100"/>
  <c r="K2100"/>
  <c r="N2100"/>
  <c r="A2101"/>
  <c r="B2101"/>
  <c r="D2101"/>
  <c r="E2101"/>
  <c r="F2101"/>
  <c r="G2101"/>
  <c r="H2101"/>
  <c r="I2101"/>
  <c r="J2101"/>
  <c r="K2101"/>
  <c r="N2101"/>
  <c r="A2102"/>
  <c r="B2102"/>
  <c r="D2102"/>
  <c r="E2102"/>
  <c r="F2102"/>
  <c r="G2102"/>
  <c r="H2102"/>
  <c r="I2102"/>
  <c r="J2102"/>
  <c r="K2102"/>
  <c r="N2102"/>
  <c r="A2103"/>
  <c r="B2103"/>
  <c r="D2103"/>
  <c r="E2103"/>
  <c r="F2103"/>
  <c r="G2103"/>
  <c r="H2103"/>
  <c r="I2103"/>
  <c r="J2103"/>
  <c r="K2103"/>
  <c r="N2103"/>
  <c r="A2104"/>
  <c r="B2104"/>
  <c r="D2104"/>
  <c r="E2104"/>
  <c r="F2104"/>
  <c r="G2104"/>
  <c r="H2104"/>
  <c r="I2104"/>
  <c r="J2104"/>
  <c r="K2104"/>
  <c r="N2104"/>
  <c r="A2105"/>
  <c r="B2105"/>
  <c r="D2105"/>
  <c r="E2105"/>
  <c r="F2105"/>
  <c r="G2105"/>
  <c r="H2105"/>
  <c r="I2105"/>
  <c r="J2105"/>
  <c r="K2105"/>
  <c r="N2105"/>
  <c r="A2106"/>
  <c r="B2106"/>
  <c r="D2106"/>
  <c r="E2106"/>
  <c r="F2106"/>
  <c r="G2106"/>
  <c r="H2106"/>
  <c r="I2106"/>
  <c r="J2106"/>
  <c r="K2106"/>
  <c r="N2106"/>
  <c r="A2107"/>
  <c r="B2107"/>
  <c r="D2107"/>
  <c r="E2107"/>
  <c r="F2107"/>
  <c r="G2107"/>
  <c r="H2107"/>
  <c r="I2107"/>
  <c r="J2107"/>
  <c r="K2107"/>
  <c r="N2107"/>
  <c r="A2108"/>
  <c r="B2108"/>
  <c r="D2108"/>
  <c r="E2108"/>
  <c r="F2108"/>
  <c r="G2108"/>
  <c r="H2108"/>
  <c r="I2108"/>
  <c r="J2108"/>
  <c r="K2108"/>
  <c r="N2108"/>
  <c r="A2109"/>
  <c r="B2109"/>
  <c r="D2109"/>
  <c r="E2109"/>
  <c r="F2109"/>
  <c r="G2109"/>
  <c r="H2109"/>
  <c r="I2109"/>
  <c r="J2109"/>
  <c r="K2109"/>
  <c r="M2109"/>
  <c r="N2109"/>
  <c r="A2110"/>
  <c r="B2110"/>
  <c r="D2110"/>
  <c r="E2110"/>
  <c r="F2110"/>
  <c r="G2110"/>
  <c r="H2110"/>
  <c r="I2110"/>
  <c r="J2110"/>
  <c r="K2110"/>
  <c r="N2110"/>
  <c r="A2111"/>
  <c r="B2111"/>
  <c r="D2111"/>
  <c r="E2111"/>
  <c r="F2111"/>
  <c r="G2111"/>
  <c r="H2111"/>
  <c r="I2111"/>
  <c r="J2111"/>
  <c r="K2111"/>
  <c r="N2111"/>
  <c r="A2112"/>
  <c r="B2112"/>
  <c r="D2112"/>
  <c r="E2112"/>
  <c r="F2112"/>
  <c r="G2112"/>
  <c r="H2112"/>
  <c r="I2112"/>
  <c r="J2112"/>
  <c r="K2112"/>
  <c r="N2112"/>
  <c r="A2113"/>
  <c r="B2113"/>
  <c r="D2113"/>
  <c r="E2113"/>
  <c r="F2113"/>
  <c r="G2113"/>
  <c r="H2113"/>
  <c r="I2113"/>
  <c r="J2113"/>
  <c r="K2113"/>
  <c r="N2113"/>
  <c r="A2114"/>
  <c r="B2114"/>
  <c r="D2114"/>
  <c r="E2114"/>
  <c r="F2114"/>
  <c r="G2114"/>
  <c r="H2114"/>
  <c r="I2114"/>
  <c r="J2114"/>
  <c r="K2114"/>
  <c r="N2114"/>
  <c r="A2115"/>
  <c r="B2115"/>
  <c r="D2115"/>
  <c r="E2115"/>
  <c r="F2115"/>
  <c r="G2115"/>
  <c r="H2115"/>
  <c r="I2115"/>
  <c r="J2115"/>
  <c r="K2115"/>
  <c r="N2115"/>
  <c r="A2116"/>
  <c r="B2116"/>
  <c r="D2116"/>
  <c r="E2116"/>
  <c r="F2116"/>
  <c r="G2116"/>
  <c r="H2116"/>
  <c r="I2116"/>
  <c r="J2116"/>
  <c r="K2116"/>
  <c r="N2116"/>
  <c r="A2117"/>
  <c r="B2117"/>
  <c r="D2117"/>
  <c r="E2117"/>
  <c r="F2117"/>
  <c r="G2117"/>
  <c r="H2117"/>
  <c r="I2117"/>
  <c r="J2117"/>
  <c r="K2117"/>
  <c r="N2117"/>
  <c r="A2118"/>
  <c r="B2118"/>
  <c r="D2118"/>
  <c r="E2118"/>
  <c r="F2118"/>
  <c r="G2118"/>
  <c r="H2118"/>
  <c r="I2118"/>
  <c r="J2118"/>
  <c r="K2118"/>
  <c r="N2118"/>
  <c r="A2119"/>
  <c r="B2119"/>
  <c r="D2119"/>
  <c r="E2119"/>
  <c r="F2119"/>
  <c r="G2119"/>
  <c r="H2119"/>
  <c r="I2119"/>
  <c r="J2119"/>
  <c r="K2119"/>
  <c r="N2119"/>
  <c r="A2120"/>
  <c r="B2120"/>
  <c r="D2120"/>
  <c r="E2120"/>
  <c r="F2120"/>
  <c r="G2120"/>
  <c r="H2120"/>
  <c r="I2120"/>
  <c r="J2120"/>
  <c r="K2120"/>
  <c r="N2120"/>
  <c r="A2121"/>
  <c r="B2121"/>
  <c r="D2121"/>
  <c r="E2121"/>
  <c r="F2121"/>
  <c r="G2121"/>
  <c r="H2121"/>
  <c r="I2121"/>
  <c r="J2121"/>
  <c r="K2121"/>
  <c r="N2121"/>
  <c r="A2122"/>
  <c r="B2122"/>
  <c r="D2122"/>
  <c r="E2122"/>
  <c r="F2122"/>
  <c r="G2122"/>
  <c r="H2122"/>
  <c r="I2122"/>
  <c r="J2122"/>
  <c r="K2122"/>
  <c r="N2122"/>
  <c r="A2123"/>
  <c r="B2123"/>
  <c r="D2123"/>
  <c r="E2123"/>
  <c r="F2123"/>
  <c r="G2123"/>
  <c r="H2123"/>
  <c r="I2123"/>
  <c r="J2123"/>
  <c r="K2123"/>
  <c r="N2123"/>
  <c r="A2124"/>
  <c r="B2124"/>
  <c r="D2124"/>
  <c r="E2124"/>
  <c r="F2124"/>
  <c r="G2124"/>
  <c r="H2124"/>
  <c r="I2124"/>
  <c r="J2124"/>
  <c r="K2124"/>
  <c r="N2124"/>
  <c r="A2125"/>
  <c r="B2125"/>
  <c r="D2125"/>
  <c r="E2125"/>
  <c r="F2125"/>
  <c r="G2125"/>
  <c r="H2125"/>
  <c r="I2125"/>
  <c r="J2125"/>
  <c r="K2125"/>
  <c r="M2125"/>
  <c r="N2125"/>
  <c r="A2126"/>
  <c r="B2126"/>
  <c r="D2126"/>
  <c r="E2126"/>
  <c r="F2126"/>
  <c r="G2126"/>
  <c r="H2126"/>
  <c r="I2126"/>
  <c r="J2126"/>
  <c r="K2126"/>
  <c r="N2126"/>
  <c r="A2127"/>
  <c r="B2127"/>
  <c r="D2127"/>
  <c r="E2127"/>
  <c r="F2127"/>
  <c r="G2127"/>
  <c r="H2127"/>
  <c r="I2127"/>
  <c r="J2127"/>
  <c r="K2127"/>
  <c r="N2127"/>
  <c r="A2128"/>
  <c r="B2128"/>
  <c r="D2128"/>
  <c r="E2128"/>
  <c r="F2128"/>
  <c r="G2128"/>
  <c r="H2128"/>
  <c r="I2128"/>
  <c r="J2128"/>
  <c r="K2128"/>
  <c r="N2128"/>
  <c r="A2129"/>
  <c r="B2129"/>
  <c r="D2129"/>
  <c r="E2129"/>
  <c r="F2129"/>
  <c r="G2129"/>
  <c r="H2129"/>
  <c r="I2129"/>
  <c r="J2129"/>
  <c r="K2129"/>
  <c r="N2129"/>
  <c r="A2130"/>
  <c r="B2130"/>
  <c r="D2130"/>
  <c r="E2130"/>
  <c r="F2130"/>
  <c r="G2130"/>
  <c r="H2130"/>
  <c r="I2130"/>
  <c r="J2130"/>
  <c r="K2130"/>
  <c r="N2130"/>
  <c r="A2131"/>
  <c r="B2131"/>
  <c r="D2131"/>
  <c r="E2131"/>
  <c r="F2131"/>
  <c r="G2131"/>
  <c r="H2131"/>
  <c r="I2131"/>
  <c r="J2131"/>
  <c r="K2131"/>
  <c r="N2131"/>
  <c r="A2132"/>
  <c r="B2132"/>
  <c r="D2132"/>
  <c r="E2132"/>
  <c r="F2132"/>
  <c r="G2132"/>
  <c r="H2132"/>
  <c r="I2132"/>
  <c r="J2132"/>
  <c r="K2132"/>
  <c r="N2132"/>
  <c r="A2133"/>
  <c r="B2133"/>
  <c r="D2133"/>
  <c r="E2133"/>
  <c r="F2133"/>
  <c r="G2133"/>
  <c r="H2133"/>
  <c r="I2133"/>
  <c r="J2133"/>
  <c r="K2133"/>
  <c r="M2133"/>
  <c r="N2133"/>
  <c r="A2134"/>
  <c r="B2134"/>
  <c r="D2134"/>
  <c r="E2134"/>
  <c r="F2134"/>
  <c r="G2134"/>
  <c r="H2134"/>
  <c r="I2134"/>
  <c r="J2134"/>
  <c r="K2134"/>
  <c r="N2134"/>
  <c r="A2135"/>
  <c r="B2135"/>
  <c r="D2135"/>
  <c r="E2135"/>
  <c r="F2135"/>
  <c r="G2135"/>
  <c r="H2135"/>
  <c r="I2135"/>
  <c r="J2135"/>
  <c r="K2135"/>
  <c r="N2135"/>
  <c r="A2136"/>
  <c r="B2136"/>
  <c r="D2136"/>
  <c r="E2136"/>
  <c r="F2136"/>
  <c r="G2136"/>
  <c r="H2136"/>
  <c r="I2136"/>
  <c r="J2136"/>
  <c r="K2136"/>
  <c r="N2136"/>
  <c r="A2137"/>
  <c r="B2137"/>
  <c r="D2137"/>
  <c r="E2137"/>
  <c r="F2137"/>
  <c r="G2137"/>
  <c r="H2137"/>
  <c r="I2137"/>
  <c r="J2137"/>
  <c r="K2137"/>
  <c r="N2137"/>
  <c r="A2138"/>
  <c r="B2138"/>
  <c r="D2138"/>
  <c r="E2138"/>
  <c r="F2138"/>
  <c r="G2138"/>
  <c r="H2138"/>
  <c r="I2138"/>
  <c r="J2138"/>
  <c r="K2138"/>
  <c r="N2138"/>
  <c r="A2139"/>
  <c r="B2139"/>
  <c r="D2139"/>
  <c r="E2139"/>
  <c r="F2139"/>
  <c r="G2139"/>
  <c r="H2139"/>
  <c r="I2139"/>
  <c r="J2139"/>
  <c r="K2139"/>
  <c r="N2139"/>
  <c r="A2140"/>
  <c r="B2140"/>
  <c r="D2140"/>
  <c r="E2140"/>
  <c r="F2140"/>
  <c r="G2140"/>
  <c r="H2140"/>
  <c r="I2140"/>
  <c r="J2140"/>
  <c r="K2140"/>
  <c r="N2140"/>
  <c r="A2141"/>
  <c r="B2141"/>
  <c r="D2141"/>
  <c r="E2141"/>
  <c r="F2141"/>
  <c r="G2141"/>
  <c r="H2141"/>
  <c r="I2141"/>
  <c r="J2141"/>
  <c r="K2141"/>
  <c r="M2141"/>
  <c r="N2141"/>
  <c r="A2142"/>
  <c r="B2142"/>
  <c r="D2142"/>
  <c r="E2142"/>
  <c r="F2142"/>
  <c r="G2142"/>
  <c r="H2142"/>
  <c r="I2142"/>
  <c r="J2142"/>
  <c r="K2142"/>
  <c r="N2142"/>
  <c r="A2143"/>
  <c r="B2143"/>
  <c r="D2143"/>
  <c r="E2143"/>
  <c r="F2143"/>
  <c r="G2143"/>
  <c r="H2143"/>
  <c r="I2143"/>
  <c r="J2143"/>
  <c r="K2143"/>
  <c r="N2143"/>
  <c r="A2144"/>
  <c r="B2144"/>
  <c r="D2144"/>
  <c r="E2144"/>
  <c r="F2144"/>
  <c r="G2144"/>
  <c r="H2144"/>
  <c r="I2144"/>
  <c r="J2144"/>
  <c r="K2144"/>
  <c r="N2144"/>
  <c r="A2145"/>
  <c r="B2145"/>
  <c r="D2145"/>
  <c r="E2145"/>
  <c r="F2145"/>
  <c r="G2145"/>
  <c r="H2145"/>
  <c r="I2145"/>
  <c r="J2145"/>
  <c r="K2145"/>
  <c r="N2145"/>
  <c r="A2146"/>
  <c r="B2146"/>
  <c r="D2146"/>
  <c r="E2146"/>
  <c r="F2146"/>
  <c r="G2146"/>
  <c r="H2146"/>
  <c r="I2146"/>
  <c r="J2146"/>
  <c r="K2146"/>
  <c r="N2146"/>
  <c r="A2147"/>
  <c r="B2147"/>
  <c r="D2147"/>
  <c r="E2147"/>
  <c r="F2147"/>
  <c r="G2147"/>
  <c r="H2147"/>
  <c r="I2147"/>
  <c r="J2147"/>
  <c r="K2147"/>
  <c r="N2147"/>
  <c r="A2148"/>
  <c r="B2148"/>
  <c r="D2148"/>
  <c r="E2148"/>
  <c r="F2148"/>
  <c r="G2148"/>
  <c r="H2148"/>
  <c r="I2148"/>
  <c r="J2148"/>
  <c r="K2148"/>
  <c r="N2148"/>
  <c r="A2149"/>
  <c r="B2149"/>
  <c r="D2149"/>
  <c r="E2149"/>
  <c r="F2149"/>
  <c r="G2149"/>
  <c r="H2149"/>
  <c r="I2149"/>
  <c r="J2149"/>
  <c r="K2149"/>
  <c r="M2149"/>
  <c r="N2149"/>
  <c r="A2150"/>
  <c r="B2150"/>
  <c r="D2150"/>
  <c r="E2150"/>
  <c r="F2150"/>
  <c r="G2150"/>
  <c r="H2150"/>
  <c r="I2150"/>
  <c r="J2150"/>
  <c r="K2150"/>
  <c r="N2150"/>
  <c r="A2151"/>
  <c r="B2151"/>
  <c r="D2151"/>
  <c r="E2151"/>
  <c r="F2151"/>
  <c r="G2151"/>
  <c r="H2151"/>
  <c r="I2151"/>
  <c r="J2151"/>
  <c r="K2151"/>
  <c r="N2151"/>
  <c r="A2152"/>
  <c r="B2152"/>
  <c r="D2152"/>
  <c r="E2152"/>
  <c r="F2152"/>
  <c r="G2152"/>
  <c r="H2152"/>
  <c r="I2152"/>
  <c r="J2152"/>
  <c r="K2152"/>
  <c r="N2152"/>
  <c r="A2153"/>
  <c r="B2153"/>
  <c r="D2153"/>
  <c r="E2153"/>
  <c r="F2153"/>
  <c r="G2153"/>
  <c r="H2153"/>
  <c r="I2153"/>
  <c r="J2153"/>
  <c r="K2153"/>
  <c r="N2153"/>
  <c r="A2154"/>
  <c r="B2154"/>
  <c r="D2154"/>
  <c r="E2154"/>
  <c r="F2154"/>
  <c r="G2154"/>
  <c r="H2154"/>
  <c r="I2154"/>
  <c r="J2154"/>
  <c r="K2154"/>
  <c r="N2154"/>
  <c r="A2155"/>
  <c r="B2155"/>
  <c r="D2155"/>
  <c r="E2155"/>
  <c r="F2155"/>
  <c r="G2155"/>
  <c r="H2155"/>
  <c r="I2155"/>
  <c r="J2155"/>
  <c r="K2155"/>
  <c r="N2155"/>
  <c r="A2156"/>
  <c r="B2156"/>
  <c r="D2156"/>
  <c r="E2156"/>
  <c r="F2156"/>
  <c r="G2156"/>
  <c r="H2156"/>
  <c r="I2156"/>
  <c r="J2156"/>
  <c r="K2156"/>
  <c r="N2156"/>
  <c r="A2157"/>
  <c r="B2157"/>
  <c r="D2157"/>
  <c r="E2157"/>
  <c r="F2157"/>
  <c r="G2157"/>
  <c r="H2157"/>
  <c r="I2157"/>
  <c r="J2157"/>
  <c r="K2157"/>
  <c r="M2157"/>
  <c r="N2157"/>
  <c r="A2158"/>
  <c r="B2158"/>
  <c r="D2158"/>
  <c r="E2158"/>
  <c r="F2158"/>
  <c r="G2158"/>
  <c r="H2158"/>
  <c r="I2158"/>
  <c r="J2158"/>
  <c r="K2158"/>
  <c r="N2158"/>
  <c r="A2159"/>
  <c r="B2159"/>
  <c r="D2159"/>
  <c r="E2159"/>
  <c r="F2159"/>
  <c r="G2159"/>
  <c r="H2159"/>
  <c r="I2159"/>
  <c r="J2159"/>
  <c r="K2159"/>
  <c r="N2159"/>
  <c r="A2160"/>
  <c r="B2160"/>
  <c r="D2160"/>
  <c r="E2160"/>
  <c r="F2160"/>
  <c r="G2160"/>
  <c r="H2160"/>
  <c r="I2160"/>
  <c r="J2160"/>
  <c r="K2160"/>
  <c r="N2160"/>
  <c r="A2161"/>
  <c r="B2161"/>
  <c r="D2161"/>
  <c r="E2161"/>
  <c r="F2161"/>
  <c r="G2161"/>
  <c r="H2161"/>
  <c r="I2161"/>
  <c r="J2161"/>
  <c r="K2161"/>
  <c r="N2161"/>
  <c r="A2162"/>
  <c r="B2162"/>
  <c r="D2162"/>
  <c r="E2162"/>
  <c r="F2162"/>
  <c r="G2162"/>
  <c r="H2162"/>
  <c r="I2162"/>
  <c r="J2162"/>
  <c r="K2162"/>
  <c r="N2162"/>
  <c r="A2163"/>
  <c r="B2163"/>
  <c r="D2163"/>
  <c r="E2163"/>
  <c r="F2163"/>
  <c r="G2163"/>
  <c r="H2163"/>
  <c r="I2163"/>
  <c r="J2163"/>
  <c r="K2163"/>
  <c r="N2163"/>
  <c r="A2164"/>
  <c r="B2164"/>
  <c r="D2164"/>
  <c r="E2164"/>
  <c r="F2164"/>
  <c r="G2164"/>
  <c r="H2164"/>
  <c r="I2164"/>
  <c r="J2164"/>
  <c r="K2164"/>
  <c r="N2164"/>
  <c r="A2165"/>
  <c r="B2165"/>
  <c r="D2165"/>
  <c r="E2165"/>
  <c r="F2165"/>
  <c r="G2165"/>
  <c r="H2165"/>
  <c r="I2165"/>
  <c r="J2165"/>
  <c r="K2165"/>
  <c r="N2165"/>
  <c r="A2166"/>
  <c r="B2166"/>
  <c r="D2166"/>
  <c r="E2166"/>
  <c r="F2166"/>
  <c r="G2166"/>
  <c r="H2166"/>
  <c r="I2166"/>
  <c r="J2166"/>
  <c r="K2166"/>
  <c r="N2166"/>
  <c r="A2167"/>
  <c r="B2167"/>
  <c r="D2167"/>
  <c r="E2167"/>
  <c r="F2167"/>
  <c r="G2167"/>
  <c r="H2167"/>
  <c r="I2167"/>
  <c r="J2167"/>
  <c r="K2167"/>
  <c r="N2167"/>
  <c r="A2168"/>
  <c r="B2168"/>
  <c r="D2168"/>
  <c r="E2168"/>
  <c r="F2168"/>
  <c r="G2168"/>
  <c r="H2168"/>
  <c r="I2168"/>
  <c r="J2168"/>
  <c r="K2168"/>
  <c r="N2168"/>
  <c r="A2169"/>
  <c r="B2169"/>
  <c r="D2169"/>
  <c r="E2169"/>
  <c r="F2169"/>
  <c r="G2169"/>
  <c r="H2169"/>
  <c r="I2169"/>
  <c r="J2169"/>
  <c r="K2169"/>
  <c r="N2169"/>
  <c r="A2170"/>
  <c r="B2170"/>
  <c r="D2170"/>
  <c r="E2170"/>
  <c r="F2170"/>
  <c r="G2170"/>
  <c r="H2170"/>
  <c r="I2170"/>
  <c r="J2170"/>
  <c r="K2170"/>
  <c r="N2170"/>
  <c r="A2171"/>
  <c r="B2171"/>
  <c r="D2171"/>
  <c r="E2171"/>
  <c r="F2171"/>
  <c r="G2171"/>
  <c r="H2171"/>
  <c r="I2171"/>
  <c r="J2171"/>
  <c r="K2171"/>
  <c r="N2171"/>
  <c r="A2172"/>
  <c r="B2172"/>
  <c r="D2172"/>
  <c r="E2172"/>
  <c r="F2172"/>
  <c r="G2172"/>
  <c r="H2172"/>
  <c r="I2172"/>
  <c r="J2172"/>
  <c r="K2172"/>
  <c r="N2172"/>
  <c r="A2173"/>
  <c r="B2173"/>
  <c r="D2173"/>
  <c r="E2173"/>
  <c r="F2173"/>
  <c r="G2173"/>
  <c r="H2173"/>
  <c r="I2173"/>
  <c r="J2173"/>
  <c r="K2173"/>
  <c r="M2173"/>
  <c r="N2173"/>
  <c r="A2174"/>
  <c r="B2174"/>
  <c r="D2174"/>
  <c r="E2174"/>
  <c r="F2174"/>
  <c r="G2174"/>
  <c r="H2174"/>
  <c r="I2174"/>
  <c r="J2174"/>
  <c r="K2174"/>
  <c r="N2174"/>
  <c r="A2175"/>
  <c r="B2175"/>
  <c r="D2175"/>
  <c r="E2175"/>
  <c r="F2175"/>
  <c r="G2175"/>
  <c r="H2175"/>
  <c r="I2175"/>
  <c r="J2175"/>
  <c r="K2175"/>
  <c r="N2175"/>
  <c r="A2176"/>
  <c r="B2176"/>
  <c r="D2176"/>
  <c r="E2176"/>
  <c r="F2176"/>
  <c r="G2176"/>
  <c r="H2176"/>
  <c r="I2176"/>
  <c r="J2176"/>
  <c r="K2176"/>
  <c r="N2176"/>
  <c r="A2177"/>
  <c r="B2177"/>
  <c r="D2177"/>
  <c r="E2177"/>
  <c r="F2177"/>
  <c r="G2177"/>
  <c r="H2177"/>
  <c r="I2177"/>
  <c r="J2177"/>
  <c r="K2177"/>
  <c r="N2177"/>
  <c r="A2178"/>
  <c r="B2178"/>
  <c r="D2178"/>
  <c r="E2178"/>
  <c r="F2178"/>
  <c r="G2178"/>
  <c r="H2178"/>
  <c r="I2178"/>
  <c r="J2178"/>
  <c r="K2178"/>
  <c r="N2178"/>
  <c r="A2179"/>
  <c r="B2179"/>
  <c r="D2179"/>
  <c r="E2179"/>
  <c r="F2179"/>
  <c r="G2179"/>
  <c r="H2179"/>
  <c r="I2179"/>
  <c r="J2179"/>
  <c r="K2179"/>
  <c r="N2179"/>
  <c r="A2180"/>
  <c r="D2180"/>
  <c r="E2180"/>
  <c r="F2180"/>
  <c r="G2180"/>
  <c r="H2180"/>
  <c r="I2180"/>
  <c r="J2180"/>
  <c r="K2180"/>
  <c r="N2180"/>
  <c r="A2181"/>
  <c r="D2181"/>
  <c r="E2181"/>
  <c r="F2181"/>
  <c r="G2181"/>
  <c r="H2181"/>
  <c r="I2181"/>
  <c r="J2181"/>
  <c r="K2181"/>
  <c r="N2181"/>
  <c r="A2182"/>
  <c r="D2182"/>
  <c r="E2182"/>
  <c r="F2182"/>
  <c r="G2182"/>
  <c r="H2182"/>
  <c r="I2182"/>
  <c r="J2182"/>
  <c r="K2182"/>
  <c r="N2182"/>
  <c r="A2183"/>
  <c r="D2183"/>
  <c r="E2183"/>
  <c r="F2183"/>
  <c r="G2183"/>
  <c r="H2183"/>
  <c r="I2183"/>
  <c r="J2183"/>
  <c r="K2183"/>
  <c r="N2183"/>
  <c r="A2184"/>
  <c r="D2184"/>
  <c r="E2184"/>
  <c r="F2184"/>
  <c r="G2184"/>
  <c r="H2184"/>
  <c r="I2184"/>
  <c r="J2184"/>
  <c r="K2184"/>
  <c r="N2184"/>
  <c r="A2185"/>
  <c r="D2185"/>
  <c r="E2185"/>
  <c r="F2185"/>
  <c r="G2185"/>
  <c r="H2185"/>
  <c r="I2185"/>
  <c r="J2185"/>
  <c r="K2185"/>
  <c r="N2185"/>
  <c r="A2186"/>
  <c r="D2186"/>
  <c r="E2186"/>
  <c r="F2186"/>
  <c r="G2186"/>
  <c r="H2186"/>
  <c r="I2186"/>
  <c r="J2186"/>
  <c r="K2186"/>
  <c r="N2186"/>
  <c r="A2187"/>
  <c r="D2187"/>
  <c r="E2187"/>
  <c r="F2187"/>
  <c r="G2187"/>
  <c r="H2187"/>
  <c r="I2187"/>
  <c r="J2187"/>
  <c r="K2187"/>
  <c r="N2187"/>
  <c r="A2188"/>
  <c r="D2188"/>
  <c r="E2188"/>
  <c r="F2188"/>
  <c r="G2188"/>
  <c r="H2188"/>
  <c r="I2188"/>
  <c r="J2188"/>
  <c r="K2188"/>
  <c r="N2188"/>
  <c r="A2189"/>
  <c r="D2189"/>
  <c r="E2189"/>
  <c r="F2189"/>
  <c r="G2189"/>
  <c r="H2189"/>
  <c r="I2189"/>
  <c r="J2189"/>
  <c r="K2189"/>
  <c r="M2189"/>
  <c r="N2189"/>
  <c r="A2190"/>
  <c r="D2190"/>
  <c r="E2190"/>
  <c r="F2190"/>
  <c r="G2190"/>
  <c r="H2190"/>
  <c r="I2190"/>
  <c r="J2190"/>
  <c r="K2190"/>
  <c r="N2190"/>
  <c r="A2191"/>
  <c r="D2191"/>
  <c r="E2191"/>
  <c r="F2191"/>
  <c r="G2191"/>
  <c r="H2191"/>
  <c r="I2191"/>
  <c r="J2191"/>
  <c r="K2191"/>
  <c r="N2191"/>
  <c r="A2192"/>
  <c r="D2192"/>
  <c r="E2192"/>
  <c r="F2192"/>
  <c r="G2192"/>
  <c r="H2192"/>
  <c r="I2192"/>
  <c r="J2192"/>
  <c r="K2192"/>
  <c r="N2192"/>
  <c r="A2193"/>
  <c r="D2193"/>
  <c r="E2193"/>
  <c r="F2193"/>
  <c r="G2193"/>
  <c r="H2193"/>
  <c r="I2193"/>
  <c r="J2193"/>
  <c r="K2193"/>
  <c r="N2193"/>
  <c r="A2194"/>
  <c r="D2194"/>
  <c r="E2194"/>
  <c r="F2194"/>
  <c r="G2194"/>
  <c r="H2194"/>
  <c r="I2194"/>
  <c r="J2194"/>
  <c r="K2194"/>
  <c r="N2194"/>
  <c r="A2195"/>
  <c r="D2195"/>
  <c r="E2195"/>
  <c r="F2195"/>
  <c r="G2195"/>
  <c r="H2195"/>
  <c r="I2195"/>
  <c r="J2195"/>
  <c r="K2195"/>
  <c r="N2195"/>
  <c r="A2196"/>
  <c r="D2196"/>
  <c r="E2196"/>
  <c r="F2196"/>
  <c r="G2196"/>
  <c r="H2196"/>
  <c r="I2196"/>
  <c r="J2196"/>
  <c r="K2196"/>
  <c r="N2196"/>
  <c r="A2197"/>
  <c r="D2197"/>
  <c r="E2197"/>
  <c r="F2197"/>
  <c r="G2197"/>
  <c r="H2197"/>
  <c r="I2197"/>
  <c r="J2197"/>
  <c r="K2197"/>
  <c r="N2197"/>
  <c r="A2198"/>
  <c r="D2198"/>
  <c r="E2198"/>
  <c r="F2198"/>
  <c r="G2198"/>
  <c r="H2198"/>
  <c r="I2198"/>
  <c r="J2198"/>
  <c r="K2198"/>
  <c r="N2198"/>
  <c r="A2199"/>
  <c r="D2199"/>
  <c r="E2199"/>
  <c r="F2199"/>
  <c r="G2199"/>
  <c r="H2199"/>
  <c r="I2199"/>
  <c r="J2199"/>
  <c r="K2199"/>
  <c r="N2199"/>
  <c r="A2200"/>
  <c r="D2200"/>
  <c r="E2200"/>
  <c r="F2200"/>
  <c r="G2200"/>
  <c r="H2200"/>
  <c r="I2200"/>
  <c r="J2200"/>
  <c r="K2200"/>
  <c r="N2200"/>
  <c r="A2201"/>
  <c r="D2201"/>
  <c r="E2201"/>
  <c r="F2201"/>
  <c r="G2201"/>
  <c r="H2201"/>
  <c r="I2201"/>
  <c r="J2201"/>
  <c r="K2201"/>
  <c r="N2201"/>
  <c r="A2202"/>
  <c r="D2202"/>
  <c r="E2202"/>
  <c r="F2202"/>
  <c r="G2202"/>
  <c r="H2202"/>
  <c r="I2202"/>
  <c r="J2202"/>
  <c r="K2202"/>
  <c r="N2202"/>
  <c r="A2203"/>
  <c r="D2203"/>
  <c r="E2203"/>
  <c r="F2203"/>
  <c r="G2203"/>
  <c r="H2203"/>
  <c r="I2203"/>
  <c r="J2203"/>
  <c r="K2203"/>
  <c r="N2203"/>
  <c r="A2204"/>
  <c r="D2204"/>
  <c r="E2204"/>
  <c r="F2204"/>
  <c r="G2204"/>
  <c r="H2204"/>
  <c r="I2204"/>
  <c r="J2204"/>
  <c r="K2204"/>
  <c r="N2204"/>
  <c r="A2205"/>
  <c r="D2205"/>
  <c r="E2205"/>
  <c r="F2205"/>
  <c r="G2205"/>
  <c r="H2205"/>
  <c r="I2205"/>
  <c r="J2205"/>
  <c r="K2205"/>
  <c r="M2205"/>
  <c r="N2205"/>
  <c r="A2206"/>
  <c r="D2206"/>
  <c r="E2206"/>
  <c r="F2206"/>
  <c r="G2206"/>
  <c r="H2206"/>
  <c r="I2206"/>
  <c r="J2206"/>
  <c r="K2206"/>
  <c r="N2206"/>
  <c r="A2207"/>
  <c r="D2207"/>
  <c r="E2207"/>
  <c r="F2207"/>
  <c r="G2207"/>
  <c r="H2207"/>
  <c r="I2207"/>
  <c r="J2207"/>
  <c r="K2207"/>
  <c r="N2207"/>
  <c r="A2208"/>
  <c r="D2208"/>
  <c r="E2208"/>
  <c r="F2208"/>
  <c r="G2208"/>
  <c r="H2208"/>
  <c r="I2208"/>
  <c r="J2208"/>
  <c r="K2208"/>
  <c r="N2208"/>
  <c r="A2209"/>
  <c r="D2209"/>
  <c r="E2209"/>
  <c r="F2209"/>
  <c r="G2209"/>
  <c r="H2209"/>
  <c r="I2209"/>
  <c r="J2209"/>
  <c r="K2209"/>
  <c r="N2209"/>
  <c r="A2210"/>
  <c r="D2210"/>
  <c r="E2210"/>
  <c r="F2210"/>
  <c r="G2210"/>
  <c r="H2210"/>
  <c r="I2210"/>
  <c r="J2210"/>
  <c r="K2210"/>
  <c r="N2210"/>
  <c r="A2211"/>
  <c r="D2211"/>
  <c r="E2211"/>
  <c r="F2211"/>
  <c r="G2211"/>
  <c r="H2211"/>
  <c r="I2211"/>
  <c r="J2211"/>
  <c r="K2211"/>
  <c r="N2211"/>
  <c r="A2212"/>
  <c r="D2212"/>
  <c r="E2212"/>
  <c r="F2212"/>
  <c r="G2212"/>
  <c r="H2212"/>
  <c r="I2212"/>
  <c r="J2212"/>
  <c r="K2212"/>
  <c r="N2212"/>
  <c r="A2213"/>
  <c r="D2213"/>
  <c r="E2213"/>
  <c r="F2213"/>
  <c r="G2213"/>
  <c r="H2213"/>
  <c r="I2213"/>
  <c r="J2213"/>
  <c r="K2213"/>
  <c r="M2213"/>
  <c r="N2213"/>
  <c r="A2214"/>
  <c r="D2214"/>
  <c r="E2214"/>
  <c r="F2214"/>
  <c r="G2214"/>
  <c r="H2214"/>
  <c r="I2214"/>
  <c r="J2214"/>
  <c r="K2214"/>
  <c r="N2214"/>
  <c r="A2215"/>
  <c r="D2215"/>
  <c r="E2215"/>
  <c r="F2215"/>
  <c r="G2215"/>
  <c r="H2215"/>
  <c r="I2215"/>
  <c r="J2215"/>
  <c r="K2215"/>
  <c r="N2215"/>
  <c r="A2216"/>
  <c r="D2216"/>
  <c r="E2216"/>
  <c r="F2216"/>
  <c r="G2216"/>
  <c r="H2216"/>
  <c r="I2216"/>
  <c r="J2216"/>
  <c r="K2216"/>
  <c r="N2216"/>
  <c r="A2217"/>
  <c r="D2217"/>
  <c r="E2217"/>
  <c r="F2217"/>
  <c r="G2217"/>
  <c r="H2217"/>
  <c r="I2217"/>
  <c r="J2217"/>
  <c r="K2217"/>
  <c r="N2217"/>
  <c r="A2218"/>
  <c r="D2218"/>
  <c r="E2218"/>
  <c r="F2218"/>
  <c r="G2218"/>
  <c r="H2218"/>
  <c r="I2218"/>
  <c r="J2218"/>
  <c r="K2218"/>
  <c r="N2218"/>
  <c r="A2219"/>
  <c r="D2219"/>
  <c r="E2219"/>
  <c r="F2219"/>
  <c r="G2219"/>
  <c r="H2219"/>
  <c r="I2219"/>
  <c r="J2219"/>
  <c r="K2219"/>
  <c r="N2219"/>
  <c r="A2220"/>
  <c r="D2220"/>
  <c r="E2220"/>
  <c r="F2220"/>
  <c r="G2220"/>
  <c r="H2220"/>
  <c r="I2220"/>
  <c r="J2220"/>
  <c r="K2220"/>
  <c r="N2220"/>
  <c r="A2221"/>
  <c r="D2221"/>
  <c r="E2221"/>
  <c r="F2221"/>
  <c r="G2221"/>
  <c r="H2221"/>
  <c r="I2221"/>
  <c r="J2221"/>
  <c r="K2221"/>
  <c r="M2221"/>
  <c r="N2221"/>
  <c r="A2222"/>
  <c r="D2222"/>
  <c r="E2222"/>
  <c r="F2222"/>
  <c r="G2222"/>
  <c r="H2222"/>
  <c r="I2222"/>
  <c r="J2222"/>
  <c r="K2222"/>
  <c r="N2222"/>
  <c r="A2223"/>
  <c r="D2223"/>
  <c r="E2223"/>
  <c r="F2223"/>
  <c r="G2223"/>
  <c r="H2223"/>
  <c r="I2223"/>
  <c r="J2223"/>
  <c r="K2223"/>
  <c r="N2223"/>
  <c r="A2224"/>
  <c r="D2224"/>
  <c r="E2224"/>
  <c r="F2224"/>
  <c r="G2224"/>
  <c r="H2224"/>
  <c r="I2224"/>
  <c r="J2224"/>
  <c r="K2224"/>
  <c r="N2224"/>
  <c r="A2225"/>
  <c r="D2225"/>
  <c r="E2225"/>
  <c r="F2225"/>
  <c r="G2225"/>
  <c r="H2225"/>
  <c r="I2225"/>
  <c r="J2225"/>
  <c r="K2225"/>
  <c r="N2225"/>
  <c r="A2226"/>
  <c r="D2226"/>
  <c r="E2226"/>
  <c r="F2226"/>
  <c r="G2226"/>
  <c r="H2226"/>
  <c r="I2226"/>
  <c r="J2226"/>
  <c r="K2226"/>
  <c r="N2226"/>
  <c r="A2227"/>
  <c r="D2227"/>
  <c r="E2227"/>
  <c r="F2227"/>
  <c r="G2227"/>
  <c r="H2227"/>
  <c r="I2227"/>
  <c r="J2227"/>
  <c r="K2227"/>
  <c r="N2227"/>
  <c r="A2228"/>
  <c r="D2228"/>
  <c r="E2228"/>
  <c r="F2228"/>
  <c r="G2228"/>
  <c r="H2228"/>
  <c r="I2228"/>
  <c r="J2228"/>
  <c r="K2228"/>
  <c r="N2228"/>
  <c r="A2229"/>
  <c r="D2229"/>
  <c r="E2229"/>
  <c r="F2229"/>
  <c r="G2229"/>
  <c r="H2229"/>
  <c r="I2229"/>
  <c r="J2229"/>
  <c r="K2229"/>
  <c r="M2229"/>
  <c r="N2229"/>
  <c r="A2230"/>
  <c r="D2230"/>
  <c r="E2230"/>
  <c r="F2230"/>
  <c r="G2230"/>
  <c r="H2230"/>
  <c r="I2230"/>
  <c r="J2230"/>
  <c r="K2230"/>
  <c r="N2230"/>
  <c r="A2231"/>
  <c r="D2231"/>
  <c r="E2231"/>
  <c r="F2231"/>
  <c r="G2231"/>
  <c r="H2231"/>
  <c r="I2231"/>
  <c r="J2231"/>
  <c r="K2231"/>
  <c r="N2231"/>
  <c r="A2232"/>
  <c r="D2232"/>
  <c r="E2232"/>
  <c r="F2232"/>
  <c r="G2232"/>
  <c r="H2232"/>
  <c r="I2232"/>
  <c r="J2232"/>
  <c r="K2232"/>
  <c r="N2232"/>
  <c r="A2233"/>
  <c r="D2233"/>
  <c r="E2233"/>
  <c r="F2233"/>
  <c r="G2233"/>
  <c r="H2233"/>
  <c r="I2233"/>
  <c r="J2233"/>
  <c r="K2233"/>
  <c r="N2233"/>
  <c r="A2234"/>
  <c r="D2234"/>
  <c r="E2234"/>
  <c r="F2234"/>
  <c r="G2234"/>
  <c r="H2234"/>
  <c r="I2234"/>
  <c r="J2234"/>
  <c r="K2234"/>
  <c r="N2234"/>
  <c r="A2235"/>
  <c r="D2235"/>
  <c r="E2235"/>
  <c r="F2235"/>
  <c r="G2235"/>
  <c r="H2235"/>
  <c r="I2235"/>
  <c r="J2235"/>
  <c r="K2235"/>
  <c r="N2235"/>
  <c r="A2236"/>
  <c r="D2236"/>
  <c r="E2236"/>
  <c r="F2236"/>
  <c r="G2236"/>
  <c r="H2236"/>
  <c r="I2236"/>
  <c r="J2236"/>
  <c r="K2236"/>
  <c r="N2236"/>
  <c r="A2237"/>
  <c r="D2237"/>
  <c r="E2237"/>
  <c r="F2237"/>
  <c r="G2237"/>
  <c r="H2237"/>
  <c r="I2237"/>
  <c r="J2237"/>
  <c r="K2237"/>
  <c r="M2237"/>
  <c r="N2237"/>
  <c r="A2238"/>
  <c r="D2238"/>
  <c r="E2238"/>
  <c r="F2238"/>
  <c r="G2238"/>
  <c r="H2238"/>
  <c r="I2238"/>
  <c r="J2238"/>
  <c r="K2238"/>
  <c r="N2238"/>
  <c r="A2239"/>
  <c r="D2239"/>
  <c r="E2239"/>
  <c r="F2239"/>
  <c r="G2239"/>
  <c r="H2239"/>
  <c r="I2239"/>
  <c r="J2239"/>
  <c r="K2239"/>
  <c r="N2239"/>
  <c r="A2240"/>
  <c r="D2240"/>
  <c r="E2240"/>
  <c r="F2240"/>
  <c r="G2240"/>
  <c r="H2240"/>
  <c r="I2240"/>
  <c r="J2240"/>
  <c r="K2240"/>
  <c r="N2240"/>
  <c r="A2241"/>
  <c r="D2241"/>
  <c r="E2241"/>
  <c r="F2241"/>
  <c r="G2241"/>
  <c r="H2241"/>
  <c r="I2241"/>
  <c r="J2241"/>
  <c r="K2241"/>
  <c r="N2241"/>
  <c r="A2242"/>
  <c r="D2242"/>
  <c r="E2242"/>
  <c r="F2242"/>
  <c r="G2242"/>
  <c r="H2242"/>
  <c r="I2242"/>
  <c r="J2242"/>
  <c r="K2242"/>
  <c r="N2242"/>
  <c r="A2243"/>
  <c r="D2243"/>
  <c r="E2243"/>
  <c r="F2243"/>
  <c r="G2243"/>
  <c r="H2243"/>
  <c r="I2243"/>
  <c r="J2243"/>
  <c r="K2243"/>
  <c r="N2243"/>
  <c r="A2244"/>
  <c r="D2244"/>
  <c r="E2244"/>
  <c r="F2244"/>
  <c r="G2244"/>
  <c r="H2244"/>
  <c r="I2244"/>
  <c r="J2244"/>
  <c r="K2244"/>
  <c r="N2244"/>
  <c r="A2245"/>
  <c r="D2245"/>
  <c r="E2245"/>
  <c r="F2245"/>
  <c r="G2245"/>
  <c r="H2245"/>
  <c r="I2245"/>
  <c r="J2245"/>
  <c r="K2245"/>
  <c r="N2245"/>
  <c r="A2246"/>
  <c r="D2246"/>
  <c r="E2246"/>
  <c r="F2246"/>
  <c r="G2246"/>
  <c r="H2246"/>
  <c r="I2246"/>
  <c r="J2246"/>
  <c r="K2246"/>
  <c r="N2246"/>
  <c r="A2247"/>
  <c r="D2247"/>
  <c r="E2247"/>
  <c r="F2247"/>
  <c r="G2247"/>
  <c r="H2247"/>
  <c r="I2247"/>
  <c r="J2247"/>
  <c r="K2247"/>
  <c r="N2247"/>
  <c r="A2248"/>
  <c r="D2248"/>
  <c r="E2248"/>
  <c r="F2248"/>
  <c r="G2248"/>
  <c r="H2248"/>
  <c r="I2248"/>
  <c r="J2248"/>
  <c r="K2248"/>
  <c r="N2248"/>
  <c r="A2249"/>
  <c r="D2249"/>
  <c r="E2249"/>
  <c r="F2249"/>
  <c r="G2249"/>
  <c r="H2249"/>
  <c r="I2249"/>
  <c r="J2249"/>
  <c r="K2249"/>
  <c r="N2249"/>
  <c r="A2250"/>
  <c r="D2250"/>
  <c r="E2250"/>
  <c r="F2250"/>
  <c r="G2250"/>
  <c r="H2250"/>
  <c r="I2250"/>
  <c r="J2250"/>
  <c r="K2250"/>
  <c r="N2250"/>
  <c r="A2251"/>
  <c r="D2251"/>
  <c r="E2251"/>
  <c r="F2251"/>
  <c r="G2251"/>
  <c r="H2251"/>
  <c r="I2251"/>
  <c r="J2251"/>
  <c r="K2251"/>
  <c r="N2251"/>
  <c r="A2252"/>
  <c r="D2252"/>
  <c r="E2252"/>
  <c r="F2252"/>
  <c r="G2252"/>
  <c r="H2252"/>
  <c r="I2252"/>
  <c r="J2252"/>
  <c r="K2252"/>
  <c r="N2252"/>
  <c r="A2253"/>
  <c r="D2253"/>
  <c r="E2253"/>
  <c r="F2253"/>
  <c r="G2253"/>
  <c r="H2253"/>
  <c r="I2253"/>
  <c r="J2253"/>
  <c r="K2253"/>
  <c r="N2253"/>
  <c r="A2254"/>
  <c r="D2254"/>
  <c r="E2254"/>
  <c r="F2254"/>
  <c r="G2254"/>
  <c r="H2254"/>
  <c r="I2254"/>
  <c r="J2254"/>
  <c r="K2254"/>
  <c r="N2254"/>
  <c r="A2255"/>
  <c r="D2255"/>
  <c r="E2255"/>
  <c r="F2255"/>
  <c r="G2255"/>
  <c r="H2255"/>
  <c r="I2255"/>
  <c r="J2255"/>
  <c r="K2255"/>
  <c r="N2255"/>
  <c r="A2256"/>
  <c r="D2256"/>
  <c r="E2256"/>
  <c r="F2256"/>
  <c r="G2256"/>
  <c r="H2256"/>
  <c r="I2256"/>
  <c r="J2256"/>
  <c r="K2256"/>
  <c r="N2256"/>
  <c r="A2257"/>
  <c r="D2257"/>
  <c r="E2257"/>
  <c r="F2257"/>
  <c r="G2257"/>
  <c r="H2257"/>
  <c r="I2257"/>
  <c r="J2257"/>
  <c r="K2257"/>
  <c r="N2257"/>
  <c r="A2258"/>
  <c r="D2258"/>
  <c r="E2258"/>
  <c r="F2258"/>
  <c r="G2258"/>
  <c r="H2258"/>
  <c r="I2258"/>
  <c r="J2258"/>
  <c r="K2258"/>
  <c r="N2258"/>
  <c r="A2259"/>
  <c r="D2259"/>
  <c r="E2259"/>
  <c r="F2259"/>
  <c r="G2259"/>
  <c r="H2259"/>
  <c r="I2259"/>
  <c r="J2259"/>
  <c r="K2259"/>
  <c r="N2259"/>
  <c r="A2260"/>
  <c r="D2260"/>
  <c r="E2260"/>
  <c r="F2260"/>
  <c r="G2260"/>
  <c r="H2260"/>
  <c r="I2260"/>
  <c r="J2260"/>
  <c r="K2260"/>
  <c r="N2260"/>
  <c r="A2261"/>
  <c r="D2261"/>
  <c r="E2261"/>
  <c r="F2261"/>
  <c r="G2261"/>
  <c r="H2261"/>
  <c r="I2261"/>
  <c r="J2261"/>
  <c r="K2261"/>
  <c r="N2261"/>
  <c r="A2262"/>
  <c r="D2262"/>
  <c r="E2262"/>
  <c r="F2262"/>
  <c r="G2262"/>
  <c r="H2262"/>
  <c r="I2262"/>
  <c r="J2262"/>
  <c r="K2262"/>
  <c r="N2262"/>
  <c r="A2263"/>
  <c r="D2263"/>
  <c r="E2263"/>
  <c r="F2263"/>
  <c r="G2263"/>
  <c r="H2263"/>
  <c r="I2263"/>
  <c r="J2263"/>
  <c r="K2263"/>
  <c r="N2263"/>
  <c r="A2264"/>
  <c r="D2264"/>
  <c r="E2264"/>
  <c r="F2264"/>
  <c r="G2264"/>
  <c r="H2264"/>
  <c r="I2264"/>
  <c r="J2264"/>
  <c r="K2264"/>
  <c r="N2264"/>
  <c r="A2265"/>
  <c r="D2265"/>
  <c r="E2265"/>
  <c r="F2265"/>
  <c r="G2265"/>
  <c r="H2265"/>
  <c r="I2265"/>
  <c r="J2265"/>
  <c r="K2265"/>
  <c r="N2265"/>
  <c r="A2266"/>
  <c r="D2266"/>
  <c r="E2266"/>
  <c r="F2266"/>
  <c r="G2266"/>
  <c r="H2266"/>
  <c r="I2266"/>
  <c r="J2266"/>
  <c r="K2266"/>
  <c r="N2266"/>
  <c r="A2267"/>
  <c r="D2267"/>
  <c r="E2267"/>
  <c r="F2267"/>
  <c r="G2267"/>
  <c r="H2267"/>
  <c r="I2267"/>
  <c r="J2267"/>
  <c r="K2267"/>
  <c r="N2267"/>
  <c r="A2268"/>
  <c r="D2268"/>
  <c r="E2268"/>
  <c r="F2268"/>
  <c r="G2268"/>
  <c r="H2268"/>
  <c r="I2268"/>
  <c r="J2268"/>
  <c r="K2268"/>
  <c r="N2268"/>
  <c r="A2269"/>
  <c r="D2269"/>
  <c r="E2269"/>
  <c r="F2269"/>
  <c r="G2269"/>
  <c r="H2269"/>
  <c r="I2269"/>
  <c r="J2269"/>
  <c r="K2269"/>
  <c r="M2269"/>
  <c r="N2269"/>
  <c r="A2270"/>
  <c r="D2270"/>
  <c r="E2270"/>
  <c r="F2270"/>
  <c r="G2270"/>
  <c r="H2270"/>
  <c r="I2270"/>
  <c r="J2270"/>
  <c r="K2270"/>
  <c r="N2270"/>
  <c r="A2271"/>
  <c r="D2271"/>
  <c r="E2271"/>
  <c r="F2271"/>
  <c r="G2271"/>
  <c r="H2271"/>
  <c r="I2271"/>
  <c r="J2271"/>
  <c r="K2271"/>
  <c r="N2271"/>
  <c r="A2272"/>
  <c r="D2272"/>
  <c r="E2272"/>
  <c r="F2272"/>
  <c r="G2272"/>
  <c r="H2272"/>
  <c r="I2272"/>
  <c r="J2272"/>
  <c r="K2272"/>
  <c r="N2272"/>
  <c r="A2273"/>
  <c r="D2273"/>
  <c r="E2273"/>
  <c r="F2273"/>
  <c r="G2273"/>
  <c r="H2273"/>
  <c r="I2273"/>
  <c r="J2273"/>
  <c r="K2273"/>
  <c r="N2273"/>
  <c r="A2274"/>
  <c r="D2274"/>
  <c r="E2274"/>
  <c r="F2274"/>
  <c r="G2274"/>
  <c r="H2274"/>
  <c r="I2274"/>
  <c r="J2274"/>
  <c r="K2274"/>
  <c r="N2274"/>
  <c r="A2275"/>
  <c r="D2275"/>
  <c r="E2275"/>
  <c r="F2275"/>
  <c r="G2275"/>
  <c r="H2275"/>
  <c r="I2275"/>
  <c r="J2275"/>
  <c r="K2275"/>
  <c r="N2275"/>
  <c r="A2276"/>
  <c r="D2276"/>
  <c r="E2276"/>
  <c r="F2276"/>
  <c r="G2276"/>
  <c r="H2276"/>
  <c r="I2276"/>
  <c r="J2276"/>
  <c r="K2276"/>
  <c r="N2276"/>
  <c r="A2277"/>
  <c r="D2277"/>
  <c r="E2277"/>
  <c r="F2277"/>
  <c r="G2277"/>
  <c r="H2277"/>
  <c r="I2277"/>
  <c r="J2277"/>
  <c r="K2277"/>
  <c r="M2277"/>
  <c r="N2277"/>
  <c r="A2278"/>
  <c r="D2278"/>
  <c r="E2278"/>
  <c r="F2278"/>
  <c r="G2278"/>
  <c r="H2278"/>
  <c r="I2278"/>
  <c r="J2278"/>
  <c r="K2278"/>
  <c r="N2278"/>
  <c r="A2279"/>
  <c r="D2279"/>
  <c r="E2279"/>
  <c r="F2279"/>
  <c r="G2279"/>
  <c r="H2279"/>
  <c r="I2279"/>
  <c r="J2279"/>
  <c r="K2279"/>
  <c r="N2279"/>
  <c r="A2280"/>
  <c r="D2280"/>
  <c r="E2280"/>
  <c r="F2280"/>
  <c r="G2280"/>
  <c r="H2280"/>
  <c r="I2280"/>
  <c r="J2280"/>
  <c r="K2280"/>
  <c r="N2280"/>
  <c r="A2281"/>
  <c r="D2281"/>
  <c r="E2281"/>
  <c r="F2281"/>
  <c r="G2281"/>
  <c r="H2281"/>
  <c r="I2281"/>
  <c r="J2281"/>
  <c r="K2281"/>
  <c r="N2281"/>
  <c r="A2282"/>
  <c r="D2282"/>
  <c r="E2282"/>
  <c r="F2282"/>
  <c r="G2282"/>
  <c r="H2282"/>
  <c r="I2282"/>
  <c r="J2282"/>
  <c r="K2282"/>
  <c r="N2282"/>
  <c r="A2283"/>
  <c r="D2283"/>
  <c r="E2283"/>
  <c r="F2283"/>
  <c r="G2283"/>
  <c r="H2283"/>
  <c r="I2283"/>
  <c r="J2283"/>
  <c r="K2283"/>
  <c r="N2283"/>
  <c r="A2284"/>
  <c r="D2284"/>
  <c r="E2284"/>
  <c r="F2284"/>
  <c r="G2284"/>
  <c r="H2284"/>
  <c r="I2284"/>
  <c r="J2284"/>
  <c r="K2284"/>
  <c r="N2284"/>
  <c r="A2285"/>
  <c r="D2285"/>
  <c r="E2285"/>
  <c r="F2285"/>
  <c r="G2285"/>
  <c r="H2285"/>
  <c r="I2285"/>
  <c r="J2285"/>
  <c r="K2285"/>
  <c r="N2285"/>
  <c r="A2286"/>
  <c r="D2286"/>
  <c r="E2286"/>
  <c r="F2286"/>
  <c r="G2286"/>
  <c r="H2286"/>
  <c r="I2286"/>
  <c r="J2286"/>
  <c r="K2286"/>
  <c r="N2286"/>
  <c r="A2287"/>
  <c r="D2287"/>
  <c r="E2287"/>
  <c r="F2287"/>
  <c r="G2287"/>
  <c r="H2287"/>
  <c r="I2287"/>
  <c r="J2287"/>
  <c r="K2287"/>
  <c r="N2287"/>
  <c r="A2288"/>
  <c r="D2288"/>
  <c r="E2288"/>
  <c r="F2288"/>
  <c r="G2288"/>
  <c r="H2288"/>
  <c r="I2288"/>
  <c r="J2288"/>
  <c r="K2288"/>
  <c r="N2288"/>
  <c r="A2289"/>
  <c r="D2289"/>
  <c r="E2289"/>
  <c r="F2289"/>
  <c r="G2289"/>
  <c r="H2289"/>
  <c r="I2289"/>
  <c r="J2289"/>
  <c r="K2289"/>
  <c r="N2289"/>
  <c r="A2290"/>
  <c r="D2290"/>
  <c r="E2290"/>
  <c r="F2290"/>
  <c r="G2290"/>
  <c r="H2290"/>
  <c r="I2290"/>
  <c r="J2290"/>
  <c r="K2290"/>
  <c r="N2290"/>
  <c r="A2291"/>
  <c r="D2291"/>
  <c r="E2291"/>
  <c r="F2291"/>
  <c r="G2291"/>
  <c r="H2291"/>
  <c r="I2291"/>
  <c r="J2291"/>
  <c r="K2291"/>
  <c r="N2291"/>
  <c r="A2292"/>
  <c r="D2292"/>
  <c r="E2292"/>
  <c r="F2292"/>
  <c r="G2292"/>
  <c r="H2292"/>
  <c r="I2292"/>
  <c r="J2292"/>
  <c r="K2292"/>
  <c r="N2292"/>
  <c r="A2293"/>
  <c r="D2293"/>
  <c r="E2293"/>
  <c r="F2293"/>
  <c r="G2293"/>
  <c r="H2293"/>
  <c r="I2293"/>
  <c r="J2293"/>
  <c r="K2293"/>
  <c r="M2293"/>
  <c r="N2293"/>
  <c r="A2294"/>
  <c r="D2294"/>
  <c r="E2294"/>
  <c r="F2294"/>
  <c r="G2294"/>
  <c r="H2294"/>
  <c r="I2294"/>
  <c r="J2294"/>
  <c r="K2294"/>
  <c r="N2294"/>
  <c r="A2295"/>
  <c r="D2295"/>
  <c r="E2295"/>
  <c r="F2295"/>
  <c r="G2295"/>
  <c r="H2295"/>
  <c r="I2295"/>
  <c r="J2295"/>
  <c r="K2295"/>
  <c r="N2295"/>
  <c r="A2296"/>
  <c r="D2296"/>
  <c r="E2296"/>
  <c r="F2296"/>
  <c r="G2296"/>
  <c r="H2296"/>
  <c r="I2296"/>
  <c r="J2296"/>
  <c r="K2296"/>
  <c r="N2296"/>
  <c r="A2297"/>
  <c r="D2297"/>
  <c r="E2297"/>
  <c r="F2297"/>
  <c r="G2297"/>
  <c r="H2297"/>
  <c r="I2297"/>
  <c r="J2297"/>
  <c r="K2297"/>
  <c r="N2297"/>
  <c r="A2298"/>
  <c r="D2298"/>
  <c r="E2298"/>
  <c r="F2298"/>
  <c r="G2298"/>
  <c r="H2298"/>
  <c r="I2298"/>
  <c r="J2298"/>
  <c r="K2298"/>
  <c r="N2298"/>
  <c r="A2299"/>
  <c r="D2299"/>
  <c r="E2299"/>
  <c r="F2299"/>
  <c r="G2299"/>
  <c r="H2299"/>
  <c r="I2299"/>
  <c r="J2299"/>
  <c r="K2299"/>
  <c r="N2299"/>
  <c r="A2300"/>
  <c r="D2300"/>
  <c r="E2300"/>
  <c r="F2300"/>
  <c r="G2300"/>
  <c r="H2300"/>
  <c r="I2300"/>
  <c r="J2300"/>
  <c r="K2300"/>
  <c r="N2300"/>
  <c r="A2301"/>
  <c r="D2301"/>
  <c r="E2301"/>
  <c r="F2301"/>
  <c r="G2301"/>
  <c r="H2301"/>
  <c r="I2301"/>
  <c r="J2301"/>
  <c r="K2301"/>
  <c r="M2301"/>
  <c r="N2301"/>
  <c r="A2302"/>
  <c r="D2302"/>
  <c r="E2302"/>
  <c r="F2302"/>
  <c r="G2302"/>
  <c r="H2302"/>
  <c r="I2302"/>
  <c r="J2302"/>
  <c r="K2302"/>
  <c r="N2302"/>
  <c r="A2303"/>
  <c r="D2303"/>
  <c r="E2303"/>
  <c r="F2303"/>
  <c r="G2303"/>
  <c r="H2303"/>
  <c r="I2303"/>
  <c r="J2303"/>
  <c r="K2303"/>
  <c r="N2303"/>
  <c r="A2304"/>
  <c r="D2304"/>
  <c r="E2304"/>
  <c r="F2304"/>
  <c r="G2304"/>
  <c r="H2304"/>
  <c r="I2304"/>
  <c r="J2304"/>
  <c r="K2304"/>
  <c r="N2304"/>
  <c r="A2305"/>
  <c r="D2305"/>
  <c r="E2305"/>
  <c r="F2305"/>
  <c r="G2305"/>
  <c r="H2305"/>
  <c r="I2305"/>
  <c r="J2305"/>
  <c r="K2305"/>
  <c r="N2305"/>
  <c r="A2306"/>
  <c r="D2306"/>
  <c r="E2306"/>
  <c r="F2306"/>
  <c r="G2306"/>
  <c r="H2306"/>
  <c r="I2306"/>
  <c r="J2306"/>
  <c r="K2306"/>
  <c r="N2306"/>
  <c r="A2307"/>
  <c r="D2307"/>
  <c r="E2307"/>
  <c r="F2307"/>
  <c r="G2307"/>
  <c r="H2307"/>
  <c r="I2307"/>
  <c r="J2307"/>
  <c r="K2307"/>
  <c r="N2307"/>
  <c r="A2308"/>
  <c r="D2308"/>
  <c r="E2308"/>
  <c r="F2308"/>
  <c r="G2308"/>
  <c r="H2308"/>
  <c r="I2308"/>
  <c r="J2308"/>
  <c r="K2308"/>
  <c r="N2308"/>
  <c r="A2309"/>
  <c r="D2309"/>
  <c r="E2309"/>
  <c r="F2309"/>
  <c r="G2309"/>
  <c r="H2309"/>
  <c r="I2309"/>
  <c r="J2309"/>
  <c r="K2309"/>
  <c r="M2309"/>
  <c r="N2309"/>
  <c r="A2310"/>
  <c r="D2310"/>
  <c r="E2310"/>
  <c r="F2310"/>
  <c r="G2310"/>
  <c r="H2310"/>
  <c r="I2310"/>
  <c r="J2310"/>
  <c r="K2310"/>
  <c r="N2310"/>
  <c r="A2311"/>
  <c r="D2311"/>
  <c r="E2311"/>
  <c r="F2311"/>
  <c r="G2311"/>
  <c r="H2311"/>
  <c r="I2311"/>
  <c r="J2311"/>
  <c r="K2311"/>
  <c r="N2311"/>
  <c r="B2312"/>
  <c r="C2312"/>
  <c r="D2312"/>
  <c r="E2312"/>
  <c r="F2312"/>
  <c r="G2312"/>
  <c r="H2312"/>
  <c r="I2312"/>
  <c r="J2312"/>
  <c r="K2312"/>
  <c r="L2312"/>
  <c r="N2312"/>
  <c r="A2313"/>
  <c r="B2313"/>
  <c r="C2313"/>
  <c r="D2313"/>
  <c r="E2313"/>
  <c r="F2313"/>
  <c r="G2313"/>
  <c r="H2313"/>
  <c r="I2313"/>
  <c r="J2313"/>
  <c r="K2313"/>
  <c r="L2313"/>
  <c r="N2313"/>
  <c r="B2314"/>
  <c r="C2314"/>
  <c r="D2314"/>
  <c r="E2314"/>
  <c r="F2314"/>
  <c r="G2314"/>
  <c r="H2314"/>
  <c r="I2314"/>
  <c r="J2314"/>
  <c r="K2314"/>
  <c r="L2314"/>
  <c r="M2314"/>
  <c r="N2314"/>
  <c r="B2315"/>
  <c r="C2315"/>
  <c r="D2315"/>
  <c r="E2315"/>
  <c r="F2315"/>
  <c r="G2315"/>
  <c r="H2315"/>
  <c r="I2315"/>
  <c r="J2315"/>
  <c r="K2315"/>
  <c r="L2315"/>
  <c r="N2315"/>
  <c r="A2316"/>
  <c r="B2316"/>
  <c r="C2316"/>
  <c r="D2316"/>
  <c r="E2316"/>
  <c r="F2316"/>
  <c r="G2316"/>
  <c r="H2316"/>
  <c r="I2316"/>
  <c r="J2316"/>
  <c r="K2316"/>
  <c r="L2316"/>
  <c r="N2316"/>
  <c r="A2317"/>
  <c r="B2317"/>
  <c r="C2317"/>
  <c r="D2317"/>
  <c r="E2317"/>
  <c r="F2317"/>
  <c r="G2317"/>
  <c r="H2317"/>
  <c r="I2317"/>
  <c r="J2317"/>
  <c r="K2317"/>
  <c r="L2317"/>
  <c r="N2317"/>
  <c r="B2318"/>
  <c r="C2318"/>
  <c r="D2318"/>
  <c r="E2318"/>
  <c r="F2318"/>
  <c r="G2318"/>
  <c r="H2318"/>
  <c r="I2318"/>
  <c r="J2318"/>
  <c r="K2318"/>
  <c r="L2318"/>
  <c r="N2318"/>
  <c r="B2319"/>
  <c r="C2319"/>
  <c r="D2319"/>
  <c r="E2319"/>
  <c r="F2319"/>
  <c r="G2319"/>
  <c r="H2319"/>
  <c r="I2319"/>
  <c r="J2319"/>
  <c r="K2319"/>
  <c r="L2319"/>
  <c r="N2319"/>
  <c r="B2320"/>
  <c r="C2320"/>
  <c r="D2320"/>
  <c r="E2320"/>
  <c r="F2320"/>
  <c r="G2320"/>
  <c r="H2320"/>
  <c r="I2320"/>
  <c r="J2320"/>
  <c r="K2320"/>
  <c r="L2320"/>
  <c r="N2320"/>
  <c r="A2321"/>
  <c r="B2321"/>
  <c r="C2321"/>
  <c r="D2321"/>
  <c r="E2321"/>
  <c r="F2321"/>
  <c r="G2321"/>
  <c r="H2321"/>
  <c r="I2321"/>
  <c r="J2321"/>
  <c r="K2321"/>
  <c r="L2321"/>
  <c r="N2321"/>
  <c r="B2322"/>
  <c r="C2322"/>
  <c r="D2322"/>
  <c r="E2322"/>
  <c r="F2322"/>
  <c r="G2322"/>
  <c r="H2322"/>
  <c r="I2322"/>
  <c r="J2322"/>
  <c r="K2322"/>
  <c r="L2322"/>
  <c r="M2322"/>
  <c r="N2322"/>
  <c r="B2323"/>
  <c r="C2323"/>
  <c r="D2323"/>
  <c r="E2323"/>
  <c r="F2323"/>
  <c r="G2323"/>
  <c r="H2323"/>
  <c r="I2323"/>
  <c r="J2323"/>
  <c r="K2323"/>
  <c r="L2323"/>
  <c r="N2323"/>
  <c r="B2324"/>
  <c r="C2324"/>
  <c r="D2324"/>
  <c r="E2324"/>
  <c r="F2324"/>
  <c r="G2324"/>
  <c r="H2324"/>
  <c r="I2324"/>
  <c r="J2324"/>
  <c r="K2324"/>
  <c r="L2324"/>
  <c r="N2324"/>
  <c r="B2325"/>
  <c r="C2325"/>
  <c r="D2325"/>
  <c r="E2325"/>
  <c r="F2325"/>
  <c r="G2325"/>
  <c r="H2325"/>
  <c r="I2325"/>
  <c r="J2325"/>
  <c r="K2325"/>
  <c r="L2325"/>
  <c r="N2325"/>
  <c r="B2326"/>
  <c r="C2326"/>
  <c r="D2326"/>
  <c r="E2326"/>
  <c r="F2326"/>
  <c r="G2326"/>
  <c r="H2326"/>
  <c r="I2326"/>
  <c r="J2326"/>
  <c r="K2326"/>
  <c r="L2326"/>
  <c r="N2326"/>
  <c r="B2327"/>
  <c r="C2327"/>
  <c r="D2327"/>
  <c r="E2327"/>
  <c r="F2327"/>
  <c r="G2327"/>
  <c r="H2327"/>
  <c r="I2327"/>
  <c r="J2327"/>
  <c r="K2327"/>
  <c r="L2327"/>
  <c r="N2327"/>
  <c r="B2328"/>
  <c r="C2328"/>
  <c r="D2328"/>
  <c r="E2328"/>
  <c r="F2328"/>
  <c r="G2328"/>
  <c r="H2328"/>
  <c r="I2328"/>
  <c r="J2328"/>
  <c r="K2328"/>
  <c r="L2328"/>
  <c r="N2328"/>
  <c r="A2329"/>
  <c r="B2329"/>
  <c r="C2329"/>
  <c r="D2329"/>
  <c r="E2329"/>
  <c r="F2329"/>
  <c r="G2329"/>
  <c r="H2329"/>
  <c r="I2329"/>
  <c r="J2329"/>
  <c r="K2329"/>
  <c r="L2329"/>
  <c r="N2329"/>
  <c r="B2330"/>
  <c r="C2330"/>
  <c r="D2330"/>
  <c r="E2330"/>
  <c r="F2330"/>
  <c r="G2330"/>
  <c r="H2330"/>
  <c r="I2330"/>
  <c r="J2330"/>
  <c r="K2330"/>
  <c r="L2330"/>
  <c r="M2330"/>
  <c r="N2330"/>
  <c r="B2331"/>
  <c r="C2331"/>
  <c r="D2331"/>
  <c r="E2331"/>
  <c r="F2331"/>
  <c r="G2331"/>
  <c r="H2331"/>
  <c r="I2331"/>
  <c r="J2331"/>
  <c r="K2331"/>
  <c r="L2331"/>
  <c r="N2331"/>
  <c r="A2332"/>
  <c r="B2332"/>
  <c r="C2332"/>
  <c r="D2332"/>
  <c r="E2332"/>
  <c r="F2332"/>
  <c r="G2332"/>
  <c r="H2332"/>
  <c r="I2332"/>
  <c r="J2332"/>
  <c r="K2332"/>
  <c r="L2332"/>
  <c r="N2332"/>
  <c r="A2333"/>
  <c r="B2333"/>
  <c r="C2333"/>
  <c r="D2333"/>
  <c r="E2333"/>
  <c r="F2333"/>
  <c r="G2333"/>
  <c r="H2333"/>
  <c r="I2333"/>
  <c r="J2333"/>
  <c r="K2333"/>
  <c r="L2333"/>
  <c r="N2333"/>
  <c r="B2334"/>
  <c r="C2334"/>
  <c r="D2334"/>
  <c r="E2334"/>
  <c r="F2334"/>
  <c r="G2334"/>
  <c r="H2334"/>
  <c r="I2334"/>
  <c r="J2334"/>
  <c r="K2334"/>
  <c r="L2334"/>
  <c r="N2334"/>
  <c r="B2335"/>
  <c r="C2335"/>
  <c r="D2335"/>
  <c r="E2335"/>
  <c r="F2335"/>
  <c r="G2335"/>
  <c r="H2335"/>
  <c r="I2335"/>
  <c r="J2335"/>
  <c r="K2335"/>
  <c r="L2335"/>
  <c r="N2335"/>
  <c r="B2336"/>
  <c r="C2336"/>
  <c r="D2336"/>
  <c r="E2336"/>
  <c r="F2336"/>
  <c r="G2336"/>
  <c r="H2336"/>
  <c r="I2336"/>
  <c r="J2336"/>
  <c r="K2336"/>
  <c r="L2336"/>
  <c r="N2336"/>
  <c r="A2337"/>
  <c r="B2337"/>
  <c r="C2337"/>
  <c r="D2337"/>
  <c r="E2337"/>
  <c r="F2337"/>
  <c r="G2337"/>
  <c r="H2337"/>
  <c r="I2337"/>
  <c r="J2337"/>
  <c r="K2337"/>
  <c r="L2337"/>
  <c r="N2337"/>
  <c r="B2338"/>
  <c r="C2338"/>
  <c r="D2338"/>
  <c r="E2338"/>
  <c r="F2338"/>
  <c r="G2338"/>
  <c r="H2338"/>
  <c r="I2338"/>
  <c r="J2338"/>
  <c r="K2338"/>
  <c r="L2338"/>
  <c r="M2338"/>
  <c r="N2338"/>
  <c r="B2339"/>
  <c r="C2339"/>
  <c r="D2339"/>
  <c r="E2339"/>
  <c r="F2339"/>
  <c r="G2339"/>
  <c r="H2339"/>
  <c r="I2339"/>
  <c r="J2339"/>
  <c r="K2339"/>
  <c r="L2339"/>
  <c r="N2339"/>
  <c r="B2340"/>
  <c r="C2340"/>
  <c r="D2340"/>
  <c r="E2340"/>
  <c r="F2340"/>
  <c r="G2340"/>
  <c r="H2340"/>
  <c r="I2340"/>
  <c r="J2340"/>
  <c r="K2340"/>
  <c r="L2340"/>
  <c r="N2340"/>
  <c r="B2341"/>
  <c r="C2341"/>
  <c r="D2341"/>
  <c r="E2341"/>
  <c r="F2341"/>
  <c r="G2341"/>
  <c r="H2341"/>
  <c r="I2341"/>
  <c r="J2341"/>
  <c r="K2341"/>
  <c r="L2341"/>
  <c r="N2341"/>
  <c r="B2342"/>
  <c r="C2342"/>
  <c r="D2342"/>
  <c r="E2342"/>
  <c r="F2342"/>
  <c r="G2342"/>
  <c r="H2342"/>
  <c r="I2342"/>
  <c r="J2342"/>
  <c r="K2342"/>
  <c r="L2342"/>
  <c r="N2342"/>
  <c r="B2343"/>
  <c r="C2343"/>
  <c r="D2343"/>
  <c r="E2343"/>
  <c r="F2343"/>
  <c r="G2343"/>
  <c r="H2343"/>
  <c r="I2343"/>
  <c r="J2343"/>
  <c r="K2343"/>
  <c r="L2343"/>
  <c r="N2343"/>
  <c r="B2344"/>
  <c r="C2344"/>
  <c r="D2344"/>
  <c r="E2344"/>
  <c r="F2344"/>
  <c r="G2344"/>
  <c r="H2344"/>
  <c r="I2344"/>
  <c r="J2344"/>
  <c r="K2344"/>
  <c r="L2344"/>
  <c r="N2344"/>
  <c r="A2345"/>
  <c r="B2345"/>
  <c r="C2345"/>
  <c r="D2345"/>
  <c r="E2345"/>
  <c r="F2345"/>
  <c r="G2345"/>
  <c r="H2345"/>
  <c r="I2345"/>
  <c r="J2345"/>
  <c r="K2345"/>
  <c r="L2345"/>
  <c r="N2345"/>
  <c r="B2346"/>
  <c r="C2346"/>
  <c r="D2346"/>
  <c r="E2346"/>
  <c r="F2346"/>
  <c r="G2346"/>
  <c r="H2346"/>
  <c r="I2346"/>
  <c r="J2346"/>
  <c r="K2346"/>
  <c r="L2346"/>
  <c r="M2346"/>
  <c r="N2346"/>
  <c r="B2347"/>
  <c r="C2347"/>
  <c r="D2347"/>
  <c r="E2347"/>
  <c r="F2347"/>
  <c r="G2347"/>
  <c r="H2347"/>
  <c r="I2347"/>
  <c r="J2347"/>
  <c r="K2347"/>
  <c r="L2347"/>
  <c r="N2347"/>
  <c r="A2348"/>
  <c r="B2348"/>
  <c r="C2348"/>
  <c r="D2348"/>
  <c r="E2348"/>
  <c r="F2348"/>
  <c r="G2348"/>
  <c r="H2348"/>
  <c r="I2348"/>
  <c r="J2348"/>
  <c r="K2348"/>
  <c r="L2348"/>
  <c r="N2348"/>
  <c r="A2349"/>
  <c r="B2349"/>
  <c r="C2349"/>
  <c r="D2349"/>
  <c r="E2349"/>
  <c r="F2349"/>
  <c r="G2349"/>
  <c r="H2349"/>
  <c r="I2349"/>
  <c r="J2349"/>
  <c r="K2349"/>
  <c r="L2349"/>
  <c r="N2349"/>
  <c r="B2350"/>
  <c r="C2350"/>
  <c r="D2350"/>
  <c r="E2350"/>
  <c r="F2350"/>
  <c r="G2350"/>
  <c r="H2350"/>
  <c r="I2350"/>
  <c r="J2350"/>
  <c r="K2350"/>
  <c r="L2350"/>
  <c r="N2350"/>
  <c r="B2351"/>
  <c r="C2351"/>
  <c r="D2351"/>
  <c r="E2351"/>
  <c r="F2351"/>
  <c r="G2351"/>
  <c r="H2351"/>
  <c r="I2351"/>
  <c r="J2351"/>
  <c r="K2351"/>
  <c r="L2351"/>
  <c r="N2351"/>
  <c r="B2352"/>
  <c r="C2352"/>
  <c r="D2352"/>
  <c r="E2352"/>
  <c r="F2352"/>
  <c r="G2352"/>
  <c r="H2352"/>
  <c r="I2352"/>
  <c r="J2352"/>
  <c r="K2352"/>
  <c r="L2352"/>
  <c r="N2352"/>
  <c r="A2353"/>
  <c r="B2353"/>
  <c r="C2353"/>
  <c r="D2353"/>
  <c r="E2353"/>
  <c r="F2353"/>
  <c r="G2353"/>
  <c r="H2353"/>
  <c r="I2353"/>
  <c r="J2353"/>
  <c r="K2353"/>
  <c r="L2353"/>
  <c r="N2353"/>
  <c r="B2354"/>
  <c r="C2354"/>
  <c r="D2354"/>
  <c r="E2354"/>
  <c r="F2354"/>
  <c r="G2354"/>
  <c r="H2354"/>
  <c r="I2354"/>
  <c r="J2354"/>
  <c r="K2354"/>
  <c r="L2354"/>
  <c r="N2354"/>
  <c r="B2355"/>
  <c r="C2355"/>
  <c r="D2355"/>
  <c r="E2355"/>
  <c r="F2355"/>
  <c r="G2355"/>
  <c r="H2355"/>
  <c r="I2355"/>
  <c r="J2355"/>
  <c r="K2355"/>
  <c r="L2355"/>
  <c r="N2355"/>
  <c r="B2356"/>
  <c r="C2356"/>
  <c r="D2356"/>
  <c r="E2356"/>
  <c r="F2356"/>
  <c r="G2356"/>
  <c r="H2356"/>
  <c r="I2356"/>
  <c r="J2356"/>
  <c r="K2356"/>
  <c r="L2356"/>
  <c r="N2356"/>
  <c r="B2357"/>
  <c r="C2357"/>
  <c r="D2357"/>
  <c r="E2357"/>
  <c r="F2357"/>
  <c r="G2357"/>
  <c r="H2357"/>
  <c r="I2357"/>
  <c r="J2357"/>
  <c r="K2357"/>
  <c r="L2357"/>
  <c r="N2357"/>
  <c r="B2358"/>
  <c r="C2358"/>
  <c r="D2358"/>
  <c r="E2358"/>
  <c r="F2358"/>
  <c r="G2358"/>
  <c r="H2358"/>
  <c r="I2358"/>
  <c r="J2358"/>
  <c r="K2358"/>
  <c r="L2358"/>
  <c r="N2358"/>
  <c r="A2359"/>
  <c r="B2359"/>
  <c r="C2359"/>
  <c r="D2359"/>
  <c r="E2359"/>
  <c r="F2359"/>
  <c r="G2359"/>
  <c r="H2359"/>
  <c r="I2359"/>
  <c r="J2359"/>
  <c r="K2359"/>
  <c r="L2359"/>
  <c r="N2359"/>
  <c r="B2360"/>
  <c r="C2360"/>
  <c r="D2360"/>
  <c r="E2360"/>
  <c r="F2360"/>
  <c r="G2360"/>
  <c r="H2360"/>
  <c r="I2360"/>
  <c r="J2360"/>
  <c r="K2360"/>
  <c r="L2360"/>
  <c r="N2360"/>
  <c r="A2361"/>
  <c r="B2361"/>
  <c r="C2361"/>
  <c r="D2361"/>
  <c r="E2361"/>
  <c r="F2361"/>
  <c r="G2361"/>
  <c r="H2361"/>
  <c r="I2361"/>
  <c r="J2361"/>
  <c r="K2361"/>
  <c r="L2361"/>
  <c r="N2361"/>
  <c r="B2362"/>
  <c r="C2362"/>
  <c r="D2362"/>
  <c r="E2362"/>
  <c r="F2362"/>
  <c r="G2362"/>
  <c r="H2362"/>
  <c r="I2362"/>
  <c r="J2362"/>
  <c r="K2362"/>
  <c r="L2362"/>
  <c r="M2362"/>
  <c r="N2362"/>
  <c r="B2363"/>
  <c r="C2363"/>
  <c r="D2363"/>
  <c r="E2363"/>
  <c r="F2363"/>
  <c r="G2363"/>
  <c r="H2363"/>
  <c r="I2363"/>
  <c r="J2363"/>
  <c r="K2363"/>
  <c r="L2363"/>
  <c r="N2363"/>
  <c r="A2364"/>
  <c r="B2364"/>
  <c r="C2364"/>
  <c r="D2364"/>
  <c r="E2364"/>
  <c r="F2364"/>
  <c r="G2364"/>
  <c r="H2364"/>
  <c r="I2364"/>
  <c r="J2364"/>
  <c r="K2364"/>
  <c r="L2364"/>
  <c r="N2364"/>
  <c r="A2365"/>
  <c r="B2365"/>
  <c r="C2365"/>
  <c r="D2365"/>
  <c r="E2365"/>
  <c r="F2365"/>
  <c r="G2365"/>
  <c r="H2365"/>
  <c r="I2365"/>
  <c r="J2365"/>
  <c r="K2365"/>
  <c r="L2365"/>
  <c r="N2365"/>
  <c r="B2366"/>
  <c r="C2366"/>
  <c r="D2366"/>
  <c r="E2366"/>
  <c r="F2366"/>
  <c r="G2366"/>
  <c r="H2366"/>
  <c r="I2366"/>
  <c r="J2366"/>
  <c r="K2366"/>
  <c r="L2366"/>
  <c r="N2366"/>
  <c r="B2367"/>
  <c r="C2367"/>
  <c r="D2367"/>
  <c r="E2367"/>
  <c r="F2367"/>
  <c r="G2367"/>
  <c r="H2367"/>
  <c r="I2367"/>
  <c r="J2367"/>
  <c r="K2367"/>
  <c r="L2367"/>
  <c r="N2367"/>
  <c r="B2368"/>
  <c r="C2368"/>
  <c r="D2368"/>
  <c r="E2368"/>
  <c r="F2368"/>
  <c r="G2368"/>
  <c r="H2368"/>
  <c r="I2368"/>
  <c r="J2368"/>
  <c r="K2368"/>
  <c r="L2368"/>
  <c r="N2368"/>
  <c r="A2369"/>
  <c r="B2369"/>
  <c r="C2369"/>
  <c r="D2369"/>
  <c r="E2369"/>
  <c r="F2369"/>
  <c r="G2369"/>
  <c r="H2369"/>
  <c r="I2369"/>
  <c r="J2369"/>
  <c r="K2369"/>
  <c r="L2369"/>
  <c r="N2369"/>
  <c r="B2370"/>
  <c r="C2370"/>
  <c r="D2370"/>
  <c r="E2370"/>
  <c r="F2370"/>
  <c r="G2370"/>
  <c r="H2370"/>
  <c r="I2370"/>
  <c r="J2370"/>
  <c r="K2370"/>
  <c r="L2370"/>
  <c r="M2370"/>
  <c r="N2370"/>
  <c r="B2371"/>
  <c r="C2371"/>
  <c r="D2371"/>
  <c r="E2371"/>
  <c r="F2371"/>
  <c r="G2371"/>
  <c r="H2371"/>
  <c r="I2371"/>
  <c r="J2371"/>
  <c r="K2371"/>
  <c r="L2371"/>
  <c r="N2371"/>
  <c r="B2372"/>
  <c r="C2372"/>
  <c r="D2372"/>
  <c r="E2372"/>
  <c r="F2372"/>
  <c r="G2372"/>
  <c r="H2372"/>
  <c r="I2372"/>
  <c r="J2372"/>
  <c r="K2372"/>
  <c r="L2372"/>
  <c r="N2372"/>
  <c r="B2373"/>
  <c r="C2373"/>
  <c r="D2373"/>
  <c r="E2373"/>
  <c r="F2373"/>
  <c r="G2373"/>
  <c r="H2373"/>
  <c r="I2373"/>
  <c r="J2373"/>
  <c r="K2373"/>
  <c r="L2373"/>
  <c r="N2373"/>
  <c r="B2374"/>
  <c r="C2374"/>
  <c r="D2374"/>
  <c r="E2374"/>
  <c r="F2374"/>
  <c r="G2374"/>
  <c r="H2374"/>
  <c r="I2374"/>
  <c r="J2374"/>
  <c r="K2374"/>
  <c r="L2374"/>
  <c r="N2374"/>
  <c r="A2375"/>
  <c r="B2375"/>
  <c r="C2375"/>
  <c r="D2375"/>
  <c r="E2375"/>
  <c r="F2375"/>
  <c r="G2375"/>
  <c r="H2375"/>
  <c r="I2375"/>
  <c r="J2375"/>
  <c r="K2375"/>
  <c r="L2375"/>
  <c r="N2375"/>
  <c r="B2376"/>
  <c r="C2376"/>
  <c r="D2376"/>
  <c r="E2376"/>
  <c r="F2376"/>
  <c r="G2376"/>
  <c r="H2376"/>
  <c r="I2376"/>
  <c r="J2376"/>
  <c r="K2376"/>
  <c r="L2376"/>
  <c r="N2376"/>
  <c r="A2377"/>
  <c r="B2377"/>
  <c r="C2377"/>
  <c r="D2377"/>
  <c r="E2377"/>
  <c r="F2377"/>
  <c r="G2377"/>
  <c r="H2377"/>
  <c r="I2377"/>
  <c r="J2377"/>
  <c r="K2377"/>
  <c r="L2377"/>
  <c r="N2377"/>
  <c r="B2378"/>
  <c r="C2378"/>
  <c r="D2378"/>
  <c r="E2378"/>
  <c r="F2378"/>
  <c r="G2378"/>
  <c r="H2378"/>
  <c r="I2378"/>
  <c r="J2378"/>
  <c r="K2378"/>
  <c r="L2378"/>
  <c r="M2378"/>
  <c r="N2378"/>
  <c r="B2379"/>
  <c r="C2379"/>
  <c r="D2379"/>
  <c r="E2379"/>
  <c r="F2379"/>
  <c r="G2379"/>
  <c r="H2379"/>
  <c r="I2379"/>
  <c r="J2379"/>
  <c r="K2379"/>
  <c r="L2379"/>
  <c r="N2379"/>
  <c r="A2380"/>
  <c r="B2380"/>
  <c r="C2380"/>
  <c r="D2380"/>
  <c r="E2380"/>
  <c r="F2380"/>
  <c r="G2380"/>
  <c r="H2380"/>
  <c r="I2380"/>
  <c r="J2380"/>
  <c r="K2380"/>
  <c r="L2380"/>
  <c r="N2380"/>
  <c r="A2381"/>
  <c r="B2381"/>
  <c r="C2381"/>
  <c r="D2381"/>
  <c r="E2381"/>
  <c r="F2381"/>
  <c r="G2381"/>
  <c r="H2381"/>
  <c r="I2381"/>
  <c r="J2381"/>
  <c r="K2381"/>
  <c r="L2381"/>
  <c r="N2381"/>
  <c r="B2382"/>
  <c r="C2382"/>
  <c r="D2382"/>
  <c r="E2382"/>
  <c r="F2382"/>
  <c r="G2382"/>
  <c r="H2382"/>
  <c r="I2382"/>
  <c r="J2382"/>
  <c r="K2382"/>
  <c r="L2382"/>
  <c r="N2382"/>
  <c r="B2383"/>
  <c r="C2383"/>
  <c r="D2383"/>
  <c r="E2383"/>
  <c r="F2383"/>
  <c r="G2383"/>
  <c r="H2383"/>
  <c r="I2383"/>
  <c r="J2383"/>
  <c r="K2383"/>
  <c r="L2383"/>
  <c r="N2383"/>
  <c r="B2384"/>
  <c r="C2384"/>
  <c r="D2384"/>
  <c r="E2384"/>
  <c r="F2384"/>
  <c r="G2384"/>
  <c r="H2384"/>
  <c r="I2384"/>
  <c r="J2384"/>
  <c r="K2384"/>
  <c r="L2384"/>
  <c r="N2384"/>
  <c r="A2385"/>
  <c r="B2385"/>
  <c r="C2385"/>
  <c r="D2385"/>
  <c r="E2385"/>
  <c r="F2385"/>
  <c r="G2385"/>
  <c r="H2385"/>
  <c r="I2385"/>
  <c r="J2385"/>
  <c r="K2385"/>
  <c r="L2385"/>
  <c r="N2385"/>
  <c r="B2386"/>
  <c r="C2386"/>
  <c r="D2386"/>
  <c r="E2386"/>
  <c r="F2386"/>
  <c r="G2386"/>
  <c r="H2386"/>
  <c r="I2386"/>
  <c r="J2386"/>
  <c r="K2386"/>
  <c r="L2386"/>
  <c r="N2386"/>
  <c r="B2387"/>
  <c r="C2387"/>
  <c r="D2387"/>
  <c r="E2387"/>
  <c r="F2387"/>
  <c r="G2387"/>
  <c r="H2387"/>
  <c r="I2387"/>
  <c r="J2387"/>
  <c r="K2387"/>
  <c r="L2387"/>
  <c r="N2387"/>
  <c r="B2388"/>
  <c r="C2388"/>
  <c r="D2388"/>
  <c r="E2388"/>
  <c r="F2388"/>
  <c r="G2388"/>
  <c r="H2388"/>
  <c r="I2388"/>
  <c r="J2388"/>
  <c r="K2388"/>
  <c r="L2388"/>
  <c r="N2388"/>
  <c r="B2389"/>
  <c r="C2389"/>
  <c r="D2389"/>
  <c r="E2389"/>
  <c r="F2389"/>
  <c r="G2389"/>
  <c r="H2389"/>
  <c r="I2389"/>
  <c r="J2389"/>
  <c r="K2389"/>
  <c r="L2389"/>
  <c r="N2389"/>
  <c r="B2390"/>
  <c r="C2390"/>
  <c r="D2390"/>
  <c r="E2390"/>
  <c r="F2390"/>
  <c r="G2390"/>
  <c r="H2390"/>
  <c r="I2390"/>
  <c r="J2390"/>
  <c r="K2390"/>
  <c r="L2390"/>
  <c r="N2390"/>
  <c r="B2391"/>
  <c r="C2391"/>
  <c r="D2391"/>
  <c r="E2391"/>
  <c r="F2391"/>
  <c r="G2391"/>
  <c r="H2391"/>
  <c r="I2391"/>
  <c r="J2391"/>
  <c r="K2391"/>
  <c r="L2391"/>
  <c r="N2391"/>
  <c r="B2392"/>
  <c r="C2392"/>
  <c r="D2392"/>
  <c r="E2392"/>
  <c r="F2392"/>
  <c r="G2392"/>
  <c r="H2392"/>
  <c r="I2392"/>
  <c r="J2392"/>
  <c r="K2392"/>
  <c r="L2392"/>
  <c r="N2392"/>
  <c r="A2393"/>
  <c r="B2393"/>
  <c r="C2393"/>
  <c r="D2393"/>
  <c r="E2393"/>
  <c r="F2393"/>
  <c r="G2393"/>
  <c r="H2393"/>
  <c r="I2393"/>
  <c r="J2393"/>
  <c r="K2393"/>
  <c r="L2393"/>
  <c r="N2393"/>
  <c r="B2394"/>
  <c r="C2394"/>
  <c r="D2394"/>
  <c r="E2394"/>
  <c r="F2394"/>
  <c r="G2394"/>
  <c r="H2394"/>
  <c r="I2394"/>
  <c r="J2394"/>
  <c r="K2394"/>
  <c r="L2394"/>
  <c r="M2394"/>
  <c r="N2394"/>
  <c r="B2395"/>
  <c r="C2395"/>
  <c r="D2395"/>
  <c r="E2395"/>
  <c r="F2395"/>
  <c r="G2395"/>
  <c r="H2395"/>
  <c r="I2395"/>
  <c r="J2395"/>
  <c r="K2395"/>
  <c r="L2395"/>
  <c r="N2395"/>
  <c r="B2396"/>
  <c r="C2396"/>
  <c r="D2396"/>
  <c r="E2396"/>
  <c r="F2396"/>
  <c r="G2396"/>
  <c r="H2396"/>
  <c r="I2396"/>
  <c r="J2396"/>
  <c r="K2396"/>
  <c r="L2396"/>
  <c r="N2396"/>
  <c r="A2397"/>
  <c r="B2397"/>
  <c r="C2397"/>
  <c r="D2397"/>
  <c r="E2397"/>
  <c r="F2397"/>
  <c r="G2397"/>
  <c r="H2397"/>
  <c r="I2397"/>
  <c r="J2397"/>
  <c r="K2397"/>
  <c r="L2397"/>
  <c r="N2397"/>
  <c r="B2398"/>
  <c r="C2398"/>
  <c r="D2398"/>
  <c r="E2398"/>
  <c r="F2398"/>
  <c r="G2398"/>
  <c r="H2398"/>
  <c r="I2398"/>
  <c r="J2398"/>
  <c r="K2398"/>
  <c r="L2398"/>
  <c r="N2398"/>
  <c r="B2399"/>
  <c r="C2399"/>
  <c r="D2399"/>
  <c r="E2399"/>
  <c r="F2399"/>
  <c r="G2399"/>
  <c r="H2399"/>
  <c r="I2399"/>
  <c r="J2399"/>
  <c r="K2399"/>
  <c r="L2399"/>
  <c r="N2399"/>
  <c r="A2400"/>
  <c r="B2400"/>
  <c r="C2400"/>
  <c r="D2400"/>
  <c r="E2400"/>
  <c r="F2400"/>
  <c r="G2400"/>
  <c r="H2400"/>
  <c r="I2400"/>
  <c r="J2400"/>
  <c r="K2400"/>
  <c r="L2400"/>
  <c r="N2400"/>
  <c r="A2401"/>
  <c r="B2401"/>
  <c r="C2401"/>
  <c r="D2401"/>
  <c r="E2401"/>
  <c r="F2401"/>
  <c r="G2401"/>
  <c r="H2401"/>
  <c r="I2401"/>
  <c r="J2401"/>
  <c r="K2401"/>
  <c r="L2401"/>
  <c r="N2401"/>
  <c r="B2402"/>
  <c r="C2402"/>
  <c r="D2402"/>
  <c r="E2402"/>
  <c r="F2402"/>
  <c r="G2402"/>
  <c r="H2402"/>
  <c r="I2402"/>
  <c r="J2402"/>
  <c r="K2402"/>
  <c r="L2402"/>
  <c r="M2402"/>
  <c r="N2402"/>
  <c r="B2403"/>
  <c r="C2403"/>
  <c r="D2403"/>
  <c r="E2403"/>
  <c r="F2403"/>
  <c r="G2403"/>
  <c r="H2403"/>
  <c r="I2403"/>
  <c r="J2403"/>
  <c r="K2403"/>
  <c r="L2403"/>
  <c r="N2403"/>
  <c r="B2404"/>
  <c r="C2404"/>
  <c r="D2404"/>
  <c r="E2404"/>
  <c r="F2404"/>
  <c r="G2404"/>
  <c r="H2404"/>
  <c r="I2404"/>
  <c r="J2404"/>
  <c r="K2404"/>
  <c r="L2404"/>
  <c r="N2404"/>
  <c r="B2405"/>
  <c r="C2405"/>
  <c r="D2405"/>
  <c r="E2405"/>
  <c r="F2405"/>
  <c r="G2405"/>
  <c r="H2405"/>
  <c r="I2405"/>
  <c r="J2405"/>
  <c r="K2405"/>
  <c r="L2405"/>
  <c r="N2405"/>
  <c r="B2406"/>
  <c r="C2406"/>
  <c r="D2406"/>
  <c r="E2406"/>
  <c r="F2406"/>
  <c r="G2406"/>
  <c r="H2406"/>
  <c r="I2406"/>
  <c r="J2406"/>
  <c r="K2406"/>
  <c r="L2406"/>
  <c r="N2406"/>
  <c r="B2407"/>
  <c r="C2407"/>
  <c r="D2407"/>
  <c r="E2407"/>
  <c r="F2407"/>
  <c r="G2407"/>
  <c r="H2407"/>
  <c r="I2407"/>
  <c r="J2407"/>
  <c r="K2407"/>
  <c r="L2407"/>
  <c r="N2407"/>
  <c r="B2408"/>
  <c r="C2408"/>
  <c r="D2408"/>
  <c r="E2408"/>
  <c r="F2408"/>
  <c r="G2408"/>
  <c r="H2408"/>
  <c r="I2408"/>
  <c r="J2408"/>
  <c r="K2408"/>
  <c r="L2408"/>
  <c r="N2408"/>
  <c r="A2409"/>
  <c r="B2409"/>
  <c r="C2409"/>
  <c r="D2409"/>
  <c r="E2409"/>
  <c r="F2409"/>
  <c r="G2409"/>
  <c r="H2409"/>
  <c r="I2409"/>
  <c r="J2409"/>
  <c r="K2409"/>
  <c r="L2409"/>
  <c r="N2409"/>
  <c r="B2410"/>
  <c r="C2410"/>
  <c r="D2410"/>
  <c r="E2410"/>
  <c r="F2410"/>
  <c r="G2410"/>
  <c r="H2410"/>
  <c r="I2410"/>
  <c r="J2410"/>
  <c r="K2410"/>
  <c r="L2410"/>
  <c r="M2410"/>
  <c r="N2410"/>
  <c r="B2411"/>
  <c r="C2411"/>
  <c r="D2411"/>
  <c r="E2411"/>
  <c r="F2411"/>
  <c r="G2411"/>
  <c r="H2411"/>
  <c r="I2411"/>
  <c r="J2411"/>
  <c r="K2411"/>
  <c r="L2411"/>
  <c r="N2411"/>
  <c r="B2412"/>
  <c r="C2412"/>
  <c r="D2412"/>
  <c r="E2412"/>
  <c r="F2412"/>
  <c r="G2412"/>
  <c r="H2412"/>
  <c r="I2412"/>
  <c r="J2412"/>
  <c r="K2412"/>
  <c r="L2412"/>
  <c r="N2412"/>
  <c r="A2413"/>
  <c r="B2413"/>
  <c r="C2413"/>
  <c r="D2413"/>
  <c r="E2413"/>
  <c r="F2413"/>
  <c r="G2413"/>
  <c r="H2413"/>
  <c r="I2413"/>
  <c r="J2413"/>
  <c r="K2413"/>
  <c r="L2413"/>
  <c r="N2413"/>
  <c r="B2414"/>
  <c r="C2414"/>
  <c r="D2414"/>
  <c r="E2414"/>
  <c r="F2414"/>
  <c r="G2414"/>
  <c r="H2414"/>
  <c r="I2414"/>
  <c r="J2414"/>
  <c r="K2414"/>
  <c r="L2414"/>
  <c r="N2414"/>
  <c r="B2415"/>
  <c r="C2415"/>
  <c r="D2415"/>
  <c r="E2415"/>
  <c r="F2415"/>
  <c r="G2415"/>
  <c r="H2415"/>
  <c r="I2415"/>
  <c r="J2415"/>
  <c r="K2415"/>
  <c r="L2415"/>
  <c r="N2415"/>
  <c r="A2416"/>
  <c r="B2416"/>
  <c r="C2416"/>
  <c r="D2416"/>
  <c r="E2416"/>
  <c r="F2416"/>
  <c r="G2416"/>
  <c r="H2416"/>
  <c r="I2416"/>
  <c r="J2416"/>
  <c r="K2416"/>
  <c r="L2416"/>
  <c r="M2416"/>
  <c r="N2416"/>
  <c r="A2417"/>
  <c r="B2417"/>
  <c r="C2417"/>
  <c r="D2417"/>
  <c r="E2417"/>
  <c r="F2417"/>
  <c r="G2417"/>
  <c r="H2417"/>
  <c r="I2417"/>
  <c r="J2417"/>
  <c r="K2417"/>
  <c r="L2417"/>
  <c r="N2417"/>
  <c r="B2418"/>
  <c r="C2418"/>
  <c r="D2418"/>
  <c r="E2418"/>
  <c r="F2418"/>
  <c r="G2418"/>
  <c r="H2418"/>
  <c r="I2418"/>
  <c r="J2418"/>
  <c r="K2418"/>
  <c r="L2418"/>
  <c r="M2418"/>
  <c r="N2418"/>
  <c r="B2419"/>
  <c r="C2419"/>
  <c r="D2419"/>
  <c r="E2419"/>
  <c r="F2419"/>
  <c r="G2419"/>
  <c r="H2419"/>
  <c r="I2419"/>
  <c r="J2419"/>
  <c r="K2419"/>
  <c r="L2419"/>
  <c r="N2419"/>
  <c r="B2420"/>
  <c r="C2420"/>
  <c r="D2420"/>
  <c r="E2420"/>
  <c r="F2420"/>
  <c r="G2420"/>
  <c r="H2420"/>
  <c r="I2420"/>
  <c r="J2420"/>
  <c r="K2420"/>
  <c r="L2420"/>
  <c r="N2420"/>
  <c r="B2421"/>
  <c r="C2421"/>
  <c r="D2421"/>
  <c r="E2421"/>
  <c r="F2421"/>
  <c r="G2421"/>
  <c r="H2421"/>
  <c r="I2421"/>
  <c r="J2421"/>
  <c r="K2421"/>
  <c r="L2421"/>
  <c r="N2421"/>
  <c r="B2422"/>
  <c r="C2422"/>
  <c r="D2422"/>
  <c r="E2422"/>
  <c r="F2422"/>
  <c r="G2422"/>
  <c r="H2422"/>
  <c r="I2422"/>
  <c r="J2422"/>
  <c r="K2422"/>
  <c r="L2422"/>
  <c r="N2422"/>
  <c r="B2423"/>
  <c r="C2423"/>
  <c r="D2423"/>
  <c r="E2423"/>
  <c r="F2423"/>
  <c r="G2423"/>
  <c r="H2423"/>
  <c r="I2423"/>
  <c r="J2423"/>
  <c r="K2423"/>
  <c r="L2423"/>
  <c r="N2423"/>
  <c r="B2424"/>
  <c r="C2424"/>
  <c r="D2424"/>
  <c r="E2424"/>
  <c r="F2424"/>
  <c r="G2424"/>
  <c r="H2424"/>
  <c r="I2424"/>
  <c r="J2424"/>
  <c r="K2424"/>
  <c r="L2424"/>
  <c r="N2424"/>
  <c r="A2425"/>
  <c r="B2425"/>
  <c r="C2425"/>
  <c r="D2425"/>
  <c r="E2425"/>
  <c r="F2425"/>
  <c r="G2425"/>
  <c r="H2425"/>
  <c r="I2425"/>
  <c r="J2425"/>
  <c r="K2425"/>
  <c r="L2425"/>
  <c r="N2425"/>
  <c r="B2426"/>
  <c r="C2426"/>
  <c r="D2426"/>
  <c r="E2426"/>
  <c r="F2426"/>
  <c r="G2426"/>
  <c r="H2426"/>
  <c r="I2426"/>
  <c r="J2426"/>
  <c r="K2426"/>
  <c r="L2426"/>
  <c r="M2426"/>
  <c r="N2426"/>
  <c r="B2427"/>
  <c r="C2427"/>
  <c r="D2427"/>
  <c r="E2427"/>
  <c r="F2427"/>
  <c r="G2427"/>
  <c r="H2427"/>
  <c r="I2427"/>
  <c r="J2427"/>
  <c r="K2427"/>
  <c r="L2427"/>
  <c r="N2427"/>
  <c r="B2428"/>
  <c r="C2428"/>
  <c r="D2428"/>
  <c r="E2428"/>
  <c r="F2428"/>
  <c r="G2428"/>
  <c r="H2428"/>
  <c r="I2428"/>
  <c r="J2428"/>
  <c r="K2428"/>
  <c r="L2428"/>
  <c r="N2428"/>
  <c r="A2429"/>
  <c r="B2429"/>
  <c r="C2429"/>
  <c r="D2429"/>
  <c r="E2429"/>
  <c r="F2429"/>
  <c r="G2429"/>
  <c r="H2429"/>
  <c r="I2429"/>
  <c r="J2429"/>
  <c r="K2429"/>
  <c r="L2429"/>
  <c r="N2429"/>
  <c r="B2430"/>
  <c r="C2430"/>
  <c r="D2430"/>
  <c r="E2430"/>
  <c r="F2430"/>
  <c r="G2430"/>
  <c r="H2430"/>
  <c r="I2430"/>
  <c r="J2430"/>
  <c r="K2430"/>
  <c r="L2430"/>
  <c r="N2430"/>
  <c r="B2431"/>
  <c r="C2431"/>
  <c r="D2431"/>
  <c r="E2431"/>
  <c r="F2431"/>
  <c r="G2431"/>
  <c r="H2431"/>
  <c r="I2431"/>
  <c r="J2431"/>
  <c r="K2431"/>
  <c r="L2431"/>
  <c r="N2431"/>
  <c r="A2432"/>
  <c r="B2432"/>
  <c r="C2432"/>
  <c r="D2432"/>
  <c r="E2432"/>
  <c r="F2432"/>
  <c r="G2432"/>
  <c r="H2432"/>
  <c r="I2432"/>
  <c r="J2432"/>
  <c r="K2432"/>
  <c r="L2432"/>
  <c r="N2432"/>
  <c r="A2433"/>
  <c r="B2433"/>
  <c r="C2433"/>
  <c r="D2433"/>
  <c r="E2433"/>
  <c r="F2433"/>
  <c r="G2433"/>
  <c r="H2433"/>
  <c r="I2433"/>
  <c r="J2433"/>
  <c r="K2433"/>
  <c r="L2433"/>
  <c r="N2433"/>
  <c r="B2434"/>
  <c r="C2434"/>
  <c r="D2434"/>
  <c r="E2434"/>
  <c r="F2434"/>
  <c r="G2434"/>
  <c r="H2434"/>
  <c r="I2434"/>
  <c r="J2434"/>
  <c r="K2434"/>
  <c r="L2434"/>
  <c r="M2434"/>
  <c r="N2434"/>
  <c r="B2435"/>
  <c r="C2435"/>
  <c r="D2435"/>
  <c r="E2435"/>
  <c r="F2435"/>
  <c r="G2435"/>
  <c r="H2435"/>
  <c r="I2435"/>
  <c r="J2435"/>
  <c r="K2435"/>
  <c r="L2435"/>
  <c r="N2435"/>
  <c r="B2436"/>
  <c r="C2436"/>
  <c r="D2436"/>
  <c r="E2436"/>
  <c r="F2436"/>
  <c r="G2436"/>
  <c r="H2436"/>
  <c r="I2436"/>
  <c r="J2436"/>
  <c r="K2436"/>
  <c r="L2436"/>
  <c r="N2436"/>
  <c r="B2437"/>
  <c r="C2437"/>
  <c r="D2437"/>
  <c r="E2437"/>
  <c r="F2437"/>
  <c r="G2437"/>
  <c r="H2437"/>
  <c r="I2437"/>
  <c r="J2437"/>
  <c r="K2437"/>
  <c r="L2437"/>
  <c r="N2437"/>
  <c r="B2438"/>
  <c r="C2438"/>
  <c r="D2438"/>
  <c r="E2438"/>
  <c r="F2438"/>
  <c r="G2438"/>
  <c r="H2438"/>
  <c r="I2438"/>
  <c r="J2438"/>
  <c r="K2438"/>
  <c r="L2438"/>
  <c r="N2438"/>
  <c r="B2439"/>
  <c r="C2439"/>
  <c r="D2439"/>
  <c r="E2439"/>
  <c r="F2439"/>
  <c r="G2439"/>
  <c r="H2439"/>
  <c r="I2439"/>
  <c r="J2439"/>
  <c r="K2439"/>
  <c r="L2439"/>
  <c r="N2439"/>
  <c r="B2440"/>
  <c r="C2440"/>
  <c r="D2440"/>
  <c r="E2440"/>
  <c r="F2440"/>
  <c r="G2440"/>
  <c r="H2440"/>
  <c r="I2440"/>
  <c r="J2440"/>
  <c r="K2440"/>
  <c r="L2440"/>
  <c r="N2440"/>
  <c r="A2441"/>
  <c r="B2441"/>
  <c r="C2441"/>
  <c r="D2441"/>
  <c r="E2441"/>
  <c r="F2441"/>
  <c r="G2441"/>
  <c r="H2441"/>
  <c r="I2441"/>
  <c r="J2441"/>
  <c r="K2441"/>
  <c r="L2441"/>
  <c r="N2441"/>
  <c r="B2442"/>
  <c r="C2442"/>
  <c r="D2442"/>
  <c r="E2442"/>
  <c r="F2442"/>
  <c r="G2442"/>
  <c r="H2442"/>
  <c r="I2442"/>
  <c r="J2442"/>
  <c r="K2442"/>
  <c r="L2442"/>
  <c r="M2442"/>
  <c r="N2442"/>
  <c r="B2443"/>
  <c r="C2443"/>
  <c r="D2443"/>
  <c r="E2443"/>
  <c r="F2443"/>
  <c r="G2443"/>
  <c r="H2443"/>
  <c r="I2443"/>
  <c r="J2443"/>
  <c r="K2443"/>
  <c r="L2443"/>
  <c r="N2443"/>
  <c r="B2444"/>
  <c r="C2444"/>
  <c r="D2444"/>
  <c r="E2444"/>
  <c r="F2444"/>
  <c r="G2444"/>
  <c r="H2444"/>
  <c r="I2444"/>
  <c r="J2444"/>
  <c r="K2444"/>
  <c r="L2444"/>
  <c r="N2444"/>
  <c r="A2445"/>
  <c r="B2445"/>
  <c r="C2445"/>
  <c r="D2445"/>
  <c r="E2445"/>
  <c r="F2445"/>
  <c r="G2445"/>
  <c r="H2445"/>
  <c r="I2445"/>
  <c r="J2445"/>
  <c r="K2445"/>
  <c r="L2445"/>
  <c r="N2445"/>
  <c r="B2446"/>
  <c r="C2446"/>
  <c r="D2446"/>
  <c r="E2446"/>
  <c r="F2446"/>
  <c r="G2446"/>
  <c r="H2446"/>
  <c r="I2446"/>
  <c r="J2446"/>
  <c r="K2446"/>
  <c r="L2446"/>
  <c r="N2446"/>
  <c r="B2447"/>
  <c r="C2447"/>
  <c r="D2447"/>
  <c r="E2447"/>
  <c r="F2447"/>
  <c r="G2447"/>
  <c r="H2447"/>
  <c r="I2447"/>
  <c r="J2447"/>
  <c r="K2447"/>
  <c r="L2447"/>
  <c r="N2447"/>
  <c r="A2448"/>
  <c r="B2448"/>
  <c r="C2448"/>
  <c r="D2448"/>
  <c r="E2448"/>
  <c r="F2448"/>
  <c r="G2448"/>
  <c r="H2448"/>
  <c r="I2448"/>
  <c r="J2448"/>
  <c r="K2448"/>
  <c r="L2448"/>
  <c r="N2448"/>
  <c r="A2449"/>
  <c r="B2449"/>
  <c r="C2449"/>
  <c r="D2449"/>
  <c r="E2449"/>
  <c r="F2449"/>
  <c r="G2449"/>
  <c r="H2449"/>
  <c r="I2449"/>
  <c r="J2449"/>
  <c r="K2449"/>
  <c r="L2449"/>
  <c r="N2449"/>
  <c r="B2450"/>
  <c r="C2450"/>
  <c r="D2450"/>
  <c r="E2450"/>
  <c r="F2450"/>
  <c r="G2450"/>
  <c r="H2450"/>
  <c r="I2450"/>
  <c r="J2450"/>
  <c r="K2450"/>
  <c r="L2450"/>
  <c r="N2450"/>
  <c r="A2451"/>
  <c r="B2451"/>
  <c r="C2451"/>
  <c r="D2451"/>
  <c r="E2451"/>
  <c r="F2451"/>
  <c r="G2451"/>
  <c r="H2451"/>
  <c r="I2451"/>
  <c r="J2451"/>
  <c r="K2451"/>
  <c r="L2451"/>
  <c r="N2451"/>
  <c r="B2452"/>
  <c r="C2452"/>
  <c r="D2452"/>
  <c r="E2452"/>
  <c r="F2452"/>
  <c r="G2452"/>
  <c r="H2452"/>
  <c r="I2452"/>
  <c r="J2452"/>
  <c r="K2452"/>
  <c r="L2452"/>
  <c r="N2452"/>
  <c r="B2453"/>
  <c r="C2453"/>
  <c r="D2453"/>
  <c r="E2453"/>
  <c r="F2453"/>
  <c r="G2453"/>
  <c r="H2453"/>
  <c r="I2453"/>
  <c r="J2453"/>
  <c r="K2453"/>
  <c r="L2453"/>
  <c r="N2453"/>
  <c r="B2454"/>
  <c r="C2454"/>
  <c r="D2454"/>
  <c r="E2454"/>
  <c r="F2454"/>
  <c r="G2454"/>
  <c r="H2454"/>
  <c r="I2454"/>
  <c r="J2454"/>
  <c r="K2454"/>
  <c r="L2454"/>
  <c r="N2454"/>
  <c r="B2455"/>
  <c r="C2455"/>
  <c r="D2455"/>
  <c r="E2455"/>
  <c r="F2455"/>
  <c r="G2455"/>
  <c r="H2455"/>
  <c r="I2455"/>
  <c r="J2455"/>
  <c r="K2455"/>
  <c r="L2455"/>
  <c r="N2455"/>
  <c r="B2456"/>
  <c r="C2456"/>
  <c r="D2456"/>
  <c r="E2456"/>
  <c r="F2456"/>
  <c r="G2456"/>
  <c r="H2456"/>
  <c r="I2456"/>
  <c r="J2456"/>
  <c r="K2456"/>
  <c r="L2456"/>
  <c r="N2456"/>
  <c r="A2457"/>
  <c r="B2457"/>
  <c r="C2457"/>
  <c r="D2457"/>
  <c r="E2457"/>
  <c r="F2457"/>
  <c r="G2457"/>
  <c r="H2457"/>
  <c r="I2457"/>
  <c r="J2457"/>
  <c r="K2457"/>
  <c r="L2457"/>
  <c r="N2457"/>
  <c r="B2458"/>
  <c r="C2458"/>
  <c r="D2458"/>
  <c r="E2458"/>
  <c r="F2458"/>
  <c r="G2458"/>
  <c r="H2458"/>
  <c r="I2458"/>
  <c r="J2458"/>
  <c r="K2458"/>
  <c r="L2458"/>
  <c r="M2458"/>
  <c r="N2458"/>
  <c r="B2459"/>
  <c r="C2459"/>
  <c r="D2459"/>
  <c r="E2459"/>
  <c r="F2459"/>
  <c r="G2459"/>
  <c r="H2459"/>
  <c r="I2459"/>
  <c r="J2459"/>
  <c r="K2459"/>
  <c r="L2459"/>
  <c r="N2459"/>
  <c r="B2460"/>
  <c r="C2460"/>
  <c r="D2460"/>
  <c r="E2460"/>
  <c r="F2460"/>
  <c r="G2460"/>
  <c r="H2460"/>
  <c r="I2460"/>
  <c r="J2460"/>
  <c r="K2460"/>
  <c r="L2460"/>
  <c r="N2460"/>
  <c r="A2461"/>
  <c r="B2461"/>
  <c r="C2461"/>
  <c r="D2461"/>
  <c r="E2461"/>
  <c r="F2461"/>
  <c r="G2461"/>
  <c r="H2461"/>
  <c r="I2461"/>
  <c r="J2461"/>
  <c r="K2461"/>
  <c r="L2461"/>
  <c r="N2461"/>
  <c r="B2462"/>
  <c r="C2462"/>
  <c r="D2462"/>
  <c r="E2462"/>
  <c r="F2462"/>
  <c r="G2462"/>
  <c r="H2462"/>
  <c r="I2462"/>
  <c r="J2462"/>
  <c r="K2462"/>
  <c r="L2462"/>
  <c r="N2462"/>
  <c r="A2463"/>
  <c r="B2463"/>
  <c r="C2463"/>
  <c r="D2463"/>
  <c r="E2463"/>
  <c r="F2463"/>
  <c r="G2463"/>
  <c r="H2463"/>
  <c r="I2463"/>
  <c r="J2463"/>
  <c r="K2463"/>
  <c r="L2463"/>
  <c r="N2463"/>
  <c r="B2464"/>
  <c r="C2464"/>
  <c r="D2464"/>
  <c r="E2464"/>
  <c r="F2464"/>
  <c r="G2464"/>
  <c r="H2464"/>
  <c r="I2464"/>
  <c r="J2464"/>
  <c r="K2464"/>
  <c r="L2464"/>
  <c r="N2464"/>
  <c r="B2465"/>
  <c r="C2465"/>
  <c r="D2465"/>
  <c r="E2465"/>
  <c r="F2465"/>
  <c r="G2465"/>
  <c r="H2465"/>
  <c r="I2465"/>
  <c r="J2465"/>
  <c r="K2465"/>
  <c r="L2465"/>
  <c r="N2465"/>
  <c r="B2466"/>
  <c r="C2466"/>
  <c r="D2466"/>
  <c r="E2466"/>
  <c r="F2466"/>
  <c r="G2466"/>
  <c r="H2466"/>
  <c r="I2466"/>
  <c r="J2466"/>
  <c r="K2466"/>
  <c r="L2466"/>
  <c r="M2466"/>
  <c r="N2466"/>
  <c r="B2467"/>
  <c r="C2467"/>
  <c r="D2467"/>
  <c r="E2467"/>
  <c r="F2467"/>
  <c r="G2467"/>
  <c r="H2467"/>
  <c r="I2467"/>
  <c r="J2467"/>
  <c r="K2467"/>
  <c r="L2467"/>
  <c r="N2467"/>
  <c r="B2468"/>
  <c r="C2468"/>
  <c r="D2468"/>
  <c r="E2468"/>
  <c r="F2468"/>
  <c r="G2468"/>
  <c r="H2468"/>
  <c r="I2468"/>
  <c r="J2468"/>
  <c r="K2468"/>
  <c r="L2468"/>
  <c r="N2468"/>
  <c r="B2469"/>
  <c r="C2469"/>
  <c r="D2469"/>
  <c r="E2469"/>
  <c r="F2469"/>
  <c r="G2469"/>
  <c r="H2469"/>
  <c r="I2469"/>
  <c r="J2469"/>
  <c r="K2469"/>
  <c r="L2469"/>
  <c r="N2469"/>
  <c r="A2470"/>
  <c r="B2470"/>
  <c r="C2470"/>
  <c r="D2470"/>
  <c r="E2470"/>
  <c r="F2470"/>
  <c r="G2470"/>
  <c r="H2470"/>
  <c r="I2470"/>
  <c r="J2470"/>
  <c r="K2470"/>
  <c r="L2470"/>
  <c r="N2470"/>
  <c r="B2471"/>
  <c r="C2471"/>
  <c r="D2471"/>
  <c r="E2471"/>
  <c r="F2471"/>
  <c r="G2471"/>
  <c r="H2471"/>
  <c r="I2471"/>
  <c r="J2471"/>
  <c r="K2471"/>
  <c r="L2471"/>
  <c r="N2471"/>
  <c r="B2472"/>
  <c r="C2472"/>
  <c r="D2472"/>
  <c r="E2472"/>
  <c r="F2472"/>
  <c r="G2472"/>
  <c r="H2472"/>
  <c r="I2472"/>
  <c r="J2472"/>
  <c r="K2472"/>
  <c r="L2472"/>
  <c r="N2472"/>
  <c r="B2473"/>
  <c r="C2473"/>
  <c r="D2473"/>
  <c r="E2473"/>
  <c r="F2473"/>
  <c r="G2473"/>
  <c r="H2473"/>
  <c r="I2473"/>
  <c r="J2473"/>
  <c r="K2473"/>
  <c r="L2473"/>
  <c r="N2473"/>
  <c r="A2474"/>
  <c r="B2474"/>
  <c r="C2474"/>
  <c r="D2474"/>
  <c r="E2474"/>
  <c r="F2474"/>
  <c r="G2474"/>
  <c r="H2474"/>
  <c r="I2474"/>
  <c r="J2474"/>
  <c r="K2474"/>
  <c r="L2474"/>
  <c r="M2474"/>
  <c r="N2474"/>
  <c r="B2475"/>
  <c r="C2475"/>
  <c r="D2475"/>
  <c r="E2475"/>
  <c r="F2475"/>
  <c r="G2475"/>
  <c r="H2475"/>
  <c r="I2475"/>
  <c r="J2475"/>
  <c r="K2475"/>
  <c r="L2475"/>
  <c r="N2475"/>
  <c r="B2476"/>
  <c r="C2476"/>
  <c r="D2476"/>
  <c r="E2476"/>
  <c r="F2476"/>
  <c r="G2476"/>
  <c r="H2476"/>
  <c r="I2476"/>
  <c r="J2476"/>
  <c r="K2476"/>
  <c r="L2476"/>
  <c r="N2476"/>
  <c r="B2477"/>
  <c r="C2477"/>
  <c r="D2477"/>
  <c r="E2477"/>
  <c r="F2477"/>
  <c r="G2477"/>
  <c r="H2477"/>
  <c r="I2477"/>
  <c r="J2477"/>
  <c r="K2477"/>
  <c r="L2477"/>
  <c r="N2477"/>
  <c r="A2478"/>
  <c r="B2478"/>
  <c r="C2478"/>
  <c r="D2478"/>
  <c r="E2478"/>
  <c r="F2478"/>
  <c r="G2478"/>
  <c r="H2478"/>
  <c r="I2478"/>
  <c r="J2478"/>
  <c r="K2478"/>
  <c r="L2478"/>
  <c r="N2478"/>
  <c r="B2479"/>
  <c r="C2479"/>
  <c r="D2479"/>
  <c r="E2479"/>
  <c r="F2479"/>
  <c r="G2479"/>
  <c r="H2479"/>
  <c r="I2479"/>
  <c r="J2479"/>
  <c r="K2479"/>
  <c r="L2479"/>
  <c r="N2479"/>
  <c r="B2480"/>
  <c r="C2480"/>
  <c r="D2480"/>
  <c r="E2480"/>
  <c r="F2480"/>
  <c r="G2480"/>
  <c r="H2480"/>
  <c r="I2480"/>
  <c r="J2480"/>
  <c r="K2480"/>
  <c r="L2480"/>
  <c r="N2480"/>
  <c r="B2481"/>
  <c r="C2481"/>
  <c r="D2481"/>
  <c r="E2481"/>
  <c r="F2481"/>
  <c r="G2481"/>
  <c r="H2481"/>
  <c r="I2481"/>
  <c r="J2481"/>
  <c r="K2481"/>
  <c r="L2481"/>
  <c r="N2481"/>
  <c r="B2482"/>
  <c r="C2482"/>
  <c r="D2482"/>
  <c r="E2482"/>
  <c r="F2482"/>
  <c r="G2482"/>
  <c r="H2482"/>
  <c r="I2482"/>
  <c r="J2482"/>
  <c r="K2482"/>
  <c r="L2482"/>
  <c r="N2482"/>
  <c r="B2483"/>
  <c r="C2483"/>
  <c r="D2483"/>
  <c r="E2483"/>
  <c r="F2483"/>
  <c r="G2483"/>
  <c r="H2483"/>
  <c r="I2483"/>
  <c r="J2483"/>
  <c r="K2483"/>
  <c r="L2483"/>
  <c r="N2483"/>
  <c r="B2484"/>
  <c r="C2484"/>
  <c r="D2484"/>
  <c r="E2484"/>
  <c r="F2484"/>
  <c r="G2484"/>
  <c r="H2484"/>
  <c r="I2484"/>
  <c r="J2484"/>
  <c r="K2484"/>
  <c r="L2484"/>
  <c r="N2484"/>
  <c r="B2485"/>
  <c r="C2485"/>
  <c r="D2485"/>
  <c r="E2485"/>
  <c r="F2485"/>
  <c r="G2485"/>
  <c r="H2485"/>
  <c r="I2485"/>
  <c r="J2485"/>
  <c r="K2485"/>
  <c r="L2485"/>
  <c r="N2485"/>
  <c r="A2486"/>
  <c r="B2486"/>
  <c r="C2486"/>
  <c r="D2486"/>
  <c r="E2486"/>
  <c r="F2486"/>
  <c r="G2486"/>
  <c r="H2486"/>
  <c r="I2486"/>
  <c r="J2486"/>
  <c r="K2486"/>
  <c r="L2486"/>
  <c r="N2486"/>
  <c r="B2487"/>
  <c r="C2487"/>
  <c r="D2487"/>
  <c r="E2487"/>
  <c r="F2487"/>
  <c r="G2487"/>
  <c r="H2487"/>
  <c r="I2487"/>
  <c r="J2487"/>
  <c r="K2487"/>
  <c r="L2487"/>
  <c r="N2487"/>
  <c r="B2488"/>
  <c r="C2488"/>
  <c r="D2488"/>
  <c r="E2488"/>
  <c r="F2488"/>
  <c r="G2488"/>
  <c r="H2488"/>
  <c r="I2488"/>
  <c r="J2488"/>
  <c r="K2488"/>
  <c r="L2488"/>
  <c r="N2488"/>
  <c r="B2489"/>
  <c r="C2489"/>
  <c r="D2489"/>
  <c r="E2489"/>
  <c r="F2489"/>
  <c r="G2489"/>
  <c r="H2489"/>
  <c r="I2489"/>
  <c r="J2489"/>
  <c r="K2489"/>
  <c r="L2489"/>
  <c r="N2489"/>
  <c r="A2490"/>
  <c r="B2490"/>
  <c r="C2490"/>
  <c r="D2490"/>
  <c r="E2490"/>
  <c r="F2490"/>
  <c r="G2490"/>
  <c r="H2490"/>
  <c r="I2490"/>
  <c r="J2490"/>
  <c r="K2490"/>
  <c r="L2490"/>
  <c r="M2490"/>
  <c r="N2490"/>
  <c r="B2491"/>
  <c r="C2491"/>
  <c r="D2491"/>
  <c r="E2491"/>
  <c r="F2491"/>
  <c r="G2491"/>
  <c r="H2491"/>
  <c r="I2491"/>
  <c r="J2491"/>
  <c r="K2491"/>
  <c r="L2491"/>
  <c r="N2491"/>
  <c r="B2492"/>
  <c r="C2492"/>
  <c r="D2492"/>
  <c r="E2492"/>
  <c r="F2492"/>
  <c r="G2492"/>
  <c r="H2492"/>
  <c r="I2492"/>
  <c r="J2492"/>
  <c r="K2492"/>
  <c r="L2492"/>
  <c r="N2492"/>
  <c r="B2493"/>
  <c r="C2493"/>
  <c r="D2493"/>
  <c r="E2493"/>
  <c r="F2493"/>
  <c r="G2493"/>
  <c r="H2493"/>
  <c r="I2493"/>
  <c r="J2493"/>
  <c r="K2493"/>
  <c r="L2493"/>
  <c r="N2493"/>
  <c r="A2494"/>
  <c r="B2494"/>
  <c r="C2494"/>
  <c r="D2494"/>
  <c r="E2494"/>
  <c r="F2494"/>
  <c r="G2494"/>
  <c r="H2494"/>
  <c r="I2494"/>
  <c r="J2494"/>
  <c r="K2494"/>
  <c r="L2494"/>
  <c r="N2494"/>
  <c r="B2495"/>
  <c r="C2495"/>
  <c r="D2495"/>
  <c r="E2495"/>
  <c r="F2495"/>
  <c r="G2495"/>
  <c r="H2495"/>
  <c r="I2495"/>
  <c r="J2495"/>
  <c r="K2495"/>
  <c r="L2495"/>
  <c r="N2495"/>
  <c r="A2496"/>
  <c r="B2496"/>
  <c r="C2496"/>
  <c r="D2496"/>
  <c r="E2496"/>
  <c r="F2496"/>
  <c r="G2496"/>
  <c r="H2496"/>
  <c r="I2496"/>
  <c r="J2496"/>
  <c r="K2496"/>
  <c r="L2496"/>
  <c r="N2496"/>
  <c r="B2497"/>
  <c r="C2497"/>
  <c r="D2497"/>
  <c r="E2497"/>
  <c r="F2497"/>
  <c r="G2497"/>
  <c r="H2497"/>
  <c r="I2497"/>
  <c r="J2497"/>
  <c r="K2497"/>
  <c r="L2497"/>
  <c r="N2497"/>
  <c r="B2498"/>
  <c r="C2498"/>
  <c r="D2498"/>
  <c r="E2498"/>
  <c r="F2498"/>
  <c r="G2498"/>
  <c r="H2498"/>
  <c r="I2498"/>
  <c r="J2498"/>
  <c r="K2498"/>
  <c r="L2498"/>
  <c r="M2498"/>
  <c r="N2498"/>
  <c r="B2499"/>
  <c r="C2499"/>
  <c r="D2499"/>
  <c r="E2499"/>
  <c r="F2499"/>
  <c r="G2499"/>
  <c r="H2499"/>
  <c r="I2499"/>
  <c r="J2499"/>
  <c r="K2499"/>
  <c r="L2499"/>
  <c r="N2499"/>
  <c r="B2500"/>
  <c r="C2500"/>
  <c r="D2500"/>
  <c r="E2500"/>
  <c r="F2500"/>
  <c r="G2500"/>
  <c r="H2500"/>
  <c r="I2500"/>
  <c r="J2500"/>
  <c r="K2500"/>
  <c r="L2500"/>
  <c r="N2500"/>
  <c r="B2501"/>
  <c r="C2501"/>
  <c r="D2501"/>
  <c r="E2501"/>
  <c r="F2501"/>
  <c r="G2501"/>
  <c r="H2501"/>
  <c r="I2501"/>
  <c r="J2501"/>
  <c r="K2501"/>
  <c r="L2501"/>
  <c r="N2501"/>
  <c r="A2502"/>
  <c r="B2502"/>
  <c r="C2502"/>
  <c r="D2502"/>
  <c r="E2502"/>
  <c r="F2502"/>
  <c r="G2502"/>
  <c r="H2502"/>
  <c r="I2502"/>
  <c r="J2502"/>
  <c r="K2502"/>
  <c r="L2502"/>
  <c r="N2502"/>
  <c r="B2503"/>
  <c r="C2503"/>
  <c r="D2503"/>
  <c r="E2503"/>
  <c r="F2503"/>
  <c r="G2503"/>
  <c r="H2503"/>
  <c r="I2503"/>
  <c r="J2503"/>
  <c r="K2503"/>
  <c r="L2503"/>
  <c r="N2503"/>
  <c r="B2504"/>
  <c r="C2504"/>
  <c r="D2504"/>
  <c r="E2504"/>
  <c r="F2504"/>
  <c r="G2504"/>
  <c r="H2504"/>
  <c r="I2504"/>
  <c r="J2504"/>
  <c r="K2504"/>
  <c r="L2504"/>
  <c r="N2504"/>
  <c r="B2505"/>
  <c r="C2505"/>
  <c r="D2505"/>
  <c r="E2505"/>
  <c r="F2505"/>
  <c r="G2505"/>
  <c r="H2505"/>
  <c r="I2505"/>
  <c r="J2505"/>
  <c r="K2505"/>
  <c r="L2505"/>
  <c r="N2505"/>
  <c r="A2506"/>
  <c r="B2506"/>
  <c r="C2506"/>
  <c r="D2506"/>
  <c r="E2506"/>
  <c r="F2506"/>
  <c r="G2506"/>
  <c r="H2506"/>
  <c r="I2506"/>
  <c r="J2506"/>
  <c r="K2506"/>
  <c r="L2506"/>
  <c r="M2506"/>
  <c r="N2506"/>
  <c r="B2507"/>
  <c r="C2507"/>
  <c r="D2507"/>
  <c r="E2507"/>
  <c r="F2507"/>
  <c r="G2507"/>
  <c r="H2507"/>
  <c r="I2507"/>
  <c r="J2507"/>
  <c r="K2507"/>
  <c r="L2507"/>
  <c r="N2507"/>
  <c r="B2508"/>
  <c r="C2508"/>
  <c r="D2508"/>
  <c r="E2508"/>
  <c r="F2508"/>
  <c r="G2508"/>
  <c r="H2508"/>
  <c r="I2508"/>
  <c r="J2508"/>
  <c r="K2508"/>
  <c r="L2508"/>
  <c r="N2508"/>
  <c r="B2509"/>
  <c r="C2509"/>
  <c r="D2509"/>
  <c r="E2509"/>
  <c r="F2509"/>
  <c r="G2509"/>
  <c r="H2509"/>
  <c r="I2509"/>
  <c r="J2509"/>
  <c r="K2509"/>
  <c r="L2509"/>
  <c r="N2509"/>
  <c r="A2510"/>
  <c r="B2510"/>
  <c r="C2510"/>
  <c r="D2510"/>
  <c r="E2510"/>
  <c r="F2510"/>
  <c r="G2510"/>
  <c r="H2510"/>
  <c r="I2510"/>
  <c r="J2510"/>
  <c r="K2510"/>
  <c r="L2510"/>
  <c r="N2510"/>
  <c r="B2511"/>
  <c r="C2511"/>
  <c r="D2511"/>
  <c r="E2511"/>
  <c r="F2511"/>
  <c r="G2511"/>
  <c r="H2511"/>
  <c r="I2511"/>
  <c r="J2511"/>
  <c r="K2511"/>
  <c r="L2511"/>
  <c r="N2511"/>
  <c r="A2512"/>
  <c r="B2512"/>
  <c r="C2512"/>
  <c r="D2512"/>
  <c r="E2512"/>
  <c r="F2512"/>
  <c r="G2512"/>
  <c r="H2512"/>
  <c r="I2512"/>
  <c r="J2512"/>
  <c r="K2512"/>
  <c r="L2512"/>
  <c r="N2512"/>
  <c r="B2513"/>
  <c r="C2513"/>
  <c r="D2513"/>
  <c r="E2513"/>
  <c r="F2513"/>
  <c r="G2513"/>
  <c r="H2513"/>
  <c r="I2513"/>
  <c r="J2513"/>
  <c r="K2513"/>
  <c r="L2513"/>
  <c r="N2513"/>
  <c r="B2514"/>
  <c r="C2514"/>
  <c r="D2514"/>
  <c r="E2514"/>
  <c r="F2514"/>
  <c r="G2514"/>
  <c r="H2514"/>
  <c r="I2514"/>
  <c r="J2514"/>
  <c r="K2514"/>
  <c r="L2514"/>
  <c r="N2514"/>
  <c r="B2515"/>
  <c r="C2515"/>
  <c r="D2515"/>
  <c r="E2515"/>
  <c r="F2515"/>
  <c r="G2515"/>
  <c r="H2515"/>
  <c r="I2515"/>
  <c r="J2515"/>
  <c r="K2515"/>
  <c r="L2515"/>
  <c r="N2515"/>
  <c r="B2516"/>
  <c r="C2516"/>
  <c r="D2516"/>
  <c r="E2516"/>
  <c r="F2516"/>
  <c r="G2516"/>
  <c r="H2516"/>
  <c r="I2516"/>
  <c r="J2516"/>
  <c r="K2516"/>
  <c r="L2516"/>
  <c r="N2516"/>
  <c r="B2517"/>
  <c r="C2517"/>
  <c r="D2517"/>
  <c r="E2517"/>
  <c r="F2517"/>
  <c r="G2517"/>
  <c r="H2517"/>
  <c r="I2517"/>
  <c r="J2517"/>
  <c r="K2517"/>
  <c r="L2517"/>
  <c r="N2517"/>
  <c r="A2518"/>
  <c r="B2518"/>
  <c r="C2518"/>
  <c r="D2518"/>
  <c r="E2518"/>
  <c r="F2518"/>
  <c r="G2518"/>
  <c r="H2518"/>
  <c r="I2518"/>
  <c r="J2518"/>
  <c r="K2518"/>
  <c r="L2518"/>
  <c r="N2518"/>
  <c r="B2519"/>
  <c r="C2519"/>
  <c r="D2519"/>
  <c r="E2519"/>
  <c r="F2519"/>
  <c r="G2519"/>
  <c r="H2519"/>
  <c r="I2519"/>
  <c r="J2519"/>
  <c r="K2519"/>
  <c r="L2519"/>
  <c r="N2519"/>
  <c r="B2520"/>
  <c r="C2520"/>
  <c r="D2520"/>
  <c r="E2520"/>
  <c r="F2520"/>
  <c r="G2520"/>
  <c r="H2520"/>
  <c r="I2520"/>
  <c r="J2520"/>
  <c r="K2520"/>
  <c r="L2520"/>
  <c r="N2520"/>
  <c r="A2521"/>
  <c r="B2521"/>
  <c r="C2521"/>
  <c r="D2521"/>
  <c r="E2521"/>
  <c r="F2521"/>
  <c r="G2521"/>
  <c r="H2521"/>
  <c r="I2521"/>
  <c r="J2521"/>
  <c r="K2521"/>
  <c r="L2521"/>
  <c r="N2521"/>
  <c r="A2522"/>
  <c r="B2522"/>
  <c r="C2522"/>
  <c r="D2522"/>
  <c r="E2522"/>
  <c r="F2522"/>
  <c r="G2522"/>
  <c r="H2522"/>
  <c r="I2522"/>
  <c r="J2522"/>
  <c r="K2522"/>
  <c r="L2522"/>
  <c r="M2522"/>
  <c r="N2522"/>
  <c r="B2523"/>
  <c r="C2523"/>
  <c r="D2523"/>
  <c r="E2523"/>
  <c r="F2523"/>
  <c r="G2523"/>
  <c r="H2523"/>
  <c r="I2523"/>
  <c r="J2523"/>
  <c r="K2523"/>
  <c r="L2523"/>
  <c r="N2523"/>
  <c r="A2524"/>
  <c r="B2524"/>
  <c r="C2524"/>
  <c r="D2524"/>
  <c r="E2524"/>
  <c r="F2524"/>
  <c r="G2524"/>
  <c r="H2524"/>
  <c r="I2524"/>
  <c r="J2524"/>
  <c r="K2524"/>
  <c r="L2524"/>
  <c r="N2524"/>
  <c r="A2525"/>
  <c r="B2525"/>
  <c r="C2525"/>
  <c r="D2525"/>
  <c r="E2525"/>
  <c r="F2525"/>
  <c r="G2525"/>
  <c r="H2525"/>
  <c r="I2525"/>
  <c r="J2525"/>
  <c r="K2525"/>
  <c r="L2525"/>
  <c r="N2525"/>
  <c r="A2526"/>
  <c r="B2526"/>
  <c r="C2526"/>
  <c r="D2526"/>
  <c r="E2526"/>
  <c r="F2526"/>
  <c r="G2526"/>
  <c r="H2526"/>
  <c r="I2526"/>
  <c r="J2526"/>
  <c r="K2526"/>
  <c r="L2526"/>
  <c r="N2526"/>
  <c r="B2527"/>
  <c r="C2527"/>
  <c r="D2527"/>
  <c r="E2527"/>
  <c r="F2527"/>
  <c r="G2527"/>
  <c r="H2527"/>
  <c r="I2527"/>
  <c r="J2527"/>
  <c r="K2527"/>
  <c r="L2527"/>
  <c r="N2527"/>
  <c r="B2528"/>
  <c r="C2528"/>
  <c r="D2528"/>
  <c r="E2528"/>
  <c r="F2528"/>
  <c r="G2528"/>
  <c r="H2528"/>
  <c r="I2528"/>
  <c r="J2528"/>
  <c r="K2528"/>
  <c r="L2528"/>
  <c r="N2528"/>
  <c r="B2529"/>
  <c r="C2529"/>
  <c r="D2529"/>
  <c r="E2529"/>
  <c r="F2529"/>
  <c r="G2529"/>
  <c r="H2529"/>
  <c r="I2529"/>
  <c r="J2529"/>
  <c r="K2529"/>
  <c r="L2529"/>
  <c r="N2529"/>
  <c r="B2530"/>
  <c r="C2530"/>
  <c r="D2530"/>
  <c r="E2530"/>
  <c r="F2530"/>
  <c r="G2530"/>
  <c r="H2530"/>
  <c r="I2530"/>
  <c r="J2530"/>
  <c r="K2530"/>
  <c r="L2530"/>
  <c r="M2530"/>
  <c r="N2530"/>
  <c r="B2531"/>
  <c r="C2531"/>
  <c r="D2531"/>
  <c r="E2531"/>
  <c r="F2531"/>
  <c r="G2531"/>
  <c r="H2531"/>
  <c r="I2531"/>
  <c r="J2531"/>
  <c r="K2531"/>
  <c r="L2531"/>
  <c r="N2531"/>
  <c r="B2532"/>
  <c r="C2532"/>
  <c r="D2532"/>
  <c r="E2532"/>
  <c r="F2532"/>
  <c r="G2532"/>
  <c r="H2532"/>
  <c r="I2532"/>
  <c r="J2532"/>
  <c r="K2532"/>
  <c r="L2532"/>
  <c r="N2532"/>
  <c r="B2533"/>
  <c r="C2533"/>
  <c r="D2533"/>
  <c r="E2533"/>
  <c r="F2533"/>
  <c r="G2533"/>
  <c r="H2533"/>
  <c r="I2533"/>
  <c r="J2533"/>
  <c r="K2533"/>
  <c r="L2533"/>
  <c r="N2533"/>
  <c r="A2534"/>
  <c r="B2534"/>
  <c r="C2534"/>
  <c r="D2534"/>
  <c r="E2534"/>
  <c r="F2534"/>
  <c r="G2534"/>
  <c r="H2534"/>
  <c r="I2534"/>
  <c r="J2534"/>
  <c r="K2534"/>
  <c r="L2534"/>
  <c r="N2534"/>
  <c r="B2535"/>
  <c r="C2535"/>
  <c r="D2535"/>
  <c r="E2535"/>
  <c r="F2535"/>
  <c r="G2535"/>
  <c r="H2535"/>
  <c r="I2535"/>
  <c r="J2535"/>
  <c r="K2535"/>
  <c r="L2535"/>
  <c r="N2535"/>
  <c r="B2536"/>
  <c r="C2536"/>
  <c r="D2536"/>
  <c r="E2536"/>
  <c r="F2536"/>
  <c r="G2536"/>
  <c r="H2536"/>
  <c r="I2536"/>
  <c r="J2536"/>
  <c r="K2536"/>
  <c r="L2536"/>
  <c r="N2536"/>
  <c r="A2537"/>
  <c r="B2537"/>
  <c r="C2537"/>
  <c r="D2537"/>
  <c r="E2537"/>
  <c r="F2537"/>
  <c r="G2537"/>
  <c r="H2537"/>
  <c r="I2537"/>
  <c r="J2537"/>
  <c r="K2537"/>
  <c r="L2537"/>
  <c r="N2537"/>
  <c r="A2538"/>
  <c r="B2538"/>
  <c r="C2538"/>
  <c r="D2538"/>
  <c r="E2538"/>
  <c r="F2538"/>
  <c r="G2538"/>
  <c r="H2538"/>
  <c r="I2538"/>
  <c r="J2538"/>
  <c r="K2538"/>
  <c r="L2538"/>
  <c r="M2538"/>
  <c r="N2538"/>
  <c r="B2539"/>
  <c r="C2539"/>
  <c r="D2539"/>
  <c r="E2539"/>
  <c r="F2539"/>
  <c r="G2539"/>
  <c r="H2539"/>
  <c r="I2539"/>
  <c r="J2539"/>
  <c r="K2539"/>
  <c r="L2539"/>
  <c r="N2539"/>
  <c r="A2540"/>
  <c r="B2540"/>
  <c r="C2540"/>
  <c r="D2540"/>
  <c r="E2540"/>
  <c r="F2540"/>
  <c r="G2540"/>
  <c r="H2540"/>
  <c r="I2540"/>
  <c r="J2540"/>
  <c r="K2540"/>
  <c r="L2540"/>
  <c r="N2540"/>
  <c r="A2541"/>
  <c r="B2541"/>
  <c r="C2541"/>
  <c r="D2541"/>
  <c r="E2541"/>
  <c r="F2541"/>
  <c r="G2541"/>
  <c r="H2541"/>
  <c r="I2541"/>
  <c r="J2541"/>
  <c r="K2541"/>
  <c r="L2541"/>
  <c r="N2541"/>
  <c r="A2542"/>
  <c r="B2542"/>
  <c r="C2542"/>
  <c r="D2542"/>
  <c r="E2542"/>
  <c r="F2542"/>
  <c r="G2542"/>
  <c r="H2542"/>
  <c r="I2542"/>
  <c r="J2542"/>
  <c r="K2542"/>
  <c r="L2542"/>
  <c r="N2542"/>
  <c r="B2543"/>
  <c r="C2543"/>
  <c r="D2543"/>
  <c r="E2543"/>
  <c r="F2543"/>
  <c r="G2543"/>
  <c r="H2543"/>
  <c r="I2543"/>
  <c r="J2543"/>
  <c r="K2543"/>
  <c r="L2543"/>
  <c r="N2543"/>
  <c r="B2544"/>
  <c r="C2544"/>
  <c r="D2544"/>
  <c r="E2544"/>
  <c r="F2544"/>
  <c r="G2544"/>
  <c r="H2544"/>
  <c r="I2544"/>
  <c r="J2544"/>
  <c r="K2544"/>
  <c r="L2544"/>
  <c r="N2544"/>
  <c r="B2545"/>
  <c r="C2545"/>
  <c r="D2545"/>
  <c r="E2545"/>
  <c r="F2545"/>
  <c r="G2545"/>
  <c r="H2545"/>
  <c r="I2545"/>
  <c r="J2545"/>
  <c r="K2545"/>
  <c r="L2545"/>
  <c r="N2545"/>
  <c r="B2546"/>
  <c r="C2546"/>
  <c r="D2546"/>
  <c r="E2546"/>
  <c r="F2546"/>
  <c r="G2546"/>
  <c r="H2546"/>
  <c r="I2546"/>
  <c r="J2546"/>
  <c r="K2546"/>
  <c r="L2546"/>
  <c r="N2546"/>
  <c r="B2547"/>
  <c r="C2547"/>
  <c r="D2547"/>
  <c r="E2547"/>
  <c r="F2547"/>
  <c r="G2547"/>
  <c r="H2547"/>
  <c r="I2547"/>
  <c r="J2547"/>
  <c r="K2547"/>
  <c r="L2547"/>
  <c r="N2547"/>
  <c r="B2548"/>
  <c r="C2548"/>
  <c r="D2548"/>
  <c r="E2548"/>
  <c r="F2548"/>
  <c r="G2548"/>
  <c r="H2548"/>
  <c r="I2548"/>
  <c r="J2548"/>
  <c r="K2548"/>
  <c r="L2548"/>
  <c r="N2548"/>
  <c r="B2549"/>
  <c r="C2549"/>
  <c r="D2549"/>
  <c r="E2549"/>
  <c r="F2549"/>
  <c r="G2549"/>
  <c r="H2549"/>
  <c r="I2549"/>
  <c r="J2549"/>
  <c r="K2549"/>
  <c r="L2549"/>
  <c r="N2549"/>
  <c r="A2550"/>
  <c r="B2550"/>
  <c r="C2550"/>
  <c r="D2550"/>
  <c r="E2550"/>
  <c r="F2550"/>
  <c r="G2550"/>
  <c r="H2550"/>
  <c r="I2550"/>
  <c r="J2550"/>
  <c r="K2550"/>
  <c r="L2550"/>
  <c r="N2550"/>
  <c r="B2551"/>
  <c r="C2551"/>
  <c r="D2551"/>
  <c r="E2551"/>
  <c r="F2551"/>
  <c r="G2551"/>
  <c r="H2551"/>
  <c r="I2551"/>
  <c r="J2551"/>
  <c r="K2551"/>
  <c r="L2551"/>
  <c r="N2551"/>
  <c r="B2552"/>
  <c r="C2552"/>
  <c r="D2552"/>
  <c r="E2552"/>
  <c r="F2552"/>
  <c r="G2552"/>
  <c r="H2552"/>
  <c r="I2552"/>
  <c r="J2552"/>
  <c r="K2552"/>
  <c r="L2552"/>
  <c r="N2552"/>
  <c r="A2553"/>
  <c r="B2553"/>
  <c r="C2553"/>
  <c r="D2553"/>
  <c r="E2553"/>
  <c r="F2553"/>
  <c r="G2553"/>
  <c r="H2553"/>
  <c r="I2553"/>
  <c r="J2553"/>
  <c r="K2553"/>
  <c r="L2553"/>
  <c r="N2553"/>
  <c r="A2554"/>
  <c r="B2554"/>
  <c r="C2554"/>
  <c r="D2554"/>
  <c r="E2554"/>
  <c r="F2554"/>
  <c r="G2554"/>
  <c r="H2554"/>
  <c r="I2554"/>
  <c r="J2554"/>
  <c r="K2554"/>
  <c r="L2554"/>
  <c r="M2554"/>
  <c r="N2554"/>
  <c r="B2555"/>
  <c r="C2555"/>
  <c r="D2555"/>
  <c r="E2555"/>
  <c r="F2555"/>
  <c r="G2555"/>
  <c r="H2555"/>
  <c r="I2555"/>
  <c r="J2555"/>
  <c r="K2555"/>
  <c r="L2555"/>
  <c r="N2555"/>
  <c r="B2556"/>
  <c r="C2556"/>
  <c r="D2556"/>
  <c r="E2556"/>
  <c r="F2556"/>
  <c r="G2556"/>
  <c r="H2556"/>
  <c r="I2556"/>
  <c r="J2556"/>
  <c r="K2556"/>
  <c r="L2556"/>
  <c r="N2556"/>
  <c r="A2557"/>
  <c r="B2557"/>
  <c r="C2557"/>
  <c r="D2557"/>
  <c r="E2557"/>
  <c r="F2557"/>
  <c r="G2557"/>
  <c r="H2557"/>
  <c r="I2557"/>
  <c r="J2557"/>
  <c r="K2557"/>
  <c r="L2557"/>
  <c r="N2557"/>
  <c r="A2558"/>
  <c r="B2558"/>
  <c r="C2558"/>
  <c r="D2558"/>
  <c r="E2558"/>
  <c r="F2558"/>
  <c r="G2558"/>
  <c r="H2558"/>
  <c r="I2558"/>
  <c r="J2558"/>
  <c r="K2558"/>
  <c r="L2558"/>
  <c r="N2558"/>
  <c r="B2559"/>
  <c r="C2559"/>
  <c r="D2559"/>
  <c r="E2559"/>
  <c r="F2559"/>
  <c r="G2559"/>
  <c r="H2559"/>
  <c r="I2559"/>
  <c r="J2559"/>
  <c r="K2559"/>
  <c r="L2559"/>
  <c r="N2559"/>
  <c r="B2560"/>
  <c r="C2560"/>
  <c r="D2560"/>
  <c r="E2560"/>
  <c r="F2560"/>
  <c r="G2560"/>
  <c r="H2560"/>
  <c r="I2560"/>
  <c r="J2560"/>
  <c r="K2560"/>
  <c r="L2560"/>
  <c r="N2560"/>
  <c r="B2561"/>
  <c r="C2561"/>
  <c r="D2561"/>
  <c r="E2561"/>
  <c r="F2561"/>
  <c r="G2561"/>
  <c r="H2561"/>
  <c r="I2561"/>
  <c r="J2561"/>
  <c r="K2561"/>
  <c r="L2561"/>
  <c r="N2561"/>
  <c r="B2562"/>
  <c r="C2562"/>
  <c r="D2562"/>
  <c r="E2562"/>
  <c r="F2562"/>
  <c r="G2562"/>
  <c r="H2562"/>
  <c r="I2562"/>
  <c r="J2562"/>
  <c r="K2562"/>
  <c r="L2562"/>
  <c r="M2562"/>
  <c r="N2562"/>
  <c r="B2563"/>
  <c r="C2563"/>
  <c r="D2563"/>
  <c r="E2563"/>
  <c r="F2563"/>
  <c r="G2563"/>
  <c r="H2563"/>
  <c r="I2563"/>
  <c r="J2563"/>
  <c r="K2563"/>
  <c r="L2563"/>
  <c r="N2563"/>
  <c r="B2564"/>
  <c r="C2564"/>
  <c r="D2564"/>
  <c r="E2564"/>
  <c r="F2564"/>
  <c r="G2564"/>
  <c r="H2564"/>
  <c r="I2564"/>
  <c r="J2564"/>
  <c r="K2564"/>
  <c r="L2564"/>
  <c r="N2564"/>
  <c r="B2565"/>
  <c r="C2565"/>
  <c r="D2565"/>
  <c r="E2565"/>
  <c r="F2565"/>
  <c r="G2565"/>
  <c r="H2565"/>
  <c r="I2565"/>
  <c r="J2565"/>
  <c r="K2565"/>
  <c r="L2565"/>
  <c r="N2565"/>
  <c r="A2566"/>
  <c r="B2566"/>
  <c r="C2566"/>
  <c r="D2566"/>
  <c r="E2566"/>
  <c r="F2566"/>
  <c r="G2566"/>
  <c r="H2566"/>
  <c r="I2566"/>
  <c r="J2566"/>
  <c r="K2566"/>
  <c r="L2566"/>
  <c r="N2566"/>
  <c r="B2567"/>
  <c r="C2567"/>
  <c r="D2567"/>
  <c r="E2567"/>
  <c r="F2567"/>
  <c r="G2567"/>
  <c r="H2567"/>
  <c r="I2567"/>
  <c r="J2567"/>
  <c r="K2567"/>
  <c r="L2567"/>
  <c r="N2567"/>
  <c r="B2568"/>
  <c r="C2568"/>
  <c r="D2568"/>
  <c r="E2568"/>
  <c r="F2568"/>
  <c r="G2568"/>
  <c r="H2568"/>
  <c r="I2568"/>
  <c r="J2568"/>
  <c r="K2568"/>
  <c r="L2568"/>
  <c r="M2568"/>
  <c r="N2568"/>
  <c r="A2569"/>
  <c r="B2569"/>
  <c r="C2569"/>
  <c r="D2569"/>
  <c r="E2569"/>
  <c r="F2569"/>
  <c r="G2569"/>
  <c r="H2569"/>
  <c r="I2569"/>
  <c r="J2569"/>
  <c r="K2569"/>
  <c r="L2569"/>
  <c r="N2569"/>
  <c r="A2570"/>
  <c r="B2570"/>
  <c r="C2570"/>
  <c r="D2570"/>
  <c r="E2570"/>
  <c r="F2570"/>
  <c r="G2570"/>
  <c r="H2570"/>
  <c r="I2570"/>
  <c r="J2570"/>
  <c r="K2570"/>
  <c r="L2570"/>
  <c r="M2570"/>
  <c r="N2570"/>
  <c r="B2571"/>
  <c r="C2571"/>
  <c r="D2571"/>
  <c r="E2571"/>
  <c r="F2571"/>
  <c r="G2571"/>
  <c r="H2571"/>
  <c r="I2571"/>
  <c r="J2571"/>
  <c r="K2571"/>
  <c r="L2571"/>
  <c r="N2571"/>
  <c r="A2572"/>
  <c r="B2572"/>
  <c r="C2572"/>
  <c r="D2572"/>
  <c r="E2572"/>
  <c r="F2572"/>
  <c r="G2572"/>
  <c r="H2572"/>
  <c r="I2572"/>
  <c r="J2572"/>
  <c r="K2572"/>
  <c r="L2572"/>
  <c r="N2572"/>
  <c r="A2573"/>
  <c r="B2573"/>
  <c r="C2573"/>
  <c r="D2573"/>
  <c r="E2573"/>
  <c r="F2573"/>
  <c r="G2573"/>
  <c r="H2573"/>
  <c r="I2573"/>
  <c r="J2573"/>
  <c r="K2573"/>
  <c r="L2573"/>
  <c r="N2573"/>
  <c r="A2574"/>
  <c r="B2574"/>
  <c r="C2574"/>
  <c r="D2574"/>
  <c r="E2574"/>
  <c r="F2574"/>
  <c r="G2574"/>
  <c r="H2574"/>
  <c r="I2574"/>
  <c r="J2574"/>
  <c r="K2574"/>
  <c r="L2574"/>
  <c r="N2574"/>
  <c r="B2575"/>
  <c r="C2575"/>
  <c r="D2575"/>
  <c r="E2575"/>
  <c r="F2575"/>
  <c r="G2575"/>
  <c r="H2575"/>
  <c r="I2575"/>
  <c r="J2575"/>
  <c r="K2575"/>
  <c r="L2575"/>
  <c r="N2575"/>
  <c r="B2576"/>
  <c r="C2576"/>
  <c r="D2576"/>
  <c r="E2576"/>
  <c r="F2576"/>
  <c r="G2576"/>
  <c r="H2576"/>
  <c r="I2576"/>
  <c r="J2576"/>
  <c r="K2576"/>
  <c r="L2576"/>
  <c r="M2576"/>
  <c r="N2576"/>
  <c r="B2577"/>
  <c r="C2577"/>
  <c r="D2577"/>
  <c r="E2577"/>
  <c r="F2577"/>
  <c r="G2577"/>
  <c r="H2577"/>
  <c r="I2577"/>
  <c r="J2577"/>
  <c r="K2577"/>
  <c r="L2577"/>
  <c r="N2577"/>
  <c r="B2578"/>
  <c r="C2578"/>
  <c r="D2578"/>
  <c r="E2578"/>
  <c r="F2578"/>
  <c r="G2578"/>
  <c r="H2578"/>
  <c r="I2578"/>
  <c r="J2578"/>
  <c r="K2578"/>
  <c r="L2578"/>
  <c r="N2578"/>
  <c r="B2579"/>
  <c r="C2579"/>
  <c r="D2579"/>
  <c r="E2579"/>
  <c r="F2579"/>
  <c r="G2579"/>
  <c r="H2579"/>
  <c r="I2579"/>
  <c r="J2579"/>
  <c r="K2579"/>
  <c r="L2579"/>
  <c r="N2579"/>
  <c r="B2580"/>
  <c r="C2580"/>
  <c r="D2580"/>
  <c r="E2580"/>
  <c r="F2580"/>
  <c r="G2580"/>
  <c r="H2580"/>
  <c r="I2580"/>
  <c r="J2580"/>
  <c r="K2580"/>
  <c r="L2580"/>
  <c r="N2580"/>
  <c r="B2581"/>
  <c r="C2581"/>
  <c r="D2581"/>
  <c r="E2581"/>
  <c r="F2581"/>
  <c r="G2581"/>
  <c r="H2581"/>
  <c r="I2581"/>
  <c r="J2581"/>
  <c r="K2581"/>
  <c r="L2581"/>
  <c r="N2581"/>
  <c r="A2582"/>
  <c r="B2582"/>
  <c r="C2582"/>
  <c r="D2582"/>
  <c r="E2582"/>
  <c r="F2582"/>
  <c r="G2582"/>
  <c r="H2582"/>
  <c r="I2582"/>
  <c r="J2582"/>
  <c r="K2582"/>
  <c r="L2582"/>
  <c r="N2582"/>
  <c r="B2583"/>
  <c r="C2583"/>
  <c r="D2583"/>
  <c r="E2583"/>
  <c r="F2583"/>
  <c r="G2583"/>
  <c r="H2583"/>
  <c r="I2583"/>
  <c r="J2583"/>
  <c r="K2583"/>
  <c r="L2583"/>
  <c r="N2583"/>
  <c r="B2584"/>
  <c r="C2584"/>
  <c r="D2584"/>
  <c r="E2584"/>
  <c r="F2584"/>
  <c r="G2584"/>
  <c r="H2584"/>
  <c r="I2584"/>
  <c r="J2584"/>
  <c r="K2584"/>
  <c r="L2584"/>
  <c r="M2584"/>
  <c r="N2584"/>
  <c r="A2585"/>
  <c r="B2585"/>
  <c r="C2585"/>
  <c r="D2585"/>
  <c r="E2585"/>
  <c r="F2585"/>
  <c r="G2585"/>
  <c r="H2585"/>
  <c r="I2585"/>
  <c r="J2585"/>
  <c r="K2585"/>
  <c r="L2585"/>
  <c r="N2585"/>
  <c r="A2586"/>
  <c r="B2586"/>
  <c r="C2586"/>
  <c r="D2586"/>
  <c r="E2586"/>
  <c r="F2586"/>
  <c r="G2586"/>
  <c r="H2586"/>
  <c r="I2586"/>
  <c r="J2586"/>
  <c r="K2586"/>
  <c r="L2586"/>
  <c r="M2586"/>
  <c r="N2586"/>
  <c r="B2587"/>
  <c r="C2587"/>
  <c r="D2587"/>
  <c r="E2587"/>
  <c r="F2587"/>
  <c r="G2587"/>
  <c r="H2587"/>
  <c r="I2587"/>
  <c r="J2587"/>
  <c r="K2587"/>
  <c r="L2587"/>
  <c r="N2587"/>
  <c r="A2588"/>
  <c r="B2588"/>
  <c r="C2588"/>
  <c r="D2588"/>
  <c r="E2588"/>
  <c r="F2588"/>
  <c r="G2588"/>
  <c r="H2588"/>
  <c r="I2588"/>
  <c r="J2588"/>
  <c r="K2588"/>
  <c r="L2588"/>
  <c r="N2588"/>
  <c r="B2589"/>
  <c r="C2589"/>
  <c r="D2589"/>
  <c r="E2589"/>
  <c r="F2589"/>
  <c r="G2589"/>
  <c r="H2589"/>
  <c r="I2589"/>
  <c r="J2589"/>
  <c r="K2589"/>
  <c r="L2589"/>
  <c r="N2589"/>
  <c r="A2590"/>
  <c r="B2590"/>
  <c r="C2590"/>
  <c r="D2590"/>
  <c r="E2590"/>
  <c r="F2590"/>
  <c r="G2590"/>
  <c r="H2590"/>
  <c r="I2590"/>
  <c r="J2590"/>
  <c r="K2590"/>
  <c r="L2590"/>
  <c r="N2590"/>
  <c r="B2591"/>
  <c r="C2591"/>
  <c r="D2591"/>
  <c r="E2591"/>
  <c r="F2591"/>
  <c r="G2591"/>
  <c r="H2591"/>
  <c r="I2591"/>
  <c r="J2591"/>
  <c r="K2591"/>
  <c r="L2591"/>
  <c r="M2591"/>
  <c r="N2591"/>
  <c r="B2592"/>
  <c r="C2592"/>
  <c r="D2592"/>
  <c r="E2592"/>
  <c r="F2592"/>
  <c r="G2592"/>
  <c r="H2592"/>
  <c r="I2592"/>
  <c r="J2592"/>
  <c r="K2592"/>
  <c r="L2592"/>
  <c r="N2592"/>
  <c r="A2593"/>
  <c r="B2593"/>
  <c r="C2593"/>
  <c r="D2593"/>
  <c r="E2593"/>
  <c r="F2593"/>
  <c r="G2593"/>
  <c r="H2593"/>
  <c r="I2593"/>
  <c r="J2593"/>
  <c r="K2593"/>
  <c r="L2593"/>
  <c r="N2593"/>
  <c r="A2594"/>
  <c r="B2594"/>
  <c r="C2594"/>
  <c r="D2594"/>
  <c r="E2594"/>
  <c r="F2594"/>
  <c r="G2594"/>
  <c r="H2594"/>
  <c r="I2594"/>
  <c r="J2594"/>
  <c r="K2594"/>
  <c r="L2594"/>
  <c r="M2594"/>
  <c r="N2594"/>
  <c r="B2595"/>
  <c r="C2595"/>
  <c r="D2595"/>
  <c r="E2595"/>
  <c r="F2595"/>
  <c r="G2595"/>
  <c r="H2595"/>
  <c r="I2595"/>
  <c r="J2595"/>
  <c r="K2595"/>
  <c r="L2595"/>
  <c r="M2595"/>
  <c r="N2595"/>
  <c r="B2596"/>
  <c r="C2596"/>
  <c r="D2596"/>
  <c r="E2596"/>
  <c r="F2596"/>
  <c r="G2596"/>
  <c r="H2596"/>
  <c r="I2596"/>
  <c r="J2596"/>
  <c r="K2596"/>
  <c r="L2596"/>
  <c r="N2596"/>
  <c r="B2597"/>
  <c r="C2597"/>
  <c r="D2597"/>
  <c r="E2597"/>
  <c r="F2597"/>
  <c r="G2597"/>
  <c r="H2597"/>
  <c r="I2597"/>
  <c r="J2597"/>
  <c r="K2597"/>
  <c r="L2597"/>
  <c r="N2597"/>
  <c r="A2598"/>
  <c r="B2598"/>
  <c r="C2598"/>
  <c r="D2598"/>
  <c r="E2598"/>
  <c r="F2598"/>
  <c r="G2598"/>
  <c r="H2598"/>
  <c r="I2598"/>
  <c r="J2598"/>
  <c r="K2598"/>
  <c r="L2598"/>
  <c r="N2598"/>
  <c r="B2599"/>
  <c r="C2599"/>
  <c r="D2599"/>
  <c r="E2599"/>
  <c r="F2599"/>
  <c r="G2599"/>
  <c r="H2599"/>
  <c r="I2599"/>
  <c r="J2599"/>
  <c r="K2599"/>
  <c r="L2599"/>
  <c r="M2599"/>
  <c r="N2599"/>
  <c r="A2600"/>
  <c r="B2600"/>
  <c r="C2600"/>
  <c r="D2600"/>
  <c r="E2600"/>
  <c r="F2600"/>
  <c r="G2600"/>
  <c r="H2600"/>
  <c r="I2600"/>
  <c r="J2600"/>
  <c r="K2600"/>
  <c r="L2600"/>
  <c r="N2600"/>
  <c r="A2601"/>
  <c r="B2601"/>
  <c r="C2601"/>
  <c r="D2601"/>
  <c r="E2601"/>
  <c r="F2601"/>
  <c r="G2601"/>
  <c r="H2601"/>
  <c r="I2601"/>
  <c r="J2601"/>
  <c r="K2601"/>
  <c r="L2601"/>
  <c r="M2601"/>
  <c r="N2601"/>
  <c r="B2602"/>
  <c r="C2602"/>
  <c r="D2602"/>
  <c r="E2602"/>
  <c r="F2602"/>
  <c r="G2602"/>
  <c r="H2602"/>
  <c r="I2602"/>
  <c r="J2602"/>
  <c r="K2602"/>
  <c r="L2602"/>
  <c r="N2602"/>
  <c r="B2603"/>
  <c r="C2603"/>
  <c r="D2603"/>
  <c r="E2603"/>
  <c r="F2603"/>
  <c r="G2603"/>
  <c r="H2603"/>
  <c r="I2603"/>
  <c r="J2603"/>
  <c r="K2603"/>
  <c r="L2603"/>
  <c r="M2603"/>
  <c r="N2603"/>
  <c r="B2604"/>
  <c r="C2604"/>
  <c r="D2604"/>
  <c r="E2604"/>
  <c r="F2604"/>
  <c r="G2604"/>
  <c r="H2604"/>
  <c r="I2604"/>
  <c r="J2604"/>
  <c r="K2604"/>
  <c r="L2604"/>
  <c r="N2604"/>
  <c r="A2605"/>
  <c r="B2605"/>
  <c r="C2605"/>
  <c r="D2605"/>
  <c r="E2605"/>
  <c r="F2605"/>
  <c r="G2605"/>
  <c r="H2605"/>
  <c r="I2605"/>
  <c r="J2605"/>
  <c r="K2605"/>
  <c r="L2605"/>
  <c r="M2605"/>
  <c r="N2605"/>
  <c r="A2606"/>
  <c r="B2606"/>
  <c r="C2606"/>
  <c r="D2606"/>
  <c r="E2606"/>
  <c r="F2606"/>
  <c r="G2606"/>
  <c r="H2606"/>
  <c r="I2606"/>
  <c r="J2606"/>
  <c r="K2606"/>
  <c r="L2606"/>
  <c r="N2606"/>
  <c r="B2607"/>
  <c r="C2607"/>
  <c r="D2607"/>
  <c r="E2607"/>
  <c r="F2607"/>
  <c r="G2607"/>
  <c r="H2607"/>
  <c r="I2607"/>
  <c r="J2607"/>
  <c r="K2607"/>
  <c r="L2607"/>
  <c r="N2607"/>
  <c r="A2608"/>
  <c r="B2608"/>
  <c r="C2608"/>
  <c r="D2608"/>
  <c r="E2608"/>
  <c r="F2608"/>
  <c r="G2608"/>
  <c r="H2608"/>
  <c r="I2608"/>
  <c r="J2608"/>
  <c r="K2608"/>
  <c r="L2608"/>
  <c r="N2608"/>
  <c r="B2609"/>
  <c r="C2609"/>
  <c r="D2609"/>
  <c r="E2609"/>
  <c r="F2609"/>
  <c r="G2609"/>
  <c r="H2609"/>
  <c r="I2609"/>
  <c r="J2609"/>
  <c r="K2609"/>
  <c r="L2609"/>
  <c r="N2609"/>
  <c r="A2610"/>
  <c r="B2610"/>
  <c r="C2610"/>
  <c r="D2610"/>
  <c r="E2610"/>
  <c r="F2610"/>
  <c r="G2610"/>
  <c r="H2610"/>
  <c r="I2610"/>
  <c r="J2610"/>
  <c r="K2610"/>
  <c r="L2610"/>
  <c r="M2610"/>
  <c r="N2610"/>
  <c r="B2611"/>
  <c r="C2611"/>
  <c r="D2611"/>
  <c r="E2611"/>
  <c r="F2611"/>
  <c r="G2611"/>
  <c r="H2611"/>
  <c r="I2611"/>
  <c r="J2611"/>
  <c r="K2611"/>
  <c r="L2611"/>
  <c r="M2611"/>
  <c r="N2611"/>
  <c r="A2612"/>
  <c r="B2612"/>
  <c r="C2612"/>
  <c r="D2612"/>
  <c r="E2612"/>
  <c r="F2612"/>
  <c r="G2612"/>
  <c r="H2612"/>
  <c r="I2612"/>
  <c r="J2612"/>
  <c r="K2612"/>
  <c r="L2612"/>
  <c r="N2612"/>
  <c r="A2613"/>
  <c r="B2613"/>
  <c r="C2613"/>
  <c r="D2613"/>
  <c r="E2613"/>
  <c r="F2613"/>
  <c r="G2613"/>
  <c r="H2613"/>
  <c r="I2613"/>
  <c r="J2613"/>
  <c r="K2613"/>
  <c r="L2613"/>
  <c r="N2613"/>
  <c r="B2614"/>
  <c r="C2614"/>
  <c r="D2614"/>
  <c r="E2614"/>
  <c r="F2614"/>
  <c r="G2614"/>
  <c r="H2614"/>
  <c r="I2614"/>
  <c r="J2614"/>
  <c r="K2614"/>
  <c r="L2614"/>
  <c r="N2614"/>
  <c r="B2615"/>
  <c r="C2615"/>
  <c r="D2615"/>
  <c r="E2615"/>
  <c r="F2615"/>
  <c r="G2615"/>
  <c r="H2615"/>
  <c r="I2615"/>
  <c r="J2615"/>
  <c r="K2615"/>
  <c r="L2615"/>
  <c r="M2615"/>
  <c r="N2615"/>
  <c r="B2616"/>
  <c r="C2616"/>
  <c r="D2616"/>
  <c r="E2616"/>
  <c r="F2616"/>
  <c r="G2616"/>
  <c r="H2616"/>
  <c r="I2616"/>
  <c r="J2616"/>
  <c r="K2616"/>
  <c r="L2616"/>
  <c r="N2616"/>
  <c r="B2617"/>
  <c r="C2617"/>
  <c r="D2617"/>
  <c r="E2617"/>
  <c r="F2617"/>
  <c r="G2617"/>
  <c r="H2617"/>
  <c r="I2617"/>
  <c r="J2617"/>
  <c r="K2617"/>
  <c r="L2617"/>
  <c r="N2617"/>
  <c r="A2618"/>
  <c r="B2618"/>
  <c r="C2618"/>
  <c r="D2618"/>
  <c r="E2618"/>
  <c r="F2618"/>
  <c r="G2618"/>
  <c r="H2618"/>
  <c r="I2618"/>
  <c r="J2618"/>
  <c r="K2618"/>
  <c r="L2618"/>
  <c r="M2618"/>
  <c r="N2618"/>
  <c r="B2619"/>
  <c r="C2619"/>
  <c r="D2619"/>
  <c r="E2619"/>
  <c r="F2619"/>
  <c r="G2619"/>
  <c r="H2619"/>
  <c r="I2619"/>
  <c r="J2619"/>
  <c r="K2619"/>
  <c r="L2619"/>
  <c r="N2619"/>
  <c r="B2620"/>
  <c r="C2620"/>
  <c r="D2620"/>
  <c r="E2620"/>
  <c r="F2620"/>
  <c r="G2620"/>
  <c r="H2620"/>
  <c r="I2620"/>
  <c r="J2620"/>
  <c r="K2620"/>
  <c r="L2620"/>
  <c r="N2620"/>
  <c r="B2621"/>
  <c r="C2621"/>
  <c r="D2621"/>
  <c r="E2621"/>
  <c r="F2621"/>
  <c r="G2621"/>
  <c r="H2621"/>
  <c r="I2621"/>
  <c r="J2621"/>
  <c r="K2621"/>
  <c r="L2621"/>
  <c r="N2621"/>
  <c r="A2622"/>
  <c r="B2622"/>
  <c r="C2622"/>
  <c r="D2622"/>
  <c r="E2622"/>
  <c r="F2622"/>
  <c r="G2622"/>
  <c r="H2622"/>
  <c r="I2622"/>
  <c r="J2622"/>
  <c r="K2622"/>
  <c r="L2622"/>
  <c r="N2622"/>
  <c r="B2623"/>
  <c r="C2623"/>
  <c r="D2623"/>
  <c r="E2623"/>
  <c r="F2623"/>
  <c r="G2623"/>
  <c r="H2623"/>
  <c r="I2623"/>
  <c r="J2623"/>
  <c r="K2623"/>
  <c r="L2623"/>
  <c r="M2623"/>
  <c r="N2623"/>
  <c r="B2624"/>
  <c r="C2624"/>
  <c r="D2624"/>
  <c r="E2624"/>
  <c r="F2624"/>
  <c r="G2624"/>
  <c r="H2624"/>
  <c r="I2624"/>
  <c r="J2624"/>
  <c r="K2624"/>
  <c r="L2624"/>
  <c r="N2624"/>
  <c r="B2625"/>
  <c r="C2625"/>
  <c r="D2625"/>
  <c r="E2625"/>
  <c r="F2625"/>
  <c r="G2625"/>
  <c r="H2625"/>
  <c r="I2625"/>
  <c r="J2625"/>
  <c r="K2625"/>
  <c r="L2625"/>
  <c r="N2625"/>
  <c r="A2626"/>
  <c r="B2626"/>
  <c r="C2626"/>
  <c r="D2626"/>
  <c r="E2626"/>
  <c r="F2626"/>
  <c r="G2626"/>
  <c r="H2626"/>
  <c r="I2626"/>
  <c r="J2626"/>
  <c r="K2626"/>
  <c r="L2626"/>
  <c r="M2626"/>
  <c r="N2626"/>
  <c r="B2627"/>
  <c r="C2627"/>
  <c r="D2627"/>
  <c r="E2627"/>
  <c r="F2627"/>
  <c r="G2627"/>
  <c r="H2627"/>
  <c r="I2627"/>
  <c r="J2627"/>
  <c r="K2627"/>
  <c r="L2627"/>
  <c r="N2627"/>
  <c r="B2628"/>
  <c r="C2628"/>
  <c r="D2628"/>
  <c r="E2628"/>
  <c r="F2628"/>
  <c r="G2628"/>
  <c r="H2628"/>
  <c r="I2628"/>
  <c r="J2628"/>
  <c r="K2628"/>
  <c r="L2628"/>
  <c r="N2628"/>
  <c r="B2629"/>
  <c r="C2629"/>
  <c r="D2629"/>
  <c r="E2629"/>
  <c r="F2629"/>
  <c r="G2629"/>
  <c r="H2629"/>
  <c r="I2629"/>
  <c r="J2629"/>
  <c r="K2629"/>
  <c r="L2629"/>
  <c r="N2629"/>
  <c r="A2630"/>
  <c r="B2630"/>
  <c r="C2630"/>
  <c r="D2630"/>
  <c r="E2630"/>
  <c r="F2630"/>
  <c r="G2630"/>
  <c r="H2630"/>
  <c r="I2630"/>
  <c r="J2630"/>
  <c r="K2630"/>
  <c r="L2630"/>
  <c r="N2630"/>
  <c r="B2631"/>
  <c r="C2631"/>
  <c r="D2631"/>
  <c r="E2631"/>
  <c r="F2631"/>
  <c r="G2631"/>
  <c r="H2631"/>
  <c r="I2631"/>
  <c r="J2631"/>
  <c r="K2631"/>
  <c r="L2631"/>
  <c r="N2631"/>
  <c r="B2632"/>
  <c r="C2632"/>
  <c r="D2632"/>
  <c r="E2632"/>
  <c r="F2632"/>
  <c r="G2632"/>
  <c r="H2632"/>
  <c r="I2632"/>
  <c r="J2632"/>
  <c r="K2632"/>
  <c r="L2632"/>
  <c r="N2632"/>
  <c r="B2633"/>
  <c r="C2633"/>
  <c r="D2633"/>
  <c r="E2633"/>
  <c r="F2633"/>
  <c r="G2633"/>
  <c r="H2633"/>
  <c r="I2633"/>
  <c r="J2633"/>
  <c r="K2633"/>
  <c r="L2633"/>
  <c r="N2633"/>
  <c r="B2634"/>
  <c r="C2634"/>
  <c r="D2634"/>
  <c r="E2634"/>
  <c r="F2634"/>
  <c r="G2634"/>
  <c r="H2634"/>
  <c r="I2634"/>
  <c r="J2634"/>
  <c r="K2634"/>
  <c r="L2634"/>
  <c r="N2634"/>
  <c r="B2635"/>
  <c r="C2635"/>
  <c r="D2635"/>
  <c r="E2635"/>
  <c r="F2635"/>
  <c r="G2635"/>
  <c r="H2635"/>
  <c r="I2635"/>
  <c r="J2635"/>
  <c r="K2635"/>
  <c r="L2635"/>
  <c r="M2635"/>
  <c r="N2635"/>
  <c r="B2636"/>
  <c r="C2636"/>
  <c r="D2636"/>
  <c r="E2636"/>
  <c r="F2636"/>
  <c r="G2636"/>
  <c r="H2636"/>
  <c r="I2636"/>
  <c r="J2636"/>
  <c r="K2636"/>
  <c r="L2636"/>
  <c r="N2636"/>
  <c r="B2637"/>
  <c r="C2637"/>
  <c r="D2637"/>
  <c r="E2637"/>
  <c r="F2637"/>
  <c r="G2637"/>
  <c r="H2637"/>
  <c r="I2637"/>
  <c r="J2637"/>
  <c r="K2637"/>
  <c r="L2637"/>
  <c r="N2637"/>
  <c r="A2638"/>
  <c r="B2638"/>
  <c r="C2638"/>
  <c r="D2638"/>
  <c r="E2638"/>
  <c r="F2638"/>
  <c r="G2638"/>
  <c r="H2638"/>
  <c r="I2638"/>
  <c r="J2638"/>
  <c r="K2638"/>
  <c r="L2638"/>
  <c r="N2638"/>
  <c r="B2639"/>
  <c r="C2639"/>
  <c r="D2639"/>
  <c r="E2639"/>
  <c r="F2639"/>
  <c r="G2639"/>
  <c r="H2639"/>
  <c r="I2639"/>
  <c r="J2639"/>
  <c r="K2639"/>
  <c r="L2639"/>
  <c r="N2639"/>
  <c r="B2640"/>
  <c r="C2640"/>
  <c r="D2640"/>
  <c r="E2640"/>
  <c r="F2640"/>
  <c r="G2640"/>
  <c r="H2640"/>
  <c r="I2640"/>
  <c r="J2640"/>
  <c r="K2640"/>
  <c r="L2640"/>
  <c r="N2640"/>
  <c r="B2641"/>
  <c r="C2641"/>
  <c r="D2641"/>
  <c r="E2641"/>
  <c r="F2641"/>
  <c r="G2641"/>
  <c r="H2641"/>
  <c r="I2641"/>
  <c r="J2641"/>
  <c r="K2641"/>
  <c r="L2641"/>
  <c r="N2641"/>
  <c r="B2642"/>
  <c r="D2642"/>
  <c r="E2642"/>
  <c r="F2642"/>
  <c r="G2642"/>
  <c r="H2642"/>
  <c r="I2642"/>
  <c r="J2642"/>
  <c r="K2642"/>
  <c r="L2642"/>
  <c r="M2642"/>
  <c r="N2642"/>
  <c r="B2643"/>
  <c r="D2643"/>
  <c r="E2643"/>
  <c r="F2643"/>
  <c r="G2643"/>
  <c r="H2643"/>
  <c r="I2643"/>
  <c r="J2643"/>
  <c r="K2643"/>
  <c r="L2643"/>
  <c r="M2643"/>
  <c r="N2643"/>
  <c r="B2644"/>
  <c r="D2644"/>
  <c r="E2644"/>
  <c r="F2644"/>
  <c r="G2644"/>
  <c r="H2644"/>
  <c r="I2644"/>
  <c r="J2644"/>
  <c r="K2644"/>
  <c r="L2644"/>
  <c r="N2644"/>
  <c r="B2645"/>
  <c r="D2645"/>
  <c r="E2645"/>
  <c r="F2645"/>
  <c r="G2645"/>
  <c r="H2645"/>
  <c r="I2645"/>
  <c r="J2645"/>
  <c r="K2645"/>
  <c r="L2645"/>
  <c r="N2645"/>
  <c r="B2646"/>
  <c r="D2646"/>
  <c r="E2646"/>
  <c r="F2646"/>
  <c r="G2646"/>
  <c r="H2646"/>
  <c r="I2646"/>
  <c r="J2646"/>
  <c r="K2646"/>
  <c r="L2646"/>
  <c r="N2646"/>
  <c r="B2647"/>
  <c r="D2647"/>
  <c r="E2647"/>
  <c r="F2647"/>
  <c r="G2647"/>
  <c r="H2647"/>
  <c r="I2647"/>
  <c r="J2647"/>
  <c r="K2647"/>
  <c r="L2647"/>
  <c r="N2647"/>
  <c r="B2648"/>
  <c r="D2648"/>
  <c r="E2648"/>
  <c r="F2648"/>
  <c r="G2648"/>
  <c r="H2648"/>
  <c r="I2648"/>
  <c r="J2648"/>
  <c r="K2648"/>
  <c r="L2648"/>
  <c r="N2648"/>
  <c r="B2649"/>
  <c r="D2649"/>
  <c r="E2649"/>
  <c r="F2649"/>
  <c r="G2649"/>
  <c r="H2649"/>
  <c r="I2649"/>
  <c r="J2649"/>
  <c r="K2649"/>
  <c r="L2649"/>
  <c r="N2649"/>
  <c r="B2650"/>
  <c r="D2650"/>
  <c r="E2650"/>
  <c r="F2650"/>
  <c r="G2650"/>
  <c r="H2650"/>
  <c r="I2650"/>
  <c r="J2650"/>
  <c r="K2650"/>
  <c r="L2650"/>
  <c r="M2650"/>
  <c r="N2650"/>
  <c r="B2651"/>
  <c r="D2651"/>
  <c r="E2651"/>
  <c r="F2651"/>
  <c r="G2651"/>
  <c r="H2651"/>
  <c r="I2651"/>
  <c r="J2651"/>
  <c r="K2651"/>
  <c r="L2651"/>
  <c r="N2651"/>
  <c r="B2652"/>
  <c r="D2652"/>
  <c r="E2652"/>
  <c r="F2652"/>
  <c r="G2652"/>
  <c r="H2652"/>
  <c r="I2652"/>
  <c r="J2652"/>
  <c r="K2652"/>
  <c r="L2652"/>
  <c r="N2652"/>
  <c r="B2653"/>
  <c r="D2653"/>
  <c r="E2653"/>
  <c r="F2653"/>
  <c r="G2653"/>
  <c r="H2653"/>
  <c r="I2653"/>
  <c r="J2653"/>
  <c r="K2653"/>
  <c r="L2653"/>
  <c r="N2653"/>
  <c r="B2654"/>
  <c r="D2654"/>
  <c r="E2654"/>
  <c r="F2654"/>
  <c r="G2654"/>
  <c r="H2654"/>
  <c r="I2654"/>
  <c r="J2654"/>
  <c r="K2654"/>
  <c r="L2654"/>
  <c r="N2654"/>
  <c r="B2655"/>
  <c r="D2655"/>
  <c r="E2655"/>
  <c r="F2655"/>
  <c r="G2655"/>
  <c r="H2655"/>
  <c r="I2655"/>
  <c r="J2655"/>
  <c r="K2655"/>
  <c r="L2655"/>
  <c r="M2655"/>
  <c r="N2655"/>
  <c r="B2656"/>
  <c r="D2656"/>
  <c r="E2656"/>
  <c r="F2656"/>
  <c r="G2656"/>
  <c r="H2656"/>
  <c r="I2656"/>
  <c r="J2656"/>
  <c r="K2656"/>
  <c r="L2656"/>
  <c r="N2656"/>
  <c r="B2657"/>
  <c r="D2657"/>
  <c r="E2657"/>
  <c r="F2657"/>
  <c r="G2657"/>
  <c r="H2657"/>
  <c r="I2657"/>
  <c r="J2657"/>
  <c r="K2657"/>
  <c r="L2657"/>
  <c r="N2657"/>
  <c r="B2658"/>
  <c r="D2658"/>
  <c r="E2658"/>
  <c r="F2658"/>
  <c r="G2658"/>
  <c r="H2658"/>
  <c r="I2658"/>
  <c r="J2658"/>
  <c r="K2658"/>
  <c r="L2658"/>
  <c r="M2658"/>
  <c r="N2658"/>
  <c r="B2659"/>
  <c r="D2659"/>
  <c r="E2659"/>
  <c r="F2659"/>
  <c r="G2659"/>
  <c r="H2659"/>
  <c r="I2659"/>
  <c r="J2659"/>
  <c r="K2659"/>
  <c r="L2659"/>
  <c r="N2659"/>
  <c r="B2660"/>
  <c r="D2660"/>
  <c r="E2660"/>
  <c r="F2660"/>
  <c r="G2660"/>
  <c r="H2660"/>
  <c r="I2660"/>
  <c r="J2660"/>
  <c r="K2660"/>
  <c r="L2660"/>
  <c r="N2660"/>
  <c r="B2661"/>
  <c r="D2661"/>
  <c r="E2661"/>
  <c r="F2661"/>
  <c r="G2661"/>
  <c r="H2661"/>
  <c r="I2661"/>
  <c r="J2661"/>
  <c r="K2661"/>
  <c r="L2661"/>
  <c r="N2661"/>
  <c r="B2662"/>
  <c r="D2662"/>
  <c r="E2662"/>
  <c r="F2662"/>
  <c r="G2662"/>
  <c r="H2662"/>
  <c r="I2662"/>
  <c r="J2662"/>
  <c r="K2662"/>
  <c r="L2662"/>
  <c r="N2662"/>
  <c r="B2663"/>
  <c r="D2663"/>
  <c r="E2663"/>
  <c r="F2663"/>
  <c r="G2663"/>
  <c r="H2663"/>
  <c r="I2663"/>
  <c r="J2663"/>
  <c r="K2663"/>
  <c r="L2663"/>
  <c r="M2663"/>
  <c r="N2663"/>
  <c r="B2664"/>
  <c r="D2664"/>
  <c r="E2664"/>
  <c r="F2664"/>
  <c r="G2664"/>
  <c r="H2664"/>
  <c r="I2664"/>
  <c r="J2664"/>
  <c r="K2664"/>
  <c r="L2664"/>
  <c r="N2664"/>
  <c r="B2665"/>
  <c r="D2665"/>
  <c r="E2665"/>
  <c r="F2665"/>
  <c r="G2665"/>
  <c r="H2665"/>
  <c r="I2665"/>
  <c r="J2665"/>
  <c r="K2665"/>
  <c r="L2665"/>
  <c r="M2665"/>
  <c r="N2665"/>
  <c r="B2666"/>
  <c r="D2666"/>
  <c r="E2666"/>
  <c r="F2666"/>
  <c r="G2666"/>
  <c r="H2666"/>
  <c r="I2666"/>
  <c r="J2666"/>
  <c r="K2666"/>
  <c r="L2666"/>
  <c r="N2666"/>
  <c r="B2667"/>
  <c r="D2667"/>
  <c r="E2667"/>
  <c r="F2667"/>
  <c r="G2667"/>
  <c r="H2667"/>
  <c r="I2667"/>
  <c r="J2667"/>
  <c r="K2667"/>
  <c r="L2667"/>
  <c r="M2667"/>
  <c r="N2667"/>
  <c r="B2668"/>
  <c r="D2668"/>
  <c r="E2668"/>
  <c r="F2668"/>
  <c r="G2668"/>
  <c r="H2668"/>
  <c r="I2668"/>
  <c r="J2668"/>
  <c r="K2668"/>
  <c r="L2668"/>
  <c r="N2668"/>
  <c r="B2669"/>
  <c r="D2669"/>
  <c r="E2669"/>
  <c r="F2669"/>
  <c r="G2669"/>
  <c r="H2669"/>
  <c r="I2669"/>
  <c r="J2669"/>
  <c r="K2669"/>
  <c r="L2669"/>
  <c r="N2669"/>
  <c r="B2670"/>
  <c r="D2670"/>
  <c r="E2670"/>
  <c r="F2670"/>
  <c r="G2670"/>
  <c r="H2670"/>
  <c r="I2670"/>
  <c r="J2670"/>
  <c r="K2670"/>
  <c r="L2670"/>
  <c r="N2670"/>
  <c r="B2671"/>
  <c r="D2671"/>
  <c r="E2671"/>
  <c r="F2671"/>
  <c r="G2671"/>
  <c r="H2671"/>
  <c r="I2671"/>
  <c r="J2671"/>
  <c r="K2671"/>
  <c r="L2671"/>
  <c r="N2671"/>
  <c r="B2672"/>
  <c r="D2672"/>
  <c r="E2672"/>
  <c r="F2672"/>
  <c r="G2672"/>
  <c r="H2672"/>
  <c r="I2672"/>
  <c r="J2672"/>
  <c r="K2672"/>
  <c r="L2672"/>
  <c r="N2672"/>
  <c r="B2673"/>
  <c r="D2673"/>
  <c r="E2673"/>
  <c r="F2673"/>
  <c r="G2673"/>
  <c r="H2673"/>
  <c r="I2673"/>
  <c r="J2673"/>
  <c r="K2673"/>
  <c r="L2673"/>
  <c r="N2673"/>
  <c r="B2674"/>
  <c r="D2674"/>
  <c r="E2674"/>
  <c r="F2674"/>
  <c r="G2674"/>
  <c r="H2674"/>
  <c r="I2674"/>
  <c r="J2674"/>
  <c r="K2674"/>
  <c r="L2674"/>
  <c r="N2674"/>
  <c r="B2675"/>
  <c r="D2675"/>
  <c r="E2675"/>
  <c r="F2675"/>
  <c r="G2675"/>
  <c r="H2675"/>
  <c r="I2675"/>
  <c r="J2675"/>
  <c r="K2675"/>
  <c r="L2675"/>
  <c r="M2675"/>
  <c r="N2675"/>
  <c r="B2676"/>
  <c r="D2676"/>
  <c r="E2676"/>
  <c r="F2676"/>
  <c r="G2676"/>
  <c r="H2676"/>
  <c r="I2676"/>
  <c r="J2676"/>
  <c r="K2676"/>
  <c r="L2676"/>
  <c r="N2676"/>
  <c r="B2677"/>
  <c r="D2677"/>
  <c r="E2677"/>
  <c r="F2677"/>
  <c r="G2677"/>
  <c r="H2677"/>
  <c r="I2677"/>
  <c r="J2677"/>
  <c r="K2677"/>
  <c r="L2677"/>
  <c r="N2677"/>
  <c r="B2678"/>
  <c r="D2678"/>
  <c r="E2678"/>
  <c r="F2678"/>
  <c r="G2678"/>
  <c r="H2678"/>
  <c r="I2678"/>
  <c r="J2678"/>
  <c r="K2678"/>
  <c r="L2678"/>
  <c r="N2678"/>
  <c r="B2679"/>
  <c r="D2679"/>
  <c r="E2679"/>
  <c r="F2679"/>
  <c r="G2679"/>
  <c r="H2679"/>
  <c r="I2679"/>
  <c r="J2679"/>
  <c r="K2679"/>
  <c r="L2679"/>
  <c r="M2679"/>
  <c r="N2679"/>
  <c r="B2680"/>
  <c r="D2680"/>
  <c r="E2680"/>
  <c r="F2680"/>
  <c r="G2680"/>
  <c r="H2680"/>
  <c r="I2680"/>
  <c r="J2680"/>
  <c r="K2680"/>
  <c r="L2680"/>
  <c r="N2680"/>
  <c r="B2681"/>
  <c r="D2681"/>
  <c r="E2681"/>
  <c r="F2681"/>
  <c r="G2681"/>
  <c r="H2681"/>
  <c r="I2681"/>
  <c r="J2681"/>
  <c r="K2681"/>
  <c r="L2681"/>
  <c r="N2681"/>
  <c r="B2682"/>
  <c r="D2682"/>
  <c r="E2682"/>
  <c r="F2682"/>
  <c r="G2682"/>
  <c r="H2682"/>
  <c r="I2682"/>
  <c r="J2682"/>
  <c r="K2682"/>
  <c r="L2682"/>
  <c r="M2682"/>
  <c r="N2682"/>
  <c r="B2683"/>
  <c r="D2683"/>
  <c r="E2683"/>
  <c r="F2683"/>
  <c r="G2683"/>
  <c r="H2683"/>
  <c r="I2683"/>
  <c r="J2683"/>
  <c r="K2683"/>
  <c r="L2683"/>
  <c r="N2683"/>
  <c r="B2684"/>
  <c r="D2684"/>
  <c r="E2684"/>
  <c r="F2684"/>
  <c r="G2684"/>
  <c r="H2684"/>
  <c r="I2684"/>
  <c r="J2684"/>
  <c r="K2684"/>
  <c r="L2684"/>
  <c r="N2684"/>
  <c r="B2685"/>
  <c r="D2685"/>
  <c r="E2685"/>
  <c r="F2685"/>
  <c r="G2685"/>
  <c r="H2685"/>
  <c r="I2685"/>
  <c r="J2685"/>
  <c r="K2685"/>
  <c r="L2685"/>
  <c r="N2685"/>
  <c r="B2686"/>
  <c r="D2686"/>
  <c r="E2686"/>
  <c r="F2686"/>
  <c r="G2686"/>
  <c r="H2686"/>
  <c r="I2686"/>
  <c r="J2686"/>
  <c r="K2686"/>
  <c r="L2686"/>
  <c r="N2686"/>
  <c r="B2687"/>
  <c r="D2687"/>
  <c r="E2687"/>
  <c r="F2687"/>
  <c r="G2687"/>
  <c r="H2687"/>
  <c r="I2687"/>
  <c r="J2687"/>
  <c r="K2687"/>
  <c r="L2687"/>
  <c r="M2687"/>
  <c r="N2687"/>
  <c r="B2688"/>
  <c r="D2688"/>
  <c r="E2688"/>
  <c r="F2688"/>
  <c r="G2688"/>
  <c r="H2688"/>
  <c r="I2688"/>
  <c r="J2688"/>
  <c r="K2688"/>
  <c r="L2688"/>
  <c r="N2688"/>
  <c r="B2689"/>
  <c r="D2689"/>
  <c r="E2689"/>
  <c r="F2689"/>
  <c r="G2689"/>
  <c r="H2689"/>
  <c r="I2689"/>
  <c r="J2689"/>
  <c r="K2689"/>
  <c r="L2689"/>
  <c r="N2689"/>
  <c r="B2690"/>
  <c r="D2690"/>
  <c r="E2690"/>
  <c r="F2690"/>
  <c r="G2690"/>
  <c r="H2690"/>
  <c r="I2690"/>
  <c r="J2690"/>
  <c r="K2690"/>
  <c r="L2690"/>
  <c r="M2690"/>
  <c r="N2690"/>
  <c r="B2691"/>
  <c r="D2691"/>
  <c r="E2691"/>
  <c r="F2691"/>
  <c r="G2691"/>
  <c r="H2691"/>
  <c r="I2691"/>
  <c r="J2691"/>
  <c r="K2691"/>
  <c r="L2691"/>
  <c r="M2691"/>
  <c r="N2691"/>
  <c r="B2692"/>
  <c r="D2692"/>
  <c r="E2692"/>
  <c r="F2692"/>
  <c r="G2692"/>
  <c r="H2692"/>
  <c r="I2692"/>
  <c r="J2692"/>
  <c r="K2692"/>
  <c r="L2692"/>
  <c r="N2692"/>
  <c r="B2693"/>
  <c r="D2693"/>
  <c r="E2693"/>
  <c r="F2693"/>
  <c r="G2693"/>
  <c r="H2693"/>
  <c r="I2693"/>
  <c r="J2693"/>
  <c r="K2693"/>
  <c r="L2693"/>
  <c r="N2693"/>
  <c r="B2694"/>
  <c r="D2694"/>
  <c r="E2694"/>
  <c r="F2694"/>
  <c r="G2694"/>
  <c r="H2694"/>
  <c r="I2694"/>
  <c r="J2694"/>
  <c r="K2694"/>
  <c r="L2694"/>
  <c r="N2694"/>
  <c r="B2695"/>
  <c r="D2695"/>
  <c r="E2695"/>
  <c r="F2695"/>
  <c r="G2695"/>
  <c r="H2695"/>
  <c r="I2695"/>
  <c r="J2695"/>
  <c r="K2695"/>
  <c r="L2695"/>
  <c r="N2695"/>
  <c r="B2696"/>
  <c r="D2696"/>
  <c r="E2696"/>
  <c r="F2696"/>
  <c r="G2696"/>
  <c r="H2696"/>
  <c r="I2696"/>
  <c r="J2696"/>
  <c r="K2696"/>
  <c r="L2696"/>
  <c r="N2696"/>
  <c r="B2697"/>
  <c r="D2697"/>
  <c r="E2697"/>
  <c r="F2697"/>
  <c r="G2697"/>
  <c r="H2697"/>
  <c r="I2697"/>
  <c r="J2697"/>
  <c r="K2697"/>
  <c r="L2697"/>
  <c r="M2697"/>
  <c r="N2697"/>
  <c r="B2698"/>
  <c r="D2698"/>
  <c r="E2698"/>
  <c r="F2698"/>
  <c r="G2698"/>
  <c r="H2698"/>
  <c r="I2698"/>
  <c r="J2698"/>
  <c r="K2698"/>
  <c r="L2698"/>
  <c r="N2698"/>
  <c r="B2699"/>
  <c r="D2699"/>
  <c r="E2699"/>
  <c r="F2699"/>
  <c r="G2699"/>
  <c r="H2699"/>
  <c r="I2699"/>
  <c r="J2699"/>
  <c r="K2699"/>
  <c r="L2699"/>
  <c r="M2699"/>
  <c r="N2699"/>
  <c r="B2700"/>
  <c r="D2700"/>
  <c r="E2700"/>
  <c r="F2700"/>
  <c r="G2700"/>
  <c r="H2700"/>
  <c r="I2700"/>
  <c r="J2700"/>
  <c r="K2700"/>
  <c r="L2700"/>
  <c r="N2700"/>
  <c r="B2701"/>
  <c r="D2701"/>
  <c r="E2701"/>
  <c r="F2701"/>
  <c r="G2701"/>
  <c r="H2701"/>
  <c r="I2701"/>
  <c r="J2701"/>
  <c r="K2701"/>
  <c r="L2701"/>
  <c r="N2701"/>
  <c r="B2702"/>
  <c r="D2702"/>
  <c r="E2702"/>
  <c r="F2702"/>
  <c r="G2702"/>
  <c r="H2702"/>
  <c r="I2702"/>
  <c r="J2702"/>
  <c r="K2702"/>
  <c r="L2702"/>
  <c r="N2702"/>
  <c r="B2703"/>
  <c r="D2703"/>
  <c r="E2703"/>
  <c r="F2703"/>
  <c r="G2703"/>
  <c r="H2703"/>
  <c r="I2703"/>
  <c r="J2703"/>
  <c r="K2703"/>
  <c r="L2703"/>
  <c r="N2703"/>
  <c r="B2704"/>
  <c r="D2704"/>
  <c r="E2704"/>
  <c r="F2704"/>
  <c r="G2704"/>
  <c r="H2704"/>
  <c r="I2704"/>
  <c r="J2704"/>
  <c r="K2704"/>
  <c r="L2704"/>
  <c r="N2704"/>
  <c r="B2705"/>
  <c r="D2705"/>
  <c r="E2705"/>
  <c r="F2705"/>
  <c r="G2705"/>
  <c r="H2705"/>
  <c r="I2705"/>
  <c r="J2705"/>
  <c r="K2705"/>
  <c r="L2705"/>
  <c r="N2705"/>
  <c r="B2706"/>
  <c r="D2706"/>
  <c r="E2706"/>
  <c r="F2706"/>
  <c r="G2706"/>
  <c r="H2706"/>
  <c r="I2706"/>
  <c r="J2706"/>
  <c r="K2706"/>
  <c r="L2706"/>
  <c r="M2706"/>
  <c r="N2706"/>
  <c r="B2707"/>
  <c r="D2707"/>
  <c r="E2707"/>
  <c r="F2707"/>
  <c r="G2707"/>
  <c r="H2707"/>
  <c r="I2707"/>
  <c r="J2707"/>
  <c r="K2707"/>
  <c r="L2707"/>
  <c r="N2707"/>
  <c r="B2708"/>
  <c r="D2708"/>
  <c r="E2708"/>
  <c r="F2708"/>
  <c r="G2708"/>
  <c r="H2708"/>
  <c r="I2708"/>
  <c r="J2708"/>
  <c r="K2708"/>
  <c r="L2708"/>
  <c r="N2708"/>
  <c r="B2709"/>
  <c r="D2709"/>
  <c r="E2709"/>
  <c r="F2709"/>
  <c r="G2709"/>
  <c r="H2709"/>
  <c r="I2709"/>
  <c r="J2709"/>
  <c r="K2709"/>
  <c r="L2709"/>
  <c r="N2709"/>
  <c r="B2710"/>
  <c r="D2710"/>
  <c r="E2710"/>
  <c r="F2710"/>
  <c r="G2710"/>
  <c r="H2710"/>
  <c r="I2710"/>
  <c r="J2710"/>
  <c r="K2710"/>
  <c r="L2710"/>
  <c r="N2710"/>
  <c r="B2711"/>
  <c r="D2711"/>
  <c r="E2711"/>
  <c r="F2711"/>
  <c r="G2711"/>
  <c r="H2711"/>
  <c r="I2711"/>
  <c r="J2711"/>
  <c r="K2711"/>
  <c r="L2711"/>
  <c r="M2711"/>
  <c r="N2711"/>
  <c r="B2712"/>
  <c r="D2712"/>
  <c r="E2712"/>
  <c r="F2712"/>
  <c r="G2712"/>
  <c r="H2712"/>
  <c r="I2712"/>
  <c r="J2712"/>
  <c r="K2712"/>
  <c r="L2712"/>
  <c r="N2712"/>
  <c r="B2713"/>
  <c r="D2713"/>
  <c r="E2713"/>
  <c r="F2713"/>
  <c r="G2713"/>
  <c r="H2713"/>
  <c r="I2713"/>
  <c r="J2713"/>
  <c r="K2713"/>
  <c r="L2713"/>
  <c r="N2713"/>
  <c r="B2714"/>
  <c r="D2714"/>
  <c r="E2714"/>
  <c r="F2714"/>
  <c r="G2714"/>
  <c r="H2714"/>
  <c r="I2714"/>
  <c r="J2714"/>
  <c r="K2714"/>
  <c r="L2714"/>
  <c r="M2714"/>
  <c r="N2714"/>
  <c r="B2715"/>
  <c r="D2715"/>
  <c r="E2715"/>
  <c r="F2715"/>
  <c r="G2715"/>
  <c r="H2715"/>
  <c r="I2715"/>
  <c r="J2715"/>
  <c r="K2715"/>
  <c r="L2715"/>
  <c r="N2715"/>
  <c r="B2716"/>
  <c r="D2716"/>
  <c r="E2716"/>
  <c r="F2716"/>
  <c r="G2716"/>
  <c r="H2716"/>
  <c r="I2716"/>
  <c r="J2716"/>
  <c r="K2716"/>
  <c r="L2716"/>
  <c r="N2716"/>
  <c r="B2717"/>
  <c r="D2717"/>
  <c r="E2717"/>
  <c r="F2717"/>
  <c r="G2717"/>
  <c r="H2717"/>
  <c r="I2717"/>
  <c r="J2717"/>
  <c r="K2717"/>
  <c r="L2717"/>
  <c r="N2717"/>
  <c r="B2718"/>
  <c r="D2718"/>
  <c r="E2718"/>
  <c r="F2718"/>
  <c r="G2718"/>
  <c r="H2718"/>
  <c r="I2718"/>
  <c r="J2718"/>
  <c r="K2718"/>
  <c r="L2718"/>
  <c r="N2718"/>
  <c r="B2719"/>
  <c r="D2719"/>
  <c r="E2719"/>
  <c r="F2719"/>
  <c r="G2719"/>
  <c r="H2719"/>
  <c r="I2719"/>
  <c r="J2719"/>
  <c r="K2719"/>
  <c r="L2719"/>
  <c r="N2719"/>
  <c r="B2720"/>
  <c r="D2720"/>
  <c r="E2720"/>
  <c r="F2720"/>
  <c r="G2720"/>
  <c r="H2720"/>
  <c r="I2720"/>
  <c r="J2720"/>
  <c r="K2720"/>
  <c r="L2720"/>
  <c r="N2720"/>
  <c r="B2721"/>
  <c r="D2721"/>
  <c r="E2721"/>
  <c r="F2721"/>
  <c r="G2721"/>
  <c r="H2721"/>
  <c r="I2721"/>
  <c r="J2721"/>
  <c r="K2721"/>
  <c r="L2721"/>
  <c r="M2721"/>
  <c r="N2721"/>
  <c r="B2722"/>
  <c r="D2722"/>
  <c r="E2722"/>
  <c r="F2722"/>
  <c r="G2722"/>
  <c r="H2722"/>
  <c r="I2722"/>
  <c r="J2722"/>
  <c r="K2722"/>
  <c r="L2722"/>
  <c r="N2722"/>
  <c r="B2723"/>
  <c r="D2723"/>
  <c r="E2723"/>
  <c r="F2723"/>
  <c r="G2723"/>
  <c r="H2723"/>
  <c r="I2723"/>
  <c r="J2723"/>
  <c r="K2723"/>
  <c r="L2723"/>
  <c r="N2723"/>
  <c r="B2724"/>
  <c r="D2724"/>
  <c r="E2724"/>
  <c r="F2724"/>
  <c r="G2724"/>
  <c r="H2724"/>
  <c r="I2724"/>
  <c r="J2724"/>
  <c r="K2724"/>
  <c r="L2724"/>
  <c r="N2724"/>
  <c r="B2725"/>
  <c r="D2725"/>
  <c r="E2725"/>
  <c r="F2725"/>
  <c r="G2725"/>
  <c r="H2725"/>
  <c r="I2725"/>
  <c r="J2725"/>
  <c r="K2725"/>
  <c r="L2725"/>
  <c r="N2725"/>
  <c r="B2726"/>
  <c r="D2726"/>
  <c r="E2726"/>
  <c r="F2726"/>
  <c r="G2726"/>
  <c r="H2726"/>
  <c r="I2726"/>
  <c r="J2726"/>
  <c r="K2726"/>
  <c r="L2726"/>
  <c r="N2726"/>
  <c r="B2727"/>
  <c r="D2727"/>
  <c r="E2727"/>
  <c r="F2727"/>
  <c r="G2727"/>
  <c r="H2727"/>
  <c r="I2727"/>
  <c r="J2727"/>
  <c r="K2727"/>
  <c r="L2727"/>
  <c r="M2727"/>
  <c r="N2727"/>
  <c r="B2728"/>
  <c r="D2728"/>
  <c r="E2728"/>
  <c r="F2728"/>
  <c r="G2728"/>
  <c r="H2728"/>
  <c r="I2728"/>
  <c r="J2728"/>
  <c r="K2728"/>
  <c r="L2728"/>
  <c r="N2728"/>
  <c r="B2729"/>
  <c r="D2729"/>
  <c r="E2729"/>
  <c r="F2729"/>
  <c r="G2729"/>
  <c r="H2729"/>
  <c r="I2729"/>
  <c r="J2729"/>
  <c r="K2729"/>
  <c r="L2729"/>
  <c r="N2729"/>
  <c r="B2730"/>
  <c r="D2730"/>
  <c r="E2730"/>
  <c r="F2730"/>
  <c r="G2730"/>
  <c r="H2730"/>
  <c r="I2730"/>
  <c r="J2730"/>
  <c r="K2730"/>
  <c r="L2730"/>
  <c r="N2730"/>
  <c r="B2731"/>
  <c r="D2731"/>
  <c r="E2731"/>
  <c r="F2731"/>
  <c r="G2731"/>
  <c r="H2731"/>
  <c r="I2731"/>
  <c r="J2731"/>
  <c r="K2731"/>
  <c r="L2731"/>
  <c r="M2731"/>
  <c r="N2731"/>
  <c r="B2732"/>
  <c r="D2732"/>
  <c r="E2732"/>
  <c r="F2732"/>
  <c r="G2732"/>
  <c r="H2732"/>
  <c r="I2732"/>
  <c r="J2732"/>
  <c r="K2732"/>
  <c r="L2732"/>
  <c r="N2732"/>
  <c r="B2733"/>
  <c r="D2733"/>
  <c r="E2733"/>
  <c r="F2733"/>
  <c r="G2733"/>
  <c r="H2733"/>
  <c r="I2733"/>
  <c r="J2733"/>
  <c r="K2733"/>
  <c r="L2733"/>
  <c r="M2733"/>
  <c r="N2733"/>
  <c r="B2734"/>
  <c r="D2734"/>
  <c r="E2734"/>
  <c r="F2734"/>
  <c r="G2734"/>
  <c r="H2734"/>
  <c r="I2734"/>
  <c r="J2734"/>
  <c r="K2734"/>
  <c r="L2734"/>
  <c r="N2734"/>
  <c r="B2735"/>
  <c r="D2735"/>
  <c r="E2735"/>
  <c r="F2735"/>
  <c r="G2735"/>
  <c r="H2735"/>
  <c r="I2735"/>
  <c r="J2735"/>
  <c r="K2735"/>
  <c r="L2735"/>
  <c r="N2735"/>
  <c r="B2736"/>
  <c r="D2736"/>
  <c r="E2736"/>
  <c r="F2736"/>
  <c r="G2736"/>
  <c r="H2736"/>
  <c r="I2736"/>
  <c r="J2736"/>
  <c r="K2736"/>
  <c r="L2736"/>
  <c r="N2736"/>
  <c r="B2737"/>
  <c r="D2737"/>
  <c r="E2737"/>
  <c r="F2737"/>
  <c r="G2737"/>
  <c r="H2737"/>
  <c r="I2737"/>
  <c r="J2737"/>
  <c r="K2737"/>
  <c r="L2737"/>
  <c r="N2737"/>
  <c r="B2738"/>
  <c r="D2738"/>
  <c r="E2738"/>
  <c r="F2738"/>
  <c r="G2738"/>
  <c r="H2738"/>
  <c r="I2738"/>
  <c r="J2738"/>
  <c r="K2738"/>
  <c r="L2738"/>
  <c r="M2738"/>
  <c r="N2738"/>
  <c r="B2739"/>
  <c r="D2739"/>
  <c r="E2739"/>
  <c r="F2739"/>
  <c r="G2739"/>
  <c r="H2739"/>
  <c r="I2739"/>
  <c r="J2739"/>
  <c r="K2739"/>
  <c r="L2739"/>
  <c r="M2739"/>
  <c r="N2739"/>
  <c r="B2740"/>
  <c r="D2740"/>
  <c r="E2740"/>
  <c r="F2740"/>
  <c r="G2740"/>
  <c r="H2740"/>
  <c r="I2740"/>
  <c r="J2740"/>
  <c r="K2740"/>
  <c r="L2740"/>
  <c r="N2740"/>
  <c r="B2741"/>
  <c r="D2741"/>
  <c r="E2741"/>
  <c r="F2741"/>
  <c r="G2741"/>
  <c r="H2741"/>
  <c r="I2741"/>
  <c r="J2741"/>
  <c r="K2741"/>
  <c r="L2741"/>
  <c r="M2741"/>
  <c r="N2741"/>
  <c r="B2742"/>
  <c r="D2742"/>
  <c r="E2742"/>
  <c r="F2742"/>
  <c r="G2742"/>
  <c r="H2742"/>
  <c r="I2742"/>
  <c r="J2742"/>
  <c r="K2742"/>
  <c r="L2742"/>
  <c r="N2742"/>
  <c r="B2743"/>
  <c r="D2743"/>
  <c r="E2743"/>
  <c r="F2743"/>
  <c r="G2743"/>
  <c r="H2743"/>
  <c r="I2743"/>
  <c r="J2743"/>
  <c r="K2743"/>
  <c r="L2743"/>
  <c r="M2743"/>
  <c r="N2743"/>
  <c r="B2744"/>
  <c r="D2744"/>
  <c r="E2744"/>
  <c r="F2744"/>
  <c r="G2744"/>
  <c r="H2744"/>
  <c r="I2744"/>
  <c r="J2744"/>
  <c r="K2744"/>
  <c r="L2744"/>
  <c r="N2744"/>
  <c r="B2745"/>
  <c r="D2745"/>
  <c r="E2745"/>
  <c r="F2745"/>
  <c r="G2745"/>
  <c r="H2745"/>
  <c r="I2745"/>
  <c r="J2745"/>
  <c r="K2745"/>
  <c r="L2745"/>
  <c r="N2745"/>
  <c r="B2746"/>
  <c r="D2746"/>
  <c r="E2746"/>
  <c r="F2746"/>
  <c r="G2746"/>
  <c r="H2746"/>
  <c r="I2746"/>
  <c r="J2746"/>
  <c r="K2746"/>
  <c r="L2746"/>
  <c r="M2746"/>
  <c r="N2746"/>
  <c r="B2747"/>
  <c r="D2747"/>
  <c r="E2747"/>
  <c r="F2747"/>
  <c r="G2747"/>
  <c r="H2747"/>
  <c r="I2747"/>
  <c r="J2747"/>
  <c r="K2747"/>
  <c r="L2747"/>
  <c r="N2747"/>
  <c r="B2748"/>
  <c r="D2748"/>
  <c r="E2748"/>
  <c r="F2748"/>
  <c r="G2748"/>
  <c r="H2748"/>
  <c r="I2748"/>
  <c r="J2748"/>
  <c r="K2748"/>
  <c r="L2748"/>
  <c r="N2748"/>
  <c r="B2749"/>
  <c r="D2749"/>
  <c r="E2749"/>
  <c r="F2749"/>
  <c r="G2749"/>
  <c r="H2749"/>
  <c r="I2749"/>
  <c r="J2749"/>
  <c r="K2749"/>
  <c r="L2749"/>
  <c r="N2749"/>
  <c r="B2750"/>
  <c r="D2750"/>
  <c r="E2750"/>
  <c r="F2750"/>
  <c r="G2750"/>
  <c r="H2750"/>
  <c r="I2750"/>
  <c r="J2750"/>
  <c r="K2750"/>
  <c r="L2750"/>
  <c r="N2750"/>
  <c r="B2751"/>
  <c r="D2751"/>
  <c r="E2751"/>
  <c r="F2751"/>
  <c r="G2751"/>
  <c r="H2751"/>
  <c r="I2751"/>
  <c r="J2751"/>
  <c r="K2751"/>
  <c r="L2751"/>
  <c r="M2751"/>
  <c r="N2751"/>
  <c r="B2752"/>
  <c r="D2752"/>
  <c r="E2752"/>
  <c r="F2752"/>
  <c r="G2752"/>
  <c r="H2752"/>
  <c r="I2752"/>
  <c r="J2752"/>
  <c r="K2752"/>
  <c r="L2752"/>
  <c r="N2752"/>
  <c r="B2753"/>
  <c r="D2753"/>
  <c r="E2753"/>
  <c r="F2753"/>
  <c r="G2753"/>
  <c r="H2753"/>
  <c r="I2753"/>
  <c r="J2753"/>
  <c r="K2753"/>
  <c r="L2753"/>
  <c r="N2753"/>
  <c r="B2754"/>
  <c r="D2754"/>
  <c r="E2754"/>
  <c r="F2754"/>
  <c r="G2754"/>
  <c r="H2754"/>
  <c r="I2754"/>
  <c r="J2754"/>
  <c r="K2754"/>
  <c r="L2754"/>
  <c r="M2754"/>
  <c r="N2754"/>
  <c r="B2755"/>
  <c r="D2755"/>
  <c r="E2755"/>
  <c r="F2755"/>
  <c r="G2755"/>
  <c r="H2755"/>
  <c r="I2755"/>
  <c r="J2755"/>
  <c r="K2755"/>
  <c r="L2755"/>
  <c r="M2755"/>
  <c r="N2755"/>
  <c r="B2756"/>
  <c r="D2756"/>
  <c r="E2756"/>
  <c r="F2756"/>
  <c r="G2756"/>
  <c r="H2756"/>
  <c r="I2756"/>
  <c r="J2756"/>
  <c r="K2756"/>
  <c r="L2756"/>
  <c r="N2756"/>
  <c r="B2757"/>
  <c r="D2757"/>
  <c r="E2757"/>
  <c r="F2757"/>
  <c r="G2757"/>
  <c r="H2757"/>
  <c r="I2757"/>
  <c r="J2757"/>
  <c r="K2757"/>
  <c r="L2757"/>
  <c r="N2757"/>
  <c r="B2758"/>
  <c r="D2758"/>
  <c r="E2758"/>
  <c r="F2758"/>
  <c r="G2758"/>
  <c r="H2758"/>
  <c r="I2758"/>
  <c r="J2758"/>
  <c r="K2758"/>
  <c r="L2758"/>
  <c r="N2758"/>
  <c r="B2759"/>
  <c r="D2759"/>
  <c r="E2759"/>
  <c r="F2759"/>
  <c r="G2759"/>
  <c r="H2759"/>
  <c r="I2759"/>
  <c r="J2759"/>
  <c r="K2759"/>
  <c r="L2759"/>
  <c r="N2759"/>
  <c r="B2760"/>
  <c r="D2760"/>
  <c r="E2760"/>
  <c r="F2760"/>
  <c r="G2760"/>
  <c r="H2760"/>
  <c r="I2760"/>
  <c r="J2760"/>
  <c r="K2760"/>
  <c r="L2760"/>
  <c r="N2760"/>
  <c r="B2761"/>
  <c r="D2761"/>
  <c r="E2761"/>
  <c r="F2761"/>
  <c r="G2761"/>
  <c r="H2761"/>
  <c r="I2761"/>
  <c r="J2761"/>
  <c r="K2761"/>
  <c r="L2761"/>
  <c r="N2761"/>
  <c r="B2762"/>
  <c r="D2762"/>
  <c r="E2762"/>
  <c r="F2762"/>
  <c r="G2762"/>
  <c r="H2762"/>
  <c r="I2762"/>
  <c r="J2762"/>
  <c r="K2762"/>
  <c r="L2762"/>
  <c r="N2762"/>
  <c r="B2763"/>
  <c r="D2763"/>
  <c r="E2763"/>
  <c r="F2763"/>
  <c r="G2763"/>
  <c r="H2763"/>
  <c r="I2763"/>
  <c r="J2763"/>
  <c r="K2763"/>
  <c r="L2763"/>
  <c r="M2763"/>
  <c r="N2763"/>
  <c r="B2764"/>
  <c r="D2764"/>
  <c r="E2764"/>
  <c r="F2764"/>
  <c r="G2764"/>
  <c r="H2764"/>
  <c r="I2764"/>
  <c r="J2764"/>
  <c r="K2764"/>
  <c r="L2764"/>
  <c r="N2764"/>
  <c r="B2765"/>
  <c r="D2765"/>
  <c r="E2765"/>
  <c r="F2765"/>
  <c r="G2765"/>
  <c r="H2765"/>
  <c r="I2765"/>
  <c r="J2765"/>
  <c r="K2765"/>
  <c r="L2765"/>
  <c r="M2765"/>
  <c r="N2765"/>
  <c r="B2766"/>
  <c r="D2766"/>
  <c r="E2766"/>
  <c r="F2766"/>
  <c r="G2766"/>
  <c r="H2766"/>
  <c r="I2766"/>
  <c r="J2766"/>
  <c r="K2766"/>
  <c r="L2766"/>
  <c r="N2766"/>
  <c r="B2767"/>
  <c r="D2767"/>
  <c r="E2767"/>
  <c r="F2767"/>
  <c r="G2767"/>
  <c r="H2767"/>
  <c r="I2767"/>
  <c r="J2767"/>
  <c r="K2767"/>
  <c r="L2767"/>
  <c r="N2767"/>
  <c r="B2768"/>
  <c r="D2768"/>
  <c r="E2768"/>
  <c r="F2768"/>
  <c r="G2768"/>
  <c r="H2768"/>
  <c r="I2768"/>
  <c r="J2768"/>
  <c r="K2768"/>
  <c r="L2768"/>
  <c r="N2768"/>
  <c r="B2769"/>
  <c r="D2769"/>
  <c r="E2769"/>
  <c r="F2769"/>
  <c r="G2769"/>
  <c r="H2769"/>
  <c r="I2769"/>
  <c r="J2769"/>
  <c r="K2769"/>
  <c r="L2769"/>
  <c r="N2769"/>
  <c r="B2770"/>
  <c r="D2770"/>
  <c r="E2770"/>
  <c r="F2770"/>
  <c r="G2770"/>
  <c r="H2770"/>
  <c r="I2770"/>
  <c r="J2770"/>
  <c r="K2770"/>
  <c r="L2770"/>
  <c r="M2770"/>
  <c r="N2770"/>
  <c r="B2771"/>
  <c r="D2771"/>
  <c r="E2771"/>
  <c r="F2771"/>
  <c r="G2771"/>
  <c r="H2771"/>
  <c r="I2771"/>
  <c r="J2771"/>
  <c r="K2771"/>
  <c r="L2771"/>
  <c r="N2771"/>
  <c r="B2772"/>
  <c r="D2772"/>
  <c r="E2772"/>
  <c r="F2772"/>
  <c r="G2772"/>
  <c r="H2772"/>
  <c r="I2772"/>
  <c r="J2772"/>
  <c r="K2772"/>
  <c r="L2772"/>
  <c r="N2772"/>
  <c r="B2773"/>
  <c r="D2773"/>
  <c r="E2773"/>
  <c r="F2773"/>
  <c r="G2773"/>
  <c r="H2773"/>
  <c r="I2773"/>
  <c r="J2773"/>
  <c r="K2773"/>
  <c r="L2773"/>
  <c r="N2773"/>
  <c r="A2774"/>
  <c r="B2774"/>
  <c r="C2774"/>
  <c r="D2774"/>
  <c r="E2774"/>
  <c r="F2774"/>
  <c r="G2774"/>
  <c r="H2774"/>
  <c r="I2774"/>
  <c r="J2774"/>
  <c r="K2774"/>
  <c r="L2774"/>
  <c r="M2774"/>
  <c r="N2774"/>
  <c r="A2775"/>
  <c r="B2775"/>
  <c r="C2775"/>
  <c r="D2775"/>
  <c r="E2775"/>
  <c r="F2775"/>
  <c r="G2775"/>
  <c r="H2775"/>
  <c r="I2775"/>
  <c r="J2775"/>
  <c r="K2775"/>
  <c r="L2775"/>
  <c r="M2775"/>
  <c r="N2775"/>
  <c r="A2776"/>
  <c r="B2776"/>
  <c r="C2776"/>
  <c r="D2776"/>
  <c r="E2776"/>
  <c r="F2776"/>
  <c r="G2776"/>
  <c r="H2776"/>
  <c r="I2776"/>
  <c r="J2776"/>
  <c r="K2776"/>
  <c r="L2776"/>
  <c r="M2776"/>
  <c r="N2776"/>
  <c r="A2777"/>
  <c r="B2777"/>
  <c r="C2777"/>
  <c r="D2777"/>
  <c r="E2777"/>
  <c r="F2777"/>
  <c r="G2777"/>
  <c r="H2777"/>
  <c r="I2777"/>
  <c r="J2777"/>
  <c r="K2777"/>
  <c r="L2777"/>
  <c r="M2777"/>
  <c r="N2777"/>
  <c r="A2778"/>
  <c r="B2778"/>
  <c r="C2778"/>
  <c r="D2778"/>
  <c r="E2778"/>
  <c r="F2778"/>
  <c r="G2778"/>
  <c r="H2778"/>
  <c r="I2778"/>
  <c r="J2778"/>
  <c r="K2778"/>
  <c r="L2778"/>
  <c r="M2778"/>
  <c r="N2778"/>
  <c r="A2779"/>
  <c r="B2779"/>
  <c r="C2779"/>
  <c r="D2779"/>
  <c r="E2779"/>
  <c r="F2779"/>
  <c r="G2779"/>
  <c r="H2779"/>
  <c r="I2779"/>
  <c r="J2779"/>
  <c r="K2779"/>
  <c r="L2779"/>
  <c r="M2779"/>
  <c r="N2779"/>
  <c r="A2780"/>
  <c r="B2780"/>
  <c r="C2780"/>
  <c r="D2780"/>
  <c r="E2780"/>
  <c r="F2780"/>
  <c r="G2780"/>
  <c r="H2780"/>
  <c r="I2780"/>
  <c r="J2780"/>
  <c r="K2780"/>
  <c r="L2780"/>
  <c r="M2780"/>
  <c r="N2780"/>
  <c r="A2781"/>
  <c r="B2781"/>
  <c r="C2781"/>
  <c r="D2781"/>
  <c r="E2781"/>
  <c r="F2781"/>
  <c r="G2781"/>
  <c r="H2781"/>
  <c r="I2781"/>
  <c r="J2781"/>
  <c r="K2781"/>
  <c r="L2781"/>
  <c r="M2781"/>
  <c r="N2781"/>
  <c r="A2782"/>
  <c r="B2782"/>
  <c r="C2782"/>
  <c r="D2782"/>
  <c r="E2782"/>
  <c r="F2782"/>
  <c r="G2782"/>
  <c r="H2782"/>
  <c r="I2782"/>
  <c r="J2782"/>
  <c r="K2782"/>
  <c r="L2782"/>
  <c r="M2782"/>
  <c r="N2782"/>
  <c r="A2783"/>
  <c r="B2783"/>
  <c r="C2783"/>
  <c r="D2783"/>
  <c r="E2783"/>
  <c r="F2783"/>
  <c r="G2783"/>
  <c r="H2783"/>
  <c r="I2783"/>
  <c r="J2783"/>
  <c r="K2783"/>
  <c r="L2783"/>
  <c r="M2783"/>
  <c r="N2783"/>
  <c r="A2784"/>
  <c r="B2784"/>
  <c r="C2784"/>
  <c r="D2784"/>
  <c r="E2784"/>
  <c r="F2784"/>
  <c r="G2784"/>
  <c r="H2784"/>
  <c r="I2784"/>
  <c r="J2784"/>
  <c r="K2784"/>
  <c r="L2784"/>
  <c r="M2784"/>
  <c r="N2784"/>
  <c r="A2785"/>
  <c r="B2785"/>
  <c r="C2785"/>
  <c r="D2785"/>
  <c r="E2785"/>
  <c r="F2785"/>
  <c r="G2785"/>
  <c r="H2785"/>
  <c r="I2785"/>
  <c r="J2785"/>
  <c r="K2785"/>
  <c r="L2785"/>
  <c r="M2785"/>
  <c r="N2785"/>
  <c r="A2786"/>
  <c r="B2786"/>
  <c r="C2786"/>
  <c r="D2786"/>
  <c r="E2786"/>
  <c r="F2786"/>
  <c r="G2786"/>
  <c r="H2786"/>
  <c r="I2786"/>
  <c r="J2786"/>
  <c r="K2786"/>
  <c r="L2786"/>
  <c r="M2786"/>
  <c r="N2786"/>
  <c r="A2787"/>
  <c r="B2787"/>
  <c r="C2787"/>
  <c r="D2787"/>
  <c r="E2787"/>
  <c r="F2787"/>
  <c r="G2787"/>
  <c r="H2787"/>
  <c r="I2787"/>
  <c r="J2787"/>
  <c r="K2787"/>
  <c r="L2787"/>
  <c r="M2787"/>
  <c r="N2787"/>
  <c r="A2788"/>
  <c r="B2788"/>
  <c r="C2788"/>
  <c r="D2788"/>
  <c r="E2788"/>
  <c r="F2788"/>
  <c r="G2788"/>
  <c r="H2788"/>
  <c r="I2788"/>
  <c r="J2788"/>
  <c r="K2788"/>
  <c r="L2788"/>
  <c r="M2788"/>
  <c r="N2788"/>
  <c r="A2789"/>
  <c r="B2789"/>
  <c r="C2789"/>
  <c r="D2789"/>
  <c r="E2789"/>
  <c r="F2789"/>
  <c r="G2789"/>
  <c r="H2789"/>
  <c r="I2789"/>
  <c r="J2789"/>
  <c r="K2789"/>
  <c r="L2789"/>
  <c r="M2789"/>
  <c r="N2789"/>
  <c r="A2369" i="1"/>
  <c r="A2370"/>
  <c r="A2366" i="2" s="1"/>
  <c r="A2371" i="1"/>
  <c r="A2367" i="2" s="1"/>
  <c r="A2372" i="1"/>
  <c r="A2368" i="2" s="1"/>
  <c r="A2373" i="1"/>
  <c r="A2374"/>
  <c r="A2370" i="2" s="1"/>
  <c r="A2375" i="1"/>
  <c r="A2371" i="2" s="1"/>
  <c r="A2376" i="1"/>
  <c r="A2372" i="2" s="1"/>
  <c r="A2377" i="1"/>
  <c r="A2373" i="2" s="1"/>
  <c r="A2378" i="1"/>
  <c r="A2374" i="2" s="1"/>
  <c r="A2379" i="1"/>
  <c r="A2380"/>
  <c r="A2376" i="2" s="1"/>
  <c r="A2381" i="1"/>
  <c r="A2382"/>
  <c r="A2378" i="2" s="1"/>
  <c r="A2383" i="1"/>
  <c r="A2379" i="2" s="1"/>
  <c r="A2384" i="1"/>
  <c r="A2385"/>
  <c r="A2386"/>
  <c r="A2382" i="2" s="1"/>
  <c r="A2387" i="1"/>
  <c r="A2383" i="2" s="1"/>
  <c r="A2388" i="1"/>
  <c r="A2384" i="2" s="1"/>
  <c r="A2389" i="1"/>
  <c r="A2390"/>
  <c r="A2386" i="2" s="1"/>
  <c r="A2391" i="1"/>
  <c r="A2387" i="2" s="1"/>
  <c r="A2392" i="1"/>
  <c r="A2388" i="2" s="1"/>
  <c r="A2393" i="1"/>
  <c r="A2389" i="2" s="1"/>
  <c r="A2394" i="1"/>
  <c r="A2390" i="2" s="1"/>
  <c r="A2395" i="1"/>
  <c r="A2391" i="2" s="1"/>
  <c r="A2396" i="1"/>
  <c r="A2392" i="2" s="1"/>
  <c r="A2397" i="1"/>
  <c r="A2398"/>
  <c r="A2394" i="2" s="1"/>
  <c r="A2399" i="1"/>
  <c r="A2395" i="2" s="1"/>
  <c r="A2400" i="1"/>
  <c r="A2396" i="2" s="1"/>
  <c r="A2401" i="1"/>
  <c r="A2402"/>
  <c r="A2398" i="2" s="1"/>
  <c r="A2403" i="1"/>
  <c r="A2399" i="2" s="1"/>
  <c r="A2404" i="1"/>
  <c r="A2405"/>
  <c r="A2406"/>
  <c r="A2402" i="2" s="1"/>
  <c r="A2407" i="1"/>
  <c r="A2403" i="2" s="1"/>
  <c r="A2408" i="1"/>
  <c r="A2404" i="2" s="1"/>
  <c r="A2409" i="1"/>
  <c r="A2405" i="2" s="1"/>
  <c r="A2410" i="1"/>
  <c r="A2406" i="2" s="1"/>
  <c r="A2411" i="1"/>
  <c r="A2407" i="2" s="1"/>
  <c r="A2412" i="1"/>
  <c r="A2408" i="2" s="1"/>
  <c r="A2413" i="1"/>
  <c r="A2414"/>
  <c r="A2410" i="2" s="1"/>
  <c r="A2415" i="1"/>
  <c r="A2411" i="2" s="1"/>
  <c r="A2416" i="1"/>
  <c r="A2412" i="2" s="1"/>
  <c r="A2417" i="1"/>
  <c r="A2418"/>
  <c r="A2414" i="2" s="1"/>
  <c r="A2419" i="1"/>
  <c r="A2415" i="2" s="1"/>
  <c r="A2420" i="1"/>
  <c r="A2421"/>
  <c r="A2422"/>
  <c r="A2418" i="2" s="1"/>
  <c r="A2423" i="1"/>
  <c r="A2419" i="2" s="1"/>
  <c r="A2424" i="1"/>
  <c r="A2420" i="2" s="1"/>
  <c r="A2425" i="1"/>
  <c r="A2421" i="2" s="1"/>
  <c r="A2426" i="1"/>
  <c r="A2422" i="2" s="1"/>
  <c r="A2427" i="1"/>
  <c r="A2423" i="2" s="1"/>
  <c r="A2428" i="1"/>
  <c r="A2424" i="2" s="1"/>
  <c r="A2429" i="1"/>
  <c r="A2430"/>
  <c r="A2426" i="2" s="1"/>
  <c r="A2431" i="1"/>
  <c r="A2427" i="2" s="1"/>
  <c r="A2432" i="1"/>
  <c r="A2428" i="2" s="1"/>
  <c r="A2433" i="1"/>
  <c r="A2434"/>
  <c r="A2430" i="2" s="1"/>
  <c r="A2435" i="1"/>
  <c r="A2431" i="2" s="1"/>
  <c r="A2436" i="1"/>
  <c r="A2437"/>
  <c r="A2438"/>
  <c r="A2434" i="2" s="1"/>
  <c r="A2439" i="1"/>
  <c r="A2435" i="2" s="1"/>
  <c r="A2440" i="1"/>
  <c r="A2436" i="2" s="1"/>
  <c r="A2441" i="1"/>
  <c r="A2437" i="2" s="1"/>
  <c r="A2442" i="1"/>
  <c r="A2438" i="2" s="1"/>
  <c r="A2443" i="1"/>
  <c r="A2439" i="2" s="1"/>
  <c r="A2444" i="1"/>
  <c r="A2440" i="2" s="1"/>
  <c r="A2445" i="1"/>
  <c r="A2446"/>
  <c r="A2442" i="2" s="1"/>
  <c r="A2447" i="1"/>
  <c r="A2443" i="2" s="1"/>
  <c r="A2448" i="1"/>
  <c r="A2444" i="2" s="1"/>
  <c r="A2449" i="1"/>
  <c r="A2450"/>
  <c r="A2446" i="2" s="1"/>
  <c r="A2451" i="1"/>
  <c r="A2447" i="2" s="1"/>
  <c r="A2452" i="1"/>
  <c r="A2453"/>
  <c r="A2454"/>
  <c r="A2450" i="2" s="1"/>
  <c r="A2455" i="1"/>
  <c r="A2456"/>
  <c r="A2452" i="2" s="1"/>
  <c r="A2457" i="1"/>
  <c r="A2453" i="2" s="1"/>
  <c r="A2458" i="1"/>
  <c r="A2454" i="2" s="1"/>
  <c r="A2459" i="1"/>
  <c r="A2455" i="2" s="1"/>
  <c r="A2460" i="1"/>
  <c r="A2456" i="2" s="1"/>
  <c r="A2461" i="1"/>
  <c r="A2462"/>
  <c r="A2458" i="2" s="1"/>
  <c r="A2463" i="1"/>
  <c r="A2459" i="2" s="1"/>
  <c r="A2464" i="1"/>
  <c r="A2460" i="2" s="1"/>
  <c r="A2465" i="1"/>
  <c r="A2466"/>
  <c r="A2462" i="2" s="1"/>
  <c r="A2468" i="1"/>
  <c r="A2464" i="2" s="1"/>
  <c r="A2469" i="1"/>
  <c r="A2465" i="2" s="1"/>
  <c r="A2470" i="1"/>
  <c r="A2466" i="2" s="1"/>
  <c r="A2471" i="1"/>
  <c r="A2467" i="2" s="1"/>
  <c r="A2472" i="1"/>
  <c r="A2468" i="2" s="1"/>
  <c r="A2473" i="1"/>
  <c r="A2469" i="2" s="1"/>
  <c r="A2474" i="1"/>
  <c r="A2475"/>
  <c r="A2471" i="2" s="1"/>
  <c r="A2476" i="1"/>
  <c r="A2472" i="2" s="1"/>
  <c r="A2477" i="1"/>
  <c r="A2473" i="2" s="1"/>
  <c r="A2478" i="1"/>
  <c r="A2479"/>
  <c r="A2475" i="2" s="1"/>
  <c r="A2480" i="1"/>
  <c r="A2476" i="2" s="1"/>
  <c r="A2481" i="1"/>
  <c r="A2477" i="2" s="1"/>
  <c r="A2482" i="1"/>
  <c r="A2483"/>
  <c r="A2479" i="2" s="1"/>
  <c r="A2484" i="1"/>
  <c r="A2480" i="2" s="1"/>
  <c r="A2485" i="1"/>
  <c r="A2481" i="2" s="1"/>
  <c r="A2486" i="1"/>
  <c r="A2482" i="2" s="1"/>
  <c r="A2487" i="1"/>
  <c r="A2483" i="2" s="1"/>
  <c r="A2488" i="1"/>
  <c r="A2484" i="2" s="1"/>
  <c r="A2489" i="1"/>
  <c r="A2485" i="2" s="1"/>
  <c r="A2490" i="1"/>
  <c r="A2491"/>
  <c r="A2487" i="2" s="1"/>
  <c r="A2492" i="1"/>
  <c r="A2488" i="2" s="1"/>
  <c r="A2493" i="1"/>
  <c r="A2489" i="2" s="1"/>
  <c r="A2494" i="1"/>
  <c r="A2495"/>
  <c r="A2491" i="2" s="1"/>
  <c r="A2496" i="1"/>
  <c r="A2492" i="2" s="1"/>
  <c r="A2497" i="1"/>
  <c r="A2493" i="2" s="1"/>
  <c r="A2498" i="1"/>
  <c r="A2499"/>
  <c r="A2495" i="2" s="1"/>
  <c r="A2500" i="1"/>
  <c r="A2501"/>
  <c r="A2497" i="2" s="1"/>
  <c r="A2502" i="1"/>
  <c r="A2498" i="2" s="1"/>
  <c r="A2503" i="1"/>
  <c r="A2499" i="2" s="1"/>
  <c r="A2504" i="1"/>
  <c r="A2500" i="2" s="1"/>
  <c r="A2505" i="1"/>
  <c r="A2501" i="2" s="1"/>
  <c r="A2506" i="1"/>
  <c r="A2507"/>
  <c r="A2503" i="2" s="1"/>
  <c r="A2508" i="1"/>
  <c r="A2504" i="2" s="1"/>
  <c r="A2509" i="1"/>
  <c r="A2505" i="2" s="1"/>
  <c r="A2510" i="1"/>
  <c r="A2511"/>
  <c r="A2507" i="2" s="1"/>
  <c r="A2512" i="1"/>
  <c r="A2508" i="2" s="1"/>
  <c r="A2513" i="1"/>
  <c r="A2509" i="2" s="1"/>
  <c r="A2514" i="1"/>
  <c r="A2515"/>
  <c r="A2511" i="2" s="1"/>
  <c r="A2516" i="1"/>
  <c r="A2517"/>
  <c r="A2513" i="2" s="1"/>
  <c r="A2518" i="1"/>
  <c r="A2514" i="2" s="1"/>
  <c r="A2519" i="1"/>
  <c r="A2515" i="2" s="1"/>
  <c r="A2520" i="1"/>
  <c r="A2516" i="2" s="1"/>
  <c r="A2521" i="1"/>
  <c r="A2517" i="2" s="1"/>
  <c r="A2522" i="1"/>
  <c r="A2523"/>
  <c r="A2519" i="2" s="1"/>
  <c r="A2524" i="1"/>
  <c r="A2520" i="2" s="1"/>
  <c r="A2525" i="1"/>
  <c r="A2526"/>
  <c r="A2527"/>
  <c r="A2523" i="2" s="1"/>
  <c r="A2528" i="1"/>
  <c r="A2529"/>
  <c r="A2530"/>
  <c r="A2531"/>
  <c r="A2527" i="2" s="1"/>
  <c r="A2532" i="1"/>
  <c r="A2528" i="2" s="1"/>
  <c r="A2533" i="1"/>
  <c r="A2529" i="2" s="1"/>
  <c r="A2534" i="1"/>
  <c r="A2530" i="2" s="1"/>
  <c r="A2535" i="1"/>
  <c r="A2531" i="2" s="1"/>
  <c r="A2536" i="1"/>
  <c r="A2532" i="2" s="1"/>
  <c r="A2537" i="1"/>
  <c r="A2533" i="2" s="1"/>
  <c r="A2538" i="1"/>
  <c r="A2539"/>
  <c r="A2535" i="2" s="1"/>
  <c r="A2540" i="1"/>
  <c r="A2536" i="2" s="1"/>
  <c r="A2541" i="1"/>
  <c r="A2542"/>
  <c r="A2543"/>
  <c r="A2539" i="2" s="1"/>
  <c r="A2544" i="1"/>
  <c r="A2545"/>
  <c r="A2546"/>
  <c r="A2547"/>
  <c r="A2543" i="2" s="1"/>
  <c r="A2548" i="1"/>
  <c r="A2544" i="2" s="1"/>
  <c r="A2549" i="1"/>
  <c r="A2545" i="2" s="1"/>
  <c r="A2550" i="1"/>
  <c r="A2546" i="2" s="1"/>
  <c r="A2551" i="1"/>
  <c r="A2547" i="2" s="1"/>
  <c r="A2552" i="1"/>
  <c r="A2548" i="2" s="1"/>
  <c r="A2553" i="1"/>
  <c r="A2549" i="2" s="1"/>
  <c r="A2554" i="1"/>
  <c r="A2555"/>
  <c r="A2551" i="2" s="1"/>
  <c r="A2556" i="1"/>
  <c r="A2552" i="2" s="1"/>
  <c r="A2557" i="1"/>
  <c r="A2558"/>
  <c r="A2559"/>
  <c r="A2555" i="2" s="1"/>
  <c r="A2560" i="1"/>
  <c r="A2556" i="2" s="1"/>
  <c r="A2561" i="1"/>
  <c r="A2562"/>
  <c r="A2563"/>
  <c r="A2559" i="2" s="1"/>
  <c r="A2564" i="1"/>
  <c r="A2560" i="2" s="1"/>
  <c r="A2565" i="1"/>
  <c r="A2561" i="2" s="1"/>
  <c r="A2566" i="1"/>
  <c r="A2562" i="2" s="1"/>
  <c r="A2567" i="1"/>
  <c r="A2563" i="2" s="1"/>
  <c r="A2568" i="1"/>
  <c r="A2564" i="2" s="1"/>
  <c r="A2569" i="1"/>
  <c r="A2565" i="2" s="1"/>
  <c r="A2570" i="1"/>
  <c r="A2571"/>
  <c r="A2567" i="2" s="1"/>
  <c r="A2572" i="1"/>
  <c r="A2568" i="2" s="1"/>
  <c r="A2573" i="1"/>
  <c r="A2574"/>
  <c r="A2575"/>
  <c r="A2571" i="2" s="1"/>
  <c r="A2576" i="1"/>
  <c r="A2577"/>
  <c r="A2578"/>
  <c r="A2579"/>
  <c r="A2575" i="2" s="1"/>
  <c r="A2580" i="1"/>
  <c r="A2576" i="2" s="1"/>
  <c r="A2581" i="1"/>
  <c r="A2577" i="2" s="1"/>
  <c r="A2582" i="1"/>
  <c r="A2578" i="2" s="1"/>
  <c r="A2583" i="1"/>
  <c r="A2579" i="2" s="1"/>
  <c r="A2584" i="1"/>
  <c r="A2580" i="2" s="1"/>
  <c r="A2585" i="1"/>
  <c r="A2581" i="2" s="1"/>
  <c r="A2586" i="1"/>
  <c r="A2587"/>
  <c r="A2583" i="2" s="1"/>
  <c r="A2588" i="1"/>
  <c r="A2584" i="2" s="1"/>
  <c r="A2589" i="1"/>
  <c r="A2590"/>
  <c r="A2591"/>
  <c r="A2587" i="2" s="1"/>
  <c r="A2592" i="1"/>
  <c r="A2593"/>
  <c r="A2589" i="2" s="1"/>
  <c r="A2594" i="1"/>
  <c r="A2595"/>
  <c r="A2591" i="2" s="1"/>
  <c r="A2596" i="1"/>
  <c r="A2592" i="2" s="1"/>
  <c r="A2597" i="1"/>
  <c r="A2598"/>
  <c r="A2599"/>
  <c r="A2595" i="2" s="1"/>
  <c r="A2600" i="1"/>
  <c r="A2596" i="2" s="1"/>
  <c r="A2601" i="1"/>
  <c r="A2597" i="2" s="1"/>
  <c r="A2602" i="1"/>
  <c r="A2603"/>
  <c r="A2599" i="2" s="1"/>
  <c r="A2604" i="1"/>
  <c r="A2605"/>
  <c r="A2606"/>
  <c r="A2602" i="2" s="1"/>
  <c r="A2607" i="1"/>
  <c r="A2603" i="2" s="1"/>
  <c r="A2608" i="1"/>
  <c r="A2604" i="2" s="1"/>
  <c r="A2609" i="1"/>
  <c r="A2610"/>
  <c r="A2611"/>
  <c r="A2607" i="2" s="1"/>
  <c r="A2612" i="1"/>
  <c r="A2613"/>
  <c r="A2609" i="2" s="1"/>
  <c r="A2614" i="1"/>
  <c r="A2615"/>
  <c r="A2611" i="2" s="1"/>
  <c r="A2616" i="1"/>
  <c r="A2617"/>
  <c r="A2618"/>
  <c r="A2614" i="2" s="1"/>
  <c r="A2619" i="1"/>
  <c r="A2615" i="2" s="1"/>
  <c r="A2620" i="1"/>
  <c r="A2616" i="2" s="1"/>
  <c r="A2621" i="1"/>
  <c r="A2617" i="2" s="1"/>
  <c r="A2622" i="1"/>
  <c r="A2623"/>
  <c r="A2619" i="2" s="1"/>
  <c r="A2624" i="1"/>
  <c r="A2620" i="2" s="1"/>
  <c r="A2625" i="1"/>
  <c r="A2621" i="2" s="1"/>
  <c r="A2626" i="1"/>
  <c r="A2627"/>
  <c r="A2623" i="2" s="1"/>
  <c r="A2628" i="1"/>
  <c r="A2624" i="2" s="1"/>
  <c r="A2629" i="1"/>
  <c r="A2625" i="2" s="1"/>
  <c r="A2630" i="1"/>
  <c r="A2631"/>
  <c r="A2627" i="2" s="1"/>
  <c r="A2632" i="1"/>
  <c r="A2628" i="2" s="1"/>
  <c r="A2633" i="1"/>
  <c r="A2629" i="2" s="1"/>
  <c r="A2634" i="1"/>
  <c r="A2635"/>
  <c r="A2631" i="2" s="1"/>
  <c r="A2636" i="1"/>
  <c r="A2632" i="2" s="1"/>
  <c r="A2637" i="1"/>
  <c r="A2633" i="2" s="1"/>
  <c r="A2638" i="1"/>
  <c r="A2634" i="2" s="1"/>
  <c r="A2639" i="1"/>
  <c r="A2635" i="2" s="1"/>
  <c r="A2640" i="1"/>
  <c r="A2636" i="2" s="1"/>
  <c r="A2641" i="1"/>
  <c r="A2637" i="2" s="1"/>
  <c r="A2642" i="1"/>
  <c r="A2643"/>
  <c r="A2639" i="2" s="1"/>
  <c r="A2644" i="1"/>
  <c r="A2640" i="2" s="1"/>
  <c r="A2645" i="1"/>
  <c r="A2641" i="2" s="1"/>
  <c r="A2317" i="1"/>
  <c r="A2318"/>
  <c r="A2314" i="2" s="1"/>
  <c r="A2319" i="1"/>
  <c r="A2315" i="2" s="1"/>
  <c r="A2320" i="1"/>
  <c r="A2321"/>
  <c r="A2322"/>
  <c r="A2318" i="2" s="1"/>
  <c r="A2323" i="1"/>
  <c r="A2319" i="2" s="1"/>
  <c r="A2324" i="1"/>
  <c r="A2320" i="2" s="1"/>
  <c r="A2325" i="1"/>
  <c r="A2326"/>
  <c r="A2322" i="2" s="1"/>
  <c r="A2327" i="1"/>
  <c r="A2323" i="2" s="1"/>
  <c r="A2328" i="1"/>
  <c r="A2324" i="2" s="1"/>
  <c r="A2329" i="1"/>
  <c r="A2325" i="2" s="1"/>
  <c r="A2330" i="1"/>
  <c r="A2326" i="2" s="1"/>
  <c r="A2331" i="1"/>
  <c r="A2327" i="2" s="1"/>
  <c r="A2332" i="1"/>
  <c r="A2328" i="2" s="1"/>
  <c r="A2333" i="1"/>
  <c r="A2334"/>
  <c r="A2330" i="2" s="1"/>
  <c r="A2335" i="1"/>
  <c r="A2331" i="2" s="1"/>
  <c r="A2336" i="1"/>
  <c r="A2337"/>
  <c r="A2338"/>
  <c r="A2334" i="2" s="1"/>
  <c r="A2339" i="1"/>
  <c r="A2335" i="2" s="1"/>
  <c r="A2340" i="1"/>
  <c r="A2336" i="2" s="1"/>
  <c r="A2341" i="1"/>
  <c r="A2342"/>
  <c r="A2338" i="2" s="1"/>
  <c r="A2343" i="1"/>
  <c r="A2339" i="2" s="1"/>
  <c r="A2344" i="1"/>
  <c r="A2340" i="2" s="1"/>
  <c r="A2345" i="1"/>
  <c r="A2341" i="2" s="1"/>
  <c r="A2346" i="1"/>
  <c r="A2342" i="2" s="1"/>
  <c r="A2347" i="1"/>
  <c r="A2343" i="2" s="1"/>
  <c r="A2348" i="1"/>
  <c r="A2344" i="2" s="1"/>
  <c r="A2349" i="1"/>
  <c r="A2350"/>
  <c r="A2346" i="2" s="1"/>
  <c r="A2351" i="1"/>
  <c r="A2347" i="2" s="1"/>
  <c r="A2352" i="1"/>
  <c r="A2353"/>
  <c r="A2354"/>
  <c r="A2350" i="2" s="1"/>
  <c r="A2355" i="1"/>
  <c r="A2351" i="2" s="1"/>
  <c r="A2356" i="1"/>
  <c r="A2352" i="2" s="1"/>
  <c r="A2357" i="1"/>
  <c r="A2358"/>
  <c r="A2354" i="2" s="1"/>
  <c r="A2359" i="1"/>
  <c r="A2355" i="2" s="1"/>
  <c r="A2360" i="1"/>
  <c r="A2356" i="2" s="1"/>
  <c r="A2361" i="1"/>
  <c r="A2357" i="2" s="1"/>
  <c r="A2362" i="1"/>
  <c r="A2358" i="2" s="1"/>
  <c r="A2363" i="1"/>
  <c r="A2364"/>
  <c r="A2360" i="2" s="1"/>
  <c r="A2365" i="1"/>
  <c r="A2366"/>
  <c r="A2362" i="2" s="1"/>
  <c r="A2367" i="1"/>
  <c r="A2363" i="2" s="1"/>
  <c r="A2368" i="1"/>
  <c r="A2316"/>
  <c r="A2312" i="2" s="1"/>
  <c r="M871" l="1"/>
  <c r="M1791"/>
  <c r="Q2257" i="1"/>
  <c r="Q1803"/>
  <c r="M1337" i="2"/>
  <c r="M875"/>
  <c r="Q2664" i="1"/>
  <c r="M2660" i="2" s="1"/>
  <c r="M2198"/>
  <c r="Q1371" i="1"/>
  <c r="Q1833" s="1"/>
  <c r="Q2295" s="1"/>
  <c r="Q2757" s="1"/>
  <c r="M2753" i="2" s="1"/>
  <c r="M905"/>
  <c r="Q1295" i="1"/>
  <c r="Q1757" s="1"/>
  <c r="Q2219" s="1"/>
  <c r="Q2681" s="1"/>
  <c r="M2677" i="2" s="1"/>
  <c r="M829"/>
  <c r="Q1211" i="1"/>
  <c r="Q1673" s="1"/>
  <c r="Q2135" s="1"/>
  <c r="Q2597" s="1"/>
  <c r="M2593" i="2" s="1"/>
  <c r="M745"/>
  <c r="Q1199" i="1"/>
  <c r="Q1661" s="1"/>
  <c r="Q2123" s="1"/>
  <c r="Q2585" s="1"/>
  <c r="M2581" i="2" s="1"/>
  <c r="M733"/>
  <c r="Q1178" i="1"/>
  <c r="Q1640" s="1"/>
  <c r="Q2102" s="1"/>
  <c r="Q2564" s="1"/>
  <c r="M2560" i="2" s="1"/>
  <c r="M712"/>
  <c r="Q1170" i="1"/>
  <c r="Q1632" s="1"/>
  <c r="Q2094" s="1"/>
  <c r="Q2556" s="1"/>
  <c r="M2552" i="2" s="1"/>
  <c r="M704"/>
  <c r="Q1166" i="1"/>
  <c r="M700" i="2"/>
  <c r="Q1158" i="1"/>
  <c r="M692" i="2"/>
  <c r="Q1150" i="1"/>
  <c r="M684" i="2"/>
  <c r="Q1146" i="1"/>
  <c r="Q1608" s="1"/>
  <c r="Q2070" s="1"/>
  <c r="Q2532" s="1"/>
  <c r="M2528" i="2" s="1"/>
  <c r="M680"/>
  <c r="Q1596" i="1"/>
  <c r="M1130" i="2"/>
  <c r="Q1572" i="1"/>
  <c r="M1106" i="2"/>
  <c r="Q1102" i="1"/>
  <c r="M636" i="2"/>
  <c r="Q1094" i="1"/>
  <c r="M628" i="2"/>
  <c r="Q1086" i="1"/>
  <c r="M620" i="2"/>
  <c r="Q1078" i="1"/>
  <c r="M612" i="2"/>
  <c r="Q1074" i="1"/>
  <c r="Q1536" s="1"/>
  <c r="Q1998" s="1"/>
  <c r="Q2460" s="1"/>
  <c r="M2456" i="2" s="1"/>
  <c r="M608"/>
  <c r="M600"/>
  <c r="Q1066" i="1"/>
  <c r="Q1528" s="1"/>
  <c r="Q1990" s="1"/>
  <c r="Q2452" s="1"/>
  <c r="M2448" i="2" s="1"/>
  <c r="M592"/>
  <c r="Q1058" i="1"/>
  <c r="Q1520" s="1"/>
  <c r="Q1982" s="1"/>
  <c r="Q2444" s="1"/>
  <c r="M2440" i="2" s="1"/>
  <c r="Q1050" i="1"/>
  <c r="Q1512" s="1"/>
  <c r="Q1974" s="1"/>
  <c r="Q2436" s="1"/>
  <c r="M2432" i="2" s="1"/>
  <c r="M584"/>
  <c r="Q1046" i="1"/>
  <c r="M580" i="2"/>
  <c r="Q1026" i="1"/>
  <c r="Q1488" s="1"/>
  <c r="Q1950" s="1"/>
  <c r="Q2412" s="1"/>
  <c r="M2408" i="2" s="1"/>
  <c r="M560"/>
  <c r="Q1018" i="1"/>
  <c r="Q1480" s="1"/>
  <c r="Q1942" s="1"/>
  <c r="Q2404" s="1"/>
  <c r="M2400" i="2" s="1"/>
  <c r="M552"/>
  <c r="Q1014" i="1"/>
  <c r="M548" i="2"/>
  <c r="Q1006" i="1"/>
  <c r="M540" i="2"/>
  <c r="M536"/>
  <c r="Q1002" i="1"/>
  <c r="Q1464" s="1"/>
  <c r="Q1926" s="1"/>
  <c r="Q2388" s="1"/>
  <c r="M2384" i="2" s="1"/>
  <c r="M528"/>
  <c r="Q994" i="1"/>
  <c r="Q1456" s="1"/>
  <c r="Q1918" s="1"/>
  <c r="Q2380" s="1"/>
  <c r="M2376" i="2" s="1"/>
  <c r="Q990" i="1"/>
  <c r="M524" i="2"/>
  <c r="Q982" i="1"/>
  <c r="M516" i="2"/>
  <c r="Q974" i="1"/>
  <c r="M508" i="2"/>
  <c r="M488"/>
  <c r="Q954" i="1"/>
  <c r="Q1416" s="1"/>
  <c r="Q1878" s="1"/>
  <c r="Q2340" s="1"/>
  <c r="M2336" i="2" s="1"/>
  <c r="Q946" i="1"/>
  <c r="Q1408" s="1"/>
  <c r="Q1870" s="1"/>
  <c r="Q2332" s="1"/>
  <c r="M2328" i="2" s="1"/>
  <c r="M480"/>
  <c r="Q942" i="1"/>
  <c r="M476" i="2"/>
  <c r="Q934" i="1"/>
  <c r="M468" i="2"/>
  <c r="M1973"/>
  <c r="Q2439" i="1"/>
  <c r="M2435" i="2" s="1"/>
  <c r="M893"/>
  <c r="M777"/>
  <c r="M676"/>
  <c r="M576"/>
  <c r="M568"/>
  <c r="Q1122" i="1"/>
  <c r="Q1584" s="1"/>
  <c r="Q2046" s="1"/>
  <c r="Q2508" s="1"/>
  <c r="M2504" i="2" s="1"/>
  <c r="Q986" i="1"/>
  <c r="Q1448" s="1"/>
  <c r="Q1910" s="1"/>
  <c r="Q2372" s="1"/>
  <c r="M2368" i="2" s="1"/>
  <c r="Q2527" i="1"/>
  <c r="M2523" i="2" s="1"/>
  <c r="M2061"/>
  <c r="Q1391" i="1"/>
  <c r="Q1853" s="1"/>
  <c r="Q2315" s="1"/>
  <c r="Q2777" s="1"/>
  <c r="M2773" i="2" s="1"/>
  <c r="M925"/>
  <c r="Q1327" i="1"/>
  <c r="Q1789" s="1"/>
  <c r="Q2251" s="1"/>
  <c r="Q2713" s="1"/>
  <c r="M2709" i="2" s="1"/>
  <c r="M861"/>
  <c r="Q1307" i="1"/>
  <c r="Q1769" s="1"/>
  <c r="Q2231" s="1"/>
  <c r="Q2693" s="1"/>
  <c r="M2689" i="2" s="1"/>
  <c r="M841"/>
  <c r="Q1275" i="1"/>
  <c r="Q1737" s="1"/>
  <c r="Q2199" s="1"/>
  <c r="Q2661" s="1"/>
  <c r="M2657" i="2" s="1"/>
  <c r="M809"/>
  <c r="Q1263" i="1"/>
  <c r="Q1725" s="1"/>
  <c r="Q2187" s="1"/>
  <c r="Q2649" s="1"/>
  <c r="M2645" i="2" s="1"/>
  <c r="M797"/>
  <c r="Q1231" i="1"/>
  <c r="Q1693" s="1"/>
  <c r="Q2155" s="1"/>
  <c r="Q2617" s="1"/>
  <c r="M2613" i="2" s="1"/>
  <c r="M765"/>
  <c r="Q1174" i="1"/>
  <c r="M708" i="2"/>
  <c r="Q1154" i="1"/>
  <c r="Q1616" s="1"/>
  <c r="Q2078" s="1"/>
  <c r="Q2540" s="1"/>
  <c r="M2536" i="2" s="1"/>
  <c r="M688"/>
  <c r="Q1604" i="1"/>
  <c r="M1138" i="2"/>
  <c r="Q1138" i="1"/>
  <c r="Q1600" s="1"/>
  <c r="Q2062" s="1"/>
  <c r="Q2524" s="1"/>
  <c r="M2520" i="2" s="1"/>
  <c r="M672"/>
  <c r="M664"/>
  <c r="Q1130" i="1"/>
  <c r="Q1592" s="1"/>
  <c r="Q2054" s="1"/>
  <c r="Q2516" s="1"/>
  <c r="M2512" i="2" s="1"/>
  <c r="Q1126" i="1"/>
  <c r="M660" i="2"/>
  <c r="Q1118" i="1"/>
  <c r="M652" i="2"/>
  <c r="M648"/>
  <c r="Q1114" i="1"/>
  <c r="Q1576" s="1"/>
  <c r="Q2038" s="1"/>
  <c r="Q2500" s="1"/>
  <c r="M2496" i="2" s="1"/>
  <c r="Q1106" i="1"/>
  <c r="Q1568" s="1"/>
  <c r="Q2030" s="1"/>
  <c r="Q2492" s="1"/>
  <c r="M2488" i="2" s="1"/>
  <c r="M640"/>
  <c r="Q1090" i="1"/>
  <c r="Q1552" s="1"/>
  <c r="Q2014" s="1"/>
  <c r="Q2476" s="1"/>
  <c r="M2472" i="2" s="1"/>
  <c r="M624"/>
  <c r="Q1082" i="1"/>
  <c r="Q1544" s="1"/>
  <c r="Q2006" s="1"/>
  <c r="Q2468" s="1"/>
  <c r="M2464" i="2" s="1"/>
  <c r="M616"/>
  <c r="Q1070" i="1"/>
  <c r="M604" i="2"/>
  <c r="Q1062" i="1"/>
  <c r="M596" i="2"/>
  <c r="Q1054" i="1"/>
  <c r="M588" i="2"/>
  <c r="Q1038" i="1"/>
  <c r="M572" i="2"/>
  <c r="Q1030" i="1"/>
  <c r="M564" i="2"/>
  <c r="Q1022" i="1"/>
  <c r="M556" i="2"/>
  <c r="Q1010" i="1"/>
  <c r="Q1472" s="1"/>
  <c r="Q1934" s="1"/>
  <c r="Q2396" s="1"/>
  <c r="M2392" i="2" s="1"/>
  <c r="M544"/>
  <c r="Q1460" i="1"/>
  <c r="M994" i="2"/>
  <c r="Q978" i="1"/>
  <c r="Q1440" s="1"/>
  <c r="Q1902" s="1"/>
  <c r="Q2364" s="1"/>
  <c r="M2360" i="2" s="1"/>
  <c r="M512"/>
  <c r="M504"/>
  <c r="Q970" i="1"/>
  <c r="Q1432" s="1"/>
  <c r="Q1894" s="1"/>
  <c r="Q2356" s="1"/>
  <c r="M2352" i="2" s="1"/>
  <c r="Q966" i="1"/>
  <c r="M500" i="2"/>
  <c r="Q958" i="1"/>
  <c r="M492" i="2"/>
  <c r="Q950" i="1"/>
  <c r="M484" i="2"/>
  <c r="M2117"/>
  <c r="Q2583" i="1"/>
  <c r="M2579" i="2" s="1"/>
  <c r="M2245"/>
  <c r="M873"/>
  <c r="M668"/>
  <c r="M532"/>
  <c r="Q1098" i="1"/>
  <c r="Q1560" s="1"/>
  <c r="Q2022" s="1"/>
  <c r="Q2484" s="1"/>
  <c r="M2480" i="2" s="1"/>
  <c r="Q962" i="1"/>
  <c r="Q1424" s="1"/>
  <c r="Q1886" s="1"/>
  <c r="Q2348" s="1"/>
  <c r="M2344" i="2" s="1"/>
  <c r="Q1179" i="1"/>
  <c r="Q1641" s="1"/>
  <c r="Q2103" s="1"/>
  <c r="Q2565" s="1"/>
  <c r="M2561" i="2" s="1"/>
  <c r="M713"/>
  <c r="Q1135" i="1"/>
  <c r="Q1597" s="1"/>
  <c r="Q2059" s="1"/>
  <c r="Q2521" s="1"/>
  <c r="M2517" i="2" s="1"/>
  <c r="M669"/>
  <c r="Q1115" i="1"/>
  <c r="Q1577" s="1"/>
  <c r="Q2039" s="1"/>
  <c r="Q2501" s="1"/>
  <c r="M2497" i="2" s="1"/>
  <c r="M649"/>
  <c r="Q1083" i="1"/>
  <c r="Q1545" s="1"/>
  <c r="Q2007" s="1"/>
  <c r="Q2469" s="1"/>
  <c r="M2465" i="2" s="1"/>
  <c r="M617"/>
  <c r="Q1071" i="1"/>
  <c r="Q1533" s="1"/>
  <c r="Q1995" s="1"/>
  <c r="Q2457" s="1"/>
  <c r="M2453" i="2" s="1"/>
  <c r="M605"/>
  <c r="Q1051" i="1"/>
  <c r="Q1513" s="1"/>
  <c r="Q1975" s="1"/>
  <c r="Q2437" s="1"/>
  <c r="M2433" i="2" s="1"/>
  <c r="M585"/>
  <c r="Q1007" i="1"/>
  <c r="Q1469" s="1"/>
  <c r="Q1931" s="1"/>
  <c r="Q2393" s="1"/>
  <c r="M2389" i="2" s="1"/>
  <c r="M541"/>
  <c r="Q943" i="1"/>
  <c r="Q1405" s="1"/>
  <c r="Q1867" s="1"/>
  <c r="Q2329" s="1"/>
  <c r="M2325" i="2" s="1"/>
  <c r="M477"/>
  <c r="Q2728" i="1"/>
  <c r="M2724" i="2" s="1"/>
  <c r="M2262"/>
  <c r="Q2600" i="1"/>
  <c r="M2596" i="2" s="1"/>
  <c r="M2134"/>
  <c r="Q930" i="1"/>
  <c r="Q1392" s="1"/>
  <c r="Q1854" s="1"/>
  <c r="Q2316" s="1"/>
  <c r="M2312" i="2" s="1"/>
  <c r="Q2383" i="1"/>
  <c r="M2379" i="2" s="1"/>
  <c r="M2037"/>
  <c r="M1997"/>
  <c r="M1214"/>
  <c r="M637"/>
  <c r="M1844"/>
  <c r="Q2310" i="1"/>
  <c r="M2306" i="2" s="1"/>
  <c r="M1780"/>
  <c r="Q2246" i="1"/>
  <c r="Q2708" s="1"/>
  <c r="M2704" i="2" s="1"/>
  <c r="Q1423" i="1"/>
  <c r="Q1885" s="1"/>
  <c r="Q2347" s="1"/>
  <c r="M2343" i="2" s="1"/>
  <c r="M957"/>
  <c r="Q2551" i="1"/>
  <c r="M2547" i="2" s="1"/>
  <c r="M2085"/>
  <c r="M1869"/>
  <c r="Q2335" i="1"/>
  <c r="M2331" i="2" s="1"/>
  <c r="Q1181" i="1"/>
  <c r="M2286" i="2"/>
  <c r="Q2752" i="1"/>
  <c r="M2748" i="2" s="1"/>
  <c r="M2270"/>
  <c r="Q2736" i="1"/>
  <c r="M2732" i="2" s="1"/>
  <c r="M2210"/>
  <c r="Q2676" i="1"/>
  <c r="M2672" i="2" s="1"/>
  <c r="M2206"/>
  <c r="Q2672" i="1"/>
  <c r="M2668" i="2" s="1"/>
  <c r="M2190"/>
  <c r="Q2656" i="1"/>
  <c r="M2652" i="2" s="1"/>
  <c r="M2174"/>
  <c r="Q2640" i="1"/>
  <c r="M2636" i="2" s="1"/>
  <c r="M2142"/>
  <c r="Q2608" i="1"/>
  <c r="M2604" i="2" s="1"/>
  <c r="M2110"/>
  <c r="Q2576" i="1"/>
  <c r="M2572" i="2" s="1"/>
  <c r="M2310"/>
  <c r="M2246"/>
  <c r="M2182"/>
  <c r="M2118"/>
  <c r="M2294"/>
  <c r="M2230"/>
  <c r="M2166"/>
  <c r="M2102"/>
  <c r="M2242"/>
  <c r="M2302"/>
  <c r="Q2768" i="1"/>
  <c r="M2764" i="2" s="1"/>
  <c r="M2254"/>
  <c r="Q2720" i="1"/>
  <c r="M2716" i="2" s="1"/>
  <c r="M2238"/>
  <c r="Q2704" i="1"/>
  <c r="M2700" i="2" s="1"/>
  <c r="M2222"/>
  <c r="Q2688" i="1"/>
  <c r="M2684" i="2" s="1"/>
  <c r="Q2644" i="1"/>
  <c r="M2640" i="2" s="1"/>
  <c r="M2178"/>
  <c r="M2158"/>
  <c r="Q2624" i="1"/>
  <c r="M2620" i="2" s="1"/>
  <c r="M2126"/>
  <c r="Q2592" i="1"/>
  <c r="M2588" i="2" s="1"/>
  <c r="M2278"/>
  <c r="M2214"/>
  <c r="M2150"/>
  <c r="M2274"/>
  <c r="Q1387" i="1"/>
  <c r="Q1849" s="1"/>
  <c r="Q2311" s="1"/>
  <c r="Q2773" s="1"/>
  <c r="M2769" i="2" s="1"/>
  <c r="M921"/>
  <c r="M909"/>
  <c r="Q1375" i="1"/>
  <c r="Q1837" s="1"/>
  <c r="Q2299" s="1"/>
  <c r="Q2761" s="1"/>
  <c r="M2757" i="2" s="1"/>
  <c r="Q1355" i="1"/>
  <c r="Q1817" s="1"/>
  <c r="Q2279" s="1"/>
  <c r="Q2741" s="1"/>
  <c r="M2737" i="2" s="1"/>
  <c r="M889"/>
  <c r="M877"/>
  <c r="Q1343" i="1"/>
  <c r="Q1805" s="1"/>
  <c r="Q2267" s="1"/>
  <c r="Q2729" s="1"/>
  <c r="M2725" i="2" s="1"/>
  <c r="Q1323" i="1"/>
  <c r="Q1785" s="1"/>
  <c r="Q2247" s="1"/>
  <c r="Q2709" s="1"/>
  <c r="M2705" i="2" s="1"/>
  <c r="M857"/>
  <c r="M845"/>
  <c r="Q1311" i="1"/>
  <c r="Q1773" s="1"/>
  <c r="Q2235" s="1"/>
  <c r="Q2697" s="1"/>
  <c r="M2693" i="2" s="1"/>
  <c r="Q1291" i="1"/>
  <c r="Q1753" s="1"/>
  <c r="Q2215" s="1"/>
  <c r="Q2677" s="1"/>
  <c r="M2673" i="2" s="1"/>
  <c r="M825"/>
  <c r="M813"/>
  <c r="Q1279" i="1"/>
  <c r="Q1741" s="1"/>
  <c r="Q2203" s="1"/>
  <c r="Q2665" s="1"/>
  <c r="M2661" i="2" s="1"/>
  <c r="Q1259" i="1"/>
  <c r="Q1721" s="1"/>
  <c r="Q2183" s="1"/>
  <c r="Q2645" s="1"/>
  <c r="M2641" i="2" s="1"/>
  <c r="M793"/>
  <c r="M781"/>
  <c r="Q1247" i="1"/>
  <c r="Q1709" s="1"/>
  <c r="Q2171" s="1"/>
  <c r="Q2633" s="1"/>
  <c r="M2629" i="2" s="1"/>
  <c r="Q1227" i="1"/>
  <c r="Q1689" s="1"/>
  <c r="Q2151" s="1"/>
  <c r="Q2613" s="1"/>
  <c r="M2609" i="2" s="1"/>
  <c r="M761"/>
  <c r="M749"/>
  <c r="Q1215" i="1"/>
  <c r="Q1677" s="1"/>
  <c r="Q2139" s="1"/>
  <c r="Q2601" s="1"/>
  <c r="M2597" i="2" s="1"/>
  <c r="Q1195" i="1"/>
  <c r="Q1657" s="1"/>
  <c r="Q2119" s="1"/>
  <c r="Q2581" s="1"/>
  <c r="M2577" i="2" s="1"/>
  <c r="M729"/>
  <c r="M717"/>
  <c r="Q1183" i="1"/>
  <c r="Q1645" s="1"/>
  <c r="Q2107" s="1"/>
  <c r="Q2569" s="1"/>
  <c r="M2565" i="2" s="1"/>
  <c r="Q1163" i="1"/>
  <c r="Q1625" s="1"/>
  <c r="Q2087" s="1"/>
  <c r="Q2549" s="1"/>
  <c r="M2545" i="2" s="1"/>
  <c r="M697"/>
  <c r="M685"/>
  <c r="Q1151" i="1"/>
  <c r="Q1613" s="1"/>
  <c r="Q2075" s="1"/>
  <c r="Q2537" s="1"/>
  <c r="M2533" i="2" s="1"/>
  <c r="Q1131" i="1"/>
  <c r="Q1593" s="1"/>
  <c r="Q2055" s="1"/>
  <c r="Q2517" s="1"/>
  <c r="M2513" i="2" s="1"/>
  <c r="M665"/>
  <c r="M653"/>
  <c r="Q1119" i="1"/>
  <c r="Q1581" s="1"/>
  <c r="Q2043" s="1"/>
  <c r="Q2505" s="1"/>
  <c r="M2501" i="2" s="1"/>
  <c r="Q1099" i="1"/>
  <c r="Q1561" s="1"/>
  <c r="Q2023" s="1"/>
  <c r="Q2485" s="1"/>
  <c r="M2481" i="2" s="1"/>
  <c r="M633"/>
  <c r="M621"/>
  <c r="Q1087" i="1"/>
  <c r="Q1549" s="1"/>
  <c r="Q2011" s="1"/>
  <c r="Q2473" s="1"/>
  <c r="M2469" i="2" s="1"/>
  <c r="Q1067" i="1"/>
  <c r="Q1529" s="1"/>
  <c r="Q1991" s="1"/>
  <c r="Q2453" s="1"/>
  <c r="M2449" i="2" s="1"/>
  <c r="M601"/>
  <c r="M589"/>
  <c r="Q1055" i="1"/>
  <c r="Q1517" s="1"/>
  <c r="Q1979" s="1"/>
  <c r="Q2441" s="1"/>
  <c r="M2437" i="2" s="1"/>
  <c r="Q1035" i="1"/>
  <c r="Q1497" s="1"/>
  <c r="Q1959" s="1"/>
  <c r="Q2421" s="1"/>
  <c r="M2417" i="2" s="1"/>
  <c r="M569"/>
  <c r="M557"/>
  <c r="Q1023" i="1"/>
  <c r="Q1485" s="1"/>
  <c r="Q1947" s="1"/>
  <c r="Q2409" s="1"/>
  <c r="M2405" i="2" s="1"/>
  <c r="Q1003" i="1"/>
  <c r="Q1465" s="1"/>
  <c r="Q1927" s="1"/>
  <c r="Q2389" s="1"/>
  <c r="M2385" i="2" s="1"/>
  <c r="M537"/>
  <c r="M525"/>
  <c r="Q991" i="1"/>
  <c r="Q971"/>
  <c r="M505" i="2"/>
  <c r="M493"/>
  <c r="Q959" i="1"/>
  <c r="Q939"/>
  <c r="M473" i="2"/>
  <c r="M1246"/>
  <c r="M1377"/>
  <c r="M1374"/>
  <c r="M1305"/>
  <c r="M1289"/>
  <c r="M1273"/>
  <c r="M1257"/>
  <c r="M1201"/>
  <c r="M1185"/>
  <c r="M1169"/>
  <c r="M1153"/>
  <c r="M1137"/>
  <c r="M1121"/>
  <c r="M1105"/>
  <c r="M1089"/>
  <c r="M1086"/>
  <c r="M977"/>
  <c r="Q1451" i="1"/>
  <c r="M985" i="2"/>
  <c r="Q1435" i="1"/>
  <c r="M969" i="2"/>
  <c r="Q1427" i="1"/>
  <c r="M961" i="2"/>
  <c r="Q1419" i="1"/>
  <c r="M953" i="2"/>
  <c r="Q1403" i="1"/>
  <c r="M937" i="2"/>
  <c r="Q1395" i="1"/>
  <c r="M929" i="2"/>
  <c r="Q1444" i="1"/>
  <c r="M978" i="2"/>
  <c r="Q1412" i="1"/>
  <c r="M946" i="2"/>
  <c r="M1361"/>
  <c r="M1345"/>
  <c r="M1329"/>
  <c r="M1313"/>
  <c r="M1310"/>
  <c r="M1241"/>
  <c r="M1225"/>
  <c r="M1073"/>
  <c r="M1057"/>
  <c r="M1041"/>
  <c r="M1025"/>
  <c r="M1009"/>
  <c r="M993"/>
  <c r="M2298"/>
  <c r="M1836"/>
  <c r="M1366"/>
  <c r="M1358"/>
  <c r="M2266"/>
  <c r="M1804"/>
  <c r="M1326"/>
  <c r="M2234"/>
  <c r="M1772"/>
  <c r="M1270"/>
  <c r="M1262"/>
  <c r="M2170"/>
  <c r="M1708"/>
  <c r="M1230"/>
  <c r="M1222"/>
  <c r="M1206"/>
  <c r="M1198"/>
  <c r="M1190"/>
  <c r="M1174"/>
  <c r="M2074"/>
  <c r="M1612"/>
  <c r="M1134"/>
  <c r="M1126"/>
  <c r="M1094"/>
  <c r="M1978"/>
  <c r="M1516"/>
  <c r="M1038"/>
  <c r="M1030"/>
  <c r="M1014"/>
  <c r="M1006"/>
  <c r="M990"/>
  <c r="M974"/>
  <c r="M958"/>
  <c r="M934"/>
  <c r="M922"/>
  <c r="M914"/>
  <c r="M906"/>
  <c r="M898"/>
  <c r="M890"/>
  <c r="M882"/>
  <c r="M870"/>
  <c r="M862"/>
  <c r="M854"/>
  <c r="M842"/>
  <c r="M834"/>
  <c r="M822"/>
  <c r="M814"/>
  <c r="M806"/>
  <c r="M798"/>
  <c r="M786"/>
  <c r="M778"/>
  <c r="M770"/>
  <c r="M758"/>
  <c r="M750"/>
  <c r="M738"/>
  <c r="M730"/>
  <c r="M718"/>
  <c r="M710"/>
  <c r="M698"/>
  <c r="M686"/>
  <c r="M678"/>
  <c r="M666"/>
  <c r="M658"/>
  <c r="M650"/>
  <c r="M638"/>
  <c r="M630"/>
  <c r="M622"/>
  <c r="M610"/>
  <c r="M602"/>
  <c r="M590"/>
  <c r="M578"/>
  <c r="M570"/>
  <c r="M562"/>
  <c r="M554"/>
  <c r="M542"/>
  <c r="M534"/>
  <c r="M522"/>
  <c r="M514"/>
  <c r="M506"/>
  <c r="M498"/>
  <c r="M490"/>
  <c r="M482"/>
  <c r="M470"/>
  <c r="M1350"/>
  <c r="M1182"/>
  <c r="M1054"/>
  <c r="M1382"/>
  <c r="M1318"/>
  <c r="M1254"/>
  <c r="M1118"/>
  <c r="M1334"/>
  <c r="M1302"/>
  <c r="M1294"/>
  <c r="M2202"/>
  <c r="M1740"/>
  <c r="M1238"/>
  <c r="M2138"/>
  <c r="M1676"/>
  <c r="M2106"/>
  <c r="M1644"/>
  <c r="M1166"/>
  <c r="M1158"/>
  <c r="M1580"/>
  <c r="M1102"/>
  <c r="M2010"/>
  <c r="M1548"/>
  <c r="M1070"/>
  <c r="M1062"/>
  <c r="M1946"/>
  <c r="M998"/>
  <c r="M982"/>
  <c r="M966"/>
  <c r="M950"/>
  <c r="M918"/>
  <c r="M910"/>
  <c r="M902"/>
  <c r="M894"/>
  <c r="M886"/>
  <c r="M878"/>
  <c r="M874"/>
  <c r="M866"/>
  <c r="M858"/>
  <c r="M850"/>
  <c r="M846"/>
  <c r="M838"/>
  <c r="M830"/>
  <c r="M826"/>
  <c r="M818"/>
  <c r="M810"/>
  <c r="M802"/>
  <c r="M794"/>
  <c r="M790"/>
  <c r="M782"/>
  <c r="M774"/>
  <c r="M766"/>
  <c r="M762"/>
  <c r="M754"/>
  <c r="M746"/>
  <c r="M742"/>
  <c r="M734"/>
  <c r="M726"/>
  <c r="M722"/>
  <c r="M714"/>
  <c r="M706"/>
  <c r="M702"/>
  <c r="M694"/>
  <c r="M690"/>
  <c r="M682"/>
  <c r="M674"/>
  <c r="M670"/>
  <c r="M662"/>
  <c r="M654"/>
  <c r="M646"/>
  <c r="M642"/>
  <c r="M634"/>
  <c r="M626"/>
  <c r="M618"/>
  <c r="M614"/>
  <c r="M606"/>
  <c r="M598"/>
  <c r="M594"/>
  <c r="M586"/>
  <c r="M582"/>
  <c r="M574"/>
  <c r="M566"/>
  <c r="M558"/>
  <c r="M550"/>
  <c r="M546"/>
  <c r="M538"/>
  <c r="M530"/>
  <c r="M526"/>
  <c r="M518"/>
  <c r="M510"/>
  <c r="M502"/>
  <c r="M494"/>
  <c r="M486"/>
  <c r="M478"/>
  <c r="M474"/>
  <c r="M466"/>
  <c r="M1286"/>
  <c r="M1812"/>
  <c r="M1748"/>
  <c r="M1342"/>
  <c r="M1278"/>
  <c r="M1150"/>
  <c r="M1381"/>
  <c r="M1373"/>
  <c r="M1365"/>
  <c r="M1357"/>
  <c r="M1349"/>
  <c r="M1341"/>
  <c r="M1333"/>
  <c r="M1325"/>
  <c r="M1317"/>
  <c r="M1309"/>
  <c r="M1301"/>
  <c r="M1293"/>
  <c r="M1285"/>
  <c r="M1277"/>
  <c r="M1269"/>
  <c r="M1261"/>
  <c r="M1253"/>
  <c r="M1245"/>
  <c r="M1237"/>
  <c r="M1229"/>
  <c r="M1221"/>
  <c r="M1213"/>
  <c r="M1205"/>
  <c r="M1197"/>
  <c r="M1189"/>
  <c r="M1181"/>
  <c r="M1173"/>
  <c r="M1165"/>
  <c r="M1157"/>
  <c r="M1149"/>
  <c r="M1141"/>
  <c r="M1133"/>
  <c r="M1125"/>
  <c r="M1117"/>
  <c r="M1109"/>
  <c r="M1101"/>
  <c r="M1093"/>
  <c r="M1085"/>
  <c r="M1077"/>
  <c r="M1069"/>
  <c r="M1061"/>
  <c r="M1053"/>
  <c r="M1045"/>
  <c r="M1037"/>
  <c r="M1029"/>
  <c r="M1021"/>
  <c r="M1013"/>
  <c r="M1005"/>
  <c r="M997"/>
  <c r="M1913"/>
  <c r="M1451"/>
  <c r="M981"/>
  <c r="M973"/>
  <c r="M1889"/>
  <c r="M1427"/>
  <c r="M1881"/>
  <c r="M1419"/>
  <c r="M949"/>
  <c r="M941"/>
  <c r="M1857"/>
  <c r="M1395"/>
  <c r="M1387"/>
  <c r="M1383"/>
  <c r="M917"/>
  <c r="M913"/>
  <c r="M1371"/>
  <c r="M1367"/>
  <c r="M901"/>
  <c r="M897"/>
  <c r="M1355"/>
  <c r="M1351"/>
  <c r="M885"/>
  <c r="M881"/>
  <c r="M1339"/>
  <c r="M1335"/>
  <c r="M869"/>
  <c r="M865"/>
  <c r="M1323"/>
  <c r="M1319"/>
  <c r="M853"/>
  <c r="M849"/>
  <c r="M1307"/>
  <c r="M837"/>
  <c r="M833"/>
  <c r="M1287"/>
  <c r="M821"/>
  <c r="M817"/>
  <c r="M1275"/>
  <c r="M1271"/>
  <c r="M805"/>
  <c r="M801"/>
  <c r="M1259"/>
  <c r="M1255"/>
  <c r="M789"/>
  <c r="M785"/>
  <c r="M1243"/>
  <c r="M1239"/>
  <c r="M773"/>
  <c r="M769"/>
  <c r="M1227"/>
  <c r="M1223"/>
  <c r="M757"/>
  <c r="M753"/>
  <c r="M1211"/>
  <c r="M1207"/>
  <c r="M741"/>
  <c r="M737"/>
  <c r="M1191"/>
  <c r="M725"/>
  <c r="M721"/>
  <c r="M1179"/>
  <c r="M709"/>
  <c r="M705"/>
  <c r="M1163"/>
  <c r="M1159"/>
  <c r="M693"/>
  <c r="M689"/>
  <c r="M1147"/>
  <c r="M1143"/>
  <c r="M677"/>
  <c r="M673"/>
  <c r="M1131"/>
  <c r="M1127"/>
  <c r="M661"/>
  <c r="M657"/>
  <c r="M1115"/>
  <c r="M645"/>
  <c r="M641"/>
  <c r="M1099"/>
  <c r="M1095"/>
  <c r="M629"/>
  <c r="M625"/>
  <c r="M1083"/>
  <c r="M1079"/>
  <c r="M613"/>
  <c r="M609"/>
  <c r="M1067"/>
  <c r="M1063"/>
  <c r="M597"/>
  <c r="M593"/>
  <c r="M1051"/>
  <c r="M1047"/>
  <c r="M581"/>
  <c r="M577"/>
  <c r="M1035"/>
  <c r="M1031"/>
  <c r="M565"/>
  <c r="M561"/>
  <c r="M1019"/>
  <c r="M1015"/>
  <c r="M549"/>
  <c r="M545"/>
  <c r="M1003"/>
  <c r="M999"/>
  <c r="M533"/>
  <c r="M529"/>
  <c r="M983"/>
  <c r="M517"/>
  <c r="M513"/>
  <c r="M971"/>
  <c r="M501"/>
  <c r="M497"/>
  <c r="M951"/>
  <c r="M485"/>
  <c r="M481"/>
  <c r="M939"/>
  <c r="M469"/>
  <c r="M465"/>
  <c r="G3" i="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2"/>
  <c r="B2"/>
  <c r="C2"/>
  <c r="B3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B26"/>
  <c r="C26"/>
  <c r="B27"/>
  <c r="C27"/>
  <c r="B28"/>
  <c r="C28"/>
  <c r="B29"/>
  <c r="C29"/>
  <c r="B30"/>
  <c r="C30"/>
  <c r="B31"/>
  <c r="C31"/>
  <c r="B32"/>
  <c r="C32"/>
  <c r="B33"/>
  <c r="C33"/>
  <c r="B34"/>
  <c r="C34"/>
  <c r="B35"/>
  <c r="C35"/>
  <c r="B36"/>
  <c r="C36"/>
  <c r="B37"/>
  <c r="C37"/>
  <c r="B38"/>
  <c r="C38"/>
  <c r="B39"/>
  <c r="C39"/>
  <c r="B40"/>
  <c r="C40"/>
  <c r="B41"/>
  <c r="C41"/>
  <c r="B42"/>
  <c r="C42"/>
  <c r="B43"/>
  <c r="C43"/>
  <c r="B44"/>
  <c r="C44"/>
  <c r="B45"/>
  <c r="C45"/>
  <c r="B46"/>
  <c r="C46"/>
  <c r="B47"/>
  <c r="C47"/>
  <c r="B48"/>
  <c r="C48"/>
  <c r="B49"/>
  <c r="C49"/>
  <c r="B50"/>
  <c r="C50"/>
  <c r="B51"/>
  <c r="C51"/>
  <c r="B52"/>
  <c r="C52"/>
  <c r="B53"/>
  <c r="C53"/>
  <c r="B54"/>
  <c r="C54"/>
  <c r="B55"/>
  <c r="C55"/>
  <c r="B56"/>
  <c r="C56"/>
  <c r="B57"/>
  <c r="C57"/>
  <c r="B58"/>
  <c r="C58"/>
  <c r="B59"/>
  <c r="C59"/>
  <c r="B60"/>
  <c r="C60"/>
  <c r="B61"/>
  <c r="C61"/>
  <c r="B62"/>
  <c r="C62"/>
  <c r="B63"/>
  <c r="C63"/>
  <c r="B64"/>
  <c r="C64"/>
  <c r="B65"/>
  <c r="C65"/>
  <c r="B66"/>
  <c r="C66"/>
  <c r="B67"/>
  <c r="C67"/>
  <c r="B68"/>
  <c r="C68"/>
  <c r="B69"/>
  <c r="C69"/>
  <c r="B70"/>
  <c r="C70"/>
  <c r="B71"/>
  <c r="C71"/>
  <c r="B72"/>
  <c r="C72"/>
  <c r="B73"/>
  <c r="C73"/>
  <c r="B74"/>
  <c r="C74"/>
  <c r="B75"/>
  <c r="C75"/>
  <c r="B76"/>
  <c r="C76"/>
  <c r="B77"/>
  <c r="C77"/>
  <c r="B78"/>
  <c r="C78"/>
  <c r="B79"/>
  <c r="C79"/>
  <c r="B80"/>
  <c r="C80"/>
  <c r="B81"/>
  <c r="C81"/>
  <c r="B82"/>
  <c r="C82"/>
  <c r="B83"/>
  <c r="C83"/>
  <c r="B84"/>
  <c r="C84"/>
  <c r="B85"/>
  <c r="C85"/>
  <c r="B86"/>
  <c r="C86"/>
  <c r="B87"/>
  <c r="C87"/>
  <c r="B88"/>
  <c r="C88"/>
  <c r="B89"/>
  <c r="C89"/>
  <c r="B90"/>
  <c r="C90"/>
  <c r="B91"/>
  <c r="C91"/>
  <c r="B92"/>
  <c r="C92"/>
  <c r="B93"/>
  <c r="C93"/>
  <c r="B94"/>
  <c r="C94"/>
  <c r="B95"/>
  <c r="C95"/>
  <c r="B96"/>
  <c r="C96"/>
  <c r="B97"/>
  <c r="C97"/>
  <c r="B98"/>
  <c r="C98"/>
  <c r="B99"/>
  <c r="C99"/>
  <c r="B100"/>
  <c r="C100"/>
  <c r="B101"/>
  <c r="C101"/>
  <c r="B102"/>
  <c r="C102"/>
  <c r="B103"/>
  <c r="C103"/>
  <c r="B104"/>
  <c r="C104"/>
  <c r="B105"/>
  <c r="C105"/>
  <c r="B106"/>
  <c r="C106"/>
  <c r="B107"/>
  <c r="C107"/>
  <c r="B108"/>
  <c r="C108"/>
  <c r="B109"/>
  <c r="C109"/>
  <c r="B110"/>
  <c r="C110"/>
  <c r="B111"/>
  <c r="C111"/>
  <c r="B112"/>
  <c r="C112"/>
  <c r="B113"/>
  <c r="C113"/>
  <c r="B114"/>
  <c r="C114"/>
  <c r="B115"/>
  <c r="C115"/>
  <c r="B116"/>
  <c r="C116"/>
  <c r="B117"/>
  <c r="C117"/>
  <c r="B118"/>
  <c r="C118"/>
  <c r="B119"/>
  <c r="C119"/>
  <c r="B120"/>
  <c r="C120"/>
  <c r="B121"/>
  <c r="C121"/>
  <c r="B122"/>
  <c r="C122"/>
  <c r="B123"/>
  <c r="C123"/>
  <c r="B124"/>
  <c r="C124"/>
  <c r="B125"/>
  <c r="C125"/>
  <c r="B126"/>
  <c r="C126"/>
  <c r="B127"/>
  <c r="C127"/>
  <c r="B128"/>
  <c r="C128"/>
  <c r="B129"/>
  <c r="C129"/>
  <c r="B130"/>
  <c r="C130"/>
  <c r="B131"/>
  <c r="C131"/>
  <c r="B132"/>
  <c r="C132"/>
  <c r="B133"/>
  <c r="C133"/>
  <c r="B134"/>
  <c r="C134"/>
  <c r="B135"/>
  <c r="C135"/>
  <c r="B136"/>
  <c r="C136"/>
  <c r="B137"/>
  <c r="C137"/>
  <c r="B138"/>
  <c r="C138"/>
  <c r="B139"/>
  <c r="C139"/>
  <c r="B140"/>
  <c r="C140"/>
  <c r="B141"/>
  <c r="C141"/>
  <c r="B142"/>
  <c r="C142"/>
  <c r="B143"/>
  <c r="C143"/>
  <c r="B144"/>
  <c r="C144"/>
  <c r="B145"/>
  <c r="C145"/>
  <c r="B146"/>
  <c r="C146"/>
  <c r="B147"/>
  <c r="C147"/>
  <c r="B148"/>
  <c r="C148"/>
  <c r="B149"/>
  <c r="C149"/>
  <c r="B150"/>
  <c r="C150"/>
  <c r="B151"/>
  <c r="C151"/>
  <c r="B152"/>
  <c r="C152"/>
  <c r="B153"/>
  <c r="C153"/>
  <c r="B154"/>
  <c r="C154"/>
  <c r="B155"/>
  <c r="C155"/>
  <c r="B156"/>
  <c r="C156"/>
  <c r="B157"/>
  <c r="C157"/>
  <c r="B158"/>
  <c r="C158"/>
  <c r="B159"/>
  <c r="C159"/>
  <c r="B160"/>
  <c r="C160"/>
  <c r="B161"/>
  <c r="C161"/>
  <c r="B162"/>
  <c r="C162"/>
  <c r="B163"/>
  <c r="C163"/>
  <c r="B164"/>
  <c r="C164"/>
  <c r="B165"/>
  <c r="C165"/>
  <c r="B166"/>
  <c r="C166"/>
  <c r="B167"/>
  <c r="C167"/>
  <c r="B168"/>
  <c r="C168"/>
  <c r="B169"/>
  <c r="C169"/>
  <c r="B170"/>
  <c r="C170"/>
  <c r="B171"/>
  <c r="C171"/>
  <c r="B172"/>
  <c r="C172"/>
  <c r="B173"/>
  <c r="C173"/>
  <c r="B174"/>
  <c r="C174"/>
  <c r="B175"/>
  <c r="C175"/>
  <c r="B176"/>
  <c r="C176"/>
  <c r="B177"/>
  <c r="C177"/>
  <c r="B178"/>
  <c r="C178"/>
  <c r="B179"/>
  <c r="C179"/>
  <c r="B180"/>
  <c r="C180"/>
  <c r="B181"/>
  <c r="C181"/>
  <c r="B182"/>
  <c r="C182"/>
  <c r="B183"/>
  <c r="C183"/>
  <c r="B184"/>
  <c r="C184"/>
  <c r="B185"/>
  <c r="C185"/>
  <c r="B186"/>
  <c r="C186"/>
  <c r="B187"/>
  <c r="C187"/>
  <c r="B188"/>
  <c r="C188"/>
  <c r="B189"/>
  <c r="C189"/>
  <c r="B190"/>
  <c r="C190"/>
  <c r="B191"/>
  <c r="C191"/>
  <c r="B192"/>
  <c r="C192"/>
  <c r="B193"/>
  <c r="C193"/>
  <c r="B194"/>
  <c r="C194"/>
  <c r="B195"/>
  <c r="C195"/>
  <c r="B196"/>
  <c r="C196"/>
  <c r="B197"/>
  <c r="C197"/>
  <c r="B198"/>
  <c r="C198"/>
  <c r="B199"/>
  <c r="C199"/>
  <c r="B200"/>
  <c r="C200"/>
  <c r="B201"/>
  <c r="C201"/>
  <c r="B202"/>
  <c r="C202"/>
  <c r="B203"/>
  <c r="C203"/>
  <c r="B204"/>
  <c r="C204"/>
  <c r="B205"/>
  <c r="C205"/>
  <c r="B206"/>
  <c r="C206"/>
  <c r="B207"/>
  <c r="C207"/>
  <c r="B208"/>
  <c r="C208"/>
  <c r="B209"/>
  <c r="C209"/>
  <c r="B210"/>
  <c r="C210"/>
  <c r="B211"/>
  <c r="C211"/>
  <c r="B212"/>
  <c r="C212"/>
  <c r="B213"/>
  <c r="C213"/>
  <c r="B214"/>
  <c r="C214"/>
  <c r="B215"/>
  <c r="C215"/>
  <c r="B216"/>
  <c r="C216"/>
  <c r="B217"/>
  <c r="C217"/>
  <c r="B218"/>
  <c r="C218"/>
  <c r="B219"/>
  <c r="C219"/>
  <c r="B220"/>
  <c r="C220"/>
  <c r="B221"/>
  <c r="C221"/>
  <c r="B222"/>
  <c r="C222"/>
  <c r="B223"/>
  <c r="C223"/>
  <c r="B224"/>
  <c r="C224"/>
  <c r="B225"/>
  <c r="C225"/>
  <c r="B226"/>
  <c r="C226"/>
  <c r="B227"/>
  <c r="C227"/>
  <c r="B228"/>
  <c r="C228"/>
  <c r="B229"/>
  <c r="C229"/>
  <c r="B230"/>
  <c r="C230"/>
  <c r="B231"/>
  <c r="C231"/>
  <c r="B232"/>
  <c r="C232"/>
  <c r="B233"/>
  <c r="C233"/>
  <c r="B234"/>
  <c r="C234"/>
  <c r="B235"/>
  <c r="C235"/>
  <c r="B236"/>
  <c r="C236"/>
  <c r="B237"/>
  <c r="C237"/>
  <c r="B238"/>
  <c r="C238"/>
  <c r="B239"/>
  <c r="C239"/>
  <c r="B240"/>
  <c r="C240"/>
  <c r="B241"/>
  <c r="C241"/>
  <c r="B242"/>
  <c r="C242"/>
  <c r="B243"/>
  <c r="C243"/>
  <c r="B244"/>
  <c r="C244"/>
  <c r="B245"/>
  <c r="C245"/>
  <c r="B246"/>
  <c r="C246"/>
  <c r="B247"/>
  <c r="C247"/>
  <c r="B248"/>
  <c r="C248"/>
  <c r="B249"/>
  <c r="C249"/>
  <c r="B250"/>
  <c r="C250"/>
  <c r="B251"/>
  <c r="C251"/>
  <c r="B252"/>
  <c r="C252"/>
  <c r="B253"/>
  <c r="C253"/>
  <c r="B254"/>
  <c r="C254"/>
  <c r="B255"/>
  <c r="C255"/>
  <c r="B256"/>
  <c r="C256"/>
  <c r="B257"/>
  <c r="C257"/>
  <c r="B258"/>
  <c r="C258"/>
  <c r="B259"/>
  <c r="C259"/>
  <c r="B260"/>
  <c r="C260"/>
  <c r="B261"/>
  <c r="C261"/>
  <c r="B262"/>
  <c r="C262"/>
  <c r="B263"/>
  <c r="C263"/>
  <c r="B264"/>
  <c r="C264"/>
  <c r="B265"/>
  <c r="C265"/>
  <c r="B266"/>
  <c r="C266"/>
  <c r="B267"/>
  <c r="C267"/>
  <c r="B268"/>
  <c r="C268"/>
  <c r="B269"/>
  <c r="C269"/>
  <c r="B270"/>
  <c r="C270"/>
  <c r="B271"/>
  <c r="C271"/>
  <c r="B272"/>
  <c r="C272"/>
  <c r="B273"/>
  <c r="C273"/>
  <c r="B274"/>
  <c r="C274"/>
  <c r="B275"/>
  <c r="C275"/>
  <c r="B276"/>
  <c r="C276"/>
  <c r="B277"/>
  <c r="C277"/>
  <c r="B278"/>
  <c r="C278"/>
  <c r="B279"/>
  <c r="C279"/>
  <c r="B280"/>
  <c r="C280"/>
  <c r="B281"/>
  <c r="C281"/>
  <c r="B282"/>
  <c r="C282"/>
  <c r="B283"/>
  <c r="C283"/>
  <c r="B284"/>
  <c r="C284"/>
  <c r="B285"/>
  <c r="C285"/>
  <c r="B286"/>
  <c r="C286"/>
  <c r="B287"/>
  <c r="C287"/>
  <c r="B288"/>
  <c r="C288"/>
  <c r="B289"/>
  <c r="C289"/>
  <c r="B290"/>
  <c r="C290"/>
  <c r="B291"/>
  <c r="C291"/>
  <c r="B292"/>
  <c r="C292"/>
  <c r="B293"/>
  <c r="C293"/>
  <c r="B294"/>
  <c r="C294"/>
  <c r="B295"/>
  <c r="C295"/>
  <c r="B296"/>
  <c r="C296"/>
  <c r="B297"/>
  <c r="C297"/>
  <c r="B298"/>
  <c r="C298"/>
  <c r="B299"/>
  <c r="C299"/>
  <c r="B300"/>
  <c r="C300"/>
  <c r="B301"/>
  <c r="C301"/>
  <c r="B302"/>
  <c r="C302"/>
  <c r="B303"/>
  <c r="C303"/>
  <c r="B304"/>
  <c r="C304"/>
  <c r="B305"/>
  <c r="C305"/>
  <c r="B306"/>
  <c r="C306"/>
  <c r="B307"/>
  <c r="C307"/>
  <c r="B308"/>
  <c r="C308"/>
  <c r="B309"/>
  <c r="C309"/>
  <c r="B310"/>
  <c r="C310"/>
  <c r="B311"/>
  <c r="C311"/>
  <c r="B312"/>
  <c r="C312"/>
  <c r="B313"/>
  <c r="C313"/>
  <c r="B314"/>
  <c r="C314"/>
  <c r="B315"/>
  <c r="C315"/>
  <c r="B316"/>
  <c r="C316"/>
  <c r="B317"/>
  <c r="C317"/>
  <c r="B318"/>
  <c r="C318"/>
  <c r="B319"/>
  <c r="C319"/>
  <c r="B320"/>
  <c r="C320"/>
  <c r="B321"/>
  <c r="C321"/>
  <c r="B322"/>
  <c r="C322"/>
  <c r="B323"/>
  <c r="C323"/>
  <c r="B324"/>
  <c r="C324"/>
  <c r="B325"/>
  <c r="C325"/>
  <c r="B326"/>
  <c r="C326"/>
  <c r="B327"/>
  <c r="C327"/>
  <c r="B328"/>
  <c r="C328"/>
  <c r="B329"/>
  <c r="C329"/>
  <c r="B330"/>
  <c r="C330"/>
  <c r="B331"/>
  <c r="C331"/>
  <c r="Q2719" i="1" l="1"/>
  <c r="M2715" i="2" s="1"/>
  <c r="M2253"/>
  <c r="M1799"/>
  <c r="Q2265" i="1"/>
  <c r="Q1556"/>
  <c r="M1090" i="2"/>
  <c r="Q1620" i="1"/>
  <c r="M1154" i="2"/>
  <c r="M1440"/>
  <c r="Q1906" i="1"/>
  <c r="M1423" i="2"/>
  <c r="Q1889" i="1"/>
  <c r="Q1643"/>
  <c r="M1177" i="2"/>
  <c r="Q1484" i="1"/>
  <c r="M1018" i="2"/>
  <c r="Q1500" i="1"/>
  <c r="M1034" i="2"/>
  <c r="Q1580" i="1"/>
  <c r="M1114" i="2"/>
  <c r="Q1636" i="1"/>
  <c r="M1170" i="2"/>
  <c r="Q1404" i="1"/>
  <c r="M938" i="2"/>
  <c r="Q1468" i="1"/>
  <c r="M1002" i="2"/>
  <c r="Q1508" i="1"/>
  <c r="M1042" i="2"/>
  <c r="Q1548" i="1"/>
  <c r="M1082" i="2"/>
  <c r="Q1564" i="1"/>
  <c r="M1098" i="2"/>
  <c r="Q2058" i="1"/>
  <c r="M1592" i="2"/>
  <c r="Q1612" i="1"/>
  <c r="M1146" i="2"/>
  <c r="Q1628" i="1"/>
  <c r="M1162" i="2"/>
  <c r="M1291"/>
  <c r="M942"/>
  <c r="M1111"/>
  <c r="M1175"/>
  <c r="M1303"/>
  <c r="M926"/>
  <c r="M1046"/>
  <c r="M1142"/>
  <c r="Q2772" i="1"/>
  <c r="M2768" i="2" s="1"/>
  <c r="Q1396" i="1"/>
  <c r="M930" i="2"/>
  <c r="Q1436" i="1"/>
  <c r="M970" i="2"/>
  <c r="Q1452" i="1"/>
  <c r="M986" i="2"/>
  <c r="Q1476" i="1"/>
  <c r="M1010" i="2"/>
  <c r="Q1540" i="1"/>
  <c r="M1074" i="2"/>
  <c r="Q2034" i="1"/>
  <c r="M1568" i="2"/>
  <c r="M1399"/>
  <c r="Q1865" i="1"/>
  <c r="M1447" i="2"/>
  <c r="Q1913" i="1"/>
  <c r="Q1420"/>
  <c r="M954" i="2"/>
  <c r="Q1922" i="1"/>
  <c r="M1456" i="2"/>
  <c r="Q1524" i="1"/>
  <c r="M1058" i="2"/>
  <c r="Q2066" i="1"/>
  <c r="M1600" i="2"/>
  <c r="M1408"/>
  <c r="Q1874" i="1"/>
  <c r="M1391" i="2"/>
  <c r="Q1857" i="1"/>
  <c r="M1415" i="2"/>
  <c r="Q1881" i="1"/>
  <c r="M1431" i="2"/>
  <c r="Q1897" i="1"/>
  <c r="Q1428"/>
  <c r="M962" i="2"/>
  <c r="Q1492" i="1"/>
  <c r="M1026" i="2"/>
  <c r="Q1516" i="1"/>
  <c r="M1050" i="2"/>
  <c r="Q1532" i="1"/>
  <c r="M1066" i="2"/>
  <c r="Q1588" i="1"/>
  <c r="M1122" i="2"/>
  <c r="M1195"/>
  <c r="M1110"/>
  <c r="M1022"/>
  <c r="M1484"/>
  <c r="M2042"/>
  <c r="M1078"/>
  <c r="M935"/>
  <c r="Q1401" i="1"/>
  <c r="M967" i="2"/>
  <c r="Q1433" i="1"/>
  <c r="M955" i="2"/>
  <c r="Q1421" i="1"/>
  <c r="M987" i="2"/>
  <c r="Q1453" i="1"/>
  <c r="M931" i="2"/>
  <c r="M1895"/>
  <c r="M1433"/>
  <c r="M979"/>
  <c r="M995"/>
  <c r="M1943"/>
  <c r="M1481"/>
  <c r="M1959"/>
  <c r="M1497"/>
  <c r="M1975"/>
  <c r="M1513"/>
  <c r="M1991"/>
  <c r="M1529"/>
  <c r="M2007"/>
  <c r="M1545"/>
  <c r="M2023"/>
  <c r="M1561"/>
  <c r="M2039"/>
  <c r="M1577"/>
  <c r="M2055"/>
  <c r="M1593"/>
  <c r="M2071"/>
  <c r="M1609"/>
  <c r="M2087"/>
  <c r="M1625"/>
  <c r="M2103"/>
  <c r="M1641"/>
  <c r="M2119"/>
  <c r="M1657"/>
  <c r="M2135"/>
  <c r="M1673"/>
  <c r="M2151"/>
  <c r="M1689"/>
  <c r="M2167"/>
  <c r="M1705"/>
  <c r="M2183"/>
  <c r="M1721"/>
  <c r="M1283"/>
  <c r="M1299"/>
  <c r="M1315"/>
  <c r="M1331"/>
  <c r="M1347"/>
  <c r="M1363"/>
  <c r="M1379"/>
  <c r="M2311"/>
  <c r="M1849"/>
  <c r="M1865"/>
  <c r="M1403"/>
  <c r="M1945"/>
  <c r="M1483"/>
  <c r="M1977"/>
  <c r="M1515"/>
  <c r="M2009"/>
  <c r="M1547"/>
  <c r="M2041"/>
  <c r="M1579"/>
  <c r="M2073"/>
  <c r="M1611"/>
  <c r="M2105"/>
  <c r="M1643"/>
  <c r="M2137"/>
  <c r="M1675"/>
  <c r="M2169"/>
  <c r="M1707"/>
  <c r="M2201"/>
  <c r="M1739"/>
  <c r="M2233"/>
  <c r="M1771"/>
  <c r="M2281"/>
  <c r="M1819"/>
  <c r="M952"/>
  <c r="M984"/>
  <c r="M1024"/>
  <c r="M1064"/>
  <c r="M1120"/>
  <c r="M1160"/>
  <c r="M1200"/>
  <c r="M1240"/>
  <c r="M1260"/>
  <c r="M1296"/>
  <c r="M1332"/>
  <c r="M1368"/>
  <c r="M1882"/>
  <c r="M1420"/>
  <c r="M1914"/>
  <c r="M1452"/>
  <c r="M1962"/>
  <c r="M1500"/>
  <c r="M2034"/>
  <c r="M1572"/>
  <c r="M2098"/>
  <c r="M1636"/>
  <c r="M2122"/>
  <c r="M1660"/>
  <c r="M2146"/>
  <c r="M1684"/>
  <c r="M2194"/>
  <c r="M1732"/>
  <c r="M2250"/>
  <c r="M1788"/>
  <c r="M2282"/>
  <c r="M1820"/>
  <c r="M940"/>
  <c r="M972"/>
  <c r="M1000"/>
  <c r="M1028"/>
  <c r="M1056"/>
  <c r="M1080"/>
  <c r="M1108"/>
  <c r="M1136"/>
  <c r="M1164"/>
  <c r="M1188"/>
  <c r="M1216"/>
  <c r="M1244"/>
  <c r="M1272"/>
  <c r="M1300"/>
  <c r="M1328"/>
  <c r="M1356"/>
  <c r="M1850"/>
  <c r="M1388"/>
  <c r="M1906"/>
  <c r="M1444"/>
  <c r="M1986"/>
  <c r="M1524"/>
  <c r="M2218"/>
  <c r="M1756"/>
  <c r="M927"/>
  <c r="M943"/>
  <c r="M1875"/>
  <c r="M1413"/>
  <c r="M959"/>
  <c r="M975"/>
  <c r="M1907"/>
  <c r="M1445"/>
  <c r="M991"/>
  <c r="M1923"/>
  <c r="M1461"/>
  <c r="M1007"/>
  <c r="M1939"/>
  <c r="M1477"/>
  <c r="M1023"/>
  <c r="M1955"/>
  <c r="M1493"/>
  <c r="M1039"/>
  <c r="M1971"/>
  <c r="M1509"/>
  <c r="M1055"/>
  <c r="M1987"/>
  <c r="M1525"/>
  <c r="M1071"/>
  <c r="M2003"/>
  <c r="M1541"/>
  <c r="M1087"/>
  <c r="M2019"/>
  <c r="M1557"/>
  <c r="M1103"/>
  <c r="M2035"/>
  <c r="M1573"/>
  <c r="M1119"/>
  <c r="M2051"/>
  <c r="M1589"/>
  <c r="M1135"/>
  <c r="M2067"/>
  <c r="M1605"/>
  <c r="M1151"/>
  <c r="M2083"/>
  <c r="M1621"/>
  <c r="M1167"/>
  <c r="M2099"/>
  <c r="M1637"/>
  <c r="M1183"/>
  <c r="M2115"/>
  <c r="M1653"/>
  <c r="M1199"/>
  <c r="M2131"/>
  <c r="M1669"/>
  <c r="M1215"/>
  <c r="M2147"/>
  <c r="M1685"/>
  <c r="M1231"/>
  <c r="M2163"/>
  <c r="M1701"/>
  <c r="M1247"/>
  <c r="M2179"/>
  <c r="M1717"/>
  <c r="M1263"/>
  <c r="M2195"/>
  <c r="M1733"/>
  <c r="M1279"/>
  <c r="M2211"/>
  <c r="M1749"/>
  <c r="M1295"/>
  <c r="M2227"/>
  <c r="M1765"/>
  <c r="M1311"/>
  <c r="M2243"/>
  <c r="M1781"/>
  <c r="M1327"/>
  <c r="M2259"/>
  <c r="M1797"/>
  <c r="M1343"/>
  <c r="M2275"/>
  <c r="M1813"/>
  <c r="M1359"/>
  <c r="M2291"/>
  <c r="M1829"/>
  <c r="M1375"/>
  <c r="M2307"/>
  <c r="M1845"/>
  <c r="M1873"/>
  <c r="M1411"/>
  <c r="M1443"/>
  <c r="M1905"/>
  <c r="M1459"/>
  <c r="M1921"/>
  <c r="M1475"/>
  <c r="M1937"/>
  <c r="M1953"/>
  <c r="M1491"/>
  <c r="M1969"/>
  <c r="M1507"/>
  <c r="M1985"/>
  <c r="M1523"/>
  <c r="M2001"/>
  <c r="M1539"/>
  <c r="M2017"/>
  <c r="M1555"/>
  <c r="M2033"/>
  <c r="M1571"/>
  <c r="M2049"/>
  <c r="M1587"/>
  <c r="M2065"/>
  <c r="M1603"/>
  <c r="M2081"/>
  <c r="M1619"/>
  <c r="M2097"/>
  <c r="M1635"/>
  <c r="M2113"/>
  <c r="M1651"/>
  <c r="M2129"/>
  <c r="M1667"/>
  <c r="M2145"/>
  <c r="M1683"/>
  <c r="M2161"/>
  <c r="M1699"/>
  <c r="M2177"/>
  <c r="M1715"/>
  <c r="M2193"/>
  <c r="M1731"/>
  <c r="M2209"/>
  <c r="M1747"/>
  <c r="M2225"/>
  <c r="M1763"/>
  <c r="M2241"/>
  <c r="M1779"/>
  <c r="M2257"/>
  <c r="M1795"/>
  <c r="M2273"/>
  <c r="M1811"/>
  <c r="M2289"/>
  <c r="M1827"/>
  <c r="M2305"/>
  <c r="M1843"/>
  <c r="M944"/>
  <c r="M960"/>
  <c r="M976"/>
  <c r="M996"/>
  <c r="M1016"/>
  <c r="M1032"/>
  <c r="M1052"/>
  <c r="M1072"/>
  <c r="M1092"/>
  <c r="M1112"/>
  <c r="M1128"/>
  <c r="M1148"/>
  <c r="M1172"/>
  <c r="M1192"/>
  <c r="M1212"/>
  <c r="M1232"/>
  <c r="M1248"/>
  <c r="M1268"/>
  <c r="M1284"/>
  <c r="M1304"/>
  <c r="M1324"/>
  <c r="M1344"/>
  <c r="M1360"/>
  <c r="M1376"/>
  <c r="M1858"/>
  <c r="M1396"/>
  <c r="M1898"/>
  <c r="M1436"/>
  <c r="M1930"/>
  <c r="M1468"/>
  <c r="M1954"/>
  <c r="M1492"/>
  <c r="M2018"/>
  <c r="M1556"/>
  <c r="M2050"/>
  <c r="M1588"/>
  <c r="M2114"/>
  <c r="M1652"/>
  <c r="M2130"/>
  <c r="M1668"/>
  <c r="M2154"/>
  <c r="M1692"/>
  <c r="M2186"/>
  <c r="M1724"/>
  <c r="M2290"/>
  <c r="M1828"/>
  <c r="M1863"/>
  <c r="M1401"/>
  <c r="M947"/>
  <c r="M963"/>
  <c r="M1927"/>
  <c r="M1465"/>
  <c r="M1011"/>
  <c r="M1027"/>
  <c r="M1043"/>
  <c r="M1059"/>
  <c r="M1075"/>
  <c r="M1091"/>
  <c r="M1107"/>
  <c r="M1123"/>
  <c r="M1139"/>
  <c r="M1155"/>
  <c r="M1171"/>
  <c r="M1187"/>
  <c r="M1203"/>
  <c r="M1219"/>
  <c r="M1235"/>
  <c r="M1251"/>
  <c r="M1267"/>
  <c r="M2199"/>
  <c r="M1737"/>
  <c r="M2215"/>
  <c r="M1753"/>
  <c r="M2231"/>
  <c r="M1769"/>
  <c r="M2247"/>
  <c r="M1785"/>
  <c r="M2263"/>
  <c r="M1801"/>
  <c r="M2279"/>
  <c r="M1817"/>
  <c r="M2295"/>
  <c r="M1833"/>
  <c r="M1897"/>
  <c r="M1435"/>
  <c r="M1929"/>
  <c r="M1467"/>
  <c r="M1961"/>
  <c r="M1499"/>
  <c r="M1993"/>
  <c r="M1531"/>
  <c r="M2025"/>
  <c r="M1563"/>
  <c r="M2057"/>
  <c r="M1595"/>
  <c r="M2089"/>
  <c r="M1627"/>
  <c r="M2121"/>
  <c r="M1659"/>
  <c r="M2153"/>
  <c r="M1691"/>
  <c r="M2185"/>
  <c r="M1723"/>
  <c r="M2217"/>
  <c r="M1755"/>
  <c r="M2249"/>
  <c r="M1787"/>
  <c r="M2265"/>
  <c r="M1803"/>
  <c r="M2297"/>
  <c r="M1835"/>
  <c r="M932"/>
  <c r="M968"/>
  <c r="M1004"/>
  <c r="M1040"/>
  <c r="M1084"/>
  <c r="M1100"/>
  <c r="M1140"/>
  <c r="M1180"/>
  <c r="M1220"/>
  <c r="M1276"/>
  <c r="M1316"/>
  <c r="M1352"/>
  <c r="M1384"/>
  <c r="M1938"/>
  <c r="M1476"/>
  <c r="M2002"/>
  <c r="M1540"/>
  <c r="M2058"/>
  <c r="M1596"/>
  <c r="M928"/>
  <c r="M956"/>
  <c r="M988"/>
  <c r="M1012"/>
  <c r="M1044"/>
  <c r="M1068"/>
  <c r="M1096"/>
  <c r="M1124"/>
  <c r="M1152"/>
  <c r="M1176"/>
  <c r="M1204"/>
  <c r="M1228"/>
  <c r="M1256"/>
  <c r="M1288"/>
  <c r="M1312"/>
  <c r="M1340"/>
  <c r="M1372"/>
  <c r="M1874"/>
  <c r="M1412"/>
  <c r="M2082"/>
  <c r="M1620"/>
  <c r="M2162"/>
  <c r="M1700"/>
  <c r="M2258"/>
  <c r="M1796"/>
  <c r="M936"/>
  <c r="M948"/>
  <c r="M964"/>
  <c r="M980"/>
  <c r="M992"/>
  <c r="M1008"/>
  <c r="M1020"/>
  <c r="M1036"/>
  <c r="M1048"/>
  <c r="M1060"/>
  <c r="M1076"/>
  <c r="M1088"/>
  <c r="M1104"/>
  <c r="M1116"/>
  <c r="M1132"/>
  <c r="M1144"/>
  <c r="M1156"/>
  <c r="M1168"/>
  <c r="M1184"/>
  <c r="M1196"/>
  <c r="M1208"/>
  <c r="M1224"/>
  <c r="M1236"/>
  <c r="M1252"/>
  <c r="M1264"/>
  <c r="M1280"/>
  <c r="M1292"/>
  <c r="M1308"/>
  <c r="M1320"/>
  <c r="M1336"/>
  <c r="M1348"/>
  <c r="M1364"/>
  <c r="M1380"/>
  <c r="M1866"/>
  <c r="M1404"/>
  <c r="M1890"/>
  <c r="M1428"/>
  <c r="M1922"/>
  <c r="M1460"/>
  <c r="M1970"/>
  <c r="M1508"/>
  <c r="M1994"/>
  <c r="M1532"/>
  <c r="M2026"/>
  <c r="M1564"/>
  <c r="M2066"/>
  <c r="M1604"/>
  <c r="M2090"/>
  <c r="M1628"/>
  <c r="M2226"/>
  <c r="M1764"/>
  <c r="M929" i="1"/>
  <c r="L925" i="2" s="1"/>
  <c r="M799" i="1"/>
  <c r="L795" i="2" s="1"/>
  <c r="M800" i="1"/>
  <c r="L796" i="2" s="1"/>
  <c r="M801" i="1"/>
  <c r="L797" i="2" s="1"/>
  <c r="M802" i="1"/>
  <c r="L798" i="2" s="1"/>
  <c r="M803" i="1"/>
  <c r="L799" i="2" s="1"/>
  <c r="M804" i="1"/>
  <c r="L800" i="2" s="1"/>
  <c r="M805" i="1"/>
  <c r="L801" i="2" s="1"/>
  <c r="M806" i="1"/>
  <c r="L802" i="2" s="1"/>
  <c r="M807" i="1"/>
  <c r="L803" i="2" s="1"/>
  <c r="M808" i="1"/>
  <c r="L804" i="2" s="1"/>
  <c r="M809" i="1"/>
  <c r="L805" i="2" s="1"/>
  <c r="M810" i="1"/>
  <c r="L806" i="2" s="1"/>
  <c r="M811" i="1"/>
  <c r="L807" i="2" s="1"/>
  <c r="M812" i="1"/>
  <c r="L808" i="2" s="1"/>
  <c r="M813" i="1"/>
  <c r="L809" i="2" s="1"/>
  <c r="M814" i="1"/>
  <c r="L810" i="2" s="1"/>
  <c r="M815" i="1"/>
  <c r="L811" i="2" s="1"/>
  <c r="M816" i="1"/>
  <c r="L812" i="2" s="1"/>
  <c r="M817" i="1"/>
  <c r="L813" i="2" s="1"/>
  <c r="M818" i="1"/>
  <c r="L814" i="2" s="1"/>
  <c r="M819" i="1"/>
  <c r="L815" i="2" s="1"/>
  <c r="M820" i="1"/>
  <c r="L816" i="2" s="1"/>
  <c r="M821" i="1"/>
  <c r="L817" i="2" s="1"/>
  <c r="M822" i="1"/>
  <c r="L818" i="2" s="1"/>
  <c r="M823" i="1"/>
  <c r="L819" i="2" s="1"/>
  <c r="M824" i="1"/>
  <c r="L820" i="2" s="1"/>
  <c r="M825" i="1"/>
  <c r="L821" i="2" s="1"/>
  <c r="M826" i="1"/>
  <c r="L822" i="2" s="1"/>
  <c r="M827" i="1"/>
  <c r="L823" i="2" s="1"/>
  <c r="M828" i="1"/>
  <c r="L824" i="2" s="1"/>
  <c r="M829" i="1"/>
  <c r="L825" i="2" s="1"/>
  <c r="M830" i="1"/>
  <c r="L826" i="2" s="1"/>
  <c r="M831" i="1"/>
  <c r="L827" i="2" s="1"/>
  <c r="M832" i="1"/>
  <c r="L828" i="2" s="1"/>
  <c r="M833" i="1"/>
  <c r="L829" i="2" s="1"/>
  <c r="M834" i="1"/>
  <c r="L830" i="2" s="1"/>
  <c r="M835" i="1"/>
  <c r="L831" i="2" s="1"/>
  <c r="M836" i="1"/>
  <c r="L832" i="2" s="1"/>
  <c r="M837" i="1"/>
  <c r="L833" i="2" s="1"/>
  <c r="M838" i="1"/>
  <c r="L834" i="2" s="1"/>
  <c r="M839" i="1"/>
  <c r="L835" i="2" s="1"/>
  <c r="M840" i="1"/>
  <c r="L836" i="2" s="1"/>
  <c r="M841" i="1"/>
  <c r="L837" i="2" s="1"/>
  <c r="M842" i="1"/>
  <c r="L838" i="2" s="1"/>
  <c r="M843" i="1"/>
  <c r="L839" i="2" s="1"/>
  <c r="M844" i="1"/>
  <c r="L840" i="2" s="1"/>
  <c r="M845" i="1"/>
  <c r="L841" i="2" s="1"/>
  <c r="M846" i="1"/>
  <c r="L842" i="2" s="1"/>
  <c r="M847" i="1"/>
  <c r="L843" i="2" s="1"/>
  <c r="M848" i="1"/>
  <c r="L844" i="2" s="1"/>
  <c r="M849" i="1"/>
  <c r="L845" i="2" s="1"/>
  <c r="M850" i="1"/>
  <c r="L846" i="2" s="1"/>
  <c r="M851" i="1"/>
  <c r="L847" i="2" s="1"/>
  <c r="M852" i="1"/>
  <c r="L848" i="2" s="1"/>
  <c r="M853" i="1"/>
  <c r="L849" i="2" s="1"/>
  <c r="M854" i="1"/>
  <c r="L850" i="2" s="1"/>
  <c r="M855" i="1"/>
  <c r="L851" i="2" s="1"/>
  <c r="M856" i="1"/>
  <c r="L852" i="2" s="1"/>
  <c r="M857" i="1"/>
  <c r="L853" i="2" s="1"/>
  <c r="M858" i="1"/>
  <c r="L854" i="2" s="1"/>
  <c r="M859" i="1"/>
  <c r="L855" i="2" s="1"/>
  <c r="M860" i="1"/>
  <c r="L856" i="2" s="1"/>
  <c r="M861" i="1"/>
  <c r="L857" i="2" s="1"/>
  <c r="M862" i="1"/>
  <c r="L858" i="2" s="1"/>
  <c r="M863" i="1"/>
  <c r="L859" i="2" s="1"/>
  <c r="M864" i="1"/>
  <c r="L860" i="2" s="1"/>
  <c r="M865" i="1"/>
  <c r="L861" i="2" s="1"/>
  <c r="M866" i="1"/>
  <c r="L862" i="2" s="1"/>
  <c r="M867" i="1"/>
  <c r="L863" i="2" s="1"/>
  <c r="M868" i="1"/>
  <c r="L864" i="2" s="1"/>
  <c r="M869" i="1"/>
  <c r="L865" i="2" s="1"/>
  <c r="M870" i="1"/>
  <c r="L866" i="2" s="1"/>
  <c r="M871" i="1"/>
  <c r="L867" i="2" s="1"/>
  <c r="M872" i="1"/>
  <c r="L868" i="2" s="1"/>
  <c r="M873" i="1"/>
  <c r="L869" i="2" s="1"/>
  <c r="M874" i="1"/>
  <c r="L870" i="2" s="1"/>
  <c r="M875" i="1"/>
  <c r="L871" i="2" s="1"/>
  <c r="M876" i="1"/>
  <c r="L872" i="2" s="1"/>
  <c r="M877" i="1"/>
  <c r="L873" i="2" s="1"/>
  <c r="M878" i="1"/>
  <c r="L874" i="2" s="1"/>
  <c r="M879" i="1"/>
  <c r="L875" i="2" s="1"/>
  <c r="M880" i="1"/>
  <c r="L876" i="2" s="1"/>
  <c r="M881" i="1"/>
  <c r="L877" i="2" s="1"/>
  <c r="M882" i="1"/>
  <c r="L878" i="2" s="1"/>
  <c r="M883" i="1"/>
  <c r="L879" i="2" s="1"/>
  <c r="M884" i="1"/>
  <c r="L880" i="2" s="1"/>
  <c r="M885" i="1"/>
  <c r="L881" i="2" s="1"/>
  <c r="M886" i="1"/>
  <c r="L882" i="2" s="1"/>
  <c r="M887" i="1"/>
  <c r="L883" i="2" s="1"/>
  <c r="M888" i="1"/>
  <c r="L884" i="2" s="1"/>
  <c r="M889" i="1"/>
  <c r="L885" i="2" s="1"/>
  <c r="M890" i="1"/>
  <c r="L886" i="2" s="1"/>
  <c r="M891" i="1"/>
  <c r="L887" i="2" s="1"/>
  <c r="M892" i="1"/>
  <c r="L888" i="2" s="1"/>
  <c r="M893" i="1"/>
  <c r="L889" i="2" s="1"/>
  <c r="M894" i="1"/>
  <c r="L890" i="2" s="1"/>
  <c r="M895" i="1"/>
  <c r="L891" i="2" s="1"/>
  <c r="M896" i="1"/>
  <c r="L892" i="2" s="1"/>
  <c r="M897" i="1"/>
  <c r="L893" i="2" s="1"/>
  <c r="M898" i="1"/>
  <c r="L894" i="2" s="1"/>
  <c r="M899" i="1"/>
  <c r="L895" i="2" s="1"/>
  <c r="M900" i="1"/>
  <c r="L896" i="2" s="1"/>
  <c r="M901" i="1"/>
  <c r="L897" i="2" s="1"/>
  <c r="M902" i="1"/>
  <c r="L898" i="2" s="1"/>
  <c r="M903" i="1"/>
  <c r="L899" i="2" s="1"/>
  <c r="M904" i="1"/>
  <c r="L900" i="2" s="1"/>
  <c r="M905" i="1"/>
  <c r="L901" i="2" s="1"/>
  <c r="M906" i="1"/>
  <c r="L902" i="2" s="1"/>
  <c r="M907" i="1"/>
  <c r="L903" i="2" s="1"/>
  <c r="M908" i="1"/>
  <c r="L904" i="2" s="1"/>
  <c r="M909" i="1"/>
  <c r="L905" i="2" s="1"/>
  <c r="M910" i="1"/>
  <c r="L906" i="2" s="1"/>
  <c r="M911" i="1"/>
  <c r="L907" i="2" s="1"/>
  <c r="M912" i="1"/>
  <c r="L908" i="2" s="1"/>
  <c r="M913" i="1"/>
  <c r="L909" i="2" s="1"/>
  <c r="M914" i="1"/>
  <c r="L910" i="2" s="1"/>
  <c r="M915" i="1"/>
  <c r="L911" i="2" s="1"/>
  <c r="M916" i="1"/>
  <c r="L912" i="2" s="1"/>
  <c r="M917" i="1"/>
  <c r="L913" i="2" s="1"/>
  <c r="M918" i="1"/>
  <c r="L914" i="2" s="1"/>
  <c r="M919" i="1"/>
  <c r="L915" i="2" s="1"/>
  <c r="M920" i="1"/>
  <c r="L916" i="2" s="1"/>
  <c r="M921" i="1"/>
  <c r="L917" i="2" s="1"/>
  <c r="M922" i="1"/>
  <c r="L918" i="2" s="1"/>
  <c r="M923" i="1"/>
  <c r="L919" i="2" s="1"/>
  <c r="M924" i="1"/>
  <c r="L920" i="2" s="1"/>
  <c r="M925" i="1"/>
  <c r="L921" i="2" s="1"/>
  <c r="M926" i="1"/>
  <c r="L922" i="2" s="1"/>
  <c r="M927" i="1"/>
  <c r="L923" i="2" s="1"/>
  <c r="M928" i="1"/>
  <c r="L924" i="2" s="1"/>
  <c r="M798" i="1"/>
  <c r="L794" i="2" s="1"/>
  <c r="B799" i="1"/>
  <c r="B795" i="2" s="1"/>
  <c r="B800" i="1"/>
  <c r="B796" i="2" s="1"/>
  <c r="B801" i="1"/>
  <c r="B797" i="2" s="1"/>
  <c r="B802" i="1"/>
  <c r="B798" i="2" s="1"/>
  <c r="B803" i="1"/>
  <c r="B799" i="2" s="1"/>
  <c r="B804" i="1"/>
  <c r="B800" i="2" s="1"/>
  <c r="B805" i="1"/>
  <c r="B801" i="2" s="1"/>
  <c r="B806" i="1"/>
  <c r="B802" i="2" s="1"/>
  <c r="B807" i="1"/>
  <c r="B803" i="2" s="1"/>
  <c r="B808" i="1"/>
  <c r="B804" i="2" s="1"/>
  <c r="B809" i="1"/>
  <c r="B805" i="2" s="1"/>
  <c r="B810" i="1"/>
  <c r="B806" i="2" s="1"/>
  <c r="B811" i="1"/>
  <c r="B807" i="2" s="1"/>
  <c r="B812" i="1"/>
  <c r="B808" i="2" s="1"/>
  <c r="B813" i="1"/>
  <c r="B809" i="2" s="1"/>
  <c r="B814" i="1"/>
  <c r="B810" i="2" s="1"/>
  <c r="B815" i="1"/>
  <c r="B811" i="2" s="1"/>
  <c r="B816" i="1"/>
  <c r="B812" i="2" s="1"/>
  <c r="B817" i="1"/>
  <c r="B813" i="2" s="1"/>
  <c r="B818" i="1"/>
  <c r="B814" i="2" s="1"/>
  <c r="B819" i="1"/>
  <c r="B815" i="2" s="1"/>
  <c r="B820" i="1"/>
  <c r="B816" i="2" s="1"/>
  <c r="B821" i="1"/>
  <c r="B817" i="2" s="1"/>
  <c r="B822" i="1"/>
  <c r="B818" i="2" s="1"/>
  <c r="B823" i="1"/>
  <c r="B819" i="2" s="1"/>
  <c r="B824" i="1"/>
  <c r="B820" i="2" s="1"/>
  <c r="B825" i="1"/>
  <c r="B821" i="2" s="1"/>
  <c r="B826" i="1"/>
  <c r="B822" i="2" s="1"/>
  <c r="B827" i="1"/>
  <c r="B823" i="2" s="1"/>
  <c r="B828" i="1"/>
  <c r="B824" i="2" s="1"/>
  <c r="B829" i="1"/>
  <c r="B825" i="2" s="1"/>
  <c r="B830" i="1"/>
  <c r="B826" i="2" s="1"/>
  <c r="B831" i="1"/>
  <c r="B827" i="2" s="1"/>
  <c r="B832" i="1"/>
  <c r="B828" i="2" s="1"/>
  <c r="B833" i="1"/>
  <c r="B829" i="2" s="1"/>
  <c r="B834" i="1"/>
  <c r="B830" i="2" s="1"/>
  <c r="B835" i="1"/>
  <c r="B831" i="2" s="1"/>
  <c r="B836" i="1"/>
  <c r="B832" i="2" s="1"/>
  <c r="B837" i="1"/>
  <c r="B833" i="2" s="1"/>
  <c r="B838" i="1"/>
  <c r="B834" i="2" s="1"/>
  <c r="B839" i="1"/>
  <c r="B835" i="2" s="1"/>
  <c r="B840" i="1"/>
  <c r="B836" i="2" s="1"/>
  <c r="B841" i="1"/>
  <c r="B837" i="2" s="1"/>
  <c r="B842" i="1"/>
  <c r="B838" i="2" s="1"/>
  <c r="B843" i="1"/>
  <c r="B839" i="2" s="1"/>
  <c r="B844" i="1"/>
  <c r="B840" i="2" s="1"/>
  <c r="B845" i="1"/>
  <c r="B841" i="2" s="1"/>
  <c r="B846" i="1"/>
  <c r="B842" i="2" s="1"/>
  <c r="B847" i="1"/>
  <c r="B843" i="2" s="1"/>
  <c r="B848" i="1"/>
  <c r="B844" i="2" s="1"/>
  <c r="B849" i="1"/>
  <c r="B845" i="2" s="1"/>
  <c r="B850" i="1"/>
  <c r="B846" i="2" s="1"/>
  <c r="B851" i="1"/>
  <c r="B847" i="2" s="1"/>
  <c r="B852" i="1"/>
  <c r="B848" i="2" s="1"/>
  <c r="B853" i="1"/>
  <c r="B849" i="2" s="1"/>
  <c r="B854" i="1"/>
  <c r="B850" i="2" s="1"/>
  <c r="B855" i="1"/>
  <c r="B851" i="2" s="1"/>
  <c r="B856" i="1"/>
  <c r="B852" i="2" s="1"/>
  <c r="B857" i="1"/>
  <c r="B853" i="2" s="1"/>
  <c r="B858" i="1"/>
  <c r="B854" i="2" s="1"/>
  <c r="B859" i="1"/>
  <c r="B855" i="2" s="1"/>
  <c r="B860" i="1"/>
  <c r="B856" i="2" s="1"/>
  <c r="B861" i="1"/>
  <c r="B857" i="2" s="1"/>
  <c r="B862" i="1"/>
  <c r="B858" i="2" s="1"/>
  <c r="B863" i="1"/>
  <c r="B859" i="2" s="1"/>
  <c r="B864" i="1"/>
  <c r="B860" i="2" s="1"/>
  <c r="B865" i="1"/>
  <c r="B861" i="2" s="1"/>
  <c r="B866" i="1"/>
  <c r="B862" i="2" s="1"/>
  <c r="B867" i="1"/>
  <c r="B863" i="2" s="1"/>
  <c r="B868" i="1"/>
  <c r="B864" i="2" s="1"/>
  <c r="B869" i="1"/>
  <c r="B865" i="2" s="1"/>
  <c r="B870" i="1"/>
  <c r="B866" i="2" s="1"/>
  <c r="B871" i="1"/>
  <c r="B867" i="2" s="1"/>
  <c r="B872" i="1"/>
  <c r="B868" i="2" s="1"/>
  <c r="B873" i="1"/>
  <c r="B869" i="2" s="1"/>
  <c r="B874" i="1"/>
  <c r="B870" i="2" s="1"/>
  <c r="B875" i="1"/>
  <c r="B871" i="2" s="1"/>
  <c r="B876" i="1"/>
  <c r="B872" i="2" s="1"/>
  <c r="B877" i="1"/>
  <c r="B873" i="2" s="1"/>
  <c r="B878" i="1"/>
  <c r="B874" i="2" s="1"/>
  <c r="B879" i="1"/>
  <c r="B875" i="2" s="1"/>
  <c r="B880" i="1"/>
  <c r="B876" i="2" s="1"/>
  <c r="B881" i="1"/>
  <c r="B877" i="2" s="1"/>
  <c r="B882" i="1"/>
  <c r="B878" i="2" s="1"/>
  <c r="B883" i="1"/>
  <c r="B879" i="2" s="1"/>
  <c r="B884" i="1"/>
  <c r="B880" i="2" s="1"/>
  <c r="B885" i="1"/>
  <c r="B881" i="2" s="1"/>
  <c r="B886" i="1"/>
  <c r="B882" i="2" s="1"/>
  <c r="B887" i="1"/>
  <c r="B883" i="2" s="1"/>
  <c r="B888" i="1"/>
  <c r="B884" i="2" s="1"/>
  <c r="B889" i="1"/>
  <c r="B885" i="2" s="1"/>
  <c r="B890" i="1"/>
  <c r="B886" i="2" s="1"/>
  <c r="B891" i="1"/>
  <c r="B887" i="2" s="1"/>
  <c r="B892" i="1"/>
  <c r="B888" i="2" s="1"/>
  <c r="B893" i="1"/>
  <c r="B889" i="2" s="1"/>
  <c r="B894" i="1"/>
  <c r="B890" i="2" s="1"/>
  <c r="B895" i="1"/>
  <c r="B891" i="2" s="1"/>
  <c r="B896" i="1"/>
  <c r="B892" i="2" s="1"/>
  <c r="B897" i="1"/>
  <c r="B893" i="2" s="1"/>
  <c r="B898" i="1"/>
  <c r="B894" i="2" s="1"/>
  <c r="B899" i="1"/>
  <c r="B895" i="2" s="1"/>
  <c r="B900" i="1"/>
  <c r="B896" i="2" s="1"/>
  <c r="B901" i="1"/>
  <c r="B897" i="2" s="1"/>
  <c r="B902" i="1"/>
  <c r="B898" i="2" s="1"/>
  <c r="B903" i="1"/>
  <c r="B899" i="2" s="1"/>
  <c r="B904" i="1"/>
  <c r="B900" i="2" s="1"/>
  <c r="B905" i="1"/>
  <c r="B901" i="2" s="1"/>
  <c r="B906" i="1"/>
  <c r="B902" i="2" s="1"/>
  <c r="B907" i="1"/>
  <c r="B903" i="2" s="1"/>
  <c r="B908" i="1"/>
  <c r="B904" i="2" s="1"/>
  <c r="B909" i="1"/>
  <c r="B905" i="2" s="1"/>
  <c r="B910" i="1"/>
  <c r="B906" i="2" s="1"/>
  <c r="B911" i="1"/>
  <c r="B907" i="2" s="1"/>
  <c r="B912" i="1"/>
  <c r="B908" i="2" s="1"/>
  <c r="B913" i="1"/>
  <c r="B909" i="2" s="1"/>
  <c r="B914" i="1"/>
  <c r="B910" i="2" s="1"/>
  <c r="B915" i="1"/>
  <c r="B911" i="2" s="1"/>
  <c r="B916" i="1"/>
  <c r="B912" i="2" s="1"/>
  <c r="B917" i="1"/>
  <c r="B913" i="2" s="1"/>
  <c r="B918" i="1"/>
  <c r="B914" i="2" s="1"/>
  <c r="B919" i="1"/>
  <c r="B915" i="2" s="1"/>
  <c r="B920" i="1"/>
  <c r="B916" i="2" s="1"/>
  <c r="B921" i="1"/>
  <c r="B917" i="2" s="1"/>
  <c r="B922" i="1"/>
  <c r="B918" i="2" s="1"/>
  <c r="B923" i="1"/>
  <c r="B919" i="2" s="1"/>
  <c r="B924" i="1"/>
  <c r="B920" i="2" s="1"/>
  <c r="B925" i="1"/>
  <c r="B921" i="2" s="1"/>
  <c r="B926" i="1"/>
  <c r="B922" i="2" s="1"/>
  <c r="B927" i="1"/>
  <c r="B923" i="2" s="1"/>
  <c r="B928" i="1"/>
  <c r="B924" i="2" s="1"/>
  <c r="B929" i="1"/>
  <c r="B925" i="2" s="1"/>
  <c r="B798" i="1"/>
  <c r="B794" i="2" s="1"/>
  <c r="Q2727" i="1" l="1"/>
  <c r="M2723" i="2" s="1"/>
  <c r="M2261"/>
  <c r="Q1954" i="1"/>
  <c r="M1488" i="2"/>
  <c r="Q2528" i="1"/>
  <c r="M2524" i="2" s="1"/>
  <c r="M2062"/>
  <c r="Q1938" i="1"/>
  <c r="M1472" i="2"/>
  <c r="Q2368" i="1"/>
  <c r="M2364" i="2" s="1"/>
  <c r="M1902"/>
  <c r="M1449"/>
  <c r="Q1915" i="1"/>
  <c r="M1429" i="2"/>
  <c r="Q1895" i="1"/>
  <c r="Q2359"/>
  <c r="M2355" i="2" s="1"/>
  <c r="M1893"/>
  <c r="M1853"/>
  <c r="Q2319" i="1"/>
  <c r="M2315" i="2" s="1"/>
  <c r="M1909"/>
  <c r="Q2375" i="1"/>
  <c r="M2371" i="2" s="1"/>
  <c r="M1417"/>
  <c r="Q1883" i="1"/>
  <c r="M1397" i="2"/>
  <c r="Q1863" i="1"/>
  <c r="M1877" i="2"/>
  <c r="Q2343" i="1"/>
  <c r="M2339" i="2" s="1"/>
  <c r="Q2336" i="1"/>
  <c r="M2332" i="2" s="1"/>
  <c r="M1870"/>
  <c r="M1861"/>
  <c r="Q2327" i="1"/>
  <c r="M2323" i="2" s="1"/>
  <c r="Q2090" i="1"/>
  <c r="M1624" i="2"/>
  <c r="Q2520" i="1"/>
  <c r="M2516" i="2" s="1"/>
  <c r="M2054"/>
  <c r="Q2010" i="1"/>
  <c r="M1544" i="2"/>
  <c r="Q1930" i="1"/>
  <c r="M1464" i="2"/>
  <c r="Q2098" i="1"/>
  <c r="M1632" i="2"/>
  <c r="Q1962" i="1"/>
  <c r="M1496" i="2"/>
  <c r="M1639"/>
  <c r="Q2105" i="1"/>
  <c r="Q2018"/>
  <c r="M1552" i="2"/>
  <c r="M1390" i="1"/>
  <c r="L1386" i="2" s="1"/>
  <c r="Q1994" i="1"/>
  <c r="M1528" i="2"/>
  <c r="Q2384" i="1"/>
  <c r="M2380" i="2" s="1"/>
  <c r="M1918"/>
  <c r="Q2496" i="1"/>
  <c r="M2492" i="2" s="1"/>
  <c r="M2030"/>
  <c r="Q1898" i="1"/>
  <c r="M1432" i="2"/>
  <c r="Q2074" i="1"/>
  <c r="M1608" i="2"/>
  <c r="Q2026" i="1"/>
  <c r="M1560" i="2"/>
  <c r="Q1970" i="1"/>
  <c r="M1504" i="2"/>
  <c r="Q1866" i="1"/>
  <c r="M1400" i="2"/>
  <c r="Q2042" i="1"/>
  <c r="M1576" i="2"/>
  <c r="Q1946" i="1"/>
  <c r="M1480" i="2"/>
  <c r="Q2082" i="1"/>
  <c r="M1616" i="2"/>
  <c r="Q2050" i="1"/>
  <c r="M1584" i="2"/>
  <c r="Q1978" i="1"/>
  <c r="M1512" i="2"/>
  <c r="Q1890" i="1"/>
  <c r="M1424" i="2"/>
  <c r="Q1986" i="1"/>
  <c r="M1520" i="2"/>
  <c r="Q1882" i="1"/>
  <c r="M1416" i="2"/>
  <c r="Q2002" i="1"/>
  <c r="M1536" i="2"/>
  <c r="Q1914" i="1"/>
  <c r="M1448" i="2"/>
  <c r="Q1858" i="1"/>
  <c r="M1392" i="2"/>
  <c r="M1885"/>
  <c r="Q2351" i="1"/>
  <c r="M2347" i="2" s="1"/>
  <c r="M2236"/>
  <c r="M1774"/>
  <c r="M1852"/>
  <c r="M1390"/>
  <c r="M2268"/>
  <c r="M1806"/>
  <c r="M1884"/>
  <c r="M1422"/>
  <c r="M1821"/>
  <c r="M2283"/>
  <c r="M1789"/>
  <c r="M2251"/>
  <c r="M1757"/>
  <c r="M2219"/>
  <c r="M1725"/>
  <c r="M2187"/>
  <c r="M1709"/>
  <c r="M2171"/>
  <c r="M1677"/>
  <c r="M2139"/>
  <c r="M1645"/>
  <c r="M2107"/>
  <c r="M1613"/>
  <c r="M2075"/>
  <c r="M1581"/>
  <c r="M2043"/>
  <c r="M1549"/>
  <c r="M2011"/>
  <c r="M1517"/>
  <c r="M1979"/>
  <c r="M1947"/>
  <c r="M1485"/>
  <c r="M1915"/>
  <c r="M1453"/>
  <c r="M2140"/>
  <c r="M1678"/>
  <c r="M1948"/>
  <c r="M1486"/>
  <c r="M2272"/>
  <c r="M1810"/>
  <c r="M2216"/>
  <c r="M1754"/>
  <c r="M2188"/>
  <c r="M1726"/>
  <c r="M2132"/>
  <c r="M1670"/>
  <c r="M2080"/>
  <c r="M1618"/>
  <c r="M2028"/>
  <c r="M1566"/>
  <c r="M2000"/>
  <c r="M1538"/>
  <c r="M1944"/>
  <c r="M1482"/>
  <c r="M1888"/>
  <c r="M1426"/>
  <c r="M2212"/>
  <c r="M1750"/>
  <c r="M2100"/>
  <c r="M1638"/>
  <c r="M1992"/>
  <c r="M1530"/>
  <c r="M2276"/>
  <c r="M1814"/>
  <c r="M2104"/>
  <c r="M1642"/>
  <c r="M1964"/>
  <c r="M1502"/>
  <c r="M1713"/>
  <c r="M2175"/>
  <c r="M1649"/>
  <c r="M2111"/>
  <c r="M1585"/>
  <c r="M2047"/>
  <c r="M1521"/>
  <c r="M1983"/>
  <c r="M1489"/>
  <c r="M1951"/>
  <c r="M1871"/>
  <c r="M1409"/>
  <c r="M2248"/>
  <c r="M1786"/>
  <c r="M2096"/>
  <c r="M1634"/>
  <c r="M2016"/>
  <c r="M1554"/>
  <c r="M1940"/>
  <c r="M1478"/>
  <c r="M2224"/>
  <c r="M1762"/>
  <c r="M2112"/>
  <c r="M1650"/>
  <c r="M2060"/>
  <c r="M1598"/>
  <c r="M1952"/>
  <c r="M1490"/>
  <c r="M1896"/>
  <c r="M1434"/>
  <c r="M2292"/>
  <c r="M1830"/>
  <c r="M2164"/>
  <c r="M1702"/>
  <c r="M1988"/>
  <c r="M1526"/>
  <c r="M1793"/>
  <c r="M2255"/>
  <c r="M1761"/>
  <c r="M2223"/>
  <c r="M2288"/>
  <c r="M1826"/>
  <c r="M2260"/>
  <c r="M1798"/>
  <c r="M2232"/>
  <c r="M1770"/>
  <c r="M2176"/>
  <c r="M1714"/>
  <c r="M2148"/>
  <c r="M1686"/>
  <c r="M2120"/>
  <c r="M1658"/>
  <c r="M2092"/>
  <c r="M1630"/>
  <c r="M2068"/>
  <c r="M1606"/>
  <c r="M2040"/>
  <c r="M1578"/>
  <c r="M1984"/>
  <c r="M1522"/>
  <c r="M1960"/>
  <c r="M1498"/>
  <c r="M1932"/>
  <c r="M1470"/>
  <c r="M1904"/>
  <c r="M1442"/>
  <c r="M1872"/>
  <c r="M1410"/>
  <c r="M2296"/>
  <c r="M1834"/>
  <c r="M2180"/>
  <c r="M1718"/>
  <c r="M2128"/>
  <c r="M1666"/>
  <c r="M2020"/>
  <c r="M1558"/>
  <c r="M1968"/>
  <c r="M1506"/>
  <c r="M1912"/>
  <c r="M1450"/>
  <c r="M2308"/>
  <c r="M1846"/>
  <c r="M2240"/>
  <c r="M1778"/>
  <c r="M2144"/>
  <c r="M1682"/>
  <c r="M2064"/>
  <c r="M1602"/>
  <c r="M2008"/>
  <c r="M1546"/>
  <c r="M1928"/>
  <c r="M1466"/>
  <c r="M1856"/>
  <c r="M1394"/>
  <c r="M1729"/>
  <c r="M2191"/>
  <c r="M1697"/>
  <c r="M2159"/>
  <c r="M1665"/>
  <c r="M2127"/>
  <c r="M1633"/>
  <c r="M2095"/>
  <c r="M1601"/>
  <c r="M2063"/>
  <c r="M1569"/>
  <c r="M2031"/>
  <c r="M1537"/>
  <c r="M1999"/>
  <c r="M1505"/>
  <c r="M1967"/>
  <c r="M1935"/>
  <c r="M1473"/>
  <c r="M1887"/>
  <c r="M1425"/>
  <c r="M2228"/>
  <c r="M1766"/>
  <c r="M2192"/>
  <c r="M1730"/>
  <c r="M2156"/>
  <c r="M1694"/>
  <c r="M2116"/>
  <c r="M1654"/>
  <c r="M2072"/>
  <c r="M1610"/>
  <c r="M2036"/>
  <c r="M1574"/>
  <c r="M1996"/>
  <c r="M1534"/>
  <c r="M1956"/>
  <c r="M1494"/>
  <c r="M1920"/>
  <c r="M1458"/>
  <c r="M1899"/>
  <c r="M1437"/>
  <c r="M2252"/>
  <c r="M1790"/>
  <c r="M2196"/>
  <c r="M1734"/>
  <c r="M2088"/>
  <c r="M1626"/>
  <c r="M2032"/>
  <c r="M1570"/>
  <c r="M1924"/>
  <c r="M1462"/>
  <c r="M1864"/>
  <c r="M1402"/>
  <c r="M2256"/>
  <c r="M1794"/>
  <c r="M2184"/>
  <c r="M1722"/>
  <c r="M2124"/>
  <c r="M1662"/>
  <c r="M1841"/>
  <c r="M2303"/>
  <c r="M1809"/>
  <c r="M2271"/>
  <c r="M1777"/>
  <c r="M2239"/>
  <c r="M1745"/>
  <c r="M2207"/>
  <c r="M1903"/>
  <c r="M1441"/>
  <c r="M1855"/>
  <c r="M1393"/>
  <c r="M2204"/>
  <c r="M1742"/>
  <c r="M2012"/>
  <c r="M1550"/>
  <c r="M2076"/>
  <c r="M1614"/>
  <c r="M2300"/>
  <c r="M1838"/>
  <c r="M1837"/>
  <c r="M2299"/>
  <c r="M1805"/>
  <c r="M2267"/>
  <c r="M1773"/>
  <c r="M2235"/>
  <c r="M1741"/>
  <c r="M2203"/>
  <c r="M1693"/>
  <c r="M2155"/>
  <c r="M1661"/>
  <c r="M2123"/>
  <c r="M1629"/>
  <c r="M2091"/>
  <c r="M1597"/>
  <c r="M2059"/>
  <c r="M1565"/>
  <c r="M2027"/>
  <c r="M1533"/>
  <c r="M1995"/>
  <c r="M1501"/>
  <c r="M1963"/>
  <c r="M1931"/>
  <c r="M1469"/>
  <c r="M1851"/>
  <c r="M1389"/>
  <c r="M1980"/>
  <c r="M1518"/>
  <c r="M2044"/>
  <c r="M1582"/>
  <c r="M1876"/>
  <c r="M1414"/>
  <c r="M2304"/>
  <c r="M1842"/>
  <c r="M2244"/>
  <c r="M1782"/>
  <c r="M2160"/>
  <c r="M1698"/>
  <c r="M2056"/>
  <c r="M1594"/>
  <c r="M1972"/>
  <c r="M1510"/>
  <c r="M2264"/>
  <c r="M1802"/>
  <c r="M2152"/>
  <c r="M1690"/>
  <c r="M2048"/>
  <c r="M1586"/>
  <c r="M1936"/>
  <c r="M1474"/>
  <c r="M1880"/>
  <c r="M1418"/>
  <c r="M2200"/>
  <c r="M1738"/>
  <c r="M2024"/>
  <c r="M1562"/>
  <c r="M1681"/>
  <c r="M2143"/>
  <c r="M1617"/>
  <c r="M2079"/>
  <c r="M1553"/>
  <c r="M2015"/>
  <c r="M2284"/>
  <c r="M1822"/>
  <c r="M2208"/>
  <c r="M1746"/>
  <c r="M2136"/>
  <c r="M1674"/>
  <c r="M2052"/>
  <c r="M1590"/>
  <c r="M1976"/>
  <c r="M1514"/>
  <c r="M2280"/>
  <c r="M1818"/>
  <c r="M2168"/>
  <c r="M1706"/>
  <c r="M2004"/>
  <c r="M1542"/>
  <c r="M2220"/>
  <c r="M1758"/>
  <c r="M2084"/>
  <c r="M1622"/>
  <c r="M1825"/>
  <c r="M2287"/>
  <c r="M1919"/>
  <c r="M1457"/>
  <c r="M2108"/>
  <c r="M1646"/>
  <c r="M1916"/>
  <c r="M1454"/>
  <c r="M1860"/>
  <c r="M1398"/>
  <c r="M1892"/>
  <c r="M1430"/>
  <c r="M2172"/>
  <c r="M1710"/>
  <c r="M1900"/>
  <c r="M1438"/>
  <c r="M1868"/>
  <c r="M1406"/>
  <c r="M1883"/>
  <c r="M1421"/>
  <c r="M1867"/>
  <c r="M1405"/>
  <c r="M1908"/>
  <c r="M1446"/>
  <c r="M1382" i="1"/>
  <c r="L1378" i="2" s="1"/>
  <c r="M1262" i="1"/>
  <c r="L1258" i="2" s="1"/>
  <c r="B1319" i="1"/>
  <c r="B1315" i="2" s="1"/>
  <c r="M1326" i="1"/>
  <c r="L1322" i="2" s="1"/>
  <c r="M1318" i="1"/>
  <c r="L1314" i="2" s="1"/>
  <c r="B1295" i="1"/>
  <c r="B1291" i="2" s="1"/>
  <c r="B1275" i="1"/>
  <c r="B1271" i="2" s="1"/>
  <c r="B1359" i="1"/>
  <c r="B1355" i="2" s="1"/>
  <c r="M1294" i="1"/>
  <c r="L1290" i="2" s="1"/>
  <c r="M1358" i="1"/>
  <c r="L1354" i="2" s="1"/>
  <c r="B1383" i="1"/>
  <c r="B1379" i="2" s="1"/>
  <c r="B1339" i="1"/>
  <c r="B1335" i="2" s="1"/>
  <c r="M1286" i="1"/>
  <c r="L1282" i="2" s="1"/>
  <c r="M1350" i="1"/>
  <c r="L1346" i="2" s="1"/>
  <c r="B1311" i="1"/>
  <c r="B1307" i="2" s="1"/>
  <c r="B1375" i="1"/>
  <c r="B1371" i="2" s="1"/>
  <c r="B1263" i="1"/>
  <c r="B1259" i="2" s="1"/>
  <c r="B1287" i="1"/>
  <c r="B1283" i="2" s="1"/>
  <c r="B1307" i="1"/>
  <c r="B1303" i="2" s="1"/>
  <c r="B1327" i="1"/>
  <c r="B1323" i="2" s="1"/>
  <c r="B1351" i="1"/>
  <c r="B1347" i="2" s="1"/>
  <c r="B1371" i="1"/>
  <c r="B1367" i="2" s="1"/>
  <c r="B1391" i="1"/>
  <c r="B1387" i="2" s="1"/>
  <c r="B1821" i="1"/>
  <c r="B1817" i="2" s="1"/>
  <c r="M1278" i="1"/>
  <c r="L1274" i="2" s="1"/>
  <c r="M1310" i="1"/>
  <c r="L1306" i="2" s="1"/>
  <c r="M1342" i="1"/>
  <c r="L1338" i="2" s="1"/>
  <c r="M1374" i="1"/>
  <c r="L1370" i="2" s="1"/>
  <c r="B1271" i="1"/>
  <c r="B1267" i="2" s="1"/>
  <c r="B1291" i="1"/>
  <c r="B1287" i="2" s="1"/>
  <c r="B1335" i="1"/>
  <c r="B1331" i="2" s="1"/>
  <c r="B1355" i="1"/>
  <c r="B1351" i="2" s="1"/>
  <c r="B1279" i="1"/>
  <c r="B1275" i="2" s="1"/>
  <c r="B1303" i="1"/>
  <c r="B1299" i="2" s="1"/>
  <c r="B1323" i="1"/>
  <c r="B1319" i="2" s="1"/>
  <c r="B1343" i="1"/>
  <c r="B1339" i="2" s="1"/>
  <c r="B1367" i="1"/>
  <c r="B1363" i="2" s="1"/>
  <c r="B1387" i="1"/>
  <c r="B1383" i="2" s="1"/>
  <c r="M1270" i="1"/>
  <c r="L1266" i="2" s="1"/>
  <c r="M1302" i="1"/>
  <c r="L1298" i="2" s="1"/>
  <c r="M1334" i="1"/>
  <c r="L1330" i="2" s="1"/>
  <c r="M1366" i="1"/>
  <c r="L1362" i="2" s="1"/>
  <c r="M1267" i="1"/>
  <c r="L1263" i="2" s="1"/>
  <c r="M1275" i="1"/>
  <c r="L1271" i="2" s="1"/>
  <c r="M1283" i="1"/>
  <c r="L1279" i="2" s="1"/>
  <c r="M1291" i="1"/>
  <c r="L1287" i="2" s="1"/>
  <c r="M1299" i="1"/>
  <c r="L1295" i="2" s="1"/>
  <c r="M1307" i="1"/>
  <c r="L1303" i="2" s="1"/>
  <c r="M1315" i="1"/>
  <c r="L1311" i="2" s="1"/>
  <c r="M1323" i="1"/>
  <c r="L1319" i="2" s="1"/>
  <c r="M1331" i="1"/>
  <c r="L1327" i="2" s="1"/>
  <c r="M1339" i="1"/>
  <c r="L1335" i="2" s="1"/>
  <c r="M1347" i="1"/>
  <c r="L1343" i="2" s="1"/>
  <c r="M1355" i="1"/>
  <c r="L1351" i="2" s="1"/>
  <c r="M1363" i="1"/>
  <c r="L1359" i="2" s="1"/>
  <c r="M1371" i="1"/>
  <c r="L1367" i="2" s="1"/>
  <c r="M1379" i="1"/>
  <c r="L1375" i="2" s="1"/>
  <c r="M1387" i="1"/>
  <c r="L1383" i="2" s="1"/>
  <c r="B1267" i="1"/>
  <c r="B1263" i="2" s="1"/>
  <c r="B1283" i="1"/>
  <c r="B1279" i="2" s="1"/>
  <c r="B1299" i="1"/>
  <c r="B1295" i="2" s="1"/>
  <c r="B1315" i="1"/>
  <c r="B1311" i="2" s="1"/>
  <c r="B1331" i="1"/>
  <c r="B1327" i="2" s="1"/>
  <c r="B1347" i="1"/>
  <c r="B1343" i="2" s="1"/>
  <c r="B1363" i="1"/>
  <c r="B1359" i="2" s="1"/>
  <c r="B1379" i="1"/>
  <c r="B1375" i="2" s="1"/>
  <c r="M1266" i="1"/>
  <c r="L1262" i="2" s="1"/>
  <c r="M1274" i="1"/>
  <c r="L1270" i="2" s="1"/>
  <c r="M1282" i="1"/>
  <c r="L1278" i="2" s="1"/>
  <c r="M1290" i="1"/>
  <c r="L1286" i="2" s="1"/>
  <c r="M1298" i="1"/>
  <c r="L1294" i="2" s="1"/>
  <c r="M1306" i="1"/>
  <c r="L1302" i="2" s="1"/>
  <c r="M1314" i="1"/>
  <c r="L1310" i="2" s="1"/>
  <c r="M1322" i="1"/>
  <c r="L1318" i="2" s="1"/>
  <c r="M1330" i="1"/>
  <c r="L1326" i="2" s="1"/>
  <c r="M1338" i="1"/>
  <c r="L1334" i="2" s="1"/>
  <c r="M1346" i="1"/>
  <c r="L1342" i="2" s="1"/>
  <c r="M1354" i="1"/>
  <c r="L1350" i="2" s="1"/>
  <c r="M1362" i="1"/>
  <c r="L1358" i="2" s="1"/>
  <c r="M1370" i="1"/>
  <c r="L1366" i="2" s="1"/>
  <c r="M1378" i="1"/>
  <c r="L1374" i="2" s="1"/>
  <c r="M1386" i="1"/>
  <c r="L1382" i="2" s="1"/>
  <c r="M1263" i="1"/>
  <c r="L1259" i="2" s="1"/>
  <c r="M1271" i="1"/>
  <c r="L1267" i="2" s="1"/>
  <c r="M1279" i="1"/>
  <c r="L1275" i="2" s="1"/>
  <c r="M1287" i="1"/>
  <c r="L1283" i="2" s="1"/>
  <c r="M1295" i="1"/>
  <c r="L1291" i="2" s="1"/>
  <c r="M1303" i="1"/>
  <c r="L1299" i="2" s="1"/>
  <c r="M1311" i="1"/>
  <c r="L1307" i="2" s="1"/>
  <c r="M1319" i="1"/>
  <c r="L1315" i="2" s="1"/>
  <c r="M1327" i="1"/>
  <c r="L1323" i="2" s="1"/>
  <c r="M1335" i="1"/>
  <c r="L1331" i="2" s="1"/>
  <c r="M1343" i="1"/>
  <c r="L1339" i="2" s="1"/>
  <c r="M1351" i="1"/>
  <c r="L1347" i="2" s="1"/>
  <c r="M1359" i="1"/>
  <c r="L1355" i="2" s="1"/>
  <c r="M1367" i="1"/>
  <c r="L1363" i="2" s="1"/>
  <c r="M1375" i="1"/>
  <c r="L1371" i="2" s="1"/>
  <c r="M1383" i="1"/>
  <c r="L1379" i="2" s="1"/>
  <c r="B1385" i="1"/>
  <c r="B1381" i="2" s="1"/>
  <c r="B1377" i="1"/>
  <c r="B1373" i="2" s="1"/>
  <c r="B1369" i="1"/>
  <c r="B1365" i="2" s="1"/>
  <c r="B1361" i="1"/>
  <c r="B1357" i="2" s="1"/>
  <c r="B1353" i="1"/>
  <c r="B1349" i="2" s="1"/>
  <c r="B1341" i="1"/>
  <c r="B1337" i="2" s="1"/>
  <c r="B1333" i="1"/>
  <c r="B1329" i="2" s="1"/>
  <c r="B1325" i="1"/>
  <c r="B1321" i="2" s="1"/>
  <c r="B1317" i="1"/>
  <c r="B1313" i="2" s="1"/>
  <c r="B1309" i="1"/>
  <c r="B1305" i="2" s="1"/>
  <c r="B1301" i="1"/>
  <c r="B1297" i="2" s="1"/>
  <c r="B1289" i="1"/>
  <c r="B1285" i="2" s="1"/>
  <c r="B1281" i="1"/>
  <c r="B1277" i="2" s="1"/>
  <c r="B1273" i="1"/>
  <c r="B1269" i="2" s="1"/>
  <c r="B1265" i="1"/>
  <c r="B1261" i="2" s="1"/>
  <c r="B1261" i="1"/>
  <c r="B1257" i="2" s="1"/>
  <c r="M1388" i="1"/>
  <c r="L1384" i="2" s="1"/>
  <c r="M1380" i="1"/>
  <c r="L1376" i="2" s="1"/>
  <c r="M1372" i="1"/>
  <c r="L1368" i="2" s="1"/>
  <c r="M1364" i="1"/>
  <c r="L1360" i="2" s="1"/>
  <c r="M1356" i="1"/>
  <c r="L1352" i="2" s="1"/>
  <c r="M1348" i="1"/>
  <c r="L1344" i="2" s="1"/>
  <c r="M1340" i="1"/>
  <c r="L1336" i="2" s="1"/>
  <c r="M1332" i="1"/>
  <c r="L1328" i="2" s="1"/>
  <c r="M1324" i="1"/>
  <c r="L1320" i="2" s="1"/>
  <c r="M1316" i="1"/>
  <c r="L1312" i="2" s="1"/>
  <c r="M1308" i="1"/>
  <c r="L1304" i="2" s="1"/>
  <c r="M1300" i="1"/>
  <c r="L1296" i="2" s="1"/>
  <c r="M1292" i="1"/>
  <c r="L1288" i="2" s="1"/>
  <c r="M1284" i="1"/>
  <c r="L1280" i="2" s="1"/>
  <c r="M1276" i="1"/>
  <c r="L1272" i="2" s="1"/>
  <c r="M1268" i="1"/>
  <c r="L1264" i="2" s="1"/>
  <c r="M1264" i="1"/>
  <c r="L1260" i="2" s="1"/>
  <c r="B1809" i="1"/>
  <c r="B1805" i="2" s="1"/>
  <c r="B1266" i="1"/>
  <c r="B1262" i="2" s="1"/>
  <c r="B1282" i="1"/>
  <c r="B1278" i="2" s="1"/>
  <c r="B1306" i="1"/>
  <c r="B1302" i="2" s="1"/>
  <c r="B1322" i="1"/>
  <c r="B1318" i="2" s="1"/>
  <c r="B1338" i="1"/>
  <c r="B1334" i="2" s="1"/>
  <c r="B1354" i="1"/>
  <c r="B1350" i="2" s="1"/>
  <c r="B1370" i="1"/>
  <c r="B1366" i="2" s="1"/>
  <c r="B1801" i="1"/>
  <c r="B1797" i="2" s="1"/>
  <c r="M1391" i="1"/>
  <c r="L1387" i="2" s="1"/>
  <c r="B1389" i="1"/>
  <c r="B1385" i="2" s="1"/>
  <c r="B1381" i="1"/>
  <c r="B1377" i="2" s="1"/>
  <c r="B1373" i="1"/>
  <c r="B1369" i="2" s="1"/>
  <c r="B1365" i="1"/>
  <c r="B1361" i="2" s="1"/>
  <c r="B1357" i="1"/>
  <c r="B1353" i="2" s="1"/>
  <c r="B1349" i="1"/>
  <c r="B1345" i="2" s="1"/>
  <c r="B1345" i="1"/>
  <c r="B1341" i="2" s="1"/>
  <c r="B1337" i="1"/>
  <c r="B1333" i="2" s="1"/>
  <c r="B1329" i="1"/>
  <c r="B1325" i="2" s="1"/>
  <c r="B1321" i="1"/>
  <c r="B1317" i="2" s="1"/>
  <c r="B1313" i="1"/>
  <c r="B1309" i="2" s="1"/>
  <c r="B1305" i="1"/>
  <c r="B1301" i="2" s="1"/>
  <c r="B1297" i="1"/>
  <c r="B1293" i="2" s="1"/>
  <c r="B1293" i="1"/>
  <c r="B1289" i="2" s="1"/>
  <c r="B1285" i="1"/>
  <c r="B1281" i="2" s="1"/>
  <c r="B1277" i="1"/>
  <c r="B1273" i="2" s="1"/>
  <c r="B1269" i="1"/>
  <c r="B1265" i="2" s="1"/>
  <c r="M1384" i="1"/>
  <c r="L1380" i="2" s="1"/>
  <c r="M1376" i="1"/>
  <c r="L1372" i="2" s="1"/>
  <c r="M1368" i="1"/>
  <c r="L1364" i="2" s="1"/>
  <c r="M1360" i="1"/>
  <c r="L1356" i="2" s="1"/>
  <c r="M1352" i="1"/>
  <c r="L1348" i="2" s="1"/>
  <c r="M1344" i="1"/>
  <c r="L1340" i="2" s="1"/>
  <c r="M1336" i="1"/>
  <c r="L1332" i="2" s="1"/>
  <c r="M1328" i="1"/>
  <c r="L1324" i="2" s="1"/>
  <c r="M1320" i="1"/>
  <c r="L1316" i="2" s="1"/>
  <c r="M1312" i="1"/>
  <c r="L1308" i="2" s="1"/>
  <c r="M1304" i="1"/>
  <c r="L1300" i="2" s="1"/>
  <c r="M1296" i="1"/>
  <c r="L1292" i="2" s="1"/>
  <c r="M1288" i="1"/>
  <c r="L1284" i="2" s="1"/>
  <c r="M1280" i="1"/>
  <c r="L1276" i="2" s="1"/>
  <c r="M1272" i="1"/>
  <c r="L1268" i="2" s="1"/>
  <c r="B1274" i="1"/>
  <c r="B1270" i="2" s="1"/>
  <c r="B1290" i="1"/>
  <c r="B1286" i="2" s="1"/>
  <c r="B1298" i="1"/>
  <c r="B1294" i="2" s="1"/>
  <c r="B1314" i="1"/>
  <c r="B1310" i="2" s="1"/>
  <c r="B1330" i="1"/>
  <c r="B1326" i="2" s="1"/>
  <c r="B1346" i="1"/>
  <c r="B1342" i="2" s="1"/>
  <c r="B1362" i="1"/>
  <c r="B1358" i="2" s="1"/>
  <c r="B1378" i="1"/>
  <c r="B1374" i="2" s="1"/>
  <c r="B1386" i="1"/>
  <c r="B1382" i="2" s="1"/>
  <c r="B1262" i="1"/>
  <c r="B1258" i="2" s="1"/>
  <c r="B1270" i="1"/>
  <c r="B1266" i="2" s="1"/>
  <c r="B1278" i="1"/>
  <c r="B1274" i="2" s="1"/>
  <c r="B1286" i="1"/>
  <c r="B1282" i="2" s="1"/>
  <c r="B1294" i="1"/>
  <c r="B1290" i="2" s="1"/>
  <c r="B1302" i="1"/>
  <c r="B1298" i="2" s="1"/>
  <c r="B1310" i="1"/>
  <c r="B1306" i="2" s="1"/>
  <c r="B1318" i="1"/>
  <c r="B1314" i="2" s="1"/>
  <c r="B1326" i="1"/>
  <c r="B1322" i="2" s="1"/>
  <c r="B1334" i="1"/>
  <c r="B1330" i="2" s="1"/>
  <c r="B1342" i="1"/>
  <c r="B1338" i="2" s="1"/>
  <c r="B1350" i="1"/>
  <c r="B1346" i="2" s="1"/>
  <c r="B1358" i="1"/>
  <c r="B1354" i="2" s="1"/>
  <c r="B1366" i="1"/>
  <c r="B1362" i="2" s="1"/>
  <c r="B1374" i="1"/>
  <c r="B1370" i="2" s="1"/>
  <c r="B1382" i="1"/>
  <c r="B1378" i="2" s="1"/>
  <c r="B1390" i="1"/>
  <c r="B1386" i="2" s="1"/>
  <c r="M1736" i="1"/>
  <c r="L1732" i="2" s="1"/>
  <c r="M1800" i="1"/>
  <c r="L1796" i="2" s="1"/>
  <c r="M1832" i="1"/>
  <c r="L1828" i="2" s="1"/>
  <c r="M1836" i="1"/>
  <c r="L1832" i="2" s="1"/>
  <c r="M1261" i="1"/>
  <c r="L1257" i="2" s="1"/>
  <c r="M1265" i="1"/>
  <c r="L1261" i="2" s="1"/>
  <c r="M1269" i="1"/>
  <c r="L1265" i="2" s="1"/>
  <c r="M1273" i="1"/>
  <c r="L1269" i="2" s="1"/>
  <c r="M1277" i="1"/>
  <c r="L1273" i="2" s="1"/>
  <c r="M1281" i="1"/>
  <c r="L1277" i="2" s="1"/>
  <c r="M1285" i="1"/>
  <c r="L1281" i="2" s="1"/>
  <c r="M1289" i="1"/>
  <c r="L1285" i="2" s="1"/>
  <c r="M1293" i="1"/>
  <c r="L1289" i="2" s="1"/>
  <c r="M1297" i="1"/>
  <c r="L1293" i="2" s="1"/>
  <c r="M1301" i="1"/>
  <c r="L1297" i="2" s="1"/>
  <c r="M1305" i="1"/>
  <c r="L1301" i="2" s="1"/>
  <c r="M1309" i="1"/>
  <c r="L1305" i="2" s="1"/>
  <c r="M1313" i="1"/>
  <c r="L1309" i="2" s="1"/>
  <c r="M1317" i="1"/>
  <c r="L1313" i="2" s="1"/>
  <c r="M1321" i="1"/>
  <c r="L1317" i="2" s="1"/>
  <c r="M1325" i="1"/>
  <c r="L1321" i="2" s="1"/>
  <c r="M1329" i="1"/>
  <c r="L1325" i="2" s="1"/>
  <c r="M1333" i="1"/>
  <c r="L1329" i="2" s="1"/>
  <c r="M1337" i="1"/>
  <c r="L1333" i="2" s="1"/>
  <c r="M1341" i="1"/>
  <c r="L1337" i="2" s="1"/>
  <c r="M1345" i="1"/>
  <c r="L1341" i="2" s="1"/>
  <c r="M1349" i="1"/>
  <c r="L1345" i="2" s="1"/>
  <c r="M1353" i="1"/>
  <c r="L1349" i="2" s="1"/>
  <c r="M1357" i="1"/>
  <c r="L1353" i="2" s="1"/>
  <c r="M1361" i="1"/>
  <c r="L1357" i="2" s="1"/>
  <c r="M1365" i="1"/>
  <c r="L1361" i="2" s="1"/>
  <c r="M1369" i="1"/>
  <c r="L1365" i="2" s="1"/>
  <c r="M1373" i="1"/>
  <c r="L1369" i="2" s="1"/>
  <c r="M1377" i="1"/>
  <c r="L1373" i="2" s="1"/>
  <c r="M1381" i="1"/>
  <c r="L1377" i="2" s="1"/>
  <c r="M1385" i="1"/>
  <c r="L1381" i="2" s="1"/>
  <c r="M1389" i="1"/>
  <c r="L1385" i="2" s="1"/>
  <c r="B1260" i="1"/>
  <c r="B1256" i="2" s="1"/>
  <c r="B1264" i="1"/>
  <c r="B1260" i="2" s="1"/>
  <c r="B1268" i="1"/>
  <c r="B1264" i="2" s="1"/>
  <c r="B1272" i="1"/>
  <c r="B1268" i="2" s="1"/>
  <c r="B1276" i="1"/>
  <c r="B1272" i="2" s="1"/>
  <c r="B1280" i="1"/>
  <c r="B1276" i="2" s="1"/>
  <c r="B1284" i="1"/>
  <c r="B1280" i="2" s="1"/>
  <c r="B1288" i="1"/>
  <c r="B1284" i="2" s="1"/>
  <c r="B1292" i="1"/>
  <c r="B1288" i="2" s="1"/>
  <c r="B1296" i="1"/>
  <c r="B1292" i="2" s="1"/>
  <c r="B1300" i="1"/>
  <c r="B1296" i="2" s="1"/>
  <c r="B1304" i="1"/>
  <c r="B1300" i="2" s="1"/>
  <c r="B1308" i="1"/>
  <c r="B1304" i="2" s="1"/>
  <c r="B1312" i="1"/>
  <c r="B1308" i="2" s="1"/>
  <c r="B1316" i="1"/>
  <c r="B1312" i="2" s="1"/>
  <c r="B1320" i="1"/>
  <c r="B1316" i="2" s="1"/>
  <c r="B1324" i="1"/>
  <c r="B1320" i="2" s="1"/>
  <c r="B1328" i="1"/>
  <c r="B1324" i="2" s="1"/>
  <c r="B1332" i="1"/>
  <c r="B1328" i="2" s="1"/>
  <c r="B1336" i="1"/>
  <c r="B1332" i="2" s="1"/>
  <c r="B1340" i="1"/>
  <c r="B1336" i="2" s="1"/>
  <c r="B1344" i="1"/>
  <c r="B1340" i="2" s="1"/>
  <c r="B1348" i="1"/>
  <c r="B1344" i="2" s="1"/>
  <c r="B1352" i="1"/>
  <c r="B1348" i="2" s="1"/>
  <c r="B1356" i="1"/>
  <c r="B1352" i="2" s="1"/>
  <c r="B1360" i="1"/>
  <c r="B1356" i="2" s="1"/>
  <c r="B1364" i="1"/>
  <c r="B1360" i="2" s="1"/>
  <c r="B1368" i="1"/>
  <c r="B1364" i="2" s="1"/>
  <c r="B1372" i="1"/>
  <c r="B1368" i="2" s="1"/>
  <c r="B1376" i="1"/>
  <c r="B1372" i="2" s="1"/>
  <c r="B1380" i="1"/>
  <c r="B1376" i="2" s="1"/>
  <c r="B1384" i="1"/>
  <c r="B1380" i="2" s="1"/>
  <c r="B1388" i="1"/>
  <c r="B1384" i="2" s="1"/>
  <c r="M1260" i="1"/>
  <c r="L1256" i="2" s="1"/>
  <c r="L1261" i="1"/>
  <c r="K1257" i="2" s="1"/>
  <c r="L1262" i="1"/>
  <c r="K1258" i="2" s="1"/>
  <c r="L1263" i="1"/>
  <c r="K1259" i="2" s="1"/>
  <c r="L1264" i="1"/>
  <c r="K1260" i="2" s="1"/>
  <c r="L1265" i="1"/>
  <c r="K1261" i="2" s="1"/>
  <c r="L1266" i="1"/>
  <c r="K1262" i="2" s="1"/>
  <c r="L1267" i="1"/>
  <c r="K1263" i="2" s="1"/>
  <c r="L1268" i="1"/>
  <c r="K1264" i="2" s="1"/>
  <c r="L1269" i="1"/>
  <c r="K1265" i="2" s="1"/>
  <c r="L1270" i="1"/>
  <c r="K1266" i="2" s="1"/>
  <c r="L1271" i="1"/>
  <c r="K1267" i="2" s="1"/>
  <c r="L1272" i="1"/>
  <c r="K1268" i="2" s="1"/>
  <c r="L1273" i="1"/>
  <c r="K1269" i="2" s="1"/>
  <c r="L1274" i="1"/>
  <c r="K1270" i="2" s="1"/>
  <c r="L1275" i="1"/>
  <c r="K1271" i="2" s="1"/>
  <c r="L1276" i="1"/>
  <c r="K1272" i="2" s="1"/>
  <c r="L1277" i="1"/>
  <c r="K1273" i="2" s="1"/>
  <c r="L1278" i="1"/>
  <c r="K1274" i="2" s="1"/>
  <c r="L1279" i="1"/>
  <c r="K1275" i="2" s="1"/>
  <c r="L1280" i="1"/>
  <c r="K1276" i="2" s="1"/>
  <c r="L1281" i="1"/>
  <c r="K1277" i="2" s="1"/>
  <c r="L1296" i="1"/>
  <c r="K1292" i="2" s="1"/>
  <c r="L1260" i="1"/>
  <c r="K1256" i="2" s="1"/>
  <c r="I337" i="1"/>
  <c r="I2185" s="1"/>
  <c r="I338"/>
  <c r="I2186" s="1"/>
  <c r="I339"/>
  <c r="I1725" s="1"/>
  <c r="I340"/>
  <c r="I2188" s="1"/>
  <c r="I341"/>
  <c r="I2189" s="1"/>
  <c r="I342"/>
  <c r="I2190" s="1"/>
  <c r="I343"/>
  <c r="I1729" s="1"/>
  <c r="I344"/>
  <c r="I2192" s="1"/>
  <c r="I345"/>
  <c r="I2193" s="1"/>
  <c r="I346"/>
  <c r="I368" s="1"/>
  <c r="I347"/>
  <c r="I1733" s="1"/>
  <c r="I348"/>
  <c r="I2196" s="1"/>
  <c r="I349"/>
  <c r="I2197" s="1"/>
  <c r="I350"/>
  <c r="I372" s="1"/>
  <c r="I351"/>
  <c r="I1737" s="1"/>
  <c r="I352"/>
  <c r="I2200" s="1"/>
  <c r="I353"/>
  <c r="I2201" s="1"/>
  <c r="I354"/>
  <c r="I376" s="1"/>
  <c r="I355"/>
  <c r="I1741" s="1"/>
  <c r="I356"/>
  <c r="I2204" s="1"/>
  <c r="I357"/>
  <c r="I2205" s="1"/>
  <c r="I336"/>
  <c r="I2184" s="1"/>
  <c r="C1854"/>
  <c r="C1850" i="2" s="1"/>
  <c r="C1855" i="1"/>
  <c r="C1851" i="2" s="1"/>
  <c r="C1856" i="1"/>
  <c r="C1852" i="2" s="1"/>
  <c r="C1857" i="1"/>
  <c r="C1853" i="2" s="1"/>
  <c r="C1858" i="1"/>
  <c r="C1854" i="2" s="1"/>
  <c r="C1859" i="1"/>
  <c r="C1855" i="2" s="1"/>
  <c r="C1860" i="1"/>
  <c r="C1856" i="2" s="1"/>
  <c r="C1861" i="1"/>
  <c r="C1857" i="2" s="1"/>
  <c r="C1862" i="1"/>
  <c r="C1858" i="2" s="1"/>
  <c r="C1863" i="1"/>
  <c r="C1859" i="2" s="1"/>
  <c r="C1864" i="1"/>
  <c r="C1860" i="2" s="1"/>
  <c r="C1865" i="1"/>
  <c r="C1861" i="2" s="1"/>
  <c r="C1866" i="1"/>
  <c r="C1862" i="2" s="1"/>
  <c r="C1867" i="1"/>
  <c r="C1863" i="2" s="1"/>
  <c r="C1868" i="1"/>
  <c r="C1864" i="2" s="1"/>
  <c r="C1869" i="1"/>
  <c r="C1865" i="2" s="1"/>
  <c r="C1870" i="1"/>
  <c r="C1866" i="2" s="1"/>
  <c r="C1871" i="1"/>
  <c r="C1867" i="2" s="1"/>
  <c r="C1872" i="1"/>
  <c r="C1868" i="2" s="1"/>
  <c r="C1873" i="1"/>
  <c r="C1869" i="2" s="1"/>
  <c r="C1874" i="1"/>
  <c r="C1870" i="2" s="1"/>
  <c r="C1875" i="1"/>
  <c r="C1871" i="2" s="1"/>
  <c r="C1876" i="1"/>
  <c r="C1872" i="2" s="1"/>
  <c r="C1877" i="1"/>
  <c r="C1873" i="2" s="1"/>
  <c r="C1878" i="1"/>
  <c r="C1874" i="2" s="1"/>
  <c r="C1879" i="1"/>
  <c r="C1875" i="2" s="1"/>
  <c r="C1880" i="1"/>
  <c r="C1876" i="2" s="1"/>
  <c r="C1881" i="1"/>
  <c r="C1877" i="2" s="1"/>
  <c r="C1882" i="1"/>
  <c r="C1878" i="2" s="1"/>
  <c r="C1883" i="1"/>
  <c r="C1879" i="2" s="1"/>
  <c r="C1884" i="1"/>
  <c r="C1880" i="2" s="1"/>
  <c r="C1885" i="1"/>
  <c r="C1881" i="2" s="1"/>
  <c r="C1886" i="1"/>
  <c r="C1882" i="2" s="1"/>
  <c r="C1887" i="1"/>
  <c r="C1883" i="2" s="1"/>
  <c r="C1888" i="1"/>
  <c r="C1884" i="2" s="1"/>
  <c r="C1889" i="1"/>
  <c r="C1885" i="2" s="1"/>
  <c r="C1890" i="1"/>
  <c r="C1886" i="2" s="1"/>
  <c r="C1891" i="1"/>
  <c r="C1887" i="2" s="1"/>
  <c r="C1892" i="1"/>
  <c r="C1888" i="2" s="1"/>
  <c r="C1893" i="1"/>
  <c r="C1889" i="2" s="1"/>
  <c r="C1894" i="1"/>
  <c r="C1890" i="2" s="1"/>
  <c r="C1895" i="1"/>
  <c r="C1891" i="2" s="1"/>
  <c r="C1896" i="1"/>
  <c r="C1892" i="2" s="1"/>
  <c r="C1897" i="1"/>
  <c r="C1893" i="2" s="1"/>
  <c r="C1898" i="1"/>
  <c r="C1894" i="2" s="1"/>
  <c r="C1899" i="1"/>
  <c r="C1895" i="2" s="1"/>
  <c r="C1900" i="1"/>
  <c r="C1896" i="2" s="1"/>
  <c r="C1901" i="1"/>
  <c r="C1897" i="2" s="1"/>
  <c r="C1902" i="1"/>
  <c r="C1898" i="2" s="1"/>
  <c r="C1903" i="1"/>
  <c r="C1899" i="2" s="1"/>
  <c r="C1904" i="1"/>
  <c r="C1900" i="2" s="1"/>
  <c r="C1905" i="1"/>
  <c r="C1901" i="2" s="1"/>
  <c r="C1906" i="1"/>
  <c r="C1902" i="2" s="1"/>
  <c r="C1907" i="1"/>
  <c r="C1903" i="2" s="1"/>
  <c r="C1908" i="1"/>
  <c r="C1904" i="2" s="1"/>
  <c r="C1909" i="1"/>
  <c r="C1905" i="2" s="1"/>
  <c r="C1910" i="1"/>
  <c r="C1906" i="2" s="1"/>
  <c r="C1911" i="1"/>
  <c r="C1907" i="2" s="1"/>
  <c r="C1912" i="1"/>
  <c r="C1908" i="2" s="1"/>
  <c r="C1913" i="1"/>
  <c r="C1909" i="2" s="1"/>
  <c r="C1914" i="1"/>
  <c r="C1910" i="2" s="1"/>
  <c r="C1915" i="1"/>
  <c r="C1911" i="2" s="1"/>
  <c r="C1916" i="1"/>
  <c r="C1912" i="2" s="1"/>
  <c r="C1917" i="1"/>
  <c r="C1913" i="2" s="1"/>
  <c r="C1918" i="1"/>
  <c r="C1914" i="2" s="1"/>
  <c r="C1919" i="1"/>
  <c r="C1915" i="2" s="1"/>
  <c r="C1920" i="1"/>
  <c r="C1916" i="2" s="1"/>
  <c r="C1921" i="1"/>
  <c r="C1917" i="2" s="1"/>
  <c r="C1922" i="1"/>
  <c r="C1918" i="2" s="1"/>
  <c r="C1923" i="1"/>
  <c r="C1919" i="2" s="1"/>
  <c r="C1924" i="1"/>
  <c r="C1920" i="2" s="1"/>
  <c r="C1925" i="1"/>
  <c r="C1921" i="2" s="1"/>
  <c r="C1926" i="1"/>
  <c r="C1922" i="2" s="1"/>
  <c r="C1927" i="1"/>
  <c r="C1923" i="2" s="1"/>
  <c r="C1928" i="1"/>
  <c r="C1924" i="2" s="1"/>
  <c r="C1929" i="1"/>
  <c r="C1925" i="2" s="1"/>
  <c r="C1930" i="1"/>
  <c r="C1926" i="2" s="1"/>
  <c r="C1931" i="1"/>
  <c r="C1927" i="2" s="1"/>
  <c r="C1932" i="1"/>
  <c r="C1928" i="2" s="1"/>
  <c r="C1933" i="1"/>
  <c r="C1929" i="2" s="1"/>
  <c r="C1934" i="1"/>
  <c r="C1930" i="2" s="1"/>
  <c r="C1935" i="1"/>
  <c r="C1931" i="2" s="1"/>
  <c r="C1936" i="1"/>
  <c r="C1932" i="2" s="1"/>
  <c r="C1937" i="1"/>
  <c r="C1933" i="2" s="1"/>
  <c r="C1938" i="1"/>
  <c r="C1934" i="2" s="1"/>
  <c r="C1939" i="1"/>
  <c r="C1935" i="2" s="1"/>
  <c r="C1940" i="1"/>
  <c r="C1936" i="2" s="1"/>
  <c r="C1941" i="1"/>
  <c r="C1937" i="2" s="1"/>
  <c r="C1942" i="1"/>
  <c r="C1938" i="2" s="1"/>
  <c r="C1943" i="1"/>
  <c r="C1939" i="2" s="1"/>
  <c r="C1944" i="1"/>
  <c r="C1940" i="2" s="1"/>
  <c r="C1946" i="1"/>
  <c r="C1942" i="2" s="1"/>
  <c r="C1947" i="1"/>
  <c r="C1943" i="2" s="1"/>
  <c r="C1948" i="1"/>
  <c r="C1944" i="2" s="1"/>
  <c r="C1949" i="1"/>
  <c r="C1945" i="2" s="1"/>
  <c r="C1950" i="1"/>
  <c r="C1946" i="2" s="1"/>
  <c r="C1951" i="1"/>
  <c r="C1947" i="2" s="1"/>
  <c r="C1952" i="1"/>
  <c r="C1948" i="2" s="1"/>
  <c r="C1953" i="1"/>
  <c r="C1949" i="2" s="1"/>
  <c r="C1954" i="1"/>
  <c r="C1950" i="2" s="1"/>
  <c r="C1955" i="1"/>
  <c r="C1951" i="2" s="1"/>
  <c r="C1956" i="1"/>
  <c r="C1952" i="2" s="1"/>
  <c r="C1957" i="1"/>
  <c r="C1953" i="2" s="1"/>
  <c r="C1958" i="1"/>
  <c r="C1954" i="2" s="1"/>
  <c r="C1959" i="1"/>
  <c r="C1955" i="2" s="1"/>
  <c r="C1960" i="1"/>
  <c r="C1956" i="2" s="1"/>
  <c r="C1961" i="1"/>
  <c r="C1957" i="2" s="1"/>
  <c r="C1962" i="1"/>
  <c r="C1958" i="2" s="1"/>
  <c r="C1963" i="1"/>
  <c r="C1959" i="2" s="1"/>
  <c r="C1964" i="1"/>
  <c r="C1960" i="2" s="1"/>
  <c r="C1965" i="1"/>
  <c r="C1961" i="2" s="1"/>
  <c r="C1966" i="1"/>
  <c r="C1962" i="2" s="1"/>
  <c r="C1967" i="1"/>
  <c r="C1963" i="2" s="1"/>
  <c r="C1969" i="1"/>
  <c r="C1965" i="2" s="1"/>
  <c r="C1970" i="1"/>
  <c r="C1966" i="2" s="1"/>
  <c r="C1971" i="1"/>
  <c r="C1967" i="2" s="1"/>
  <c r="C1972" i="1"/>
  <c r="C1968" i="2" s="1"/>
  <c r="C1973" i="1"/>
  <c r="C1969" i="2" s="1"/>
  <c r="C1974" i="1"/>
  <c r="C1970" i="2" s="1"/>
  <c r="C1975" i="1"/>
  <c r="C1971" i="2" s="1"/>
  <c r="C1976" i="1"/>
  <c r="C1972" i="2" s="1"/>
  <c r="C1977" i="1"/>
  <c r="C1973" i="2" s="1"/>
  <c r="C1978" i="1"/>
  <c r="C1974" i="2" s="1"/>
  <c r="C1979" i="1"/>
  <c r="C1975" i="2" s="1"/>
  <c r="C1980" i="1"/>
  <c r="C1976" i="2" s="1"/>
  <c r="C1981" i="1"/>
  <c r="C1977" i="2" s="1"/>
  <c r="C1982" i="1"/>
  <c r="C1978" i="2" s="1"/>
  <c r="C1983" i="1"/>
  <c r="C1979" i="2" s="1"/>
  <c r="C1984" i="1"/>
  <c r="C1980" i="2" s="1"/>
  <c r="C1985" i="1"/>
  <c r="C1981" i="2" s="1"/>
  <c r="C1986" i="1"/>
  <c r="C1982" i="2" s="1"/>
  <c r="C1987" i="1"/>
  <c r="C1983" i="2" s="1"/>
  <c r="C1988" i="1"/>
  <c r="C1984" i="2" s="1"/>
  <c r="C1989" i="1"/>
  <c r="C1985" i="2" s="1"/>
  <c r="C1990" i="1"/>
  <c r="C1986" i="2" s="1"/>
  <c r="C1991" i="1"/>
  <c r="C1987" i="2" s="1"/>
  <c r="C1992" i="1"/>
  <c r="C1988" i="2" s="1"/>
  <c r="C1993" i="1"/>
  <c r="C1989" i="2" s="1"/>
  <c r="C1994" i="1"/>
  <c r="C1990" i="2" s="1"/>
  <c r="C1995" i="1"/>
  <c r="C1991" i="2" s="1"/>
  <c r="C1996" i="1"/>
  <c r="C1992" i="2" s="1"/>
  <c r="C1997" i="1"/>
  <c r="C1993" i="2" s="1"/>
  <c r="C1998" i="1"/>
  <c r="C1994" i="2" s="1"/>
  <c r="C1999" i="1"/>
  <c r="C1995" i="2" s="1"/>
  <c r="C2000" i="1"/>
  <c r="C1996" i="2" s="1"/>
  <c r="C2001" i="1"/>
  <c r="C1997" i="2" s="1"/>
  <c r="C2002" i="1"/>
  <c r="C1998" i="2" s="1"/>
  <c r="C2003" i="1"/>
  <c r="C1999" i="2" s="1"/>
  <c r="C2004" i="1"/>
  <c r="C2000" i="2" s="1"/>
  <c r="C2005" i="1"/>
  <c r="C2001" i="2" s="1"/>
  <c r="C2006" i="1"/>
  <c r="C2002" i="2" s="1"/>
  <c r="C2007" i="1"/>
  <c r="C2003" i="2" s="1"/>
  <c r="C2008" i="1"/>
  <c r="C2004" i="2" s="1"/>
  <c r="C2009" i="1"/>
  <c r="C2005" i="2" s="1"/>
  <c r="C2010" i="1"/>
  <c r="C2006" i="2" s="1"/>
  <c r="C2011" i="1"/>
  <c r="C2007" i="2" s="1"/>
  <c r="C2012" i="1"/>
  <c r="C2008" i="2" s="1"/>
  <c r="C2013" i="1"/>
  <c r="C2009" i="2" s="1"/>
  <c r="C2014" i="1"/>
  <c r="C2010" i="2" s="1"/>
  <c r="C2015" i="1"/>
  <c r="C2011" i="2" s="1"/>
  <c r="C2016" i="1"/>
  <c r="C2012" i="2" s="1"/>
  <c r="C2017" i="1"/>
  <c r="C2013" i="2" s="1"/>
  <c r="C2018" i="1"/>
  <c r="C2014" i="2" s="1"/>
  <c r="C2019" i="1"/>
  <c r="C2015" i="2" s="1"/>
  <c r="C2020" i="1"/>
  <c r="C2016" i="2" s="1"/>
  <c r="C2021" i="1"/>
  <c r="C2017" i="2" s="1"/>
  <c r="C2022" i="1"/>
  <c r="C2018" i="2" s="1"/>
  <c r="C2023" i="1"/>
  <c r="C2019" i="2" s="1"/>
  <c r="C2024" i="1"/>
  <c r="C2020" i="2" s="1"/>
  <c r="C2025" i="1"/>
  <c r="C2021" i="2" s="1"/>
  <c r="C2026" i="1"/>
  <c r="C2022" i="2" s="1"/>
  <c r="C2027" i="1"/>
  <c r="C2023" i="2" s="1"/>
  <c r="C2028" i="1"/>
  <c r="C2024" i="2" s="1"/>
  <c r="C2029" i="1"/>
  <c r="C2025" i="2" s="1"/>
  <c r="C2030" i="1"/>
  <c r="C2026" i="2" s="1"/>
  <c r="C2031" i="1"/>
  <c r="C2027" i="2" s="1"/>
  <c r="C2032" i="1"/>
  <c r="C2028" i="2" s="1"/>
  <c r="C2033" i="1"/>
  <c r="C2029" i="2" s="1"/>
  <c r="C2034" i="1"/>
  <c r="C2030" i="2" s="1"/>
  <c r="C2035" i="1"/>
  <c r="C2031" i="2" s="1"/>
  <c r="C2036" i="1"/>
  <c r="C2032" i="2" s="1"/>
  <c r="C2037" i="1"/>
  <c r="C2033" i="2" s="1"/>
  <c r="C2038" i="1"/>
  <c r="C2034" i="2" s="1"/>
  <c r="C2039" i="1"/>
  <c r="C2035" i="2" s="1"/>
  <c r="C2040" i="1"/>
  <c r="C2036" i="2" s="1"/>
  <c r="C2041" i="1"/>
  <c r="C2037" i="2" s="1"/>
  <c r="C2042" i="1"/>
  <c r="C2038" i="2" s="1"/>
  <c r="C2043" i="1"/>
  <c r="C2039" i="2" s="1"/>
  <c r="C2044" i="1"/>
  <c r="C2040" i="2" s="1"/>
  <c r="C2045" i="1"/>
  <c r="C2041" i="2" s="1"/>
  <c r="C2046" i="1"/>
  <c r="C2042" i="2" s="1"/>
  <c r="C2047" i="1"/>
  <c r="C2043" i="2" s="1"/>
  <c r="C2048" i="1"/>
  <c r="C2044" i="2" s="1"/>
  <c r="C2049" i="1"/>
  <c r="C2045" i="2" s="1"/>
  <c r="C2050" i="1"/>
  <c r="C2046" i="2" s="1"/>
  <c r="C2051" i="1"/>
  <c r="C2047" i="2" s="1"/>
  <c r="C2052" i="1"/>
  <c r="C2048" i="2" s="1"/>
  <c r="C2053" i="1"/>
  <c r="C2049" i="2" s="1"/>
  <c r="C2054" i="1"/>
  <c r="C2050" i="2" s="1"/>
  <c r="C2055" i="1"/>
  <c r="C2051" i="2" s="1"/>
  <c r="C2056" i="1"/>
  <c r="C2052" i="2" s="1"/>
  <c r="C2057" i="1"/>
  <c r="C2053" i="2" s="1"/>
  <c r="C2058" i="1"/>
  <c r="C2054" i="2" s="1"/>
  <c r="C2059" i="1"/>
  <c r="C2055" i="2" s="1"/>
  <c r="C2060" i="1"/>
  <c r="C2056" i="2" s="1"/>
  <c r="C2061" i="1"/>
  <c r="C2057" i="2" s="1"/>
  <c r="C2062" i="1"/>
  <c r="C2058" i="2" s="1"/>
  <c r="C2063" i="1"/>
  <c r="C2059" i="2" s="1"/>
  <c r="C2064" i="1"/>
  <c r="C2060" i="2" s="1"/>
  <c r="C2065" i="1"/>
  <c r="C2061" i="2" s="1"/>
  <c r="C2066" i="1"/>
  <c r="C2062" i="2" s="1"/>
  <c r="C2067" i="1"/>
  <c r="C2063" i="2" s="1"/>
  <c r="C2068" i="1"/>
  <c r="C2064" i="2" s="1"/>
  <c r="C2069" i="1"/>
  <c r="C2065" i="2" s="1"/>
  <c r="C2070" i="1"/>
  <c r="C2066" i="2" s="1"/>
  <c r="C2071" i="1"/>
  <c r="C2067" i="2" s="1"/>
  <c r="C2072" i="1"/>
  <c r="C2068" i="2" s="1"/>
  <c r="C2073" i="1"/>
  <c r="C2069" i="2" s="1"/>
  <c r="C2074" i="1"/>
  <c r="C2070" i="2" s="1"/>
  <c r="C2075" i="1"/>
  <c r="C2071" i="2" s="1"/>
  <c r="C2076" i="1"/>
  <c r="C2072" i="2" s="1"/>
  <c r="C2077" i="1"/>
  <c r="C2073" i="2" s="1"/>
  <c r="C2078" i="1"/>
  <c r="C2074" i="2" s="1"/>
  <c r="C2079" i="1"/>
  <c r="C2075" i="2" s="1"/>
  <c r="C2080" i="1"/>
  <c r="C2076" i="2" s="1"/>
  <c r="C2081" i="1"/>
  <c r="C2077" i="2" s="1"/>
  <c r="C2082" i="1"/>
  <c r="C2078" i="2" s="1"/>
  <c r="C2083" i="1"/>
  <c r="C2079" i="2" s="1"/>
  <c r="C2084" i="1"/>
  <c r="C2080" i="2" s="1"/>
  <c r="C2085" i="1"/>
  <c r="C2081" i="2" s="1"/>
  <c r="C2086" i="1"/>
  <c r="C2082" i="2" s="1"/>
  <c r="C2087" i="1"/>
  <c r="C2083" i="2" s="1"/>
  <c r="C2088" i="1"/>
  <c r="C2084" i="2" s="1"/>
  <c r="C2089" i="1"/>
  <c r="C2085" i="2" s="1"/>
  <c r="C2090" i="1"/>
  <c r="C2086" i="2" s="1"/>
  <c r="C2091" i="1"/>
  <c r="C2087" i="2" s="1"/>
  <c r="C2092" i="1"/>
  <c r="C2088" i="2" s="1"/>
  <c r="C2093" i="1"/>
  <c r="C2089" i="2" s="1"/>
  <c r="C2094" i="1"/>
  <c r="C2090" i="2" s="1"/>
  <c r="C2095" i="1"/>
  <c r="C2091" i="2" s="1"/>
  <c r="C2096" i="1"/>
  <c r="C2092" i="2" s="1"/>
  <c r="C2097" i="1"/>
  <c r="C2093" i="2" s="1"/>
  <c r="C2098" i="1"/>
  <c r="C2094" i="2" s="1"/>
  <c r="C2099" i="1"/>
  <c r="C2095" i="2" s="1"/>
  <c r="C2101" i="1"/>
  <c r="C2097" i="2" s="1"/>
  <c r="C2102" i="1"/>
  <c r="C2098" i="2" s="1"/>
  <c r="C2103" i="1"/>
  <c r="C2099" i="2" s="1"/>
  <c r="C2104" i="1"/>
  <c r="C2100" i="2" s="1"/>
  <c r="C2105" i="1"/>
  <c r="C2101" i="2" s="1"/>
  <c r="C2106" i="1"/>
  <c r="C2102" i="2" s="1"/>
  <c r="C2107" i="1"/>
  <c r="C2103" i="2" s="1"/>
  <c r="C2108" i="1"/>
  <c r="C2104" i="2" s="1"/>
  <c r="C2109" i="1"/>
  <c r="C2105" i="2" s="1"/>
  <c r="C2110" i="1"/>
  <c r="C2106" i="2" s="1"/>
  <c r="C2111" i="1"/>
  <c r="C2107" i="2" s="1"/>
  <c r="C2112" i="1"/>
  <c r="C2108" i="2" s="1"/>
  <c r="C2113" i="1"/>
  <c r="C2109" i="2" s="1"/>
  <c r="C2114" i="1"/>
  <c r="C2110" i="2" s="1"/>
  <c r="C2115" i="1"/>
  <c r="C2111" i="2" s="1"/>
  <c r="C2116" i="1"/>
  <c r="C2112" i="2" s="1"/>
  <c r="C2117" i="1"/>
  <c r="C2113" i="2" s="1"/>
  <c r="C2118" i="1"/>
  <c r="C2114" i="2" s="1"/>
  <c r="C2119" i="1"/>
  <c r="C2115" i="2" s="1"/>
  <c r="C2120" i="1"/>
  <c r="C2116" i="2" s="1"/>
  <c r="C2121" i="1"/>
  <c r="C2117" i="2" s="1"/>
  <c r="C2122" i="1"/>
  <c r="C2118" i="2" s="1"/>
  <c r="C2123" i="1"/>
  <c r="C2119" i="2" s="1"/>
  <c r="C2124" i="1"/>
  <c r="C2120" i="2" s="1"/>
  <c r="C2125" i="1"/>
  <c r="C2121" i="2" s="1"/>
  <c r="C2126" i="1"/>
  <c r="C2122" i="2" s="1"/>
  <c r="C2127" i="1"/>
  <c r="C2123" i="2" s="1"/>
  <c r="C2128" i="1"/>
  <c r="C2124" i="2" s="1"/>
  <c r="C2129" i="1"/>
  <c r="C2125" i="2" s="1"/>
  <c r="C2130" i="1"/>
  <c r="C2126" i="2" s="1"/>
  <c r="C2131" i="1"/>
  <c r="C2127" i="2" s="1"/>
  <c r="C2132" i="1"/>
  <c r="C2128" i="2" s="1"/>
  <c r="C2133" i="1"/>
  <c r="C2129" i="2" s="1"/>
  <c r="C2134" i="1"/>
  <c r="C2130" i="2" s="1"/>
  <c r="C2135" i="1"/>
  <c r="C2131" i="2" s="1"/>
  <c r="C2136" i="1"/>
  <c r="C2132" i="2" s="1"/>
  <c r="C2137" i="1"/>
  <c r="C2133" i="2" s="1"/>
  <c r="C2138" i="1"/>
  <c r="C2134" i="2" s="1"/>
  <c r="C2139" i="1"/>
  <c r="C2135" i="2" s="1"/>
  <c r="C2140" i="1"/>
  <c r="C2136" i="2" s="1"/>
  <c r="C2141" i="1"/>
  <c r="C2137" i="2" s="1"/>
  <c r="C2142" i="1"/>
  <c r="C2138" i="2" s="1"/>
  <c r="C2143" i="1"/>
  <c r="C2139" i="2" s="1"/>
  <c r="C2144" i="1"/>
  <c r="C2140" i="2" s="1"/>
  <c r="C2145" i="1"/>
  <c r="C2141" i="2" s="1"/>
  <c r="C2146" i="1"/>
  <c r="C2142" i="2" s="1"/>
  <c r="C2147" i="1"/>
  <c r="C2143" i="2" s="1"/>
  <c r="C2148" i="1"/>
  <c r="C2144" i="2" s="1"/>
  <c r="C2149" i="1"/>
  <c r="C2145" i="2" s="1"/>
  <c r="C2150" i="1"/>
  <c r="C2146" i="2" s="1"/>
  <c r="C2151" i="1"/>
  <c r="C2147" i="2" s="1"/>
  <c r="C2152" i="1"/>
  <c r="C2148" i="2" s="1"/>
  <c r="C2153" i="1"/>
  <c r="C2149" i="2" s="1"/>
  <c r="C2154" i="1"/>
  <c r="C2150" i="2" s="1"/>
  <c r="C2155" i="1"/>
  <c r="C2151" i="2" s="1"/>
  <c r="C2156" i="1"/>
  <c r="C2152" i="2" s="1"/>
  <c r="C2157" i="1"/>
  <c r="C2153" i="2" s="1"/>
  <c r="C2158" i="1"/>
  <c r="C2154" i="2" s="1"/>
  <c r="C2159" i="1"/>
  <c r="C2155" i="2" s="1"/>
  <c r="C2160" i="1"/>
  <c r="C2156" i="2" s="1"/>
  <c r="C2161" i="1"/>
  <c r="C2157" i="2" s="1"/>
  <c r="C2162" i="1"/>
  <c r="C2158" i="2" s="1"/>
  <c r="C2163" i="1"/>
  <c r="C2159" i="2" s="1"/>
  <c r="C2164" i="1"/>
  <c r="C2160" i="2" s="1"/>
  <c r="C2165" i="1"/>
  <c r="C2161" i="2" s="1"/>
  <c r="C2166" i="1"/>
  <c r="C2162" i="2" s="1"/>
  <c r="C2167" i="1"/>
  <c r="C2163" i="2" s="1"/>
  <c r="C2168" i="1"/>
  <c r="C2164" i="2" s="1"/>
  <c r="C2169" i="1"/>
  <c r="C2165" i="2" s="1"/>
  <c r="C2170" i="1"/>
  <c r="C2166" i="2" s="1"/>
  <c r="C2171" i="1"/>
  <c r="C2167" i="2" s="1"/>
  <c r="C2172" i="1"/>
  <c r="C2168" i="2" s="1"/>
  <c r="C2173" i="1"/>
  <c r="C2169" i="2" s="1"/>
  <c r="C2174" i="1"/>
  <c r="C2170" i="2" s="1"/>
  <c r="C2175" i="1"/>
  <c r="C2171" i="2" s="1"/>
  <c r="C2176" i="1"/>
  <c r="C2172" i="2" s="1"/>
  <c r="C2177" i="1"/>
  <c r="C2173" i="2" s="1"/>
  <c r="C2178" i="1"/>
  <c r="C2174" i="2" s="1"/>
  <c r="C2179" i="1"/>
  <c r="C2175" i="2" s="1"/>
  <c r="C2180" i="1"/>
  <c r="C2176" i="2" s="1"/>
  <c r="C2181" i="1"/>
  <c r="C2177" i="2" s="1"/>
  <c r="C2182" i="1"/>
  <c r="C2178" i="2" s="1"/>
  <c r="C2183" i="1"/>
  <c r="C2179" i="2" s="1"/>
  <c r="C2184" i="1"/>
  <c r="C2180" i="2" s="1"/>
  <c r="C2185" i="1"/>
  <c r="C2181" i="2" s="1"/>
  <c r="C2186" i="1"/>
  <c r="C2182" i="2" s="1"/>
  <c r="C2187" i="1"/>
  <c r="C2183" i="2" s="1"/>
  <c r="C2188" i="1"/>
  <c r="C2184" i="2" s="1"/>
  <c r="C2189" i="1"/>
  <c r="C2185" i="2" s="1"/>
  <c r="C2190" i="1"/>
  <c r="C2186" i="2" s="1"/>
  <c r="C2191" i="1"/>
  <c r="C2187" i="2" s="1"/>
  <c r="C2192" i="1"/>
  <c r="C2188" i="2" s="1"/>
  <c r="C2193" i="1"/>
  <c r="C2189" i="2" s="1"/>
  <c r="C2194" i="1"/>
  <c r="C2190" i="2" s="1"/>
  <c r="C2195" i="1"/>
  <c r="C2191" i="2" s="1"/>
  <c r="C2196" i="1"/>
  <c r="C2192" i="2" s="1"/>
  <c r="C2197" i="1"/>
  <c r="C2193" i="2" s="1"/>
  <c r="C2198" i="1"/>
  <c r="C2194" i="2" s="1"/>
  <c r="C2199" i="1"/>
  <c r="C2195" i="2" s="1"/>
  <c r="C2200" i="1"/>
  <c r="C2196" i="2" s="1"/>
  <c r="C2201" i="1"/>
  <c r="C2197" i="2" s="1"/>
  <c r="C2202" i="1"/>
  <c r="C2198" i="2" s="1"/>
  <c r="C2203" i="1"/>
  <c r="C2199" i="2" s="1"/>
  <c r="C2204" i="1"/>
  <c r="C2200" i="2" s="1"/>
  <c r="C2205" i="1"/>
  <c r="C2201" i="2" s="1"/>
  <c r="C2206" i="1"/>
  <c r="C2202" i="2" s="1"/>
  <c r="C2207" i="1"/>
  <c r="C2203" i="2" s="1"/>
  <c r="C2208" i="1"/>
  <c r="C2204" i="2" s="1"/>
  <c r="C2209" i="1"/>
  <c r="C2205" i="2" s="1"/>
  <c r="C2210" i="1"/>
  <c r="C2206" i="2" s="1"/>
  <c r="C2211" i="1"/>
  <c r="C2207" i="2" s="1"/>
  <c r="C2212" i="1"/>
  <c r="C2208" i="2" s="1"/>
  <c r="C2213" i="1"/>
  <c r="C2209" i="2" s="1"/>
  <c r="C2214" i="1"/>
  <c r="C2210" i="2" s="1"/>
  <c r="C2215" i="1"/>
  <c r="C2211" i="2" s="1"/>
  <c r="C2216" i="1"/>
  <c r="C2212" i="2" s="1"/>
  <c r="C2217" i="1"/>
  <c r="C2213" i="2" s="1"/>
  <c r="C2218" i="1"/>
  <c r="C2214" i="2" s="1"/>
  <c r="C2219" i="1"/>
  <c r="C2215" i="2" s="1"/>
  <c r="C2220" i="1"/>
  <c r="C2216" i="2" s="1"/>
  <c r="C2221" i="1"/>
  <c r="C2217" i="2" s="1"/>
  <c r="C2222" i="1"/>
  <c r="C2218" i="2" s="1"/>
  <c r="C2223" i="1"/>
  <c r="C2219" i="2" s="1"/>
  <c r="C2224" i="1"/>
  <c r="C2220" i="2" s="1"/>
  <c r="C2225" i="1"/>
  <c r="C2221" i="2" s="1"/>
  <c r="C2226" i="1"/>
  <c r="C2222" i="2" s="1"/>
  <c r="C2227" i="1"/>
  <c r="C2223" i="2" s="1"/>
  <c r="C2228" i="1"/>
  <c r="C2224" i="2" s="1"/>
  <c r="C2229" i="1"/>
  <c r="C2225" i="2" s="1"/>
  <c r="C2230" i="1"/>
  <c r="C2226" i="2" s="1"/>
  <c r="C2231" i="1"/>
  <c r="C2227" i="2" s="1"/>
  <c r="C2232" i="1"/>
  <c r="C2228" i="2" s="1"/>
  <c r="C2233" i="1"/>
  <c r="C2229" i="2" s="1"/>
  <c r="C2234" i="1"/>
  <c r="C2230" i="2" s="1"/>
  <c r="C2235" i="1"/>
  <c r="C2231" i="2" s="1"/>
  <c r="C2236" i="1"/>
  <c r="C2232" i="2" s="1"/>
  <c r="C2237" i="1"/>
  <c r="C2233" i="2" s="1"/>
  <c r="C2238" i="1"/>
  <c r="C2234" i="2" s="1"/>
  <c r="C2239" i="1"/>
  <c r="C2235" i="2" s="1"/>
  <c r="C2240" i="1"/>
  <c r="C2236" i="2" s="1"/>
  <c r="C2241" i="1"/>
  <c r="C2237" i="2" s="1"/>
  <c r="C2242" i="1"/>
  <c r="C2238" i="2" s="1"/>
  <c r="C2243" i="1"/>
  <c r="C2239" i="2" s="1"/>
  <c r="C2244" i="1"/>
  <c r="C2240" i="2" s="1"/>
  <c r="C2245" i="1"/>
  <c r="C2241" i="2" s="1"/>
  <c r="C2246" i="1"/>
  <c r="C2242" i="2" s="1"/>
  <c r="C2247" i="1"/>
  <c r="C2243" i="2" s="1"/>
  <c r="C2248" i="1"/>
  <c r="C2244" i="2" s="1"/>
  <c r="C2249" i="1"/>
  <c r="C2245" i="2" s="1"/>
  <c r="C2250" i="1"/>
  <c r="C2246" i="2" s="1"/>
  <c r="C2251" i="1"/>
  <c r="C2247" i="2" s="1"/>
  <c r="C2252" i="1"/>
  <c r="C2248" i="2" s="1"/>
  <c r="C2253" i="1"/>
  <c r="C2249" i="2" s="1"/>
  <c r="C2254" i="1"/>
  <c r="C2250" i="2" s="1"/>
  <c r="C2255" i="1"/>
  <c r="C2251" i="2" s="1"/>
  <c r="C2256" i="1"/>
  <c r="C2252" i="2" s="1"/>
  <c r="C2257" i="1"/>
  <c r="C2253" i="2" s="1"/>
  <c r="C2258" i="1"/>
  <c r="C2254" i="2" s="1"/>
  <c r="C2259" i="1"/>
  <c r="C2255" i="2" s="1"/>
  <c r="C2260" i="1"/>
  <c r="C2256" i="2" s="1"/>
  <c r="C2261" i="1"/>
  <c r="C2257" i="2" s="1"/>
  <c r="C2262" i="1"/>
  <c r="C2258" i="2" s="1"/>
  <c r="C2263" i="1"/>
  <c r="C2259" i="2" s="1"/>
  <c r="C2264" i="1"/>
  <c r="C2260" i="2" s="1"/>
  <c r="C2265" i="1"/>
  <c r="C2261" i="2" s="1"/>
  <c r="C2266" i="1"/>
  <c r="C2262" i="2" s="1"/>
  <c r="C2267" i="1"/>
  <c r="C2263" i="2" s="1"/>
  <c r="C2268" i="1"/>
  <c r="C2264" i="2" s="1"/>
  <c r="C2269" i="1"/>
  <c r="C2265" i="2" s="1"/>
  <c r="C2270" i="1"/>
  <c r="C2266" i="2" s="1"/>
  <c r="C2271" i="1"/>
  <c r="C2267" i="2" s="1"/>
  <c r="C2272" i="1"/>
  <c r="C2268" i="2" s="1"/>
  <c r="C2273" i="1"/>
  <c r="C2269" i="2" s="1"/>
  <c r="C2274" i="1"/>
  <c r="C2270" i="2" s="1"/>
  <c r="C2275" i="1"/>
  <c r="C2271" i="2" s="1"/>
  <c r="C2276" i="1"/>
  <c r="C2272" i="2" s="1"/>
  <c r="C2277" i="1"/>
  <c r="C2273" i="2" s="1"/>
  <c r="C2278" i="1"/>
  <c r="C2274" i="2" s="1"/>
  <c r="C2279" i="1"/>
  <c r="C2275" i="2" s="1"/>
  <c r="C2280" i="1"/>
  <c r="C2276" i="2" s="1"/>
  <c r="C2281" i="1"/>
  <c r="C2277" i="2" s="1"/>
  <c r="C2282" i="1"/>
  <c r="C2278" i="2" s="1"/>
  <c r="C2283" i="1"/>
  <c r="C2279" i="2" s="1"/>
  <c r="C2284" i="1"/>
  <c r="C2280" i="2" s="1"/>
  <c r="C2285" i="1"/>
  <c r="C2281" i="2" s="1"/>
  <c r="C2286" i="1"/>
  <c r="C2282" i="2" s="1"/>
  <c r="C2287" i="1"/>
  <c r="C2283" i="2" s="1"/>
  <c r="C2288" i="1"/>
  <c r="C2284" i="2" s="1"/>
  <c r="C2289" i="1"/>
  <c r="C2285" i="2" s="1"/>
  <c r="C2290" i="1"/>
  <c r="C2286" i="2" s="1"/>
  <c r="C2291" i="1"/>
  <c r="C2287" i="2" s="1"/>
  <c r="C2292" i="1"/>
  <c r="C2288" i="2" s="1"/>
  <c r="C2293" i="1"/>
  <c r="C2289" i="2" s="1"/>
  <c r="C2294" i="1"/>
  <c r="C2290" i="2" s="1"/>
  <c r="C2295" i="1"/>
  <c r="C2291" i="2" s="1"/>
  <c r="C2296" i="1"/>
  <c r="C2292" i="2" s="1"/>
  <c r="C2297" i="1"/>
  <c r="C2293" i="2" s="1"/>
  <c r="C2298" i="1"/>
  <c r="C2294" i="2" s="1"/>
  <c r="C2299" i="1"/>
  <c r="C2295" i="2" s="1"/>
  <c r="C2300" i="1"/>
  <c r="C2296" i="2" s="1"/>
  <c r="C2301" i="1"/>
  <c r="C2297" i="2" s="1"/>
  <c r="C2302" i="1"/>
  <c r="C2298" i="2" s="1"/>
  <c r="C2303" i="1"/>
  <c r="C2299" i="2" s="1"/>
  <c r="C2304" i="1"/>
  <c r="C2300" i="2" s="1"/>
  <c r="C2305" i="1"/>
  <c r="C2301" i="2" s="1"/>
  <c r="C2306" i="1"/>
  <c r="C2302" i="2" s="1"/>
  <c r="C2307" i="1"/>
  <c r="C2303" i="2" s="1"/>
  <c r="C2308" i="1"/>
  <c r="C2304" i="2" s="1"/>
  <c r="C2309" i="1"/>
  <c r="C2305" i="2" s="1"/>
  <c r="C2310" i="1"/>
  <c r="C2306" i="2" s="1"/>
  <c r="C2311" i="1"/>
  <c r="C2307" i="2" s="1"/>
  <c r="C2312" i="1"/>
  <c r="C2308" i="2" s="1"/>
  <c r="C2313" i="1"/>
  <c r="C2309" i="2" s="1"/>
  <c r="C2314" i="1"/>
  <c r="C2310" i="2" s="1"/>
  <c r="C2315" i="1"/>
  <c r="C2311" i="2" s="1"/>
  <c r="Q2560" i="1" l="1"/>
  <c r="M2556" i="2" s="1"/>
  <c r="M2094"/>
  <c r="Q2472" i="1"/>
  <c r="M2468" i="2" s="1"/>
  <c r="M2006"/>
  <c r="Q2552" i="1"/>
  <c r="M2548" i="2" s="1"/>
  <c r="M2086"/>
  <c r="Q2400" i="1"/>
  <c r="M2396" i="2" s="1"/>
  <c r="M1934"/>
  <c r="Q2320" i="1"/>
  <c r="M2316" i="2" s="1"/>
  <c r="M1854"/>
  <c r="Q2448" i="1"/>
  <c r="M2444" i="2" s="1"/>
  <c r="M1982"/>
  <c r="Q2544" i="1"/>
  <c r="M2540" i="2" s="1"/>
  <c r="M2078"/>
  <c r="M1966"/>
  <c r="Q2432" i="1"/>
  <c r="M2428" i="2" s="1"/>
  <c r="Q2536" i="1"/>
  <c r="M2532" i="2" s="1"/>
  <c r="M2070"/>
  <c r="Q2567" i="1"/>
  <c r="M2563" i="2" s="1"/>
  <c r="M2101"/>
  <c r="Q2480" i="1"/>
  <c r="M2476" i="2" s="1"/>
  <c r="M2014"/>
  <c r="Q2424" i="1"/>
  <c r="M2420" i="2" s="1"/>
  <c r="M1958"/>
  <c r="Q2392" i="1"/>
  <c r="M2388" i="2" s="1"/>
  <c r="M1926"/>
  <c r="Q2416" i="1"/>
  <c r="M2412" i="2" s="1"/>
  <c r="M1950"/>
  <c r="Q2464" i="1"/>
  <c r="M2460" i="2" s="1"/>
  <c r="M1998"/>
  <c r="Q2440" i="1"/>
  <c r="M2436" i="2" s="1"/>
  <c r="M1974"/>
  <c r="Q2504" i="1"/>
  <c r="M2500" i="2" s="1"/>
  <c r="M2038"/>
  <c r="Q2456" i="1"/>
  <c r="M2452" i="2" s="1"/>
  <c r="M1990"/>
  <c r="Q2325" i="1"/>
  <c r="M2321" i="2" s="1"/>
  <c r="M1859"/>
  <c r="Q2377" i="1"/>
  <c r="M2373" i="2" s="1"/>
  <c r="M1911"/>
  <c r="Q2376" i="1"/>
  <c r="M2372" i="2" s="1"/>
  <c r="M1910"/>
  <c r="M1878"/>
  <c r="Q2344" i="1"/>
  <c r="M2340" i="2" s="1"/>
  <c r="Q2352" i="1"/>
  <c r="M2348" i="2" s="1"/>
  <c r="M1886"/>
  <c r="Q2512" i="1"/>
  <c r="M2508" i="2" s="1"/>
  <c r="M2046"/>
  <c r="Q2408" i="1"/>
  <c r="M2404" i="2" s="1"/>
  <c r="M1942"/>
  <c r="Q2328" i="1"/>
  <c r="M2324" i="2" s="1"/>
  <c r="M1862"/>
  <c r="Q2488" i="1"/>
  <c r="M2484" i="2" s="1"/>
  <c r="M2022"/>
  <c r="Q2360" i="1"/>
  <c r="M2356" i="2" s="1"/>
  <c r="M1894"/>
  <c r="Q2345" i="1"/>
  <c r="M2341" i="2" s="1"/>
  <c r="M1879"/>
  <c r="Q2357" i="1"/>
  <c r="M2353" i="2" s="1"/>
  <c r="M1891"/>
  <c r="M1852" i="1"/>
  <c r="L1848" i="2" s="1"/>
  <c r="B1833" i="1"/>
  <c r="B1829" i="2" s="1"/>
  <c r="B1837" i="1"/>
  <c r="B1833" i="2" s="1"/>
  <c r="B1849" i="1"/>
  <c r="B1845" i="2" s="1"/>
  <c r="M1780" i="1"/>
  <c r="L1776" i="2" s="1"/>
  <c r="B1829" i="1"/>
  <c r="B1825" i="2" s="1"/>
  <c r="L1302" i="1"/>
  <c r="K1298" i="2" s="1"/>
  <c r="B1729" i="1"/>
  <c r="B1725" i="2" s="1"/>
  <c r="M1793" i="1"/>
  <c r="L1789" i="2" s="1"/>
  <c r="B1757" i="1"/>
  <c r="B1753" i="2" s="1"/>
  <c r="M1820" i="1"/>
  <c r="L1816" i="2" s="1"/>
  <c r="M1761" i="1"/>
  <c r="L1757" i="2" s="1"/>
  <c r="B1781" i="1"/>
  <c r="B1777" i="2" s="1"/>
  <c r="M1784" i="1"/>
  <c r="L1780" i="2" s="1"/>
  <c r="M1765" i="1"/>
  <c r="L1761" i="2" s="1"/>
  <c r="M1796" i="1"/>
  <c r="L1792" i="2" s="1"/>
  <c r="M1748" i="1"/>
  <c r="L1744" i="2" s="1"/>
  <c r="M1724" i="1"/>
  <c r="L1720" i="2" s="1"/>
  <c r="M1737" i="1"/>
  <c r="L1733" i="2" s="1"/>
  <c r="B1761" i="1"/>
  <c r="B1757" i="2" s="1"/>
  <c r="B1733" i="1"/>
  <c r="B1729" i="2" s="1"/>
  <c r="M1740" i="1"/>
  <c r="L1736" i="2" s="1"/>
  <c r="M1844" i="1"/>
  <c r="L1840" i="2" s="1"/>
  <c r="M1756" i="1"/>
  <c r="L1752" i="2" s="1"/>
  <c r="M1728" i="1"/>
  <c r="L1724" i="2" s="1"/>
  <c r="B1813" i="1"/>
  <c r="B1809" i="2" s="1"/>
  <c r="B1725" i="1"/>
  <c r="B1721" i="2" s="1"/>
  <c r="M1760" i="1"/>
  <c r="L1756" i="2" s="1"/>
  <c r="M1797" i="1"/>
  <c r="L1793" i="2" s="1"/>
  <c r="M1788" i="1"/>
  <c r="L1784" i="2" s="1"/>
  <c r="M1764" i="1"/>
  <c r="L1760" i="2" s="1"/>
  <c r="M1829" i="1"/>
  <c r="L1825" i="2" s="1"/>
  <c r="B1845" i="1"/>
  <c r="B1841" i="2" s="1"/>
  <c r="B1793" i="1"/>
  <c r="B1789" i="2" s="1"/>
  <c r="B1841" i="1"/>
  <c r="B1837" i="2" s="1"/>
  <c r="B2283" i="1"/>
  <c r="B2279" i="2" s="1"/>
  <c r="L1300" i="1"/>
  <c r="K1296" i="2" s="1"/>
  <c r="M1849" i="1"/>
  <c r="L1845" i="2" s="1"/>
  <c r="B1737" i="1"/>
  <c r="B1733" i="2" s="1"/>
  <c r="M1824" i="1"/>
  <c r="L1820" i="2" s="1"/>
  <c r="M1792" i="1"/>
  <c r="L1788" i="2" s="1"/>
  <c r="M1768" i="1"/>
  <c r="L1764" i="2" s="1"/>
  <c r="M1733" i="1"/>
  <c r="L1729" i="2" s="1"/>
  <c r="B1777" i="1"/>
  <c r="B1773" i="2" s="1"/>
  <c r="M1729" i="1"/>
  <c r="L1725" i="2" s="1"/>
  <c r="B1789" i="1"/>
  <c r="B1785" i="2" s="1"/>
  <c r="I378" i="1"/>
  <c r="I400" s="1"/>
  <c r="I1324" s="1"/>
  <c r="M1828"/>
  <c r="L1824" i="2" s="1"/>
  <c r="M1812" i="1"/>
  <c r="L1808" i="2" s="1"/>
  <c r="B1745" i="1"/>
  <c r="B1741" i="2" s="1"/>
  <c r="M1801" i="1"/>
  <c r="L1797" i="2" s="1"/>
  <c r="B1749" i="1"/>
  <c r="B1745" i="2" s="1"/>
  <c r="B1765" i="1"/>
  <c r="B1761" i="2" s="1"/>
  <c r="M1769" i="1"/>
  <c r="L1765" i="2" s="1"/>
  <c r="I366" i="1"/>
  <c r="I388" s="1"/>
  <c r="I850" s="1"/>
  <c r="M1816"/>
  <c r="L1812" i="2" s="1"/>
  <c r="M1772" i="1"/>
  <c r="L1768" i="2" s="1"/>
  <c r="M1781" i="1"/>
  <c r="L1777" i="2" s="1"/>
  <c r="B1753" i="1"/>
  <c r="B1749" i="2" s="1"/>
  <c r="M1833" i="1"/>
  <c r="L1829" i="2" s="1"/>
  <c r="B1805" i="1"/>
  <c r="B1801" i="2" s="1"/>
  <c r="B1741" i="1"/>
  <c r="B1737" i="2" s="1"/>
  <c r="I370" i="1"/>
  <c r="I392" s="1"/>
  <c r="I2240" s="1"/>
  <c r="I2199"/>
  <c r="I373"/>
  <c r="I1759" s="1"/>
  <c r="I2187"/>
  <c r="L1288"/>
  <c r="K1284" i="2" s="1"/>
  <c r="M1804" i="1"/>
  <c r="L1800" i="2" s="1"/>
  <c r="M1752" i="1"/>
  <c r="L1748" i="2" s="1"/>
  <c r="M1732" i="1"/>
  <c r="L1728" i="2" s="1"/>
  <c r="B1797" i="1"/>
  <c r="B1793" i="2" s="1"/>
  <c r="B1769" i="1"/>
  <c r="B1765" i="2" s="1"/>
  <c r="M1785" i="1"/>
  <c r="L1781" i="2" s="1"/>
  <c r="B1773" i="1"/>
  <c r="B1769" i="2" s="1"/>
  <c r="I2203" i="1"/>
  <c r="I362"/>
  <c r="I1286" s="1"/>
  <c r="L1287"/>
  <c r="K1283" i="2" s="1"/>
  <c r="M1809" i="1"/>
  <c r="L1805" i="2" s="1"/>
  <c r="B1853" i="1"/>
  <c r="B1849" i="2" s="1"/>
  <c r="I358" i="1"/>
  <c r="I380" s="1"/>
  <c r="I2228" s="1"/>
  <c r="I374"/>
  <c r="I396" s="1"/>
  <c r="I2244" s="1"/>
  <c r="L1295"/>
  <c r="K1291" i="2" s="1"/>
  <c r="M1848" i="1"/>
  <c r="L1844" i="2" s="1"/>
  <c r="M1845" i="1"/>
  <c r="L1841" i="2" s="1"/>
  <c r="B1785" i="1"/>
  <c r="B1781" i="2" s="1"/>
  <c r="B1817" i="1"/>
  <c r="B1813" i="2" s="1"/>
  <c r="M1825" i="1"/>
  <c r="L1821" i="2" s="1"/>
  <c r="M1837" i="1"/>
  <c r="L1833" i="2" s="1"/>
  <c r="M1773" i="1"/>
  <c r="L1769" i="2" s="1"/>
  <c r="M1821" i="1"/>
  <c r="L1817" i="2" s="1"/>
  <c r="M1789" i="1"/>
  <c r="L1785" i="2" s="1"/>
  <c r="M1757" i="1"/>
  <c r="L1753" i="2" s="1"/>
  <c r="M1725" i="1"/>
  <c r="L1721" i="2" s="1"/>
  <c r="I819" i="1"/>
  <c r="I1277"/>
  <c r="I1735"/>
  <c r="I359"/>
  <c r="I1745" s="1"/>
  <c r="I1281"/>
  <c r="I1739"/>
  <c r="I1723"/>
  <c r="M1841"/>
  <c r="L1837" i="2" s="1"/>
  <c r="I811" i="1"/>
  <c r="I1269"/>
  <c r="I1743"/>
  <c r="I1727"/>
  <c r="I2195"/>
  <c r="M1745"/>
  <c r="L1741" i="2" s="1"/>
  <c r="M1805" i="1"/>
  <c r="L1801" i="2" s="1"/>
  <c r="M1741" i="1"/>
  <c r="L1737" i="2" s="1"/>
  <c r="I803" i="1"/>
  <c r="I1261"/>
  <c r="I807"/>
  <c r="I1265"/>
  <c r="I363"/>
  <c r="I2211" s="1"/>
  <c r="I377"/>
  <c r="I1301" s="1"/>
  <c r="I369"/>
  <c r="I1293" s="1"/>
  <c r="I815"/>
  <c r="I799"/>
  <c r="I1273"/>
  <c r="I1731"/>
  <c r="I2191"/>
  <c r="L1282"/>
  <c r="K1278" i="2" s="1"/>
  <c r="M1840" i="1"/>
  <c r="L1836" i="2" s="1"/>
  <c r="M1808" i="1"/>
  <c r="L1804" i="2" s="1"/>
  <c r="M1776" i="1"/>
  <c r="L1772" i="2" s="1"/>
  <c r="M1744" i="1"/>
  <c r="L1740" i="2" s="1"/>
  <c r="M1813" i="1"/>
  <c r="L1809" i="2" s="1"/>
  <c r="M1749" i="1"/>
  <c r="L1745" i="2" s="1"/>
  <c r="M1777" i="1"/>
  <c r="L1773" i="2" s="1"/>
  <c r="B1825" i="1"/>
  <c r="B1821" i="2" s="1"/>
  <c r="M1817" i="1"/>
  <c r="L1813" i="2" s="1"/>
  <c r="M1753" i="1"/>
  <c r="L1749" i="2" s="1"/>
  <c r="I862" i="1"/>
  <c r="I2224"/>
  <c r="I1762"/>
  <c r="I1300"/>
  <c r="I838"/>
  <c r="I398"/>
  <c r="I2220"/>
  <c r="I1758"/>
  <c r="I1296"/>
  <c r="I834"/>
  <c r="I394"/>
  <c r="I2216"/>
  <c r="I1754"/>
  <c r="I1292"/>
  <c r="I830"/>
  <c r="I390"/>
  <c r="B1842"/>
  <c r="B1838" i="2" s="1"/>
  <c r="B1810" i="1"/>
  <c r="B1806" i="2" s="1"/>
  <c r="B1778" i="1"/>
  <c r="B1774" i="2" s="1"/>
  <c r="B1746" i="1"/>
  <c r="B1742" i="2" s="1"/>
  <c r="M1847" i="1"/>
  <c r="L1843" i="2" s="1"/>
  <c r="M1815" i="1"/>
  <c r="L1811" i="2" s="1"/>
  <c r="M1783" i="1"/>
  <c r="L1779" i="2" s="1"/>
  <c r="M1751" i="1"/>
  <c r="L1747" i="2" s="1"/>
  <c r="M2314" i="1"/>
  <c r="L2310" i="2" s="1"/>
  <c r="M2298" i="1"/>
  <c r="L2294" i="2" s="1"/>
  <c r="B1764" i="1"/>
  <c r="B1760" i="2" s="1"/>
  <c r="B1792" i="1"/>
  <c r="B1788" i="2" s="1"/>
  <c r="B2263" i="1"/>
  <c r="B2259" i="2" s="1"/>
  <c r="B1832" i="1"/>
  <c r="B1828" i="2" s="1"/>
  <c r="B1768" i="1"/>
  <c r="B1764" i="2" s="1"/>
  <c r="B1846" i="1"/>
  <c r="B1842" i="2" s="1"/>
  <c r="B1830" i="1"/>
  <c r="B1826" i="2" s="1"/>
  <c r="B1814" i="1"/>
  <c r="B1810" i="2" s="1"/>
  <c r="B1798" i="1"/>
  <c r="B1794" i="2" s="1"/>
  <c r="B1782" i="1"/>
  <c r="B1778" i="2" s="1"/>
  <c r="B1766" i="1"/>
  <c r="B1762" i="2" s="1"/>
  <c r="B1750" i="1"/>
  <c r="B1746" i="2" s="1"/>
  <c r="B1734" i="1"/>
  <c r="B1730" i="2" s="1"/>
  <c r="M1851" i="1"/>
  <c r="L1847" i="2" s="1"/>
  <c r="M1835" i="1"/>
  <c r="L1831" i="2" s="1"/>
  <c r="M1819" i="1"/>
  <c r="L1815" i="2" s="1"/>
  <c r="M1803" i="1"/>
  <c r="L1799" i="2" s="1"/>
  <c r="M1787" i="1"/>
  <c r="L1783" i="2" s="1"/>
  <c r="M1771" i="1"/>
  <c r="L1767" i="2" s="1"/>
  <c r="M1755" i="1"/>
  <c r="L1751" i="2" s="1"/>
  <c r="M1739" i="1"/>
  <c r="L1735" i="2" s="1"/>
  <c r="M1723" i="1"/>
  <c r="L1719" i="2" s="1"/>
  <c r="B1836" i="1"/>
  <c r="B1832" i="2" s="1"/>
  <c r="B1804" i="1"/>
  <c r="B1800" i="2" s="1"/>
  <c r="B1772" i="1"/>
  <c r="B1768" i="2" s="1"/>
  <c r="B1740" i="1"/>
  <c r="B1736" i="2" s="1"/>
  <c r="B1808" i="1"/>
  <c r="B1804" i="2" s="1"/>
  <c r="B1752" i="1"/>
  <c r="B1748" i="2" s="1"/>
  <c r="M1742" i="1"/>
  <c r="L1738" i="2" s="1"/>
  <c r="M1758" i="1"/>
  <c r="L1754" i="2" s="1"/>
  <c r="M1774" i="1"/>
  <c r="L1770" i="2" s="1"/>
  <c r="M1790" i="1"/>
  <c r="L1786" i="2" s="1"/>
  <c r="M1806" i="1"/>
  <c r="L1802" i="2" s="1"/>
  <c r="M1822" i="1"/>
  <c r="L1818" i="2" s="1"/>
  <c r="M1838" i="1"/>
  <c r="L1834" i="2" s="1"/>
  <c r="B1731" i="1"/>
  <c r="B1727" i="2" s="1"/>
  <c r="B1747" i="1"/>
  <c r="B1743" i="2" s="1"/>
  <c r="B1759" i="1"/>
  <c r="B1755" i="2" s="1"/>
  <c r="B1775" i="1"/>
  <c r="B1771" i="2" s="1"/>
  <c r="B1791" i="1"/>
  <c r="B1787" i="2" s="1"/>
  <c r="B1807" i="1"/>
  <c r="B1803" i="2" s="1"/>
  <c r="B1819" i="1"/>
  <c r="B1815" i="2" s="1"/>
  <c r="B1835" i="1"/>
  <c r="B1831" i="2" s="1"/>
  <c r="B1851" i="1"/>
  <c r="B1847" i="2" s="1"/>
  <c r="B1784" i="1"/>
  <c r="B1780" i="2" s="1"/>
  <c r="M1726" i="1"/>
  <c r="L1722" i="2" s="1"/>
  <c r="M1738" i="1"/>
  <c r="L1734" i="2" s="1"/>
  <c r="M1754" i="1"/>
  <c r="L1750" i="2" s="1"/>
  <c r="M1770" i="1"/>
  <c r="L1766" i="2" s="1"/>
  <c r="M1786" i="1"/>
  <c r="L1782" i="2" s="1"/>
  <c r="M1802" i="1"/>
  <c r="L1798" i="2" s="1"/>
  <c r="M1818" i="1"/>
  <c r="L1814" i="2" s="1"/>
  <c r="M1834" i="1"/>
  <c r="L1830" i="2" s="1"/>
  <c r="M1850" i="1"/>
  <c r="L1846" i="2" s="1"/>
  <c r="B1727" i="1"/>
  <c r="B1723" i="2" s="1"/>
  <c r="B1743" i="1"/>
  <c r="B1739" i="2" s="1"/>
  <c r="B1763" i="1"/>
  <c r="B1759" i="2" s="1"/>
  <c r="B1779" i="1"/>
  <c r="B1775" i="2" s="1"/>
  <c r="B1795" i="1"/>
  <c r="B1791" i="2" s="1"/>
  <c r="B1815" i="1"/>
  <c r="B1811" i="2" s="1"/>
  <c r="B1831" i="1"/>
  <c r="B1827" i="2" s="1"/>
  <c r="B1847" i="1"/>
  <c r="B1843" i="2" s="1"/>
  <c r="L1301" i="1"/>
  <c r="K1297" i="2" s="1"/>
  <c r="L1297" i="1"/>
  <c r="K1293" i="2" s="1"/>
  <c r="L1293" i="1"/>
  <c r="K1289" i="2" s="1"/>
  <c r="L1289" i="1"/>
  <c r="K1285" i="2" s="1"/>
  <c r="L1285" i="1"/>
  <c r="K1281" i="2" s="1"/>
  <c r="B1850" i="1"/>
  <c r="B1846" i="2" s="1"/>
  <c r="B1834" i="1"/>
  <c r="B1830" i="2" s="1"/>
  <c r="B1818" i="1"/>
  <c r="B1814" i="2" s="1"/>
  <c r="B1802" i="1"/>
  <c r="B1798" i="2" s="1"/>
  <c r="B1786" i="1"/>
  <c r="B1782" i="2" s="1"/>
  <c r="B1770" i="1"/>
  <c r="B1766" i="2" s="1"/>
  <c r="B1754" i="1"/>
  <c r="B1750" i="2" s="1"/>
  <c r="B1738" i="1"/>
  <c r="B1734" i="2" s="1"/>
  <c r="B1722" i="1"/>
  <c r="B1718" i="2" s="1"/>
  <c r="M1839" i="1"/>
  <c r="L1835" i="2" s="1"/>
  <c r="M1823" i="1"/>
  <c r="L1819" i="2" s="1"/>
  <c r="M1807" i="1"/>
  <c r="L1803" i="2" s="1"/>
  <c r="M1791" i="1"/>
  <c r="L1787" i="2" s="1"/>
  <c r="M1775" i="1"/>
  <c r="L1771" i="2" s="1"/>
  <c r="M1759" i="1"/>
  <c r="L1755" i="2" s="1"/>
  <c r="M1743" i="1"/>
  <c r="L1739" i="2" s="1"/>
  <c r="M1727" i="1"/>
  <c r="L1723" i="2" s="1"/>
  <c r="B1844" i="1"/>
  <c r="B1840" i="2" s="1"/>
  <c r="B1812" i="1"/>
  <c r="B1808" i="2" s="1"/>
  <c r="B1780" i="1"/>
  <c r="B1776" i="2" s="1"/>
  <c r="B1748" i="1"/>
  <c r="B1744" i="2" s="1"/>
  <c r="B1824" i="1"/>
  <c r="B1820" i="2" s="1"/>
  <c r="B1760" i="1"/>
  <c r="B1756" i="2" s="1"/>
  <c r="B2295" i="1"/>
  <c r="B2291" i="2" s="1"/>
  <c r="B1800" i="1"/>
  <c r="B1796" i="2" s="1"/>
  <c r="B1728" i="1"/>
  <c r="B1724" i="2" s="1"/>
  <c r="B2271" i="1"/>
  <c r="B2267" i="2" s="1"/>
  <c r="I364" i="1"/>
  <c r="I360"/>
  <c r="I816"/>
  <c r="I812"/>
  <c r="I808"/>
  <c r="I804"/>
  <c r="I800"/>
  <c r="I1278"/>
  <c r="I1274"/>
  <c r="I1270"/>
  <c r="I1266"/>
  <c r="I1262"/>
  <c r="I1740"/>
  <c r="I1736"/>
  <c r="I1732"/>
  <c r="I1728"/>
  <c r="I1724"/>
  <c r="I2194"/>
  <c r="I2198"/>
  <c r="I2202"/>
  <c r="I365"/>
  <c r="I361"/>
  <c r="I379"/>
  <c r="I375"/>
  <c r="I371"/>
  <c r="I367"/>
  <c r="I817"/>
  <c r="I813"/>
  <c r="I809"/>
  <c r="I805"/>
  <c r="I801"/>
  <c r="I1279"/>
  <c r="I1275"/>
  <c r="I1271"/>
  <c r="I1267"/>
  <c r="I1263"/>
  <c r="L1303"/>
  <c r="K1299" i="2" s="1"/>
  <c r="L1298" i="1"/>
  <c r="K1294" i="2" s="1"/>
  <c r="L1291" i="1"/>
  <c r="K1287" i="2" s="1"/>
  <c r="L1283" i="1"/>
  <c r="K1279" i="2" s="1"/>
  <c r="B1826" i="1"/>
  <c r="B1822" i="2" s="1"/>
  <c r="B1794" i="1"/>
  <c r="B1790" i="2" s="1"/>
  <c r="B1762" i="1"/>
  <c r="B1758" i="2" s="1"/>
  <c r="B1730" i="1"/>
  <c r="B1726" i="2" s="1"/>
  <c r="M1831" i="1"/>
  <c r="L1827" i="2" s="1"/>
  <c r="M1799" i="1"/>
  <c r="L1795" i="2" s="1"/>
  <c r="M1767" i="1"/>
  <c r="L1763" i="2" s="1"/>
  <c r="M1735" i="1"/>
  <c r="L1731" i="2" s="1"/>
  <c r="B1828" i="1"/>
  <c r="B1824" i="2" s="1"/>
  <c r="B1796" i="1"/>
  <c r="B1792" i="2" s="1"/>
  <c r="B1732" i="1"/>
  <c r="B1728" i="2" s="1"/>
  <c r="B1848" i="1"/>
  <c r="B1844" i="2" s="1"/>
  <c r="B1736" i="1"/>
  <c r="B1732" i="2" s="1"/>
  <c r="L1294" i="1"/>
  <c r="K1290" i="2" s="1"/>
  <c r="L1290" i="1"/>
  <c r="K1286" i="2" s="1"/>
  <c r="L1286" i="1"/>
  <c r="K1282" i="2" s="1"/>
  <c r="M1722" i="1"/>
  <c r="L1718" i="2" s="1"/>
  <c r="B1838" i="1"/>
  <c r="B1834" i="2" s="1"/>
  <c r="B1822" i="1"/>
  <c r="B1818" i="2" s="1"/>
  <c r="B1806" i="1"/>
  <c r="B1802" i="2" s="1"/>
  <c r="B1790" i="1"/>
  <c r="B1786" i="2" s="1"/>
  <c r="B1774" i="1"/>
  <c r="B1770" i="2" s="1"/>
  <c r="B1758" i="1"/>
  <c r="B1754" i="2" s="1"/>
  <c r="B1742" i="1"/>
  <c r="B1738" i="2" s="1"/>
  <c r="B1726" i="1"/>
  <c r="B1722" i="2" s="1"/>
  <c r="M1843" i="1"/>
  <c r="L1839" i="2" s="1"/>
  <c r="M1827" i="1"/>
  <c r="L1823" i="2" s="1"/>
  <c r="M1811" i="1"/>
  <c r="L1807" i="2" s="1"/>
  <c r="M1795" i="1"/>
  <c r="L1791" i="2" s="1"/>
  <c r="M1779" i="1"/>
  <c r="L1775" i="2" s="1"/>
  <c r="M1763" i="1"/>
  <c r="L1759" i="2" s="1"/>
  <c r="M1747" i="1"/>
  <c r="L1743" i="2" s="1"/>
  <c r="M1731" i="1"/>
  <c r="L1727" i="2" s="1"/>
  <c r="M2294" i="1"/>
  <c r="L2290" i="2" s="1"/>
  <c r="M2262" i="1"/>
  <c r="L2258" i="2" s="1"/>
  <c r="M2198" i="1"/>
  <c r="L2194" i="2" s="1"/>
  <c r="B1852" i="1"/>
  <c r="B1848" i="2" s="1"/>
  <c r="B1820" i="1"/>
  <c r="B1816" i="2" s="1"/>
  <c r="B1788" i="1"/>
  <c r="B1784" i="2" s="1"/>
  <c r="B1756" i="1"/>
  <c r="B1752" i="2" s="1"/>
  <c r="B1724" i="1"/>
  <c r="B1720" i="2" s="1"/>
  <c r="B1840" i="1"/>
  <c r="B1836" i="2" s="1"/>
  <c r="B1776" i="1"/>
  <c r="B1772" i="2" s="1"/>
  <c r="M1734" i="1"/>
  <c r="L1730" i="2" s="1"/>
  <c r="M1750" i="1"/>
  <c r="L1746" i="2" s="1"/>
  <c r="M1766" i="1"/>
  <c r="L1762" i="2" s="1"/>
  <c r="M1782" i="1"/>
  <c r="L1778" i="2" s="1"/>
  <c r="M1798" i="1"/>
  <c r="L1794" i="2" s="1"/>
  <c r="M1814" i="1"/>
  <c r="L1810" i="2" s="1"/>
  <c r="M1830" i="1"/>
  <c r="L1826" i="2" s="1"/>
  <c r="M1846" i="1"/>
  <c r="L1842" i="2" s="1"/>
  <c r="B1739" i="1"/>
  <c r="B1735" i="2" s="1"/>
  <c r="B1755" i="1"/>
  <c r="B1751" i="2" s="1"/>
  <c r="B1767" i="1"/>
  <c r="B1763" i="2" s="1"/>
  <c r="B1783" i="1"/>
  <c r="B1779" i="2" s="1"/>
  <c r="B1799" i="1"/>
  <c r="B1795" i="2" s="1"/>
  <c r="B1811" i="1"/>
  <c r="B1807" i="2" s="1"/>
  <c r="B1827" i="1"/>
  <c r="B1823" i="2" s="1"/>
  <c r="B1843" i="1"/>
  <c r="B1839" i="2" s="1"/>
  <c r="M1853" i="1"/>
  <c r="L1849" i="2" s="1"/>
  <c r="B1816" i="1"/>
  <c r="B1812" i="2" s="1"/>
  <c r="B1744" i="1"/>
  <c r="B1740" i="2" s="1"/>
  <c r="M1730" i="1"/>
  <c r="L1726" i="2" s="1"/>
  <c r="M1746" i="1"/>
  <c r="L1742" i="2" s="1"/>
  <c r="M1762" i="1"/>
  <c r="L1758" i="2" s="1"/>
  <c r="M1778" i="1"/>
  <c r="L1774" i="2" s="1"/>
  <c r="M1794" i="1"/>
  <c r="L1790" i="2" s="1"/>
  <c r="M1810" i="1"/>
  <c r="L1806" i="2" s="1"/>
  <c r="M1826" i="1"/>
  <c r="L1822" i="2" s="1"/>
  <c r="M1842" i="1"/>
  <c r="L1838" i="2" s="1"/>
  <c r="B1723" i="1"/>
  <c r="B1719" i="2" s="1"/>
  <c r="B1735" i="1"/>
  <c r="B1731" i="2" s="1"/>
  <c r="B1751" i="1"/>
  <c r="B1747" i="2" s="1"/>
  <c r="B1771" i="1"/>
  <c r="B1767" i="2" s="1"/>
  <c r="B1787" i="1"/>
  <c r="B1783" i="2" s="1"/>
  <c r="B1803" i="1"/>
  <c r="B1799" i="2" s="1"/>
  <c r="B1823" i="1"/>
  <c r="B1819" i="2" s="1"/>
  <c r="B1839" i="1"/>
  <c r="B1835" i="2" s="1"/>
  <c r="I798" i="1"/>
  <c r="I818"/>
  <c r="I814"/>
  <c r="I810"/>
  <c r="I806"/>
  <c r="I802"/>
  <c r="I1260"/>
  <c r="I1280"/>
  <c r="I1276"/>
  <c r="I1272"/>
  <c r="I1268"/>
  <c r="I1264"/>
  <c r="I1722"/>
  <c r="I1742"/>
  <c r="I1738"/>
  <c r="I1734"/>
  <c r="I1730"/>
  <c r="I1726"/>
  <c r="L1318"/>
  <c r="K1314" i="2" s="1"/>
  <c r="L1299" i="1"/>
  <c r="K1295" i="2" s="1"/>
  <c r="L1292" i="1"/>
  <c r="K1288" i="2" s="1"/>
  <c r="L1284" i="1"/>
  <c r="K1280" i="2" s="1"/>
  <c r="N2647" i="1"/>
  <c r="N2648"/>
  <c r="N2649"/>
  <c r="N2650"/>
  <c r="N2651"/>
  <c r="N2652"/>
  <c r="N2653"/>
  <c r="N2654"/>
  <c r="N2655"/>
  <c r="N2656"/>
  <c r="N2657"/>
  <c r="N2658"/>
  <c r="N2659"/>
  <c r="N2660"/>
  <c r="N2661"/>
  <c r="N2662"/>
  <c r="N2663"/>
  <c r="N2664"/>
  <c r="N2665"/>
  <c r="N2666"/>
  <c r="N2667"/>
  <c r="N2668"/>
  <c r="N2669"/>
  <c r="N2670"/>
  <c r="N2671"/>
  <c r="N2672"/>
  <c r="N2673"/>
  <c r="N2674"/>
  <c r="N2675"/>
  <c r="N2676"/>
  <c r="N2677"/>
  <c r="N2678"/>
  <c r="N2679"/>
  <c r="N2680"/>
  <c r="N2681"/>
  <c r="N2682"/>
  <c r="N2683"/>
  <c r="N2684"/>
  <c r="N2685"/>
  <c r="N2686"/>
  <c r="N2687"/>
  <c r="N2688"/>
  <c r="N2689"/>
  <c r="N2690"/>
  <c r="N2691"/>
  <c r="N2692"/>
  <c r="N2693"/>
  <c r="N2694"/>
  <c r="N2695"/>
  <c r="N2696"/>
  <c r="N2697"/>
  <c r="N2698"/>
  <c r="N2699"/>
  <c r="N2700"/>
  <c r="N2701"/>
  <c r="N2702"/>
  <c r="N2703"/>
  <c r="N2704"/>
  <c r="N2705"/>
  <c r="N2706"/>
  <c r="N2707"/>
  <c r="N2708"/>
  <c r="N2709"/>
  <c r="N2710"/>
  <c r="N2711"/>
  <c r="N2712"/>
  <c r="N2713"/>
  <c r="N2714"/>
  <c r="N2715"/>
  <c r="N2716"/>
  <c r="N2717"/>
  <c r="N2718"/>
  <c r="N2719"/>
  <c r="N2720"/>
  <c r="N2721"/>
  <c r="N2722"/>
  <c r="N2723"/>
  <c r="N2724"/>
  <c r="N2725"/>
  <c r="N2726"/>
  <c r="N2727"/>
  <c r="N2728"/>
  <c r="N2729"/>
  <c r="N2730"/>
  <c r="N2731"/>
  <c r="N2732"/>
  <c r="N2733"/>
  <c r="N2734"/>
  <c r="N2735"/>
  <c r="N2736"/>
  <c r="N2737"/>
  <c r="N2738"/>
  <c r="N2739"/>
  <c r="N2740"/>
  <c r="N2741"/>
  <c r="N2742"/>
  <c r="N2743"/>
  <c r="N2744"/>
  <c r="N2745"/>
  <c r="N2746"/>
  <c r="N2747"/>
  <c r="N2748"/>
  <c r="N2749"/>
  <c r="N2750"/>
  <c r="N2751"/>
  <c r="N2752"/>
  <c r="N2753"/>
  <c r="N2754"/>
  <c r="N2755"/>
  <c r="N2756"/>
  <c r="N2757"/>
  <c r="N2758"/>
  <c r="N2759"/>
  <c r="N2760"/>
  <c r="N2761"/>
  <c r="N2762"/>
  <c r="N2763"/>
  <c r="N2764"/>
  <c r="N2765"/>
  <c r="N2766"/>
  <c r="N2767"/>
  <c r="N2768"/>
  <c r="N2769"/>
  <c r="N2770"/>
  <c r="N2771"/>
  <c r="N2772"/>
  <c r="N2773"/>
  <c r="N2774"/>
  <c r="N2775"/>
  <c r="N2776"/>
  <c r="N2777"/>
  <c r="N2646"/>
  <c r="I1760" l="1"/>
  <c r="M2194"/>
  <c r="L2190" i="2" s="1"/>
  <c r="B2299" i="1"/>
  <c r="B2295" i="2" s="1"/>
  <c r="B2291" i="1"/>
  <c r="B2287" i="2" s="1"/>
  <c r="M2223" i="1"/>
  <c r="L2219" i="2" s="1"/>
  <c r="B2311" i="1"/>
  <c r="B2307" i="2" s="1"/>
  <c r="I831" i="1"/>
  <c r="M2255"/>
  <c r="L2251" i="2" s="1"/>
  <c r="I2207" i="1"/>
  <c r="M2274"/>
  <c r="L2270" i="2" s="1"/>
  <c r="I836" i="1"/>
  <c r="I1782"/>
  <c r="M2210"/>
  <c r="L2206" i="2" s="1"/>
  <c r="M2254" i="1"/>
  <c r="L2250" i="2" s="1"/>
  <c r="B2307" i="1"/>
  <c r="B2303" i="2" s="1"/>
  <c r="M2259" i="1"/>
  <c r="L2255" i="2" s="1"/>
  <c r="B2243" i="1"/>
  <c r="B2239" i="2" s="1"/>
  <c r="B2239" i="1"/>
  <c r="B2235" i="2" s="1"/>
  <c r="M2242" i="1"/>
  <c r="L2238" i="2" s="1"/>
  <c r="M2190" i="1"/>
  <c r="L2186" i="2" s="1"/>
  <c r="B2195" i="1"/>
  <c r="B2191" i="2" s="1"/>
  <c r="L1322" i="1"/>
  <c r="K1318" i="2" s="1"/>
  <c r="L1324" i="1"/>
  <c r="K1320" i="2" s="1"/>
  <c r="M2191" i="1"/>
  <c r="L2187" i="2" s="1"/>
  <c r="M2234" i="1"/>
  <c r="L2230" i="2" s="1"/>
  <c r="B2227" i="1"/>
  <c r="B2223" i="2" s="1"/>
  <c r="B2219" i="1"/>
  <c r="B2215" i="2" s="1"/>
  <c r="L1309" i="1"/>
  <c r="K1305" i="2" s="1"/>
  <c r="I2222" i="1"/>
  <c r="B2247"/>
  <c r="B2243" i="2" s="1"/>
  <c r="I1320" i="1"/>
  <c r="M2282"/>
  <c r="L2278" i="2" s="1"/>
  <c r="I1298" i="1"/>
  <c r="M2258"/>
  <c r="L2254" i="2" s="1"/>
  <c r="B2191" i="1"/>
  <c r="B2187" i="2" s="1"/>
  <c r="I858" i="1"/>
  <c r="M2230"/>
  <c r="L2226" i="2" s="1"/>
  <c r="M2218" i="1"/>
  <c r="L2214" i="2" s="1"/>
  <c r="I2225" i="1"/>
  <c r="B2223"/>
  <c r="B2219" i="2" s="1"/>
  <c r="I418" i="1"/>
  <c r="I2266" s="1"/>
  <c r="M2239"/>
  <c r="L2235" i="2" s="1"/>
  <c r="M2287" i="1"/>
  <c r="L2283" i="2" s="1"/>
  <c r="M2250" i="1"/>
  <c r="L2246" i="2" s="1"/>
  <c r="B2287" i="1"/>
  <c r="B2283" i="2" s="1"/>
  <c r="M2307" i="1"/>
  <c r="L2303" i="2" s="1"/>
  <c r="B2231" i="1"/>
  <c r="B2227" i="2" s="1"/>
  <c r="M2275" i="1"/>
  <c r="L2271" i="2" s="1"/>
  <c r="M2302" i="1"/>
  <c r="L2298" i="2" s="1"/>
  <c r="M2207" i="1"/>
  <c r="L2203" i="2" s="1"/>
  <c r="M2247" i="1"/>
  <c r="L2243" i="2" s="1"/>
  <c r="M2214" i="1"/>
  <c r="L2210" i="2" s="1"/>
  <c r="M2243" i="1"/>
  <c r="L2239" i="2" s="1"/>
  <c r="B2207" i="1"/>
  <c r="B2203" i="2" s="1"/>
  <c r="B2251" i="1"/>
  <c r="B2247" i="2" s="1"/>
  <c r="M2195" i="1"/>
  <c r="L2191" i="2" s="1"/>
  <c r="B2199" i="1"/>
  <c r="B2195" i="2" s="1"/>
  <c r="B2303" i="1"/>
  <c r="B2299" i="2" s="1"/>
  <c r="M2291" i="1"/>
  <c r="L2287" i="2" s="1"/>
  <c r="M2222" i="1"/>
  <c r="L2218" i="2" s="1"/>
  <c r="M2311" i="1"/>
  <c r="L2307" i="2" s="1"/>
  <c r="M2227" i="1"/>
  <c r="L2223" i="2" s="1"/>
  <c r="B2275" i="1"/>
  <c r="B2271" i="2" s="1"/>
  <c r="M2199" i="1"/>
  <c r="L2195" i="2" s="1"/>
  <c r="M2202" i="1"/>
  <c r="L2198" i="2" s="1"/>
  <c r="M2238" i="1"/>
  <c r="L2234" i="2" s="1"/>
  <c r="B2315" i="1"/>
  <c r="B2311" i="2" s="1"/>
  <c r="B2259" i="1"/>
  <c r="B2255" i="2" s="1"/>
  <c r="M2278" i="1"/>
  <c r="L2274" i="2" s="1"/>
  <c r="M2290" i="1"/>
  <c r="L2286" i="2" s="1"/>
  <c r="B2255" i="1"/>
  <c r="B2251" i="2" s="1"/>
  <c r="M2206" i="1"/>
  <c r="L2202" i="2" s="1"/>
  <c r="M2266" i="1"/>
  <c r="L2262" i="2" s="1"/>
  <c r="M2215" i="1"/>
  <c r="L2211" i="2" s="1"/>
  <c r="M2211" i="1"/>
  <c r="L2207" i="2" s="1"/>
  <c r="M2270" i="1"/>
  <c r="L2266" i="2" s="1"/>
  <c r="M2303" i="1"/>
  <c r="L2299" i="2" s="1"/>
  <c r="B2215" i="1"/>
  <c r="B2211" i="2" s="1"/>
  <c r="M2263" i="1"/>
  <c r="L2259" i="2" s="1"/>
  <c r="M2286" i="1"/>
  <c r="L2282" i="2" s="1"/>
  <c r="M2246" i="1"/>
  <c r="L2242" i="2" s="1"/>
  <c r="M2186" i="1"/>
  <c r="L2182" i="2" s="1"/>
  <c r="I825" i="1"/>
  <c r="M2295"/>
  <c r="L2291" i="2" s="1"/>
  <c r="M2226" i="1"/>
  <c r="L2222" i="2" s="1"/>
  <c r="M2306" i="1"/>
  <c r="L2302" i="2" s="1"/>
  <c r="I1766" i="1"/>
  <c r="B2187"/>
  <c r="B2183" i="2" s="1"/>
  <c r="B2279" i="1"/>
  <c r="B2275" i="2" s="1"/>
  <c r="I1752" i="1"/>
  <c r="M2231"/>
  <c r="L2227" i="2" s="1"/>
  <c r="M2271" i="1"/>
  <c r="L2267" i="2" s="1"/>
  <c r="I2236" i="1"/>
  <c r="I1778"/>
  <c r="I385"/>
  <c r="I407" s="1"/>
  <c r="L1304"/>
  <c r="K1300" i="2" s="1"/>
  <c r="I835" i="1"/>
  <c r="I1749"/>
  <c r="I1744"/>
  <c r="I1282"/>
  <c r="I840"/>
  <c r="L1317"/>
  <c r="K1313" i="2" s="1"/>
  <c r="I1304" i="1"/>
  <c r="I410"/>
  <c r="I1796" s="1"/>
  <c r="I2226"/>
  <c r="I2248"/>
  <c r="I2221"/>
  <c r="I821"/>
  <c r="I2206"/>
  <c r="I1764"/>
  <c r="I828"/>
  <c r="I842"/>
  <c r="I1786"/>
  <c r="I1312"/>
  <c r="I2210"/>
  <c r="B2211"/>
  <c r="B2207" i="2" s="1"/>
  <c r="I1302" i="1"/>
  <c r="M2279"/>
  <c r="L2275" i="2" s="1"/>
  <c r="I422" i="1"/>
  <c r="I444" s="1"/>
  <c r="I1774"/>
  <c r="M2310"/>
  <c r="L2306" i="2" s="1"/>
  <c r="I2214" i="1"/>
  <c r="I1290"/>
  <c r="I820"/>
  <c r="I395"/>
  <c r="I1781" s="1"/>
  <c r="I1297"/>
  <c r="I402"/>
  <c r="I424" s="1"/>
  <c r="I1748"/>
  <c r="B2267"/>
  <c r="B2263" i="2" s="1"/>
  <c r="I384" i="1"/>
  <c r="I824"/>
  <c r="I1756"/>
  <c r="I832"/>
  <c r="I2218"/>
  <c r="I854"/>
  <c r="B2235"/>
  <c r="B2231" i="2" s="1"/>
  <c r="B2203" i="1"/>
  <c r="B2199" i="2" s="1"/>
  <c r="I1316" i="1"/>
  <c r="I1287"/>
  <c r="I1294"/>
  <c r="I414"/>
  <c r="I1800" s="1"/>
  <c r="L1310"/>
  <c r="K1306" i="2" s="1"/>
  <c r="M2267" i="1"/>
  <c r="L2263" i="2" s="1"/>
  <c r="M2187" i="1"/>
  <c r="L2183" i="2" s="1"/>
  <c r="M2251" i="1"/>
  <c r="L2247" i="2" s="1"/>
  <c r="M2299" i="1"/>
  <c r="L2295" i="2" s="1"/>
  <c r="M2203" i="1"/>
  <c r="L2199" i="2" s="1"/>
  <c r="I2217" i="1"/>
  <c r="I391"/>
  <c r="I1777" s="1"/>
  <c r="I1763"/>
  <c r="I381"/>
  <c r="I403" s="1"/>
  <c r="M2219"/>
  <c r="L2215" i="2" s="1"/>
  <c r="M2283" i="1"/>
  <c r="L2279" i="2" s="1"/>
  <c r="M2235" i="1"/>
  <c r="L2231" i="2" s="1"/>
  <c r="I1283" i="1"/>
  <c r="I399"/>
  <c r="I1323" s="1"/>
  <c r="I1755"/>
  <c r="I839"/>
  <c r="B2285"/>
  <c r="B2281" i="2" s="1"/>
  <c r="B2249" i="1"/>
  <c r="B2245" i="2" s="1"/>
  <c r="B2213" i="1"/>
  <c r="B2209" i="2" s="1"/>
  <c r="B2185" i="1"/>
  <c r="B2181" i="2" s="1"/>
  <c r="M2288" i="1"/>
  <c r="L2284" i="2" s="1"/>
  <c r="M2256" i="1"/>
  <c r="L2252" i="2" s="1"/>
  <c r="M2224" i="1"/>
  <c r="L2220" i="2" s="1"/>
  <c r="M2192" i="1"/>
  <c r="L2188" i="2" s="1"/>
  <c r="B2278" i="1"/>
  <c r="B2274" i="2" s="1"/>
  <c r="M2315" i="1"/>
  <c r="L2311" i="2" s="1"/>
  <c r="B2289" i="1"/>
  <c r="B2285" i="2" s="1"/>
  <c r="B2261" i="1"/>
  <c r="B2257" i="2" s="1"/>
  <c r="B2229" i="1"/>
  <c r="B2225" i="2" s="1"/>
  <c r="B2201" i="1"/>
  <c r="B2197" i="2" s="1"/>
  <c r="M2292" i="1"/>
  <c r="L2288" i="2" s="1"/>
  <c r="M2260" i="1"/>
  <c r="L2256" i="2" s="1"/>
  <c r="M2228" i="1"/>
  <c r="L2224" i="2" s="1"/>
  <c r="M2196" i="1"/>
  <c r="L2192" i="2" s="1"/>
  <c r="B2238" i="1"/>
  <c r="B2234" i="2" s="1"/>
  <c r="B2218" i="1"/>
  <c r="B2214" i="2" s="1"/>
  <c r="B2282" i="1"/>
  <c r="B2278" i="2" s="1"/>
  <c r="M2209" i="1"/>
  <c r="L2205" i="2" s="1"/>
  <c r="M2241" i="1"/>
  <c r="L2237" i="2" s="1"/>
  <c r="M2273" i="1"/>
  <c r="L2269" i="2" s="1"/>
  <c r="M2305" i="1"/>
  <c r="L2301" i="2" s="1"/>
  <c r="B2204" i="1"/>
  <c r="B2200" i="2" s="1"/>
  <c r="B2236" i="1"/>
  <c r="B2232" i="2" s="1"/>
  <c r="B2268" i="1"/>
  <c r="B2264" i="2" s="1"/>
  <c r="B2300" i="1"/>
  <c r="B2296" i="2" s="1"/>
  <c r="B2310" i="1"/>
  <c r="B2306" i="2" s="1"/>
  <c r="B2258" i="1"/>
  <c r="B2254" i="2" s="1"/>
  <c r="M2229" i="1"/>
  <c r="L2225" i="2" s="1"/>
  <c r="M2293" i="1"/>
  <c r="L2289" i="2" s="1"/>
  <c r="B2224" i="1"/>
  <c r="B2220" i="2" s="1"/>
  <c r="B2288" i="1"/>
  <c r="B2284" i="2" s="1"/>
  <c r="L1305" i="1"/>
  <c r="K1301" i="2" s="1"/>
  <c r="I389" i="1"/>
  <c r="I1753"/>
  <c r="I1291"/>
  <c r="I829"/>
  <c r="I2215"/>
  <c r="I1285"/>
  <c r="I2209"/>
  <c r="I383"/>
  <c r="I1747"/>
  <c r="I823"/>
  <c r="I2212"/>
  <c r="I1750"/>
  <c r="I1288"/>
  <c r="I826"/>
  <c r="I386"/>
  <c r="B2190"/>
  <c r="B2186" i="2" s="1"/>
  <c r="B2286" i="1"/>
  <c r="B2282" i="2" s="1"/>
  <c r="B2242" i="1"/>
  <c r="B2238" i="2" s="1"/>
  <c r="B2306" i="1"/>
  <c r="B2302" i="2" s="1"/>
  <c r="M2189" i="1"/>
  <c r="L2185" i="2" s="1"/>
  <c r="M2221" i="1"/>
  <c r="L2217" i="2" s="1"/>
  <c r="M2253" i="1"/>
  <c r="L2249" i="2" s="1"/>
  <c r="M2285" i="1"/>
  <c r="L2281" i="2" s="1"/>
  <c r="B2184" i="1"/>
  <c r="B2180" i="2" s="1"/>
  <c r="B2216" i="1"/>
  <c r="B2212" i="2" s="1"/>
  <c r="B2248" i="1"/>
  <c r="B2244" i="2" s="1"/>
  <c r="B2280" i="1"/>
  <c r="B2276" i="2" s="1"/>
  <c r="B2312" i="1"/>
  <c r="B2308" i="2" s="1"/>
  <c r="B2309" i="1"/>
  <c r="B2305" i="2" s="1"/>
  <c r="B2277" i="1"/>
  <c r="B2273" i="2" s="1"/>
  <c r="B2241" i="1"/>
  <c r="B2237" i="2" s="1"/>
  <c r="B2205" i="1"/>
  <c r="B2201" i="2" s="1"/>
  <c r="M2312" i="1"/>
  <c r="L2308" i="2" s="1"/>
  <c r="M2280" i="1"/>
  <c r="L2276" i="2" s="1"/>
  <c r="M2248" i="1"/>
  <c r="L2244" i="2" s="1"/>
  <c r="M2216" i="1"/>
  <c r="L2212" i="2" s="1"/>
  <c r="M2188" i="1"/>
  <c r="L2184" i="2" s="1"/>
  <c r="B2246" i="1"/>
  <c r="B2242" i="2" s="1"/>
  <c r="B2297" i="1"/>
  <c r="B2293" i="2" s="1"/>
  <c r="B2269" i="1"/>
  <c r="B2265" i="2" s="1"/>
  <c r="B2237" i="1"/>
  <c r="B2233" i="2" s="1"/>
  <c r="B2209" i="1"/>
  <c r="B2205" i="2" s="1"/>
  <c r="M2300" i="1"/>
  <c r="L2296" i="2" s="1"/>
  <c r="M2268" i="1"/>
  <c r="L2264" i="2" s="1"/>
  <c r="M2236" i="1"/>
  <c r="L2232" i="2" s="1"/>
  <c r="M2204" i="1"/>
  <c r="L2200" i="2" s="1"/>
  <c r="B2270" i="1"/>
  <c r="B2266" i="2" s="1"/>
  <c r="B2234" i="1"/>
  <c r="B2230" i="2" s="1"/>
  <c r="B2298" i="1"/>
  <c r="B2294" i="2" s="1"/>
  <c r="M2185" i="1"/>
  <c r="L2181" i="2" s="1"/>
  <c r="M2217" i="1"/>
  <c r="L2213" i="2" s="1"/>
  <c r="M2249" i="1"/>
  <c r="L2245" i="2" s="1"/>
  <c r="M2281" i="1"/>
  <c r="L2277" i="2" s="1"/>
  <c r="M2313" i="1"/>
  <c r="L2309" i="2" s="1"/>
  <c r="B2212" i="1"/>
  <c r="B2208" i="2" s="1"/>
  <c r="B2244" i="1"/>
  <c r="B2240" i="2" s="1"/>
  <c r="B2276" i="1"/>
  <c r="B2272" i="2" s="1"/>
  <c r="B2308" i="1"/>
  <c r="B2304" i="2" s="1"/>
  <c r="B2230" i="1"/>
  <c r="B2226" i="2" s="1"/>
  <c r="M2245" i="1"/>
  <c r="L2241" i="2" s="1"/>
  <c r="M2309" i="1"/>
  <c r="L2305" i="2" s="1"/>
  <c r="B2240" i="1"/>
  <c r="B2236" i="2" s="1"/>
  <c r="B2304" i="1"/>
  <c r="B2300" i="2" s="1"/>
  <c r="I2238" i="1"/>
  <c r="I1776"/>
  <c r="I1314"/>
  <c r="I852"/>
  <c r="I412"/>
  <c r="L1321"/>
  <c r="K1317" i="2" s="1"/>
  <c r="L1312" i="1"/>
  <c r="K1308" i="2" s="1"/>
  <c r="L1325" i="1"/>
  <c r="K1321" i="2" s="1"/>
  <c r="I401" i="1"/>
  <c r="I2227"/>
  <c r="I1765"/>
  <c r="I1303"/>
  <c r="I841"/>
  <c r="I2208"/>
  <c r="I1746"/>
  <c r="I1284"/>
  <c r="I822"/>
  <c r="I382"/>
  <c r="L1307"/>
  <c r="K1303" i="2" s="1"/>
  <c r="L1315" i="1"/>
  <c r="K1311" i="2" s="1"/>
  <c r="L1323" i="1"/>
  <c r="K1319" i="2" s="1"/>
  <c r="L1314" i="1"/>
  <c r="K1310" i="2" s="1"/>
  <c r="B2301" i="1"/>
  <c r="B2297" i="2" s="1"/>
  <c r="B2265" i="1"/>
  <c r="B2261" i="2" s="1"/>
  <c r="B2233" i="1"/>
  <c r="B2229" i="2" s="1"/>
  <c r="B2197" i="1"/>
  <c r="B2193" i="2" s="1"/>
  <c r="M2304" i="1"/>
  <c r="L2300" i="2" s="1"/>
  <c r="M2272" i="1"/>
  <c r="L2268" i="2" s="1"/>
  <c r="M2240" i="1"/>
  <c r="L2236" i="2" s="1"/>
  <c r="M2208" i="1"/>
  <c r="L2204" i="2" s="1"/>
  <c r="B2206" i="1"/>
  <c r="B2202" i="2" s="1"/>
  <c r="B2305" i="1"/>
  <c r="B2301" i="2" s="1"/>
  <c r="B2273" i="1"/>
  <c r="B2269" i="2" s="1"/>
  <c r="B2245" i="1"/>
  <c r="B2241" i="2" s="1"/>
  <c r="B2217" i="1"/>
  <c r="B2213" i="2" s="1"/>
  <c r="M2308" i="1"/>
  <c r="L2304" i="2" s="1"/>
  <c r="M2276" i="1"/>
  <c r="L2272" i="2" s="1"/>
  <c r="M2244" i="1"/>
  <c r="L2240" i="2" s="1"/>
  <c r="M2212" i="1"/>
  <c r="L2208" i="2" s="1"/>
  <c r="B2302" i="1"/>
  <c r="B2298" i="2" s="1"/>
  <c r="B2186" i="1"/>
  <c r="B2182" i="2" s="1"/>
  <c r="B2250" i="1"/>
  <c r="B2246" i="2" s="1"/>
  <c r="B2314" i="1"/>
  <c r="B2310" i="2" s="1"/>
  <c r="M2193" i="1"/>
  <c r="L2189" i="2" s="1"/>
  <c r="M2225" i="1"/>
  <c r="L2221" i="2" s="1"/>
  <c r="M2257" i="1"/>
  <c r="L2253" i="2" s="1"/>
  <c r="M2289" i="1"/>
  <c r="L2285" i="2" s="1"/>
  <c r="B2188" i="1"/>
  <c r="B2184" i="2" s="1"/>
  <c r="B2220" i="1"/>
  <c r="B2216" i="2" s="1"/>
  <c r="B2252" i="1"/>
  <c r="B2248" i="2" s="1"/>
  <c r="B2284" i="1"/>
  <c r="B2280" i="2" s="1"/>
  <c r="M2184" i="1"/>
  <c r="L2180" i="2" s="1"/>
  <c r="B2198" i="1"/>
  <c r="B2194" i="2" s="1"/>
  <c r="B2194" i="1"/>
  <c r="B2190" i="2" s="1"/>
  <c r="B2290" i="1"/>
  <c r="B2286" i="2" s="1"/>
  <c r="M2197" i="1"/>
  <c r="L2193" i="2" s="1"/>
  <c r="M2261" i="1"/>
  <c r="L2257" i="2" s="1"/>
  <c r="B2192" i="1"/>
  <c r="B2188" i="2" s="1"/>
  <c r="B2256" i="1"/>
  <c r="B2252" i="2" s="1"/>
  <c r="L1320" i="1"/>
  <c r="K1316" i="2" s="1"/>
  <c r="I397" i="1"/>
  <c r="I1761"/>
  <c r="I1299"/>
  <c r="I837"/>
  <c r="I2223"/>
  <c r="B2262"/>
  <c r="B2258" i="2" s="1"/>
  <c r="B2222" i="1"/>
  <c r="B2218" i="2" s="1"/>
  <c r="B2210" i="1"/>
  <c r="B2206" i="2" s="1"/>
  <c r="B2274" i="1"/>
  <c r="B2270" i="2" s="1"/>
  <c r="M2205" i="1"/>
  <c r="L2201" i="2" s="1"/>
  <c r="M2237" i="1"/>
  <c r="L2233" i="2" s="1"/>
  <c r="M2269" i="1"/>
  <c r="L2265" i="2" s="1"/>
  <c r="M2301" i="1"/>
  <c r="L2297" i="2" s="1"/>
  <c r="B2200" i="1"/>
  <c r="B2196" i="2" s="1"/>
  <c r="B2232" i="1"/>
  <c r="B2228" i="2" s="1"/>
  <c r="B2264" i="1"/>
  <c r="B2260" i="2" s="1"/>
  <c r="B2296" i="1"/>
  <c r="B2292" i="2" s="1"/>
  <c r="B2293" i="1"/>
  <c r="B2289" i="2" s="1"/>
  <c r="B2257" i="1"/>
  <c r="B2253" i="2" s="1"/>
  <c r="B2225" i="1"/>
  <c r="B2221" i="2" s="1"/>
  <c r="B2189" i="1"/>
  <c r="B2185" i="2" s="1"/>
  <c r="M2296" i="1"/>
  <c r="L2292" i="2" s="1"/>
  <c r="M2264" i="1"/>
  <c r="L2260" i="2" s="1"/>
  <c r="M2232" i="1"/>
  <c r="L2228" i="2" s="1"/>
  <c r="M2200" i="1"/>
  <c r="L2196" i="2" s="1"/>
  <c r="B2313" i="1"/>
  <c r="B2309" i="2" s="1"/>
  <c r="B2281" i="1"/>
  <c r="B2277" i="2" s="1"/>
  <c r="B2253" i="1"/>
  <c r="B2249" i="2" s="1"/>
  <c r="B2221" i="1"/>
  <c r="B2217" i="2" s="1"/>
  <c r="B2193" i="1"/>
  <c r="B2189" i="2" s="1"/>
  <c r="M2284" i="1"/>
  <c r="L2280" i="2" s="1"/>
  <c r="M2252" i="1"/>
  <c r="L2248" i="2" s="1"/>
  <c r="M2220" i="1"/>
  <c r="L2216" i="2" s="1"/>
  <c r="B2214" i="1"/>
  <c r="B2210" i="2" s="1"/>
  <c r="B2202" i="1"/>
  <c r="B2198" i="2" s="1"/>
  <c r="B2266" i="1"/>
  <c r="B2262" i="2" s="1"/>
  <c r="M2201" i="1"/>
  <c r="L2197" i="2" s="1"/>
  <c r="M2233" i="1"/>
  <c r="L2229" i="2" s="1"/>
  <c r="M2265" i="1"/>
  <c r="L2261" i="2" s="1"/>
  <c r="M2297" i="1"/>
  <c r="L2293" i="2" s="1"/>
  <c r="B2196" i="1"/>
  <c r="B2192" i="2" s="1"/>
  <c r="B2228" i="1"/>
  <c r="B2224" i="2" s="1"/>
  <c r="B2260" i="1"/>
  <c r="B2256" i="2" s="1"/>
  <c r="B2292" i="1"/>
  <c r="B2288" i="2" s="1"/>
  <c r="B2294" i="1"/>
  <c r="B2290" i="2" s="1"/>
  <c r="B2254" i="1"/>
  <c r="B2250" i="2" s="1"/>
  <c r="B2226" i="1"/>
  <c r="B2222" i="2" s="1"/>
  <c r="M2213" i="1"/>
  <c r="L2209" i="2" s="1"/>
  <c r="M2277" i="1"/>
  <c r="L2273" i="2" s="1"/>
  <c r="B2208" i="1"/>
  <c r="B2204" i="2" s="1"/>
  <c r="B2272" i="1"/>
  <c r="B2268" i="2" s="1"/>
  <c r="I420" i="1"/>
  <c r="I2246"/>
  <c r="I1784"/>
  <c r="I1322"/>
  <c r="I860"/>
  <c r="L1306"/>
  <c r="K1302" i="2" s="1"/>
  <c r="L1340" i="1"/>
  <c r="K1336" i="2" s="1"/>
  <c r="I1771" i="1"/>
  <c r="I1309"/>
  <c r="L1308"/>
  <c r="K1304" i="2" s="1"/>
  <c r="L1316" i="1"/>
  <c r="K1312" i="2" s="1"/>
  <c r="L1313" i="1"/>
  <c r="K1309" i="2" s="1"/>
  <c r="I393" i="1"/>
  <c r="I2219"/>
  <c r="I1757"/>
  <c r="I1295"/>
  <c r="I833"/>
  <c r="I1751"/>
  <c r="I827"/>
  <c r="I2213"/>
  <c r="I387"/>
  <c r="I1289"/>
  <c r="L1311"/>
  <c r="K1307" i="2" s="1"/>
  <c r="L1319" i="1"/>
  <c r="K1315" i="2" s="1"/>
  <c r="I416" i="1"/>
  <c r="I2242"/>
  <c r="I1780"/>
  <c r="I1318"/>
  <c r="I856"/>
  <c r="C2733"/>
  <c r="C2729" i="2" s="1"/>
  <c r="C2681" i="1"/>
  <c r="C2677" i="2" s="1"/>
  <c r="C2661" i="1"/>
  <c r="C2657" i="2" s="1"/>
  <c r="C2660" i="1"/>
  <c r="C2656" i="2" s="1"/>
  <c r="A2647" i="1"/>
  <c r="A2643" i="2" s="1"/>
  <c r="A2648" i="1"/>
  <c r="A2644" i="2" s="1"/>
  <c r="A2649" i="1"/>
  <c r="A2645" i="2" s="1"/>
  <c r="A2650" i="1"/>
  <c r="A2646" i="2" s="1"/>
  <c r="A2651" i="1"/>
  <c r="A2647" i="2" s="1"/>
  <c r="A2652" i="1"/>
  <c r="A2648" i="2" s="1"/>
  <c r="A2653" i="1"/>
  <c r="A2649" i="2" s="1"/>
  <c r="A2654" i="1"/>
  <c r="A2650" i="2" s="1"/>
  <c r="A2655" i="1"/>
  <c r="A2651" i="2" s="1"/>
  <c r="A2656" i="1"/>
  <c r="A2652" i="2" s="1"/>
  <c r="A2657" i="1"/>
  <c r="A2653" i="2" s="1"/>
  <c r="A2658" i="1"/>
  <c r="A2654" i="2" s="1"/>
  <c r="A2659" i="1"/>
  <c r="A2655" i="2" s="1"/>
  <c r="A2660" i="1"/>
  <c r="A2656" i="2" s="1"/>
  <c r="A2661" i="1"/>
  <c r="A2657" i="2" s="1"/>
  <c r="A2662" i="1"/>
  <c r="A2658" i="2" s="1"/>
  <c r="A2663" i="1"/>
  <c r="A2659" i="2" s="1"/>
  <c r="A2664" i="1"/>
  <c r="A2660" i="2" s="1"/>
  <c r="A2665" i="1"/>
  <c r="A2661" i="2" s="1"/>
  <c r="A2666" i="1"/>
  <c r="A2662" i="2" s="1"/>
  <c r="A2667" i="1"/>
  <c r="A2663" i="2" s="1"/>
  <c r="A2668" i="1"/>
  <c r="A2664" i="2" s="1"/>
  <c r="A2669" i="1"/>
  <c r="A2665" i="2" s="1"/>
  <c r="A2670" i="1"/>
  <c r="A2666" i="2" s="1"/>
  <c r="A2671" i="1"/>
  <c r="A2667" i="2" s="1"/>
  <c r="A2672" i="1"/>
  <c r="A2668" i="2" s="1"/>
  <c r="A2673" i="1"/>
  <c r="A2669" i="2" s="1"/>
  <c r="A2674" i="1"/>
  <c r="A2670" i="2" s="1"/>
  <c r="A2675" i="1"/>
  <c r="A2671" i="2" s="1"/>
  <c r="A2676" i="1"/>
  <c r="A2672" i="2" s="1"/>
  <c r="A2677" i="1"/>
  <c r="A2673" i="2" s="1"/>
  <c r="A2678" i="1"/>
  <c r="A2674" i="2" s="1"/>
  <c r="A2679" i="1"/>
  <c r="A2675" i="2" s="1"/>
  <c r="A2680" i="1"/>
  <c r="A2676" i="2" s="1"/>
  <c r="A2681" i="1"/>
  <c r="A2677" i="2" s="1"/>
  <c r="A2682" i="1"/>
  <c r="A2678" i="2" s="1"/>
  <c r="A2683" i="1"/>
  <c r="A2679" i="2" s="1"/>
  <c r="A2684" i="1"/>
  <c r="A2680" i="2" s="1"/>
  <c r="A2685" i="1"/>
  <c r="A2681" i="2" s="1"/>
  <c r="A2686" i="1"/>
  <c r="A2682" i="2" s="1"/>
  <c r="A2687" i="1"/>
  <c r="A2683" i="2" s="1"/>
  <c r="A2688" i="1"/>
  <c r="A2684" i="2" s="1"/>
  <c r="A2689" i="1"/>
  <c r="A2685" i="2" s="1"/>
  <c r="A2690" i="1"/>
  <c r="A2686" i="2" s="1"/>
  <c r="A2691" i="1"/>
  <c r="A2687" i="2" s="1"/>
  <c r="A2692" i="1"/>
  <c r="A2688" i="2" s="1"/>
  <c r="A2693" i="1"/>
  <c r="A2689" i="2" s="1"/>
  <c r="A2694" i="1"/>
  <c r="A2690" i="2" s="1"/>
  <c r="A2695" i="1"/>
  <c r="A2691" i="2" s="1"/>
  <c r="A2696" i="1"/>
  <c r="A2692" i="2" s="1"/>
  <c r="A2697" i="1"/>
  <c r="A2693" i="2" s="1"/>
  <c r="A2698" i="1"/>
  <c r="A2694" i="2" s="1"/>
  <c r="A2699" i="1"/>
  <c r="A2695" i="2" s="1"/>
  <c r="A2700" i="1"/>
  <c r="A2696" i="2" s="1"/>
  <c r="A2701" i="1"/>
  <c r="A2697" i="2" s="1"/>
  <c r="A2702" i="1"/>
  <c r="A2698" i="2" s="1"/>
  <c r="A2703" i="1"/>
  <c r="A2699" i="2" s="1"/>
  <c r="A2704" i="1"/>
  <c r="A2700" i="2" s="1"/>
  <c r="A2705" i="1"/>
  <c r="A2701" i="2" s="1"/>
  <c r="A2706" i="1"/>
  <c r="A2702" i="2" s="1"/>
  <c r="A2707" i="1"/>
  <c r="A2703" i="2" s="1"/>
  <c r="A2708" i="1"/>
  <c r="A2704" i="2" s="1"/>
  <c r="A2709" i="1"/>
  <c r="A2705" i="2" s="1"/>
  <c r="A2710" i="1"/>
  <c r="A2706" i="2" s="1"/>
  <c r="A2711" i="1"/>
  <c r="A2707" i="2" s="1"/>
  <c r="A2712" i="1"/>
  <c r="A2708" i="2" s="1"/>
  <c r="A2713" i="1"/>
  <c r="A2709" i="2" s="1"/>
  <c r="A2714" i="1"/>
  <c r="A2710" i="2" s="1"/>
  <c r="A2715" i="1"/>
  <c r="A2711" i="2" s="1"/>
  <c r="A2716" i="1"/>
  <c r="A2712" i="2" s="1"/>
  <c r="A2717" i="1"/>
  <c r="A2713" i="2" s="1"/>
  <c r="A2718" i="1"/>
  <c r="A2714" i="2" s="1"/>
  <c r="A2719" i="1"/>
  <c r="A2715" i="2" s="1"/>
  <c r="A2720" i="1"/>
  <c r="A2716" i="2" s="1"/>
  <c r="A2721" i="1"/>
  <c r="A2717" i="2" s="1"/>
  <c r="A2722" i="1"/>
  <c r="A2718" i="2" s="1"/>
  <c r="A2723" i="1"/>
  <c r="A2719" i="2" s="1"/>
  <c r="A2724" i="1"/>
  <c r="A2720" i="2" s="1"/>
  <c r="A2725" i="1"/>
  <c r="A2721" i="2" s="1"/>
  <c r="A2726" i="1"/>
  <c r="A2722" i="2" s="1"/>
  <c r="A2727" i="1"/>
  <c r="A2723" i="2" s="1"/>
  <c r="A2728" i="1"/>
  <c r="A2724" i="2" s="1"/>
  <c r="A2729" i="1"/>
  <c r="A2725" i="2" s="1"/>
  <c r="A2730" i="1"/>
  <c r="A2726" i="2" s="1"/>
  <c r="A2731" i="1"/>
  <c r="A2727" i="2" s="1"/>
  <c r="A2732" i="1"/>
  <c r="A2728" i="2" s="1"/>
  <c r="A2733" i="1"/>
  <c r="A2729" i="2" s="1"/>
  <c r="A2734" i="1"/>
  <c r="A2730" i="2" s="1"/>
  <c r="A2735" i="1"/>
  <c r="A2731" i="2" s="1"/>
  <c r="A2736" i="1"/>
  <c r="A2732" i="2" s="1"/>
  <c r="A2737" i="1"/>
  <c r="A2733" i="2" s="1"/>
  <c r="A2738" i="1"/>
  <c r="A2734" i="2" s="1"/>
  <c r="A2739" i="1"/>
  <c r="A2735" i="2" s="1"/>
  <c r="A2740" i="1"/>
  <c r="A2736" i="2" s="1"/>
  <c r="A2741" i="1"/>
  <c r="A2737" i="2" s="1"/>
  <c r="A2742" i="1"/>
  <c r="A2738" i="2" s="1"/>
  <c r="A2743" i="1"/>
  <c r="A2739" i="2" s="1"/>
  <c r="A2744" i="1"/>
  <c r="A2740" i="2" s="1"/>
  <c r="A2745" i="1"/>
  <c r="A2741" i="2" s="1"/>
  <c r="A2746" i="1"/>
  <c r="A2742" i="2" s="1"/>
  <c r="A2747" i="1"/>
  <c r="A2743" i="2" s="1"/>
  <c r="A2748" i="1"/>
  <c r="A2744" i="2" s="1"/>
  <c r="A2749" i="1"/>
  <c r="A2745" i="2" s="1"/>
  <c r="A2750" i="1"/>
  <c r="A2746" i="2" s="1"/>
  <c r="A2751" i="1"/>
  <c r="A2747" i="2" s="1"/>
  <c r="A2752" i="1"/>
  <c r="A2748" i="2" s="1"/>
  <c r="A2753" i="1"/>
  <c r="A2749" i="2" s="1"/>
  <c r="A2754" i="1"/>
  <c r="A2750" i="2" s="1"/>
  <c r="A2755" i="1"/>
  <c r="A2751" i="2" s="1"/>
  <c r="A2756" i="1"/>
  <c r="A2752" i="2" s="1"/>
  <c r="A2757" i="1"/>
  <c r="A2753" i="2" s="1"/>
  <c r="A2758" i="1"/>
  <c r="A2754" i="2" s="1"/>
  <c r="A2759" i="1"/>
  <c r="A2755" i="2" s="1"/>
  <c r="A2760" i="1"/>
  <c r="A2756" i="2" s="1"/>
  <c r="A2761" i="1"/>
  <c r="A2757" i="2" s="1"/>
  <c r="A2762" i="1"/>
  <c r="A2758" i="2" s="1"/>
  <c r="A2763" i="1"/>
  <c r="A2759" i="2" s="1"/>
  <c r="A2764" i="1"/>
  <c r="A2760" i="2" s="1"/>
  <c r="A2765" i="1"/>
  <c r="A2761" i="2" s="1"/>
  <c r="A2766" i="1"/>
  <c r="A2762" i="2" s="1"/>
  <c r="A2767" i="1"/>
  <c r="A2763" i="2" s="1"/>
  <c r="A2768" i="1"/>
  <c r="A2764" i="2" s="1"/>
  <c r="A2769" i="1"/>
  <c r="A2765" i="2" s="1"/>
  <c r="A2770" i="1"/>
  <c r="A2766" i="2" s="1"/>
  <c r="A2771" i="1"/>
  <c r="A2767" i="2" s="1"/>
  <c r="A2772" i="1"/>
  <c r="A2768" i="2" s="1"/>
  <c r="A2773" i="1"/>
  <c r="A2769" i="2" s="1"/>
  <c r="A2774" i="1"/>
  <c r="A2770" i="2" s="1"/>
  <c r="A2775" i="1"/>
  <c r="A2771" i="2" s="1"/>
  <c r="A2776" i="1"/>
  <c r="A2772" i="2" s="1"/>
  <c r="A2777" i="1"/>
  <c r="A2773" i="2" s="1"/>
  <c r="A2646" i="1"/>
  <c r="A2642" i="2" s="1"/>
  <c r="B333" i="3"/>
  <c r="E333" s="1"/>
  <c r="B334"/>
  <c r="E334" s="1"/>
  <c r="B335"/>
  <c r="E335" s="1"/>
  <c r="B336"/>
  <c r="E336" s="1"/>
  <c r="B337"/>
  <c r="E337" s="1"/>
  <c r="B338"/>
  <c r="E338" s="1"/>
  <c r="B339"/>
  <c r="E339" s="1"/>
  <c r="B340"/>
  <c r="E340" s="1"/>
  <c r="B341"/>
  <c r="E341" s="1"/>
  <c r="B342"/>
  <c r="E342" s="1"/>
  <c r="B343"/>
  <c r="E343" s="1"/>
  <c r="B344"/>
  <c r="E344" s="1"/>
  <c r="B345"/>
  <c r="E345" s="1"/>
  <c r="B346"/>
  <c r="E346" s="1"/>
  <c r="B347"/>
  <c r="E347" s="1"/>
  <c r="B348"/>
  <c r="E348" s="1"/>
  <c r="B349"/>
  <c r="E349" s="1"/>
  <c r="B350"/>
  <c r="E350" s="1"/>
  <c r="B351"/>
  <c r="B352"/>
  <c r="E352" s="1"/>
  <c r="B353"/>
  <c r="E353" s="1"/>
  <c r="B354"/>
  <c r="E354" s="1"/>
  <c r="B355"/>
  <c r="E355" s="1"/>
  <c r="B356"/>
  <c r="E356" s="1"/>
  <c r="B357"/>
  <c r="E357" s="1"/>
  <c r="B358"/>
  <c r="E358" s="1"/>
  <c r="B359"/>
  <c r="E359" s="1"/>
  <c r="B360"/>
  <c r="E360" s="1"/>
  <c r="B361"/>
  <c r="E361" s="1"/>
  <c r="B362"/>
  <c r="E362" s="1"/>
  <c r="B363"/>
  <c r="E363" s="1"/>
  <c r="B364"/>
  <c r="E364" s="1"/>
  <c r="B365"/>
  <c r="E365" s="1"/>
  <c r="B366"/>
  <c r="E366" s="1"/>
  <c r="B367"/>
  <c r="E367" s="1"/>
  <c r="B368"/>
  <c r="E368" s="1"/>
  <c r="B369"/>
  <c r="E369" s="1"/>
  <c r="B370"/>
  <c r="E370" s="1"/>
  <c r="B371"/>
  <c r="E371" s="1"/>
  <c r="B372"/>
  <c r="E372" s="1"/>
  <c r="B373"/>
  <c r="E373" s="1"/>
  <c r="B374"/>
  <c r="E374" s="1"/>
  <c r="B375"/>
  <c r="E375" s="1"/>
  <c r="B376"/>
  <c r="E376" s="1"/>
  <c r="B377"/>
  <c r="E377" s="1"/>
  <c r="B378"/>
  <c r="E378" s="1"/>
  <c r="B379"/>
  <c r="E379" s="1"/>
  <c r="B380"/>
  <c r="E380" s="1"/>
  <c r="B381"/>
  <c r="E381" s="1"/>
  <c r="B382"/>
  <c r="E382" s="1"/>
  <c r="B383"/>
  <c r="E383" s="1"/>
  <c r="B384"/>
  <c r="E384" s="1"/>
  <c r="B385"/>
  <c r="E385" s="1"/>
  <c r="B386"/>
  <c r="E386" s="1"/>
  <c r="B387"/>
  <c r="E387" s="1"/>
  <c r="B388"/>
  <c r="E388" s="1"/>
  <c r="B389"/>
  <c r="E389" s="1"/>
  <c r="B390"/>
  <c r="E390" s="1"/>
  <c r="B391"/>
  <c r="E391" s="1"/>
  <c r="B392"/>
  <c r="E392" s="1"/>
  <c r="B393"/>
  <c r="E393" s="1"/>
  <c r="B394"/>
  <c r="E394" s="1"/>
  <c r="B395"/>
  <c r="E395" s="1"/>
  <c r="B396"/>
  <c r="E396" s="1"/>
  <c r="B397"/>
  <c r="E397" s="1"/>
  <c r="B398"/>
  <c r="E398" s="1"/>
  <c r="B399"/>
  <c r="E399" s="1"/>
  <c r="B400"/>
  <c r="E400" s="1"/>
  <c r="B401"/>
  <c r="E401" s="1"/>
  <c r="B402"/>
  <c r="E402" s="1"/>
  <c r="B403"/>
  <c r="E403" s="1"/>
  <c r="B404"/>
  <c r="E404" s="1"/>
  <c r="B405"/>
  <c r="E405" s="1"/>
  <c r="B406"/>
  <c r="E406" s="1"/>
  <c r="B407"/>
  <c r="E407" s="1"/>
  <c r="B408"/>
  <c r="E408" s="1"/>
  <c r="B409"/>
  <c r="E409" s="1"/>
  <c r="B410"/>
  <c r="E410" s="1"/>
  <c r="B411"/>
  <c r="E411" s="1"/>
  <c r="B412"/>
  <c r="E412" s="1"/>
  <c r="B413"/>
  <c r="E413" s="1"/>
  <c r="B414"/>
  <c r="E414" s="1"/>
  <c r="B415"/>
  <c r="E415" s="1"/>
  <c r="B416"/>
  <c r="E416" s="1"/>
  <c r="B417"/>
  <c r="E417" s="1"/>
  <c r="B418"/>
  <c r="E418" s="1"/>
  <c r="B419"/>
  <c r="E419" s="1"/>
  <c r="B420"/>
  <c r="E420" s="1"/>
  <c r="B421"/>
  <c r="E421" s="1"/>
  <c r="B422"/>
  <c r="E422" s="1"/>
  <c r="B423"/>
  <c r="E423" s="1"/>
  <c r="B424"/>
  <c r="E424" s="1"/>
  <c r="B425"/>
  <c r="E425" s="1"/>
  <c r="B426"/>
  <c r="E426" s="1"/>
  <c r="B427"/>
  <c r="E427" s="1"/>
  <c r="B428"/>
  <c r="E428" s="1"/>
  <c r="B429"/>
  <c r="E429" s="1"/>
  <c r="B430"/>
  <c r="E430" s="1"/>
  <c r="B431"/>
  <c r="E431" s="1"/>
  <c r="B432"/>
  <c r="E432" s="1"/>
  <c r="B433"/>
  <c r="E433" s="1"/>
  <c r="B434"/>
  <c r="E434" s="1"/>
  <c r="B435"/>
  <c r="E435" s="1"/>
  <c r="B436"/>
  <c r="E436" s="1"/>
  <c r="B437"/>
  <c r="E437" s="1"/>
  <c r="B438"/>
  <c r="E438" s="1"/>
  <c r="B439"/>
  <c r="E439" s="1"/>
  <c r="B440"/>
  <c r="E440" s="1"/>
  <c r="B441"/>
  <c r="E441" s="1"/>
  <c r="B442"/>
  <c r="E442" s="1"/>
  <c r="B443"/>
  <c r="E443" s="1"/>
  <c r="B444"/>
  <c r="E444" s="1"/>
  <c r="B445"/>
  <c r="E445" s="1"/>
  <c r="B446"/>
  <c r="E446" s="1"/>
  <c r="B447"/>
  <c r="E447" s="1"/>
  <c r="B448"/>
  <c r="E448" s="1"/>
  <c r="B449"/>
  <c r="E449" s="1"/>
  <c r="B450"/>
  <c r="E450" s="1"/>
  <c r="B451"/>
  <c r="E451" s="1"/>
  <c r="B452"/>
  <c r="E452" s="1"/>
  <c r="B453"/>
  <c r="E453" s="1"/>
  <c r="B454"/>
  <c r="E454" s="1"/>
  <c r="B455"/>
  <c r="E455" s="1"/>
  <c r="B456"/>
  <c r="E456" s="1"/>
  <c r="B457"/>
  <c r="E457" s="1"/>
  <c r="B458"/>
  <c r="E458" s="1"/>
  <c r="B459"/>
  <c r="E459" s="1"/>
  <c r="B460"/>
  <c r="E460" s="1"/>
  <c r="B461"/>
  <c r="E461" s="1"/>
  <c r="B462"/>
  <c r="E462" s="1"/>
  <c r="B463"/>
  <c r="E463" s="1"/>
  <c r="B332"/>
  <c r="E332" s="1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332"/>
  <c r="I1804" i="1" l="1"/>
  <c r="I1342"/>
  <c r="I421"/>
  <c r="I1807" s="1"/>
  <c r="I1334"/>
  <c r="L1346"/>
  <c r="K1342" i="2" s="1"/>
  <c r="L1344" i="1"/>
  <c r="K1340" i="2" s="1"/>
  <c r="L1326" i="1"/>
  <c r="K1322" i="2" s="1"/>
  <c r="I2270" i="1"/>
  <c r="I880"/>
  <c r="I2250"/>
  <c r="L1331"/>
  <c r="K1327" i="2" s="1"/>
  <c r="L1332" i="1"/>
  <c r="K1328" i="2" s="1"/>
  <c r="L1339" i="1"/>
  <c r="K1335" i="2" s="1"/>
  <c r="I440" i="1"/>
  <c r="I2288" s="1"/>
  <c r="I2243"/>
  <c r="I436"/>
  <c r="I898" s="1"/>
  <c r="I857"/>
  <c r="I1808"/>
  <c r="I1346"/>
  <c r="I2233"/>
  <c r="I432"/>
  <c r="I2280" s="1"/>
  <c r="I2258"/>
  <c r="I1785"/>
  <c r="I1326"/>
  <c r="I1767"/>
  <c r="I872"/>
  <c r="I1788"/>
  <c r="I884"/>
  <c r="I847"/>
  <c r="I2247"/>
  <c r="I864"/>
  <c r="I1319"/>
  <c r="I853"/>
  <c r="I417"/>
  <c r="I879" s="1"/>
  <c r="I876"/>
  <c r="I2232"/>
  <c r="I406"/>
  <c r="I1770"/>
  <c r="I846"/>
  <c r="I1308"/>
  <c r="I413"/>
  <c r="I1799" s="1"/>
  <c r="I861"/>
  <c r="I1315"/>
  <c r="I1338"/>
  <c r="I2262"/>
  <c r="I2239"/>
  <c r="I2229"/>
  <c r="I843"/>
  <c r="I1305"/>
  <c r="L1341"/>
  <c r="K1337" i="2" s="1"/>
  <c r="I1793" i="1"/>
  <c r="I1331"/>
  <c r="I869"/>
  <c r="I2255"/>
  <c r="I429"/>
  <c r="L1337"/>
  <c r="K1333" i="2" s="1"/>
  <c r="I404" i="1"/>
  <c r="I2230"/>
  <c r="I1768"/>
  <c r="I1306"/>
  <c r="I844"/>
  <c r="L1347"/>
  <c r="K1343" i="2" s="1"/>
  <c r="L1334" i="1"/>
  <c r="K1330" i="2" s="1"/>
  <c r="I1822" i="1"/>
  <c r="I411"/>
  <c r="I851"/>
  <c r="I2237"/>
  <c r="I1775"/>
  <c r="I1313"/>
  <c r="L1327"/>
  <c r="K1323" i="2" s="1"/>
  <c r="L1335" i="1"/>
  <c r="K1331" i="2" s="1"/>
  <c r="L1330" i="1"/>
  <c r="K1326" i="2" s="1"/>
  <c r="L1328" i="1"/>
  <c r="K1324" i="2" s="1"/>
  <c r="I2269" i="1"/>
  <c r="I443"/>
  <c r="I1345"/>
  <c r="L1342"/>
  <c r="K1338" i="2" s="1"/>
  <c r="L1336" i="1"/>
  <c r="K1332" i="2" s="1"/>
  <c r="I2251" i="1"/>
  <c r="I425"/>
  <c r="I1789"/>
  <c r="I1327"/>
  <c r="I865"/>
  <c r="I2264"/>
  <c r="I1802"/>
  <c r="I1340"/>
  <c r="I878"/>
  <c r="I438"/>
  <c r="L1333"/>
  <c r="K1329" i="2" s="1"/>
  <c r="I2268" i="1"/>
  <c r="I1806"/>
  <c r="I1344"/>
  <c r="I882"/>
  <c r="I442"/>
  <c r="I859"/>
  <c r="I2245"/>
  <c r="I419"/>
  <c r="I1783"/>
  <c r="I1321"/>
  <c r="I2272"/>
  <c r="I1810"/>
  <c r="I1348"/>
  <c r="I886"/>
  <c r="I446"/>
  <c r="L1345"/>
  <c r="K1341" i="2" s="1"/>
  <c r="L1329" i="1"/>
  <c r="K1325" i="2" s="1"/>
  <c r="L1343" i="1"/>
  <c r="K1339" i="2" s="1"/>
  <c r="I408" i="1"/>
  <c r="I2234"/>
  <c r="I1772"/>
  <c r="I1310"/>
  <c r="I848"/>
  <c r="I2292"/>
  <c r="I1830"/>
  <c r="I1368"/>
  <c r="I906"/>
  <c r="I466"/>
  <c r="I2235"/>
  <c r="I1773"/>
  <c r="I1311"/>
  <c r="I849"/>
  <c r="I409"/>
  <c r="I1779"/>
  <c r="I1317"/>
  <c r="I2241"/>
  <c r="I415"/>
  <c r="I855"/>
  <c r="L1338"/>
  <c r="K1334" i="2" s="1"/>
  <c r="L1362" i="1"/>
  <c r="K1358" i="2" s="1"/>
  <c r="I1826" i="1"/>
  <c r="I1325"/>
  <c r="I2249"/>
  <c r="I423"/>
  <c r="I1787"/>
  <c r="I863"/>
  <c r="I2260"/>
  <c r="I1798"/>
  <c r="I1336"/>
  <c r="I874"/>
  <c r="I434"/>
  <c r="I1769"/>
  <c r="I1307"/>
  <c r="I845"/>
  <c r="I405"/>
  <c r="I2231"/>
  <c r="M2101"/>
  <c r="L2097" i="2" s="1"/>
  <c r="M1989" i="1"/>
  <c r="L1985" i="2" s="1"/>
  <c r="M1973" i="1"/>
  <c r="L1969" i="2" s="1"/>
  <c r="M1941" i="1"/>
  <c r="L1937" i="2" s="1"/>
  <c r="M2085" i="1"/>
  <c r="L2081" i="2" s="1"/>
  <c r="M2005" i="1"/>
  <c r="L2001" i="2" s="1"/>
  <c r="M1909" i="1"/>
  <c r="L1905" i="2" s="1"/>
  <c r="M2037" i="1"/>
  <c r="L2033" i="2" s="1"/>
  <c r="M2165" i="1"/>
  <c r="L2161" i="2" s="1"/>
  <c r="M2133" i="1"/>
  <c r="L2129" i="2" s="1"/>
  <c r="M2117" i="1"/>
  <c r="L2113" i="2" s="1"/>
  <c r="M1893" i="1"/>
  <c r="L1889" i="2" s="1"/>
  <c r="M2021" i="1"/>
  <c r="L2017" i="2" s="1"/>
  <c r="M2149" i="1"/>
  <c r="L2145" i="2" s="1"/>
  <c r="M2069" i="1"/>
  <c r="L2065" i="2" s="1"/>
  <c r="M2053" i="1"/>
  <c r="L2049" i="2" s="1"/>
  <c r="M1957" i="1"/>
  <c r="L1953" i="2" s="1"/>
  <c r="M1925" i="1"/>
  <c r="L1921" i="2" s="1"/>
  <c r="M2181" i="1"/>
  <c r="L2177" i="2" s="1"/>
  <c r="C2741" i="1"/>
  <c r="C2737" i="2" s="1"/>
  <c r="C2696" i="1"/>
  <c r="C2692" i="2" s="1"/>
  <c r="C2763" i="1"/>
  <c r="C2759" i="2" s="1"/>
  <c r="C2687" i="1"/>
  <c r="C2683" i="2" s="1"/>
  <c r="C2738" i="1"/>
  <c r="C2734" i="2" s="1"/>
  <c r="C2673" i="1"/>
  <c r="C2669" i="2" s="1"/>
  <c r="C2751" i="1"/>
  <c r="C2747" i="2" s="1"/>
  <c r="C2707" i="1"/>
  <c r="C2703" i="2" s="1"/>
  <c r="C2675" i="1"/>
  <c r="C2671" i="2" s="1"/>
  <c r="C2753" i="1"/>
  <c r="C2749" i="2" s="1"/>
  <c r="C2731" i="1"/>
  <c r="C2727" i="2" s="1"/>
  <c r="C2701" i="1"/>
  <c r="C2697" i="2" s="1"/>
  <c r="C2669" i="1"/>
  <c r="C2665" i="2" s="1"/>
  <c r="C2747" i="1"/>
  <c r="C2743" i="2" s="1"/>
  <c r="C2671" i="1"/>
  <c r="C2667" i="2" s="1"/>
  <c r="C2742" i="1"/>
  <c r="C2738" i="2" s="1"/>
  <c r="C2689" i="1"/>
  <c r="C2685" i="2" s="1"/>
  <c r="C2715" i="1"/>
  <c r="C2711" i="2" s="1"/>
  <c r="C2683" i="1"/>
  <c r="C2679" i="2" s="1"/>
  <c r="C2651" i="1"/>
  <c r="C2647" i="2" s="1"/>
  <c r="C2761" i="1"/>
  <c r="C2757" i="2" s="1"/>
  <c r="C2736" i="1"/>
  <c r="C2732" i="2" s="1"/>
  <c r="C2709" i="1"/>
  <c r="C2705" i="2" s="1"/>
  <c r="C2677" i="1"/>
  <c r="C2673" i="2" s="1"/>
  <c r="C2713" i="1"/>
  <c r="C2709" i="2" s="1"/>
  <c r="C2746" i="1"/>
  <c r="C2742" i="2" s="1"/>
  <c r="C2756" i="1"/>
  <c r="C2752" i="2" s="1"/>
  <c r="C2672" i="1"/>
  <c r="C2668" i="2" s="1"/>
  <c r="C2665" i="1"/>
  <c r="C2661" i="2" s="1"/>
  <c r="C2750" i="1"/>
  <c r="C2746" i="2" s="1"/>
  <c r="C2706" i="1"/>
  <c r="C2702" i="2" s="1"/>
  <c r="C2762" i="1"/>
  <c r="C2758" i="2" s="1"/>
  <c r="C2770" i="1"/>
  <c r="C2766" i="2" s="1"/>
  <c r="C2688" i="1"/>
  <c r="C2684" i="2" s="1"/>
  <c r="C2649" i="1"/>
  <c r="C2645" i="2" s="1"/>
  <c r="C2775" i="1"/>
  <c r="C2771" i="2" s="1"/>
  <c r="C2735" i="1"/>
  <c r="C2731" i="2" s="1"/>
  <c r="C2698" i="1"/>
  <c r="C2694" i="2" s="1"/>
  <c r="C2666" i="1"/>
  <c r="C2662" i="2" s="1"/>
  <c r="C2768" i="1"/>
  <c r="C2764" i="2" s="1"/>
  <c r="C2739" i="1"/>
  <c r="C2735" i="2" s="1"/>
  <c r="C2716" i="1"/>
  <c r="C2712" i="2" s="1"/>
  <c r="C2684" i="1"/>
  <c r="C2680" i="2" s="1"/>
  <c r="C2777" i="1"/>
  <c r="C2773" i="2" s="1"/>
  <c r="C2732" i="1"/>
  <c r="C2728" i="2" s="1"/>
  <c r="C2680" i="1"/>
  <c r="C2676" i="2" s="1"/>
  <c r="C2734" i="1"/>
  <c r="C2730" i="2" s="1"/>
  <c r="C2676" i="1"/>
  <c r="C2672" i="2" s="1"/>
  <c r="C2765" i="1"/>
  <c r="C2761" i="2" s="1"/>
  <c r="C2773" i="1"/>
  <c r="C2769" i="2" s="1"/>
  <c r="C2724" i="1"/>
  <c r="C2720" i="2" s="1"/>
  <c r="C2652" i="1"/>
  <c r="C2648" i="2" s="1"/>
  <c r="C2726" i="1"/>
  <c r="C2722" i="2" s="1"/>
  <c r="C2654" i="1"/>
  <c r="C2650" i="2" s="1"/>
  <c r="C2759" i="1"/>
  <c r="C2755" i="2" s="1"/>
  <c r="C2670" i="1"/>
  <c r="C2666" i="2" s="1"/>
  <c r="C2727" i="1"/>
  <c r="C2723" i="2" s="1"/>
  <c r="C2663" i="1"/>
  <c r="C2659" i="2" s="1"/>
  <c r="C2686" i="1"/>
  <c r="C2682" i="2" s="1"/>
  <c r="C2711" i="1"/>
  <c r="C2707" i="2" s="1"/>
  <c r="C2647" i="1"/>
  <c r="C2643" i="2" s="1"/>
  <c r="C2710" i="1"/>
  <c r="C2706" i="2" s="1"/>
  <c r="C2764" i="1"/>
  <c r="C2760" i="2" s="1"/>
  <c r="C2720" i="1"/>
  <c r="C2716" i="2" s="1"/>
  <c r="C2664" i="1"/>
  <c r="C2660" i="2" s="1"/>
  <c r="C2719" i="1"/>
  <c r="C2715" i="2" s="1"/>
  <c r="C2655" i="1"/>
  <c r="C2651" i="2" s="1"/>
  <c r="C2772" i="1"/>
  <c r="C2768" i="2" s="1"/>
  <c r="C2721" i="1"/>
  <c r="C2717" i="2" s="1"/>
  <c r="C2767" i="1"/>
  <c r="C2763" i="2" s="1"/>
  <c r="C2723" i="1"/>
  <c r="C2719" i="2" s="1"/>
  <c r="C2769" i="1"/>
  <c r="C2765" i="2" s="1"/>
  <c r="C2740" i="1"/>
  <c r="C2736" i="2" s="1"/>
  <c r="C2717" i="1"/>
  <c r="C2713" i="2" s="1"/>
  <c r="C2685" i="1"/>
  <c r="C2681" i="2" s="1"/>
  <c r="C2703" i="1"/>
  <c r="C2699" i="2" s="1"/>
  <c r="C2729" i="1"/>
  <c r="C2725" i="2" s="1"/>
  <c r="C2657" i="1"/>
  <c r="C2653" i="2" s="1"/>
  <c r="C2699" i="1"/>
  <c r="C2695" i="2" s="1"/>
  <c r="C2667" i="1"/>
  <c r="C2663" i="2" s="1"/>
  <c r="C2776" i="1"/>
  <c r="C2772" i="2" s="1"/>
  <c r="C2745" i="1"/>
  <c r="C2741" i="2" s="1"/>
  <c r="C2725" i="1"/>
  <c r="C2721" i="2" s="1"/>
  <c r="C2693" i="1"/>
  <c r="C2689" i="2" s="1"/>
  <c r="C2653" i="1"/>
  <c r="C2649" i="2" s="1"/>
  <c r="C2737" i="1"/>
  <c r="C2733" i="2" s="1"/>
  <c r="C2712" i="1"/>
  <c r="C2708" i="2" s="1"/>
  <c r="C2774" i="1"/>
  <c r="C2770" i="2" s="1"/>
  <c r="C2749" i="1"/>
  <c r="C2745" i="2" s="1"/>
  <c r="C2766" i="1"/>
  <c r="C2762" i="2" s="1"/>
  <c r="C2722" i="1"/>
  <c r="C2718" i="2" s="1"/>
  <c r="C2690" i="1"/>
  <c r="C2686" i="2" s="1"/>
  <c r="C2728" i="1"/>
  <c r="C2724" i="2" s="1"/>
  <c r="C2656" i="1"/>
  <c r="C2652" i="2" s="1"/>
  <c r="C2697" i="1"/>
  <c r="C2693" i="2" s="1"/>
  <c r="C2714" i="1"/>
  <c r="C2710" i="2" s="1"/>
  <c r="C2682" i="1"/>
  <c r="C2678" i="2" s="1"/>
  <c r="C2650" i="1"/>
  <c r="C2646" i="2" s="1"/>
  <c r="C2752" i="1"/>
  <c r="C2748" i="2" s="1"/>
  <c r="C2730" i="1"/>
  <c r="C2726" i="2" s="1"/>
  <c r="C2700" i="1"/>
  <c r="C2696" i="2" s="1"/>
  <c r="C2668" i="1"/>
  <c r="C2664" i="2" s="1"/>
  <c r="C2705" i="1"/>
  <c r="C2701" i="2" s="1"/>
  <c r="C2748" i="1"/>
  <c r="C2744" i="2" s="1"/>
  <c r="C2704" i="1"/>
  <c r="C2700" i="2" s="1"/>
  <c r="C2648" i="1"/>
  <c r="C2644" i="2" s="1"/>
  <c r="C2674" i="1"/>
  <c r="C2670" i="2" s="1"/>
  <c r="C2760" i="1"/>
  <c r="C2756" i="2" s="1"/>
  <c r="C2708" i="1"/>
  <c r="C2704" i="2" s="1"/>
  <c r="C2757" i="1"/>
  <c r="C2753" i="2" s="1"/>
  <c r="C2744" i="1"/>
  <c r="C2740" i="2" s="1"/>
  <c r="C2692" i="1"/>
  <c r="C2688" i="2" s="1"/>
  <c r="C2771" i="1"/>
  <c r="C2767" i="2" s="1"/>
  <c r="C2694" i="1"/>
  <c r="C2690" i="2" s="1"/>
  <c r="C2691" i="1"/>
  <c r="C2687" i="2" s="1"/>
  <c r="C2659" i="1"/>
  <c r="C2655" i="2" s="1"/>
  <c r="C2743" i="1"/>
  <c r="C2739" i="2" s="1"/>
  <c r="C2702" i="1"/>
  <c r="C2698" i="2" s="1"/>
  <c r="C2646" i="1"/>
  <c r="C2642" i="2" s="1"/>
  <c r="C2695" i="1"/>
  <c r="C2691" i="2" s="1"/>
  <c r="C2718" i="1"/>
  <c r="C2714" i="2" s="1"/>
  <c r="C2662" i="1"/>
  <c r="C2658" i="2" s="1"/>
  <c r="C2755" i="1"/>
  <c r="C2751" i="2" s="1"/>
  <c r="C2679" i="1"/>
  <c r="C2675" i="2" s="1"/>
  <c r="C2758" i="1"/>
  <c r="C2754" i="2" s="1"/>
  <c r="C2754" i="1"/>
  <c r="C2750" i="2" s="1"/>
  <c r="C2678" i="1"/>
  <c r="C2674" i="2" s="1"/>
  <c r="C2658" i="1"/>
  <c r="C2654" i="2" s="1"/>
  <c r="G334" i="3"/>
  <c r="G459"/>
  <c r="G451"/>
  <c r="G443"/>
  <c r="G435"/>
  <c r="G427"/>
  <c r="G419"/>
  <c r="G411"/>
  <c r="G403"/>
  <c r="G395"/>
  <c r="G387"/>
  <c r="G379"/>
  <c r="G371"/>
  <c r="G363"/>
  <c r="G355"/>
  <c r="G347"/>
  <c r="G339"/>
  <c r="G332"/>
  <c r="G456"/>
  <c r="G448"/>
  <c r="G440"/>
  <c r="G428"/>
  <c r="G420"/>
  <c r="G412"/>
  <c r="G404"/>
  <c r="G396"/>
  <c r="G388"/>
  <c r="G376"/>
  <c r="G368"/>
  <c r="G364"/>
  <c r="G356"/>
  <c r="G348"/>
  <c r="G336"/>
  <c r="G461"/>
  <c r="G453"/>
  <c r="G445"/>
  <c r="G441"/>
  <c r="G437"/>
  <c r="G433"/>
  <c r="G429"/>
  <c r="G425"/>
  <c r="G421"/>
  <c r="G417"/>
  <c r="G413"/>
  <c r="G409"/>
  <c r="G405"/>
  <c r="G401"/>
  <c r="G397"/>
  <c r="G393"/>
  <c r="G389"/>
  <c r="G385"/>
  <c r="G381"/>
  <c r="G377"/>
  <c r="G373"/>
  <c r="G369"/>
  <c r="G365"/>
  <c r="G361"/>
  <c r="G357"/>
  <c r="G353"/>
  <c r="G349"/>
  <c r="G345"/>
  <c r="G341"/>
  <c r="G337"/>
  <c r="G333"/>
  <c r="E351"/>
  <c r="G351" s="1"/>
  <c r="G463"/>
  <c r="G455"/>
  <c r="G447"/>
  <c r="G439"/>
  <c r="G431"/>
  <c r="G423"/>
  <c r="G415"/>
  <c r="G407"/>
  <c r="G399"/>
  <c r="G391"/>
  <c r="G383"/>
  <c r="G375"/>
  <c r="G367"/>
  <c r="G359"/>
  <c r="G343"/>
  <c r="G335"/>
  <c r="G460"/>
  <c r="G452"/>
  <c r="G444"/>
  <c r="G436"/>
  <c r="G432"/>
  <c r="G424"/>
  <c r="G416"/>
  <c r="G408"/>
  <c r="G400"/>
  <c r="G392"/>
  <c r="G384"/>
  <c r="G380"/>
  <c r="G372"/>
  <c r="G360"/>
  <c r="G352"/>
  <c r="G344"/>
  <c r="G340"/>
  <c r="G457"/>
  <c r="G449"/>
  <c r="G462"/>
  <c r="G458"/>
  <c r="G454"/>
  <c r="G450"/>
  <c r="G446"/>
  <c r="G442"/>
  <c r="G438"/>
  <c r="G434"/>
  <c r="G430"/>
  <c r="G426"/>
  <c r="G422"/>
  <c r="G418"/>
  <c r="G414"/>
  <c r="G410"/>
  <c r="G406"/>
  <c r="G402"/>
  <c r="G398"/>
  <c r="G394"/>
  <c r="G390"/>
  <c r="G386"/>
  <c r="G382"/>
  <c r="G378"/>
  <c r="G374"/>
  <c r="G370"/>
  <c r="G366"/>
  <c r="G362"/>
  <c r="G358"/>
  <c r="G354"/>
  <c r="G350"/>
  <c r="G346"/>
  <c r="G342"/>
  <c r="G338"/>
  <c r="I883" i="1" l="1"/>
  <c r="L1353"/>
  <c r="K1349" i="2" s="1"/>
  <c r="L1348" i="1"/>
  <c r="K1344" i="2" s="1"/>
  <c r="I1818" i="1"/>
  <c r="I1356"/>
  <c r="L1368"/>
  <c r="K1364" i="2" s="1"/>
  <c r="I902" i="1"/>
  <c r="L1366"/>
  <c r="K1362" i="2" s="1"/>
  <c r="I1364" i="1"/>
  <c r="I462"/>
  <c r="I924" s="1"/>
  <c r="I894"/>
  <c r="L1361"/>
  <c r="K1357" i="2" s="1"/>
  <c r="L1354" i="1"/>
  <c r="K1350" i="2" s="1"/>
  <c r="I458" i="1"/>
  <c r="I1844" s="1"/>
  <c r="I454"/>
  <c r="I2302" s="1"/>
  <c r="I2284"/>
  <c r="I1360"/>
  <c r="I1341"/>
  <c r="I439"/>
  <c r="I1825" s="1"/>
  <c r="I1803"/>
  <c r="I2265"/>
  <c r="I875"/>
  <c r="I2261"/>
  <c r="I2254"/>
  <c r="I868"/>
  <c r="I1792"/>
  <c r="I428"/>
  <c r="I1330"/>
  <c r="I1337"/>
  <c r="I435"/>
  <c r="I1821" s="1"/>
  <c r="I1791"/>
  <c r="I867"/>
  <c r="I2253"/>
  <c r="I427"/>
  <c r="I1329"/>
  <c r="I2294"/>
  <c r="I1832"/>
  <c r="I1370"/>
  <c r="I908"/>
  <c r="I445"/>
  <c r="I1809"/>
  <c r="I1347"/>
  <c r="I885"/>
  <c r="I2271"/>
  <c r="L1360"/>
  <c r="K1356" i="2" s="1"/>
  <c r="I2256" i="1"/>
  <c r="I1794"/>
  <c r="I1332"/>
  <c r="I870"/>
  <c r="I430"/>
  <c r="L1367"/>
  <c r="K1363" i="2" s="1"/>
  <c r="I2267" i="1"/>
  <c r="I1805"/>
  <c r="I1343"/>
  <c r="I881"/>
  <c r="I441"/>
  <c r="I2252"/>
  <c r="I1790"/>
  <c r="I1328"/>
  <c r="I866"/>
  <c r="I426"/>
  <c r="I2314"/>
  <c r="I1852"/>
  <c r="I1390"/>
  <c r="I928"/>
  <c r="I464"/>
  <c r="I2290"/>
  <c r="I1828"/>
  <c r="I1366"/>
  <c r="I904"/>
  <c r="I460"/>
  <c r="I2286"/>
  <c r="I1824"/>
  <c r="I1362"/>
  <c r="I900"/>
  <c r="I1349"/>
  <c r="I887"/>
  <c r="I2273"/>
  <c r="I447"/>
  <c r="I1811"/>
  <c r="L1364"/>
  <c r="K1360" i="2" s="1"/>
  <c r="I465" i="1"/>
  <c r="I1829"/>
  <c r="I1367"/>
  <c r="I905"/>
  <c r="I2291"/>
  <c r="L1357"/>
  <c r="K1353" i="2" s="1"/>
  <c r="L1369" i="1"/>
  <c r="K1365" i="2" s="1"/>
  <c r="I2277" i="1"/>
  <c r="I451"/>
  <c r="I1815"/>
  <c r="I1353"/>
  <c r="I891"/>
  <c r="I456"/>
  <c r="I2282"/>
  <c r="I1820"/>
  <c r="I1358"/>
  <c r="I896"/>
  <c r="L1384"/>
  <c r="K1380" i="2" s="1"/>
  <c r="L1358" i="1"/>
  <c r="K1354" i="2" s="1"/>
  <c r="L1352" i="1"/>
  <c r="K1348" i="2" s="1"/>
  <c r="L1349" i="1"/>
  <c r="K1345" i="2" s="1"/>
  <c r="L1356" i="1"/>
  <c r="K1352" i="2" s="1"/>
  <c r="L1388" i="1"/>
  <c r="K1384" i="2" s="1"/>
  <c r="L1363" i="1"/>
  <c r="K1359" i="2" s="1"/>
  <c r="I1801" i="1"/>
  <c r="I1339"/>
  <c r="I877"/>
  <c r="I437"/>
  <c r="I2263"/>
  <c r="I1333"/>
  <c r="I2257"/>
  <c r="I431"/>
  <c r="I1795"/>
  <c r="I871"/>
  <c r="L1365"/>
  <c r="K1361" i="2" s="1"/>
  <c r="L1351" i="1"/>
  <c r="K1347" i="2" s="1"/>
  <c r="L1355" i="1"/>
  <c r="K1351" i="2" s="1"/>
  <c r="L1350" i="1"/>
  <c r="K1346" i="2" s="1"/>
  <c r="I2259" i="1"/>
  <c r="I1797"/>
  <c r="I1335"/>
  <c r="I873"/>
  <c r="I433"/>
  <c r="L1359"/>
  <c r="K1355" i="2" s="1"/>
  <c r="M1991" i="1"/>
  <c r="L1987" i="2" s="1"/>
  <c r="M1948" i="1"/>
  <c r="L1944" i="2" s="1"/>
  <c r="M2030" i="1"/>
  <c r="L2026" i="2" s="1"/>
  <c r="M2123" i="1"/>
  <c r="L2119" i="2" s="1"/>
  <c r="M2059" i="1"/>
  <c r="L2055" i="2" s="1"/>
  <c r="M1935" i="1"/>
  <c r="L1931" i="2" s="1"/>
  <c r="M1866" i="1"/>
  <c r="L1862" i="2" s="1"/>
  <c r="M2158" i="1"/>
  <c r="L2154" i="2" s="1"/>
  <c r="M2094" i="1"/>
  <c r="L2090" i="2" s="1"/>
  <c r="M2034" i="1"/>
  <c r="L2030" i="2" s="1"/>
  <c r="M1974" i="1"/>
  <c r="L1970" i="2" s="1"/>
  <c r="M1910" i="1"/>
  <c r="L1906" i="2" s="1"/>
  <c r="M1869" i="1"/>
  <c r="L1865" i="2" s="1"/>
  <c r="M2131" i="1"/>
  <c r="L2127" i="2" s="1"/>
  <c r="M2067" i="1"/>
  <c r="L2063" i="2" s="1"/>
  <c r="M2011" i="1"/>
  <c r="L2007" i="2" s="1"/>
  <c r="M1943" i="1"/>
  <c r="L1939" i="2" s="1"/>
  <c r="M1911" i="1"/>
  <c r="L1907" i="2" s="1"/>
  <c r="M1882" i="1"/>
  <c r="L1878" i="2" s="1"/>
  <c r="M2000" i="1"/>
  <c r="L1996" i="2" s="1"/>
  <c r="M1968" i="1"/>
  <c r="L1964" i="2" s="1"/>
  <c r="M1936" i="1"/>
  <c r="L1932" i="2" s="1"/>
  <c r="M1904" i="1"/>
  <c r="L1900" i="2" s="1"/>
  <c r="M1868" i="1"/>
  <c r="L1864" i="2" s="1"/>
  <c r="M2162" i="1"/>
  <c r="L2158" i="2" s="1"/>
  <c r="M2126" i="1"/>
  <c r="L2122" i="2" s="1"/>
  <c r="M2062" i="1"/>
  <c r="L2058" i="2" s="1"/>
  <c r="M1994" i="1"/>
  <c r="L1990" i="2" s="1"/>
  <c r="M1930" i="1"/>
  <c r="L1926" i="2" s="1"/>
  <c r="M1873" i="1"/>
  <c r="L1869" i="2" s="1"/>
  <c r="M2159" i="1"/>
  <c r="L2155" i="2" s="1"/>
  <c r="M2127" i="1"/>
  <c r="L2123" i="2" s="1"/>
  <c r="M2095" i="1"/>
  <c r="L2091" i="2" s="1"/>
  <c r="M2063" i="1"/>
  <c r="L2059" i="2" s="1"/>
  <c r="M1980" i="1"/>
  <c r="L1976" i="2" s="1"/>
  <c r="M2044" i="1"/>
  <c r="L2040" i="2" s="1"/>
  <c r="M1856" i="1"/>
  <c r="L1852" i="2" s="1"/>
  <c r="M2150" i="1"/>
  <c r="L2146" i="2" s="1"/>
  <c r="M2086" i="1"/>
  <c r="L2082" i="2" s="1"/>
  <c r="M1966" i="1"/>
  <c r="L1962" i="2" s="1"/>
  <c r="M1902" i="1"/>
  <c r="L1898" i="2" s="1"/>
  <c r="M2003" i="1"/>
  <c r="L1999" i="2" s="1"/>
  <c r="M1872" i="1"/>
  <c r="L1868" i="2" s="1"/>
  <c r="M2130" i="1"/>
  <c r="L2126" i="2" s="1"/>
  <c r="M2066" i="1"/>
  <c r="L2062" i="2" s="1"/>
  <c r="M2006" i="1"/>
  <c r="L2002" i="2" s="1"/>
  <c r="M1942" i="1"/>
  <c r="L1938" i="2" s="1"/>
  <c r="M1857" i="1"/>
  <c r="L1853" i="2" s="1"/>
  <c r="M2163" i="1"/>
  <c r="L2159" i="2" s="1"/>
  <c r="M2099" i="1"/>
  <c r="L2095" i="2" s="1"/>
  <c r="M2043" i="1"/>
  <c r="L2039" i="2" s="1"/>
  <c r="M1979" i="1"/>
  <c r="L1975" i="2" s="1"/>
  <c r="M1854" i="1"/>
  <c r="L1850" i="2" s="1"/>
  <c r="M2160" i="1"/>
  <c r="L2156" i="2" s="1"/>
  <c r="M2128" i="1"/>
  <c r="L2124" i="2" s="1"/>
  <c r="M2096" i="1"/>
  <c r="L2092" i="2" s="1"/>
  <c r="M2064" i="1"/>
  <c r="L2060" i="2" s="1"/>
  <c r="M2032" i="1"/>
  <c r="L2028" i="2" s="1"/>
  <c r="M2026" i="1"/>
  <c r="L2022" i="2" s="1"/>
  <c r="M1962" i="1"/>
  <c r="L1958" i="2" s="1"/>
  <c r="M1898" i="1"/>
  <c r="L1894" i="2" s="1"/>
  <c r="M2023" i="1"/>
  <c r="L2019" i="2" s="1"/>
  <c r="M1931" i="1"/>
  <c r="L1927" i="2" s="1"/>
  <c r="M1859" i="1"/>
  <c r="L1855" i="2" s="1"/>
  <c r="M2145" i="1"/>
  <c r="L2141" i="2" s="1"/>
  <c r="M2105" i="1"/>
  <c r="L2101" i="2" s="1"/>
  <c r="M2061" i="1"/>
  <c r="L2057" i="2" s="1"/>
  <c r="M2017" i="1"/>
  <c r="L2013" i="2" s="1"/>
  <c r="M1977" i="1"/>
  <c r="L1973" i="2" s="1"/>
  <c r="M1933" i="1"/>
  <c r="L1929" i="2" s="1"/>
  <c r="M1889" i="1"/>
  <c r="L1885" i="2" s="1"/>
  <c r="M2166" i="1"/>
  <c r="L2162" i="2" s="1"/>
  <c r="M2042" i="1"/>
  <c r="L2038" i="2" s="1"/>
  <c r="M1918" i="1"/>
  <c r="L1914" i="2" s="1"/>
  <c r="M2139" i="1"/>
  <c r="L2135" i="2" s="1"/>
  <c r="M2019" i="1"/>
  <c r="L2015" i="2" s="1"/>
  <c r="M1891" i="1"/>
  <c r="L1887" i="2" s="1"/>
  <c r="M1996" i="1"/>
  <c r="L1992" i="2" s="1"/>
  <c r="M1932" i="1"/>
  <c r="L1928" i="2" s="1"/>
  <c r="M1900" i="1"/>
  <c r="L1896" i="2" s="1"/>
  <c r="M2102" i="1"/>
  <c r="L2098" i="2" s="1"/>
  <c r="M1970" i="1"/>
  <c r="L1966" i="2" s="1"/>
  <c r="M1906" i="1"/>
  <c r="L1902" i="2" s="1"/>
  <c r="M2103" i="1"/>
  <c r="L2099" i="2" s="1"/>
  <c r="M1967" i="1"/>
  <c r="L1963" i="2" s="1"/>
  <c r="M2173" i="1"/>
  <c r="L2169" i="2" s="1"/>
  <c r="M2089" i="1"/>
  <c r="L2085" i="2" s="1"/>
  <c r="M2001" i="1"/>
  <c r="L1997" i="2" s="1"/>
  <c r="M1917" i="1"/>
  <c r="L1913" i="2" s="1"/>
  <c r="M2156" i="1"/>
  <c r="L2152" i="2" s="1"/>
  <c r="M2124" i="1"/>
  <c r="L2120" i="2" s="1"/>
  <c r="M2092" i="1"/>
  <c r="L2088" i="2" s="1"/>
  <c r="M2052" i="1"/>
  <c r="L2048" i="2" s="1"/>
  <c r="M1956" i="1"/>
  <c r="L1952" i="2" s="1"/>
  <c r="M1924" i="1"/>
  <c r="L1920" i="2" s="1"/>
  <c r="M2054" i="1"/>
  <c r="L2050" i="2" s="1"/>
  <c r="M2183" i="1"/>
  <c r="L2179" i="2" s="1"/>
  <c r="M2047" i="1"/>
  <c r="L2043" i="2" s="1"/>
  <c r="M1923" i="1"/>
  <c r="L1919" i="2" s="1"/>
  <c r="M1883" i="1"/>
  <c r="L1879" i="2" s="1"/>
  <c r="M2141" i="1"/>
  <c r="L2137" i="2" s="1"/>
  <c r="M2057" i="1"/>
  <c r="L2053" i="2" s="1"/>
  <c r="M2013" i="1"/>
  <c r="L2009" i="2" s="1"/>
  <c r="M1969" i="1"/>
  <c r="L1965" i="2" s="1"/>
  <c r="M2182" i="1"/>
  <c r="L2178" i="2" s="1"/>
  <c r="M2122" i="1"/>
  <c r="L2118" i="2" s="1"/>
  <c r="M2058" i="1"/>
  <c r="L2054" i="2" s="1"/>
  <c r="M1998" i="1"/>
  <c r="L1994" i="2" s="1"/>
  <c r="M1934" i="1"/>
  <c r="L1930" i="2" s="1"/>
  <c r="M1861" i="1"/>
  <c r="L1857" i="2" s="1"/>
  <c r="M2155" i="1"/>
  <c r="L2151" i="2" s="1"/>
  <c r="M2091" i="1"/>
  <c r="L2087" i="2" s="1"/>
  <c r="M2035" i="1"/>
  <c r="L2031" i="2" s="1"/>
  <c r="M1971" i="1"/>
  <c r="L1967" i="2" s="1"/>
  <c r="M1903" i="1"/>
  <c r="L1899" i="2" s="1"/>
  <c r="M1878" i="1"/>
  <c r="L1874" i="2" s="1"/>
  <c r="M1860" i="1"/>
  <c r="L1856" i="2" s="1"/>
  <c r="M2174" i="1"/>
  <c r="L2170" i="2" s="1"/>
  <c r="M2146" i="1"/>
  <c r="L2142" i="2" s="1"/>
  <c r="M2110" i="1"/>
  <c r="L2106" i="2" s="1"/>
  <c r="M2082" i="1"/>
  <c r="L2078" i="2" s="1"/>
  <c r="M2050" i="1"/>
  <c r="L2046" i="2" s="1"/>
  <c r="M2022" i="1"/>
  <c r="L2018" i="2" s="1"/>
  <c r="M1990" i="1"/>
  <c r="L1986" i="2" s="1"/>
  <c r="M1958" i="1"/>
  <c r="L1954" i="2" s="1"/>
  <c r="M1926" i="1"/>
  <c r="L1922" i="2" s="1"/>
  <c r="M1894" i="1"/>
  <c r="L1890" i="2" s="1"/>
  <c r="M1881" i="1"/>
  <c r="L1877" i="2" s="1"/>
  <c r="M2179" i="1"/>
  <c r="L2175" i="2" s="1"/>
  <c r="M2147" i="1"/>
  <c r="L2143" i="2" s="1"/>
  <c r="M2115" i="1"/>
  <c r="L2111" i="2" s="1"/>
  <c r="M2083" i="1"/>
  <c r="L2079" i="2" s="1"/>
  <c r="M2055" i="1"/>
  <c r="L2051" i="2" s="1"/>
  <c r="M2027" i="1"/>
  <c r="L2023" i="2" s="1"/>
  <c r="M1995" i="1"/>
  <c r="L1991" i="2" s="1"/>
  <c r="M1963" i="1"/>
  <c r="L1959" i="2" s="1"/>
  <c r="M1927" i="1"/>
  <c r="L1923" i="2" s="1"/>
  <c r="M1895" i="1"/>
  <c r="L1891" i="2" s="1"/>
  <c r="M1862" i="1"/>
  <c r="L1858" i="2" s="1"/>
  <c r="M1874" i="1"/>
  <c r="L1870" i="2" s="1"/>
  <c r="M2168" i="1"/>
  <c r="L2164" i="2" s="1"/>
  <c r="M2152" i="1"/>
  <c r="L2148" i="2" s="1"/>
  <c r="M2136" i="1"/>
  <c r="L2132" i="2" s="1"/>
  <c r="M2120" i="1"/>
  <c r="L2116" i="2" s="1"/>
  <c r="M2104" i="1"/>
  <c r="L2100" i="2" s="1"/>
  <c r="M2088" i="1"/>
  <c r="L2084" i="2" s="1"/>
  <c r="M2072" i="1"/>
  <c r="L2068" i="2" s="1"/>
  <c r="M2056" i="1"/>
  <c r="L2052" i="2" s="1"/>
  <c r="M2040" i="1"/>
  <c r="L2036" i="2" s="1"/>
  <c r="M2024" i="1"/>
  <c r="L2020" i="2" s="1"/>
  <c r="M2008" i="1"/>
  <c r="L2004" i="2" s="1"/>
  <c r="M1992" i="1"/>
  <c r="L1988" i="2" s="1"/>
  <c r="M1976" i="1"/>
  <c r="L1972" i="2" s="1"/>
  <c r="M1960" i="1"/>
  <c r="L1956" i="2" s="1"/>
  <c r="M1944" i="1"/>
  <c r="L1940" i="2" s="1"/>
  <c r="M1928" i="1"/>
  <c r="L1924" i="2" s="1"/>
  <c r="M1912" i="1"/>
  <c r="L1908" i="2" s="1"/>
  <c r="M1896" i="1"/>
  <c r="L1892" i="2" s="1"/>
  <c r="M1884" i="1"/>
  <c r="L1880" i="2" s="1"/>
  <c r="M2178" i="1"/>
  <c r="L2174" i="2" s="1"/>
  <c r="M2142" i="1"/>
  <c r="L2138" i="2" s="1"/>
  <c r="M2114" i="1"/>
  <c r="L2110" i="2" s="1"/>
  <c r="M2078" i="1"/>
  <c r="L2074" i="2" s="1"/>
  <c r="M2046" i="1"/>
  <c r="L2042" i="2" s="1"/>
  <c r="M2010" i="1"/>
  <c r="L2006" i="2" s="1"/>
  <c r="M1978" i="1"/>
  <c r="L1974" i="2" s="1"/>
  <c r="M1946" i="1"/>
  <c r="L1942" i="2" s="1"/>
  <c r="M1914" i="1"/>
  <c r="L1910" i="2" s="1"/>
  <c r="M1865" i="1"/>
  <c r="L1861" i="2" s="1"/>
  <c r="M2175" i="1"/>
  <c r="L2171" i="2" s="1"/>
  <c r="M2143" i="1"/>
  <c r="L2139" i="2" s="1"/>
  <c r="M2111" i="1"/>
  <c r="L2107" i="2" s="1"/>
  <c r="M2079" i="1"/>
  <c r="L2075" i="2" s="1"/>
  <c r="M2039" i="1"/>
  <c r="L2035" i="2" s="1"/>
  <c r="M2007" i="1"/>
  <c r="L2003" i="2" s="1"/>
  <c r="M1975" i="1"/>
  <c r="L1971" i="2" s="1"/>
  <c r="M1947" i="1"/>
  <c r="L1943" i="2" s="1"/>
  <c r="M1915" i="1"/>
  <c r="L1911" i="2" s="1"/>
  <c r="M1855" i="1"/>
  <c r="L1851" i="2" s="1"/>
  <c r="M1879" i="1"/>
  <c r="L1875" i="2" s="1"/>
  <c r="M2177" i="1"/>
  <c r="L2173" i="2" s="1"/>
  <c r="M2157" i="1"/>
  <c r="L2153" i="2" s="1"/>
  <c r="M2137" i="1"/>
  <c r="L2133" i="2" s="1"/>
  <c r="M2113" i="1"/>
  <c r="L2109" i="2" s="1"/>
  <c r="M2093" i="1"/>
  <c r="L2089" i="2" s="1"/>
  <c r="M2073" i="1"/>
  <c r="L2069" i="2" s="1"/>
  <c r="M2049" i="1"/>
  <c r="L2045" i="2" s="1"/>
  <c r="M2029" i="1"/>
  <c r="L2025" i="2" s="1"/>
  <c r="M2009" i="1"/>
  <c r="L2005" i="2" s="1"/>
  <c r="M1985" i="1"/>
  <c r="L1981" i="2" s="1"/>
  <c r="M1965" i="1"/>
  <c r="L1961" i="2" s="1"/>
  <c r="M1921" i="1"/>
  <c r="L1917" i="2" s="1"/>
  <c r="M1901" i="1"/>
  <c r="L1897" i="2" s="1"/>
  <c r="M1880" i="1"/>
  <c r="L1876" i="2" s="1"/>
  <c r="M2138" i="1"/>
  <c r="L2134" i="2" s="1"/>
  <c r="M2074" i="1"/>
  <c r="L2070" i="2" s="1"/>
  <c r="M2014" i="1"/>
  <c r="L2010" i="2" s="1"/>
  <c r="M1950" i="1"/>
  <c r="L1946" i="2" s="1"/>
  <c r="M1886" i="1"/>
  <c r="L1882" i="2" s="1"/>
  <c r="M2171" i="1"/>
  <c r="L2167" i="2" s="1"/>
  <c r="M2107" i="1"/>
  <c r="L2103" i="2" s="1"/>
  <c r="M2051" i="1"/>
  <c r="L2047" i="2" s="1"/>
  <c r="M1987" i="1"/>
  <c r="L1983" i="2" s="1"/>
  <c r="M1919" i="1"/>
  <c r="L1915" i="2" s="1"/>
  <c r="M1858" i="1"/>
  <c r="L1854" i="2" s="1"/>
  <c r="M2028" i="1"/>
  <c r="L2024" i="2" s="1"/>
  <c r="M1916" i="1"/>
  <c r="L1912" i="2" s="1"/>
  <c r="M1864" i="1"/>
  <c r="L1860" i="2" s="1"/>
  <c r="M2134" i="1"/>
  <c r="L2130" i="2" s="1"/>
  <c r="M2070" i="1"/>
  <c r="L2066" i="2" s="1"/>
  <c r="M2002" i="1"/>
  <c r="L1998" i="2" s="1"/>
  <c r="M1938" i="1"/>
  <c r="L1934" i="2" s="1"/>
  <c r="M1885" i="1"/>
  <c r="L1881" i="2" s="1"/>
  <c r="M2135" i="1"/>
  <c r="L2131" i="2" s="1"/>
  <c r="M2071" i="1"/>
  <c r="L2067" i="2" s="1"/>
  <c r="M1999" i="1"/>
  <c r="L1995" i="2" s="1"/>
  <c r="M1939" i="1"/>
  <c r="L1935" i="2" s="1"/>
  <c r="M1863" i="1"/>
  <c r="L1859" i="2" s="1"/>
  <c r="M2153" i="1"/>
  <c r="L2149" i="2" s="1"/>
  <c r="M2109" i="1"/>
  <c r="L2105" i="2" s="1"/>
  <c r="M2065" i="1"/>
  <c r="L2061" i="2" s="1"/>
  <c r="M2025" i="1"/>
  <c r="L2021" i="2" s="1"/>
  <c r="M1981" i="1"/>
  <c r="L1977" i="2" s="1"/>
  <c r="M1937" i="1"/>
  <c r="L1933" i="2" s="1"/>
  <c r="M1897" i="1"/>
  <c r="L1893" i="2" s="1"/>
  <c r="M2180" i="1"/>
  <c r="L2176" i="2" s="1"/>
  <c r="M2164" i="1"/>
  <c r="L2160" i="2" s="1"/>
  <c r="M2148" i="1"/>
  <c r="L2144" i="2" s="1"/>
  <c r="M2132" i="1"/>
  <c r="L2128" i="2" s="1"/>
  <c r="M2116" i="1"/>
  <c r="L2112" i="2" s="1"/>
  <c r="M2100" i="1"/>
  <c r="L2096" i="2" s="1"/>
  <c r="M2084" i="1"/>
  <c r="L2080" i="2" s="1"/>
  <c r="M2060" i="1"/>
  <c r="L2056" i="2" s="1"/>
  <c r="M2020" i="1"/>
  <c r="L2016" i="2" s="1"/>
  <c r="M2004" i="1"/>
  <c r="L2000" i="2" s="1"/>
  <c r="M1972" i="1"/>
  <c r="L1968" i="2" s="1"/>
  <c r="M1940" i="1"/>
  <c r="L1936" i="2" s="1"/>
  <c r="M1908" i="1"/>
  <c r="L1904" i="2" s="1"/>
  <c r="M1876" i="1"/>
  <c r="L1872" i="2" s="1"/>
  <c r="M2154" i="1"/>
  <c r="L2150" i="2" s="1"/>
  <c r="M2090" i="1"/>
  <c r="L2086" i="2" s="1"/>
  <c r="M2018" i="1"/>
  <c r="L2014" i="2" s="1"/>
  <c r="M1954" i="1"/>
  <c r="L1950" i="2" s="1"/>
  <c r="M1890" i="1"/>
  <c r="L1886" i="2" s="1"/>
  <c r="M2151" i="1"/>
  <c r="L2147" i="2" s="1"/>
  <c r="M2087" i="1"/>
  <c r="L2083" i="2" s="1"/>
  <c r="M2015" i="1"/>
  <c r="L2011" i="2" s="1"/>
  <c r="M1951" i="1"/>
  <c r="L1947" i="2" s="1"/>
  <c r="M1887" i="1"/>
  <c r="L1883" i="2" s="1"/>
  <c r="M1867" i="1"/>
  <c r="L1863" i="2" s="1"/>
  <c r="M2161" i="1"/>
  <c r="L2157" i="2" s="1"/>
  <c r="M2121" i="1"/>
  <c r="L2117" i="2" s="1"/>
  <c r="M2077" i="1"/>
  <c r="L2073" i="2" s="1"/>
  <c r="M2033" i="1"/>
  <c r="L2029" i="2" s="1"/>
  <c r="M1993" i="1"/>
  <c r="L1989" i="2" s="1"/>
  <c r="M1949" i="1"/>
  <c r="L1945" i="2" s="1"/>
  <c r="M1905" i="1"/>
  <c r="L1901" i="2" s="1"/>
  <c r="M1959" i="1"/>
  <c r="L1955" i="2" s="1"/>
  <c r="M1899" i="1"/>
  <c r="L1895" i="2" s="1"/>
  <c r="M1871" i="1"/>
  <c r="L1867" i="2" s="1"/>
  <c r="M2169" i="1"/>
  <c r="L2165" i="2" s="1"/>
  <c r="M2125" i="1"/>
  <c r="L2121" i="2" s="1"/>
  <c r="M2081" i="1"/>
  <c r="L2077" i="2" s="1"/>
  <c r="M2041" i="1"/>
  <c r="L2037" i="2" s="1"/>
  <c r="M1997" i="1"/>
  <c r="L1993" i="2" s="1"/>
  <c r="M1953" i="1"/>
  <c r="L1949" i="2" s="1"/>
  <c r="M1913" i="1"/>
  <c r="L1909" i="2" s="1"/>
  <c r="M2106" i="1"/>
  <c r="L2102" i="2" s="1"/>
  <c r="M1982" i="1"/>
  <c r="L1978" i="2" s="1"/>
  <c r="M1877" i="1"/>
  <c r="L1873" i="2" s="1"/>
  <c r="M2075" i="1"/>
  <c r="L2071" i="2" s="1"/>
  <c r="M1955" i="1"/>
  <c r="L1951" i="2" s="1"/>
  <c r="M1870" i="1"/>
  <c r="L1866" i="2" s="1"/>
  <c r="M2068" i="1"/>
  <c r="L2064" i="2" s="1"/>
  <c r="M1964" i="1"/>
  <c r="L1960" i="2" s="1"/>
  <c r="M2170" i="1"/>
  <c r="L2166" i="2" s="1"/>
  <c r="M2038" i="1"/>
  <c r="L2034" i="2" s="1"/>
  <c r="M2167" i="1"/>
  <c r="L2163" i="2" s="1"/>
  <c r="M2031" i="1"/>
  <c r="L2027" i="2" s="1"/>
  <c r="M1907" i="1"/>
  <c r="L1903" i="2" s="1"/>
  <c r="M1875" i="1"/>
  <c r="L1871" i="2" s="1"/>
  <c r="M2129" i="1"/>
  <c r="L2125" i="2" s="1"/>
  <c r="M2045" i="1"/>
  <c r="L2041" i="2" s="1"/>
  <c r="M1961" i="1"/>
  <c r="L1957" i="2" s="1"/>
  <c r="M2036" i="1"/>
  <c r="L2032" i="2" s="1"/>
  <c r="M2118" i="1"/>
  <c r="L2114" i="2" s="1"/>
  <c r="M1986" i="1"/>
  <c r="L1982" i="2" s="1"/>
  <c r="M1922" i="1"/>
  <c r="L1918" i="2" s="1"/>
  <c r="M2119" i="1"/>
  <c r="L2115" i="2" s="1"/>
  <c r="M1983" i="1"/>
  <c r="L1979" i="2" s="1"/>
  <c r="M2097" i="1"/>
  <c r="L2093" i="2" s="1"/>
  <c r="M1929" i="1"/>
  <c r="L1925" i="2" s="1"/>
  <c r="M2176" i="1"/>
  <c r="L2172" i="2" s="1"/>
  <c r="M2144" i="1"/>
  <c r="L2140" i="2" s="1"/>
  <c r="M2112" i="1"/>
  <c r="L2108" i="2" s="1"/>
  <c r="M2080" i="1"/>
  <c r="L2076" i="2" s="1"/>
  <c r="M2048" i="1"/>
  <c r="L2044" i="2" s="1"/>
  <c r="M2016" i="1"/>
  <c r="L2012" i="2" s="1"/>
  <c r="M1984" i="1"/>
  <c r="L1980" i="2" s="1"/>
  <c r="M1952" i="1"/>
  <c r="L1948" i="2" s="1"/>
  <c r="M1920" i="1"/>
  <c r="L1916" i="2" s="1"/>
  <c r="M1888" i="1"/>
  <c r="L1884" i="2" s="1"/>
  <c r="M2172" i="1"/>
  <c r="L2168" i="2" s="1"/>
  <c r="M2140" i="1"/>
  <c r="L2136" i="2" s="1"/>
  <c r="M2108" i="1"/>
  <c r="L2104" i="2" s="1"/>
  <c r="M2076" i="1"/>
  <c r="L2072" i="2" s="1"/>
  <c r="M2012" i="1"/>
  <c r="L2008" i="2" s="1"/>
  <c r="M1892" i="1"/>
  <c r="L1888" i="2" s="1"/>
  <c r="N2"/>
  <c r="M2"/>
  <c r="L2"/>
  <c r="K2"/>
  <c r="J2"/>
  <c r="I2"/>
  <c r="B2"/>
  <c r="C2"/>
  <c r="D2"/>
  <c r="F2"/>
  <c r="G2"/>
  <c r="H2"/>
  <c r="A2"/>
  <c r="E2"/>
  <c r="I1382" i="1" l="1"/>
  <c r="L1390"/>
  <c r="K1386" i="2" s="1"/>
  <c r="I901" i="1"/>
  <c r="I2310"/>
  <c r="I1848"/>
  <c r="I2306"/>
  <c r="I1386"/>
  <c r="L1370"/>
  <c r="K1366" i="2" s="1"/>
  <c r="L1375" i="1"/>
  <c r="K1371" i="2" s="1"/>
  <c r="I920" i="1"/>
  <c r="I916"/>
  <c r="I461"/>
  <c r="I2309" s="1"/>
  <c r="I1840"/>
  <c r="I1363"/>
  <c r="I1378"/>
  <c r="L1376"/>
  <c r="K1372" i="2" s="1"/>
  <c r="L1383" i="1"/>
  <c r="K1379" i="2" s="1"/>
  <c r="I897" i="1"/>
  <c r="I2287"/>
  <c r="I1359"/>
  <c r="I2283"/>
  <c r="I457"/>
  <c r="I1381" s="1"/>
  <c r="I2276"/>
  <c r="I450"/>
  <c r="I890"/>
  <c r="I1352"/>
  <c r="I1814"/>
  <c r="I453"/>
  <c r="I1817"/>
  <c r="I1355"/>
  <c r="I893"/>
  <c r="I2279"/>
  <c r="I1837"/>
  <c r="I1375"/>
  <c r="I913"/>
  <c r="I2299"/>
  <c r="L1378"/>
  <c r="K1374" i="2" s="1"/>
  <c r="L1391" i="1"/>
  <c r="K1387" i="2" s="1"/>
  <c r="I2308" i="1"/>
  <c r="I1846"/>
  <c r="I1384"/>
  <c r="I922"/>
  <c r="I1365"/>
  <c r="I903"/>
  <c r="I2289"/>
  <c r="I463"/>
  <c r="I1827"/>
  <c r="L1372"/>
  <c r="K1368" i="2" s="1"/>
  <c r="I1389" i="1"/>
  <c r="I927"/>
  <c r="I2313"/>
  <c r="I1851"/>
  <c r="I2295"/>
  <c r="I1833"/>
  <c r="I1371"/>
  <c r="I909"/>
  <c r="L1382"/>
  <c r="K1378" i="2" s="1"/>
  <c r="L1381" i="1"/>
  <c r="K1377" i="2" s="1"/>
  <c r="I2285" i="1"/>
  <c r="I459"/>
  <c r="I1823"/>
  <c r="I1361"/>
  <c r="I899"/>
  <c r="L1380"/>
  <c r="K1376" i="2" s="1"/>
  <c r="I2304" i="1"/>
  <c r="I1842"/>
  <c r="I1380"/>
  <c r="I918"/>
  <c r="I2312"/>
  <c r="I1850"/>
  <c r="I1388"/>
  <c r="I926"/>
  <c r="I452"/>
  <c r="I2278"/>
  <c r="I1816"/>
  <c r="I1354"/>
  <c r="I892"/>
  <c r="L1373"/>
  <c r="K1369" i="2" s="1"/>
  <c r="L1385" i="1"/>
  <c r="K1381" i="2" s="1"/>
  <c r="L1374" i="1"/>
  <c r="K1370" i="2" s="1"/>
  <c r="L1386" i="1"/>
  <c r="K1382" i="2" s="1"/>
  <c r="I448" i="1"/>
  <c r="I2274"/>
  <c r="I1812"/>
  <c r="I1350"/>
  <c r="I888"/>
  <c r="I467"/>
  <c r="I1831"/>
  <c r="I2293"/>
  <c r="I1369"/>
  <c r="I907"/>
  <c r="I1819"/>
  <c r="I1357"/>
  <c r="I895"/>
  <c r="I2281"/>
  <c r="I455"/>
  <c r="L1377"/>
  <c r="K1373" i="2" s="1"/>
  <c r="L1387" i="1"/>
  <c r="K1383" i="2" s="1"/>
  <c r="L1371" i="1"/>
  <c r="K1367" i="2" s="1"/>
  <c r="L1379" i="1"/>
  <c r="K1375" i="2" s="1"/>
  <c r="L1389" i="1"/>
  <c r="K1385" i="2" s="1"/>
  <c r="I449" i="1"/>
  <c r="I2275"/>
  <c r="I1813"/>
  <c r="I1351"/>
  <c r="I889"/>
  <c r="I923" l="1"/>
  <c r="I1385"/>
  <c r="I1847"/>
  <c r="I919"/>
  <c r="I2305"/>
  <c r="I1843"/>
  <c r="I1836"/>
  <c r="I2298"/>
  <c r="I912"/>
  <c r="I1374"/>
  <c r="I2296"/>
  <c r="I1834"/>
  <c r="I1372"/>
  <c r="I910"/>
  <c r="I2311"/>
  <c r="I1849"/>
  <c r="I1387"/>
  <c r="I925"/>
  <c r="I1853"/>
  <c r="I1391"/>
  <c r="I929"/>
  <c r="I2315"/>
  <c r="I1845"/>
  <c r="I1383"/>
  <c r="I921"/>
  <c r="I2307"/>
  <c r="I2303"/>
  <c r="I1841"/>
  <c r="I1379"/>
  <c r="I917"/>
  <c r="I1839"/>
  <c r="I2301"/>
  <c r="I1377"/>
  <c r="I915"/>
  <c r="I1373"/>
  <c r="I911"/>
  <c r="I2297"/>
  <c r="I1835"/>
  <c r="I2300"/>
  <c r="I1838"/>
  <c r="I1376"/>
  <c r="I914"/>
</calcChain>
</file>

<file path=xl/sharedStrings.xml><?xml version="1.0" encoding="utf-8"?>
<sst xmlns="http://schemas.openxmlformats.org/spreadsheetml/2006/main" count="16854" uniqueCount="2953">
  <si>
    <t>id</t>
  </si>
  <si>
    <t>名字(name)</t>
  </si>
  <si>
    <t>品质(quality)</t>
  </si>
  <si>
    <t>等级(level)</t>
  </si>
  <si>
    <t>职业(profession)</t>
  </si>
  <si>
    <t>售出价(sellPrice)</t>
  </si>
  <si>
    <t>熔炼获得熔炼值(smeltGain)</t>
  </si>
  <si>
    <t>打造所需熔炼值(forgeSmeltNeed)</t>
  </si>
  <si>
    <t>头盔</t>
  </si>
  <si>
    <t>戒指</t>
  </si>
  <si>
    <t>腰带</t>
  </si>
  <si>
    <t>胸甲</t>
  </si>
  <si>
    <t>主手武器</t>
  </si>
  <si>
    <t>副手武器</t>
  </si>
  <si>
    <t>护腿</t>
  </si>
  <si>
    <t>鞋子</t>
  </si>
  <si>
    <t>手套</t>
  </si>
  <si>
    <t>项链</t>
  </si>
  <si>
    <t>id</t>
    <phoneticPr fontId="1" type="noConversion"/>
  </si>
  <si>
    <t>part</t>
    <phoneticPr fontId="1" type="noConversion"/>
  </si>
  <si>
    <t>quality</t>
    <phoneticPr fontId="1" type="noConversion"/>
  </si>
  <si>
    <t>level</t>
    <phoneticPr fontId="1" type="noConversion"/>
  </si>
  <si>
    <t>profession</t>
    <phoneticPr fontId="1" type="noConversion"/>
  </si>
  <si>
    <t>sellPrice</t>
    <phoneticPr fontId="1" type="noConversion"/>
  </si>
  <si>
    <t>smeltGain</t>
    <phoneticPr fontId="1" type="noConversion"/>
  </si>
  <si>
    <t>forgeSmeltNeed</t>
    <phoneticPr fontId="1" type="noConversion"/>
  </si>
  <si>
    <t>洗练消耗金币(washCoinCost)</t>
    <phoneticPr fontId="1" type="noConversion"/>
  </si>
  <si>
    <t>washCoinCost</t>
  </si>
  <si>
    <t>装备主属性(equipAttr)</t>
    <phoneticPr fontId="1" type="noConversion"/>
  </si>
  <si>
    <t>equipAttr</t>
  </si>
  <si>
    <t>副属性区间(attrRange)</t>
    <phoneticPr fontId="1" type="noConversion"/>
  </si>
  <si>
    <t>attrRange</t>
  </si>
  <si>
    <t>装备图标</t>
    <phoneticPr fontId="1" type="noConversion"/>
  </si>
  <si>
    <t>data</t>
    <phoneticPr fontId="1" type="noConversion"/>
  </si>
  <si>
    <t>No</t>
    <phoneticPr fontId="1" type="noConversion"/>
  </si>
  <si>
    <t>10010010</t>
  </si>
  <si>
    <t>10010020</t>
  </si>
  <si>
    <t>10010030</t>
  </si>
  <si>
    <t>10010080</t>
  </si>
  <si>
    <t>10010090</t>
  </si>
  <si>
    <t>10010100</t>
  </si>
  <si>
    <t>10011050</t>
  </si>
  <si>
    <t>10011051</t>
  </si>
  <si>
    <t>10011060</t>
  </si>
  <si>
    <t>10011061</t>
  </si>
  <si>
    <t>10012050</t>
  </si>
  <si>
    <t>10012051</t>
  </si>
  <si>
    <t>10012060</t>
  </si>
  <si>
    <t>10012061</t>
  </si>
  <si>
    <t>10013050</t>
  </si>
  <si>
    <t>10013051</t>
  </si>
  <si>
    <t>10013060</t>
  </si>
  <si>
    <t>10013061</t>
  </si>
  <si>
    <t>10010040</t>
  </si>
  <si>
    <t>10010041</t>
  </si>
  <si>
    <t>10010070</t>
  </si>
  <si>
    <t>10010071</t>
  </si>
  <si>
    <t>10050010</t>
  </si>
  <si>
    <t>10050020</t>
  </si>
  <si>
    <t>10050030</t>
  </si>
  <si>
    <t>10050080</t>
  </si>
  <si>
    <t>10050090</t>
  </si>
  <si>
    <t>10050100</t>
  </si>
  <si>
    <t>10051050</t>
  </si>
  <si>
    <t>10051051</t>
  </si>
  <si>
    <t>10051060</t>
  </si>
  <si>
    <t>10051061</t>
  </si>
  <si>
    <t>10052050</t>
  </si>
  <si>
    <t>10052051</t>
  </si>
  <si>
    <t>10052060</t>
  </si>
  <si>
    <t>10052061</t>
  </si>
  <si>
    <t>10053050</t>
  </si>
  <si>
    <t>10053051</t>
  </si>
  <si>
    <t>10053060</t>
  </si>
  <si>
    <t>10053061</t>
  </si>
  <si>
    <t>10050040</t>
  </si>
  <si>
    <t>10050041</t>
  </si>
  <si>
    <t>10050070</t>
  </si>
  <si>
    <t>10050071</t>
  </si>
  <si>
    <t>10100010</t>
  </si>
  <si>
    <t>10100020</t>
  </si>
  <si>
    <t>10100030</t>
  </si>
  <si>
    <t>10100080</t>
  </si>
  <si>
    <t>10100090</t>
  </si>
  <si>
    <t>10100100</t>
  </si>
  <si>
    <t>10101050</t>
  </si>
  <si>
    <t>10101051</t>
  </si>
  <si>
    <t>10101060</t>
  </si>
  <si>
    <t>10101061</t>
  </si>
  <si>
    <t>10102050</t>
  </si>
  <si>
    <t>10102051</t>
  </si>
  <si>
    <t>10102060</t>
  </si>
  <si>
    <t>10102061</t>
  </si>
  <si>
    <t>10103050</t>
  </si>
  <si>
    <t>10103051</t>
  </si>
  <si>
    <t>10103060</t>
  </si>
  <si>
    <t>10103061</t>
  </si>
  <si>
    <t>10100040</t>
  </si>
  <si>
    <t>10100041</t>
  </si>
  <si>
    <t>10100070</t>
  </si>
  <si>
    <t>10100071</t>
  </si>
  <si>
    <t>10150010</t>
  </si>
  <si>
    <t>10150020</t>
  </si>
  <si>
    <t>10150030</t>
  </si>
  <si>
    <t>10150080</t>
  </si>
  <si>
    <t>10150090</t>
  </si>
  <si>
    <t>10150100</t>
  </si>
  <si>
    <t>10151050</t>
  </si>
  <si>
    <t>10151051</t>
  </si>
  <si>
    <t>10151060</t>
  </si>
  <si>
    <t>10151061</t>
  </si>
  <si>
    <t>10152050</t>
  </si>
  <si>
    <t>10152051</t>
  </si>
  <si>
    <t>10152060</t>
  </si>
  <si>
    <t>10152061</t>
  </si>
  <si>
    <t>10153050</t>
  </si>
  <si>
    <t>10153051</t>
  </si>
  <si>
    <t>10153060</t>
  </si>
  <si>
    <t>10153061</t>
  </si>
  <si>
    <t>10150040</t>
  </si>
  <si>
    <t>10150041</t>
  </si>
  <si>
    <t>10150070</t>
  </si>
  <si>
    <t>10150071</t>
  </si>
  <si>
    <t>10200010</t>
  </si>
  <si>
    <t>10200020</t>
  </si>
  <si>
    <t>10200030</t>
  </si>
  <si>
    <t>10200080</t>
  </si>
  <si>
    <t>10200090</t>
  </si>
  <si>
    <t>10200100</t>
  </si>
  <si>
    <t>10201050</t>
  </si>
  <si>
    <t>10201051</t>
  </si>
  <si>
    <t>10201060</t>
  </si>
  <si>
    <t>10201061</t>
  </si>
  <si>
    <t>10202050</t>
  </si>
  <si>
    <t>10202051</t>
  </si>
  <si>
    <t>10202060</t>
  </si>
  <si>
    <t>10202061</t>
  </si>
  <si>
    <t>10203050</t>
  </si>
  <si>
    <t>10203051</t>
  </si>
  <si>
    <t>10203060</t>
  </si>
  <si>
    <t>10203061</t>
  </si>
  <si>
    <t>10200040</t>
  </si>
  <si>
    <t>10200041</t>
  </si>
  <si>
    <t>10200070</t>
  </si>
  <si>
    <t>10200071</t>
  </si>
  <si>
    <t>10250010</t>
  </si>
  <si>
    <t>10250020</t>
  </si>
  <si>
    <t>10250030</t>
  </si>
  <si>
    <t>10250080</t>
  </si>
  <si>
    <t>10250090</t>
  </si>
  <si>
    <t>10250100</t>
  </si>
  <si>
    <t>10251050</t>
  </si>
  <si>
    <t>10251051</t>
  </si>
  <si>
    <t>10251060</t>
  </si>
  <si>
    <t>10251061</t>
  </si>
  <si>
    <t>10252050</t>
  </si>
  <si>
    <t>10252051</t>
  </si>
  <si>
    <t>10252060</t>
  </si>
  <si>
    <t>10252061</t>
  </si>
  <si>
    <t>10253050</t>
  </si>
  <si>
    <t>10253051</t>
  </si>
  <si>
    <t>10253060</t>
  </si>
  <si>
    <t>10253061</t>
  </si>
  <si>
    <t>10250040</t>
  </si>
  <si>
    <t>10250041</t>
  </si>
  <si>
    <t>10250070</t>
  </si>
  <si>
    <t>10250071</t>
  </si>
  <si>
    <t>10300010</t>
  </si>
  <si>
    <t>10300020</t>
  </si>
  <si>
    <t>10300030</t>
  </si>
  <si>
    <t>10300080</t>
  </si>
  <si>
    <t>10300090</t>
  </si>
  <si>
    <t>10300100</t>
  </si>
  <si>
    <t>10301050</t>
  </si>
  <si>
    <t>10301051</t>
  </si>
  <si>
    <t>10301060</t>
  </si>
  <si>
    <t>10301061</t>
  </si>
  <si>
    <t>10302050</t>
  </si>
  <si>
    <t>10302051</t>
  </si>
  <si>
    <t>10302060</t>
  </si>
  <si>
    <t>10302061</t>
  </si>
  <si>
    <t>10303050</t>
  </si>
  <si>
    <t>10303051</t>
  </si>
  <si>
    <t>10303060</t>
  </si>
  <si>
    <t>10303061</t>
  </si>
  <si>
    <t>10300040</t>
  </si>
  <si>
    <t>10300041</t>
  </si>
  <si>
    <t>10300070</t>
  </si>
  <si>
    <t>10300071</t>
  </si>
  <si>
    <t>10350010</t>
  </si>
  <si>
    <t>10350020</t>
  </si>
  <si>
    <t>10350030</t>
  </si>
  <si>
    <t>10350080</t>
  </si>
  <si>
    <t>10350090</t>
  </si>
  <si>
    <t>10350100</t>
  </si>
  <si>
    <t>10351050</t>
  </si>
  <si>
    <t>10351051</t>
  </si>
  <si>
    <t>10351060</t>
  </si>
  <si>
    <t>10351061</t>
  </si>
  <si>
    <t>10352050</t>
  </si>
  <si>
    <t>10352051</t>
  </si>
  <si>
    <t>10352060</t>
  </si>
  <si>
    <t>10352061</t>
  </si>
  <si>
    <t>10353050</t>
  </si>
  <si>
    <t>10353051</t>
  </si>
  <si>
    <t>10353060</t>
  </si>
  <si>
    <t>10353061</t>
  </si>
  <si>
    <t>10350040</t>
  </si>
  <si>
    <t>10350041</t>
  </si>
  <si>
    <t>10350070</t>
  </si>
  <si>
    <t>10350071</t>
  </si>
  <si>
    <t>10400010</t>
  </si>
  <si>
    <t>10400020</t>
  </si>
  <si>
    <t>10400030</t>
  </si>
  <si>
    <t>10400080</t>
  </si>
  <si>
    <t>10400090</t>
  </si>
  <si>
    <t>10400100</t>
  </si>
  <si>
    <t>10401050</t>
  </si>
  <si>
    <t>10401051</t>
  </si>
  <si>
    <t>10401060</t>
  </si>
  <si>
    <t>10401061</t>
  </si>
  <si>
    <t>10402050</t>
  </si>
  <si>
    <t>10402051</t>
  </si>
  <si>
    <t>10402060</t>
  </si>
  <si>
    <t>10402061</t>
  </si>
  <si>
    <t>10403050</t>
  </si>
  <si>
    <t>10403051</t>
  </si>
  <si>
    <t>10403060</t>
  </si>
  <si>
    <t>10403061</t>
  </si>
  <si>
    <t>10400040</t>
  </si>
  <si>
    <t>10400041</t>
  </si>
  <si>
    <t>10400070</t>
  </si>
  <si>
    <t>10400071</t>
  </si>
  <si>
    <t>10450010</t>
  </si>
  <si>
    <t>10450020</t>
  </si>
  <si>
    <t>10450030</t>
  </si>
  <si>
    <t>10450080</t>
  </si>
  <si>
    <t>10450090</t>
  </si>
  <si>
    <t>10450100</t>
  </si>
  <si>
    <t>10451050</t>
  </si>
  <si>
    <t>10451051</t>
  </si>
  <si>
    <t>10451060</t>
  </si>
  <si>
    <t>10451061</t>
  </si>
  <si>
    <t>10452050</t>
  </si>
  <si>
    <t>10452051</t>
  </si>
  <si>
    <t>10452060</t>
  </si>
  <si>
    <t>10452061</t>
  </si>
  <si>
    <t>10453050</t>
  </si>
  <si>
    <t>10453051</t>
  </si>
  <si>
    <t>10453060</t>
  </si>
  <si>
    <t>10453061</t>
  </si>
  <si>
    <t>10450040</t>
  </si>
  <si>
    <t>10450041</t>
  </si>
  <si>
    <t>10450070</t>
  </si>
  <si>
    <t>10450071</t>
  </si>
  <si>
    <t>10500010</t>
  </si>
  <si>
    <t>10500020</t>
  </si>
  <si>
    <t>10500030</t>
  </si>
  <si>
    <t>10500080</t>
  </si>
  <si>
    <t>10500090</t>
  </si>
  <si>
    <t>10500100</t>
  </si>
  <si>
    <t>10501050</t>
  </si>
  <si>
    <t>10501051</t>
  </si>
  <si>
    <t>10501060</t>
  </si>
  <si>
    <t>10501061</t>
  </si>
  <si>
    <t>10502050</t>
  </si>
  <si>
    <t>10502051</t>
  </si>
  <si>
    <t>10502060</t>
  </si>
  <si>
    <t>10502061</t>
  </si>
  <si>
    <t>10503050</t>
  </si>
  <si>
    <t>10503051</t>
  </si>
  <si>
    <t>10503060</t>
  </si>
  <si>
    <t>10503061</t>
  </si>
  <si>
    <t>10500040</t>
  </si>
  <si>
    <t>10500041</t>
  </si>
  <si>
    <t>10500070</t>
  </si>
  <si>
    <t>10500071</t>
  </si>
  <si>
    <t>10550010</t>
  </si>
  <si>
    <t>10550020</t>
  </si>
  <si>
    <t>10550030</t>
  </si>
  <si>
    <t>10550080</t>
  </si>
  <si>
    <t>10550090</t>
  </si>
  <si>
    <t>10550100</t>
  </si>
  <si>
    <t>10551050</t>
  </si>
  <si>
    <t>10551051</t>
  </si>
  <si>
    <t>10551060</t>
  </si>
  <si>
    <t>10551061</t>
  </si>
  <si>
    <t>10552050</t>
  </si>
  <si>
    <t>10552051</t>
  </si>
  <si>
    <t>10552060</t>
  </si>
  <si>
    <t>10552061</t>
  </si>
  <si>
    <t>10553050</t>
  </si>
  <si>
    <t>10553051</t>
  </si>
  <si>
    <t>10553060</t>
  </si>
  <si>
    <t>10553061</t>
  </si>
  <si>
    <t>10550040</t>
  </si>
  <si>
    <t>10550041</t>
  </si>
  <si>
    <t>10550070</t>
  </si>
  <si>
    <t>10550071</t>
  </si>
  <si>
    <t>10600010</t>
  </si>
  <si>
    <t>10600020</t>
  </si>
  <si>
    <t>10600030</t>
  </si>
  <si>
    <t>10600080</t>
  </si>
  <si>
    <t>10600090</t>
  </si>
  <si>
    <t>10600100</t>
  </si>
  <si>
    <t>10601050</t>
  </si>
  <si>
    <t>10601051</t>
  </si>
  <si>
    <t>10601060</t>
  </si>
  <si>
    <t>10601061</t>
  </si>
  <si>
    <t>10602050</t>
  </si>
  <si>
    <t>10602051</t>
  </si>
  <si>
    <t>10602060</t>
  </si>
  <si>
    <t>10602061</t>
  </si>
  <si>
    <t>10603050</t>
  </si>
  <si>
    <t>10603051</t>
  </si>
  <si>
    <t>10603060</t>
  </si>
  <si>
    <t>10603061</t>
  </si>
  <si>
    <t>10600040</t>
  </si>
  <si>
    <t>10600041</t>
  </si>
  <si>
    <t>10600070</t>
  </si>
  <si>
    <t>10600071</t>
  </si>
  <si>
    <t>10650010</t>
  </si>
  <si>
    <t>10650020</t>
  </si>
  <si>
    <t>10650030</t>
  </si>
  <si>
    <t>10650080</t>
  </si>
  <si>
    <t>10650090</t>
  </si>
  <si>
    <t>10650100</t>
  </si>
  <si>
    <t>10651050</t>
  </si>
  <si>
    <t>10651051</t>
  </si>
  <si>
    <t>10651060</t>
  </si>
  <si>
    <t>10651061</t>
  </si>
  <si>
    <t>10652050</t>
  </si>
  <si>
    <t>10652051</t>
  </si>
  <si>
    <t>10652060</t>
  </si>
  <si>
    <t>10652061</t>
  </si>
  <si>
    <t>10653050</t>
  </si>
  <si>
    <t>10653051</t>
  </si>
  <si>
    <t>10653060</t>
  </si>
  <si>
    <t>10653061</t>
  </si>
  <si>
    <t>10650040</t>
  </si>
  <si>
    <t>10650041</t>
  </si>
  <si>
    <t>10650070</t>
  </si>
  <si>
    <t>10650071</t>
  </si>
  <si>
    <t>10700010</t>
  </si>
  <si>
    <t>10700020</t>
  </si>
  <si>
    <t>10700030</t>
  </si>
  <si>
    <t>10700080</t>
  </si>
  <si>
    <t>10700090</t>
  </si>
  <si>
    <t>10700100</t>
  </si>
  <si>
    <t>10701050</t>
  </si>
  <si>
    <t>10701051</t>
  </si>
  <si>
    <t>10701060</t>
  </si>
  <si>
    <t>10701061</t>
  </si>
  <si>
    <t>10702050</t>
  </si>
  <si>
    <t>10702051</t>
  </si>
  <si>
    <t>10702060</t>
  </si>
  <si>
    <t>10702061</t>
  </si>
  <si>
    <t>10703050</t>
  </si>
  <si>
    <t>10703051</t>
  </si>
  <si>
    <t>10703060</t>
  </si>
  <si>
    <t>10703061</t>
  </si>
  <si>
    <t>10700040</t>
  </si>
  <si>
    <t>10700041</t>
  </si>
  <si>
    <t>10700070</t>
  </si>
  <si>
    <t>10700071</t>
  </si>
  <si>
    <t>部位</t>
    <phoneticPr fontId="1" type="noConversion"/>
  </si>
  <si>
    <t>No</t>
    <phoneticPr fontId="1" type="noConversion"/>
  </si>
  <si>
    <t>是否开放</t>
    <phoneticPr fontId="1" type="noConversion"/>
  </si>
  <si>
    <t>20010010</t>
  </si>
  <si>
    <t>20010020</t>
  </si>
  <si>
    <t>20010030</t>
  </si>
  <si>
    <t>20010080</t>
  </si>
  <si>
    <t>20010090</t>
  </si>
  <si>
    <t>20010100</t>
  </si>
  <si>
    <t>20011050</t>
  </si>
  <si>
    <t>20011051</t>
  </si>
  <si>
    <t>20011060</t>
  </si>
  <si>
    <t>20011061</t>
  </si>
  <si>
    <t>20012050</t>
  </si>
  <si>
    <t>20012051</t>
  </si>
  <si>
    <t>20012060</t>
  </si>
  <si>
    <t>20012061</t>
  </si>
  <si>
    <t>20013050</t>
  </si>
  <si>
    <t>20013051</t>
  </si>
  <si>
    <t>20013060</t>
  </si>
  <si>
    <t>20013061</t>
  </si>
  <si>
    <t>20010040</t>
  </si>
  <si>
    <t>20010041</t>
  </si>
  <si>
    <t>20010070</t>
  </si>
  <si>
    <t>20010071</t>
  </si>
  <si>
    <t>20050010</t>
  </si>
  <si>
    <t>20050020</t>
  </si>
  <si>
    <t>20050030</t>
  </si>
  <si>
    <t>20050080</t>
  </si>
  <si>
    <t>20050090</t>
  </si>
  <si>
    <t>20050100</t>
  </si>
  <si>
    <t>20051050</t>
  </si>
  <si>
    <t>20051051</t>
  </si>
  <si>
    <t>20051060</t>
  </si>
  <si>
    <t>20051061</t>
  </si>
  <si>
    <t>20052050</t>
  </si>
  <si>
    <t>20052051</t>
  </si>
  <si>
    <t>20052060</t>
  </si>
  <si>
    <t>20052061</t>
  </si>
  <si>
    <t>20053050</t>
  </si>
  <si>
    <t>20053051</t>
  </si>
  <si>
    <t>20053060</t>
  </si>
  <si>
    <t>20053061</t>
  </si>
  <si>
    <t>20050040</t>
  </si>
  <si>
    <t>20050041</t>
  </si>
  <si>
    <t>20050070</t>
  </si>
  <si>
    <t>20050071</t>
  </si>
  <si>
    <t>20100010</t>
  </si>
  <si>
    <t>20100020</t>
  </si>
  <si>
    <t>20100030</t>
  </si>
  <si>
    <t>20100080</t>
  </si>
  <si>
    <t>20100090</t>
  </si>
  <si>
    <t>20100100</t>
  </si>
  <si>
    <t>20101050</t>
  </si>
  <si>
    <t>20101051</t>
  </si>
  <si>
    <t>20101060</t>
  </si>
  <si>
    <t>20101061</t>
  </si>
  <si>
    <t>20102050</t>
  </si>
  <si>
    <t>20102051</t>
  </si>
  <si>
    <t>20102060</t>
  </si>
  <si>
    <t>20102061</t>
  </si>
  <si>
    <t>20103050</t>
  </si>
  <si>
    <t>20103051</t>
  </si>
  <si>
    <t>20103060</t>
  </si>
  <si>
    <t>20103061</t>
  </si>
  <si>
    <t>20100040</t>
  </si>
  <si>
    <t>20100041</t>
  </si>
  <si>
    <t>20100070</t>
  </si>
  <si>
    <t>20100071</t>
  </si>
  <si>
    <t>20150010</t>
  </si>
  <si>
    <t>20150020</t>
  </si>
  <si>
    <t>20150030</t>
  </si>
  <si>
    <t>20150080</t>
  </si>
  <si>
    <t>20150090</t>
  </si>
  <si>
    <t>20150100</t>
  </si>
  <si>
    <t>20151050</t>
  </si>
  <si>
    <t>20151051</t>
  </si>
  <si>
    <t>20151060</t>
  </si>
  <si>
    <t>20151061</t>
  </si>
  <si>
    <t>20152050</t>
  </si>
  <si>
    <t>20152051</t>
  </si>
  <si>
    <t>20152060</t>
  </si>
  <si>
    <t>20152061</t>
  </si>
  <si>
    <t>20153050</t>
  </si>
  <si>
    <t>20153051</t>
  </si>
  <si>
    <t>20153060</t>
  </si>
  <si>
    <t>20153061</t>
  </si>
  <si>
    <t>20150040</t>
  </si>
  <si>
    <t>20150041</t>
  </si>
  <si>
    <t>20150070</t>
  </si>
  <si>
    <t>20150071</t>
  </si>
  <si>
    <t>20200010</t>
  </si>
  <si>
    <t>20200020</t>
  </si>
  <si>
    <t>20200030</t>
  </si>
  <si>
    <t>20200080</t>
  </si>
  <si>
    <t>20200090</t>
  </si>
  <si>
    <t>20200100</t>
  </si>
  <si>
    <t>20201050</t>
  </si>
  <si>
    <t>20201051</t>
  </si>
  <si>
    <t>20201060</t>
  </si>
  <si>
    <t>20201061</t>
  </si>
  <si>
    <t>20202050</t>
  </si>
  <si>
    <t>20202051</t>
  </si>
  <si>
    <t>20202060</t>
  </si>
  <si>
    <t>20202061</t>
  </si>
  <si>
    <t>20203050</t>
  </si>
  <si>
    <t>20203051</t>
  </si>
  <si>
    <t>20203060</t>
  </si>
  <si>
    <t>20203061</t>
  </si>
  <si>
    <t>20200040</t>
  </si>
  <si>
    <t>20200041</t>
  </si>
  <si>
    <t>20200070</t>
  </si>
  <si>
    <t>20200071</t>
  </si>
  <si>
    <t>20250010</t>
  </si>
  <si>
    <t>20250020</t>
  </si>
  <si>
    <t>20250030</t>
  </si>
  <si>
    <t>20250080</t>
  </si>
  <si>
    <t>20250090</t>
  </si>
  <si>
    <t>20250100</t>
  </si>
  <si>
    <t>20251050</t>
  </si>
  <si>
    <t>20251051</t>
  </si>
  <si>
    <t>20251060</t>
  </si>
  <si>
    <t>20251061</t>
  </si>
  <si>
    <t>20252050</t>
  </si>
  <si>
    <t>20252051</t>
  </si>
  <si>
    <t>20252060</t>
  </si>
  <si>
    <t>20252061</t>
  </si>
  <si>
    <t>20253050</t>
  </si>
  <si>
    <t>20253051</t>
  </si>
  <si>
    <t>20253060</t>
  </si>
  <si>
    <t>20253061</t>
  </si>
  <si>
    <t>20250040</t>
  </si>
  <si>
    <t>20250041</t>
  </si>
  <si>
    <t>20250070</t>
  </si>
  <si>
    <t>20250071</t>
  </si>
  <si>
    <t>20300010</t>
  </si>
  <si>
    <t>20300020</t>
  </si>
  <si>
    <t>20300030</t>
  </si>
  <si>
    <t>20300080</t>
  </si>
  <si>
    <t>20300090</t>
  </si>
  <si>
    <t>20300100</t>
  </si>
  <si>
    <t>20301050</t>
  </si>
  <si>
    <t>20301051</t>
  </si>
  <si>
    <t>20301060</t>
  </si>
  <si>
    <t>20301061</t>
  </si>
  <si>
    <t>20302050</t>
  </si>
  <si>
    <t>20302051</t>
  </si>
  <si>
    <t>20302060</t>
  </si>
  <si>
    <t>20302061</t>
  </si>
  <si>
    <t>20303050</t>
  </si>
  <si>
    <t>20303051</t>
  </si>
  <si>
    <t>20303060</t>
  </si>
  <si>
    <t>20303061</t>
  </si>
  <si>
    <t>20300040</t>
  </si>
  <si>
    <t>20300041</t>
  </si>
  <si>
    <t>20300070</t>
  </si>
  <si>
    <t>20300071</t>
  </si>
  <si>
    <t>20350010</t>
  </si>
  <si>
    <t>20350020</t>
  </si>
  <si>
    <t>20350030</t>
  </si>
  <si>
    <t>20350080</t>
  </si>
  <si>
    <t>20350090</t>
  </si>
  <si>
    <t>20350100</t>
  </si>
  <si>
    <t>20351050</t>
  </si>
  <si>
    <t>20351051</t>
  </si>
  <si>
    <t>20351060</t>
  </si>
  <si>
    <t>20351061</t>
  </si>
  <si>
    <t>20352050</t>
  </si>
  <si>
    <t>20352051</t>
  </si>
  <si>
    <t>20352060</t>
  </si>
  <si>
    <t>20352061</t>
  </si>
  <si>
    <t>20353050</t>
  </si>
  <si>
    <t>20353051</t>
  </si>
  <si>
    <t>20353060</t>
  </si>
  <si>
    <t>20353061</t>
  </si>
  <si>
    <t>20350040</t>
  </si>
  <si>
    <t>20350041</t>
  </si>
  <si>
    <t>20350070</t>
  </si>
  <si>
    <t>20350071</t>
  </si>
  <si>
    <t>20400010</t>
  </si>
  <si>
    <t>20400020</t>
  </si>
  <si>
    <t>20400030</t>
  </si>
  <si>
    <t>20400080</t>
  </si>
  <si>
    <t>20400090</t>
  </si>
  <si>
    <t>20400100</t>
  </si>
  <si>
    <t>20401050</t>
  </si>
  <si>
    <t>20401051</t>
  </si>
  <si>
    <t>20401060</t>
  </si>
  <si>
    <t>20401061</t>
  </si>
  <si>
    <t>20402050</t>
  </si>
  <si>
    <t>20402051</t>
  </si>
  <si>
    <t>20402060</t>
  </si>
  <si>
    <t>20402061</t>
  </si>
  <si>
    <t>20403050</t>
  </si>
  <si>
    <t>20403051</t>
  </si>
  <si>
    <t>20403060</t>
  </si>
  <si>
    <t>20403061</t>
  </si>
  <si>
    <t>20400040</t>
  </si>
  <si>
    <t>20400041</t>
  </si>
  <si>
    <t>20400070</t>
  </si>
  <si>
    <t>20400071</t>
  </si>
  <si>
    <t>20450010</t>
  </si>
  <si>
    <t>20450020</t>
  </si>
  <si>
    <t>20450030</t>
  </si>
  <si>
    <t>20450080</t>
  </si>
  <si>
    <t>20450090</t>
  </si>
  <si>
    <t>20450100</t>
  </si>
  <si>
    <t>20451050</t>
  </si>
  <si>
    <t>20451051</t>
  </si>
  <si>
    <t>20451060</t>
  </si>
  <si>
    <t>20451061</t>
  </si>
  <si>
    <t>20452050</t>
  </si>
  <si>
    <t>20452051</t>
  </si>
  <si>
    <t>20452060</t>
  </si>
  <si>
    <t>20452061</t>
  </si>
  <si>
    <t>20453050</t>
  </si>
  <si>
    <t>20453051</t>
  </si>
  <si>
    <t>20453060</t>
  </si>
  <si>
    <t>20453061</t>
  </si>
  <si>
    <t>20450040</t>
  </si>
  <si>
    <t>20450041</t>
  </si>
  <si>
    <t>20450070</t>
  </si>
  <si>
    <t>20450071</t>
  </si>
  <si>
    <t>20500010</t>
  </si>
  <si>
    <t>20500020</t>
  </si>
  <si>
    <t>20500030</t>
  </si>
  <si>
    <t>20500080</t>
  </si>
  <si>
    <t>20500090</t>
  </si>
  <si>
    <t>20500100</t>
  </si>
  <si>
    <t>20501050</t>
  </si>
  <si>
    <t>20501051</t>
  </si>
  <si>
    <t>20501060</t>
  </si>
  <si>
    <t>20501061</t>
  </si>
  <si>
    <t>20502050</t>
  </si>
  <si>
    <t>20502051</t>
  </si>
  <si>
    <t>20502060</t>
  </si>
  <si>
    <t>20502061</t>
  </si>
  <si>
    <t>20503050</t>
  </si>
  <si>
    <t>20503051</t>
  </si>
  <si>
    <t>20503060</t>
  </si>
  <si>
    <t>20503061</t>
  </si>
  <si>
    <t>20500040</t>
  </si>
  <si>
    <t>20500041</t>
  </si>
  <si>
    <t>20500070</t>
  </si>
  <si>
    <t>20500071</t>
  </si>
  <si>
    <t>20550010</t>
  </si>
  <si>
    <t>20550020</t>
  </si>
  <si>
    <t>20550030</t>
  </si>
  <si>
    <t>20550080</t>
  </si>
  <si>
    <t>20550090</t>
  </si>
  <si>
    <t>20550100</t>
  </si>
  <si>
    <t>20551050</t>
  </si>
  <si>
    <t>20551051</t>
  </si>
  <si>
    <t>20551060</t>
  </si>
  <si>
    <t>20551061</t>
  </si>
  <si>
    <t>20552050</t>
  </si>
  <si>
    <t>20552051</t>
  </si>
  <si>
    <t>20552060</t>
  </si>
  <si>
    <t>20552061</t>
  </si>
  <si>
    <t>20553050</t>
  </si>
  <si>
    <t>20553051</t>
  </si>
  <si>
    <t>20553060</t>
  </si>
  <si>
    <t>20553061</t>
  </si>
  <si>
    <t>20550040</t>
  </si>
  <si>
    <t>20550041</t>
  </si>
  <si>
    <t>20550070</t>
  </si>
  <si>
    <t>20550071</t>
  </si>
  <si>
    <t>20600010</t>
  </si>
  <si>
    <t>20600020</t>
  </si>
  <si>
    <t>20600030</t>
  </si>
  <si>
    <t>20600080</t>
  </si>
  <si>
    <t>20600090</t>
  </si>
  <si>
    <t>20600100</t>
  </si>
  <si>
    <t>20601050</t>
  </si>
  <si>
    <t>20601051</t>
  </si>
  <si>
    <t>20601060</t>
  </si>
  <si>
    <t>20601061</t>
  </si>
  <si>
    <t>20602050</t>
  </si>
  <si>
    <t>20602051</t>
  </si>
  <si>
    <t>20602060</t>
  </si>
  <si>
    <t>20602061</t>
  </si>
  <si>
    <t>20603050</t>
  </si>
  <si>
    <t>20603051</t>
  </si>
  <si>
    <t>20603060</t>
  </si>
  <si>
    <t>20603061</t>
  </si>
  <si>
    <t>20600040</t>
  </si>
  <si>
    <t>20600041</t>
  </si>
  <si>
    <t>20600070</t>
  </si>
  <si>
    <t>20600071</t>
  </si>
  <si>
    <t>20650010</t>
  </si>
  <si>
    <t>20650020</t>
  </si>
  <si>
    <t>20650030</t>
  </si>
  <si>
    <t>20650080</t>
  </si>
  <si>
    <t>20650090</t>
  </si>
  <si>
    <t>20650100</t>
  </si>
  <si>
    <t>20651050</t>
  </si>
  <si>
    <t>20651051</t>
  </si>
  <si>
    <t>20651060</t>
  </si>
  <si>
    <t>20651061</t>
  </si>
  <si>
    <t>20652050</t>
  </si>
  <si>
    <t>20652051</t>
  </si>
  <si>
    <t>20652060</t>
  </si>
  <si>
    <t>20652061</t>
  </si>
  <si>
    <t>20653050</t>
  </si>
  <si>
    <t>20653051</t>
  </si>
  <si>
    <t>20653060</t>
  </si>
  <si>
    <t>20653061</t>
  </si>
  <si>
    <t>20650040</t>
  </si>
  <si>
    <t>20650041</t>
  </si>
  <si>
    <t>20650070</t>
  </si>
  <si>
    <t>20650071</t>
  </si>
  <si>
    <t>20700010</t>
  </si>
  <si>
    <t>20700020</t>
  </si>
  <si>
    <t>20700030</t>
  </si>
  <si>
    <t>20700080</t>
  </si>
  <si>
    <t>20700090</t>
  </si>
  <si>
    <t>20700100</t>
  </si>
  <si>
    <t>20701050</t>
  </si>
  <si>
    <t>20701051</t>
  </si>
  <si>
    <t>20701060</t>
  </si>
  <si>
    <t>20701061</t>
  </si>
  <si>
    <t>20702050</t>
  </si>
  <si>
    <t>20702051</t>
  </si>
  <si>
    <t>20702060</t>
  </si>
  <si>
    <t>20702061</t>
  </si>
  <si>
    <t>20703050</t>
  </si>
  <si>
    <t>20703051</t>
  </si>
  <si>
    <t>20703060</t>
  </si>
  <si>
    <t>20703061</t>
  </si>
  <si>
    <t>20700040</t>
  </si>
  <si>
    <t>20700041</t>
  </si>
  <si>
    <t>20700070</t>
  </si>
  <si>
    <t>20700071</t>
  </si>
  <si>
    <t>0,0</t>
  </si>
  <si>
    <t>1,3</t>
  </si>
  <si>
    <t>1,4</t>
  </si>
  <si>
    <t>7,10</t>
  </si>
  <si>
    <t>9,13</t>
  </si>
  <si>
    <t>15,22</t>
  </si>
  <si>
    <t>20,29</t>
  </si>
  <si>
    <t>27,37</t>
  </si>
  <si>
    <t>35,48</t>
  </si>
  <si>
    <t>46,62</t>
  </si>
  <si>
    <t>42,58</t>
  </si>
  <si>
    <t>55,75</t>
  </si>
  <si>
    <t>58,80</t>
  </si>
  <si>
    <t>75,104</t>
  </si>
  <si>
    <t>73,101</t>
  </si>
  <si>
    <t>95,131</t>
  </si>
  <si>
    <t>93,127</t>
  </si>
  <si>
    <t>121,165</t>
  </si>
  <si>
    <t>125,171</t>
  </si>
  <si>
    <t>163,222</t>
  </si>
  <si>
    <t>142,193</t>
  </si>
  <si>
    <t>185,251</t>
  </si>
  <si>
    <t>172,235</t>
  </si>
  <si>
    <t>224,306</t>
  </si>
  <si>
    <t>223,304</t>
  </si>
  <si>
    <t>290,395</t>
  </si>
  <si>
    <t>269,366</t>
  </si>
  <si>
    <t>350,476</t>
  </si>
  <si>
    <t>318,431</t>
  </si>
  <si>
    <t>413,560</t>
  </si>
  <si>
    <t>30010010</t>
  </si>
  <si>
    <t>30010020</t>
  </si>
  <si>
    <t>30010030</t>
  </si>
  <si>
    <t>30010080</t>
  </si>
  <si>
    <t>30010090</t>
  </si>
  <si>
    <t>30010100</t>
  </si>
  <si>
    <t>30011050</t>
  </si>
  <si>
    <t>30011051</t>
  </si>
  <si>
    <t>30011060</t>
  </si>
  <si>
    <t>30011061</t>
  </si>
  <si>
    <t>30012050</t>
  </si>
  <si>
    <t>30012051</t>
  </si>
  <si>
    <t>30012060</t>
  </si>
  <si>
    <t>30012061</t>
  </si>
  <si>
    <t>30013050</t>
  </si>
  <si>
    <t>30013051</t>
  </si>
  <si>
    <t>30013060</t>
  </si>
  <si>
    <t>30013061</t>
  </si>
  <si>
    <t>30010040</t>
  </si>
  <si>
    <t>30010041</t>
  </si>
  <si>
    <t>30010070</t>
  </si>
  <si>
    <t>30010071</t>
  </si>
  <si>
    <t>30050010</t>
  </si>
  <si>
    <t>30050020</t>
  </si>
  <si>
    <t>30050030</t>
  </si>
  <si>
    <t>30050080</t>
  </si>
  <si>
    <t>30050090</t>
  </si>
  <si>
    <t>30050100</t>
  </si>
  <si>
    <t>30051050</t>
  </si>
  <si>
    <t>30051051</t>
  </si>
  <si>
    <t>30051060</t>
  </si>
  <si>
    <t>30051061</t>
  </si>
  <si>
    <t>30052050</t>
  </si>
  <si>
    <t>30052051</t>
  </si>
  <si>
    <t>30052060</t>
  </si>
  <si>
    <t>30052061</t>
  </si>
  <si>
    <t>30053050</t>
  </si>
  <si>
    <t>30053051</t>
  </si>
  <si>
    <t>30053060</t>
  </si>
  <si>
    <t>30053061</t>
  </si>
  <si>
    <t>30050040</t>
  </si>
  <si>
    <t>30050041</t>
  </si>
  <si>
    <t>30050070</t>
  </si>
  <si>
    <t>30050071</t>
  </si>
  <si>
    <t>30100010</t>
  </si>
  <si>
    <t>30100020</t>
  </si>
  <si>
    <t>30100030</t>
  </si>
  <si>
    <t>30100080</t>
  </si>
  <si>
    <t>30100090</t>
  </si>
  <si>
    <t>30100100</t>
  </si>
  <si>
    <t>30101050</t>
  </si>
  <si>
    <t>30101051</t>
  </si>
  <si>
    <t>30101060</t>
  </si>
  <si>
    <t>30101061</t>
  </si>
  <si>
    <t>30102050</t>
  </si>
  <si>
    <t>30102051</t>
  </si>
  <si>
    <t>30102060</t>
  </si>
  <si>
    <t>30102061</t>
  </si>
  <si>
    <t>30103050</t>
  </si>
  <si>
    <t>30103051</t>
  </si>
  <si>
    <t>30103060</t>
  </si>
  <si>
    <t>30103061</t>
  </si>
  <si>
    <t>30100040</t>
  </si>
  <si>
    <t>30100041</t>
  </si>
  <si>
    <t>30100070</t>
  </si>
  <si>
    <t>30100071</t>
  </si>
  <si>
    <t>30150010</t>
  </si>
  <si>
    <t>30150020</t>
  </si>
  <si>
    <t>30150030</t>
  </si>
  <si>
    <t>30150080</t>
  </si>
  <si>
    <t>30150090</t>
  </si>
  <si>
    <t>30150100</t>
  </si>
  <si>
    <t>30151050</t>
  </si>
  <si>
    <t>30151051</t>
  </si>
  <si>
    <t>30151060</t>
  </si>
  <si>
    <t>30151061</t>
  </si>
  <si>
    <t>30152050</t>
  </si>
  <si>
    <t>30152051</t>
  </si>
  <si>
    <t>30152060</t>
  </si>
  <si>
    <t>30152061</t>
  </si>
  <si>
    <t>30153050</t>
  </si>
  <si>
    <t>30153051</t>
  </si>
  <si>
    <t>30153060</t>
  </si>
  <si>
    <t>30153061</t>
  </si>
  <si>
    <t>30150040</t>
  </si>
  <si>
    <t>30150041</t>
  </si>
  <si>
    <t>30150070</t>
  </si>
  <si>
    <t>30150071</t>
  </si>
  <si>
    <t>30200010</t>
  </si>
  <si>
    <t>30200020</t>
  </si>
  <si>
    <t>30200030</t>
  </si>
  <si>
    <t>30200080</t>
  </si>
  <si>
    <t>30200090</t>
  </si>
  <si>
    <t>30200100</t>
  </si>
  <si>
    <t>30201050</t>
  </si>
  <si>
    <t>30201051</t>
  </si>
  <si>
    <t>30201060</t>
  </si>
  <si>
    <t>30201061</t>
  </si>
  <si>
    <t>30202050</t>
  </si>
  <si>
    <t>30202051</t>
  </si>
  <si>
    <t>30202060</t>
  </si>
  <si>
    <t>30202061</t>
  </si>
  <si>
    <t>30203050</t>
  </si>
  <si>
    <t>30203051</t>
  </si>
  <si>
    <t>30203060</t>
  </si>
  <si>
    <t>30203061</t>
  </si>
  <si>
    <t>30200040</t>
  </si>
  <si>
    <t>30200041</t>
  </si>
  <si>
    <t>30200070</t>
  </si>
  <si>
    <t>30200071</t>
  </si>
  <si>
    <t>30250010</t>
  </si>
  <si>
    <t>30250020</t>
  </si>
  <si>
    <t>30250030</t>
  </si>
  <si>
    <t>30250080</t>
  </si>
  <si>
    <t>30250090</t>
  </si>
  <si>
    <t>30250100</t>
  </si>
  <si>
    <t>30251050</t>
  </si>
  <si>
    <t>30251051</t>
  </si>
  <si>
    <t>30251060</t>
  </si>
  <si>
    <t>30251061</t>
  </si>
  <si>
    <t>30252050</t>
  </si>
  <si>
    <t>30252051</t>
  </si>
  <si>
    <t>30252060</t>
  </si>
  <si>
    <t>30252061</t>
  </si>
  <si>
    <t>30253050</t>
  </si>
  <si>
    <t>30253051</t>
  </si>
  <si>
    <t>30253060</t>
  </si>
  <si>
    <t>30253061</t>
  </si>
  <si>
    <t>30250040</t>
  </si>
  <si>
    <t>30250041</t>
  </si>
  <si>
    <t>30250070</t>
  </si>
  <si>
    <t>30250071</t>
  </si>
  <si>
    <t>30300010</t>
  </si>
  <si>
    <t>30300020</t>
  </si>
  <si>
    <t>30300030</t>
  </si>
  <si>
    <t>30300080</t>
  </si>
  <si>
    <t>30300090</t>
  </si>
  <si>
    <t>30300100</t>
  </si>
  <si>
    <t>30301050</t>
  </si>
  <si>
    <t>30301051</t>
  </si>
  <si>
    <t>30301060</t>
  </si>
  <si>
    <t>30301061</t>
  </si>
  <si>
    <t>30302050</t>
  </si>
  <si>
    <t>30302051</t>
  </si>
  <si>
    <t>30302060</t>
  </si>
  <si>
    <t>30302061</t>
  </si>
  <si>
    <t>30303050</t>
  </si>
  <si>
    <t>30303051</t>
  </si>
  <si>
    <t>30303060</t>
  </si>
  <si>
    <t>30303061</t>
  </si>
  <si>
    <t>30300040</t>
  </si>
  <si>
    <t>30300041</t>
  </si>
  <si>
    <t>30300070</t>
  </si>
  <si>
    <t>30300071</t>
  </si>
  <si>
    <t>30350010</t>
  </si>
  <si>
    <t>30350020</t>
  </si>
  <si>
    <t>30350030</t>
  </si>
  <si>
    <t>30350080</t>
  </si>
  <si>
    <t>30350090</t>
  </si>
  <si>
    <t>30350100</t>
  </si>
  <si>
    <t>30351050</t>
  </si>
  <si>
    <t>30351051</t>
  </si>
  <si>
    <t>30351060</t>
  </si>
  <si>
    <t>30351061</t>
  </si>
  <si>
    <t>30352050</t>
  </si>
  <si>
    <t>30352051</t>
  </si>
  <si>
    <t>30352060</t>
  </si>
  <si>
    <t>30352061</t>
  </si>
  <si>
    <t>30353050</t>
  </si>
  <si>
    <t>30353051</t>
  </si>
  <si>
    <t>30353060</t>
  </si>
  <si>
    <t>30353061</t>
  </si>
  <si>
    <t>30350040</t>
  </si>
  <si>
    <t>30350041</t>
  </si>
  <si>
    <t>30350070</t>
  </si>
  <si>
    <t>30350071</t>
  </si>
  <si>
    <t>30400010</t>
  </si>
  <si>
    <t>30400020</t>
  </si>
  <si>
    <t>30400030</t>
  </si>
  <si>
    <t>30400080</t>
  </si>
  <si>
    <t>30400090</t>
  </si>
  <si>
    <t>30400100</t>
  </si>
  <si>
    <t>30401050</t>
  </si>
  <si>
    <t>30401051</t>
  </si>
  <si>
    <t>30401060</t>
  </si>
  <si>
    <t>30401061</t>
  </si>
  <si>
    <t>30402050</t>
  </si>
  <si>
    <t>30402051</t>
  </si>
  <si>
    <t>30402060</t>
  </si>
  <si>
    <t>30402061</t>
  </si>
  <si>
    <t>30403050</t>
  </si>
  <si>
    <t>30403051</t>
  </si>
  <si>
    <t>30403060</t>
  </si>
  <si>
    <t>30403061</t>
  </si>
  <si>
    <t>30400040</t>
  </si>
  <si>
    <t>30400041</t>
  </si>
  <si>
    <t>30400070</t>
  </si>
  <si>
    <t>30400071</t>
  </si>
  <si>
    <t>30450010</t>
  </si>
  <si>
    <t>30450020</t>
  </si>
  <si>
    <t>30450030</t>
  </si>
  <si>
    <t>30450080</t>
  </si>
  <si>
    <t>30450090</t>
  </si>
  <si>
    <t>30450100</t>
  </si>
  <si>
    <t>30451050</t>
  </si>
  <si>
    <t>30451051</t>
  </si>
  <si>
    <t>30451060</t>
  </si>
  <si>
    <t>30451061</t>
  </si>
  <si>
    <t>30452050</t>
  </si>
  <si>
    <t>30452051</t>
  </si>
  <si>
    <t>30452060</t>
  </si>
  <si>
    <t>30452061</t>
  </si>
  <si>
    <t>30453050</t>
  </si>
  <si>
    <t>30453051</t>
  </si>
  <si>
    <t>30453060</t>
  </si>
  <si>
    <t>30453061</t>
  </si>
  <si>
    <t>30450040</t>
  </si>
  <si>
    <t>30450041</t>
  </si>
  <si>
    <t>30450070</t>
  </si>
  <si>
    <t>30450071</t>
  </si>
  <si>
    <t>30500010</t>
  </si>
  <si>
    <t>30500020</t>
  </si>
  <si>
    <t>30500030</t>
  </si>
  <si>
    <t>30500080</t>
  </si>
  <si>
    <t>30500090</t>
  </si>
  <si>
    <t>30500100</t>
  </si>
  <si>
    <t>30501050</t>
  </si>
  <si>
    <t>30501051</t>
  </si>
  <si>
    <t>30501060</t>
  </si>
  <si>
    <t>30501061</t>
  </si>
  <si>
    <t>30502050</t>
  </si>
  <si>
    <t>30502051</t>
  </si>
  <si>
    <t>30502060</t>
  </si>
  <si>
    <t>30502061</t>
  </si>
  <si>
    <t>30503050</t>
  </si>
  <si>
    <t>30503051</t>
  </si>
  <si>
    <t>30503060</t>
  </si>
  <si>
    <t>30503061</t>
  </si>
  <si>
    <t>30500040</t>
  </si>
  <si>
    <t>30500041</t>
  </si>
  <si>
    <t>30500070</t>
  </si>
  <si>
    <t>30500071</t>
  </si>
  <si>
    <t>30550010</t>
  </si>
  <si>
    <t>30550020</t>
  </si>
  <si>
    <t>30550030</t>
  </si>
  <si>
    <t>30550080</t>
  </si>
  <si>
    <t>30550090</t>
  </si>
  <si>
    <t>30550100</t>
  </si>
  <si>
    <t>30551050</t>
  </si>
  <si>
    <t>30551051</t>
  </si>
  <si>
    <t>30551060</t>
  </si>
  <si>
    <t>30551061</t>
  </si>
  <si>
    <t>30552050</t>
  </si>
  <si>
    <t>30552051</t>
  </si>
  <si>
    <t>30552060</t>
  </si>
  <si>
    <t>30552061</t>
  </si>
  <si>
    <t>30553050</t>
  </si>
  <si>
    <t>30553051</t>
  </si>
  <si>
    <t>30553060</t>
  </si>
  <si>
    <t>30553061</t>
  </si>
  <si>
    <t>30550040</t>
  </si>
  <si>
    <t>30550041</t>
  </si>
  <si>
    <t>30550070</t>
  </si>
  <si>
    <t>30550071</t>
  </si>
  <si>
    <t>30600010</t>
  </si>
  <si>
    <t>30600020</t>
  </si>
  <si>
    <t>30600030</t>
  </si>
  <si>
    <t>30600080</t>
  </si>
  <si>
    <t>30600090</t>
  </si>
  <si>
    <t>30600100</t>
  </si>
  <si>
    <t>30601050</t>
  </si>
  <si>
    <t>30601051</t>
  </si>
  <si>
    <t>30601060</t>
  </si>
  <si>
    <t>30601061</t>
  </si>
  <si>
    <t>30602050</t>
  </si>
  <si>
    <t>30602051</t>
  </si>
  <si>
    <t>30602060</t>
  </si>
  <si>
    <t>30602061</t>
  </si>
  <si>
    <t>30603050</t>
  </si>
  <si>
    <t>30603051</t>
  </si>
  <si>
    <t>30603060</t>
  </si>
  <si>
    <t>30603061</t>
  </si>
  <si>
    <t>30600040</t>
  </si>
  <si>
    <t>30600041</t>
  </si>
  <si>
    <t>30600070</t>
  </si>
  <si>
    <t>30600071</t>
  </si>
  <si>
    <t>30650010</t>
  </si>
  <si>
    <t>30650020</t>
  </si>
  <si>
    <t>30650030</t>
  </si>
  <si>
    <t>30650080</t>
  </si>
  <si>
    <t>30650090</t>
  </si>
  <si>
    <t>30650100</t>
  </si>
  <si>
    <t>30651050</t>
  </si>
  <si>
    <t>30651051</t>
  </si>
  <si>
    <t>30651060</t>
  </si>
  <si>
    <t>30651061</t>
  </si>
  <si>
    <t>30652050</t>
  </si>
  <si>
    <t>30652051</t>
  </si>
  <si>
    <t>30652060</t>
  </si>
  <si>
    <t>30652061</t>
  </si>
  <si>
    <t>30653050</t>
  </si>
  <si>
    <t>30653051</t>
  </si>
  <si>
    <t>30653060</t>
  </si>
  <si>
    <t>30653061</t>
  </si>
  <si>
    <t>30650040</t>
  </si>
  <si>
    <t>30650041</t>
  </si>
  <si>
    <t>30650070</t>
  </si>
  <si>
    <t>30650071</t>
  </si>
  <si>
    <t>30700010</t>
  </si>
  <si>
    <t>30700020</t>
  </si>
  <si>
    <t>30700030</t>
  </si>
  <si>
    <t>30700080</t>
  </si>
  <si>
    <t>30700090</t>
  </si>
  <si>
    <t>30700100</t>
  </si>
  <si>
    <t>30701050</t>
  </si>
  <si>
    <t>30701051</t>
  </si>
  <si>
    <t>30701060</t>
  </si>
  <si>
    <t>30701061</t>
  </si>
  <si>
    <t>30702050</t>
  </si>
  <si>
    <t>30702051</t>
  </si>
  <si>
    <t>30702060</t>
  </si>
  <si>
    <t>30702061</t>
  </si>
  <si>
    <t>30703050</t>
  </si>
  <si>
    <t>30703051</t>
  </si>
  <si>
    <t>30703060</t>
  </si>
  <si>
    <t>30703061</t>
  </si>
  <si>
    <t>30700040</t>
  </si>
  <si>
    <t>30700041</t>
  </si>
  <si>
    <t>30700070</t>
  </si>
  <si>
    <t>30700071</t>
  </si>
  <si>
    <t>2,5</t>
  </si>
  <si>
    <t>3,7</t>
  </si>
  <si>
    <t>12,17</t>
  </si>
  <si>
    <t>16,22</t>
  </si>
  <si>
    <t>26,37</t>
  </si>
  <si>
    <t>34,48</t>
  </si>
  <si>
    <t>45,62</t>
  </si>
  <si>
    <t>59,81</t>
  </si>
  <si>
    <t>77,105</t>
  </si>
  <si>
    <t>70,97</t>
  </si>
  <si>
    <t>91,126</t>
  </si>
  <si>
    <t>98,133</t>
  </si>
  <si>
    <t>127,173</t>
  </si>
  <si>
    <t>123,168</t>
  </si>
  <si>
    <t>160,218</t>
  </si>
  <si>
    <t>155,212</t>
  </si>
  <si>
    <t>202,276</t>
  </si>
  <si>
    <t>210,285</t>
  </si>
  <si>
    <t>273,371</t>
  </si>
  <si>
    <t>237,322</t>
  </si>
  <si>
    <t>308,419</t>
  </si>
  <si>
    <t>288,391</t>
  </si>
  <si>
    <t>374,508</t>
  </si>
  <si>
    <t>373,506</t>
  </si>
  <si>
    <t>485,658</t>
  </si>
  <si>
    <t>450,610</t>
  </si>
  <si>
    <t>585,793</t>
  </si>
  <si>
    <t>530,719</t>
  </si>
  <si>
    <t>689,935</t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</si>
  <si>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</si>
  <si>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</si>
  <si>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</si>
  <si>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</si>
  <si>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</si>
  <si>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</si>
  <si>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</si>
  <si>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</si>
  <si>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</si>
  <si>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</si>
  <si>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</si>
  <si>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</si>
  <si>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</si>
  <si>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</si>
  <si>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</si>
  <si>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</si>
  <si>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</si>
  <si>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</si>
  <si>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</si>
  <si>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</si>
  <si>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</si>
  <si>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</si>
  <si>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</si>
  <si>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</si>
  <si>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</si>
  <si>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</si>
  <si>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</si>
  <si>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</si>
  <si>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</si>
  <si>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</si>
  <si>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</si>
  <si>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</si>
  <si>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</si>
  <si>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</si>
  <si>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</si>
  <si>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</si>
  <si>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</si>
  <si>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</si>
  <si>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</si>
  <si>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</si>
  <si>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</si>
  <si>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</si>
  <si>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</si>
  <si>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</si>
  <si>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40100010</t>
  </si>
  <si>
    <t>40100020</t>
  </si>
  <si>
    <t>40100030</t>
  </si>
  <si>
    <t>40100080</t>
  </si>
  <si>
    <t>40100090</t>
  </si>
  <si>
    <t>40100100</t>
  </si>
  <si>
    <t>40101050</t>
  </si>
  <si>
    <t>40101051</t>
  </si>
  <si>
    <t>40101060</t>
  </si>
  <si>
    <t>40101061</t>
  </si>
  <si>
    <t>40102050</t>
  </si>
  <si>
    <t>40102051</t>
  </si>
  <si>
    <t>40102060</t>
  </si>
  <si>
    <t>40102061</t>
  </si>
  <si>
    <t>40103050</t>
  </si>
  <si>
    <t>40103051</t>
  </si>
  <si>
    <t>40103060</t>
  </si>
  <si>
    <t>40103061</t>
  </si>
  <si>
    <t>40100040</t>
  </si>
  <si>
    <t>40100041</t>
  </si>
  <si>
    <t>40100070</t>
  </si>
  <si>
    <t>40100071</t>
  </si>
  <si>
    <t>40150010</t>
  </si>
  <si>
    <t>40150020</t>
  </si>
  <si>
    <t>40150030</t>
  </si>
  <si>
    <t>40150080</t>
  </si>
  <si>
    <t>40150090</t>
  </si>
  <si>
    <t>40150100</t>
  </si>
  <si>
    <t>40151050</t>
  </si>
  <si>
    <t>40151060</t>
  </si>
  <si>
    <t>40151061</t>
  </si>
  <si>
    <t>40152050</t>
  </si>
  <si>
    <t>40152060</t>
  </si>
  <si>
    <t>40152061</t>
  </si>
  <si>
    <t>40153050</t>
  </si>
  <si>
    <t>40153060</t>
  </si>
  <si>
    <t>40153061</t>
  </si>
  <si>
    <t>40150040</t>
  </si>
  <si>
    <t>40150041</t>
  </si>
  <si>
    <t>40150070</t>
  </si>
  <si>
    <t>40150071</t>
  </si>
  <si>
    <t>40200010</t>
  </si>
  <si>
    <t>40200020</t>
  </si>
  <si>
    <t>40200030</t>
  </si>
  <si>
    <t>40200080</t>
  </si>
  <si>
    <t>40200090</t>
  </si>
  <si>
    <t>40200100</t>
  </si>
  <si>
    <t>40201050</t>
  </si>
  <si>
    <t>40201051</t>
  </si>
  <si>
    <t>40201060</t>
  </si>
  <si>
    <t>40201061</t>
  </si>
  <si>
    <t>40202050</t>
  </si>
  <si>
    <t>40202051</t>
  </si>
  <si>
    <t>40202060</t>
  </si>
  <si>
    <t>40202061</t>
  </si>
  <si>
    <t>40203050</t>
  </si>
  <si>
    <t>40203051</t>
  </si>
  <si>
    <t>40203060</t>
  </si>
  <si>
    <t>40203061</t>
  </si>
  <si>
    <t>40200040</t>
  </si>
  <si>
    <t>40200041</t>
  </si>
  <si>
    <t>40200070</t>
  </si>
  <si>
    <t>40200071</t>
  </si>
  <si>
    <t>40250010</t>
  </si>
  <si>
    <t>40250020</t>
  </si>
  <si>
    <t>40250030</t>
  </si>
  <si>
    <t>40250080</t>
  </si>
  <si>
    <t>40250090</t>
  </si>
  <si>
    <t>40250100</t>
  </si>
  <si>
    <t>40251050</t>
  </si>
  <si>
    <t>40251051</t>
  </si>
  <si>
    <t>40251060</t>
  </si>
  <si>
    <t>40251061</t>
  </si>
  <si>
    <t>40252050</t>
  </si>
  <si>
    <t>40252051</t>
  </si>
  <si>
    <t>40252060</t>
  </si>
  <si>
    <t>40252061</t>
  </si>
  <si>
    <t>40253050</t>
  </si>
  <si>
    <t>40253051</t>
  </si>
  <si>
    <t>40253060</t>
  </si>
  <si>
    <t>40253061</t>
  </si>
  <si>
    <t>40250040</t>
  </si>
  <si>
    <t>40250041</t>
  </si>
  <si>
    <t>40250070</t>
  </si>
  <si>
    <t>40250071</t>
  </si>
  <si>
    <t>40300010</t>
  </si>
  <si>
    <t>40300020</t>
  </si>
  <si>
    <t>40300030</t>
  </si>
  <si>
    <t>40300080</t>
  </si>
  <si>
    <t>40300090</t>
  </si>
  <si>
    <t>40300100</t>
  </si>
  <si>
    <t>40301050</t>
  </si>
  <si>
    <t>40301051</t>
  </si>
  <si>
    <t>40301060</t>
  </si>
  <si>
    <t>40301061</t>
  </si>
  <si>
    <t>40302050</t>
  </si>
  <si>
    <t>40302051</t>
  </si>
  <si>
    <t>40302060</t>
  </si>
  <si>
    <t>40302061</t>
  </si>
  <si>
    <t>40303050</t>
  </si>
  <si>
    <t>40303051</t>
  </si>
  <si>
    <t>40303060</t>
  </si>
  <si>
    <t>40303061</t>
  </si>
  <si>
    <t>40300040</t>
  </si>
  <si>
    <t>40300041</t>
  </si>
  <si>
    <t>40300070</t>
  </si>
  <si>
    <t>40300071</t>
  </si>
  <si>
    <t>40350010</t>
  </si>
  <si>
    <t>40350020</t>
  </si>
  <si>
    <t>40350030</t>
  </si>
  <si>
    <t>40350080</t>
  </si>
  <si>
    <t>40350090</t>
  </si>
  <si>
    <t>40350100</t>
  </si>
  <si>
    <t>40351050</t>
  </si>
  <si>
    <t>40351051</t>
  </si>
  <si>
    <t>40351060</t>
  </si>
  <si>
    <t>40351061</t>
  </si>
  <si>
    <t>40352050</t>
  </si>
  <si>
    <t>40352051</t>
  </si>
  <si>
    <t>40352060</t>
  </si>
  <si>
    <t>40352061</t>
  </si>
  <si>
    <t>40353050</t>
  </si>
  <si>
    <t>40353051</t>
  </si>
  <si>
    <t>40353060</t>
  </si>
  <si>
    <t>40353061</t>
  </si>
  <si>
    <t>40350040</t>
  </si>
  <si>
    <t>40350041</t>
  </si>
  <si>
    <t>40350070</t>
  </si>
  <si>
    <t>40350071</t>
  </si>
  <si>
    <t>40400010</t>
  </si>
  <si>
    <t>40400020</t>
  </si>
  <si>
    <t>40400030</t>
  </si>
  <si>
    <t>40400080</t>
  </si>
  <si>
    <t>40400090</t>
  </si>
  <si>
    <t>40400100</t>
  </si>
  <si>
    <t>40401050</t>
  </si>
  <si>
    <t>40401051</t>
  </si>
  <si>
    <t>40401060</t>
  </si>
  <si>
    <t>40401061</t>
  </si>
  <si>
    <t>40402050</t>
  </si>
  <si>
    <t>40402051</t>
  </si>
  <si>
    <t>40402060</t>
  </si>
  <si>
    <t>40402061</t>
  </si>
  <si>
    <t>40403050</t>
  </si>
  <si>
    <t>40403051</t>
  </si>
  <si>
    <t>40403060</t>
  </si>
  <si>
    <t>40403061</t>
  </si>
  <si>
    <t>40400040</t>
  </si>
  <si>
    <t>40400041</t>
  </si>
  <si>
    <t>40400070</t>
  </si>
  <si>
    <t>40400071</t>
  </si>
  <si>
    <t>40450010</t>
  </si>
  <si>
    <t>40450020</t>
  </si>
  <si>
    <t>40450030</t>
  </si>
  <si>
    <t>40450080</t>
  </si>
  <si>
    <t>40450090</t>
  </si>
  <si>
    <t>40450100</t>
  </si>
  <si>
    <t>40451050</t>
  </si>
  <si>
    <t>40451051</t>
  </si>
  <si>
    <t>40451060</t>
  </si>
  <si>
    <t>40451061</t>
  </si>
  <si>
    <t>40452050</t>
  </si>
  <si>
    <t>40452051</t>
  </si>
  <si>
    <t>40452060</t>
  </si>
  <si>
    <t>40452061</t>
  </si>
  <si>
    <t>40453050</t>
  </si>
  <si>
    <t>40453051</t>
  </si>
  <si>
    <t>40453060</t>
  </si>
  <si>
    <t>40453061</t>
  </si>
  <si>
    <t>40450040</t>
  </si>
  <si>
    <t>40450041</t>
  </si>
  <si>
    <t>40450070</t>
  </si>
  <si>
    <t>40450071</t>
  </si>
  <si>
    <t>40500010</t>
  </si>
  <si>
    <t>40500020</t>
  </si>
  <si>
    <t>40500030</t>
  </si>
  <si>
    <t>40500080</t>
  </si>
  <si>
    <t>40500090</t>
  </si>
  <si>
    <t>40500100</t>
  </si>
  <si>
    <t>40501050</t>
  </si>
  <si>
    <t>40501051</t>
  </si>
  <si>
    <t>40501060</t>
  </si>
  <si>
    <t>40501061</t>
  </si>
  <si>
    <t>40502050</t>
  </si>
  <si>
    <t>40502051</t>
  </si>
  <si>
    <t>40502060</t>
  </si>
  <si>
    <t>40502061</t>
  </si>
  <si>
    <t>40503050</t>
  </si>
  <si>
    <t>40503051</t>
  </si>
  <si>
    <t>40503060</t>
  </si>
  <si>
    <t>40503061</t>
  </si>
  <si>
    <t>40500040</t>
  </si>
  <si>
    <t>40500041</t>
  </si>
  <si>
    <t>40500070</t>
  </si>
  <si>
    <t>40500071</t>
  </si>
  <si>
    <t>40550010</t>
  </si>
  <si>
    <t>40550020</t>
  </si>
  <si>
    <t>40550030</t>
  </si>
  <si>
    <t>40550080</t>
  </si>
  <si>
    <t>40550090</t>
  </si>
  <si>
    <t>40550100</t>
  </si>
  <si>
    <t>40551050</t>
  </si>
  <si>
    <t>40551051</t>
  </si>
  <si>
    <t>40551060</t>
  </si>
  <si>
    <t>40551061</t>
  </si>
  <si>
    <t>40552050</t>
  </si>
  <si>
    <t>40552051</t>
  </si>
  <si>
    <t>40552060</t>
  </si>
  <si>
    <t>40552061</t>
  </si>
  <si>
    <t>40553050</t>
  </si>
  <si>
    <t>40553051</t>
  </si>
  <si>
    <t>40553060</t>
  </si>
  <si>
    <t>40553061</t>
  </si>
  <si>
    <t>40550040</t>
  </si>
  <si>
    <t>40550041</t>
  </si>
  <si>
    <t>40550070</t>
  </si>
  <si>
    <t>40550071</t>
  </si>
  <si>
    <t>40600010</t>
  </si>
  <si>
    <t>40600020</t>
  </si>
  <si>
    <t>40600030</t>
  </si>
  <si>
    <t>40600080</t>
  </si>
  <si>
    <t>40600090</t>
  </si>
  <si>
    <t>40600100</t>
  </si>
  <si>
    <t>40601050</t>
  </si>
  <si>
    <t>40601051</t>
  </si>
  <si>
    <t>40601060</t>
  </si>
  <si>
    <t>40601061</t>
  </si>
  <si>
    <t>40602050</t>
  </si>
  <si>
    <t>40602051</t>
  </si>
  <si>
    <t>40602060</t>
  </si>
  <si>
    <t>40602061</t>
  </si>
  <si>
    <t>40603050</t>
  </si>
  <si>
    <t>40603051</t>
  </si>
  <si>
    <t>40603060</t>
  </si>
  <si>
    <t>40603061</t>
  </si>
  <si>
    <t>40600040</t>
  </si>
  <si>
    <t>40600041</t>
  </si>
  <si>
    <t>40600070</t>
  </si>
  <si>
    <t>40600071</t>
  </si>
  <si>
    <t>40650010</t>
  </si>
  <si>
    <t>40650020</t>
  </si>
  <si>
    <t>40650030</t>
  </si>
  <si>
    <t>40650080</t>
  </si>
  <si>
    <t>40650090</t>
  </si>
  <si>
    <t>40650100</t>
  </si>
  <si>
    <t>40651050</t>
  </si>
  <si>
    <t>40651051</t>
  </si>
  <si>
    <t>40651060</t>
  </si>
  <si>
    <t>40651061</t>
  </si>
  <si>
    <t>40652050</t>
  </si>
  <si>
    <t>40652051</t>
  </si>
  <si>
    <t>40652060</t>
  </si>
  <si>
    <t>40652061</t>
  </si>
  <si>
    <t>40653050</t>
  </si>
  <si>
    <t>40653051</t>
  </si>
  <si>
    <t>40653060</t>
  </si>
  <si>
    <t>40653061</t>
  </si>
  <si>
    <t>40650040</t>
  </si>
  <si>
    <t>40650041</t>
  </si>
  <si>
    <t>40650070</t>
  </si>
  <si>
    <t>40650071</t>
  </si>
  <si>
    <t>40700010</t>
  </si>
  <si>
    <t>40700020</t>
  </si>
  <si>
    <t>40700030</t>
  </si>
  <si>
    <t>40700080</t>
  </si>
  <si>
    <t>40700090</t>
  </si>
  <si>
    <t>40700100</t>
  </si>
  <si>
    <t>40701050</t>
  </si>
  <si>
    <t>40701051</t>
  </si>
  <si>
    <t>40701060</t>
  </si>
  <si>
    <t>40701061</t>
  </si>
  <si>
    <t>40702050</t>
  </si>
  <si>
    <t>40702051</t>
  </si>
  <si>
    <t>40702060</t>
  </si>
  <si>
    <t>40702061</t>
  </si>
  <si>
    <t>40703050</t>
  </si>
  <si>
    <t>40703051</t>
  </si>
  <si>
    <t>40703060</t>
  </si>
  <si>
    <t>40703061</t>
  </si>
  <si>
    <t>40700040</t>
  </si>
  <si>
    <t>40700041</t>
  </si>
  <si>
    <t>40700070</t>
  </si>
  <si>
    <t>40700071</t>
  </si>
  <si>
    <t>4,9</t>
  </si>
  <si>
    <t>17,26</t>
  </si>
  <si>
    <t>22,34</t>
  </si>
  <si>
    <t>39,55</t>
  </si>
  <si>
    <t>51,72</t>
  </si>
  <si>
    <t>67,93</t>
  </si>
  <si>
    <t>87,121</t>
  </si>
  <si>
    <t>113,157</t>
  </si>
  <si>
    <t>105,145</t>
  </si>
  <si>
    <t>137,189</t>
  </si>
  <si>
    <t>146,200</t>
  </si>
  <si>
    <t>190,260</t>
  </si>
  <si>
    <t>184,252</t>
  </si>
  <si>
    <t>239,328</t>
  </si>
  <si>
    <t>233,317</t>
  </si>
  <si>
    <t>303,412</t>
  </si>
  <si>
    <t>314,428</t>
  </si>
  <si>
    <t>408,556</t>
  </si>
  <si>
    <t>355,483</t>
  </si>
  <si>
    <t>462,628</t>
  </si>
  <si>
    <t>432,587</t>
  </si>
  <si>
    <t>562,763</t>
  </si>
  <si>
    <t>559,759</t>
  </si>
  <si>
    <t>727,987</t>
  </si>
  <si>
    <t>674,914</t>
  </si>
  <si>
    <t>876,1188</t>
  </si>
  <si>
    <t>795,1078</t>
  </si>
  <si>
    <t>1034,1401</t>
  </si>
  <si>
    <t>50010010</t>
  </si>
  <si>
    <t>50010020</t>
  </si>
  <si>
    <t>50010030</t>
  </si>
  <si>
    <t>50010080</t>
  </si>
  <si>
    <t>50010090</t>
  </si>
  <si>
    <t>50010100</t>
  </si>
  <si>
    <t>50011050</t>
  </si>
  <si>
    <t>50011051</t>
  </si>
  <si>
    <t>50011060</t>
  </si>
  <si>
    <t>50011061</t>
  </si>
  <si>
    <t>50012050</t>
  </si>
  <si>
    <t>50012051</t>
  </si>
  <si>
    <t>50012060</t>
  </si>
  <si>
    <t>50012061</t>
  </si>
  <si>
    <t>50013050</t>
  </si>
  <si>
    <t>50013051</t>
  </si>
  <si>
    <t>50013060</t>
  </si>
  <si>
    <t>50013061</t>
  </si>
  <si>
    <t>50010040</t>
  </si>
  <si>
    <t>50010041</t>
  </si>
  <si>
    <t>50010070</t>
  </si>
  <si>
    <t>50010071</t>
  </si>
  <si>
    <t>50050010</t>
  </si>
  <si>
    <t>50050020</t>
  </si>
  <si>
    <t>50050030</t>
  </si>
  <si>
    <t>50050080</t>
  </si>
  <si>
    <t>50050090</t>
  </si>
  <si>
    <t>50050100</t>
  </si>
  <si>
    <t>50051050</t>
  </si>
  <si>
    <t>50051051</t>
  </si>
  <si>
    <t>50051060</t>
  </si>
  <si>
    <t>50051061</t>
  </si>
  <si>
    <t>50052050</t>
  </si>
  <si>
    <t>50052051</t>
  </si>
  <si>
    <t>50052060</t>
  </si>
  <si>
    <t>50052061</t>
  </si>
  <si>
    <t>50053050</t>
  </si>
  <si>
    <t>50053051</t>
  </si>
  <si>
    <t>50053060</t>
  </si>
  <si>
    <t>50053061</t>
  </si>
  <si>
    <t>50050040</t>
  </si>
  <si>
    <t>50050041</t>
  </si>
  <si>
    <t>50050070</t>
  </si>
  <si>
    <t>50050071</t>
  </si>
  <si>
    <t>50100010</t>
  </si>
  <si>
    <t>50100020</t>
  </si>
  <si>
    <t>50100030</t>
  </si>
  <si>
    <t>50100080</t>
  </si>
  <si>
    <t>50100090</t>
  </si>
  <si>
    <t>50100100</t>
  </si>
  <si>
    <t>50101050</t>
  </si>
  <si>
    <t>50101051</t>
  </si>
  <si>
    <t>50101060</t>
  </si>
  <si>
    <t>50101061</t>
  </si>
  <si>
    <t>50102050</t>
  </si>
  <si>
    <t>50102051</t>
  </si>
  <si>
    <t>50102060</t>
  </si>
  <si>
    <t>50102061</t>
  </si>
  <si>
    <t>50103050</t>
  </si>
  <si>
    <t>50103051</t>
  </si>
  <si>
    <t>50103060</t>
  </si>
  <si>
    <t>50103061</t>
  </si>
  <si>
    <t>50100040</t>
  </si>
  <si>
    <t>50100041</t>
  </si>
  <si>
    <t>50100070</t>
  </si>
  <si>
    <t>50100071</t>
  </si>
  <si>
    <t>50150010</t>
  </si>
  <si>
    <t>50150020</t>
  </si>
  <si>
    <t>50150030</t>
  </si>
  <si>
    <t>50150080</t>
  </si>
  <si>
    <t>50150090</t>
  </si>
  <si>
    <t>50150100</t>
  </si>
  <si>
    <t>50151050</t>
  </si>
  <si>
    <t>50151051</t>
  </si>
  <si>
    <t>50151060</t>
  </si>
  <si>
    <t>50151061</t>
  </si>
  <si>
    <t>50152050</t>
  </si>
  <si>
    <t>50152051</t>
  </si>
  <si>
    <t>50152060</t>
  </si>
  <si>
    <t>50152061</t>
  </si>
  <si>
    <t>50153050</t>
  </si>
  <si>
    <t>50153051</t>
  </si>
  <si>
    <t>50153060</t>
  </si>
  <si>
    <t>50153061</t>
  </si>
  <si>
    <t>50150040</t>
  </si>
  <si>
    <t>50150041</t>
  </si>
  <si>
    <t>50150070</t>
  </si>
  <si>
    <t>50150071</t>
  </si>
  <si>
    <t>50200010</t>
  </si>
  <si>
    <t>50200020</t>
  </si>
  <si>
    <t>50200030</t>
  </si>
  <si>
    <t>50200080</t>
  </si>
  <si>
    <t>50200090</t>
  </si>
  <si>
    <t>50200100</t>
  </si>
  <si>
    <t>50201051</t>
  </si>
  <si>
    <t>50201060</t>
  </si>
  <si>
    <t>50201061</t>
  </si>
  <si>
    <t>50202051</t>
  </si>
  <si>
    <t>50202060</t>
  </si>
  <si>
    <t>50202061</t>
  </si>
  <si>
    <t>50203050</t>
  </si>
  <si>
    <t>50203060</t>
  </si>
  <si>
    <t>50203061</t>
  </si>
  <si>
    <t>50200040</t>
  </si>
  <si>
    <t>50200041</t>
  </si>
  <si>
    <t>50200070</t>
  </si>
  <si>
    <t>50200071</t>
  </si>
  <si>
    <t>50250010</t>
  </si>
  <si>
    <t>50250020</t>
  </si>
  <si>
    <t>50250030</t>
  </si>
  <si>
    <t>50250080</t>
  </si>
  <si>
    <t>50250090</t>
  </si>
  <si>
    <t>50250100</t>
  </si>
  <si>
    <t>50251050</t>
  </si>
  <si>
    <t>50251051</t>
  </si>
  <si>
    <t>50251060</t>
  </si>
  <si>
    <t>50251061</t>
  </si>
  <si>
    <t>50252050</t>
  </si>
  <si>
    <t>50252051</t>
  </si>
  <si>
    <t>50252060</t>
  </si>
  <si>
    <t>50252061</t>
  </si>
  <si>
    <t>50253050</t>
  </si>
  <si>
    <t>50253051</t>
  </si>
  <si>
    <t>50253060</t>
  </si>
  <si>
    <t>50253061</t>
  </si>
  <si>
    <t>50250040</t>
  </si>
  <si>
    <t>50250041</t>
  </si>
  <si>
    <t>50250070</t>
  </si>
  <si>
    <t>50250071</t>
  </si>
  <si>
    <t>50300010</t>
  </si>
  <si>
    <t>50300020</t>
  </si>
  <si>
    <t>50300030</t>
  </si>
  <si>
    <t>50300080</t>
  </si>
  <si>
    <t>50300090</t>
  </si>
  <si>
    <t>50300100</t>
  </si>
  <si>
    <t>50301050</t>
  </si>
  <si>
    <t>50301051</t>
  </si>
  <si>
    <t>50301060</t>
  </si>
  <si>
    <t>50301061</t>
  </si>
  <si>
    <t>50302050</t>
  </si>
  <si>
    <t>50302051</t>
  </si>
  <si>
    <t>50302060</t>
  </si>
  <si>
    <t>50302061</t>
  </si>
  <si>
    <t>50303050</t>
  </si>
  <si>
    <t>50303051</t>
  </si>
  <si>
    <t>50303060</t>
  </si>
  <si>
    <t>50303061</t>
  </si>
  <si>
    <t>50300040</t>
  </si>
  <si>
    <t>50300041</t>
  </si>
  <si>
    <t>50300070</t>
  </si>
  <si>
    <t>50300071</t>
  </si>
  <si>
    <t>50350010</t>
  </si>
  <si>
    <t>50350020</t>
  </si>
  <si>
    <t>50350030</t>
  </si>
  <si>
    <t>50350080</t>
  </si>
  <si>
    <t>50350090</t>
  </si>
  <si>
    <t>50350100</t>
  </si>
  <si>
    <t>50351050</t>
  </si>
  <si>
    <t>50351051</t>
  </si>
  <si>
    <t>50351060</t>
  </si>
  <si>
    <t>50351061</t>
  </si>
  <si>
    <t>50352050</t>
  </si>
  <si>
    <t>50352051</t>
  </si>
  <si>
    <t>50352060</t>
  </si>
  <si>
    <t>50352061</t>
  </si>
  <si>
    <t>50353050</t>
  </si>
  <si>
    <t>50353051</t>
  </si>
  <si>
    <t>50353060</t>
  </si>
  <si>
    <t>50353061</t>
  </si>
  <si>
    <t>50350040</t>
  </si>
  <si>
    <t>50350041</t>
  </si>
  <si>
    <t>50350070</t>
  </si>
  <si>
    <t>50350071</t>
  </si>
  <si>
    <t>50400010</t>
  </si>
  <si>
    <t>50400020</t>
  </si>
  <si>
    <t>50400030</t>
  </si>
  <si>
    <t>50400080</t>
  </si>
  <si>
    <t>50400090</t>
  </si>
  <si>
    <t>50400100</t>
  </si>
  <si>
    <t>50401050</t>
  </si>
  <si>
    <t>50401051</t>
  </si>
  <si>
    <t>50401060</t>
  </si>
  <si>
    <t>50401061</t>
  </si>
  <si>
    <t>50402050</t>
  </si>
  <si>
    <t>50402051</t>
  </si>
  <si>
    <t>50402060</t>
  </si>
  <si>
    <t>50402061</t>
  </si>
  <si>
    <t>50403050</t>
  </si>
  <si>
    <t>50403051</t>
  </si>
  <si>
    <t>50403060</t>
  </si>
  <si>
    <t>50403061</t>
  </si>
  <si>
    <t>50400040</t>
  </si>
  <si>
    <t>50400041</t>
  </si>
  <si>
    <t>50400070</t>
  </si>
  <si>
    <t>50400071</t>
  </si>
  <si>
    <t>50450010</t>
  </si>
  <si>
    <t>50450020</t>
  </si>
  <si>
    <t>50450030</t>
  </si>
  <si>
    <t>50450080</t>
  </si>
  <si>
    <t>50450090</t>
  </si>
  <si>
    <t>50450100</t>
  </si>
  <si>
    <t>50451050</t>
  </si>
  <si>
    <t>50451051</t>
  </si>
  <si>
    <t>50451060</t>
  </si>
  <si>
    <t>50451061</t>
  </si>
  <si>
    <t>50452050</t>
  </si>
  <si>
    <t>50452051</t>
  </si>
  <si>
    <t>50452060</t>
  </si>
  <si>
    <t>50452061</t>
  </si>
  <si>
    <t>50453050</t>
  </si>
  <si>
    <t>50453051</t>
  </si>
  <si>
    <t>50453060</t>
  </si>
  <si>
    <t>50453061</t>
  </si>
  <si>
    <t>50450040</t>
  </si>
  <si>
    <t>50450041</t>
  </si>
  <si>
    <t>50450070</t>
  </si>
  <si>
    <t>50450071</t>
  </si>
  <si>
    <t>50500010</t>
  </si>
  <si>
    <t>50500020</t>
  </si>
  <si>
    <t>50500030</t>
  </si>
  <si>
    <t>50500080</t>
  </si>
  <si>
    <t>50500090</t>
  </si>
  <si>
    <t>50500100</t>
  </si>
  <si>
    <t>50501050</t>
  </si>
  <si>
    <t>50501051</t>
  </si>
  <si>
    <t>50501060</t>
  </si>
  <si>
    <t>50501061</t>
  </si>
  <si>
    <t>50502050</t>
  </si>
  <si>
    <t>50502051</t>
  </si>
  <si>
    <t>50502060</t>
  </si>
  <si>
    <t>50502061</t>
  </si>
  <si>
    <t>50503050</t>
  </si>
  <si>
    <t>50503051</t>
  </si>
  <si>
    <t>50503060</t>
  </si>
  <si>
    <t>50503061</t>
  </si>
  <si>
    <t>50500040</t>
  </si>
  <si>
    <t>50500041</t>
  </si>
  <si>
    <t>50500070</t>
  </si>
  <si>
    <t>50500071</t>
  </si>
  <si>
    <t>50550010</t>
  </si>
  <si>
    <t>50550020</t>
  </si>
  <si>
    <t>50550030</t>
  </si>
  <si>
    <t>50550080</t>
  </si>
  <si>
    <t>50550100</t>
  </si>
  <si>
    <t>50551050</t>
  </si>
  <si>
    <t>50551051</t>
  </si>
  <si>
    <t>50551060</t>
  </si>
  <si>
    <t>50551061</t>
  </si>
  <si>
    <t>50552050</t>
  </si>
  <si>
    <t>50552051</t>
  </si>
  <si>
    <t>50552060</t>
  </si>
  <si>
    <t>50552061</t>
  </si>
  <si>
    <t>50553050</t>
  </si>
  <si>
    <t>50553051</t>
  </si>
  <si>
    <t>50553060</t>
  </si>
  <si>
    <t>50553061</t>
  </si>
  <si>
    <t>50550040</t>
  </si>
  <si>
    <t>50550041</t>
  </si>
  <si>
    <t>50550070</t>
  </si>
  <si>
    <t>50550071</t>
  </si>
  <si>
    <t>50600010</t>
  </si>
  <si>
    <t>50600020</t>
  </si>
  <si>
    <t>50600030</t>
  </si>
  <si>
    <t>50600080</t>
  </si>
  <si>
    <t>50600090</t>
  </si>
  <si>
    <t>50600100</t>
  </si>
  <si>
    <t>50601050</t>
  </si>
  <si>
    <t>50601051</t>
  </si>
  <si>
    <t>50601060</t>
  </si>
  <si>
    <t>50601061</t>
  </si>
  <si>
    <t>50602050</t>
  </si>
  <si>
    <t>50602051</t>
  </si>
  <si>
    <t>50602060</t>
  </si>
  <si>
    <t>50602061</t>
  </si>
  <si>
    <t>50603050</t>
  </si>
  <si>
    <t>50603051</t>
  </si>
  <si>
    <t>50603060</t>
  </si>
  <si>
    <t>50603061</t>
  </si>
  <si>
    <t>50600040</t>
  </si>
  <si>
    <t>50600041</t>
  </si>
  <si>
    <t>50600070</t>
  </si>
  <si>
    <t>50600071</t>
  </si>
  <si>
    <t>50650010</t>
  </si>
  <si>
    <t>50650020</t>
  </si>
  <si>
    <t>50650030</t>
  </si>
  <si>
    <t>50650080</t>
  </si>
  <si>
    <t>50650090</t>
  </si>
  <si>
    <t>50650100</t>
  </si>
  <si>
    <t>50651050</t>
  </si>
  <si>
    <t>50651051</t>
  </si>
  <si>
    <t>50651060</t>
  </si>
  <si>
    <t>50651061</t>
  </si>
  <si>
    <t>50652050</t>
  </si>
  <si>
    <t>50652051</t>
  </si>
  <si>
    <t>50652060</t>
  </si>
  <si>
    <t>50652061</t>
  </si>
  <si>
    <t>50653050</t>
  </si>
  <si>
    <t>50653051</t>
  </si>
  <si>
    <t>50653060</t>
  </si>
  <si>
    <t>50653061</t>
  </si>
  <si>
    <t>50650040</t>
  </si>
  <si>
    <t>50650041</t>
  </si>
  <si>
    <t>50650070</t>
  </si>
  <si>
    <t>50650071</t>
  </si>
  <si>
    <t>50700010</t>
  </si>
  <si>
    <t>50700020</t>
  </si>
  <si>
    <t>50700030</t>
  </si>
  <si>
    <t>50700080</t>
  </si>
  <si>
    <t>50700090</t>
  </si>
  <si>
    <t>50700100</t>
  </si>
  <si>
    <t>50701050</t>
  </si>
  <si>
    <t>50701051</t>
  </si>
  <si>
    <t>50701060</t>
  </si>
  <si>
    <t>50701061</t>
  </si>
  <si>
    <t>50702050</t>
  </si>
  <si>
    <t>50702051</t>
  </si>
  <si>
    <t>50702060</t>
  </si>
  <si>
    <t>50702061</t>
  </si>
  <si>
    <t>50703050</t>
  </si>
  <si>
    <t>50703051</t>
  </si>
  <si>
    <t>50703060</t>
  </si>
  <si>
    <t>50703061</t>
  </si>
  <si>
    <t>50700040</t>
  </si>
  <si>
    <t>50700041</t>
  </si>
  <si>
    <t>50700070</t>
  </si>
  <si>
    <t>50700071</t>
  </si>
  <si>
    <t>5,12</t>
  </si>
  <si>
    <t>22,35</t>
  </si>
  <si>
    <t>29,46</t>
  </si>
  <si>
    <t>49,74</t>
  </si>
  <si>
    <t>64,96</t>
  </si>
  <si>
    <t>84,124</t>
  </si>
  <si>
    <t>109,161</t>
  </si>
  <si>
    <t>110,161</t>
  </si>
  <si>
    <t>143,209</t>
  </si>
  <si>
    <t>132,193</t>
  </si>
  <si>
    <t>172,251</t>
  </si>
  <si>
    <t>184,267</t>
  </si>
  <si>
    <t>239,347</t>
  </si>
  <si>
    <t>232,336</t>
  </si>
  <si>
    <t>302,437</t>
  </si>
  <si>
    <t>292,423</t>
  </si>
  <si>
    <t>380,550</t>
  </si>
  <si>
    <t>395,570</t>
  </si>
  <si>
    <t>514,741</t>
  </si>
  <si>
    <t>446,644</t>
  </si>
  <si>
    <t>580,837</t>
  </si>
  <si>
    <t>542,782</t>
  </si>
  <si>
    <t>705,1017</t>
  </si>
  <si>
    <t>702,1012</t>
  </si>
  <si>
    <t>913,1316</t>
  </si>
  <si>
    <t>846,1219</t>
  </si>
  <si>
    <t>1100,1585</t>
  </si>
  <si>
    <t>998,1438</t>
  </si>
  <si>
    <t>1297,1869</t>
  </si>
  <si>
    <t>106_0_0</t>
  </si>
  <si>
    <t>102_20_20</t>
  </si>
  <si>
    <t>101_100_100</t>
  </si>
  <si>
    <t>110_4_4</t>
  </si>
  <si>
    <t>108_9_9</t>
  </si>
  <si>
    <t>107_0_0</t>
  </si>
  <si>
    <t>105_4_4</t>
  </si>
  <si>
    <t>105_7_7</t>
  </si>
  <si>
    <t>108_4_4</t>
  </si>
  <si>
    <t>108_7_7</t>
  </si>
  <si>
    <t>102_30_30</t>
  </si>
  <si>
    <t>102_7_7</t>
  </si>
  <si>
    <t>105_3_3</t>
  </si>
  <si>
    <t>105_5_5</t>
  </si>
  <si>
    <t>105_0_0</t>
  </si>
  <si>
    <t>105_1_1</t>
  </si>
  <si>
    <t>106_20_20</t>
  </si>
  <si>
    <t>102_80_80</t>
  </si>
  <si>
    <t>110_7_7</t>
  </si>
  <si>
    <t>108_23_23</t>
  </si>
  <si>
    <t>107_20_20</t>
  </si>
  <si>
    <t>103_10_10,104_20_20</t>
  </si>
  <si>
    <t>105_12_12</t>
  </si>
  <si>
    <t>105_19_19</t>
  </si>
  <si>
    <t>108_12_12</t>
  </si>
  <si>
    <t>108_19_19</t>
  </si>
  <si>
    <t>102_110_110</t>
  </si>
  <si>
    <t>102_19_19</t>
  </si>
  <si>
    <t>105_9_9</t>
  </si>
  <si>
    <t>105_13_13</t>
  </si>
  <si>
    <t>105_10_10</t>
  </si>
  <si>
    <t>106_64_64</t>
  </si>
  <si>
    <t>102_150_150</t>
  </si>
  <si>
    <t>101_480_480</t>
  </si>
  <si>
    <t>110_12_12</t>
  </si>
  <si>
    <t>108_43_43</t>
  </si>
  <si>
    <t>103_32_32,104_64_64</t>
  </si>
  <si>
    <t>103_40_40,104_80_80</t>
  </si>
  <si>
    <t>105_30_30</t>
  </si>
  <si>
    <t>105_59_59</t>
  </si>
  <si>
    <t>108_30_30</t>
  </si>
  <si>
    <t>108_59_59</t>
  </si>
  <si>
    <t>102_240_240</t>
  </si>
  <si>
    <t>102_59_59</t>
  </si>
  <si>
    <t>105_20_20</t>
  </si>
  <si>
    <t>105_28_28</t>
  </si>
  <si>
    <t>102_185_185</t>
  </si>
  <si>
    <t>101_1160_1160</t>
  </si>
  <si>
    <t>110_27_27</t>
  </si>
  <si>
    <t>108_106_106</t>
  </si>
  <si>
    <t>107_64_64</t>
  </si>
  <si>
    <t>103_52_52,104_104_104</t>
  </si>
  <si>
    <t>105_103_103</t>
  </si>
  <si>
    <t>105_130_130</t>
  </si>
  <si>
    <t>108_103_103</t>
  </si>
  <si>
    <t>108_130_130</t>
  </si>
  <si>
    <t>102_420_420</t>
  </si>
  <si>
    <t>102_472_472</t>
  </si>
  <si>
    <t>105_39_39</t>
  </si>
  <si>
    <t>105_64_64</t>
  </si>
  <si>
    <t>105_50_50</t>
  </si>
  <si>
    <t>106_136_136</t>
  </si>
  <si>
    <t>101_2120_2120</t>
  </si>
  <si>
    <t>110_40_40</t>
  </si>
  <si>
    <t>108_211_211</t>
  </si>
  <si>
    <t>107_136_136</t>
  </si>
  <si>
    <t>105_171_171</t>
  </si>
  <si>
    <t>105_205_205</t>
  </si>
  <si>
    <t>108_171_171</t>
  </si>
  <si>
    <t>108_205_205</t>
  </si>
  <si>
    <t>102_550_550</t>
  </si>
  <si>
    <t>102_606_606</t>
  </si>
  <si>
    <t>105_102_102</t>
  </si>
  <si>
    <t>105_122_122</t>
  </si>
  <si>
    <t>105_66_66</t>
  </si>
  <si>
    <t>105_81_81</t>
  </si>
  <si>
    <t>106_237_237</t>
  </si>
  <si>
    <t>102_330_330</t>
  </si>
  <si>
    <t>101_3360_3360</t>
  </si>
  <si>
    <t>108_286_286</t>
  </si>
  <si>
    <t>107_237_237</t>
  </si>
  <si>
    <t>103_177_177,104_354_354</t>
  </si>
  <si>
    <t>105_256_256</t>
  </si>
  <si>
    <t>105_301_301</t>
  </si>
  <si>
    <t>108_256_256</t>
  </si>
  <si>
    <t>108_301_301</t>
  </si>
  <si>
    <t>102_690_690</t>
  </si>
  <si>
    <t>102_301_301</t>
  </si>
  <si>
    <t>105_153_153</t>
  </si>
  <si>
    <t>105_178_178</t>
  </si>
  <si>
    <t>105_104_104</t>
  </si>
  <si>
    <t>105_149_149</t>
  </si>
  <si>
    <t>106_372_372</t>
  </si>
  <si>
    <t>102_460_460</t>
  </si>
  <si>
    <t>110_65_65</t>
  </si>
  <si>
    <t>108_367_367</t>
  </si>
  <si>
    <t>107_372_372</t>
  </si>
  <si>
    <t>103_275_275,104_550_550</t>
  </si>
  <si>
    <t>105_368_368</t>
  </si>
  <si>
    <t>105_491_491</t>
  </si>
  <si>
    <t>108_368_368</t>
  </si>
  <si>
    <t>108_491_491</t>
  </si>
  <si>
    <t>102_880_880</t>
  </si>
  <si>
    <t>102_944_944</t>
  </si>
  <si>
    <t>105_216_216</t>
  </si>
  <si>
    <t>105_247_247</t>
  </si>
  <si>
    <t>106_596_596</t>
  </si>
  <si>
    <t>102_590_590</t>
  </si>
  <si>
    <t>101_4900_4900</t>
  </si>
  <si>
    <t>110_82_82</t>
  </si>
  <si>
    <t>108_588_588</t>
  </si>
  <si>
    <t>107_542_542</t>
  </si>
  <si>
    <t>103_443_443,104_886_886</t>
  </si>
  <si>
    <t>105_676_676</t>
  </si>
  <si>
    <t>105_758_758</t>
  </si>
  <si>
    <t>108_676_676</t>
  </si>
  <si>
    <t>108_758_758</t>
  </si>
  <si>
    <t>102_1040_1040</t>
  </si>
  <si>
    <t>102_1120_1120</t>
  </si>
  <si>
    <t>105_293_293</t>
  </si>
  <si>
    <t>105_375_375</t>
  </si>
  <si>
    <t>105_331_331</t>
  </si>
  <si>
    <t>106_751_751</t>
  </si>
  <si>
    <t>102_740_740</t>
  </si>
  <si>
    <t>101_6720_6720</t>
  </si>
  <si>
    <t>110_108_108</t>
  </si>
  <si>
    <t>108_880_880</t>
  </si>
  <si>
    <t>103_670_670,104_1340_1340</t>
  </si>
  <si>
    <t>105_880_880</t>
  </si>
  <si>
    <t>105_1029_1029</t>
  </si>
  <si>
    <t>108_1029_1029</t>
  </si>
  <si>
    <t>102_1240_1240</t>
  </si>
  <si>
    <t>102_1029_1029</t>
  </si>
  <si>
    <t>105_497_497</t>
  </si>
  <si>
    <t>105_549_549</t>
  </si>
  <si>
    <t>105_387_387</t>
  </si>
  <si>
    <t>105_431_431</t>
  </si>
  <si>
    <t>101_8840_8840</t>
  </si>
  <si>
    <t>110_137_137</t>
  </si>
  <si>
    <t>108_1255_1255</t>
  </si>
  <si>
    <t>107_751_751</t>
  </si>
  <si>
    <t>105_1253_1253</t>
  </si>
  <si>
    <t>105_1312_1312</t>
  </si>
  <si>
    <t>108_1253_1253</t>
  </si>
  <si>
    <t>108_1312_1312</t>
  </si>
  <si>
    <t>102_1320_1320</t>
  </si>
  <si>
    <t>102_1312_1312</t>
  </si>
  <si>
    <t>105_628_628</t>
  </si>
  <si>
    <t>105_689_689</t>
  </si>
  <si>
    <t>106_1000_1000</t>
  </si>
  <si>
    <t>102_975_975</t>
  </si>
  <si>
    <t>101_11560_11560</t>
  </si>
  <si>
    <t>110_172_172</t>
  </si>
  <si>
    <t>108_1726_1726</t>
  </si>
  <si>
    <t>107_1000_1000</t>
  </si>
  <si>
    <t>103_1097_1097,104_2194_2194</t>
  </si>
  <si>
    <t>103_1222_1222,104_2444_2444</t>
  </si>
  <si>
    <t>105_1401_1401</t>
  </si>
  <si>
    <t>105_1633_1633</t>
  </si>
  <si>
    <t>108_1401_1401</t>
  </si>
  <si>
    <t>108_1633_1633</t>
  </si>
  <si>
    <t>102_1440_1440</t>
  </si>
  <si>
    <t>102_1633_1633</t>
  </si>
  <si>
    <t>105_780_780</t>
  </si>
  <si>
    <t>105_929_929</t>
  </si>
  <si>
    <t>106_1291_1291</t>
  </si>
  <si>
    <t>102_1080_1080</t>
  </si>
  <si>
    <t>101_13920_13920</t>
  </si>
  <si>
    <t>110_219_219</t>
  </si>
  <si>
    <t>107_1291_1291</t>
  </si>
  <si>
    <t>105_1981_1981</t>
  </si>
  <si>
    <t>105_2195_2195</t>
  </si>
  <si>
    <t>108_1981_1981</t>
  </si>
  <si>
    <t>108_2195_2195</t>
  </si>
  <si>
    <t>102_1780_1780</t>
  </si>
  <si>
    <t>102_1972_1972</t>
  </si>
  <si>
    <t>105_1153_1153</t>
  </si>
  <si>
    <t>105_1243_1243</t>
  </si>
  <si>
    <t>106_1628_1628</t>
  </si>
  <si>
    <t>102_1260_1260</t>
  </si>
  <si>
    <t>110_271_271</t>
  </si>
  <si>
    <t>108_2300_2300</t>
  </si>
  <si>
    <t>107_1628_1628</t>
  </si>
  <si>
    <t>103_2007_2007,104_4014_4014</t>
  </si>
  <si>
    <t>103_2252_2252,104_4504_4504</t>
  </si>
  <si>
    <t>105_2515_2515</t>
  </si>
  <si>
    <t>105_2704_2704</t>
  </si>
  <si>
    <t>108_2515_2515</t>
  </si>
  <si>
    <t>108_2704_2704</t>
  </si>
  <si>
    <t>102_2260_2260</t>
  </si>
  <si>
    <t>102_2704_2704</t>
  </si>
  <si>
    <t>105_1377_1377</t>
  </si>
  <si>
    <t>105_1477_1477</t>
  </si>
  <si>
    <t>105_1152_1152</t>
  </si>
  <si>
    <t>105_1342_1342</t>
  </si>
  <si>
    <t>106_2015_2015</t>
  </si>
  <si>
    <t>102_1470_1470</t>
  </si>
  <si>
    <t>101_16900_16900</t>
  </si>
  <si>
    <t>110_352_352</t>
  </si>
  <si>
    <t>108_3884_3884</t>
  </si>
  <si>
    <t>107_2015_2015</t>
  </si>
  <si>
    <t>103_2854_2854,104_5708_5708</t>
  </si>
  <si>
    <t>105_2988_2988</t>
  </si>
  <si>
    <t>108_2988_2988</t>
  </si>
  <si>
    <t>102_2620_2620</t>
  </si>
  <si>
    <t>102_2988_2988</t>
  </si>
  <si>
    <t>105_1628_1628</t>
  </si>
  <si>
    <t>105_1627_1627</t>
  </si>
  <si>
    <t>102_0_0</t>
  </si>
  <si>
    <t>108_0_0</t>
  </si>
  <si>
    <t>105_3522_3522</t>
  </si>
  <si>
    <t>108_3522_3522</t>
  </si>
  <si>
    <t>102_3080_3080</t>
  </si>
  <si>
    <t>103_2_2,104_6_6</t>
  </si>
  <si>
    <t>103_5_5,104_12_12</t>
  </si>
  <si>
    <t>103_18_18,104_38_38</t>
  </si>
  <si>
    <t>103_76_76,104_152_152</t>
  </si>
  <si>
    <t>103_113_113,104_226_226</t>
  </si>
  <si>
    <t>103_138_138,104_276_276</t>
  </si>
  <si>
    <t>103_216_216,104_432_432</t>
  </si>
  <si>
    <t>103_342_342,104_684_684</t>
  </si>
  <si>
    <t>103_533_533,104_1066_1066</t>
  </si>
  <si>
    <t>103_743_743,104_1486_1486</t>
  </si>
  <si>
    <t>103_854_854,104_1708_1708</t>
  </si>
  <si>
    <t>103_951_951,104_1902_1902</t>
  </si>
  <si>
    <t>103_1409_1409,104_2818_2818</t>
  </si>
  <si>
    <t>103_1648_1648,104_3296_3296</t>
  </si>
  <si>
    <t>103_2619_2619,104_5238_5238</t>
  </si>
  <si>
    <t>103_3269_3269,104_6538_6538</t>
  </si>
  <si>
    <t>equipment/3001.png</t>
  </si>
  <si>
    <t>equipment/14001.png</t>
  </si>
  <si>
    <t>equipment/6001.png</t>
  </si>
  <si>
    <t>equipment/8001.png</t>
  </si>
  <si>
    <t>equipment/10001.png</t>
  </si>
  <si>
    <t>equipment/12001.png</t>
  </si>
  <si>
    <t>equipment/1101.png</t>
  </si>
  <si>
    <t>equipment/2101.png</t>
  </si>
  <si>
    <t>equipment/1201.png</t>
  </si>
  <si>
    <t>equipment/2201.png</t>
  </si>
  <si>
    <t>equipment/1301.png</t>
  </si>
  <si>
    <t>equipment/2301.png</t>
  </si>
  <si>
    <t>equipment/5001.png</t>
  </si>
  <si>
    <t>equipment/7001.png</t>
  </si>
  <si>
    <t>isOpen</t>
    <phoneticPr fontId="1" type="noConversion"/>
  </si>
  <si>
    <t>godlyAttr</t>
  </si>
  <si>
    <t>神器属性ID</t>
    <phoneticPr fontId="1" type="noConversion"/>
  </si>
  <si>
    <t>开孔费用</t>
    <phoneticPr fontId="1" type="noConversion"/>
  </si>
  <si>
    <t>punchCost</t>
  </si>
  <si>
    <t>10000_1002_1000,30000_30001_1,30000_30002_1,30000_30003_1</t>
  </si>
  <si>
    <t>10000_1002_5000,30000_30001_1,30000_30002_1,30000_30003_1</t>
  </si>
  <si>
    <t>10000_1002_10000,30000_30001_1,30000_30002_1,30000_30003_1</t>
  </si>
  <si>
    <t>10000_1002_15000,30000_30001_1,30000_30002_1,30000_30003_1</t>
  </si>
  <si>
    <t>10000_1002_20000,30000_30001_1,30000_30002_1,30000_30003_1</t>
  </si>
  <si>
    <t>10000_1002_25000,30000_30001_1,30000_30002_1,30000_30003_1</t>
  </si>
  <si>
    <t>10000_1002_30000,30000_30001_1,30000_30002_1,30000_30003_1</t>
  </si>
  <si>
    <t>10000_1002_35000,30000_30001_1,30000_30002_1,30000_30003_1</t>
  </si>
  <si>
    <t>10000_1002_40000,30000_30001_1,30000_30002_1,30000_30003_1</t>
  </si>
  <si>
    <t>10000_1002_45000,30000_30001_1,30000_30002_1,30000_30003_1</t>
  </si>
  <si>
    <t>10000_1002_50000,30000_30001_1,30000_30002_1,30000_30003_1</t>
  </si>
  <si>
    <t>10000_1002_55000,30000_30001_1,30000_30002_1,30000_30003_1</t>
  </si>
  <si>
    <t>10000_1002_60000,30000_30001_1,30000_30002_1,30000_30003_1</t>
  </si>
  <si>
    <t>10000_1002_65000,30000_30001_1,30000_30002_1,30000_30003_1</t>
  </si>
  <si>
    <t>10000_1002_70000,30000_30001_1,30000_30002_1,30000_30003_1</t>
  </si>
  <si>
    <t>10000_1002_1000,30000_30001_1,30000_30002_1,30000_30003_1</t>
    <phoneticPr fontId="1" type="noConversion"/>
  </si>
  <si>
    <t>尖头盾</t>
  </si>
  <si>
    <t>盔帽</t>
  </si>
  <si>
    <t>双链罩帽</t>
  </si>
  <si>
    <t>镶带头盔</t>
  </si>
  <si>
    <t>烈焰头罩</t>
  </si>
  <si>
    <t>虚空之冠</t>
  </si>
  <si>
    <t>软垫靴</t>
  </si>
  <si>
    <t>链甲战靴</t>
  </si>
  <si>
    <t>镶饰胫甲</t>
  </si>
  <si>
    <t>浩劫长靴</t>
  </si>
  <si>
    <t>步兵护手</t>
  </si>
  <si>
    <t>战痕手套</t>
  </si>
  <si>
    <t>链甲手套</t>
  </si>
  <si>
    <t>激励手甲</t>
  </si>
  <si>
    <t>血拳手套</t>
  </si>
  <si>
    <t>使者项链</t>
  </si>
  <si>
    <t>魔光项链</t>
  </si>
  <si>
    <t>虎眼石项链</t>
  </si>
  <si>
    <t>硬皮外套</t>
  </si>
  <si>
    <t>暗石胸甲</t>
  </si>
  <si>
    <t>卫兵胸甲</t>
  </si>
  <si>
    <t>银月护甲</t>
  </si>
  <si>
    <t>烙铁胸甲</t>
  </si>
  <si>
    <t>水滴胸铠</t>
  </si>
  <si>
    <t>蛮兽胸甲</t>
  </si>
  <si>
    <t>瑟银护甲</t>
  </si>
  <si>
    <t>护卫短裤</t>
  </si>
  <si>
    <t>荒野马裤</t>
  </si>
  <si>
    <t>勇气腿甲</t>
  </si>
  <si>
    <t>游侠护腿</t>
  </si>
  <si>
    <t>巨熊护腿</t>
  </si>
  <si>
    <t>冰铸腿铠</t>
  </si>
  <si>
    <t>鸢盾</t>
  </si>
  <si>
    <t>箭筒</t>
  </si>
  <si>
    <t>法术指南</t>
  </si>
  <si>
    <t>猎手强弓</t>
  </si>
  <si>
    <t>灰木弓</t>
  </si>
  <si>
    <t>帆布箭筒</t>
  </si>
  <si>
    <t>魔导法杖</t>
  </si>
  <si>
    <t>半人马长弓</t>
  </si>
  <si>
    <t>皮革箭筒</t>
  </si>
  <si>
    <t>风灵法杖</t>
  </si>
  <si>
    <t>禁锢之杖</t>
  </si>
  <si>
    <t>勇者长剑</t>
  </si>
  <si>
    <t>护卫之弓</t>
  </si>
  <si>
    <t>狩猎箭筒</t>
  </si>
  <si>
    <t>保护法杖</t>
  </si>
  <si>
    <t>精准之弓</t>
  </si>
  <si>
    <t>刺客箭筒</t>
  </si>
  <si>
    <t>贵族阔剑</t>
  </si>
  <si>
    <t>耐久盾牌</t>
  </si>
  <si>
    <t>盐石盾牌</t>
  </si>
  <si>
    <t>灼热弓</t>
  </si>
  <si>
    <t>红木长弓</t>
  </si>
  <si>
    <t>倒刺箭筒</t>
  </si>
  <si>
    <t>崇圣箭筒</t>
  </si>
  <si>
    <t>水晶剑</t>
  </si>
  <si>
    <t>符记盾牌</t>
  </si>
  <si>
    <t>风语者弯弓</t>
  </si>
  <si>
    <t>1,1001</t>
  </si>
  <si>
    <t>2,1002</t>
  </si>
  <si>
    <t>3,1003</t>
  </si>
  <si>
    <t>equipment/1102.png</t>
  </si>
  <si>
    <t>equipment/1202.png</t>
  </si>
  <si>
    <t>equipment/1302.png</t>
  </si>
  <si>
    <t>equipment/1103.png</t>
  </si>
  <si>
    <t>equipment/1104.png</t>
  </si>
  <si>
    <t>equipment/2102.png</t>
  </si>
  <si>
    <t>equipment/2202.png</t>
  </si>
  <si>
    <t>equipment/1303.png</t>
  </si>
  <si>
    <t>equipment/1304.png</t>
  </si>
  <si>
    <t>equipment/2302.png</t>
  </si>
  <si>
    <t>equipment/5002.png</t>
  </si>
  <si>
    <t>equipment/5003.png</t>
  </si>
  <si>
    <t>equipment/7002.png</t>
  </si>
  <si>
    <t>equipment/3002.png</t>
  </si>
  <si>
    <t>equipment/14002.png</t>
  </si>
  <si>
    <t>equipment/6002.png</t>
  </si>
  <si>
    <t>equipment/8002.png</t>
  </si>
  <si>
    <t>equipment/10002.png</t>
  </si>
  <si>
    <t>equipment/1105.png</t>
  </si>
  <si>
    <t>equipment/1106.png</t>
  </si>
  <si>
    <t>equipment/2103.png</t>
  </si>
  <si>
    <t>equipment/1205.png</t>
  </si>
  <si>
    <t>equipment/1206.png</t>
  </si>
  <si>
    <t>equipment/2203.png</t>
  </si>
  <si>
    <t>equipment/1305.png</t>
  </si>
  <si>
    <t>equipment/1306.png</t>
  </si>
  <si>
    <t>equipment/2303.png</t>
  </si>
  <si>
    <t>equipment/7003.png</t>
  </si>
  <si>
    <t>equipment/6003.png</t>
  </si>
  <si>
    <t>equipment/8003.png</t>
  </si>
  <si>
    <t>equipment/10003.png</t>
  </si>
  <si>
    <t>equipment/12002.png</t>
  </si>
  <si>
    <t>equipment/1108.png</t>
  </si>
  <si>
    <t>equipment/1107.png</t>
  </si>
  <si>
    <t>equipment/2105.png</t>
  </si>
  <si>
    <t>equipment/1207.png</t>
  </si>
  <si>
    <t>equipment/1208.png</t>
  </si>
  <si>
    <t>equipment/2204.png</t>
  </si>
  <si>
    <t>equipment/1307.png</t>
  </si>
  <si>
    <t>equipment/1308.png</t>
  </si>
  <si>
    <t>equipment/2304.png</t>
  </si>
  <si>
    <t>equipment/5005.png</t>
  </si>
  <si>
    <t>equipment/3003.png</t>
  </si>
  <si>
    <t>equipment/14003.png</t>
  </si>
  <si>
    <t>equipment/6004.png</t>
  </si>
  <si>
    <t>equipment/10004.png</t>
  </si>
  <si>
    <t>equipment/12003.png</t>
  </si>
  <si>
    <t>equipment/1109.png</t>
  </si>
  <si>
    <t>equipment/2104.png</t>
  </si>
  <si>
    <t>equipment/1209.png</t>
  </si>
  <si>
    <t>equipment/2205.png</t>
  </si>
  <si>
    <t>equipment/1309.png</t>
  </si>
  <si>
    <t>equipment/1310.png</t>
  </si>
  <si>
    <t>equipment/2305.png</t>
  </si>
  <si>
    <t>equipment/5004.png</t>
  </si>
  <si>
    <t>equipment/5006.png</t>
  </si>
  <si>
    <t>equipment/7005.png</t>
  </si>
  <si>
    <t>equipment/7004.png</t>
  </si>
  <si>
    <t>equipment/3005.png</t>
  </si>
  <si>
    <t>equipment/14004.png</t>
  </si>
  <si>
    <t>equipment/6005.png</t>
  </si>
  <si>
    <t>equipment/8004.png</t>
  </si>
  <si>
    <t>equipment/12004.png</t>
  </si>
  <si>
    <t>equipment/1110.png</t>
  </si>
  <si>
    <t>equipment/1111.png</t>
  </si>
  <si>
    <t>equipment/2106.png</t>
  </si>
  <si>
    <t>equipment/1210.png</t>
  </si>
  <si>
    <t>equipment/1215.png</t>
  </si>
  <si>
    <t>equipment/2206.png</t>
  </si>
  <si>
    <t>equipment/1311.png</t>
  </si>
  <si>
    <t>equipment/1312.png</t>
  </si>
  <si>
    <t>equipment/2306.png</t>
  </si>
  <si>
    <t>equipment/5007.png</t>
  </si>
  <si>
    <t>equipment/7006.png</t>
  </si>
  <si>
    <t>equipment/3004.png</t>
  </si>
  <si>
    <t>equipment/14005.png</t>
  </si>
  <si>
    <t>equipment/8005.png</t>
  </si>
  <si>
    <t>equipment/10005.png</t>
  </si>
  <si>
    <t>equipment/12005.png</t>
  </si>
  <si>
    <t>equipment/1112.png</t>
  </si>
  <si>
    <t>equipment/1113.png</t>
  </si>
  <si>
    <t>equipment/2107.png</t>
  </si>
  <si>
    <t>equipment/2108.png</t>
  </si>
  <si>
    <t>equipment/1211.png</t>
  </si>
  <si>
    <t>equipment/1212.png</t>
  </si>
  <si>
    <t>equipment/2207.png</t>
  </si>
  <si>
    <t>equipment/2208.png</t>
  </si>
  <si>
    <t>equipment/1313.png</t>
  </si>
  <si>
    <t>equipment/2307.png</t>
  </si>
  <si>
    <t>equipment/2308.png</t>
  </si>
  <si>
    <t>equipment/5008.png</t>
  </si>
  <si>
    <t>equipment/5009.png</t>
  </si>
  <si>
    <t>equipment/7007.png</t>
  </si>
  <si>
    <t>equipment/7008.png</t>
  </si>
  <si>
    <t>equipment/3006.png</t>
  </si>
  <si>
    <t>equipment/14006.png</t>
  </si>
  <si>
    <t>equipment/6006.png</t>
  </si>
  <si>
    <t>equipment/8006.png</t>
  </si>
  <si>
    <t>equipment/10006.png</t>
  </si>
  <si>
    <t>equipment/12006.png</t>
  </si>
  <si>
    <t>equipment/1114.png</t>
  </si>
  <si>
    <t>equipment/2117.png</t>
  </si>
  <si>
    <t>equipment/1213.png</t>
  </si>
  <si>
    <t>equipment/1314.png</t>
  </si>
  <si>
    <t>equipment/2314.png</t>
  </si>
  <si>
    <t>equipment/5011.png</t>
  </si>
  <si>
    <t>equipment/3007.png</t>
  </si>
  <si>
    <t>equipment/14007.png</t>
  </si>
  <si>
    <t>equipment/6007.png</t>
  </si>
  <si>
    <t>equipment/8007.png</t>
  </si>
  <si>
    <t>equipment/10007.png</t>
  </si>
  <si>
    <t>equipment/1115.png</t>
  </si>
  <si>
    <t>equipment/1116.png</t>
  </si>
  <si>
    <t>equipment/2109.png</t>
  </si>
  <si>
    <t>equipment/1216.png</t>
  </si>
  <si>
    <t>equipment/1214.png</t>
  </si>
  <si>
    <t>equipment/2209.png</t>
  </si>
  <si>
    <t>equipment/1317.png</t>
  </si>
  <si>
    <t>equipment/1315.png</t>
  </si>
  <si>
    <t>equipment/2309.png</t>
  </si>
  <si>
    <t>equipment/5012.png</t>
  </si>
  <si>
    <t>equipment/7009.png</t>
  </si>
  <si>
    <t>equipment/6008.png</t>
  </si>
  <si>
    <t>equipment/8008.png</t>
  </si>
  <si>
    <t>equipment/10008.png</t>
  </si>
  <si>
    <t>equipment/12007.png</t>
  </si>
  <si>
    <t>equipment/1117.png</t>
  </si>
  <si>
    <t>equipment/2110.png</t>
  </si>
  <si>
    <t>equipment/1217.png</t>
  </si>
  <si>
    <t>equipment/2211.png</t>
  </si>
  <si>
    <t>equipment/1316.png</t>
  </si>
  <si>
    <t>equipment/1318.png</t>
  </si>
  <si>
    <t>equipment/2310.png</t>
  </si>
  <si>
    <t>equipment/5013.png</t>
  </si>
  <si>
    <t>equipment/5014.png</t>
  </si>
  <si>
    <t>equipment/7011.png</t>
  </si>
  <si>
    <t>equipment/7010.png</t>
  </si>
  <si>
    <t>equipment/3008.png</t>
  </si>
  <si>
    <t>equipment/14008.png</t>
  </si>
  <si>
    <t>equipment/6009.png</t>
  </si>
  <si>
    <t>equipment/10009.png</t>
  </si>
  <si>
    <t>equipment/12008.png</t>
  </si>
  <si>
    <t>equipment/1119.png</t>
  </si>
  <si>
    <t>equipment/1120.png</t>
  </si>
  <si>
    <t>equipment/2111.png</t>
  </si>
  <si>
    <t>equipment/2112.png</t>
  </si>
  <si>
    <t>equipment/1218.png</t>
  </si>
  <si>
    <t>equipment/1221.png</t>
  </si>
  <si>
    <t>equipment/2210.png</t>
  </si>
  <si>
    <t>equipment/2212.png</t>
  </si>
  <si>
    <t>equipment/1319.png</t>
  </si>
  <si>
    <t>equipment/1320.png</t>
  </si>
  <si>
    <t>equipment/2311.png</t>
  </si>
  <si>
    <t>equipment/2312.png</t>
  </si>
  <si>
    <t>equipment/7012.png</t>
  </si>
  <si>
    <t>equipment/3009.png</t>
  </si>
  <si>
    <t>equipment/14009.png</t>
  </si>
  <si>
    <t>equipment/8009.png</t>
  </si>
  <si>
    <t>equipment/12009.png</t>
  </si>
  <si>
    <t>equipment/1121.png</t>
  </si>
  <si>
    <t>equipment/2113.png</t>
  </si>
  <si>
    <t>equipment/2114.png</t>
  </si>
  <si>
    <t>equipment/2213.png</t>
  </si>
  <si>
    <t>equipment/2214.png</t>
  </si>
  <si>
    <t>equipment/1321.png</t>
  </si>
  <si>
    <t>equipment/2313.png</t>
  </si>
  <si>
    <t>equipment/2316.png</t>
  </si>
  <si>
    <t>equipment/5015.png</t>
  </si>
  <si>
    <t>equipment/7013.png</t>
  </si>
  <si>
    <t>equipment/3010.png</t>
  </si>
  <si>
    <t>equipment/14010.png</t>
  </si>
  <si>
    <t>equipment/6010.png</t>
  </si>
  <si>
    <t>equipment/8010.png</t>
  </si>
  <si>
    <t>equipment/10010.png</t>
  </si>
  <si>
    <t>equipment/12010.png</t>
  </si>
  <si>
    <t>equipment/1118.png</t>
  </si>
  <si>
    <t>equipment/1122.png</t>
  </si>
  <si>
    <t>equipment/2115.png</t>
  </si>
  <si>
    <t>equipment/1220.png</t>
  </si>
  <si>
    <t>equipment/2215.png</t>
  </si>
  <si>
    <t>equipment/1322.png</t>
  </si>
  <si>
    <t>equipment/2315.png</t>
  </si>
  <si>
    <t>equipment/5016.png</t>
  </si>
  <si>
    <t>equipment/7014.png</t>
  </si>
  <si>
    <t>equipment/7015.png</t>
  </si>
  <si>
    <t>equipment/3011.png</t>
  </si>
  <si>
    <t>equipment/14011.png</t>
  </si>
  <si>
    <t>equipment/6011.png</t>
  </si>
  <si>
    <t>equipment/8011.png</t>
  </si>
  <si>
    <t>equipment/10011.png</t>
  </si>
  <si>
    <t>equipment/12011.png</t>
  </si>
  <si>
    <t>equipment/1123.png</t>
  </si>
  <si>
    <t>equipment/2116.png</t>
  </si>
  <si>
    <t>equipment/1224.png</t>
  </si>
  <si>
    <t>equipment/2216.png</t>
  </si>
  <si>
    <t>equipment/1323.png</t>
  </si>
  <si>
    <t>equipment/2317.png</t>
  </si>
  <si>
    <t>equipment/5017.png</t>
  </si>
  <si>
    <t>equipment/7017.png</t>
  </si>
  <si>
    <t>equipment/1124.png</t>
  </si>
  <si>
    <t>equipment/2118.png</t>
  </si>
  <si>
    <t>equipment/1222.png</t>
  </si>
  <si>
    <t>equipment/2218.png</t>
  </si>
  <si>
    <t>equipment/1324.png</t>
  </si>
  <si>
    <t>equipment/2318.png</t>
  </si>
  <si>
    <t>equipment/101301.png</t>
    <phoneticPr fontId="1" type="noConversion"/>
  </si>
  <si>
    <t>0</t>
    <phoneticPr fontId="1" type="noConversion"/>
  </si>
  <si>
    <t>103_99999_99999,104_99999_99999</t>
    <phoneticPr fontId="1" type="noConversion"/>
  </si>
  <si>
    <t>99999,99999</t>
    <phoneticPr fontId="1" type="noConversion"/>
  </si>
  <si>
    <t>主手武器</t>
    <phoneticPr fontId="1" type="noConversion"/>
  </si>
  <si>
    <t>苍蓝挂坠</t>
  </si>
  <si>
    <t>血岩戒指</t>
  </si>
  <si>
    <t>10000_1002_1000,30000_30001_1,30000_30002_1,30000_30003_1</t>
    <phoneticPr fontId="1" type="noConversion"/>
  </si>
  <si>
    <t>106_2633_2633</t>
  </si>
  <si>
    <t>102_1760_1760</t>
  </si>
  <si>
    <t>101_21600_21600</t>
  </si>
  <si>
    <t>110_515_515</t>
  </si>
  <si>
    <t>108_4631_4631</t>
  </si>
  <si>
    <t>107_2633_2633</t>
  </si>
  <si>
    <t>105_3945_3945</t>
  </si>
  <si>
    <t>105_4082_4082</t>
  </si>
  <si>
    <t>108_3945_3945</t>
  </si>
  <si>
    <t>108_4082_4082</t>
  </si>
  <si>
    <t>102_3350_3350</t>
  </si>
  <si>
    <t>102_3450_3450</t>
  </si>
  <si>
    <t>105_2346_2346</t>
  </si>
  <si>
    <t>106_3066_3066</t>
  </si>
  <si>
    <t>102_1900_1900</t>
  </si>
  <si>
    <t>101_24080_24080</t>
  </si>
  <si>
    <t>110_568_568</t>
  </si>
  <si>
    <t>108_5067_5067</t>
  </si>
  <si>
    <t>107_3066_3066</t>
  </si>
  <si>
    <t>105_4288_4288</t>
  </si>
  <si>
    <t>105_4419_4419</t>
  </si>
  <si>
    <t>108_4288_4288</t>
  </si>
  <si>
    <t>108_4419_4419</t>
  </si>
  <si>
    <t>102_3610_3610</t>
  </si>
  <si>
    <t>102_3680_3680</t>
  </si>
  <si>
    <t>105_2573_2573</t>
  </si>
  <si>
    <t>105_2739_2739</t>
  </si>
  <si>
    <t>106_3672_3672</t>
  </si>
  <si>
    <t>102_2020_2020</t>
  </si>
  <si>
    <t>101_27040_27040</t>
  </si>
  <si>
    <t>110_661_661</t>
  </si>
  <si>
    <t>108_5495_5495</t>
  </si>
  <si>
    <t>107_3672_3672</t>
  </si>
  <si>
    <t>105_4616_4616</t>
  </si>
  <si>
    <t>105_4739_4739</t>
  </si>
  <si>
    <t>108_4616_4616</t>
  </si>
  <si>
    <t>108_4739_4739</t>
  </si>
  <si>
    <t>102_3790_3790</t>
  </si>
  <si>
    <t>102_3890_3890</t>
  </si>
  <si>
    <t>105_2989_2989</t>
  </si>
  <si>
    <t>105_3172_3172</t>
  </si>
  <si>
    <t>106_4428_4428</t>
  </si>
  <si>
    <t>102_2150_2150</t>
  </si>
  <si>
    <t>101_29800_29800</t>
  </si>
  <si>
    <t>110_715_715</t>
  </si>
  <si>
    <t>108_6155_6155</t>
  </si>
  <si>
    <t>107_4428_4428</t>
  </si>
  <si>
    <t>105_4924_4924</t>
  </si>
  <si>
    <t>105_5147_5147</t>
  </si>
  <si>
    <t>108_4924_4924</t>
  </si>
  <si>
    <t>108_5147_5147</t>
  </si>
  <si>
    <t>102_4040_4040</t>
  </si>
  <si>
    <t>102_4140_4140</t>
  </si>
  <si>
    <t>105_3447_3447</t>
  </si>
  <si>
    <t>105_3603_3603</t>
  </si>
  <si>
    <t>106_5346_5346</t>
  </si>
  <si>
    <t>102_2240_2240</t>
  </si>
  <si>
    <t>101_32760_32760</t>
  </si>
  <si>
    <t>110_786_786</t>
  </si>
  <si>
    <t>108_6853_6853</t>
  </si>
  <si>
    <t>107_5346_5346</t>
  </si>
  <si>
    <t>105_5482_5482</t>
  </si>
  <si>
    <t>105_5717_5717</t>
  </si>
  <si>
    <t>108_5482_5482</t>
  </si>
  <si>
    <t>108_5717_5717</t>
  </si>
  <si>
    <t>102_4280_4280</t>
  </si>
  <si>
    <t>102_4390_4390</t>
  </si>
  <si>
    <t>105_3837_3837</t>
  </si>
  <si>
    <t>105_4002_4002</t>
  </si>
  <si>
    <t>106_6460_6460</t>
  </si>
  <si>
    <t>102_2360_2360</t>
  </si>
  <si>
    <t>101_36120_36120</t>
  </si>
  <si>
    <t>110_871_871</t>
  </si>
  <si>
    <t>108_7588_7588</t>
  </si>
  <si>
    <t>107_6460_6460</t>
  </si>
  <si>
    <t>103_0_0</t>
  </si>
  <si>
    <t>105_6070_6070</t>
  </si>
  <si>
    <t>108_6070_6070</t>
  </si>
  <si>
    <t>102_4560_4560</t>
  </si>
  <si>
    <t>105_4249_4249</t>
  </si>
  <si>
    <t>432,576</t>
  </si>
  <si>
    <t>588,784</t>
  </si>
  <si>
    <t>486,648</t>
  </si>
  <si>
    <t>688,917</t>
  </si>
  <si>
    <t>542,723</t>
  </si>
  <si>
    <t>767,1022</t>
  </si>
  <si>
    <t>601,801</t>
  </si>
  <si>
    <t>849,1132</t>
  </si>
  <si>
    <t>661,881</t>
  </si>
  <si>
    <t>934,1246</t>
  </si>
  <si>
    <t>723,964</t>
  </si>
  <si>
    <t>1022,1363</t>
  </si>
  <si>
    <t>720,1008</t>
  </si>
  <si>
    <t>980,1372</t>
  </si>
  <si>
    <t>811,1135</t>
  </si>
  <si>
    <t>1146,1604</t>
  </si>
  <si>
    <t>904,1265</t>
  </si>
  <si>
    <t>1278,1789</t>
  </si>
  <si>
    <t>1001,1401</t>
  </si>
  <si>
    <t>1415,1980</t>
  </si>
  <si>
    <t>1102,1542</t>
  </si>
  <si>
    <t>1557,2180</t>
  </si>
  <si>
    <t>1206,1688</t>
  </si>
  <si>
    <t>1704,2386</t>
  </si>
  <si>
    <t>1008,1296</t>
  </si>
  <si>
    <t>1372,1764</t>
  </si>
  <si>
    <t>1135,1459</t>
  </si>
  <si>
    <t>1604,2063</t>
  </si>
  <si>
    <t>1265,1626</t>
  </si>
  <si>
    <t>1789,2300</t>
  </si>
  <si>
    <t>1401,1802</t>
  </si>
  <si>
    <t>1980,2546</t>
  </si>
  <si>
    <t>1542,1983</t>
  </si>
  <si>
    <t>2180,2803</t>
  </si>
  <si>
    <t>1688,2170</t>
  </si>
  <si>
    <t>2386,3067</t>
  </si>
  <si>
    <t>1224,1656</t>
  </si>
  <si>
    <t>1666,2254</t>
  </si>
  <si>
    <t>1378,1864</t>
  </si>
  <si>
    <t>1948,2636</t>
  </si>
  <si>
    <t>1536,2078</t>
  </si>
  <si>
    <t>2172,2938</t>
  </si>
  <si>
    <t>1702,2302</t>
  </si>
  <si>
    <t>2405,3253</t>
  </si>
  <si>
    <t>1873,2533</t>
  </si>
  <si>
    <t>2647,3581</t>
  </si>
  <si>
    <t>2049,2773</t>
  </si>
  <si>
    <t>2897,3919</t>
  </si>
  <si>
    <t>炽热长剑</t>
    <phoneticPr fontId="1" type="noConversion"/>
  </si>
  <si>
    <t>荒骨法杖</t>
    <phoneticPr fontId="6" type="noConversion"/>
  </si>
  <si>
    <t>游侠箭筒</t>
    <phoneticPr fontId="1" type="noConversion"/>
  </si>
  <si>
    <t>召唤魔典</t>
    <phoneticPr fontId="6" type="noConversion"/>
  </si>
  <si>
    <t>诸神黄昏</t>
    <phoneticPr fontId="6" type="noConversion"/>
  </si>
  <si>
    <t>冒险长靴</t>
    <phoneticPr fontId="1" type="noConversion"/>
  </si>
  <si>
    <t>轻型手套</t>
    <phoneticPr fontId="1" type="noConversion"/>
  </si>
  <si>
    <t>110_32_32</t>
  </si>
  <si>
    <t>110_32_32</t>
    <phoneticPr fontId="1" type="noConversion"/>
  </si>
  <si>
    <t>101_3920_3920</t>
  </si>
  <si>
    <t>101_3920_3920</t>
    <phoneticPr fontId="1" type="noConversion"/>
  </si>
  <si>
    <t>101_12800_12800</t>
  </si>
  <si>
    <t>101_12800_12800</t>
    <phoneticPr fontId="1" type="noConversion"/>
  </si>
  <si>
    <t>106_2256_2256</t>
  </si>
  <si>
    <t>102_1620_1620</t>
  </si>
  <si>
    <t>101_19200_19200</t>
  </si>
  <si>
    <t>110_442_442</t>
  </si>
  <si>
    <t>108_4189_4189</t>
  </si>
  <si>
    <t>107_2256_2256</t>
  </si>
  <si>
    <t>105_1844_1844</t>
  </si>
  <si>
    <t>纹饰帽</t>
  </si>
  <si>
    <t>金戒指</t>
  </si>
  <si>
    <t>兽皮腰带</t>
  </si>
  <si>
    <t>皮靴</t>
  </si>
  <si>
    <t>轻布手套</t>
  </si>
  <si>
    <t>贝壳项链</t>
  </si>
  <si>
    <t>短剑</t>
  </si>
  <si>
    <t>军刀</t>
  </si>
  <si>
    <t>小圆盾</t>
  </si>
  <si>
    <t>短弓</t>
  </si>
  <si>
    <t>棘木弓</t>
  </si>
  <si>
    <t>小箭筒</t>
  </si>
  <si>
    <t>训练用杖</t>
  </si>
  <si>
    <t>学徒法杖</t>
  </si>
  <si>
    <t>学徒手册</t>
  </si>
  <si>
    <t>新兵外套</t>
  </si>
  <si>
    <t>皮甲短裤</t>
  </si>
  <si>
    <t>学徒短裤</t>
  </si>
  <si>
    <t>长剑</t>
  </si>
  <si>
    <t>双刃剑</t>
  </si>
  <si>
    <t>硬弓</t>
  </si>
  <si>
    <t>反曲弓</t>
  </si>
  <si>
    <t>巫术之杖</t>
  </si>
  <si>
    <t>秘术法杖</t>
  </si>
  <si>
    <t>锁甲外套</t>
  </si>
  <si>
    <t>战士胸甲</t>
  </si>
  <si>
    <t>轻便头盔</t>
  </si>
  <si>
    <t>宝石戒指</t>
  </si>
  <si>
    <t>坚硬皮带</t>
  </si>
  <si>
    <t>护卫之刃</t>
  </si>
  <si>
    <t>铜铸重剑</t>
  </si>
  <si>
    <t>金属大盾</t>
  </si>
  <si>
    <t>附魔银棒</t>
  </si>
  <si>
    <t>奥术典籍</t>
  </si>
  <si>
    <t>铁锁腰带</t>
  </si>
  <si>
    <t>宽刃剑</t>
  </si>
  <si>
    <t>游侠之刃</t>
  </si>
  <si>
    <t>狩猎之弓</t>
  </si>
  <si>
    <t>秘法之书</t>
  </si>
  <si>
    <t>卫士头盔</t>
  </si>
  <si>
    <t>石岩指环</t>
  </si>
  <si>
    <t>冒险长靴</t>
  </si>
  <si>
    <t>工程手套</t>
  </si>
  <si>
    <t>翡翠项链</t>
  </si>
  <si>
    <t>护卫之盾</t>
  </si>
  <si>
    <t>火石法杖</t>
  </si>
  <si>
    <t>奥义之书</t>
  </si>
  <si>
    <t>手工长裤</t>
  </si>
  <si>
    <t>链甲护腿</t>
  </si>
  <si>
    <t>前锋腰带</t>
  </si>
  <si>
    <t>探寻者之靴</t>
  </si>
  <si>
    <t>轻型手套</t>
  </si>
  <si>
    <t>血刃</t>
  </si>
  <si>
    <t>游侠利刃</t>
  </si>
  <si>
    <t>坚固重盾</t>
  </si>
  <si>
    <t>行者弯弓</t>
  </si>
  <si>
    <t>预言法杖</t>
  </si>
  <si>
    <t>荒骨法杖</t>
  </si>
  <si>
    <t>魔法秘典</t>
  </si>
  <si>
    <t>繁星之戒</t>
  </si>
  <si>
    <t>秘银腰带</t>
  </si>
  <si>
    <t>炽热长剑</t>
  </si>
  <si>
    <t>新月法杖</t>
  </si>
  <si>
    <t>神圣典籍</t>
  </si>
  <si>
    <t>召唤之书</t>
  </si>
  <si>
    <t>防卫者外套</t>
  </si>
  <si>
    <t>逐风护腿</t>
  </si>
  <si>
    <t>烈焰指环</t>
  </si>
  <si>
    <t>斗士腰带</t>
  </si>
  <si>
    <t>混乱之靴</t>
  </si>
  <si>
    <t>秩序盾牌</t>
  </si>
  <si>
    <t>游侠箭筒</t>
  </si>
  <si>
    <t>风行者箭筒</t>
  </si>
  <si>
    <t>聚能之杖</t>
  </si>
  <si>
    <t>召唤魔典</t>
  </si>
  <si>
    <t>大法师之书</t>
  </si>
  <si>
    <t>魔鳞外衣</t>
  </si>
  <si>
    <t>残忍腿甲</t>
  </si>
  <si>
    <t>龙纹戒指</t>
  </si>
  <si>
    <t>力量腰带</t>
  </si>
  <si>
    <t>征战之靴</t>
  </si>
  <si>
    <t>重拳手套</t>
  </si>
  <si>
    <t>迅捷项链</t>
  </si>
  <si>
    <t>魔铁巨剑</t>
  </si>
  <si>
    <t>破咒之刃</t>
  </si>
  <si>
    <t>洛阿巨盾</t>
  </si>
  <si>
    <t>强击之弓</t>
  </si>
  <si>
    <t>羽月长弓</t>
  </si>
  <si>
    <t>风怒箭筒</t>
  </si>
  <si>
    <t>符文魔杖</t>
  </si>
  <si>
    <t>真理之杖</t>
  </si>
  <si>
    <t>附魔秘典</t>
  </si>
  <si>
    <t>战争头盔</t>
  </si>
  <si>
    <t>洞察指环</t>
  </si>
  <si>
    <t>督军腰带</t>
  </si>
  <si>
    <t>愤怒护手</t>
  </si>
  <si>
    <t>新月项链</t>
  </si>
  <si>
    <t>龙纹之刃</t>
  </si>
  <si>
    <t>正义壁垒</t>
  </si>
  <si>
    <t>霜语长弓</t>
  </si>
  <si>
    <t>月沐箭筒</t>
  </si>
  <si>
    <t>皇权之杖</t>
  </si>
  <si>
    <t>圣晶权杖</t>
  </si>
  <si>
    <t>占卜魔典</t>
  </si>
  <si>
    <t>执政官胸甲</t>
  </si>
  <si>
    <t>军团胸甲</t>
  </si>
  <si>
    <t>织灵护腿</t>
  </si>
  <si>
    <t>战痕头盔</t>
  </si>
  <si>
    <t>灵风之戒</t>
  </si>
  <si>
    <t>生命腰带</t>
  </si>
  <si>
    <t>龙鳞护胫</t>
  </si>
  <si>
    <t>誓言护坠</t>
  </si>
  <si>
    <t>黎明之刃</t>
  </si>
  <si>
    <t>放逐者之刃</t>
  </si>
  <si>
    <t>魂祭之盾</t>
  </si>
  <si>
    <t>氪金大盾</t>
  </si>
  <si>
    <t>觅心者长弓</t>
  </si>
  <si>
    <t>阳炎之弓</t>
  </si>
  <si>
    <t>黑骨箭袋</t>
  </si>
  <si>
    <t>符文箭筒</t>
  </si>
  <si>
    <t>虚灵法杖</t>
  </si>
  <si>
    <t>恒光巨杖</t>
  </si>
  <si>
    <t>幻术之书</t>
  </si>
  <si>
    <t>护咒之书</t>
  </si>
  <si>
    <t>皇家护胸</t>
  </si>
  <si>
    <t>凯旋腿甲</t>
  </si>
  <si>
    <t>银月头盔</t>
  </si>
  <si>
    <t>镇魂之戒</t>
  </si>
  <si>
    <t>魔鳞腰带</t>
  </si>
  <si>
    <t>天行者之靴</t>
  </si>
  <si>
    <t>遗忘石坠</t>
  </si>
  <si>
    <t>噬魂符剑</t>
  </si>
  <si>
    <t>反射壁垒</t>
  </si>
  <si>
    <t>巨龙之盾</t>
  </si>
  <si>
    <t>魂击长弓</t>
  </si>
  <si>
    <t>银矢箭筒</t>
  </si>
  <si>
    <t>日怒箭筒</t>
  </si>
  <si>
    <t>寒霜之怒</t>
  </si>
  <si>
    <t>遗忘魔典</t>
  </si>
  <si>
    <t>龙语入门</t>
  </si>
  <si>
    <t>血卫胸甲</t>
  </si>
  <si>
    <t>征服者护腿</t>
  </si>
  <si>
    <t>英勇战盔</t>
  </si>
  <si>
    <t>星宇指环</t>
  </si>
  <si>
    <t>远征腰带</t>
  </si>
  <si>
    <t>风暴长靴</t>
  </si>
  <si>
    <t>远征军护手</t>
  </si>
  <si>
    <t>悔恨之链</t>
  </si>
  <si>
    <t>毁灭之刃</t>
  </si>
  <si>
    <t>逐光巨剑</t>
  </si>
  <si>
    <t>灵魂壁垒</t>
  </si>
  <si>
    <t>暗之追猎者</t>
  </si>
  <si>
    <t>猎星箭袋</t>
  </si>
  <si>
    <t>无尽回响之杖</t>
  </si>
  <si>
    <t>日辉法杖</t>
  </si>
  <si>
    <t>星图指南</t>
  </si>
  <si>
    <t>明光战甲</t>
  </si>
  <si>
    <t>龙骑战甲</t>
  </si>
  <si>
    <t>深渊护腿</t>
  </si>
  <si>
    <t>光耀腿甲</t>
  </si>
  <si>
    <t>圣火指环</t>
  </si>
  <si>
    <t>统御腰带</t>
  </si>
  <si>
    <t>狱火战靴</t>
  </si>
  <si>
    <t>荣耀先驱护手</t>
  </si>
  <si>
    <t>救赎坠饰</t>
  </si>
  <si>
    <t>魂歌之刃</t>
  </si>
  <si>
    <t>命运</t>
  </si>
  <si>
    <t>日怒之盾</t>
  </si>
  <si>
    <t>憎恨之击</t>
  </si>
  <si>
    <t>日怒凰弓</t>
  </si>
  <si>
    <t>追噬之矢</t>
  </si>
  <si>
    <t>时轮金杖</t>
  </si>
  <si>
    <t>龙语秘典</t>
  </si>
  <si>
    <t>末世胸铠</t>
  </si>
  <si>
    <t>止战腿甲</t>
  </si>
  <si>
    <t>破碎之冠</t>
  </si>
  <si>
    <t>灵谕之戒</t>
  </si>
  <si>
    <t>怒涛腰带</t>
  </si>
  <si>
    <t>无影轻靴</t>
  </si>
  <si>
    <t>裂隙之手</t>
  </si>
  <si>
    <t>岁月永恒护符</t>
  </si>
  <si>
    <t>灰烬使者</t>
  </si>
  <si>
    <t>永恒之盾</t>
  </si>
  <si>
    <t>相位壁垒</t>
  </si>
  <si>
    <t>群星之怒</t>
  </si>
  <si>
    <t>逐日之矢</t>
  </si>
  <si>
    <t>瓦解法杖</t>
  </si>
  <si>
    <t>守护者之杖</t>
  </si>
  <si>
    <t>虚空魔典</t>
  </si>
  <si>
    <t>星界之书</t>
  </si>
  <si>
    <t>光铸胸甲</t>
  </si>
  <si>
    <t>碎界之铠</t>
  </si>
  <si>
    <t>虚灵护腿</t>
  </si>
  <si>
    <t>不朽护腿</t>
  </si>
  <si>
    <t>凛冬头盔</t>
  </si>
  <si>
    <t>地脉之环</t>
  </si>
  <si>
    <t>缚誓护腰</t>
  </si>
  <si>
    <t>踏冰长靴</t>
  </si>
  <si>
    <t>薄霜护手</t>
  </si>
  <si>
    <t>极光挂坠</t>
  </si>
  <si>
    <t>凌风之刃</t>
  </si>
  <si>
    <t>鸣醒之剑</t>
  </si>
  <si>
    <t>凯旋护盾</t>
  </si>
  <si>
    <t>集结护盾</t>
  </si>
  <si>
    <t>嚎风之息</t>
  </si>
  <si>
    <t>瞭天长弓</t>
  </si>
  <si>
    <t>疾鹰箭袋</t>
  </si>
  <si>
    <t>灵犀箭筒</t>
  </si>
  <si>
    <t>唤海长杖</t>
  </si>
  <si>
    <t>奥核之杖</t>
  </si>
  <si>
    <t>尘封遗典</t>
  </si>
  <si>
    <t>魔枢秘典</t>
  </si>
  <si>
    <t>守望胸甲</t>
  </si>
  <si>
    <t>冥铸之铠</t>
  </si>
  <si>
    <t>怜悯护腿</t>
  </si>
  <si>
    <t>魔痕护腿</t>
  </si>
  <si>
    <t>浴火战盔</t>
  </si>
  <si>
    <t>联合徽记</t>
  </si>
  <si>
    <t>怒岩腰带</t>
  </si>
  <si>
    <t>缚法之靴</t>
  </si>
  <si>
    <t>梦境护手</t>
  </si>
  <si>
    <t>亏蚀项链</t>
  </si>
  <si>
    <t>死寂之剑</t>
  </si>
  <si>
    <t>千魂之刃</t>
  </si>
  <si>
    <t>折戟之盾</t>
  </si>
  <si>
    <t>古石壁垒</t>
  </si>
  <si>
    <t>龙骨弯弓</t>
  </si>
  <si>
    <t>川流长弓</t>
  </si>
  <si>
    <t>荒原箭袋</t>
  </si>
  <si>
    <t>追逝箭袋</t>
  </si>
  <si>
    <t>显像符杖</t>
  </si>
  <si>
    <t>幻灭之杖</t>
  </si>
  <si>
    <t>王国古书</t>
  </si>
  <si>
    <t>上古纪事</t>
  </si>
  <si>
    <t>复仇战甲</t>
  </si>
  <si>
    <t>预兆胸甲</t>
  </si>
  <si>
    <t>迷失护腿</t>
  </si>
  <si>
    <t>幽影腿甲</t>
  </si>
  <si>
    <t>低语之冠</t>
  </si>
  <si>
    <t>神迹指环</t>
  </si>
  <si>
    <t>威严腰带</t>
  </si>
  <si>
    <t>统治长靴</t>
  </si>
  <si>
    <t>誓烈手甲</t>
  </si>
  <si>
    <t>漂泊者之链</t>
  </si>
  <si>
    <t>谦逊之剑</t>
  </si>
  <si>
    <t>破壁之刃</t>
  </si>
  <si>
    <t>邪铁盾牌</t>
  </si>
  <si>
    <t>埋骨之盾</t>
  </si>
  <si>
    <t>悔恨长弓</t>
  </si>
  <si>
    <t>祈圣之弓</t>
  </si>
  <si>
    <t>悲鸣箭筒</t>
  </si>
  <si>
    <t>咒逐箭筒</t>
  </si>
  <si>
    <t>归还法杖</t>
  </si>
  <si>
    <t>荒寂之杖</t>
  </si>
  <si>
    <t>幻咒秘语</t>
  </si>
  <si>
    <t>岁月之书</t>
  </si>
  <si>
    <t>梦魇胸甲</t>
  </si>
  <si>
    <t>鬼域战铠</t>
  </si>
  <si>
    <t>逝亡护腿</t>
  </si>
  <si>
    <t>泯灭护腿</t>
  </si>
  <si>
    <t>风暴之冠</t>
  </si>
  <si>
    <t>无尽智慧指环</t>
  </si>
  <si>
    <t>丰饶腰带</t>
  </si>
  <si>
    <t>秩序战靴</t>
  </si>
  <si>
    <t>超载护手</t>
  </si>
  <si>
    <t>寒霜之心</t>
  </si>
  <si>
    <t>封印之剑</t>
  </si>
  <si>
    <t>湮灭之剑</t>
  </si>
  <si>
    <t>灾祸之盾</t>
  </si>
  <si>
    <t>堕神之盾</t>
  </si>
  <si>
    <t>破晓之弓</t>
  </si>
  <si>
    <t>彗星之击</t>
  </si>
  <si>
    <t>灵痕箭袋</t>
  </si>
  <si>
    <t>星坠箭筒</t>
  </si>
  <si>
    <t>观察者之杖</t>
  </si>
  <si>
    <t>星辰权杖</t>
  </si>
  <si>
    <t>云河指南</t>
  </si>
  <si>
    <t>坚毅胸甲</t>
  </si>
  <si>
    <t>群山之拥</t>
  </si>
  <si>
    <t>复苏护腿</t>
  </si>
  <si>
    <t>虔信腿甲</t>
  </si>
  <si>
    <t>魂铸头盔</t>
  </si>
  <si>
    <t>云霄之环</t>
  </si>
  <si>
    <t>破天者腰带</t>
  </si>
  <si>
    <t>圣洁怒火之靴</t>
  </si>
  <si>
    <t>破灭之手</t>
  </si>
  <si>
    <t>圣灵之佑</t>
  </si>
  <si>
    <t>云颠之剑</t>
  </si>
  <si>
    <t>血色黎明</t>
  </si>
  <si>
    <t>荣耀壁垒</t>
  </si>
  <si>
    <t>曙光之盾</t>
  </si>
  <si>
    <t>灵魂之弦</t>
  </si>
  <si>
    <t>风暴凝视</t>
  </si>
  <si>
    <t>魂织箭袋</t>
  </si>
  <si>
    <t>闪电之矢</t>
  </si>
  <si>
    <t>歼灭之杖</t>
  </si>
  <si>
    <t>末日降临</t>
  </si>
  <si>
    <t>聚能魔典</t>
  </si>
  <si>
    <t>启示圣典</t>
  </si>
  <si>
    <t>湮没胸甲</t>
  </si>
  <si>
    <t>诸王战铠</t>
  </si>
  <si>
    <t>魂卫护腿</t>
  </si>
  <si>
    <t>天灾统领</t>
  </si>
  <si>
    <t>镇魂挽歌</t>
  </si>
  <si>
    <t>雷霆护腰</t>
  </si>
  <si>
    <t>星旅之靴</t>
  </si>
  <si>
    <t>泰坦之拳</t>
  </si>
  <si>
    <t>永志不渝</t>
  </si>
  <si>
    <t>毁天灭地</t>
  </si>
  <si>
    <t>叹息之墙</t>
  </si>
  <si>
    <t>苍穹怒火</t>
  </si>
  <si>
    <t>天际之矢</t>
  </si>
  <si>
    <t>混沌终幕</t>
  </si>
  <si>
    <t>埃提耶什，守护者的传说之杖</t>
  </si>
  <si>
    <t>决战之书</t>
  </si>
  <si>
    <t>诸界流声</t>
  </si>
  <si>
    <t>光明圣铠</t>
  </si>
  <si>
    <t>渡魂护腿</t>
  </si>
  <si>
    <t>涅磐腿甲</t>
  </si>
  <si>
    <t>103_3811_3811,104_7622_7622</t>
  </si>
  <si>
    <t>103_4019_4019,104_8038_8038</t>
  </si>
  <si>
    <t>103_4331_4331,104_8662_8662</t>
  </si>
  <si>
    <t>103_4552_4552,104_9105_9105</t>
  </si>
  <si>
    <t>103_4884_4884,104_9769_9769</t>
  </si>
  <si>
    <t>103_5119_5119,104_10238_10238</t>
  </si>
  <si>
    <t>103_5471_5471,104_10942_10942</t>
  </si>
  <si>
    <t>103_5719_5719,104_11438_11438</t>
  </si>
  <si>
    <t>103_6091_6091,104_12182_12182</t>
  </si>
  <si>
    <t>103_6352_6352,104_12705_12705</t>
  </si>
  <si>
    <t>103_6744_6744,104_13489_13489</t>
  </si>
  <si>
    <t>equipment/2123.png</t>
  </si>
  <si>
    <t>equipment/3013.png</t>
  </si>
  <si>
    <t>equipment/14013.png</t>
  </si>
  <si>
    <t>equipment/6014.png</t>
  </si>
  <si>
    <t>equipment/8014.png</t>
  </si>
  <si>
    <t>equipment/10012.png</t>
  </si>
  <si>
    <t>equipment/12013.png</t>
  </si>
  <si>
    <t>equipment/1126.png</t>
  </si>
  <si>
    <t>equipment/1127.png</t>
  </si>
  <si>
    <t>equipment/2121.png</t>
  </si>
  <si>
    <t>equipment/1225.png</t>
  </si>
  <si>
    <t>equipment/1226.png</t>
  </si>
  <si>
    <t>equipment/2219.png</t>
  </si>
  <si>
    <t>equipment/2220.png</t>
  </si>
  <si>
    <t>equipment/1326.png</t>
  </si>
  <si>
    <t>equipment/1325.png</t>
  </si>
  <si>
    <t>equipment/2319.png</t>
  </si>
  <si>
    <t>equipment/2321.png</t>
  </si>
  <si>
    <t>equipment/5019.png</t>
  </si>
  <si>
    <t>equipment/5020.png</t>
  </si>
  <si>
    <t>equipment/7019.png</t>
  </si>
  <si>
    <t>equipment/7020.png</t>
  </si>
  <si>
    <t>equipment/3015.png</t>
  </si>
  <si>
    <t>equipment/14014.png</t>
  </si>
  <si>
    <t>equipment/6015.png</t>
  </si>
  <si>
    <t>equipment/8015.png</t>
  </si>
  <si>
    <t>equipment/10016.png</t>
  </si>
  <si>
    <t>equipment/12015.png</t>
  </si>
  <si>
    <t>equipment/1130.png</t>
  </si>
  <si>
    <t>equipment/1125.png</t>
  </si>
  <si>
    <t>equipment/2122.png</t>
  </si>
  <si>
    <t>equipment/2120.png</t>
  </si>
  <si>
    <t>equipment/1227.png</t>
  </si>
  <si>
    <t>equipment/1229.png</t>
  </si>
  <si>
    <t>equipment/2222.png</t>
  </si>
  <si>
    <t>equipment/2223.png</t>
  </si>
  <si>
    <t>equipment/1327.png</t>
  </si>
  <si>
    <t>equipment/1329.png</t>
  </si>
  <si>
    <t>equipment/2320.png</t>
  </si>
  <si>
    <t>equipment/2322.png</t>
  </si>
  <si>
    <t>equipment/5021.png</t>
  </si>
  <si>
    <t>equipment/5022.png</t>
  </si>
  <si>
    <t>equipment/7022.png</t>
  </si>
  <si>
    <t>equipment/7021.png</t>
  </si>
  <si>
    <t>equipment/3014.png</t>
  </si>
  <si>
    <t>equipment/14012.png</t>
  </si>
  <si>
    <t>equipment/6013.png</t>
  </si>
  <si>
    <t>equipment/8012.png</t>
  </si>
  <si>
    <t>equipment/10013.png</t>
  </si>
  <si>
    <t>equipment/12014.png</t>
  </si>
  <si>
    <t>equipment/5018.png</t>
  </si>
  <si>
    <t>equipment/7018.png</t>
  </si>
  <si>
    <t>战火护手</t>
    <phoneticPr fontId="1" type="noConversion"/>
  </si>
  <si>
    <t>勇者束带</t>
    <phoneticPr fontId="1" type="noConversion"/>
  </si>
  <si>
    <t>equipment/1204.png</t>
  </si>
  <si>
    <t>equipment/1203.png</t>
  </si>
  <si>
    <t>勇者束带</t>
  </si>
  <si>
    <t>equipment/12012.png</t>
  </si>
  <si>
    <t>战火护手</t>
  </si>
  <si>
    <t>equipment/1128.png</t>
  </si>
  <si>
    <t>equipment/1129.png</t>
  </si>
  <si>
    <t>equipment/2124.png</t>
  </si>
  <si>
    <t>equipment/2125.png</t>
  </si>
  <si>
    <t>equipment/1228.png</t>
  </si>
  <si>
    <t>equipment/1230.png</t>
  </si>
  <si>
    <t>equipment/2224.png</t>
  </si>
  <si>
    <t>equipment/2221.png</t>
  </si>
  <si>
    <t>equipment/1331.png</t>
  </si>
  <si>
    <t>equipment/2323.png</t>
  </si>
  <si>
    <t>equipment/102301.png</t>
  </si>
  <si>
    <t>equipment/5023.png</t>
  </si>
  <si>
    <t>equipment/105001.png</t>
  </si>
  <si>
    <t>equipment/107001.png</t>
  </si>
  <si>
    <t>equipment/7023.png</t>
  </si>
  <si>
    <t>equipment/3012.png</t>
  </si>
  <si>
    <t>equipment/3017.png</t>
  </si>
  <si>
    <t>equipment/14015.png</t>
  </si>
  <si>
    <t>equipment/6017.png</t>
  </si>
  <si>
    <t>equipment/8016.png</t>
  </si>
  <si>
    <t>equipment/10014.png</t>
  </si>
  <si>
    <t>equipment/12016.png</t>
  </si>
  <si>
    <t>equipment/14016.png</t>
  </si>
  <si>
    <t>equipment/6016.png</t>
  </si>
  <si>
    <t>equipment/8017.png</t>
  </si>
  <si>
    <t>equipment/10017.png</t>
  </si>
  <si>
    <t>equipment/12017.png</t>
  </si>
  <si>
    <t>equipment/101101.png</t>
  </si>
  <si>
    <t>equipment/2119.png</t>
  </si>
  <si>
    <t>equipment/1231.png</t>
  </si>
  <si>
    <t>equipment/2225.png</t>
  </si>
  <si>
    <t>equipment/1330.png</t>
  </si>
  <si>
    <t>equipment/2325.png</t>
  </si>
  <si>
    <t>equipment/5024.png</t>
  </si>
  <si>
    <t>equipment/7016.png</t>
  </si>
  <si>
    <t>7,9</t>
  </si>
  <si>
    <t>10,13</t>
  </si>
  <si>
    <t>28,37</t>
  </si>
  <si>
    <t>37,48</t>
  </si>
  <si>
    <t>59,78</t>
  </si>
  <si>
    <t>77,101</t>
  </si>
  <si>
    <t>99,130</t>
  </si>
  <si>
    <t>129,169</t>
  </si>
  <si>
    <t>167,219</t>
  </si>
  <si>
    <t>154,203</t>
  </si>
  <si>
    <t>201,264</t>
  </si>
  <si>
    <t>214,280</t>
  </si>
  <si>
    <t>278,364</t>
  </si>
  <si>
    <t>269,353</t>
  </si>
  <si>
    <t>350,459</t>
  </si>
  <si>
    <t>338,444</t>
  </si>
  <si>
    <t>440,578</t>
  </si>
  <si>
    <t>456,599</t>
  </si>
  <si>
    <t>593,778</t>
  </si>
  <si>
    <t>515,676</t>
  </si>
  <si>
    <t>670,879</t>
  </si>
  <si>
    <t>626,821</t>
  </si>
  <si>
    <t>814,1068</t>
  </si>
  <si>
    <t>810,1063</t>
  </si>
  <si>
    <t>1053,1382</t>
  </si>
  <si>
    <t>975,1280</t>
  </si>
  <si>
    <t>1268,1664</t>
  </si>
  <si>
    <t>1150,1510</t>
  </si>
  <si>
    <t>1495,1962</t>
  </si>
  <si>
    <t>是否开放</t>
    <phoneticPr fontId="1" type="noConversion"/>
  </si>
  <si>
    <t>部位</t>
    <phoneticPr fontId="1" type="noConversion"/>
  </si>
  <si>
    <t>洗练消耗金币(washCoinCost)</t>
    <phoneticPr fontId="1" type="noConversion"/>
  </si>
  <si>
    <t>装备主属性(equipAttr)</t>
    <phoneticPr fontId="1" type="noConversion"/>
  </si>
  <si>
    <t>装备图标</t>
    <phoneticPr fontId="1" type="noConversion"/>
  </si>
  <si>
    <t>打孔消耗</t>
    <phoneticPr fontId="1" type="noConversion"/>
  </si>
  <si>
    <t>虚灵法杖</t>
    <phoneticPr fontId="1" type="noConversion"/>
  </si>
  <si>
    <t>觅心者长弓</t>
    <phoneticPr fontId="1" type="noConversion"/>
  </si>
  <si>
    <t>equipment/1219.png</t>
    <phoneticPr fontId="1" type="noConversion"/>
  </si>
  <si>
    <t>星级</t>
    <phoneticPr fontId="1" type="noConversion"/>
  </si>
  <si>
    <t>equipment/1328.png</t>
    <phoneticPr fontId="1" type="noConversion"/>
  </si>
  <si>
    <t>equipment/2324.png</t>
    <phoneticPr fontId="1" type="noConversion"/>
  </si>
  <si>
    <t>equipment/2217.png</t>
    <phoneticPr fontId="1" type="noConversion"/>
  </si>
  <si>
    <t>equipment/102101.png</t>
    <phoneticPr fontId="1" type="noConversion"/>
  </si>
  <si>
    <t>equipment/1131.png</t>
    <phoneticPr fontId="1" type="noConversion"/>
  </si>
  <si>
    <t>equipment/101201.png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</si>
</sst>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indexed="60"/>
      <name val="宋体"/>
      <family val="2"/>
      <charset val="134"/>
    </font>
    <font>
      <b/>
      <sz val="10"/>
      <color theme="1"/>
      <name val="Arial"/>
      <family val="2"/>
    </font>
    <font>
      <sz val="11"/>
      <color theme="1"/>
      <name val="宋体"/>
      <family val="2"/>
      <charset val="134"/>
    </font>
    <font>
      <sz val="9"/>
      <name val="宋体"/>
      <family val="3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2" borderId="1" xfId="1" applyBorder="1">
      <alignment vertical="center"/>
    </xf>
    <xf numFmtId="0" fontId="4" fillId="3" borderId="1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7" fillId="4" borderId="0" xfId="2" applyAlignment="1">
      <alignment horizontal="center" vertical="center"/>
    </xf>
    <xf numFmtId="49" fontId="8" fillId="4" borderId="0" xfId="2" applyNumberFormat="1" applyFont="1" applyAlignment="1">
      <alignment horizontal="center" vertical="center"/>
    </xf>
    <xf numFmtId="0" fontId="9" fillId="0" borderId="0" xfId="3" applyAlignment="1">
      <alignment horizontal="center" vertical="center"/>
    </xf>
    <xf numFmtId="0" fontId="10" fillId="0" borderId="0" xfId="3" applyFont="1" applyBorder="1" applyAlignment="1">
      <alignment horizontal="center" vertical="center"/>
    </xf>
    <xf numFmtId="0" fontId="10" fillId="0" borderId="0" xfId="3" applyFont="1">
      <alignment vertical="center"/>
    </xf>
    <xf numFmtId="0" fontId="10" fillId="0" borderId="0" xfId="3" applyFont="1" applyAlignment="1">
      <alignment horizontal="left" vertical="center"/>
    </xf>
  </cellXfs>
  <cellStyles count="4">
    <cellStyle name="差 2" xfId="1"/>
    <cellStyle name="常规" xfId="0" builtinId="0"/>
    <cellStyle name="警告文本" xfId="3" builtinId="11"/>
    <cellStyle name="适中" xfId="2" builtinId="2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5968;&#20540;&#35745;&#31639;/&#25512;&#3163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天天挂机经验"/>
      <sheetName val="数值拟合"/>
      <sheetName val="特效"/>
      <sheetName val="经验值"/>
      <sheetName val="等级属性"/>
      <sheetName val="强化规则"/>
      <sheetName val="战斗力成长"/>
      <sheetName val="装备属性设计"/>
      <sheetName val="地图强度"/>
      <sheetName val="佣兵培养"/>
      <sheetName val="魔兽估算"/>
      <sheetName val="神器强度"/>
      <sheetName val="神器经验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Y9">
            <v>54098.228202848964</v>
          </cell>
        </row>
      </sheetData>
      <sheetData sheetId="7">
        <row r="17">
          <cell r="A17">
            <v>70</v>
          </cell>
          <cell r="B17">
            <v>1620</v>
          </cell>
          <cell r="C17">
            <v>1280</v>
          </cell>
          <cell r="D17">
            <v>19200</v>
          </cell>
          <cell r="E17">
            <v>1280</v>
          </cell>
          <cell r="F17">
            <v>1844</v>
          </cell>
          <cell r="G17">
            <v>1984</v>
          </cell>
          <cell r="H17">
            <v>1280</v>
          </cell>
          <cell r="I17">
            <v>1844</v>
          </cell>
          <cell r="J17">
            <v>1984.3999999999999</v>
          </cell>
          <cell r="K17">
            <v>1280</v>
          </cell>
          <cell r="L17">
            <v>3522</v>
          </cell>
          <cell r="M17">
            <v>3691</v>
          </cell>
          <cell r="N17">
            <v>3080</v>
          </cell>
          <cell r="O17">
            <v>3188</v>
          </cell>
          <cell r="P17">
            <v>1720</v>
          </cell>
          <cell r="Q17">
            <v>9808</v>
          </cell>
          <cell r="R17">
            <v>10458</v>
          </cell>
          <cell r="S17" t="str">
            <v>103_3269_3269,104_6539_6539</v>
          </cell>
          <cell r="T17" t="str">
            <v>103_3486_3486,104_6972_6972</v>
          </cell>
          <cell r="U17">
            <v>1720</v>
          </cell>
          <cell r="V17">
            <v>2256</v>
          </cell>
          <cell r="W17">
            <v>1280</v>
          </cell>
          <cell r="X17">
            <v>2256</v>
          </cell>
          <cell r="Y17">
            <v>1280</v>
          </cell>
          <cell r="Z17">
            <v>442</v>
          </cell>
          <cell r="AA17">
            <v>1280</v>
          </cell>
          <cell r="AB17">
            <v>4189</v>
          </cell>
          <cell r="AC17">
            <v>1280</v>
          </cell>
        </row>
        <row r="18">
          <cell r="A18">
            <v>75</v>
          </cell>
          <cell r="B18">
            <v>1760</v>
          </cell>
          <cell r="C18">
            <v>1440</v>
          </cell>
          <cell r="D18">
            <v>21600</v>
          </cell>
          <cell r="E18">
            <v>1440</v>
          </cell>
          <cell r="F18">
            <v>2195</v>
          </cell>
          <cell r="G18">
            <v>2346</v>
          </cell>
          <cell r="H18">
            <v>1440</v>
          </cell>
          <cell r="I18">
            <v>2195</v>
          </cell>
          <cell r="J18">
            <v>2346.1999999999998</v>
          </cell>
          <cell r="K18">
            <v>1440</v>
          </cell>
          <cell r="L18">
            <v>3945</v>
          </cell>
          <cell r="M18">
            <v>4082</v>
          </cell>
          <cell r="N18">
            <v>3350</v>
          </cell>
          <cell r="O18">
            <v>3450</v>
          </cell>
          <cell r="P18">
            <v>1960</v>
          </cell>
          <cell r="Q18">
            <v>11433</v>
          </cell>
          <cell r="R18">
            <v>12057</v>
          </cell>
          <cell r="S18" t="str">
            <v>103_3811_3811,104_7622_7622</v>
          </cell>
          <cell r="T18" t="str">
            <v>103_4019_4019,104_8038_8038</v>
          </cell>
          <cell r="U18">
            <v>1960</v>
          </cell>
          <cell r="V18">
            <v>2633</v>
          </cell>
          <cell r="W18">
            <v>1440</v>
          </cell>
          <cell r="X18">
            <v>2633</v>
          </cell>
          <cell r="Y18">
            <v>1440</v>
          </cell>
          <cell r="Z18">
            <v>515</v>
          </cell>
          <cell r="AA18">
            <v>1440</v>
          </cell>
          <cell r="AB18">
            <v>4631</v>
          </cell>
          <cell r="AC18">
            <v>1440</v>
          </cell>
        </row>
        <row r="19">
          <cell r="A19">
            <v>80</v>
          </cell>
          <cell r="B19">
            <v>1900</v>
          </cell>
          <cell r="C19">
            <v>1621</v>
          </cell>
          <cell r="D19">
            <v>24080</v>
          </cell>
          <cell r="E19">
            <v>1621</v>
          </cell>
          <cell r="F19">
            <v>2573</v>
          </cell>
          <cell r="G19">
            <v>2739</v>
          </cell>
          <cell r="H19">
            <v>1621</v>
          </cell>
          <cell r="I19">
            <v>2573</v>
          </cell>
          <cell r="J19">
            <v>2739.4</v>
          </cell>
          <cell r="K19">
            <v>1621</v>
          </cell>
          <cell r="L19">
            <v>4288</v>
          </cell>
          <cell r="M19">
            <v>4419</v>
          </cell>
          <cell r="N19">
            <v>3610</v>
          </cell>
          <cell r="O19">
            <v>3680</v>
          </cell>
          <cell r="P19">
            <v>2292</v>
          </cell>
          <cell r="Q19">
            <v>12993</v>
          </cell>
          <cell r="R19">
            <v>13657</v>
          </cell>
          <cell r="S19" t="str">
            <v>103_4331_4331,104_8662_8662</v>
          </cell>
          <cell r="T19" t="str">
            <v>103_4552_4552,104_9105_9105</v>
          </cell>
          <cell r="U19">
            <v>2292</v>
          </cell>
          <cell r="V19">
            <v>3066</v>
          </cell>
          <cell r="W19">
            <v>1621</v>
          </cell>
          <cell r="X19">
            <v>3066</v>
          </cell>
          <cell r="Y19">
            <v>1621</v>
          </cell>
          <cell r="Z19">
            <v>568</v>
          </cell>
          <cell r="AA19">
            <v>1621</v>
          </cell>
          <cell r="AB19">
            <v>5067</v>
          </cell>
          <cell r="AC19">
            <v>1621</v>
          </cell>
        </row>
        <row r="20">
          <cell r="A20">
            <v>85</v>
          </cell>
          <cell r="B20">
            <v>2020</v>
          </cell>
          <cell r="C20">
            <v>1807</v>
          </cell>
          <cell r="D20">
            <v>27040</v>
          </cell>
          <cell r="E20">
            <v>1807</v>
          </cell>
          <cell r="F20">
            <v>2989</v>
          </cell>
          <cell r="G20">
            <v>3172</v>
          </cell>
          <cell r="H20">
            <v>1807</v>
          </cell>
          <cell r="I20">
            <v>2989</v>
          </cell>
          <cell r="J20">
            <v>3172.2</v>
          </cell>
          <cell r="K20">
            <v>1807</v>
          </cell>
          <cell r="L20">
            <v>4616</v>
          </cell>
          <cell r="M20">
            <v>4739</v>
          </cell>
          <cell r="N20">
            <v>3790</v>
          </cell>
          <cell r="O20">
            <v>3890</v>
          </cell>
          <cell r="P20">
            <v>2555</v>
          </cell>
          <cell r="Q20">
            <v>14653</v>
          </cell>
          <cell r="R20">
            <v>15357</v>
          </cell>
          <cell r="S20" t="str">
            <v>103_4884_4884,104_9769_9769</v>
          </cell>
          <cell r="T20" t="str">
            <v>103_5119_5119,104_10238_10238</v>
          </cell>
          <cell r="U20">
            <v>2555</v>
          </cell>
          <cell r="V20">
            <v>3672</v>
          </cell>
          <cell r="W20">
            <v>1807</v>
          </cell>
          <cell r="X20">
            <v>3672</v>
          </cell>
          <cell r="Y20">
            <v>1807</v>
          </cell>
          <cell r="Z20">
            <v>661</v>
          </cell>
          <cell r="AA20">
            <v>1807</v>
          </cell>
          <cell r="AB20">
            <v>5495</v>
          </cell>
          <cell r="AC20">
            <v>1807</v>
          </cell>
        </row>
        <row r="21">
          <cell r="A21">
            <v>90</v>
          </cell>
          <cell r="B21">
            <v>2150</v>
          </cell>
          <cell r="C21">
            <v>2002</v>
          </cell>
          <cell r="D21">
            <v>29800</v>
          </cell>
          <cell r="E21">
            <v>2002</v>
          </cell>
          <cell r="F21">
            <v>3447</v>
          </cell>
          <cell r="G21">
            <v>3603</v>
          </cell>
          <cell r="H21">
            <v>2002</v>
          </cell>
          <cell r="I21">
            <v>3447</v>
          </cell>
          <cell r="J21">
            <v>3603</v>
          </cell>
          <cell r="K21">
            <v>2002</v>
          </cell>
          <cell r="L21">
            <v>4924</v>
          </cell>
          <cell r="M21">
            <v>5147</v>
          </cell>
          <cell r="N21">
            <v>4040</v>
          </cell>
          <cell r="O21">
            <v>4140</v>
          </cell>
          <cell r="P21">
            <v>2829</v>
          </cell>
          <cell r="Q21">
            <v>16413</v>
          </cell>
          <cell r="R21">
            <v>17157</v>
          </cell>
          <cell r="S21" t="str">
            <v>103_5471_5471,104_10942_10942</v>
          </cell>
          <cell r="T21" t="str">
            <v>103_5719_5719,104_11438_11438</v>
          </cell>
          <cell r="U21">
            <v>2829</v>
          </cell>
          <cell r="V21">
            <v>4428</v>
          </cell>
          <cell r="W21">
            <v>2002</v>
          </cell>
          <cell r="X21">
            <v>4428</v>
          </cell>
          <cell r="Y21">
            <v>2002</v>
          </cell>
          <cell r="Z21">
            <v>715</v>
          </cell>
          <cell r="AA21">
            <v>2002</v>
          </cell>
          <cell r="AB21">
            <v>6155</v>
          </cell>
          <cell r="AC21">
            <v>2002</v>
          </cell>
        </row>
        <row r="22">
          <cell r="A22">
            <v>95</v>
          </cell>
          <cell r="B22">
            <v>2240</v>
          </cell>
          <cell r="C22">
            <v>2203</v>
          </cell>
          <cell r="D22">
            <v>32760</v>
          </cell>
          <cell r="E22">
            <v>2203</v>
          </cell>
          <cell r="F22">
            <v>3837</v>
          </cell>
          <cell r="G22">
            <v>4002</v>
          </cell>
          <cell r="H22">
            <v>2203</v>
          </cell>
          <cell r="I22">
            <v>3837</v>
          </cell>
          <cell r="J22">
            <v>4001.8</v>
          </cell>
          <cell r="K22">
            <v>2203</v>
          </cell>
          <cell r="L22">
            <v>5482</v>
          </cell>
          <cell r="M22">
            <v>5717</v>
          </cell>
          <cell r="N22">
            <v>4280</v>
          </cell>
          <cell r="O22">
            <v>4390</v>
          </cell>
          <cell r="P22">
            <v>3114</v>
          </cell>
          <cell r="Q22">
            <v>18273</v>
          </cell>
          <cell r="R22">
            <v>19057</v>
          </cell>
          <cell r="S22" t="str">
            <v>103_6091_6091,104_12182_12182</v>
          </cell>
          <cell r="T22" t="str">
            <v>103_6352_6352,104_12705_12705</v>
          </cell>
          <cell r="U22">
            <v>3114</v>
          </cell>
          <cell r="V22">
            <v>5346</v>
          </cell>
          <cell r="W22">
            <v>2203</v>
          </cell>
          <cell r="X22">
            <v>5346</v>
          </cell>
          <cell r="Y22">
            <v>2203</v>
          </cell>
          <cell r="Z22">
            <v>786</v>
          </cell>
          <cell r="AA22">
            <v>2203</v>
          </cell>
          <cell r="AB22">
            <v>6853</v>
          </cell>
          <cell r="AC22">
            <v>2203</v>
          </cell>
        </row>
        <row r="23">
          <cell r="A23">
            <v>100</v>
          </cell>
          <cell r="B23">
            <v>2360</v>
          </cell>
          <cell r="C23">
            <v>2411</v>
          </cell>
          <cell r="D23">
            <v>36120</v>
          </cell>
          <cell r="E23">
            <v>2411</v>
          </cell>
          <cell r="F23">
            <v>4249</v>
          </cell>
          <cell r="H23">
            <v>2411</v>
          </cell>
          <cell r="I23">
            <v>4249</v>
          </cell>
          <cell r="K23">
            <v>2411</v>
          </cell>
          <cell r="L23">
            <v>6070</v>
          </cell>
          <cell r="N23">
            <v>4560</v>
          </cell>
          <cell r="P23">
            <v>3408</v>
          </cell>
          <cell r="Q23">
            <v>20233</v>
          </cell>
          <cell r="S23" t="str">
            <v>103_6744_6744,104_13489_13489</v>
          </cell>
          <cell r="U23">
            <v>3408</v>
          </cell>
          <cell r="V23">
            <v>6460</v>
          </cell>
          <cell r="W23">
            <v>2411</v>
          </cell>
          <cell r="X23">
            <v>6460</v>
          </cell>
          <cell r="Y23">
            <v>2411</v>
          </cell>
          <cell r="Z23">
            <v>871</v>
          </cell>
          <cell r="AA23">
            <v>2411</v>
          </cell>
          <cell r="AB23">
            <v>7588</v>
          </cell>
          <cell r="AC23">
            <v>2411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795"/>
  <sheetViews>
    <sheetView tabSelected="1" topLeftCell="A398" workbookViewId="0">
      <pane xSplit="7" topLeftCell="L1" activePane="topRight" state="frozen"/>
      <selection pane="topRight" activeCell="Q413" sqref="Q413"/>
    </sheetView>
  </sheetViews>
  <sheetFormatPr defaultColWidth="9" defaultRowHeight="13.5"/>
  <cols>
    <col min="1" max="1" width="9.5" style="1" bestFit="1" customWidth="1"/>
    <col min="2" max="2" width="9" style="1"/>
    <col min="3" max="5" width="11.375" style="1" customWidth="1"/>
    <col min="6" max="6" width="14.75" style="1" customWidth="1"/>
    <col min="7" max="7" width="12.5" style="1" customWidth="1"/>
    <col min="8" max="8" width="18" style="10" customWidth="1"/>
    <col min="9" max="9" width="17.375" style="1" customWidth="1"/>
    <col min="10" max="10" width="27.375" style="1" customWidth="1"/>
    <col min="11" max="11" width="32.875" style="1" customWidth="1"/>
    <col min="12" max="12" width="28.625" style="1" customWidth="1"/>
    <col min="13" max="15" width="23.625" style="1" customWidth="1"/>
    <col min="16" max="16" width="28.75" style="1" customWidth="1"/>
    <col min="17" max="17" width="15.375" style="7" customWidth="1"/>
    <col min="18" max="23" width="9" style="1"/>
    <col min="24" max="24" width="8.5" style="1" customWidth="1"/>
    <col min="25" max="16384" width="9" style="1"/>
  </cols>
  <sheetData>
    <row r="1" spans="1:18">
      <c r="A1" s="1" t="s">
        <v>33</v>
      </c>
      <c r="B1" s="5"/>
    </row>
    <row r="2" spans="1:18" s="4" customFormat="1">
      <c r="B2" s="6"/>
      <c r="C2" s="4" t="s">
        <v>34</v>
      </c>
      <c r="D2" s="4" t="s">
        <v>366</v>
      </c>
      <c r="H2" s="11"/>
      <c r="Q2" s="8"/>
    </row>
    <row r="3" spans="1:18">
      <c r="A3" s="1" t="s">
        <v>0</v>
      </c>
      <c r="B3" s="5" t="s">
        <v>367</v>
      </c>
      <c r="C3" s="1" t="s">
        <v>1</v>
      </c>
      <c r="D3" t="s">
        <v>365</v>
      </c>
      <c r="E3" t="s">
        <v>365</v>
      </c>
      <c r="F3" s="1" t="s">
        <v>2</v>
      </c>
      <c r="G3" s="1" t="s">
        <v>3</v>
      </c>
      <c r="H3" s="10" t="s">
        <v>4</v>
      </c>
      <c r="I3" s="1" t="s">
        <v>5</v>
      </c>
      <c r="J3" s="1" t="s">
        <v>6</v>
      </c>
      <c r="K3" s="1" t="s">
        <v>7</v>
      </c>
      <c r="L3" s="1" t="s">
        <v>26</v>
      </c>
      <c r="M3" s="1" t="s">
        <v>28</v>
      </c>
      <c r="N3" s="1" t="s">
        <v>30</v>
      </c>
      <c r="O3" s="1" t="s">
        <v>2042</v>
      </c>
      <c r="P3" s="1" t="s">
        <v>2043</v>
      </c>
      <c r="Q3" s="7" t="s">
        <v>32</v>
      </c>
      <c r="R3" s="1" t="s">
        <v>2946</v>
      </c>
    </row>
    <row r="4" spans="1:18">
      <c r="A4" s="1" t="s">
        <v>18</v>
      </c>
      <c r="B4" s="5" t="s">
        <v>2040</v>
      </c>
      <c r="E4" t="s">
        <v>19</v>
      </c>
      <c r="F4" s="1" t="s">
        <v>20</v>
      </c>
      <c r="G4" s="1" t="s">
        <v>21</v>
      </c>
      <c r="H4" s="10" t="s">
        <v>22</v>
      </c>
      <c r="I4" s="1" t="s">
        <v>23</v>
      </c>
      <c r="J4" s="1" t="s">
        <v>24</v>
      </c>
      <c r="K4" s="1" t="s">
        <v>25</v>
      </c>
      <c r="L4" s="1" t="s">
        <v>27</v>
      </c>
      <c r="M4" s="1" t="s">
        <v>29</v>
      </c>
      <c r="N4" s="1" t="s">
        <v>31</v>
      </c>
      <c r="O4" s="1" t="s">
        <v>2041</v>
      </c>
      <c r="P4" s="1" t="s">
        <v>2044</v>
      </c>
    </row>
    <row r="5" spans="1:18" ht="14.25" thickBot="1">
      <c r="B5" s="5"/>
      <c r="D5"/>
      <c r="E5"/>
    </row>
    <row r="6" spans="1:18" ht="14.25" thickBot="1">
      <c r="A6" s="1" t="s">
        <v>35</v>
      </c>
      <c r="B6" s="2">
        <v>0</v>
      </c>
      <c r="C6" s="1" t="s">
        <v>2484</v>
      </c>
      <c r="D6" s="1" t="s">
        <v>8</v>
      </c>
      <c r="E6" s="1">
        <v>1</v>
      </c>
      <c r="F6" s="1">
        <v>1</v>
      </c>
      <c r="G6" s="1">
        <v>1</v>
      </c>
      <c r="H6" s="10">
        <v>0</v>
      </c>
      <c r="I6" s="1">
        <v>100</v>
      </c>
      <c r="J6" s="1">
        <v>5</v>
      </c>
      <c r="K6" s="1">
        <v>0</v>
      </c>
      <c r="L6" s="1">
        <v>0</v>
      </c>
      <c r="M6" s="1" t="s">
        <v>1797</v>
      </c>
      <c r="N6" s="1" t="s">
        <v>698</v>
      </c>
      <c r="O6" s="1">
        <v>0</v>
      </c>
      <c r="P6" s="1" t="s">
        <v>2335</v>
      </c>
      <c r="Q6" s="7" t="s">
        <v>2026</v>
      </c>
      <c r="R6" s="1">
        <v>0</v>
      </c>
    </row>
    <row r="7" spans="1:18" ht="14.25" thickBot="1">
      <c r="A7" s="1" t="s">
        <v>36</v>
      </c>
      <c r="B7" s="2">
        <v>0</v>
      </c>
      <c r="C7" s="1" t="s">
        <v>2485</v>
      </c>
      <c r="D7" s="1" t="s">
        <v>9</v>
      </c>
      <c r="E7" s="1">
        <v>2</v>
      </c>
      <c r="F7" s="1">
        <v>1</v>
      </c>
      <c r="G7" s="1">
        <v>1</v>
      </c>
      <c r="H7" s="10">
        <v>0</v>
      </c>
      <c r="I7" s="1">
        <v>100</v>
      </c>
      <c r="J7" s="1">
        <v>5</v>
      </c>
      <c r="K7" s="1">
        <v>0</v>
      </c>
      <c r="L7" s="1">
        <v>0</v>
      </c>
      <c r="M7" s="1" t="s">
        <v>1798</v>
      </c>
      <c r="N7" s="1" t="s">
        <v>698</v>
      </c>
      <c r="O7" s="1">
        <v>0</v>
      </c>
      <c r="P7" s="1" t="s">
        <v>2060</v>
      </c>
      <c r="Q7" s="7" t="s">
        <v>2027</v>
      </c>
      <c r="R7" s="1">
        <v>0</v>
      </c>
    </row>
    <row r="8" spans="1:18" ht="14.25" thickBot="1">
      <c r="A8" s="1" t="s">
        <v>37</v>
      </c>
      <c r="B8" s="2">
        <v>0</v>
      </c>
      <c r="C8" s="1" t="s">
        <v>2486</v>
      </c>
      <c r="D8" s="1" t="s">
        <v>10</v>
      </c>
      <c r="E8" s="1">
        <v>3</v>
      </c>
      <c r="F8" s="1">
        <v>1</v>
      </c>
      <c r="G8" s="1">
        <v>1</v>
      </c>
      <c r="H8" s="10">
        <v>0</v>
      </c>
      <c r="I8" s="1">
        <v>100</v>
      </c>
      <c r="J8" s="1">
        <v>5</v>
      </c>
      <c r="K8" s="1">
        <v>0</v>
      </c>
      <c r="L8" s="1">
        <v>0</v>
      </c>
      <c r="M8" s="1" t="s">
        <v>1799</v>
      </c>
      <c r="N8" s="1" t="s">
        <v>698</v>
      </c>
      <c r="O8" s="1">
        <v>0</v>
      </c>
      <c r="P8" s="1" t="s">
        <v>2060</v>
      </c>
      <c r="Q8" s="7" t="s">
        <v>2028</v>
      </c>
      <c r="R8" s="1">
        <v>0</v>
      </c>
    </row>
    <row r="9" spans="1:18" ht="14.25" thickBot="1">
      <c r="A9" s="1" t="s">
        <v>38</v>
      </c>
      <c r="B9" s="3">
        <v>1</v>
      </c>
      <c r="C9" s="1" t="s">
        <v>2487</v>
      </c>
      <c r="D9" s="1" t="s">
        <v>15</v>
      </c>
      <c r="E9" s="1">
        <v>8</v>
      </c>
      <c r="F9" s="1">
        <v>1</v>
      </c>
      <c r="G9" s="1">
        <v>1</v>
      </c>
      <c r="H9" s="10">
        <v>0</v>
      </c>
      <c r="I9" s="1">
        <v>100</v>
      </c>
      <c r="J9" s="1">
        <v>5</v>
      </c>
      <c r="K9" s="1">
        <v>0</v>
      </c>
      <c r="L9" s="1">
        <v>0</v>
      </c>
      <c r="M9" s="1" t="s">
        <v>1800</v>
      </c>
      <c r="N9" s="1" t="s">
        <v>698</v>
      </c>
      <c r="O9" s="1">
        <v>0</v>
      </c>
      <c r="P9" s="1" t="s">
        <v>2045</v>
      </c>
      <c r="Q9" s="7" t="s">
        <v>2029</v>
      </c>
      <c r="R9" s="1">
        <v>0</v>
      </c>
    </row>
    <row r="10" spans="1:18" ht="14.25" thickBot="1">
      <c r="A10" s="1" t="s">
        <v>39</v>
      </c>
      <c r="B10" s="3">
        <v>1</v>
      </c>
      <c r="C10" s="1" t="s">
        <v>2488</v>
      </c>
      <c r="D10" s="1" t="s">
        <v>16</v>
      </c>
      <c r="E10" s="1">
        <v>9</v>
      </c>
      <c r="F10" s="1">
        <v>1</v>
      </c>
      <c r="G10" s="1">
        <v>1</v>
      </c>
      <c r="H10" s="10">
        <v>0</v>
      </c>
      <c r="I10" s="1">
        <v>100</v>
      </c>
      <c r="J10" s="1">
        <v>5</v>
      </c>
      <c r="K10" s="1">
        <v>0</v>
      </c>
      <c r="L10" s="1">
        <v>0</v>
      </c>
      <c r="M10" s="1" t="s">
        <v>1801</v>
      </c>
      <c r="N10" s="1" t="s">
        <v>698</v>
      </c>
      <c r="O10" s="1">
        <v>0</v>
      </c>
      <c r="P10" s="1" t="s">
        <v>2045</v>
      </c>
      <c r="Q10" s="7" t="s">
        <v>2030</v>
      </c>
      <c r="R10" s="1">
        <v>0</v>
      </c>
    </row>
    <row r="11" spans="1:18" ht="14.25" thickBot="1">
      <c r="A11" s="1" t="s">
        <v>40</v>
      </c>
      <c r="B11" s="2">
        <v>0</v>
      </c>
      <c r="C11" s="1" t="s">
        <v>2489</v>
      </c>
      <c r="D11" s="1" t="s">
        <v>17</v>
      </c>
      <c r="E11" s="1">
        <v>10</v>
      </c>
      <c r="F11" s="1">
        <v>1</v>
      </c>
      <c r="G11" s="1">
        <v>1</v>
      </c>
      <c r="H11" s="10">
        <v>0</v>
      </c>
      <c r="I11" s="1">
        <v>100</v>
      </c>
      <c r="J11" s="1">
        <v>5</v>
      </c>
      <c r="K11" s="1">
        <v>0</v>
      </c>
      <c r="L11" s="1">
        <v>0</v>
      </c>
      <c r="M11" s="1" t="s">
        <v>1802</v>
      </c>
      <c r="N11" s="1" t="s">
        <v>698</v>
      </c>
      <c r="O11" s="1">
        <v>0</v>
      </c>
      <c r="P11" s="1" t="s">
        <v>2045</v>
      </c>
      <c r="Q11" s="7" t="s">
        <v>2031</v>
      </c>
      <c r="R11" s="1">
        <v>0</v>
      </c>
    </row>
    <row r="12" spans="1:18" ht="14.25" thickBot="1">
      <c r="A12" s="1" t="s">
        <v>41</v>
      </c>
      <c r="B12" s="3">
        <v>1</v>
      </c>
      <c r="C12" s="9" t="s">
        <v>2490</v>
      </c>
      <c r="D12" s="1" t="s">
        <v>12</v>
      </c>
      <c r="E12" s="1">
        <v>5</v>
      </c>
      <c r="F12" s="1">
        <v>1</v>
      </c>
      <c r="G12" s="1">
        <v>1</v>
      </c>
      <c r="H12" s="10" t="s">
        <v>2120</v>
      </c>
      <c r="I12" s="1">
        <v>100</v>
      </c>
      <c r="J12" s="1">
        <v>5</v>
      </c>
      <c r="K12" s="1">
        <v>0</v>
      </c>
      <c r="L12" s="1">
        <v>0</v>
      </c>
      <c r="M12" s="1" t="s">
        <v>2010</v>
      </c>
      <c r="N12" s="1" t="s">
        <v>698</v>
      </c>
      <c r="O12" s="1">
        <v>0</v>
      </c>
      <c r="P12" s="1" t="s">
        <v>2045</v>
      </c>
      <c r="Q12" s="7" t="s">
        <v>2032</v>
      </c>
      <c r="R12" s="1">
        <v>0</v>
      </c>
    </row>
    <row r="13" spans="1:18" ht="14.25" thickBot="1">
      <c r="A13" s="1" t="s">
        <v>42</v>
      </c>
      <c r="B13" s="3">
        <v>1</v>
      </c>
      <c r="C13" s="9" t="s">
        <v>2491</v>
      </c>
      <c r="D13" s="1" t="s">
        <v>12</v>
      </c>
      <c r="E13" s="1">
        <v>5</v>
      </c>
      <c r="F13" s="1">
        <v>1</v>
      </c>
      <c r="G13" s="1">
        <v>1</v>
      </c>
      <c r="H13" s="10" t="s">
        <v>2120</v>
      </c>
      <c r="I13" s="1">
        <v>400</v>
      </c>
      <c r="J13" s="1">
        <v>5</v>
      </c>
      <c r="K13" s="1">
        <v>0</v>
      </c>
      <c r="L13" s="1">
        <v>0</v>
      </c>
      <c r="M13" s="1" t="s">
        <v>2011</v>
      </c>
      <c r="N13" s="1" t="s">
        <v>698</v>
      </c>
      <c r="O13" s="1">
        <v>0</v>
      </c>
      <c r="P13" s="1" t="s">
        <v>2045</v>
      </c>
      <c r="Q13" s="7" t="s">
        <v>2123</v>
      </c>
      <c r="R13" s="1">
        <v>0</v>
      </c>
    </row>
    <row r="14" spans="1:18" ht="14.25" thickBot="1">
      <c r="A14" s="1" t="s">
        <v>43</v>
      </c>
      <c r="B14" s="3">
        <v>1</v>
      </c>
      <c r="C14" s="9" t="s">
        <v>2492</v>
      </c>
      <c r="D14" s="1" t="s">
        <v>13</v>
      </c>
      <c r="E14" s="1">
        <v>6</v>
      </c>
      <c r="F14" s="1">
        <v>1</v>
      </c>
      <c r="G14" s="1">
        <v>1</v>
      </c>
      <c r="H14" s="10" t="s">
        <v>2120</v>
      </c>
      <c r="I14" s="1">
        <v>100</v>
      </c>
      <c r="J14" s="1">
        <v>5</v>
      </c>
      <c r="K14" s="1">
        <v>0</v>
      </c>
      <c r="L14" s="1">
        <v>0</v>
      </c>
      <c r="M14" s="1" t="s">
        <v>1803</v>
      </c>
      <c r="N14" s="1" t="s">
        <v>698</v>
      </c>
      <c r="O14" s="1">
        <v>0</v>
      </c>
      <c r="P14" s="1" t="s">
        <v>2045</v>
      </c>
      <c r="Q14" s="7" t="s">
        <v>2033</v>
      </c>
      <c r="R14" s="1">
        <v>0</v>
      </c>
    </row>
    <row r="15" spans="1:18" ht="14.25" thickBot="1">
      <c r="A15" s="1" t="s">
        <v>44</v>
      </c>
      <c r="B15" s="2">
        <v>0</v>
      </c>
      <c r="C15" s="9" t="s">
        <v>2061</v>
      </c>
      <c r="D15" s="1" t="s">
        <v>13</v>
      </c>
      <c r="E15" s="1">
        <v>6</v>
      </c>
      <c r="F15" s="1">
        <v>1</v>
      </c>
      <c r="G15" s="1">
        <v>1</v>
      </c>
      <c r="H15" s="10" t="s">
        <v>2120</v>
      </c>
      <c r="I15" s="1">
        <v>400</v>
      </c>
      <c r="J15" s="1">
        <v>5</v>
      </c>
      <c r="K15" s="1">
        <v>0</v>
      </c>
      <c r="L15" s="1">
        <v>0</v>
      </c>
      <c r="M15" s="1" t="s">
        <v>1804</v>
      </c>
      <c r="N15" s="1" t="s">
        <v>698</v>
      </c>
      <c r="O15" s="1">
        <v>0</v>
      </c>
      <c r="P15" s="1" t="s">
        <v>2045</v>
      </c>
      <c r="Q15" s="7" t="s">
        <v>2033</v>
      </c>
      <c r="R15" s="1">
        <v>0</v>
      </c>
    </row>
    <row r="16" spans="1:18" ht="14.25" thickBot="1">
      <c r="A16" s="1" t="s">
        <v>45</v>
      </c>
      <c r="B16" s="3">
        <v>1</v>
      </c>
      <c r="C16" s="1" t="s">
        <v>2493</v>
      </c>
      <c r="D16" s="1" t="s">
        <v>12</v>
      </c>
      <c r="E16" s="1">
        <v>5</v>
      </c>
      <c r="F16" s="1">
        <v>1</v>
      </c>
      <c r="G16" s="1">
        <v>1</v>
      </c>
      <c r="H16" s="10" t="s">
        <v>2121</v>
      </c>
      <c r="I16" s="1">
        <v>100</v>
      </c>
      <c r="J16" s="1">
        <v>5</v>
      </c>
      <c r="K16" s="1">
        <v>0</v>
      </c>
      <c r="L16" s="1">
        <v>0</v>
      </c>
      <c r="M16" s="1" t="s">
        <v>2010</v>
      </c>
      <c r="N16" s="1" t="s">
        <v>698</v>
      </c>
      <c r="O16" s="1">
        <v>0</v>
      </c>
      <c r="P16" s="1" t="s">
        <v>2045</v>
      </c>
      <c r="Q16" s="7" t="s">
        <v>2034</v>
      </c>
      <c r="R16" s="1">
        <v>0</v>
      </c>
    </row>
    <row r="17" spans="1:18" ht="14.25" thickBot="1">
      <c r="A17" s="1" t="s">
        <v>46</v>
      </c>
      <c r="B17" s="3">
        <v>1</v>
      </c>
      <c r="C17" s="1" t="s">
        <v>2494</v>
      </c>
      <c r="D17" s="1" t="s">
        <v>12</v>
      </c>
      <c r="E17" s="1">
        <v>5</v>
      </c>
      <c r="F17" s="1">
        <v>1</v>
      </c>
      <c r="G17" s="1">
        <v>1</v>
      </c>
      <c r="H17" s="10" t="s">
        <v>2121</v>
      </c>
      <c r="I17" s="1">
        <v>400</v>
      </c>
      <c r="J17" s="1">
        <v>5</v>
      </c>
      <c r="K17" s="1">
        <v>0</v>
      </c>
      <c r="L17" s="1">
        <v>0</v>
      </c>
      <c r="M17" s="1" t="s">
        <v>2011</v>
      </c>
      <c r="N17" s="1" t="s">
        <v>698</v>
      </c>
      <c r="O17" s="1">
        <v>0</v>
      </c>
      <c r="P17" s="1" t="s">
        <v>2045</v>
      </c>
      <c r="Q17" s="7" t="s">
        <v>2124</v>
      </c>
      <c r="R17" s="1">
        <v>0</v>
      </c>
    </row>
    <row r="18" spans="1:18" ht="14.25" thickBot="1">
      <c r="A18" s="1" t="s">
        <v>47</v>
      </c>
      <c r="B18" s="3">
        <v>1</v>
      </c>
      <c r="C18" s="9" t="s">
        <v>2495</v>
      </c>
      <c r="D18" s="1" t="s">
        <v>13</v>
      </c>
      <c r="E18" s="1">
        <v>6</v>
      </c>
      <c r="F18" s="1">
        <v>1</v>
      </c>
      <c r="G18" s="1">
        <v>1</v>
      </c>
      <c r="H18" s="10" t="s">
        <v>2121</v>
      </c>
      <c r="I18" s="1">
        <v>100</v>
      </c>
      <c r="J18" s="1">
        <v>5</v>
      </c>
      <c r="K18" s="1">
        <v>0</v>
      </c>
      <c r="L18" s="1">
        <v>0</v>
      </c>
      <c r="M18" s="1" t="s">
        <v>1805</v>
      </c>
      <c r="N18" s="1" t="s">
        <v>698</v>
      </c>
      <c r="O18" s="1">
        <v>0</v>
      </c>
      <c r="P18" s="1" t="s">
        <v>2045</v>
      </c>
      <c r="Q18" s="7" t="s">
        <v>2035</v>
      </c>
      <c r="R18" s="1">
        <v>0</v>
      </c>
    </row>
    <row r="19" spans="1:18" ht="14.25" thickBot="1">
      <c r="A19" s="1" t="s">
        <v>48</v>
      </c>
      <c r="B19" s="2">
        <v>0</v>
      </c>
      <c r="C19" s="9" t="s">
        <v>2094</v>
      </c>
      <c r="D19" s="1" t="s">
        <v>13</v>
      </c>
      <c r="E19" s="1">
        <v>6</v>
      </c>
      <c r="F19" s="1">
        <v>1</v>
      </c>
      <c r="G19" s="1">
        <v>1</v>
      </c>
      <c r="H19" s="10" t="s">
        <v>2121</v>
      </c>
      <c r="I19" s="1">
        <v>400</v>
      </c>
      <c r="J19" s="1">
        <v>5</v>
      </c>
      <c r="K19" s="1">
        <v>0</v>
      </c>
      <c r="L19" s="1">
        <v>0</v>
      </c>
      <c r="M19" s="1" t="s">
        <v>1806</v>
      </c>
      <c r="N19" s="1" t="s">
        <v>698</v>
      </c>
      <c r="O19" s="1">
        <v>0</v>
      </c>
      <c r="P19" s="1" t="s">
        <v>2045</v>
      </c>
      <c r="Q19" s="7" t="s">
        <v>2035</v>
      </c>
      <c r="R19" s="1">
        <v>0</v>
      </c>
    </row>
    <row r="20" spans="1:18" ht="14.25" thickBot="1">
      <c r="A20" s="1" t="s">
        <v>49</v>
      </c>
      <c r="B20" s="3">
        <v>1</v>
      </c>
      <c r="C20" s="9" t="s">
        <v>2496</v>
      </c>
      <c r="D20" s="1" t="s">
        <v>12</v>
      </c>
      <c r="E20" s="1">
        <v>5</v>
      </c>
      <c r="F20" s="1">
        <v>1</v>
      </c>
      <c r="G20" s="1">
        <v>1</v>
      </c>
      <c r="H20" s="10" t="s">
        <v>2122</v>
      </c>
      <c r="I20" s="1">
        <v>100</v>
      </c>
      <c r="J20" s="1">
        <v>5</v>
      </c>
      <c r="K20" s="1">
        <v>0</v>
      </c>
      <c r="L20" s="1">
        <v>0</v>
      </c>
      <c r="M20" s="1" t="s">
        <v>2010</v>
      </c>
      <c r="N20" s="1" t="s">
        <v>698</v>
      </c>
      <c r="O20" s="1">
        <v>0</v>
      </c>
      <c r="P20" s="1" t="s">
        <v>2045</v>
      </c>
      <c r="Q20" s="7" t="s">
        <v>2036</v>
      </c>
      <c r="R20" s="1">
        <v>0</v>
      </c>
    </row>
    <row r="21" spans="1:18" ht="14.25" thickBot="1">
      <c r="A21" s="1" t="s">
        <v>50</v>
      </c>
      <c r="B21" s="3">
        <v>1</v>
      </c>
      <c r="C21" s="9" t="s">
        <v>2497</v>
      </c>
      <c r="D21" s="1" t="s">
        <v>12</v>
      </c>
      <c r="E21" s="1">
        <v>5</v>
      </c>
      <c r="F21" s="1">
        <v>1</v>
      </c>
      <c r="G21" s="1">
        <v>1</v>
      </c>
      <c r="H21" s="10" t="s">
        <v>2122</v>
      </c>
      <c r="I21" s="1">
        <v>400</v>
      </c>
      <c r="J21" s="1">
        <v>5</v>
      </c>
      <c r="K21" s="1">
        <v>0</v>
      </c>
      <c r="L21" s="1">
        <v>0</v>
      </c>
      <c r="M21" s="1" t="s">
        <v>2011</v>
      </c>
      <c r="N21" s="1" t="s">
        <v>698</v>
      </c>
      <c r="O21" s="1">
        <v>0</v>
      </c>
      <c r="P21" s="1" t="s">
        <v>2045</v>
      </c>
      <c r="Q21" s="7" t="s">
        <v>2125</v>
      </c>
      <c r="R21" s="1">
        <v>0</v>
      </c>
    </row>
    <row r="22" spans="1:18" ht="14.25" thickBot="1">
      <c r="A22" s="1" t="s">
        <v>51</v>
      </c>
      <c r="B22" s="3">
        <v>1</v>
      </c>
      <c r="C22" s="9" t="s">
        <v>2498</v>
      </c>
      <c r="D22" s="1" t="s">
        <v>13</v>
      </c>
      <c r="E22" s="1">
        <v>6</v>
      </c>
      <c r="F22" s="1">
        <v>1</v>
      </c>
      <c r="G22" s="1">
        <v>1</v>
      </c>
      <c r="H22" s="10" t="s">
        <v>2122</v>
      </c>
      <c r="I22" s="1">
        <v>100</v>
      </c>
      <c r="J22" s="1">
        <v>5</v>
      </c>
      <c r="K22" s="1">
        <v>0</v>
      </c>
      <c r="L22" s="1">
        <v>0</v>
      </c>
      <c r="M22" s="1" t="s">
        <v>1807</v>
      </c>
      <c r="N22" s="1" t="s">
        <v>698</v>
      </c>
      <c r="O22" s="1">
        <v>0</v>
      </c>
      <c r="P22" s="1" t="s">
        <v>2045</v>
      </c>
      <c r="Q22" s="7" t="s">
        <v>2037</v>
      </c>
      <c r="R22" s="1">
        <v>0</v>
      </c>
    </row>
    <row r="23" spans="1:18" ht="14.25" thickBot="1">
      <c r="A23" s="1" t="s">
        <v>52</v>
      </c>
      <c r="B23" s="2">
        <v>0</v>
      </c>
      <c r="C23" s="9" t="s">
        <v>2095</v>
      </c>
      <c r="D23" s="1" t="s">
        <v>13</v>
      </c>
      <c r="E23" s="1">
        <v>6</v>
      </c>
      <c r="F23" s="1">
        <v>1</v>
      </c>
      <c r="G23" s="1">
        <v>1</v>
      </c>
      <c r="H23" s="10" t="s">
        <v>2122</v>
      </c>
      <c r="I23" s="1">
        <v>400</v>
      </c>
      <c r="J23" s="1">
        <v>5</v>
      </c>
      <c r="K23" s="1">
        <v>0</v>
      </c>
      <c r="L23" s="1">
        <v>0</v>
      </c>
      <c r="M23" s="1" t="s">
        <v>1808</v>
      </c>
      <c r="N23" s="1" t="s">
        <v>698</v>
      </c>
      <c r="O23" s="1">
        <v>0</v>
      </c>
      <c r="P23" s="1" t="s">
        <v>2045</v>
      </c>
      <c r="Q23" s="7" t="s">
        <v>2037</v>
      </c>
      <c r="R23" s="1">
        <v>0</v>
      </c>
    </row>
    <row r="24" spans="1:18" ht="14.25" thickBot="1">
      <c r="A24" s="1" t="s">
        <v>53</v>
      </c>
      <c r="B24" s="3">
        <v>1</v>
      </c>
      <c r="C24" s="1" t="s">
        <v>2499</v>
      </c>
      <c r="D24" s="1" t="s">
        <v>11</v>
      </c>
      <c r="E24" s="1">
        <v>4</v>
      </c>
      <c r="F24" s="1">
        <v>1</v>
      </c>
      <c r="G24" s="1">
        <v>1</v>
      </c>
      <c r="H24" s="10">
        <v>0</v>
      </c>
      <c r="I24" s="1">
        <v>100</v>
      </c>
      <c r="J24" s="1">
        <v>5</v>
      </c>
      <c r="K24" s="1">
        <v>0</v>
      </c>
      <c r="L24" s="1">
        <v>0</v>
      </c>
      <c r="M24" s="1" t="s">
        <v>1809</v>
      </c>
      <c r="N24" s="1" t="s">
        <v>698</v>
      </c>
      <c r="O24" s="1">
        <v>0</v>
      </c>
      <c r="P24" s="1" t="s">
        <v>2045</v>
      </c>
      <c r="Q24" s="7" t="s">
        <v>2038</v>
      </c>
      <c r="R24" s="1">
        <v>0</v>
      </c>
    </row>
    <row r="25" spans="1:18" ht="14.25" thickBot="1">
      <c r="A25" s="1" t="s">
        <v>54</v>
      </c>
      <c r="B25" s="2">
        <v>0</v>
      </c>
      <c r="C25" s="1" t="s">
        <v>2499</v>
      </c>
      <c r="D25" s="1" t="s">
        <v>11</v>
      </c>
      <c r="E25" s="1">
        <v>4</v>
      </c>
      <c r="F25" s="1">
        <v>1</v>
      </c>
      <c r="G25" s="1">
        <v>1</v>
      </c>
      <c r="H25" s="10">
        <v>0</v>
      </c>
      <c r="I25" s="1">
        <v>400</v>
      </c>
      <c r="J25" s="1">
        <v>5</v>
      </c>
      <c r="K25" s="1">
        <v>0</v>
      </c>
      <c r="L25" s="1">
        <v>0</v>
      </c>
      <c r="M25" s="1" t="s">
        <v>1810</v>
      </c>
      <c r="N25" s="1" t="s">
        <v>698</v>
      </c>
      <c r="O25" s="1">
        <v>0</v>
      </c>
      <c r="P25" s="1" t="s">
        <v>2045</v>
      </c>
      <c r="Q25" s="7" t="s">
        <v>2038</v>
      </c>
      <c r="R25" s="1">
        <v>0</v>
      </c>
    </row>
    <row r="26" spans="1:18" ht="14.25" thickBot="1">
      <c r="A26" s="1" t="s">
        <v>55</v>
      </c>
      <c r="B26" s="2">
        <v>0</v>
      </c>
      <c r="C26" s="1" t="s">
        <v>2500</v>
      </c>
      <c r="D26" s="1" t="s">
        <v>14</v>
      </c>
      <c r="E26" s="1">
        <v>7</v>
      </c>
      <c r="F26" s="1">
        <v>1</v>
      </c>
      <c r="G26" s="1">
        <v>1</v>
      </c>
      <c r="H26" s="10">
        <v>0</v>
      </c>
      <c r="I26" s="1">
        <v>100</v>
      </c>
      <c r="J26" s="1">
        <v>5</v>
      </c>
      <c r="K26" s="1">
        <v>0</v>
      </c>
      <c r="L26" s="1">
        <v>0</v>
      </c>
      <c r="M26" s="1" t="s">
        <v>1811</v>
      </c>
      <c r="N26" s="1" t="s">
        <v>698</v>
      </c>
      <c r="O26" s="1">
        <v>0</v>
      </c>
      <c r="P26" s="1" t="s">
        <v>2045</v>
      </c>
      <c r="Q26" s="7" t="s">
        <v>2039</v>
      </c>
      <c r="R26" s="1">
        <v>0</v>
      </c>
    </row>
    <row r="27" spans="1:18" ht="14.25" thickBot="1">
      <c r="A27" s="1" t="s">
        <v>56</v>
      </c>
      <c r="B27" s="2">
        <v>0</v>
      </c>
      <c r="C27" s="1" t="s">
        <v>2501</v>
      </c>
      <c r="D27" s="1" t="s">
        <v>14</v>
      </c>
      <c r="E27" s="1">
        <v>7</v>
      </c>
      <c r="F27" s="1">
        <v>1</v>
      </c>
      <c r="G27" s="1">
        <v>1</v>
      </c>
      <c r="H27" s="10">
        <v>0</v>
      </c>
      <c r="I27" s="1">
        <v>400</v>
      </c>
      <c r="J27" s="1">
        <v>5</v>
      </c>
      <c r="K27" s="1">
        <v>0</v>
      </c>
      <c r="L27" s="1">
        <v>0</v>
      </c>
      <c r="M27" s="1" t="s">
        <v>1812</v>
      </c>
      <c r="N27" s="1" t="s">
        <v>698</v>
      </c>
      <c r="O27" s="1">
        <v>0</v>
      </c>
      <c r="P27" s="1" t="s">
        <v>2045</v>
      </c>
      <c r="Q27" s="7" t="s">
        <v>2039</v>
      </c>
      <c r="R27" s="1">
        <v>0</v>
      </c>
    </row>
    <row r="28" spans="1:18" ht="14.25" thickBot="1">
      <c r="A28" s="1" t="s">
        <v>57</v>
      </c>
      <c r="B28" s="3">
        <v>1</v>
      </c>
      <c r="C28" s="1" t="s">
        <v>2484</v>
      </c>
      <c r="D28" s="1" t="s">
        <v>8</v>
      </c>
      <c r="E28" s="1">
        <v>1</v>
      </c>
      <c r="F28" s="1">
        <v>1</v>
      </c>
      <c r="G28" s="1">
        <v>5</v>
      </c>
      <c r="H28" s="10">
        <v>0</v>
      </c>
      <c r="I28" s="1">
        <v>500</v>
      </c>
      <c r="J28" s="1">
        <v>5</v>
      </c>
      <c r="K28" s="1">
        <v>0</v>
      </c>
      <c r="L28" s="1">
        <v>0</v>
      </c>
      <c r="M28" s="1" t="s">
        <v>1813</v>
      </c>
      <c r="N28" s="1" t="s">
        <v>698</v>
      </c>
      <c r="O28" s="1">
        <v>0</v>
      </c>
      <c r="P28" s="1" t="s">
        <v>2046</v>
      </c>
      <c r="Q28" s="7" t="s">
        <v>2026</v>
      </c>
      <c r="R28" s="1">
        <v>0</v>
      </c>
    </row>
    <row r="29" spans="1:18" ht="14.25" thickBot="1">
      <c r="A29" s="1" t="s">
        <v>58</v>
      </c>
      <c r="B29" s="3">
        <v>1</v>
      </c>
      <c r="C29" s="1" t="s">
        <v>2485</v>
      </c>
      <c r="D29" s="1" t="s">
        <v>9</v>
      </c>
      <c r="E29" s="1">
        <v>2</v>
      </c>
      <c r="F29" s="1">
        <v>1</v>
      </c>
      <c r="G29" s="1">
        <v>5</v>
      </c>
      <c r="H29" s="10">
        <v>0</v>
      </c>
      <c r="I29" s="1">
        <v>500</v>
      </c>
      <c r="J29" s="1">
        <v>5</v>
      </c>
      <c r="K29" s="1">
        <v>0</v>
      </c>
      <c r="L29" s="1">
        <v>0</v>
      </c>
      <c r="M29" s="1" t="s">
        <v>1814</v>
      </c>
      <c r="N29" s="1" t="s">
        <v>698</v>
      </c>
      <c r="O29" s="1">
        <v>0</v>
      </c>
      <c r="P29" s="1" t="s">
        <v>2046</v>
      </c>
      <c r="Q29" s="7" t="s">
        <v>2027</v>
      </c>
      <c r="R29" s="1">
        <v>0</v>
      </c>
    </row>
    <row r="30" spans="1:18" ht="14.25" thickBot="1">
      <c r="A30" s="1" t="s">
        <v>59</v>
      </c>
      <c r="B30" s="3">
        <v>1</v>
      </c>
      <c r="C30" s="1" t="s">
        <v>2486</v>
      </c>
      <c r="D30" s="1" t="s">
        <v>10</v>
      </c>
      <c r="E30" s="1">
        <v>3</v>
      </c>
      <c r="F30" s="1">
        <v>1</v>
      </c>
      <c r="G30" s="1">
        <v>5</v>
      </c>
      <c r="H30" s="10">
        <v>0</v>
      </c>
      <c r="I30" s="1">
        <v>500</v>
      </c>
      <c r="J30" s="1">
        <v>5</v>
      </c>
      <c r="K30" s="1">
        <v>0</v>
      </c>
      <c r="L30" s="1">
        <v>0</v>
      </c>
      <c r="M30" s="1" t="s">
        <v>1799</v>
      </c>
      <c r="N30" s="1" t="s">
        <v>698</v>
      </c>
      <c r="O30" s="1">
        <v>0</v>
      </c>
      <c r="P30" s="1" t="s">
        <v>2046</v>
      </c>
      <c r="Q30" s="7" t="s">
        <v>2028</v>
      </c>
      <c r="R30" s="1">
        <v>0</v>
      </c>
    </row>
    <row r="31" spans="1:18" ht="14.25" thickBot="1">
      <c r="A31" s="1" t="s">
        <v>60</v>
      </c>
      <c r="B31" s="2">
        <v>0</v>
      </c>
      <c r="C31" s="1" t="s">
        <v>2487</v>
      </c>
      <c r="D31" s="1" t="s">
        <v>15</v>
      </c>
      <c r="E31" s="1">
        <v>8</v>
      </c>
      <c r="F31" s="1">
        <v>1</v>
      </c>
      <c r="G31" s="1">
        <v>5</v>
      </c>
      <c r="H31" s="10">
        <v>0</v>
      </c>
      <c r="I31" s="1">
        <v>500</v>
      </c>
      <c r="J31" s="1">
        <v>5</v>
      </c>
      <c r="K31" s="1">
        <v>0</v>
      </c>
      <c r="L31" s="1">
        <v>0</v>
      </c>
      <c r="M31" s="1" t="s">
        <v>1815</v>
      </c>
      <c r="N31" s="1" t="s">
        <v>698</v>
      </c>
      <c r="O31" s="1">
        <v>0</v>
      </c>
      <c r="P31" s="1" t="s">
        <v>2046</v>
      </c>
      <c r="Q31" s="7" t="s">
        <v>2029</v>
      </c>
      <c r="R31" s="1">
        <v>0</v>
      </c>
    </row>
    <row r="32" spans="1:18" ht="14.25" thickBot="1">
      <c r="A32" s="1" t="s">
        <v>61</v>
      </c>
      <c r="B32" s="2">
        <v>0</v>
      </c>
      <c r="C32" s="1" t="s">
        <v>2488</v>
      </c>
      <c r="D32" s="1" t="s">
        <v>16</v>
      </c>
      <c r="E32" s="1">
        <v>9</v>
      </c>
      <c r="F32" s="1">
        <v>1</v>
      </c>
      <c r="G32" s="1">
        <v>5</v>
      </c>
      <c r="H32" s="10">
        <v>0</v>
      </c>
      <c r="I32" s="1">
        <v>500</v>
      </c>
      <c r="J32" s="1">
        <v>5</v>
      </c>
      <c r="K32" s="1">
        <v>0</v>
      </c>
      <c r="L32" s="1">
        <v>0</v>
      </c>
      <c r="M32" s="1" t="s">
        <v>1816</v>
      </c>
      <c r="N32" s="1" t="s">
        <v>698</v>
      </c>
      <c r="O32" s="1">
        <v>0</v>
      </c>
      <c r="P32" s="1" t="s">
        <v>2046</v>
      </c>
      <c r="Q32" s="7" t="s">
        <v>2030</v>
      </c>
      <c r="R32" s="1">
        <v>0</v>
      </c>
    </row>
    <row r="33" spans="1:18" ht="14.25" thickBot="1">
      <c r="A33" s="1" t="s">
        <v>62</v>
      </c>
      <c r="B33" s="3">
        <v>1</v>
      </c>
      <c r="C33" s="1" t="s">
        <v>2489</v>
      </c>
      <c r="D33" s="1" t="s">
        <v>17</v>
      </c>
      <c r="E33" s="1">
        <v>10</v>
      </c>
      <c r="F33" s="1">
        <v>1</v>
      </c>
      <c r="G33" s="1">
        <v>5</v>
      </c>
      <c r="H33" s="10">
        <v>0</v>
      </c>
      <c r="I33" s="1">
        <v>500</v>
      </c>
      <c r="J33" s="1">
        <v>5</v>
      </c>
      <c r="K33" s="1">
        <v>0</v>
      </c>
      <c r="L33" s="1">
        <v>0</v>
      </c>
      <c r="M33" s="1" t="s">
        <v>1817</v>
      </c>
      <c r="N33" s="1" t="s">
        <v>698</v>
      </c>
      <c r="O33" s="1">
        <v>0</v>
      </c>
      <c r="P33" s="1" t="s">
        <v>2046</v>
      </c>
      <c r="Q33" s="7" t="s">
        <v>2031</v>
      </c>
      <c r="R33" s="1">
        <v>0</v>
      </c>
    </row>
    <row r="34" spans="1:18" ht="14.25" thickBot="1">
      <c r="A34" s="1" t="s">
        <v>63</v>
      </c>
      <c r="B34" s="3">
        <v>1</v>
      </c>
      <c r="C34" s="9" t="s">
        <v>2502</v>
      </c>
      <c r="D34" s="1" t="s">
        <v>12</v>
      </c>
      <c r="E34" s="1">
        <v>5</v>
      </c>
      <c r="F34" s="1">
        <v>1</v>
      </c>
      <c r="G34" s="1">
        <v>5</v>
      </c>
      <c r="H34" s="10" t="s">
        <v>2120</v>
      </c>
      <c r="I34" s="1">
        <v>500</v>
      </c>
      <c r="J34" s="1">
        <v>5</v>
      </c>
      <c r="K34" s="1">
        <v>0</v>
      </c>
      <c r="L34" s="1">
        <v>0</v>
      </c>
      <c r="M34" s="1" t="s">
        <v>1818</v>
      </c>
      <c r="N34" s="1" t="s">
        <v>698</v>
      </c>
      <c r="O34" s="1">
        <v>0</v>
      </c>
      <c r="P34" s="1" t="s">
        <v>2046</v>
      </c>
      <c r="Q34" s="7" t="s">
        <v>2126</v>
      </c>
      <c r="R34" s="1">
        <v>0</v>
      </c>
    </row>
    <row r="35" spans="1:18" ht="14.25" thickBot="1">
      <c r="A35" s="1" t="s">
        <v>64</v>
      </c>
      <c r="B35" s="3">
        <v>1</v>
      </c>
      <c r="C35" s="9" t="s">
        <v>2503</v>
      </c>
      <c r="D35" s="1" t="s">
        <v>12</v>
      </c>
      <c r="E35" s="1">
        <v>5</v>
      </c>
      <c r="F35" s="1">
        <v>1</v>
      </c>
      <c r="G35" s="1">
        <v>5</v>
      </c>
      <c r="H35" s="10" t="s">
        <v>2120</v>
      </c>
      <c r="I35" s="1">
        <v>800</v>
      </c>
      <c r="J35" s="1">
        <v>5</v>
      </c>
      <c r="K35" s="1">
        <v>0</v>
      </c>
      <c r="L35" s="1">
        <v>0</v>
      </c>
      <c r="M35" s="1" t="s">
        <v>2012</v>
      </c>
      <c r="N35" s="1" t="s">
        <v>698</v>
      </c>
      <c r="O35" s="1">
        <v>0</v>
      </c>
      <c r="P35" s="1" t="s">
        <v>2046</v>
      </c>
      <c r="Q35" s="7" t="s">
        <v>2127</v>
      </c>
      <c r="R35" s="1">
        <v>0</v>
      </c>
    </row>
    <row r="36" spans="1:18" ht="14.25" thickBot="1">
      <c r="A36" s="1" t="s">
        <v>65</v>
      </c>
      <c r="B36" s="3">
        <v>1</v>
      </c>
      <c r="C36" s="9" t="s">
        <v>2061</v>
      </c>
      <c r="D36" s="1" t="s">
        <v>13</v>
      </c>
      <c r="E36" s="1">
        <v>6</v>
      </c>
      <c r="F36" s="1">
        <v>1</v>
      </c>
      <c r="G36" s="1">
        <v>5</v>
      </c>
      <c r="H36" s="10" t="s">
        <v>2120</v>
      </c>
      <c r="I36" s="1">
        <v>500</v>
      </c>
      <c r="J36" s="1">
        <v>5</v>
      </c>
      <c r="K36" s="1">
        <v>0</v>
      </c>
      <c r="L36" s="1">
        <v>0</v>
      </c>
      <c r="M36" s="1" t="s">
        <v>1819</v>
      </c>
      <c r="N36" s="1" t="s">
        <v>698</v>
      </c>
      <c r="O36" s="1">
        <v>0</v>
      </c>
      <c r="P36" s="1" t="s">
        <v>2046</v>
      </c>
      <c r="Q36" s="7" t="s">
        <v>2128</v>
      </c>
      <c r="R36" s="1">
        <v>0</v>
      </c>
    </row>
    <row r="37" spans="1:18" ht="14.25" thickBot="1">
      <c r="A37" s="1" t="s">
        <v>66</v>
      </c>
      <c r="B37" s="2">
        <v>0</v>
      </c>
      <c r="C37" s="9" t="s">
        <v>2061</v>
      </c>
      <c r="D37" s="1" t="s">
        <v>13</v>
      </c>
      <c r="E37" s="1">
        <v>6</v>
      </c>
      <c r="F37" s="1">
        <v>1</v>
      </c>
      <c r="G37" s="1">
        <v>5</v>
      </c>
      <c r="H37" s="10" t="s">
        <v>2120</v>
      </c>
      <c r="I37" s="1">
        <v>800</v>
      </c>
      <c r="J37" s="1">
        <v>5</v>
      </c>
      <c r="K37" s="1">
        <v>0</v>
      </c>
      <c r="L37" s="1">
        <v>0</v>
      </c>
      <c r="M37" s="1" t="s">
        <v>1820</v>
      </c>
      <c r="N37" s="1" t="s">
        <v>698</v>
      </c>
      <c r="O37" s="1">
        <v>0</v>
      </c>
      <c r="P37" s="1" t="s">
        <v>2046</v>
      </c>
      <c r="Q37" s="7" t="s">
        <v>2033</v>
      </c>
      <c r="R37" s="1">
        <v>0</v>
      </c>
    </row>
    <row r="38" spans="1:18" ht="14.25" thickBot="1">
      <c r="A38" s="1" t="s">
        <v>67</v>
      </c>
      <c r="B38" s="3">
        <v>1</v>
      </c>
      <c r="C38" s="1" t="s">
        <v>2504</v>
      </c>
      <c r="D38" s="1" t="s">
        <v>12</v>
      </c>
      <c r="E38" s="1">
        <v>5</v>
      </c>
      <c r="F38" s="1">
        <v>1</v>
      </c>
      <c r="G38" s="1">
        <v>5</v>
      </c>
      <c r="H38" s="10" t="s">
        <v>2121</v>
      </c>
      <c r="I38" s="1">
        <v>500</v>
      </c>
      <c r="J38" s="1">
        <v>5</v>
      </c>
      <c r="K38" s="1">
        <v>0</v>
      </c>
      <c r="L38" s="1">
        <v>0</v>
      </c>
      <c r="M38" s="1" t="s">
        <v>1818</v>
      </c>
      <c r="N38" s="1" t="s">
        <v>698</v>
      </c>
      <c r="O38" s="1">
        <v>0</v>
      </c>
      <c r="P38" s="1" t="s">
        <v>2046</v>
      </c>
      <c r="Q38" s="7" t="s">
        <v>2868</v>
      </c>
      <c r="R38" s="1">
        <v>0</v>
      </c>
    </row>
    <row r="39" spans="1:18" ht="14.25" thickBot="1">
      <c r="A39" s="1" t="s">
        <v>68</v>
      </c>
      <c r="B39" s="3">
        <v>1</v>
      </c>
      <c r="C39" s="1" t="s">
        <v>2505</v>
      </c>
      <c r="D39" s="1" t="s">
        <v>12</v>
      </c>
      <c r="E39" s="1">
        <v>5</v>
      </c>
      <c r="F39" s="1">
        <v>1</v>
      </c>
      <c r="G39" s="1">
        <v>5</v>
      </c>
      <c r="H39" s="10" t="s">
        <v>2121</v>
      </c>
      <c r="I39" s="1">
        <v>800</v>
      </c>
      <c r="J39" s="1">
        <v>5</v>
      </c>
      <c r="K39" s="1">
        <v>0</v>
      </c>
      <c r="L39" s="1">
        <v>0</v>
      </c>
      <c r="M39" s="1" t="s">
        <v>2012</v>
      </c>
      <c r="N39" s="1" t="s">
        <v>698</v>
      </c>
      <c r="O39" s="1">
        <v>0</v>
      </c>
      <c r="P39" s="1" t="s">
        <v>2046</v>
      </c>
      <c r="Q39" s="7" t="s">
        <v>2869</v>
      </c>
      <c r="R39" s="1">
        <v>0</v>
      </c>
    </row>
    <row r="40" spans="1:18" ht="14.25" thickBot="1">
      <c r="A40" s="1" t="s">
        <v>69</v>
      </c>
      <c r="B40" s="3">
        <v>1</v>
      </c>
      <c r="C40" s="9" t="s">
        <v>2094</v>
      </c>
      <c r="D40" s="1" t="s">
        <v>13</v>
      </c>
      <c r="E40" s="1">
        <v>6</v>
      </c>
      <c r="F40" s="1">
        <v>1</v>
      </c>
      <c r="G40" s="1">
        <v>5</v>
      </c>
      <c r="H40" s="10" t="s">
        <v>2121</v>
      </c>
      <c r="I40" s="1">
        <v>500</v>
      </c>
      <c r="J40" s="1">
        <v>5</v>
      </c>
      <c r="K40" s="1">
        <v>0</v>
      </c>
      <c r="L40" s="1">
        <v>0</v>
      </c>
      <c r="M40" s="1" t="s">
        <v>1821</v>
      </c>
      <c r="N40" s="1" t="s">
        <v>698</v>
      </c>
      <c r="O40" s="1">
        <v>0</v>
      </c>
      <c r="P40" s="1" t="s">
        <v>2046</v>
      </c>
      <c r="Q40" s="7" t="s">
        <v>2129</v>
      </c>
      <c r="R40" s="1">
        <v>0</v>
      </c>
    </row>
    <row r="41" spans="1:18" ht="14.25" thickBot="1">
      <c r="A41" s="1" t="s">
        <v>70</v>
      </c>
      <c r="B41" s="2">
        <v>0</v>
      </c>
      <c r="C41" s="9" t="s">
        <v>2094</v>
      </c>
      <c r="D41" s="1" t="s">
        <v>13</v>
      </c>
      <c r="E41" s="1">
        <v>6</v>
      </c>
      <c r="F41" s="1">
        <v>1</v>
      </c>
      <c r="G41" s="1">
        <v>5</v>
      </c>
      <c r="H41" s="10" t="s">
        <v>2121</v>
      </c>
      <c r="I41" s="1">
        <v>800</v>
      </c>
      <c r="J41" s="1">
        <v>5</v>
      </c>
      <c r="K41" s="1">
        <v>0</v>
      </c>
      <c r="L41" s="1">
        <v>0</v>
      </c>
      <c r="M41" s="1" t="s">
        <v>1822</v>
      </c>
      <c r="N41" s="1" t="s">
        <v>698</v>
      </c>
      <c r="O41" s="1">
        <v>0</v>
      </c>
      <c r="P41" s="1" t="s">
        <v>2046</v>
      </c>
      <c r="Q41" s="7" t="s">
        <v>2035</v>
      </c>
      <c r="R41" s="1">
        <v>0</v>
      </c>
    </row>
    <row r="42" spans="1:18" ht="14.25" thickBot="1">
      <c r="A42" s="1" t="s">
        <v>71</v>
      </c>
      <c r="B42" s="3">
        <v>1</v>
      </c>
      <c r="C42" s="9" t="s">
        <v>2506</v>
      </c>
      <c r="D42" s="1" t="s">
        <v>12</v>
      </c>
      <c r="E42" s="1">
        <v>5</v>
      </c>
      <c r="F42" s="1">
        <v>1</v>
      </c>
      <c r="G42" s="1">
        <v>5</v>
      </c>
      <c r="H42" s="10" t="s">
        <v>2122</v>
      </c>
      <c r="I42" s="1">
        <v>500</v>
      </c>
      <c r="J42" s="1">
        <v>5</v>
      </c>
      <c r="K42" s="1">
        <v>0</v>
      </c>
      <c r="L42" s="1">
        <v>0</v>
      </c>
      <c r="M42" s="1" t="s">
        <v>1818</v>
      </c>
      <c r="N42" s="1" t="s">
        <v>698</v>
      </c>
      <c r="O42" s="1">
        <v>0</v>
      </c>
      <c r="P42" s="1" t="s">
        <v>2046</v>
      </c>
      <c r="Q42" s="7" t="s">
        <v>2130</v>
      </c>
      <c r="R42" s="1">
        <v>0</v>
      </c>
    </row>
    <row r="43" spans="1:18" ht="14.25" thickBot="1">
      <c r="A43" s="1" t="s">
        <v>72</v>
      </c>
      <c r="B43" s="3">
        <v>1</v>
      </c>
      <c r="C43" s="9" t="s">
        <v>2507</v>
      </c>
      <c r="D43" s="1" t="s">
        <v>12</v>
      </c>
      <c r="E43" s="1">
        <v>5</v>
      </c>
      <c r="F43" s="1">
        <v>1</v>
      </c>
      <c r="G43" s="1">
        <v>5</v>
      </c>
      <c r="H43" s="10" t="s">
        <v>2122</v>
      </c>
      <c r="I43" s="1">
        <v>800</v>
      </c>
      <c r="J43" s="1">
        <v>5</v>
      </c>
      <c r="K43" s="1">
        <v>0</v>
      </c>
      <c r="L43" s="1">
        <v>0</v>
      </c>
      <c r="M43" s="1" t="s">
        <v>2012</v>
      </c>
      <c r="N43" s="1" t="s">
        <v>698</v>
      </c>
      <c r="O43" s="1">
        <v>0</v>
      </c>
      <c r="P43" s="1" t="s">
        <v>2046</v>
      </c>
      <c r="Q43" s="7" t="s">
        <v>2131</v>
      </c>
      <c r="R43" s="1">
        <v>0</v>
      </c>
    </row>
    <row r="44" spans="1:18" ht="14.25" thickBot="1">
      <c r="A44" s="1" t="s">
        <v>73</v>
      </c>
      <c r="B44" s="3">
        <v>1</v>
      </c>
      <c r="C44" s="9" t="s">
        <v>2095</v>
      </c>
      <c r="D44" s="1" t="s">
        <v>13</v>
      </c>
      <c r="E44" s="1">
        <v>6</v>
      </c>
      <c r="F44" s="1">
        <v>1</v>
      </c>
      <c r="G44" s="1">
        <v>5</v>
      </c>
      <c r="H44" s="10" t="s">
        <v>2122</v>
      </c>
      <c r="I44" s="1">
        <v>500</v>
      </c>
      <c r="J44" s="1">
        <v>5</v>
      </c>
      <c r="K44" s="1">
        <v>0</v>
      </c>
      <c r="L44" s="1">
        <v>0</v>
      </c>
      <c r="M44" s="1" t="s">
        <v>1823</v>
      </c>
      <c r="N44" s="1" t="s">
        <v>698</v>
      </c>
      <c r="O44" s="1">
        <v>0</v>
      </c>
      <c r="P44" s="1" t="s">
        <v>2046</v>
      </c>
      <c r="Q44" s="7" t="s">
        <v>2132</v>
      </c>
      <c r="R44" s="1">
        <v>0</v>
      </c>
    </row>
    <row r="45" spans="1:18" ht="14.25" thickBot="1">
      <c r="A45" s="1" t="s">
        <v>74</v>
      </c>
      <c r="B45" s="2">
        <v>0</v>
      </c>
      <c r="C45" s="9" t="s">
        <v>2095</v>
      </c>
      <c r="D45" s="1" t="s">
        <v>13</v>
      </c>
      <c r="E45" s="1">
        <v>6</v>
      </c>
      <c r="F45" s="1">
        <v>1</v>
      </c>
      <c r="G45" s="1">
        <v>5</v>
      </c>
      <c r="H45" s="10" t="s">
        <v>2122</v>
      </c>
      <c r="I45" s="1">
        <v>800</v>
      </c>
      <c r="J45" s="1">
        <v>5</v>
      </c>
      <c r="K45" s="1">
        <v>0</v>
      </c>
      <c r="L45" s="1">
        <v>0</v>
      </c>
      <c r="M45" s="1" t="s">
        <v>1824</v>
      </c>
      <c r="N45" s="1" t="s">
        <v>698</v>
      </c>
      <c r="O45" s="1">
        <v>0</v>
      </c>
      <c r="P45" s="1" t="s">
        <v>2046</v>
      </c>
      <c r="Q45" s="7" t="s">
        <v>2037</v>
      </c>
      <c r="R45" s="1">
        <v>0</v>
      </c>
    </row>
    <row r="46" spans="1:18" ht="14.25" thickBot="1">
      <c r="A46" s="1" t="s">
        <v>75</v>
      </c>
      <c r="B46" s="3">
        <v>1</v>
      </c>
      <c r="C46" s="1" t="s">
        <v>2508</v>
      </c>
      <c r="D46" s="1" t="s">
        <v>11</v>
      </c>
      <c r="E46" s="1">
        <v>4</v>
      </c>
      <c r="F46" s="1">
        <v>1</v>
      </c>
      <c r="G46" s="1">
        <v>5</v>
      </c>
      <c r="H46" s="10">
        <v>0</v>
      </c>
      <c r="I46" s="1">
        <v>500</v>
      </c>
      <c r="J46" s="1">
        <v>5</v>
      </c>
      <c r="K46" s="1">
        <v>0</v>
      </c>
      <c r="L46" s="1">
        <v>0</v>
      </c>
      <c r="M46" s="1" t="s">
        <v>1825</v>
      </c>
      <c r="N46" s="1" t="s">
        <v>698</v>
      </c>
      <c r="O46" s="1">
        <v>0</v>
      </c>
      <c r="P46" s="1" t="s">
        <v>2046</v>
      </c>
      <c r="Q46" s="7" t="s">
        <v>2133</v>
      </c>
      <c r="R46" s="1">
        <v>0</v>
      </c>
    </row>
    <row r="47" spans="1:18" ht="14.25" thickBot="1">
      <c r="A47" s="1" t="s">
        <v>76</v>
      </c>
      <c r="B47" s="3">
        <v>1</v>
      </c>
      <c r="C47" s="1" t="s">
        <v>2509</v>
      </c>
      <c r="D47" s="1" t="s">
        <v>11</v>
      </c>
      <c r="E47" s="1">
        <v>4</v>
      </c>
      <c r="F47" s="1">
        <v>1</v>
      </c>
      <c r="G47" s="1">
        <v>5</v>
      </c>
      <c r="H47" s="10">
        <v>0</v>
      </c>
      <c r="I47" s="1">
        <v>800</v>
      </c>
      <c r="J47" s="1">
        <v>5</v>
      </c>
      <c r="K47" s="1">
        <v>0</v>
      </c>
      <c r="L47" s="1">
        <v>0</v>
      </c>
      <c r="M47" s="1" t="s">
        <v>1826</v>
      </c>
      <c r="N47" s="1" t="s">
        <v>698</v>
      </c>
      <c r="O47" s="1">
        <v>0</v>
      </c>
      <c r="P47" s="1" t="s">
        <v>2046</v>
      </c>
      <c r="Q47" s="7" t="s">
        <v>2134</v>
      </c>
      <c r="R47" s="1">
        <v>0</v>
      </c>
    </row>
    <row r="48" spans="1:18" ht="14.25" thickBot="1">
      <c r="A48" s="1" t="s">
        <v>77</v>
      </c>
      <c r="B48" s="3">
        <v>1</v>
      </c>
      <c r="C48" s="1" t="s">
        <v>2500</v>
      </c>
      <c r="D48" s="1" t="s">
        <v>14</v>
      </c>
      <c r="E48" s="1">
        <v>7</v>
      </c>
      <c r="F48" s="1">
        <v>1</v>
      </c>
      <c r="G48" s="1">
        <v>5</v>
      </c>
      <c r="H48" s="10">
        <v>0</v>
      </c>
      <c r="I48" s="1">
        <v>500</v>
      </c>
      <c r="J48" s="1">
        <v>5</v>
      </c>
      <c r="K48" s="1">
        <v>0</v>
      </c>
      <c r="L48" s="1">
        <v>0</v>
      </c>
      <c r="M48" s="1" t="s">
        <v>1809</v>
      </c>
      <c r="N48" s="1" t="s">
        <v>698</v>
      </c>
      <c r="O48" s="1">
        <v>0</v>
      </c>
      <c r="P48" s="1" t="s">
        <v>2046</v>
      </c>
      <c r="Q48" s="7" t="s">
        <v>2039</v>
      </c>
      <c r="R48" s="1">
        <v>0</v>
      </c>
    </row>
    <row r="49" spans="1:18" ht="14.25" thickBot="1">
      <c r="A49" s="1" t="s">
        <v>78</v>
      </c>
      <c r="B49" s="3">
        <v>1</v>
      </c>
      <c r="C49" s="1" t="s">
        <v>2501</v>
      </c>
      <c r="D49" s="1" t="s">
        <v>14</v>
      </c>
      <c r="E49" s="1">
        <v>7</v>
      </c>
      <c r="F49" s="1">
        <v>1</v>
      </c>
      <c r="G49" s="1">
        <v>5</v>
      </c>
      <c r="H49" s="10">
        <v>0</v>
      </c>
      <c r="I49" s="1">
        <v>800</v>
      </c>
      <c r="J49" s="1">
        <v>5</v>
      </c>
      <c r="K49" s="1">
        <v>0</v>
      </c>
      <c r="L49" s="1">
        <v>0</v>
      </c>
      <c r="M49" s="1" t="s">
        <v>1827</v>
      </c>
      <c r="N49" s="1" t="s">
        <v>698</v>
      </c>
      <c r="O49" s="1">
        <v>0</v>
      </c>
      <c r="P49" s="1" t="s">
        <v>2046</v>
      </c>
      <c r="Q49" s="7" t="s">
        <v>2135</v>
      </c>
      <c r="R49" s="1">
        <v>0</v>
      </c>
    </row>
    <row r="50" spans="1:18" ht="14.25" thickBot="1">
      <c r="A50" s="1" t="s">
        <v>79</v>
      </c>
      <c r="B50" s="3">
        <v>1</v>
      </c>
      <c r="C50" s="1" t="s">
        <v>2510</v>
      </c>
      <c r="D50" s="1" t="s">
        <v>8</v>
      </c>
      <c r="E50" s="1">
        <v>1</v>
      </c>
      <c r="F50" s="1">
        <v>1</v>
      </c>
      <c r="G50" s="1">
        <v>10</v>
      </c>
      <c r="H50" s="10">
        <v>0</v>
      </c>
      <c r="I50" s="1">
        <v>1000</v>
      </c>
      <c r="J50" s="1">
        <v>5</v>
      </c>
      <c r="K50" s="1">
        <v>0</v>
      </c>
      <c r="L50" s="1">
        <v>0</v>
      </c>
      <c r="M50" s="1" t="s">
        <v>1828</v>
      </c>
      <c r="N50" s="1" t="s">
        <v>698</v>
      </c>
      <c r="O50" s="1">
        <v>0</v>
      </c>
      <c r="P50" s="1" t="s">
        <v>2047</v>
      </c>
      <c r="Q50" s="7" t="s">
        <v>2136</v>
      </c>
      <c r="R50" s="1">
        <v>0</v>
      </c>
    </row>
    <row r="51" spans="1:18" ht="14.25" thickBot="1">
      <c r="A51" s="1" t="s">
        <v>80</v>
      </c>
      <c r="B51" s="3">
        <v>1</v>
      </c>
      <c r="C51" s="1" t="s">
        <v>2511</v>
      </c>
      <c r="D51" s="1" t="s">
        <v>9</v>
      </c>
      <c r="E51" s="1">
        <v>2</v>
      </c>
      <c r="F51" s="1">
        <v>1</v>
      </c>
      <c r="G51" s="1">
        <v>10</v>
      </c>
      <c r="H51" s="10">
        <v>0</v>
      </c>
      <c r="I51" s="1">
        <v>1000</v>
      </c>
      <c r="J51" s="1">
        <v>5</v>
      </c>
      <c r="K51" s="1">
        <v>0</v>
      </c>
      <c r="L51" s="1">
        <v>0</v>
      </c>
      <c r="M51" s="1" t="s">
        <v>1829</v>
      </c>
      <c r="N51" s="1" t="s">
        <v>698</v>
      </c>
      <c r="O51" s="1">
        <v>0</v>
      </c>
      <c r="P51" s="1" t="s">
        <v>2047</v>
      </c>
      <c r="Q51" s="7" t="s">
        <v>2137</v>
      </c>
      <c r="R51" s="1">
        <v>0</v>
      </c>
    </row>
    <row r="52" spans="1:18" ht="14.25" thickBot="1">
      <c r="A52" s="1" t="s">
        <v>81</v>
      </c>
      <c r="B52" s="3">
        <v>1</v>
      </c>
      <c r="C52" s="1" t="s">
        <v>2512</v>
      </c>
      <c r="D52" s="1" t="s">
        <v>10</v>
      </c>
      <c r="E52" s="1">
        <v>3</v>
      </c>
      <c r="F52" s="1">
        <v>1</v>
      </c>
      <c r="G52" s="1">
        <v>10</v>
      </c>
      <c r="H52" s="10">
        <v>0</v>
      </c>
      <c r="I52" s="1">
        <v>1000</v>
      </c>
      <c r="J52" s="1">
        <v>5</v>
      </c>
      <c r="K52" s="1">
        <v>0</v>
      </c>
      <c r="L52" s="1">
        <v>0</v>
      </c>
      <c r="M52" s="1" t="s">
        <v>1830</v>
      </c>
      <c r="N52" s="1" t="s">
        <v>698</v>
      </c>
      <c r="O52" s="1">
        <v>0</v>
      </c>
      <c r="P52" s="1" t="s">
        <v>2047</v>
      </c>
      <c r="Q52" s="7" t="s">
        <v>2138</v>
      </c>
      <c r="R52" s="1">
        <v>0</v>
      </c>
    </row>
    <row r="53" spans="1:18" ht="14.25" thickBot="1">
      <c r="A53" s="1" t="s">
        <v>82</v>
      </c>
      <c r="B53" s="3">
        <v>1</v>
      </c>
      <c r="C53" s="1" t="s">
        <v>2067</v>
      </c>
      <c r="D53" s="1" t="s">
        <v>15</v>
      </c>
      <c r="E53" s="1">
        <v>8</v>
      </c>
      <c r="F53" s="1">
        <v>1</v>
      </c>
      <c r="G53" s="1">
        <v>10</v>
      </c>
      <c r="H53" s="10">
        <v>0</v>
      </c>
      <c r="I53" s="1">
        <v>1000</v>
      </c>
      <c r="J53" s="1">
        <v>5</v>
      </c>
      <c r="K53" s="1">
        <v>0</v>
      </c>
      <c r="L53" s="1">
        <v>0</v>
      </c>
      <c r="M53" s="1" t="s">
        <v>1831</v>
      </c>
      <c r="N53" s="1" t="s">
        <v>698</v>
      </c>
      <c r="O53" s="1">
        <v>0</v>
      </c>
      <c r="P53" s="1" t="s">
        <v>2047</v>
      </c>
      <c r="Q53" s="7" t="s">
        <v>2139</v>
      </c>
      <c r="R53" s="1">
        <v>0</v>
      </c>
    </row>
    <row r="54" spans="1:18" ht="14.25" thickBot="1">
      <c r="A54" s="1" t="s">
        <v>83</v>
      </c>
      <c r="B54" s="3">
        <v>1</v>
      </c>
      <c r="C54" s="1" t="s">
        <v>2071</v>
      </c>
      <c r="D54" s="1" t="s">
        <v>16</v>
      </c>
      <c r="E54" s="1">
        <v>9</v>
      </c>
      <c r="F54" s="1">
        <v>1</v>
      </c>
      <c r="G54" s="1">
        <v>10</v>
      </c>
      <c r="H54" s="10">
        <v>0</v>
      </c>
      <c r="I54" s="1">
        <v>1000</v>
      </c>
      <c r="J54" s="1">
        <v>5</v>
      </c>
      <c r="K54" s="1">
        <v>0</v>
      </c>
      <c r="L54" s="1">
        <v>0</v>
      </c>
      <c r="M54" s="1" t="s">
        <v>1832</v>
      </c>
      <c r="N54" s="1" t="s">
        <v>698</v>
      </c>
      <c r="O54" s="1">
        <v>0</v>
      </c>
      <c r="P54" s="1" t="s">
        <v>2047</v>
      </c>
      <c r="Q54" s="7" t="s">
        <v>2140</v>
      </c>
      <c r="R54" s="1">
        <v>0</v>
      </c>
    </row>
    <row r="55" spans="1:18" ht="14.25" thickBot="1">
      <c r="A55" s="1" t="s">
        <v>84</v>
      </c>
      <c r="B55" s="2">
        <v>0</v>
      </c>
      <c r="C55" s="1" t="s">
        <v>2489</v>
      </c>
      <c r="D55" s="1" t="s">
        <v>17</v>
      </c>
      <c r="E55" s="1">
        <v>10</v>
      </c>
      <c r="F55" s="1">
        <v>1</v>
      </c>
      <c r="G55" s="1">
        <v>10</v>
      </c>
      <c r="H55" s="10">
        <v>0</v>
      </c>
      <c r="I55" s="1">
        <v>1000</v>
      </c>
      <c r="J55" s="1">
        <v>5</v>
      </c>
      <c r="K55" s="1">
        <v>0</v>
      </c>
      <c r="L55" s="1">
        <v>0</v>
      </c>
      <c r="M55" s="1" t="s">
        <v>1817</v>
      </c>
      <c r="N55" s="1" t="s">
        <v>698</v>
      </c>
      <c r="O55" s="1">
        <v>0</v>
      </c>
      <c r="P55" s="1" t="s">
        <v>2047</v>
      </c>
      <c r="Q55" s="7" t="s">
        <v>2031</v>
      </c>
      <c r="R55" s="1">
        <v>0</v>
      </c>
    </row>
    <row r="56" spans="1:18" ht="14.25" thickBot="1">
      <c r="A56" s="1" t="s">
        <v>85</v>
      </c>
      <c r="B56" s="3">
        <v>1</v>
      </c>
      <c r="C56" s="9" t="s">
        <v>2513</v>
      </c>
      <c r="D56" s="1" t="s">
        <v>12</v>
      </c>
      <c r="E56" s="1">
        <v>5</v>
      </c>
      <c r="F56" s="1">
        <v>1</v>
      </c>
      <c r="G56" s="1">
        <v>10</v>
      </c>
      <c r="H56" s="10" t="s">
        <v>2120</v>
      </c>
      <c r="I56" s="1">
        <v>1000</v>
      </c>
      <c r="J56" s="1">
        <v>5</v>
      </c>
      <c r="K56" s="1">
        <v>0</v>
      </c>
      <c r="L56" s="1">
        <v>0</v>
      </c>
      <c r="M56" s="1" t="s">
        <v>1833</v>
      </c>
      <c r="N56" s="1" t="s">
        <v>698</v>
      </c>
      <c r="O56" s="1">
        <v>0</v>
      </c>
      <c r="P56" s="1" t="s">
        <v>2047</v>
      </c>
      <c r="Q56" s="7" t="s">
        <v>2141</v>
      </c>
      <c r="R56" s="1">
        <v>0</v>
      </c>
    </row>
    <row r="57" spans="1:18" ht="14.25" thickBot="1">
      <c r="A57" s="1" t="s">
        <v>86</v>
      </c>
      <c r="B57" s="3">
        <v>1</v>
      </c>
      <c r="C57" s="9" t="s">
        <v>2514</v>
      </c>
      <c r="D57" s="1" t="s">
        <v>12</v>
      </c>
      <c r="E57" s="1">
        <v>5</v>
      </c>
      <c r="F57" s="1">
        <v>1</v>
      </c>
      <c r="G57" s="1">
        <v>10</v>
      </c>
      <c r="H57" s="10" t="s">
        <v>2120</v>
      </c>
      <c r="I57" s="1">
        <v>1300</v>
      </c>
      <c r="J57" s="1">
        <v>5</v>
      </c>
      <c r="K57" s="1">
        <v>0</v>
      </c>
      <c r="L57" s="1">
        <v>0</v>
      </c>
      <c r="M57" s="1" t="s">
        <v>1834</v>
      </c>
      <c r="N57" s="1" t="s">
        <v>698</v>
      </c>
      <c r="O57" s="1">
        <v>0</v>
      </c>
      <c r="P57" s="1" t="s">
        <v>2047</v>
      </c>
      <c r="Q57" s="7" t="s">
        <v>2142</v>
      </c>
      <c r="R57" s="1">
        <v>0</v>
      </c>
    </row>
    <row r="58" spans="1:18" ht="14.25" thickBot="1">
      <c r="A58" s="1" t="s">
        <v>87</v>
      </c>
      <c r="B58" s="3">
        <v>1</v>
      </c>
      <c r="C58" s="9" t="s">
        <v>2515</v>
      </c>
      <c r="D58" s="1" t="s">
        <v>13</v>
      </c>
      <c r="E58" s="1">
        <v>6</v>
      </c>
      <c r="F58" s="1">
        <v>1</v>
      </c>
      <c r="G58" s="1">
        <v>10</v>
      </c>
      <c r="H58" s="10" t="s">
        <v>2120</v>
      </c>
      <c r="I58" s="1">
        <v>1000</v>
      </c>
      <c r="J58" s="1">
        <v>5</v>
      </c>
      <c r="K58" s="1">
        <v>0</v>
      </c>
      <c r="L58" s="1">
        <v>0</v>
      </c>
      <c r="M58" s="1" t="s">
        <v>1835</v>
      </c>
      <c r="N58" s="1" t="s">
        <v>698</v>
      </c>
      <c r="O58" s="1">
        <v>0</v>
      </c>
      <c r="P58" s="1" t="s">
        <v>2047</v>
      </c>
      <c r="Q58" s="7" t="s">
        <v>2143</v>
      </c>
      <c r="R58" s="1">
        <v>0</v>
      </c>
    </row>
    <row r="59" spans="1:18" ht="14.25" thickBot="1">
      <c r="A59" s="1" t="s">
        <v>88</v>
      </c>
      <c r="B59" s="2">
        <v>0</v>
      </c>
      <c r="C59" s="9" t="s">
        <v>2061</v>
      </c>
      <c r="D59" s="1" t="s">
        <v>13</v>
      </c>
      <c r="E59" s="1">
        <v>6</v>
      </c>
      <c r="F59" s="1">
        <v>1</v>
      </c>
      <c r="G59" s="1">
        <v>10</v>
      </c>
      <c r="H59" s="10" t="s">
        <v>2120</v>
      </c>
      <c r="I59" s="1">
        <v>1300</v>
      </c>
      <c r="J59" s="1">
        <v>5</v>
      </c>
      <c r="K59" s="1">
        <v>0</v>
      </c>
      <c r="L59" s="1">
        <v>0</v>
      </c>
      <c r="M59" s="1" t="s">
        <v>1836</v>
      </c>
      <c r="N59" s="1" t="s">
        <v>698</v>
      </c>
      <c r="O59" s="1">
        <v>0</v>
      </c>
      <c r="P59" s="1" t="s">
        <v>2047</v>
      </c>
      <c r="Q59" s="7" t="s">
        <v>2033</v>
      </c>
      <c r="R59" s="1">
        <v>0</v>
      </c>
    </row>
    <row r="60" spans="1:18" ht="14.25" thickBot="1">
      <c r="A60" s="1" t="s">
        <v>89</v>
      </c>
      <c r="B60" s="3">
        <v>1</v>
      </c>
      <c r="C60" s="1" t="s">
        <v>2096</v>
      </c>
      <c r="D60" s="1" t="s">
        <v>12</v>
      </c>
      <c r="E60" s="1">
        <v>5</v>
      </c>
      <c r="F60" s="1">
        <v>1</v>
      </c>
      <c r="G60" s="1">
        <v>10</v>
      </c>
      <c r="H60" s="10" t="s">
        <v>2121</v>
      </c>
      <c r="I60" s="1">
        <v>1000</v>
      </c>
      <c r="J60" s="1">
        <v>5</v>
      </c>
      <c r="K60" s="1">
        <v>0</v>
      </c>
      <c r="L60" s="1">
        <v>0</v>
      </c>
      <c r="M60" s="1" t="s">
        <v>1833</v>
      </c>
      <c r="N60" s="1" t="s">
        <v>698</v>
      </c>
      <c r="O60" s="1">
        <v>0</v>
      </c>
      <c r="P60" s="1" t="s">
        <v>2047</v>
      </c>
      <c r="Q60" s="7" t="s">
        <v>2144</v>
      </c>
      <c r="R60" s="1">
        <v>0</v>
      </c>
    </row>
    <row r="61" spans="1:18" ht="14.25" thickBot="1">
      <c r="A61" s="1" t="s">
        <v>90</v>
      </c>
      <c r="B61" s="3">
        <v>1</v>
      </c>
      <c r="C61" s="1" t="s">
        <v>2097</v>
      </c>
      <c r="D61" s="1" t="s">
        <v>12</v>
      </c>
      <c r="E61" s="1">
        <v>5</v>
      </c>
      <c r="F61" s="1">
        <v>1</v>
      </c>
      <c r="G61" s="1">
        <v>10</v>
      </c>
      <c r="H61" s="10" t="s">
        <v>2121</v>
      </c>
      <c r="I61" s="1">
        <v>1300</v>
      </c>
      <c r="J61" s="1">
        <v>5</v>
      </c>
      <c r="K61" s="1">
        <v>0</v>
      </c>
      <c r="L61" s="1">
        <v>0</v>
      </c>
      <c r="M61" s="1" t="s">
        <v>1834</v>
      </c>
      <c r="N61" s="1" t="s">
        <v>698</v>
      </c>
      <c r="O61" s="1">
        <v>0</v>
      </c>
      <c r="P61" s="1" t="s">
        <v>2047</v>
      </c>
      <c r="Q61" s="7" t="s">
        <v>2145</v>
      </c>
      <c r="R61" s="1">
        <v>0</v>
      </c>
    </row>
    <row r="62" spans="1:18" ht="14.25" thickBot="1">
      <c r="A62" s="1" t="s">
        <v>91</v>
      </c>
      <c r="B62" s="3">
        <v>1</v>
      </c>
      <c r="C62" s="9" t="s">
        <v>2098</v>
      </c>
      <c r="D62" s="1" t="s">
        <v>13</v>
      </c>
      <c r="E62" s="1">
        <v>6</v>
      </c>
      <c r="F62" s="1">
        <v>1</v>
      </c>
      <c r="G62" s="1">
        <v>10</v>
      </c>
      <c r="H62" s="10" t="s">
        <v>2121</v>
      </c>
      <c r="I62" s="1">
        <v>1000</v>
      </c>
      <c r="J62" s="1">
        <v>5</v>
      </c>
      <c r="K62" s="1">
        <v>0</v>
      </c>
      <c r="L62" s="1">
        <v>0</v>
      </c>
      <c r="M62" s="1" t="s">
        <v>1837</v>
      </c>
      <c r="N62" s="1" t="s">
        <v>698</v>
      </c>
      <c r="O62" s="1">
        <v>0</v>
      </c>
      <c r="P62" s="1" t="s">
        <v>2047</v>
      </c>
      <c r="Q62" s="7" t="s">
        <v>2146</v>
      </c>
      <c r="R62" s="1">
        <v>0</v>
      </c>
    </row>
    <row r="63" spans="1:18" ht="14.25" thickBot="1">
      <c r="A63" s="1" t="s">
        <v>92</v>
      </c>
      <c r="B63" s="2">
        <v>0</v>
      </c>
      <c r="C63" s="9" t="s">
        <v>2094</v>
      </c>
      <c r="D63" s="1" t="s">
        <v>13</v>
      </c>
      <c r="E63" s="1">
        <v>6</v>
      </c>
      <c r="F63" s="1">
        <v>1</v>
      </c>
      <c r="G63" s="1">
        <v>10</v>
      </c>
      <c r="H63" s="10" t="s">
        <v>2121</v>
      </c>
      <c r="I63" s="1">
        <v>1300</v>
      </c>
      <c r="J63" s="1">
        <v>5</v>
      </c>
      <c r="K63" s="1">
        <v>0</v>
      </c>
      <c r="L63" s="1">
        <v>0</v>
      </c>
      <c r="M63" s="1" t="s">
        <v>1838</v>
      </c>
      <c r="N63" s="1" t="s">
        <v>698</v>
      </c>
      <c r="O63" s="1">
        <v>0</v>
      </c>
      <c r="P63" s="1" t="s">
        <v>2047</v>
      </c>
      <c r="Q63" s="7" t="s">
        <v>2035</v>
      </c>
      <c r="R63" s="1">
        <v>0</v>
      </c>
    </row>
    <row r="64" spans="1:18" ht="14.25" thickBot="1">
      <c r="A64" s="1" t="s">
        <v>93</v>
      </c>
      <c r="B64" s="3">
        <v>1</v>
      </c>
      <c r="C64" s="9" t="s">
        <v>2516</v>
      </c>
      <c r="D64" s="1" t="s">
        <v>12</v>
      </c>
      <c r="E64" s="1">
        <v>5</v>
      </c>
      <c r="F64" s="1">
        <v>1</v>
      </c>
      <c r="G64" s="1">
        <v>10</v>
      </c>
      <c r="H64" s="10" t="s">
        <v>2122</v>
      </c>
      <c r="I64" s="1">
        <v>1000</v>
      </c>
      <c r="J64" s="1">
        <v>5</v>
      </c>
      <c r="K64" s="1">
        <v>0</v>
      </c>
      <c r="L64" s="1">
        <v>0</v>
      </c>
      <c r="M64" s="1" t="s">
        <v>1833</v>
      </c>
      <c r="N64" s="1" t="s">
        <v>698</v>
      </c>
      <c r="O64" s="1">
        <v>0</v>
      </c>
      <c r="P64" s="1" t="s">
        <v>2047</v>
      </c>
      <c r="Q64" s="7" t="s">
        <v>2147</v>
      </c>
      <c r="R64" s="1">
        <v>0</v>
      </c>
    </row>
    <row r="65" spans="1:18" ht="14.25" thickBot="1">
      <c r="A65" s="1" t="s">
        <v>94</v>
      </c>
      <c r="B65" s="3">
        <v>1</v>
      </c>
      <c r="C65" s="9" t="s">
        <v>2099</v>
      </c>
      <c r="D65" s="1" t="s">
        <v>12</v>
      </c>
      <c r="E65" s="1">
        <v>5</v>
      </c>
      <c r="F65" s="1">
        <v>1</v>
      </c>
      <c r="G65" s="1">
        <v>10</v>
      </c>
      <c r="H65" s="10" t="s">
        <v>2122</v>
      </c>
      <c r="I65" s="1">
        <v>1300</v>
      </c>
      <c r="J65" s="1">
        <v>5</v>
      </c>
      <c r="K65" s="1">
        <v>0</v>
      </c>
      <c r="L65" s="1">
        <v>0</v>
      </c>
      <c r="M65" s="1" t="s">
        <v>1834</v>
      </c>
      <c r="N65" s="1" t="s">
        <v>698</v>
      </c>
      <c r="O65" s="1">
        <v>0</v>
      </c>
      <c r="P65" s="1" t="s">
        <v>2047</v>
      </c>
      <c r="Q65" s="7" t="s">
        <v>2148</v>
      </c>
      <c r="R65" s="1">
        <v>0</v>
      </c>
    </row>
    <row r="66" spans="1:18" ht="14.25" thickBot="1">
      <c r="A66" s="1" t="s">
        <v>95</v>
      </c>
      <c r="B66" s="3">
        <v>1</v>
      </c>
      <c r="C66" s="9" t="s">
        <v>2517</v>
      </c>
      <c r="D66" s="1" t="s">
        <v>13</v>
      </c>
      <c r="E66" s="1">
        <v>6</v>
      </c>
      <c r="F66" s="1">
        <v>1</v>
      </c>
      <c r="G66" s="1">
        <v>10</v>
      </c>
      <c r="H66" s="10" t="s">
        <v>2122</v>
      </c>
      <c r="I66" s="1">
        <v>1000</v>
      </c>
      <c r="J66" s="1">
        <v>5</v>
      </c>
      <c r="K66" s="1">
        <v>0</v>
      </c>
      <c r="L66" s="1">
        <v>0</v>
      </c>
      <c r="M66" s="1" t="s">
        <v>1839</v>
      </c>
      <c r="N66" s="1" t="s">
        <v>698</v>
      </c>
      <c r="O66" s="1">
        <v>0</v>
      </c>
      <c r="P66" s="1" t="s">
        <v>2047</v>
      </c>
      <c r="Q66" s="7" t="s">
        <v>2149</v>
      </c>
      <c r="R66" s="1">
        <v>0</v>
      </c>
    </row>
    <row r="67" spans="1:18" ht="14.25" thickBot="1">
      <c r="A67" s="1" t="s">
        <v>96</v>
      </c>
      <c r="B67" s="2">
        <v>0</v>
      </c>
      <c r="C67" s="9" t="s">
        <v>2095</v>
      </c>
      <c r="D67" s="1" t="s">
        <v>13</v>
      </c>
      <c r="E67" s="1">
        <v>6</v>
      </c>
      <c r="F67" s="1">
        <v>1</v>
      </c>
      <c r="G67" s="1">
        <v>10</v>
      </c>
      <c r="H67" s="10" t="s">
        <v>2122</v>
      </c>
      <c r="I67" s="1">
        <v>1300</v>
      </c>
      <c r="J67" s="1">
        <v>5</v>
      </c>
      <c r="K67" s="1">
        <v>0</v>
      </c>
      <c r="L67" s="1">
        <v>0</v>
      </c>
      <c r="M67" s="1" t="s">
        <v>1840</v>
      </c>
      <c r="N67" s="1" t="s">
        <v>698</v>
      </c>
      <c r="O67" s="1">
        <v>0</v>
      </c>
      <c r="P67" s="1" t="s">
        <v>2047</v>
      </c>
      <c r="Q67" s="7" t="s">
        <v>2037</v>
      </c>
      <c r="R67" s="1">
        <v>0</v>
      </c>
    </row>
    <row r="68" spans="1:18" ht="14.25" thickBot="1">
      <c r="A68" s="1" t="s">
        <v>97</v>
      </c>
      <c r="B68" s="3">
        <v>1</v>
      </c>
      <c r="C68" s="1" t="s">
        <v>2079</v>
      </c>
      <c r="D68" s="1" t="s">
        <v>11</v>
      </c>
      <c r="E68" s="1">
        <v>4</v>
      </c>
      <c r="F68" s="1">
        <v>1</v>
      </c>
      <c r="G68" s="1">
        <v>10</v>
      </c>
      <c r="H68" s="10">
        <v>0</v>
      </c>
      <c r="I68" s="1">
        <v>1000</v>
      </c>
      <c r="J68" s="1">
        <v>5</v>
      </c>
      <c r="K68" s="1">
        <v>0</v>
      </c>
      <c r="L68" s="1">
        <v>0</v>
      </c>
      <c r="M68" s="1" t="s">
        <v>1841</v>
      </c>
      <c r="N68" s="1" t="s">
        <v>698</v>
      </c>
      <c r="O68" s="1">
        <v>0</v>
      </c>
      <c r="P68" s="1" t="s">
        <v>2047</v>
      </c>
      <c r="Q68" s="7" t="s">
        <v>2134</v>
      </c>
      <c r="R68" s="1">
        <v>0</v>
      </c>
    </row>
    <row r="69" spans="1:18" ht="14.25" thickBot="1">
      <c r="A69" s="1" t="s">
        <v>98</v>
      </c>
      <c r="B69" s="2">
        <v>0</v>
      </c>
      <c r="C69" s="1" t="s">
        <v>2499</v>
      </c>
      <c r="D69" s="1" t="s">
        <v>11</v>
      </c>
      <c r="E69" s="1">
        <v>4</v>
      </c>
      <c r="F69" s="1">
        <v>1</v>
      </c>
      <c r="G69" s="1">
        <v>10</v>
      </c>
      <c r="H69" s="10">
        <v>0</v>
      </c>
      <c r="I69" s="1">
        <v>1300</v>
      </c>
      <c r="J69" s="1">
        <v>5</v>
      </c>
      <c r="K69" s="1">
        <v>0</v>
      </c>
      <c r="L69" s="1">
        <v>0</v>
      </c>
      <c r="M69" s="1" t="s">
        <v>1842</v>
      </c>
      <c r="N69" s="1" t="s">
        <v>698</v>
      </c>
      <c r="O69" s="1">
        <v>0</v>
      </c>
      <c r="P69" s="1" t="s">
        <v>2047</v>
      </c>
      <c r="Q69" s="7" t="s">
        <v>2038</v>
      </c>
      <c r="R69" s="1">
        <v>0</v>
      </c>
    </row>
    <row r="70" spans="1:18" ht="14.25" thickBot="1">
      <c r="A70" s="1" t="s">
        <v>99</v>
      </c>
      <c r="B70" s="3">
        <v>1</v>
      </c>
      <c r="C70" s="1" t="s">
        <v>2087</v>
      </c>
      <c r="D70" s="1" t="s">
        <v>14</v>
      </c>
      <c r="E70" s="1">
        <v>7</v>
      </c>
      <c r="F70" s="1">
        <v>1</v>
      </c>
      <c r="G70" s="1">
        <v>10</v>
      </c>
      <c r="H70" s="10">
        <v>0</v>
      </c>
      <c r="I70" s="1">
        <v>1000</v>
      </c>
      <c r="J70" s="1">
        <v>5</v>
      </c>
      <c r="K70" s="1">
        <v>0</v>
      </c>
      <c r="L70" s="1">
        <v>0</v>
      </c>
      <c r="M70" s="1" t="s">
        <v>1841</v>
      </c>
      <c r="N70" s="1" t="s">
        <v>698</v>
      </c>
      <c r="O70" s="1">
        <v>0</v>
      </c>
      <c r="P70" s="1" t="s">
        <v>2047</v>
      </c>
      <c r="Q70" s="7" t="s">
        <v>2150</v>
      </c>
      <c r="R70" s="1">
        <v>0</v>
      </c>
    </row>
    <row r="71" spans="1:18" ht="14.25" thickBot="1">
      <c r="A71" s="1" t="s">
        <v>100</v>
      </c>
      <c r="B71" s="2">
        <v>0</v>
      </c>
      <c r="C71" s="1" t="s">
        <v>2501</v>
      </c>
      <c r="D71" s="1" t="s">
        <v>14</v>
      </c>
      <c r="E71" s="1">
        <v>7</v>
      </c>
      <c r="F71" s="1">
        <v>1</v>
      </c>
      <c r="G71" s="1">
        <v>10</v>
      </c>
      <c r="H71" s="10">
        <v>0</v>
      </c>
      <c r="I71" s="1">
        <v>1300</v>
      </c>
      <c r="J71" s="1">
        <v>5</v>
      </c>
      <c r="K71" s="1">
        <v>0</v>
      </c>
      <c r="L71" s="1">
        <v>0</v>
      </c>
      <c r="M71" s="1" t="s">
        <v>1842</v>
      </c>
      <c r="N71" s="1" t="s">
        <v>698</v>
      </c>
      <c r="O71" s="1">
        <v>0</v>
      </c>
      <c r="P71" s="1" t="s">
        <v>2047</v>
      </c>
      <c r="Q71" s="7" t="s">
        <v>2039</v>
      </c>
      <c r="R71" s="1">
        <v>0</v>
      </c>
    </row>
    <row r="72" spans="1:18" ht="14.25" thickBot="1">
      <c r="A72" s="1" t="s">
        <v>101</v>
      </c>
      <c r="B72" s="2">
        <v>0</v>
      </c>
      <c r="C72" s="1" t="s">
        <v>2484</v>
      </c>
      <c r="D72" s="1" t="s">
        <v>8</v>
      </c>
      <c r="E72" s="1">
        <v>1</v>
      </c>
      <c r="F72" s="1">
        <v>1</v>
      </c>
      <c r="G72" s="1">
        <v>15</v>
      </c>
      <c r="H72" s="10">
        <v>0</v>
      </c>
      <c r="I72" s="1">
        <v>1500</v>
      </c>
      <c r="J72" s="1">
        <v>5</v>
      </c>
      <c r="K72" s="1">
        <v>0</v>
      </c>
      <c r="L72" s="1">
        <v>0</v>
      </c>
      <c r="M72" s="1" t="s">
        <v>1828</v>
      </c>
      <c r="N72" s="1" t="s">
        <v>698</v>
      </c>
      <c r="O72" s="1">
        <v>0</v>
      </c>
      <c r="P72" s="1" t="s">
        <v>2048</v>
      </c>
      <c r="Q72" s="7" t="s">
        <v>2026</v>
      </c>
      <c r="R72" s="1">
        <v>0</v>
      </c>
    </row>
    <row r="73" spans="1:18" ht="14.25" thickBot="1">
      <c r="A73" s="1" t="s">
        <v>102</v>
      </c>
      <c r="B73" s="2">
        <v>0</v>
      </c>
      <c r="C73" s="1" t="s">
        <v>2485</v>
      </c>
      <c r="D73" s="1" t="s">
        <v>9</v>
      </c>
      <c r="E73" s="1">
        <v>2</v>
      </c>
      <c r="F73" s="1">
        <v>1</v>
      </c>
      <c r="G73" s="1">
        <v>15</v>
      </c>
      <c r="H73" s="10">
        <v>0</v>
      </c>
      <c r="I73" s="1">
        <v>1500</v>
      </c>
      <c r="J73" s="1">
        <v>5</v>
      </c>
      <c r="K73" s="1">
        <v>0</v>
      </c>
      <c r="L73" s="1">
        <v>0</v>
      </c>
      <c r="M73" s="1" t="s">
        <v>1843</v>
      </c>
      <c r="N73" s="1" t="s">
        <v>698</v>
      </c>
      <c r="O73" s="1">
        <v>0</v>
      </c>
      <c r="P73" s="1" t="s">
        <v>2048</v>
      </c>
      <c r="Q73" s="7" t="s">
        <v>2027</v>
      </c>
      <c r="R73" s="1">
        <v>0</v>
      </c>
    </row>
    <row r="74" spans="1:18" ht="14.25" thickBot="1">
      <c r="A74" s="1" t="s">
        <v>103</v>
      </c>
      <c r="B74" s="3">
        <v>1</v>
      </c>
      <c r="C74" s="1" t="s">
        <v>2518</v>
      </c>
      <c r="D74" s="1" t="s">
        <v>10</v>
      </c>
      <c r="E74" s="1">
        <v>3</v>
      </c>
      <c r="F74" s="1">
        <v>1</v>
      </c>
      <c r="G74" s="1">
        <v>15</v>
      </c>
      <c r="H74" s="10">
        <v>0</v>
      </c>
      <c r="I74" s="1">
        <v>1500</v>
      </c>
      <c r="J74" s="1">
        <v>5</v>
      </c>
      <c r="K74" s="1">
        <v>0</v>
      </c>
      <c r="L74" s="1">
        <v>0</v>
      </c>
      <c r="M74" s="1" t="s">
        <v>1844</v>
      </c>
      <c r="N74" s="1" t="s">
        <v>698</v>
      </c>
      <c r="O74" s="1">
        <v>0</v>
      </c>
      <c r="P74" s="1" t="s">
        <v>2048</v>
      </c>
      <c r="Q74" s="7" t="s">
        <v>2151</v>
      </c>
      <c r="R74" s="1">
        <v>0</v>
      </c>
    </row>
    <row r="75" spans="1:18" ht="14.25" thickBot="1">
      <c r="A75" s="1" t="s">
        <v>104</v>
      </c>
      <c r="B75" s="3">
        <v>1</v>
      </c>
      <c r="C75" s="1" t="s">
        <v>2068</v>
      </c>
      <c r="D75" s="1" t="s">
        <v>15</v>
      </c>
      <c r="E75" s="1">
        <v>8</v>
      </c>
      <c r="F75" s="1">
        <v>1</v>
      </c>
      <c r="G75" s="1">
        <v>15</v>
      </c>
      <c r="H75" s="10">
        <v>0</v>
      </c>
      <c r="I75" s="1">
        <v>1500</v>
      </c>
      <c r="J75" s="1">
        <v>5</v>
      </c>
      <c r="K75" s="1">
        <v>0</v>
      </c>
      <c r="L75" s="1">
        <v>0</v>
      </c>
      <c r="M75" s="1" t="s">
        <v>1845</v>
      </c>
      <c r="N75" s="1" t="s">
        <v>698</v>
      </c>
      <c r="O75" s="1">
        <v>0</v>
      </c>
      <c r="P75" s="1" t="s">
        <v>2048</v>
      </c>
      <c r="Q75" s="7" t="s">
        <v>2152</v>
      </c>
      <c r="R75" s="1">
        <v>0</v>
      </c>
    </row>
    <row r="76" spans="1:18" ht="14.25" thickBot="1">
      <c r="A76" s="1" t="s">
        <v>105</v>
      </c>
      <c r="B76" s="3">
        <v>1</v>
      </c>
      <c r="C76" s="1" t="s">
        <v>2072</v>
      </c>
      <c r="D76" s="1" t="s">
        <v>16</v>
      </c>
      <c r="E76" s="1">
        <v>9</v>
      </c>
      <c r="F76" s="1">
        <v>1</v>
      </c>
      <c r="G76" s="1">
        <v>15</v>
      </c>
      <c r="H76" s="10">
        <v>0</v>
      </c>
      <c r="I76" s="1">
        <v>1500</v>
      </c>
      <c r="J76" s="1">
        <v>5</v>
      </c>
      <c r="K76" s="1">
        <v>0</v>
      </c>
      <c r="L76" s="1">
        <v>0</v>
      </c>
      <c r="M76" s="1" t="s">
        <v>1846</v>
      </c>
      <c r="N76" s="1" t="s">
        <v>698</v>
      </c>
      <c r="O76" s="1">
        <v>0</v>
      </c>
      <c r="P76" s="1" t="s">
        <v>2048</v>
      </c>
      <c r="Q76" s="7" t="s">
        <v>2153</v>
      </c>
      <c r="R76" s="1">
        <v>0</v>
      </c>
    </row>
    <row r="77" spans="1:18" ht="14.25" thickBot="1">
      <c r="A77" s="1" t="s">
        <v>106</v>
      </c>
      <c r="B77" s="3">
        <v>1</v>
      </c>
      <c r="C77" s="1" t="s">
        <v>2076</v>
      </c>
      <c r="D77" s="1" t="s">
        <v>17</v>
      </c>
      <c r="E77" s="1">
        <v>10</v>
      </c>
      <c r="F77" s="1">
        <v>1</v>
      </c>
      <c r="G77" s="1">
        <v>15</v>
      </c>
      <c r="H77" s="10">
        <v>0</v>
      </c>
      <c r="I77" s="1">
        <v>1500</v>
      </c>
      <c r="J77" s="1">
        <v>5</v>
      </c>
      <c r="K77" s="1">
        <v>0</v>
      </c>
      <c r="L77" s="1">
        <v>0</v>
      </c>
      <c r="M77" s="1" t="s">
        <v>1847</v>
      </c>
      <c r="N77" s="1" t="s">
        <v>698</v>
      </c>
      <c r="O77" s="1">
        <v>0</v>
      </c>
      <c r="P77" s="1" t="s">
        <v>2048</v>
      </c>
      <c r="Q77" s="7" t="s">
        <v>2154</v>
      </c>
      <c r="R77" s="1">
        <v>0</v>
      </c>
    </row>
    <row r="78" spans="1:18" ht="14.25" thickBot="1">
      <c r="A78" s="1" t="s">
        <v>107</v>
      </c>
      <c r="B78" s="3">
        <v>1</v>
      </c>
      <c r="C78" s="9" t="s">
        <v>2519</v>
      </c>
      <c r="D78" s="1" t="s">
        <v>12</v>
      </c>
      <c r="E78" s="1">
        <v>5</v>
      </c>
      <c r="F78" s="1">
        <v>1</v>
      </c>
      <c r="G78" s="1">
        <v>15</v>
      </c>
      <c r="H78" s="10" t="s">
        <v>2120</v>
      </c>
      <c r="I78" s="1">
        <v>1500</v>
      </c>
      <c r="J78" s="1">
        <v>5</v>
      </c>
      <c r="K78" s="1">
        <v>0</v>
      </c>
      <c r="L78" s="1">
        <v>0</v>
      </c>
      <c r="M78" s="1" t="s">
        <v>1848</v>
      </c>
      <c r="N78" s="1" t="s">
        <v>698</v>
      </c>
      <c r="O78" s="1">
        <v>0</v>
      </c>
      <c r="P78" s="1" t="s">
        <v>2048</v>
      </c>
      <c r="Q78" s="7" t="s">
        <v>2155</v>
      </c>
      <c r="R78" s="1">
        <v>0</v>
      </c>
    </row>
    <row r="79" spans="1:18" ht="14.25" thickBot="1">
      <c r="A79" s="1" t="s">
        <v>108</v>
      </c>
      <c r="B79" s="3">
        <v>1</v>
      </c>
      <c r="C79" s="9" t="s">
        <v>2520</v>
      </c>
      <c r="D79" s="1" t="s">
        <v>12</v>
      </c>
      <c r="E79" s="1">
        <v>5</v>
      </c>
      <c r="F79" s="1">
        <v>1</v>
      </c>
      <c r="G79" s="1">
        <v>15</v>
      </c>
      <c r="H79" s="10" t="s">
        <v>2120</v>
      </c>
      <c r="I79" s="1">
        <v>1800</v>
      </c>
      <c r="J79" s="1">
        <v>5</v>
      </c>
      <c r="K79" s="1">
        <v>0</v>
      </c>
      <c r="L79" s="1">
        <v>0</v>
      </c>
      <c r="M79" s="1" t="s">
        <v>2013</v>
      </c>
      <c r="N79" s="1" t="s">
        <v>698</v>
      </c>
      <c r="O79" s="1">
        <v>0</v>
      </c>
      <c r="P79" s="1" t="s">
        <v>2048</v>
      </c>
      <c r="Q79" s="7" t="s">
        <v>2156</v>
      </c>
      <c r="R79" s="1">
        <v>0</v>
      </c>
    </row>
    <row r="80" spans="1:18" ht="14.25" thickBot="1">
      <c r="A80" s="1" t="s">
        <v>109</v>
      </c>
      <c r="B80" s="3">
        <v>1</v>
      </c>
      <c r="C80" s="9" t="s">
        <v>2093</v>
      </c>
      <c r="D80" s="1" t="s">
        <v>13</v>
      </c>
      <c r="E80" s="1">
        <v>6</v>
      </c>
      <c r="F80" s="1">
        <v>1</v>
      </c>
      <c r="G80" s="1">
        <v>15</v>
      </c>
      <c r="H80" s="10" t="s">
        <v>2120</v>
      </c>
      <c r="I80" s="1">
        <v>1500</v>
      </c>
      <c r="J80" s="1">
        <v>5</v>
      </c>
      <c r="K80" s="1">
        <v>0</v>
      </c>
      <c r="L80" s="1">
        <v>0</v>
      </c>
      <c r="M80" s="1" t="s">
        <v>1849</v>
      </c>
      <c r="N80" s="1" t="s">
        <v>698</v>
      </c>
      <c r="O80" s="1">
        <v>0</v>
      </c>
      <c r="P80" s="1" t="s">
        <v>2048</v>
      </c>
      <c r="Q80" s="7" t="s">
        <v>2157</v>
      </c>
      <c r="R80" s="1">
        <v>0</v>
      </c>
    </row>
    <row r="81" spans="1:18" ht="14.25" thickBot="1">
      <c r="A81" s="1" t="s">
        <v>110</v>
      </c>
      <c r="B81" s="2">
        <v>0</v>
      </c>
      <c r="C81" s="9" t="s">
        <v>2061</v>
      </c>
      <c r="D81" s="1" t="s">
        <v>13</v>
      </c>
      <c r="E81" s="1">
        <v>6</v>
      </c>
      <c r="F81" s="1">
        <v>1</v>
      </c>
      <c r="G81" s="1">
        <v>15</v>
      </c>
      <c r="H81" s="10" t="s">
        <v>2120</v>
      </c>
      <c r="I81" s="1">
        <v>1800</v>
      </c>
      <c r="J81" s="1">
        <v>5</v>
      </c>
      <c r="K81" s="1">
        <v>0</v>
      </c>
      <c r="L81" s="1">
        <v>0</v>
      </c>
      <c r="M81" s="1" t="s">
        <v>1850</v>
      </c>
      <c r="N81" s="1" t="s">
        <v>698</v>
      </c>
      <c r="O81" s="1">
        <v>0</v>
      </c>
      <c r="P81" s="1" t="s">
        <v>2048</v>
      </c>
      <c r="Q81" s="7" t="s">
        <v>2033</v>
      </c>
      <c r="R81" s="1">
        <v>0</v>
      </c>
    </row>
    <row r="82" spans="1:18" ht="14.25" thickBot="1">
      <c r="A82" s="1" t="s">
        <v>111</v>
      </c>
      <c r="B82" s="3">
        <v>1</v>
      </c>
      <c r="C82" s="1" t="s">
        <v>2521</v>
      </c>
      <c r="D82" s="1" t="s">
        <v>12</v>
      </c>
      <c r="E82" s="1">
        <v>5</v>
      </c>
      <c r="F82" s="1">
        <v>1</v>
      </c>
      <c r="G82" s="1">
        <v>15</v>
      </c>
      <c r="H82" s="10" t="s">
        <v>2121</v>
      </c>
      <c r="I82" s="1">
        <v>1500</v>
      </c>
      <c r="J82" s="1">
        <v>5</v>
      </c>
      <c r="K82" s="1">
        <v>0</v>
      </c>
      <c r="L82" s="1">
        <v>0</v>
      </c>
      <c r="M82" s="1" t="s">
        <v>1848</v>
      </c>
      <c r="N82" s="1" t="s">
        <v>698</v>
      </c>
      <c r="O82" s="1">
        <v>0</v>
      </c>
      <c r="P82" s="1" t="s">
        <v>2048</v>
      </c>
      <c r="Q82" s="7" t="s">
        <v>2158</v>
      </c>
      <c r="R82" s="1">
        <v>0</v>
      </c>
    </row>
    <row r="83" spans="1:18" ht="14.25" thickBot="1">
      <c r="A83" s="1" t="s">
        <v>112</v>
      </c>
      <c r="B83" s="3">
        <v>1</v>
      </c>
      <c r="C83" s="1" t="s">
        <v>2100</v>
      </c>
      <c r="D83" s="1" t="s">
        <v>12</v>
      </c>
      <c r="E83" s="1">
        <v>5</v>
      </c>
      <c r="F83" s="1">
        <v>1</v>
      </c>
      <c r="G83" s="1">
        <v>15</v>
      </c>
      <c r="H83" s="10" t="s">
        <v>2121</v>
      </c>
      <c r="I83" s="1">
        <v>1800</v>
      </c>
      <c r="J83" s="1">
        <v>5</v>
      </c>
      <c r="K83" s="1">
        <v>0</v>
      </c>
      <c r="L83" s="1">
        <v>0</v>
      </c>
      <c r="M83" s="1" t="s">
        <v>2013</v>
      </c>
      <c r="N83" s="1" t="s">
        <v>698</v>
      </c>
      <c r="O83" s="1">
        <v>0</v>
      </c>
      <c r="P83" s="1" t="s">
        <v>2048</v>
      </c>
      <c r="Q83" s="7" t="s">
        <v>2159</v>
      </c>
      <c r="R83" s="1">
        <v>0</v>
      </c>
    </row>
    <row r="84" spans="1:18" ht="14.25" thickBot="1">
      <c r="A84" s="1" t="s">
        <v>113</v>
      </c>
      <c r="B84" s="3">
        <v>1</v>
      </c>
      <c r="C84" s="9" t="s">
        <v>2101</v>
      </c>
      <c r="D84" s="1" t="s">
        <v>13</v>
      </c>
      <c r="E84" s="1">
        <v>6</v>
      </c>
      <c r="F84" s="1">
        <v>1</v>
      </c>
      <c r="G84" s="1">
        <v>15</v>
      </c>
      <c r="H84" s="10" t="s">
        <v>2121</v>
      </c>
      <c r="I84" s="1">
        <v>1500</v>
      </c>
      <c r="J84" s="1">
        <v>5</v>
      </c>
      <c r="K84" s="1">
        <v>0</v>
      </c>
      <c r="L84" s="1">
        <v>0</v>
      </c>
      <c r="M84" s="1" t="s">
        <v>1851</v>
      </c>
      <c r="N84" s="1" t="s">
        <v>698</v>
      </c>
      <c r="O84" s="1">
        <v>0</v>
      </c>
      <c r="P84" s="1" t="s">
        <v>2048</v>
      </c>
      <c r="Q84" s="7" t="s">
        <v>2160</v>
      </c>
      <c r="R84" s="1">
        <v>0</v>
      </c>
    </row>
    <row r="85" spans="1:18" ht="14.25" thickBot="1">
      <c r="A85" s="1" t="s">
        <v>114</v>
      </c>
      <c r="B85" s="2">
        <v>0</v>
      </c>
      <c r="C85" s="9" t="s">
        <v>2094</v>
      </c>
      <c r="D85" s="1" t="s">
        <v>13</v>
      </c>
      <c r="E85" s="1">
        <v>6</v>
      </c>
      <c r="F85" s="1">
        <v>1</v>
      </c>
      <c r="G85" s="1">
        <v>15</v>
      </c>
      <c r="H85" s="10" t="s">
        <v>2121</v>
      </c>
      <c r="I85" s="1">
        <v>1800</v>
      </c>
      <c r="J85" s="1">
        <v>5</v>
      </c>
      <c r="K85" s="1">
        <v>0</v>
      </c>
      <c r="L85" s="1">
        <v>0</v>
      </c>
      <c r="M85" s="1" t="s">
        <v>1852</v>
      </c>
      <c r="N85" s="1" t="s">
        <v>698</v>
      </c>
      <c r="O85" s="1">
        <v>0</v>
      </c>
      <c r="P85" s="1" t="s">
        <v>2048</v>
      </c>
      <c r="Q85" s="7" t="s">
        <v>2035</v>
      </c>
      <c r="R85" s="1">
        <v>0</v>
      </c>
    </row>
    <row r="86" spans="1:18" ht="14.25" thickBot="1">
      <c r="A86" s="1" t="s">
        <v>115</v>
      </c>
      <c r="B86" s="3">
        <v>1</v>
      </c>
      <c r="C86" s="9" t="s">
        <v>2102</v>
      </c>
      <c r="D86" s="1" t="s">
        <v>12</v>
      </c>
      <c r="E86" s="1">
        <v>5</v>
      </c>
      <c r="F86" s="1">
        <v>1</v>
      </c>
      <c r="G86" s="1">
        <v>15</v>
      </c>
      <c r="H86" s="10" t="s">
        <v>2122</v>
      </c>
      <c r="I86" s="1">
        <v>1500</v>
      </c>
      <c r="J86" s="1">
        <v>5</v>
      </c>
      <c r="K86" s="1">
        <v>0</v>
      </c>
      <c r="L86" s="1">
        <v>0</v>
      </c>
      <c r="M86" s="1" t="s">
        <v>1848</v>
      </c>
      <c r="N86" s="1" t="s">
        <v>698</v>
      </c>
      <c r="O86" s="1">
        <v>0</v>
      </c>
      <c r="P86" s="1" t="s">
        <v>2048</v>
      </c>
      <c r="Q86" s="7" t="s">
        <v>2161</v>
      </c>
      <c r="R86" s="1">
        <v>0</v>
      </c>
    </row>
    <row r="87" spans="1:18" ht="14.25" thickBot="1">
      <c r="A87" s="1" t="s">
        <v>116</v>
      </c>
      <c r="B87" s="3">
        <v>1</v>
      </c>
      <c r="C87" s="9" t="s">
        <v>2103</v>
      </c>
      <c r="D87" s="1" t="s">
        <v>12</v>
      </c>
      <c r="E87" s="1">
        <v>5</v>
      </c>
      <c r="F87" s="1">
        <v>1</v>
      </c>
      <c r="G87" s="1">
        <v>15</v>
      </c>
      <c r="H87" s="10" t="s">
        <v>2122</v>
      </c>
      <c r="I87" s="1">
        <v>1800</v>
      </c>
      <c r="J87" s="1">
        <v>5</v>
      </c>
      <c r="K87" s="1">
        <v>0</v>
      </c>
      <c r="L87" s="1">
        <v>0</v>
      </c>
      <c r="M87" s="1" t="s">
        <v>2013</v>
      </c>
      <c r="N87" s="1" t="s">
        <v>698</v>
      </c>
      <c r="O87" s="1">
        <v>0</v>
      </c>
      <c r="P87" s="1" t="s">
        <v>2048</v>
      </c>
      <c r="Q87" s="7" t="s">
        <v>2162</v>
      </c>
      <c r="R87" s="1">
        <v>0</v>
      </c>
    </row>
    <row r="88" spans="1:18" ht="14.25" thickBot="1">
      <c r="A88" s="1" t="s">
        <v>117</v>
      </c>
      <c r="B88" s="3">
        <v>1</v>
      </c>
      <c r="C88" s="9" t="s">
        <v>2522</v>
      </c>
      <c r="D88" s="1" t="s">
        <v>13</v>
      </c>
      <c r="E88" s="1">
        <v>6</v>
      </c>
      <c r="F88" s="1">
        <v>1</v>
      </c>
      <c r="G88" s="1">
        <v>15</v>
      </c>
      <c r="H88" s="10" t="s">
        <v>2122</v>
      </c>
      <c r="I88" s="1">
        <v>1500</v>
      </c>
      <c r="J88" s="1">
        <v>5</v>
      </c>
      <c r="K88" s="1">
        <v>0</v>
      </c>
      <c r="L88" s="1">
        <v>0</v>
      </c>
      <c r="M88" s="1" t="s">
        <v>1853</v>
      </c>
      <c r="N88" s="1" t="s">
        <v>698</v>
      </c>
      <c r="O88" s="1">
        <v>0</v>
      </c>
      <c r="P88" s="1" t="s">
        <v>2048</v>
      </c>
      <c r="Q88" s="7" t="s">
        <v>2163</v>
      </c>
      <c r="R88" s="1">
        <v>0</v>
      </c>
    </row>
    <row r="89" spans="1:18" ht="14.25" thickBot="1">
      <c r="A89" s="1" t="s">
        <v>118</v>
      </c>
      <c r="B89" s="2">
        <v>0</v>
      </c>
      <c r="C89" s="9" t="s">
        <v>2095</v>
      </c>
      <c r="D89" s="1" t="s">
        <v>13</v>
      </c>
      <c r="E89" s="1">
        <v>6</v>
      </c>
      <c r="F89" s="1">
        <v>1</v>
      </c>
      <c r="G89" s="1">
        <v>15</v>
      </c>
      <c r="H89" s="10" t="s">
        <v>2122</v>
      </c>
      <c r="I89" s="1">
        <v>1800</v>
      </c>
      <c r="J89" s="1">
        <v>5</v>
      </c>
      <c r="K89" s="1">
        <v>0</v>
      </c>
      <c r="L89" s="1">
        <v>0</v>
      </c>
      <c r="M89" s="1" t="s">
        <v>1854</v>
      </c>
      <c r="N89" s="1" t="s">
        <v>698</v>
      </c>
      <c r="O89" s="1">
        <v>0</v>
      </c>
      <c r="P89" s="1" t="s">
        <v>2048</v>
      </c>
      <c r="Q89" s="7" t="s">
        <v>2037</v>
      </c>
      <c r="R89" s="1">
        <v>0</v>
      </c>
    </row>
    <row r="90" spans="1:18" ht="14.25" thickBot="1">
      <c r="A90" s="1" t="s">
        <v>119</v>
      </c>
      <c r="B90" s="3">
        <v>1</v>
      </c>
      <c r="C90" s="1" t="s">
        <v>2080</v>
      </c>
      <c r="D90" s="1" t="s">
        <v>11</v>
      </c>
      <c r="E90" s="1">
        <v>4</v>
      </c>
      <c r="F90" s="1">
        <v>1</v>
      </c>
      <c r="G90" s="1">
        <v>15</v>
      </c>
      <c r="H90" s="10">
        <v>0</v>
      </c>
      <c r="I90" s="1">
        <v>1500</v>
      </c>
      <c r="J90" s="1">
        <v>5</v>
      </c>
      <c r="K90" s="1">
        <v>0</v>
      </c>
      <c r="L90" s="1">
        <v>0</v>
      </c>
      <c r="M90" s="1" t="s">
        <v>1855</v>
      </c>
      <c r="N90" s="1" t="s">
        <v>698</v>
      </c>
      <c r="O90" s="1">
        <v>0</v>
      </c>
      <c r="P90" s="1" t="s">
        <v>2048</v>
      </c>
      <c r="Q90" s="7" t="s">
        <v>2164</v>
      </c>
      <c r="R90" s="1">
        <v>0</v>
      </c>
    </row>
    <row r="91" spans="1:18" ht="14.25" thickBot="1">
      <c r="A91" s="1" t="s">
        <v>120</v>
      </c>
      <c r="B91" s="2">
        <v>0</v>
      </c>
      <c r="C91" s="1" t="s">
        <v>2499</v>
      </c>
      <c r="D91" s="1" t="s">
        <v>11</v>
      </c>
      <c r="E91" s="1">
        <v>4</v>
      </c>
      <c r="F91" s="1">
        <v>1</v>
      </c>
      <c r="G91" s="1">
        <v>15</v>
      </c>
      <c r="H91" s="10">
        <v>0</v>
      </c>
      <c r="I91" s="1">
        <v>1800</v>
      </c>
      <c r="J91" s="1">
        <v>5</v>
      </c>
      <c r="K91" s="1">
        <v>0</v>
      </c>
      <c r="L91" s="1">
        <v>0</v>
      </c>
      <c r="M91" s="1" t="s">
        <v>1856</v>
      </c>
      <c r="N91" s="1" t="s">
        <v>698</v>
      </c>
      <c r="O91" s="1">
        <v>0</v>
      </c>
      <c r="P91" s="1" t="s">
        <v>2048</v>
      </c>
      <c r="Q91" s="7" t="s">
        <v>2038</v>
      </c>
      <c r="R91" s="1">
        <v>0</v>
      </c>
    </row>
    <row r="92" spans="1:18" ht="14.25" thickBot="1">
      <c r="A92" s="1" t="s">
        <v>121</v>
      </c>
      <c r="B92" s="3">
        <v>1</v>
      </c>
      <c r="C92" s="1" t="s">
        <v>2088</v>
      </c>
      <c r="D92" s="1" t="s">
        <v>14</v>
      </c>
      <c r="E92" s="1">
        <v>7</v>
      </c>
      <c r="F92" s="1">
        <v>1</v>
      </c>
      <c r="G92" s="1">
        <v>15</v>
      </c>
      <c r="H92" s="10">
        <v>0</v>
      </c>
      <c r="I92" s="1">
        <v>1500</v>
      </c>
      <c r="J92" s="1">
        <v>5</v>
      </c>
      <c r="K92" s="1">
        <v>0</v>
      </c>
      <c r="L92" s="1">
        <v>0</v>
      </c>
      <c r="M92" s="1" t="s">
        <v>1855</v>
      </c>
      <c r="N92" s="1" t="s">
        <v>698</v>
      </c>
      <c r="O92" s="1">
        <v>0</v>
      </c>
      <c r="P92" s="1" t="s">
        <v>2048</v>
      </c>
      <c r="Q92" s="7" t="s">
        <v>2150</v>
      </c>
      <c r="R92" s="1">
        <v>0</v>
      </c>
    </row>
    <row r="93" spans="1:18" ht="14.25" thickBot="1">
      <c r="A93" s="1" t="s">
        <v>122</v>
      </c>
      <c r="B93" s="2">
        <v>0</v>
      </c>
      <c r="C93" s="1" t="s">
        <v>2501</v>
      </c>
      <c r="D93" s="1" t="s">
        <v>14</v>
      </c>
      <c r="E93" s="1">
        <v>7</v>
      </c>
      <c r="F93" s="1">
        <v>1</v>
      </c>
      <c r="G93" s="1">
        <v>15</v>
      </c>
      <c r="H93" s="10">
        <v>0</v>
      </c>
      <c r="I93" s="1">
        <v>1800</v>
      </c>
      <c r="J93" s="1">
        <v>5</v>
      </c>
      <c r="K93" s="1">
        <v>0</v>
      </c>
      <c r="L93" s="1">
        <v>0</v>
      </c>
      <c r="M93" s="1" t="s">
        <v>1857</v>
      </c>
      <c r="N93" s="1" t="s">
        <v>698</v>
      </c>
      <c r="O93" s="1">
        <v>0</v>
      </c>
      <c r="P93" s="1" t="s">
        <v>2048</v>
      </c>
      <c r="Q93" s="7" t="s">
        <v>2039</v>
      </c>
      <c r="R93" s="1">
        <v>0</v>
      </c>
    </row>
    <row r="94" spans="1:18" ht="14.25" thickBot="1">
      <c r="A94" s="1" t="s">
        <v>123</v>
      </c>
      <c r="B94" s="3">
        <v>1</v>
      </c>
      <c r="C94" s="1" t="s">
        <v>2523</v>
      </c>
      <c r="D94" s="1" t="s">
        <v>8</v>
      </c>
      <c r="E94" s="1">
        <v>1</v>
      </c>
      <c r="F94" s="1">
        <v>1</v>
      </c>
      <c r="G94" s="1">
        <v>20</v>
      </c>
      <c r="H94" s="10">
        <v>0</v>
      </c>
      <c r="I94" s="1">
        <v>2000</v>
      </c>
      <c r="J94" s="1">
        <v>5</v>
      </c>
      <c r="K94" s="1">
        <v>0</v>
      </c>
      <c r="L94" s="1">
        <v>0</v>
      </c>
      <c r="M94" s="1" t="s">
        <v>1858</v>
      </c>
      <c r="N94" s="1" t="s">
        <v>698</v>
      </c>
      <c r="O94" s="1">
        <v>0</v>
      </c>
      <c r="P94" s="1" t="s">
        <v>2049</v>
      </c>
      <c r="Q94" s="7" t="s">
        <v>2165</v>
      </c>
      <c r="R94" s="1">
        <v>0</v>
      </c>
    </row>
    <row r="95" spans="1:18" ht="14.25" thickBot="1">
      <c r="A95" s="1" t="s">
        <v>124</v>
      </c>
      <c r="B95" s="3">
        <v>1</v>
      </c>
      <c r="C95" s="1" t="s">
        <v>2524</v>
      </c>
      <c r="D95" s="1" t="s">
        <v>9</v>
      </c>
      <c r="E95" s="1">
        <v>2</v>
      </c>
      <c r="F95" s="1">
        <v>1</v>
      </c>
      <c r="G95" s="1">
        <v>20</v>
      </c>
      <c r="H95" s="10">
        <v>0</v>
      </c>
      <c r="I95" s="1">
        <v>2000</v>
      </c>
      <c r="J95" s="1">
        <v>5</v>
      </c>
      <c r="K95" s="1">
        <v>0</v>
      </c>
      <c r="L95" s="1">
        <v>0</v>
      </c>
      <c r="M95" s="1" t="s">
        <v>1839</v>
      </c>
      <c r="N95" s="1" t="s">
        <v>698</v>
      </c>
      <c r="O95" s="1">
        <v>0</v>
      </c>
      <c r="P95" s="1" t="s">
        <v>2049</v>
      </c>
      <c r="Q95" s="7" t="s">
        <v>2166</v>
      </c>
      <c r="R95" s="1">
        <v>0</v>
      </c>
    </row>
    <row r="96" spans="1:18" ht="14.25" thickBot="1">
      <c r="A96" s="1" t="s">
        <v>125</v>
      </c>
      <c r="B96" s="3">
        <v>1</v>
      </c>
      <c r="C96" s="1" t="s">
        <v>2867</v>
      </c>
      <c r="D96" s="1" t="s">
        <v>10</v>
      </c>
      <c r="E96" s="1">
        <v>3</v>
      </c>
      <c r="F96" s="1">
        <v>1</v>
      </c>
      <c r="G96" s="1">
        <v>20</v>
      </c>
      <c r="H96" s="10">
        <v>0</v>
      </c>
      <c r="I96" s="1">
        <v>2000</v>
      </c>
      <c r="J96" s="1">
        <v>5</v>
      </c>
      <c r="K96" s="1">
        <v>0</v>
      </c>
      <c r="L96" s="1">
        <v>0</v>
      </c>
      <c r="M96" s="1" t="s">
        <v>1859</v>
      </c>
      <c r="N96" s="1" t="s">
        <v>698</v>
      </c>
      <c r="O96" s="1">
        <v>0</v>
      </c>
      <c r="P96" s="1" t="s">
        <v>2049</v>
      </c>
      <c r="Q96" s="7" t="s">
        <v>2167</v>
      </c>
      <c r="R96" s="1">
        <v>0</v>
      </c>
    </row>
    <row r="97" spans="1:18" ht="14.25" thickBot="1">
      <c r="A97" s="1" t="s">
        <v>126</v>
      </c>
      <c r="B97" s="2">
        <v>1</v>
      </c>
      <c r="C97" s="1" t="s">
        <v>2525</v>
      </c>
      <c r="D97" s="1" t="s">
        <v>15</v>
      </c>
      <c r="E97" s="1">
        <v>8</v>
      </c>
      <c r="F97" s="1">
        <v>1</v>
      </c>
      <c r="G97" s="1">
        <v>20</v>
      </c>
      <c r="H97" s="10">
        <v>0</v>
      </c>
      <c r="I97" s="1">
        <v>2000</v>
      </c>
      <c r="J97" s="1">
        <v>5</v>
      </c>
      <c r="K97" s="1">
        <v>0</v>
      </c>
      <c r="L97" s="1">
        <v>0</v>
      </c>
      <c r="M97" s="1" t="s">
        <v>2471</v>
      </c>
      <c r="N97" s="1" t="s">
        <v>698</v>
      </c>
      <c r="O97" s="1">
        <v>0</v>
      </c>
      <c r="P97" s="1" t="s">
        <v>2049</v>
      </c>
      <c r="Q97" s="7" t="s">
        <v>2152</v>
      </c>
      <c r="R97" s="1">
        <v>0</v>
      </c>
    </row>
    <row r="98" spans="1:18" ht="14.25" thickBot="1">
      <c r="A98" s="1" t="s">
        <v>127</v>
      </c>
      <c r="B98" s="3">
        <v>1</v>
      </c>
      <c r="C98" s="1" t="s">
        <v>2526</v>
      </c>
      <c r="D98" s="1" t="s">
        <v>16</v>
      </c>
      <c r="E98" s="1">
        <v>9</v>
      </c>
      <c r="F98" s="1">
        <v>1</v>
      </c>
      <c r="G98" s="1">
        <v>20</v>
      </c>
      <c r="H98" s="10">
        <v>0</v>
      </c>
      <c r="I98" s="1">
        <v>2000</v>
      </c>
      <c r="J98" s="1">
        <v>5</v>
      </c>
      <c r="K98" s="1">
        <v>0</v>
      </c>
      <c r="L98" s="1">
        <v>0</v>
      </c>
      <c r="M98" s="1" t="s">
        <v>1861</v>
      </c>
      <c r="N98" s="1" t="s">
        <v>698</v>
      </c>
      <c r="O98" s="1">
        <v>0</v>
      </c>
      <c r="P98" s="1" t="s">
        <v>2049</v>
      </c>
      <c r="Q98" s="7" t="s">
        <v>2168</v>
      </c>
      <c r="R98" s="1">
        <v>0</v>
      </c>
    </row>
    <row r="99" spans="1:18" ht="14.25" thickBot="1">
      <c r="A99" s="1" t="s">
        <v>128</v>
      </c>
      <c r="B99" s="3">
        <v>1</v>
      </c>
      <c r="C99" s="1" t="s">
        <v>2527</v>
      </c>
      <c r="D99" s="1" t="s">
        <v>17</v>
      </c>
      <c r="E99" s="1">
        <v>10</v>
      </c>
      <c r="F99" s="1">
        <v>1</v>
      </c>
      <c r="G99" s="1">
        <v>20</v>
      </c>
      <c r="H99" s="10">
        <v>0</v>
      </c>
      <c r="I99" s="1">
        <v>2000</v>
      </c>
      <c r="J99" s="1">
        <v>5</v>
      </c>
      <c r="K99" s="1">
        <v>0</v>
      </c>
      <c r="L99" s="1">
        <v>0</v>
      </c>
      <c r="M99" s="1" t="s">
        <v>1862</v>
      </c>
      <c r="N99" s="1" t="s">
        <v>698</v>
      </c>
      <c r="O99" s="1">
        <v>0</v>
      </c>
      <c r="P99" s="1" t="s">
        <v>2049</v>
      </c>
      <c r="Q99" s="7" t="s">
        <v>2169</v>
      </c>
      <c r="R99" s="1">
        <v>0</v>
      </c>
    </row>
    <row r="100" spans="1:18" ht="14.25" thickBot="1">
      <c r="A100" s="1" t="s">
        <v>129</v>
      </c>
      <c r="B100" s="3">
        <v>1</v>
      </c>
      <c r="C100" s="9" t="s">
        <v>2104</v>
      </c>
      <c r="D100" s="1" t="s">
        <v>12</v>
      </c>
      <c r="E100" s="1">
        <v>5</v>
      </c>
      <c r="F100" s="1">
        <v>1</v>
      </c>
      <c r="G100" s="1">
        <v>20</v>
      </c>
      <c r="H100" s="10" t="s">
        <v>2120</v>
      </c>
      <c r="I100" s="1">
        <v>2000</v>
      </c>
      <c r="J100" s="1">
        <v>5</v>
      </c>
      <c r="K100" s="1">
        <v>0</v>
      </c>
      <c r="L100" s="1">
        <v>0</v>
      </c>
      <c r="M100" s="1" t="s">
        <v>2014</v>
      </c>
      <c r="N100" s="1" t="s">
        <v>698</v>
      </c>
      <c r="O100" s="1">
        <v>0</v>
      </c>
      <c r="P100" s="1" t="s">
        <v>2049</v>
      </c>
      <c r="Q100" s="7" t="s">
        <v>2170</v>
      </c>
      <c r="R100" s="1">
        <v>0</v>
      </c>
    </row>
    <row r="101" spans="1:18" ht="14.25" thickBot="1">
      <c r="A101" s="1" t="s">
        <v>130</v>
      </c>
      <c r="B101" s="2">
        <v>0</v>
      </c>
      <c r="C101" s="9" t="s">
        <v>2491</v>
      </c>
      <c r="D101" s="1" t="s">
        <v>12</v>
      </c>
      <c r="E101" s="1">
        <v>5</v>
      </c>
      <c r="F101" s="1">
        <v>1</v>
      </c>
      <c r="G101" s="1">
        <v>20</v>
      </c>
      <c r="H101" s="10" t="s">
        <v>2120</v>
      </c>
      <c r="I101" s="1">
        <v>2300</v>
      </c>
      <c r="J101" s="1">
        <v>5</v>
      </c>
      <c r="K101" s="1">
        <v>0</v>
      </c>
      <c r="L101" s="1">
        <v>0</v>
      </c>
      <c r="M101" s="1" t="s">
        <v>2015</v>
      </c>
      <c r="N101" s="1" t="s">
        <v>698</v>
      </c>
      <c r="O101" s="1">
        <v>0</v>
      </c>
      <c r="P101" s="1" t="s">
        <v>2049</v>
      </c>
      <c r="Q101" s="7" t="s">
        <v>2032</v>
      </c>
      <c r="R101" s="1">
        <v>0</v>
      </c>
    </row>
    <row r="102" spans="1:18" ht="14.25" thickBot="1">
      <c r="A102" s="1" t="s">
        <v>131</v>
      </c>
      <c r="B102" s="3">
        <v>1</v>
      </c>
      <c r="C102" s="9" t="s">
        <v>2528</v>
      </c>
      <c r="D102" s="1" t="s">
        <v>13</v>
      </c>
      <c r="E102" s="1">
        <v>6</v>
      </c>
      <c r="F102" s="1">
        <v>1</v>
      </c>
      <c r="G102" s="1">
        <v>20</v>
      </c>
      <c r="H102" s="10" t="s">
        <v>2120</v>
      </c>
      <c r="I102" s="1">
        <v>2000</v>
      </c>
      <c r="J102" s="1">
        <v>5</v>
      </c>
      <c r="K102" s="1">
        <v>0</v>
      </c>
      <c r="L102" s="1">
        <v>0</v>
      </c>
      <c r="M102" s="1" t="s">
        <v>1863</v>
      </c>
      <c r="N102" s="1" t="s">
        <v>698</v>
      </c>
      <c r="O102" s="1">
        <v>0</v>
      </c>
      <c r="P102" s="1" t="s">
        <v>2049</v>
      </c>
      <c r="Q102" s="7" t="s">
        <v>2171</v>
      </c>
      <c r="R102" s="1">
        <v>0</v>
      </c>
    </row>
    <row r="103" spans="1:18" ht="14.25" thickBot="1">
      <c r="A103" s="1" t="s">
        <v>132</v>
      </c>
      <c r="B103" s="2">
        <v>0</v>
      </c>
      <c r="C103" s="9" t="s">
        <v>2061</v>
      </c>
      <c r="D103" s="1" t="s">
        <v>13</v>
      </c>
      <c r="E103" s="1">
        <v>6</v>
      </c>
      <c r="F103" s="1">
        <v>1</v>
      </c>
      <c r="G103" s="1">
        <v>20</v>
      </c>
      <c r="H103" s="10" t="s">
        <v>2120</v>
      </c>
      <c r="I103" s="1">
        <v>2300</v>
      </c>
      <c r="J103" s="1">
        <v>5</v>
      </c>
      <c r="K103" s="1">
        <v>0</v>
      </c>
      <c r="L103" s="1">
        <v>0</v>
      </c>
      <c r="M103" s="1" t="s">
        <v>1864</v>
      </c>
      <c r="N103" s="1" t="s">
        <v>698</v>
      </c>
      <c r="O103" s="1">
        <v>0</v>
      </c>
      <c r="P103" s="1" t="s">
        <v>2049</v>
      </c>
      <c r="Q103" s="7" t="s">
        <v>2033</v>
      </c>
      <c r="R103" s="1">
        <v>0</v>
      </c>
    </row>
    <row r="104" spans="1:18" ht="14.25" thickBot="1">
      <c r="A104" s="1" t="s">
        <v>133</v>
      </c>
      <c r="B104" s="3">
        <v>1</v>
      </c>
      <c r="C104" s="1" t="s">
        <v>2105</v>
      </c>
      <c r="D104" s="1" t="s">
        <v>12</v>
      </c>
      <c r="E104" s="1">
        <v>5</v>
      </c>
      <c r="F104" s="1">
        <v>1</v>
      </c>
      <c r="G104" s="1">
        <v>20</v>
      </c>
      <c r="H104" s="10" t="s">
        <v>2121</v>
      </c>
      <c r="I104" s="1">
        <v>2000</v>
      </c>
      <c r="J104" s="1">
        <v>5</v>
      </c>
      <c r="K104" s="1">
        <v>0</v>
      </c>
      <c r="L104" s="1">
        <v>0</v>
      </c>
      <c r="M104" s="1" t="s">
        <v>2014</v>
      </c>
      <c r="N104" s="1" t="s">
        <v>698</v>
      </c>
      <c r="O104" s="1">
        <v>0</v>
      </c>
      <c r="P104" s="1" t="s">
        <v>2049</v>
      </c>
      <c r="Q104" s="7" t="s">
        <v>2172</v>
      </c>
      <c r="R104" s="1">
        <v>0</v>
      </c>
    </row>
    <row r="105" spans="1:18" ht="14.25" thickBot="1">
      <c r="A105" s="1" t="s">
        <v>134</v>
      </c>
      <c r="B105" s="2">
        <v>0</v>
      </c>
      <c r="C105" s="1" t="s">
        <v>2494</v>
      </c>
      <c r="D105" s="1" t="s">
        <v>12</v>
      </c>
      <c r="E105" s="1">
        <v>5</v>
      </c>
      <c r="F105" s="1">
        <v>1</v>
      </c>
      <c r="G105" s="1">
        <v>20</v>
      </c>
      <c r="H105" s="10" t="s">
        <v>2121</v>
      </c>
      <c r="I105" s="1">
        <v>2300</v>
      </c>
      <c r="J105" s="1">
        <v>5</v>
      </c>
      <c r="K105" s="1">
        <v>0</v>
      </c>
      <c r="L105" s="1">
        <v>0</v>
      </c>
      <c r="M105" s="1" t="s">
        <v>2015</v>
      </c>
      <c r="N105" s="1" t="s">
        <v>698</v>
      </c>
      <c r="O105" s="1">
        <v>0</v>
      </c>
      <c r="P105" s="1" t="s">
        <v>2049</v>
      </c>
      <c r="Q105" s="7" t="s">
        <v>2034</v>
      </c>
      <c r="R105" s="1">
        <v>0</v>
      </c>
    </row>
    <row r="106" spans="1:18" ht="14.25" thickBot="1">
      <c r="A106" s="1" t="s">
        <v>135</v>
      </c>
      <c r="B106" s="3">
        <v>1</v>
      </c>
      <c r="C106" s="9" t="s">
        <v>2106</v>
      </c>
      <c r="D106" s="1" t="s">
        <v>13</v>
      </c>
      <c r="E106" s="1">
        <v>6</v>
      </c>
      <c r="F106" s="1">
        <v>1</v>
      </c>
      <c r="G106" s="1">
        <v>20</v>
      </c>
      <c r="H106" s="10" t="s">
        <v>2121</v>
      </c>
      <c r="I106" s="1">
        <v>2000</v>
      </c>
      <c r="J106" s="1">
        <v>5</v>
      </c>
      <c r="K106" s="1">
        <v>0</v>
      </c>
      <c r="L106" s="1">
        <v>0</v>
      </c>
      <c r="M106" s="1" t="s">
        <v>1865</v>
      </c>
      <c r="N106" s="1" t="s">
        <v>698</v>
      </c>
      <c r="O106" s="1">
        <v>0</v>
      </c>
      <c r="P106" s="1" t="s">
        <v>2049</v>
      </c>
      <c r="Q106" s="7" t="s">
        <v>2173</v>
      </c>
      <c r="R106" s="1">
        <v>0</v>
      </c>
    </row>
    <row r="107" spans="1:18" ht="14.25" thickBot="1">
      <c r="A107" s="1" t="s">
        <v>136</v>
      </c>
      <c r="B107" s="2">
        <v>0</v>
      </c>
      <c r="C107" s="9" t="s">
        <v>2094</v>
      </c>
      <c r="D107" s="1" t="s">
        <v>13</v>
      </c>
      <c r="E107" s="1">
        <v>6</v>
      </c>
      <c r="F107" s="1">
        <v>1</v>
      </c>
      <c r="G107" s="1">
        <v>20</v>
      </c>
      <c r="H107" s="10" t="s">
        <v>2121</v>
      </c>
      <c r="I107" s="1">
        <v>2300</v>
      </c>
      <c r="J107" s="1">
        <v>5</v>
      </c>
      <c r="K107" s="1">
        <v>0</v>
      </c>
      <c r="L107" s="1">
        <v>0</v>
      </c>
      <c r="M107" s="1" t="s">
        <v>1866</v>
      </c>
      <c r="N107" s="1" t="s">
        <v>698</v>
      </c>
      <c r="O107" s="1">
        <v>0</v>
      </c>
      <c r="P107" s="1" t="s">
        <v>2049</v>
      </c>
      <c r="Q107" s="7" t="s">
        <v>2035</v>
      </c>
      <c r="R107" s="1">
        <v>0</v>
      </c>
    </row>
    <row r="108" spans="1:18" ht="14.25" thickBot="1">
      <c r="A108" s="1" t="s">
        <v>137</v>
      </c>
      <c r="B108" s="3">
        <v>1</v>
      </c>
      <c r="C108" s="9" t="s">
        <v>2107</v>
      </c>
      <c r="D108" s="1" t="s">
        <v>12</v>
      </c>
      <c r="E108" s="1">
        <v>5</v>
      </c>
      <c r="F108" s="1">
        <v>1</v>
      </c>
      <c r="G108" s="1">
        <v>20</v>
      </c>
      <c r="H108" s="10" t="s">
        <v>2122</v>
      </c>
      <c r="I108" s="1">
        <v>2000</v>
      </c>
      <c r="J108" s="1">
        <v>5</v>
      </c>
      <c r="K108" s="1">
        <v>0</v>
      </c>
      <c r="L108" s="1">
        <v>0</v>
      </c>
      <c r="M108" s="1" t="s">
        <v>2014</v>
      </c>
      <c r="N108" s="1" t="s">
        <v>698</v>
      </c>
      <c r="O108" s="1">
        <v>0</v>
      </c>
      <c r="P108" s="1" t="s">
        <v>2049</v>
      </c>
      <c r="Q108" s="7" t="s">
        <v>2174</v>
      </c>
      <c r="R108" s="1">
        <v>0</v>
      </c>
    </row>
    <row r="109" spans="1:18" ht="14.25" thickBot="1">
      <c r="A109" s="1" t="s">
        <v>138</v>
      </c>
      <c r="B109" s="3">
        <v>1</v>
      </c>
      <c r="C109" s="9" t="s">
        <v>2529</v>
      </c>
      <c r="D109" s="1" t="s">
        <v>12</v>
      </c>
      <c r="E109" s="1">
        <v>5</v>
      </c>
      <c r="F109" s="1">
        <v>1</v>
      </c>
      <c r="G109" s="1">
        <v>20</v>
      </c>
      <c r="H109" s="10" t="s">
        <v>2122</v>
      </c>
      <c r="I109" s="1">
        <v>2300</v>
      </c>
      <c r="J109" s="1">
        <v>5</v>
      </c>
      <c r="K109" s="1">
        <v>0</v>
      </c>
      <c r="L109" s="1">
        <v>0</v>
      </c>
      <c r="M109" s="1" t="s">
        <v>2015</v>
      </c>
      <c r="N109" s="1" t="s">
        <v>698</v>
      </c>
      <c r="O109" s="1">
        <v>0</v>
      </c>
      <c r="P109" s="1" t="s">
        <v>2049</v>
      </c>
      <c r="Q109" s="7" t="s">
        <v>2175</v>
      </c>
      <c r="R109" s="1">
        <v>0</v>
      </c>
    </row>
    <row r="110" spans="1:18" ht="14.25" thickBot="1">
      <c r="A110" s="1" t="s">
        <v>139</v>
      </c>
      <c r="B110" s="3">
        <v>1</v>
      </c>
      <c r="C110" s="9" t="s">
        <v>2530</v>
      </c>
      <c r="D110" s="1" t="s">
        <v>13</v>
      </c>
      <c r="E110" s="1">
        <v>6</v>
      </c>
      <c r="F110" s="1">
        <v>1</v>
      </c>
      <c r="G110" s="1">
        <v>20</v>
      </c>
      <c r="H110" s="10" t="s">
        <v>2122</v>
      </c>
      <c r="I110" s="1">
        <v>2000</v>
      </c>
      <c r="J110" s="1">
        <v>5</v>
      </c>
      <c r="K110" s="1">
        <v>0</v>
      </c>
      <c r="L110" s="1">
        <v>0</v>
      </c>
      <c r="M110" s="1" t="s">
        <v>1867</v>
      </c>
      <c r="N110" s="1" t="s">
        <v>698</v>
      </c>
      <c r="O110" s="1">
        <v>0</v>
      </c>
      <c r="P110" s="1" t="s">
        <v>2049</v>
      </c>
      <c r="Q110" s="7" t="s">
        <v>2176</v>
      </c>
      <c r="R110" s="1">
        <v>0</v>
      </c>
    </row>
    <row r="111" spans="1:18" ht="14.25" thickBot="1">
      <c r="A111" s="1" t="s">
        <v>140</v>
      </c>
      <c r="B111" s="2">
        <v>0</v>
      </c>
      <c r="C111" s="9" t="s">
        <v>2095</v>
      </c>
      <c r="D111" s="1" t="s">
        <v>13</v>
      </c>
      <c r="E111" s="1">
        <v>6</v>
      </c>
      <c r="F111" s="1">
        <v>1</v>
      </c>
      <c r="G111" s="1">
        <v>20</v>
      </c>
      <c r="H111" s="10" t="s">
        <v>2122</v>
      </c>
      <c r="I111" s="1">
        <v>2300</v>
      </c>
      <c r="J111" s="1">
        <v>5</v>
      </c>
      <c r="K111" s="1">
        <v>0</v>
      </c>
      <c r="L111" s="1">
        <v>0</v>
      </c>
      <c r="M111" s="1" t="s">
        <v>1868</v>
      </c>
      <c r="N111" s="1" t="s">
        <v>698</v>
      </c>
      <c r="O111" s="1">
        <v>0</v>
      </c>
      <c r="P111" s="1" t="s">
        <v>2049</v>
      </c>
      <c r="Q111" s="7" t="s">
        <v>2037</v>
      </c>
      <c r="R111" s="1">
        <v>0</v>
      </c>
    </row>
    <row r="112" spans="1:18" ht="14.25" thickBot="1">
      <c r="A112" s="1" t="s">
        <v>141</v>
      </c>
      <c r="B112" s="3">
        <v>1</v>
      </c>
      <c r="C112" s="1" t="s">
        <v>2081</v>
      </c>
      <c r="D112" s="1" t="s">
        <v>11</v>
      </c>
      <c r="E112" s="1">
        <v>4</v>
      </c>
      <c r="F112" s="1">
        <v>1</v>
      </c>
      <c r="G112" s="1">
        <v>20</v>
      </c>
      <c r="H112" s="10">
        <v>0</v>
      </c>
      <c r="I112" s="1">
        <v>2000</v>
      </c>
      <c r="J112" s="1">
        <v>5</v>
      </c>
      <c r="K112" s="1">
        <v>0</v>
      </c>
      <c r="L112" s="1">
        <v>0</v>
      </c>
      <c r="M112" s="1" t="s">
        <v>1869</v>
      </c>
      <c r="N112" s="1" t="s">
        <v>698</v>
      </c>
      <c r="O112" s="1">
        <v>0</v>
      </c>
      <c r="P112" s="1" t="s">
        <v>2049</v>
      </c>
      <c r="Q112" s="7" t="s">
        <v>2177</v>
      </c>
      <c r="R112" s="1">
        <v>0</v>
      </c>
    </row>
    <row r="113" spans="1:18" ht="14.25" thickBot="1">
      <c r="A113" s="1" t="s">
        <v>142</v>
      </c>
      <c r="B113" s="3">
        <v>1</v>
      </c>
      <c r="C113" s="1" t="s">
        <v>2082</v>
      </c>
      <c r="D113" s="1" t="s">
        <v>11</v>
      </c>
      <c r="E113" s="1">
        <v>4</v>
      </c>
      <c r="F113" s="1">
        <v>1</v>
      </c>
      <c r="G113" s="1">
        <v>20</v>
      </c>
      <c r="H113" s="10">
        <v>0</v>
      </c>
      <c r="I113" s="1">
        <v>2300</v>
      </c>
      <c r="J113" s="1">
        <v>5</v>
      </c>
      <c r="K113" s="1">
        <v>0</v>
      </c>
      <c r="L113" s="1">
        <v>0</v>
      </c>
      <c r="M113" s="1" t="s">
        <v>1870</v>
      </c>
      <c r="N113" s="1" t="s">
        <v>698</v>
      </c>
      <c r="O113" s="1">
        <v>0</v>
      </c>
      <c r="P113" s="1" t="s">
        <v>2049</v>
      </c>
      <c r="Q113" s="7" t="s">
        <v>2178</v>
      </c>
      <c r="R113" s="1">
        <v>0</v>
      </c>
    </row>
    <row r="114" spans="1:18" ht="14.25" thickBot="1">
      <c r="A114" s="1" t="s">
        <v>143</v>
      </c>
      <c r="B114" s="3">
        <v>1</v>
      </c>
      <c r="C114" s="1" t="s">
        <v>2531</v>
      </c>
      <c r="D114" s="1" t="s">
        <v>14</v>
      </c>
      <c r="E114" s="1">
        <v>7</v>
      </c>
      <c r="F114" s="1">
        <v>1</v>
      </c>
      <c r="G114" s="1">
        <v>20</v>
      </c>
      <c r="H114" s="10">
        <v>0</v>
      </c>
      <c r="I114" s="1">
        <v>2000</v>
      </c>
      <c r="J114" s="1">
        <v>5</v>
      </c>
      <c r="K114" s="1">
        <v>0</v>
      </c>
      <c r="L114" s="1">
        <v>0</v>
      </c>
      <c r="M114" s="1" t="s">
        <v>1871</v>
      </c>
      <c r="N114" s="1" t="s">
        <v>698</v>
      </c>
      <c r="O114" s="1">
        <v>0</v>
      </c>
      <c r="P114" s="1" t="s">
        <v>2049</v>
      </c>
      <c r="Q114" s="7" t="s">
        <v>2179</v>
      </c>
      <c r="R114" s="1">
        <v>0</v>
      </c>
    </row>
    <row r="115" spans="1:18" ht="14.25" thickBot="1">
      <c r="A115" s="1" t="s">
        <v>144</v>
      </c>
      <c r="B115" s="3">
        <v>1</v>
      </c>
      <c r="C115" s="1" t="s">
        <v>2532</v>
      </c>
      <c r="D115" s="1" t="s">
        <v>14</v>
      </c>
      <c r="E115" s="1">
        <v>7</v>
      </c>
      <c r="F115" s="1">
        <v>1</v>
      </c>
      <c r="G115" s="1">
        <v>20</v>
      </c>
      <c r="H115" s="10">
        <v>0</v>
      </c>
      <c r="I115" s="1">
        <v>2300</v>
      </c>
      <c r="J115" s="1">
        <v>5</v>
      </c>
      <c r="K115" s="1">
        <v>0</v>
      </c>
      <c r="L115" s="1">
        <v>0</v>
      </c>
      <c r="M115" s="1" t="s">
        <v>1872</v>
      </c>
      <c r="N115" s="1" t="s">
        <v>698</v>
      </c>
      <c r="O115" s="1">
        <v>0</v>
      </c>
      <c r="P115" s="1" t="s">
        <v>2049</v>
      </c>
      <c r="Q115" s="7" t="s">
        <v>2180</v>
      </c>
      <c r="R115" s="1">
        <v>0</v>
      </c>
    </row>
    <row r="116" spans="1:18" ht="14.25" thickBot="1">
      <c r="A116" s="1" t="s">
        <v>145</v>
      </c>
      <c r="B116" s="3">
        <v>1</v>
      </c>
      <c r="C116" s="1" t="s">
        <v>2062</v>
      </c>
      <c r="D116" s="1" t="s">
        <v>8</v>
      </c>
      <c r="E116" s="1">
        <v>1</v>
      </c>
      <c r="F116" s="1">
        <v>1</v>
      </c>
      <c r="G116" s="1">
        <v>25</v>
      </c>
      <c r="H116" s="10">
        <v>0</v>
      </c>
      <c r="I116" s="1">
        <v>2500</v>
      </c>
      <c r="J116" s="1">
        <v>5</v>
      </c>
      <c r="K116" s="1">
        <v>0</v>
      </c>
      <c r="L116" s="1">
        <v>0</v>
      </c>
      <c r="M116" s="1" t="s">
        <v>1873</v>
      </c>
      <c r="N116" s="1" t="s">
        <v>698</v>
      </c>
      <c r="O116" s="1">
        <v>0</v>
      </c>
      <c r="P116" s="1" t="s">
        <v>2050</v>
      </c>
      <c r="Q116" s="7" t="s">
        <v>2181</v>
      </c>
      <c r="R116" s="1">
        <v>0</v>
      </c>
    </row>
    <row r="117" spans="1:18" ht="14.25" thickBot="1">
      <c r="A117" s="1" t="s">
        <v>146</v>
      </c>
      <c r="B117" s="3">
        <v>1</v>
      </c>
      <c r="C117" s="1" t="s">
        <v>2334</v>
      </c>
      <c r="D117" s="1" t="s">
        <v>9</v>
      </c>
      <c r="E117" s="1">
        <v>2</v>
      </c>
      <c r="F117" s="1">
        <v>1</v>
      </c>
      <c r="G117" s="1">
        <v>25</v>
      </c>
      <c r="H117" s="10">
        <v>0</v>
      </c>
      <c r="I117" s="1">
        <v>2500</v>
      </c>
      <c r="J117" s="1">
        <v>5</v>
      </c>
      <c r="K117" s="1">
        <v>0</v>
      </c>
      <c r="L117" s="1">
        <v>0</v>
      </c>
      <c r="M117" s="1" t="s">
        <v>1874</v>
      </c>
      <c r="N117" s="1" t="s">
        <v>698</v>
      </c>
      <c r="O117" s="1">
        <v>0</v>
      </c>
      <c r="P117" s="1" t="s">
        <v>2050</v>
      </c>
      <c r="Q117" s="7" t="s">
        <v>2182</v>
      </c>
      <c r="R117" s="1">
        <v>0</v>
      </c>
    </row>
    <row r="118" spans="1:18" ht="14.25" thickBot="1">
      <c r="A118" s="1" t="s">
        <v>147</v>
      </c>
      <c r="B118" s="3">
        <v>1</v>
      </c>
      <c r="C118" s="1" t="s">
        <v>2533</v>
      </c>
      <c r="D118" s="1" t="s">
        <v>10</v>
      </c>
      <c r="E118" s="1">
        <v>3</v>
      </c>
      <c r="F118" s="1">
        <v>1</v>
      </c>
      <c r="G118" s="1">
        <v>25</v>
      </c>
      <c r="H118" s="10">
        <v>0</v>
      </c>
      <c r="I118" s="1">
        <v>2500</v>
      </c>
      <c r="J118" s="1">
        <v>5</v>
      </c>
      <c r="K118" s="1">
        <v>0</v>
      </c>
      <c r="L118" s="1">
        <v>0</v>
      </c>
      <c r="M118" s="1" t="s">
        <v>1875</v>
      </c>
      <c r="N118" s="1" t="s">
        <v>698</v>
      </c>
      <c r="O118" s="1">
        <v>0</v>
      </c>
      <c r="P118" s="1" t="s">
        <v>2050</v>
      </c>
      <c r="Q118" s="7" t="s">
        <v>2183</v>
      </c>
      <c r="R118" s="1">
        <v>0</v>
      </c>
    </row>
    <row r="119" spans="1:18" ht="14.25" thickBot="1">
      <c r="A119" s="1" t="s">
        <v>148</v>
      </c>
      <c r="B119" s="3">
        <v>1</v>
      </c>
      <c r="C119" s="1" t="s">
        <v>2534</v>
      </c>
      <c r="D119" s="1" t="s">
        <v>15</v>
      </c>
      <c r="E119" s="1">
        <v>8</v>
      </c>
      <c r="F119" s="1">
        <v>1</v>
      </c>
      <c r="G119" s="1">
        <v>25</v>
      </c>
      <c r="H119" s="10">
        <v>0</v>
      </c>
      <c r="I119" s="1">
        <v>2500</v>
      </c>
      <c r="J119" s="1">
        <v>5</v>
      </c>
      <c r="K119" s="1">
        <v>0</v>
      </c>
      <c r="L119" s="1">
        <v>0</v>
      </c>
      <c r="M119" s="1" t="s">
        <v>1860</v>
      </c>
      <c r="N119" s="1" t="s">
        <v>698</v>
      </c>
      <c r="O119" s="1">
        <v>0</v>
      </c>
      <c r="P119" s="1" t="s">
        <v>2050</v>
      </c>
      <c r="Q119" s="7" t="s">
        <v>2184</v>
      </c>
      <c r="R119" s="1">
        <v>0</v>
      </c>
    </row>
    <row r="120" spans="1:18" ht="14.25" thickBot="1">
      <c r="A120" s="1" t="s">
        <v>149</v>
      </c>
      <c r="B120" s="2">
        <v>1</v>
      </c>
      <c r="C120" s="1" t="s">
        <v>2535</v>
      </c>
      <c r="D120" s="1" t="s">
        <v>16</v>
      </c>
      <c r="E120" s="1">
        <v>9</v>
      </c>
      <c r="F120" s="1">
        <v>1</v>
      </c>
      <c r="G120" s="1">
        <v>25</v>
      </c>
      <c r="H120" s="10">
        <v>0</v>
      </c>
      <c r="I120" s="1">
        <v>2500</v>
      </c>
      <c r="J120" s="1">
        <v>5</v>
      </c>
      <c r="K120" s="1">
        <v>0</v>
      </c>
      <c r="L120" s="1">
        <v>0</v>
      </c>
      <c r="M120" s="1" t="s">
        <v>1876</v>
      </c>
      <c r="N120" s="1" t="s">
        <v>698</v>
      </c>
      <c r="O120" s="1">
        <v>0</v>
      </c>
      <c r="P120" s="1" t="s">
        <v>2050</v>
      </c>
      <c r="Q120" s="7" t="s">
        <v>2153</v>
      </c>
      <c r="R120" s="1">
        <v>0</v>
      </c>
    </row>
    <row r="121" spans="1:18" ht="14.25" thickBot="1">
      <c r="A121" s="1" t="s">
        <v>150</v>
      </c>
      <c r="B121" s="3">
        <v>1</v>
      </c>
      <c r="C121" s="1" t="s">
        <v>2077</v>
      </c>
      <c r="D121" s="1" t="s">
        <v>17</v>
      </c>
      <c r="E121" s="1">
        <v>10</v>
      </c>
      <c r="F121" s="1">
        <v>1</v>
      </c>
      <c r="G121" s="1">
        <v>25</v>
      </c>
      <c r="H121" s="10">
        <v>0</v>
      </c>
      <c r="I121" s="1">
        <v>2500</v>
      </c>
      <c r="J121" s="1">
        <v>5</v>
      </c>
      <c r="K121" s="1">
        <v>0</v>
      </c>
      <c r="L121" s="1">
        <v>0</v>
      </c>
      <c r="M121" s="1" t="s">
        <v>1877</v>
      </c>
      <c r="N121" s="1" t="s">
        <v>698</v>
      </c>
      <c r="O121" s="1">
        <v>0</v>
      </c>
      <c r="P121" s="1" t="s">
        <v>2050</v>
      </c>
      <c r="Q121" s="7" t="s">
        <v>2185</v>
      </c>
      <c r="R121" s="1">
        <v>0</v>
      </c>
    </row>
    <row r="122" spans="1:18" ht="14.25" thickBot="1">
      <c r="A122" s="1" t="s">
        <v>151</v>
      </c>
      <c r="B122" s="3">
        <v>1</v>
      </c>
      <c r="C122" s="9" t="s">
        <v>2536</v>
      </c>
      <c r="D122" s="1" t="s">
        <v>12</v>
      </c>
      <c r="E122" s="1">
        <v>5</v>
      </c>
      <c r="F122" s="1">
        <v>1</v>
      </c>
      <c r="G122" s="1">
        <v>25</v>
      </c>
      <c r="H122" s="10" t="s">
        <v>2120</v>
      </c>
      <c r="I122" s="1">
        <v>2500</v>
      </c>
      <c r="J122" s="1">
        <v>5</v>
      </c>
      <c r="K122" s="1">
        <v>0</v>
      </c>
      <c r="L122" s="1">
        <v>0</v>
      </c>
      <c r="M122" s="1" t="s">
        <v>1878</v>
      </c>
      <c r="N122" s="1" t="s">
        <v>698</v>
      </c>
      <c r="O122" s="1">
        <v>0</v>
      </c>
      <c r="P122" s="1" t="s">
        <v>2050</v>
      </c>
      <c r="Q122" s="7" t="s">
        <v>2186</v>
      </c>
      <c r="R122" s="1">
        <v>0</v>
      </c>
    </row>
    <row r="123" spans="1:18" ht="14.25" thickBot="1">
      <c r="A123" s="1" t="s">
        <v>152</v>
      </c>
      <c r="B123" s="3">
        <v>1</v>
      </c>
      <c r="C123" s="9" t="s">
        <v>2537</v>
      </c>
      <c r="D123" s="1" t="s">
        <v>12</v>
      </c>
      <c r="E123" s="1">
        <v>5</v>
      </c>
      <c r="F123" s="1">
        <v>1</v>
      </c>
      <c r="G123" s="1">
        <v>25</v>
      </c>
      <c r="H123" s="10" t="s">
        <v>2120</v>
      </c>
      <c r="I123" s="1">
        <v>2800</v>
      </c>
      <c r="J123" s="1">
        <v>5</v>
      </c>
      <c r="K123" s="1">
        <v>0</v>
      </c>
      <c r="L123" s="1">
        <v>0</v>
      </c>
      <c r="M123" s="1" t="s">
        <v>2016</v>
      </c>
      <c r="N123" s="1" t="s">
        <v>698</v>
      </c>
      <c r="O123" s="1">
        <v>0</v>
      </c>
      <c r="P123" s="1" t="s">
        <v>2050</v>
      </c>
      <c r="Q123" s="7" t="s">
        <v>2187</v>
      </c>
      <c r="R123" s="1">
        <v>0</v>
      </c>
    </row>
    <row r="124" spans="1:18" ht="14.25" thickBot="1">
      <c r="A124" s="1" t="s">
        <v>153</v>
      </c>
      <c r="B124" s="3">
        <v>1</v>
      </c>
      <c r="C124" s="9" t="s">
        <v>2538</v>
      </c>
      <c r="D124" s="1" t="s">
        <v>13</v>
      </c>
      <c r="E124" s="1">
        <v>6</v>
      </c>
      <c r="F124" s="1">
        <v>1</v>
      </c>
      <c r="G124" s="1">
        <v>25</v>
      </c>
      <c r="H124" s="10" t="s">
        <v>2120</v>
      </c>
      <c r="I124" s="1">
        <v>2500</v>
      </c>
      <c r="J124" s="1">
        <v>5</v>
      </c>
      <c r="K124" s="1">
        <v>0</v>
      </c>
      <c r="L124" s="1">
        <v>0</v>
      </c>
      <c r="M124" s="1" t="s">
        <v>1879</v>
      </c>
      <c r="N124" s="1" t="s">
        <v>698</v>
      </c>
      <c r="O124" s="1">
        <v>0</v>
      </c>
      <c r="P124" s="1" t="s">
        <v>2050</v>
      </c>
      <c r="Q124" s="7" t="s">
        <v>2188</v>
      </c>
      <c r="R124" s="1">
        <v>0</v>
      </c>
    </row>
    <row r="125" spans="1:18" ht="14.25" thickBot="1">
      <c r="A125" s="1" t="s">
        <v>154</v>
      </c>
      <c r="B125" s="2">
        <v>0</v>
      </c>
      <c r="C125" s="9" t="s">
        <v>2061</v>
      </c>
      <c r="D125" s="1" t="s">
        <v>13</v>
      </c>
      <c r="E125" s="1">
        <v>6</v>
      </c>
      <c r="F125" s="1">
        <v>1</v>
      </c>
      <c r="G125" s="1">
        <v>25</v>
      </c>
      <c r="H125" s="10" t="s">
        <v>2120</v>
      </c>
      <c r="I125" s="1">
        <v>2800</v>
      </c>
      <c r="J125" s="1">
        <v>5</v>
      </c>
      <c r="K125" s="1">
        <v>0</v>
      </c>
      <c r="L125" s="1">
        <v>0</v>
      </c>
      <c r="M125" s="1" t="s">
        <v>1880</v>
      </c>
      <c r="N125" s="1" t="s">
        <v>698</v>
      </c>
      <c r="O125" s="1">
        <v>0</v>
      </c>
      <c r="P125" s="1" t="s">
        <v>2050</v>
      </c>
      <c r="Q125" s="7" t="s">
        <v>2033</v>
      </c>
      <c r="R125" s="1">
        <v>0</v>
      </c>
    </row>
    <row r="126" spans="1:18" ht="14.25" thickBot="1">
      <c r="A126" s="1" t="s">
        <v>155</v>
      </c>
      <c r="B126" s="3">
        <v>1</v>
      </c>
      <c r="C126" s="1" t="s">
        <v>2108</v>
      </c>
      <c r="D126" s="1" t="s">
        <v>12</v>
      </c>
      <c r="E126" s="1">
        <v>5</v>
      </c>
      <c r="F126" s="1">
        <v>1</v>
      </c>
      <c r="G126" s="1">
        <v>25</v>
      </c>
      <c r="H126" s="10" t="s">
        <v>2121</v>
      </c>
      <c r="I126" s="1">
        <v>2500</v>
      </c>
      <c r="J126" s="1">
        <v>5</v>
      </c>
      <c r="K126" s="1">
        <v>0</v>
      </c>
      <c r="L126" s="1">
        <v>0</v>
      </c>
      <c r="M126" s="1" t="s">
        <v>1878</v>
      </c>
      <c r="N126" s="1" t="s">
        <v>698</v>
      </c>
      <c r="O126" s="1">
        <v>0</v>
      </c>
      <c r="P126" s="1" t="s">
        <v>2050</v>
      </c>
      <c r="Q126" s="7" t="s">
        <v>2189</v>
      </c>
      <c r="R126" s="1">
        <v>0</v>
      </c>
    </row>
    <row r="127" spans="1:18" ht="14.25" thickBot="1">
      <c r="A127" s="1" t="s">
        <v>156</v>
      </c>
      <c r="B127" s="3">
        <v>1</v>
      </c>
      <c r="C127" s="1" t="s">
        <v>2539</v>
      </c>
      <c r="D127" s="1" t="s">
        <v>12</v>
      </c>
      <c r="E127" s="1">
        <v>5</v>
      </c>
      <c r="F127" s="1">
        <v>1</v>
      </c>
      <c r="G127" s="1">
        <v>25</v>
      </c>
      <c r="H127" s="10" t="s">
        <v>2121</v>
      </c>
      <c r="I127" s="1">
        <v>2800</v>
      </c>
      <c r="J127" s="1">
        <v>5</v>
      </c>
      <c r="K127" s="1">
        <v>0</v>
      </c>
      <c r="L127" s="1">
        <v>0</v>
      </c>
      <c r="M127" s="1" t="s">
        <v>2016</v>
      </c>
      <c r="N127" s="1" t="s">
        <v>698</v>
      </c>
      <c r="O127" s="1">
        <v>0</v>
      </c>
      <c r="P127" s="1" t="s">
        <v>2050</v>
      </c>
      <c r="Q127" s="7" t="s">
        <v>2190</v>
      </c>
      <c r="R127" s="1">
        <v>0</v>
      </c>
    </row>
    <row r="128" spans="1:18" ht="14.25" thickBot="1">
      <c r="A128" s="1" t="s">
        <v>157</v>
      </c>
      <c r="B128" s="3">
        <v>1</v>
      </c>
      <c r="C128" s="9" t="s">
        <v>2109</v>
      </c>
      <c r="D128" s="1" t="s">
        <v>13</v>
      </c>
      <c r="E128" s="1">
        <v>6</v>
      </c>
      <c r="F128" s="1">
        <v>1</v>
      </c>
      <c r="G128" s="1">
        <v>25</v>
      </c>
      <c r="H128" s="10" t="s">
        <v>2121</v>
      </c>
      <c r="I128" s="1">
        <v>2500</v>
      </c>
      <c r="J128" s="1">
        <v>5</v>
      </c>
      <c r="K128" s="1">
        <v>0</v>
      </c>
      <c r="L128" s="1">
        <v>0</v>
      </c>
      <c r="M128" s="1" t="s">
        <v>1881</v>
      </c>
      <c r="N128" s="1" t="s">
        <v>698</v>
      </c>
      <c r="O128" s="1">
        <v>0</v>
      </c>
      <c r="P128" s="1" t="s">
        <v>2050</v>
      </c>
      <c r="Q128" s="7" t="s">
        <v>2191</v>
      </c>
      <c r="R128" s="1">
        <v>0</v>
      </c>
    </row>
    <row r="129" spans="1:18" ht="14.25" thickBot="1">
      <c r="A129" s="1" t="s">
        <v>158</v>
      </c>
      <c r="B129" s="2">
        <v>0</v>
      </c>
      <c r="C129" s="9" t="s">
        <v>2094</v>
      </c>
      <c r="D129" s="1" t="s">
        <v>13</v>
      </c>
      <c r="E129" s="1">
        <v>6</v>
      </c>
      <c r="F129" s="1">
        <v>1</v>
      </c>
      <c r="G129" s="1">
        <v>25</v>
      </c>
      <c r="H129" s="10" t="s">
        <v>2121</v>
      </c>
      <c r="I129" s="1">
        <v>2800</v>
      </c>
      <c r="J129" s="1">
        <v>5</v>
      </c>
      <c r="K129" s="1">
        <v>0</v>
      </c>
      <c r="L129" s="1">
        <v>0</v>
      </c>
      <c r="M129" s="1" t="s">
        <v>1882</v>
      </c>
      <c r="N129" s="1" t="s">
        <v>698</v>
      </c>
      <c r="O129" s="1">
        <v>0</v>
      </c>
      <c r="P129" s="1" t="s">
        <v>2050</v>
      </c>
      <c r="Q129" s="7" t="s">
        <v>2035</v>
      </c>
      <c r="R129" s="1">
        <v>0</v>
      </c>
    </row>
    <row r="130" spans="1:18" ht="14.25" thickBot="1">
      <c r="A130" s="1" t="s">
        <v>159</v>
      </c>
      <c r="B130" s="3">
        <v>1</v>
      </c>
      <c r="C130" s="9" t="s">
        <v>2540</v>
      </c>
      <c r="D130" s="1" t="s">
        <v>12</v>
      </c>
      <c r="E130" s="1">
        <v>5</v>
      </c>
      <c r="F130" s="1">
        <v>1</v>
      </c>
      <c r="G130" s="1">
        <v>25</v>
      </c>
      <c r="H130" s="10" t="s">
        <v>2122</v>
      </c>
      <c r="I130" s="1">
        <v>2500</v>
      </c>
      <c r="J130" s="1">
        <v>5</v>
      </c>
      <c r="K130" s="1">
        <v>0</v>
      </c>
      <c r="L130" s="1">
        <v>0</v>
      </c>
      <c r="M130" s="1" t="s">
        <v>1878</v>
      </c>
      <c r="N130" s="1" t="s">
        <v>698</v>
      </c>
      <c r="O130" s="1">
        <v>0</v>
      </c>
      <c r="P130" s="1" t="s">
        <v>2050</v>
      </c>
      <c r="Q130" s="7" t="s">
        <v>2192</v>
      </c>
      <c r="R130" s="1">
        <v>0</v>
      </c>
    </row>
    <row r="131" spans="1:18" ht="14.25" thickBot="1">
      <c r="A131" s="1" t="s">
        <v>160</v>
      </c>
      <c r="B131" s="2">
        <v>0</v>
      </c>
      <c r="C131" s="9" t="s">
        <v>2541</v>
      </c>
      <c r="D131" s="1" t="s">
        <v>12</v>
      </c>
      <c r="E131" s="1">
        <v>5</v>
      </c>
      <c r="F131" s="1">
        <v>1</v>
      </c>
      <c r="G131" s="1">
        <v>25</v>
      </c>
      <c r="H131" s="10" t="s">
        <v>2122</v>
      </c>
      <c r="I131" s="1">
        <v>2800</v>
      </c>
      <c r="J131" s="1">
        <v>5</v>
      </c>
      <c r="K131" s="1">
        <v>0</v>
      </c>
      <c r="L131" s="1">
        <v>0</v>
      </c>
      <c r="M131" s="1" t="s">
        <v>2016</v>
      </c>
      <c r="N131" s="1" t="s">
        <v>698</v>
      </c>
      <c r="O131" s="1">
        <v>0</v>
      </c>
      <c r="P131" s="1" t="s">
        <v>2050</v>
      </c>
      <c r="Q131" s="7" t="s">
        <v>2193</v>
      </c>
      <c r="R131" s="1">
        <v>0</v>
      </c>
    </row>
    <row r="132" spans="1:18" ht="14.25" thickBot="1">
      <c r="A132" s="1" t="s">
        <v>161</v>
      </c>
      <c r="B132" s="3">
        <v>1</v>
      </c>
      <c r="C132" s="9" t="s">
        <v>2542</v>
      </c>
      <c r="D132" s="1" t="s">
        <v>13</v>
      </c>
      <c r="E132" s="1">
        <v>6</v>
      </c>
      <c r="F132" s="1">
        <v>1</v>
      </c>
      <c r="G132" s="1">
        <v>25</v>
      </c>
      <c r="H132" s="10" t="s">
        <v>2122</v>
      </c>
      <c r="I132" s="1">
        <v>2500</v>
      </c>
      <c r="J132" s="1">
        <v>5</v>
      </c>
      <c r="K132" s="1">
        <v>0</v>
      </c>
      <c r="L132" s="1">
        <v>0</v>
      </c>
      <c r="M132" s="1" t="s">
        <v>1883</v>
      </c>
      <c r="N132" s="1" t="s">
        <v>698</v>
      </c>
      <c r="O132" s="1">
        <v>0</v>
      </c>
      <c r="P132" s="1" t="s">
        <v>2050</v>
      </c>
      <c r="Q132" s="7" t="s">
        <v>2194</v>
      </c>
      <c r="R132" s="1">
        <v>0</v>
      </c>
    </row>
    <row r="133" spans="1:18" ht="14.25" thickBot="1">
      <c r="A133" s="1" t="s">
        <v>162</v>
      </c>
      <c r="B133" s="2">
        <v>0</v>
      </c>
      <c r="C133" s="9" t="s">
        <v>2095</v>
      </c>
      <c r="D133" s="1" t="s">
        <v>13</v>
      </c>
      <c r="E133" s="1">
        <v>6</v>
      </c>
      <c r="F133" s="1">
        <v>1</v>
      </c>
      <c r="G133" s="1">
        <v>25</v>
      </c>
      <c r="H133" s="10" t="s">
        <v>2122</v>
      </c>
      <c r="I133" s="1">
        <v>2800</v>
      </c>
      <c r="J133" s="1">
        <v>5</v>
      </c>
      <c r="K133" s="1">
        <v>0</v>
      </c>
      <c r="L133" s="1">
        <v>0</v>
      </c>
      <c r="M133" s="1" t="s">
        <v>1884</v>
      </c>
      <c r="N133" s="1" t="s">
        <v>698</v>
      </c>
      <c r="O133" s="1">
        <v>0</v>
      </c>
      <c r="P133" s="1" t="s">
        <v>2050</v>
      </c>
      <c r="Q133" s="7" t="s">
        <v>2037</v>
      </c>
      <c r="R133" s="1">
        <v>0</v>
      </c>
    </row>
    <row r="134" spans="1:18" ht="14.25" thickBot="1">
      <c r="A134" s="1" t="s">
        <v>163</v>
      </c>
      <c r="B134" s="3">
        <v>1</v>
      </c>
      <c r="C134" s="1" t="s">
        <v>2083</v>
      </c>
      <c r="D134" s="1" t="s">
        <v>11</v>
      </c>
      <c r="E134" s="1">
        <v>4</v>
      </c>
      <c r="F134" s="1">
        <v>1</v>
      </c>
      <c r="G134" s="1">
        <v>25</v>
      </c>
      <c r="H134" s="10">
        <v>0</v>
      </c>
      <c r="I134" s="1">
        <v>2500</v>
      </c>
      <c r="J134" s="1">
        <v>5</v>
      </c>
      <c r="K134" s="1">
        <v>0</v>
      </c>
      <c r="L134" s="1">
        <v>0</v>
      </c>
      <c r="M134" s="1" t="s">
        <v>1885</v>
      </c>
      <c r="N134" s="1" t="s">
        <v>698</v>
      </c>
      <c r="O134" s="1">
        <v>0</v>
      </c>
      <c r="P134" s="1" t="s">
        <v>2050</v>
      </c>
      <c r="Q134" s="7" t="s">
        <v>2195</v>
      </c>
      <c r="R134" s="1">
        <v>0</v>
      </c>
    </row>
    <row r="135" spans="1:18" ht="14.25" thickBot="1">
      <c r="A135" s="1" t="s">
        <v>164</v>
      </c>
      <c r="B135" s="2">
        <v>0</v>
      </c>
      <c r="C135" s="1" t="s">
        <v>2499</v>
      </c>
      <c r="D135" s="1" t="s">
        <v>11</v>
      </c>
      <c r="E135" s="1">
        <v>4</v>
      </c>
      <c r="F135" s="1">
        <v>1</v>
      </c>
      <c r="G135" s="1">
        <v>25</v>
      </c>
      <c r="H135" s="10">
        <v>0</v>
      </c>
      <c r="I135" s="1">
        <v>2800</v>
      </c>
      <c r="J135" s="1">
        <v>5</v>
      </c>
      <c r="K135" s="1">
        <v>0</v>
      </c>
      <c r="L135" s="1">
        <v>0</v>
      </c>
      <c r="M135" s="1" t="s">
        <v>1886</v>
      </c>
      <c r="N135" s="1" t="s">
        <v>698</v>
      </c>
      <c r="O135" s="1">
        <v>0</v>
      </c>
      <c r="P135" s="1" t="s">
        <v>2050</v>
      </c>
      <c r="Q135" s="7" t="s">
        <v>2038</v>
      </c>
      <c r="R135" s="1">
        <v>0</v>
      </c>
    </row>
    <row r="136" spans="1:18" ht="14.25" thickBot="1">
      <c r="A136" s="1" t="s">
        <v>165</v>
      </c>
      <c r="B136" s="3">
        <v>1</v>
      </c>
      <c r="C136" s="1" t="s">
        <v>2089</v>
      </c>
      <c r="D136" s="1" t="s">
        <v>14</v>
      </c>
      <c r="E136" s="1">
        <v>7</v>
      </c>
      <c r="F136" s="1">
        <v>1</v>
      </c>
      <c r="G136" s="1">
        <v>25</v>
      </c>
      <c r="H136" s="10">
        <v>0</v>
      </c>
      <c r="I136" s="1">
        <v>2500</v>
      </c>
      <c r="J136" s="1">
        <v>5</v>
      </c>
      <c r="K136" s="1">
        <v>0</v>
      </c>
      <c r="L136" s="1">
        <v>0</v>
      </c>
      <c r="M136" s="1" t="s">
        <v>1887</v>
      </c>
      <c r="N136" s="1" t="s">
        <v>698</v>
      </c>
      <c r="O136" s="1">
        <v>0</v>
      </c>
      <c r="P136" s="1" t="s">
        <v>2050</v>
      </c>
      <c r="Q136" s="7" t="s">
        <v>2196</v>
      </c>
      <c r="R136" s="1">
        <v>0</v>
      </c>
    </row>
    <row r="137" spans="1:18" ht="14.25" thickBot="1">
      <c r="A137" s="1" t="s">
        <v>166</v>
      </c>
      <c r="B137" s="2">
        <v>0</v>
      </c>
      <c r="C137" s="1" t="s">
        <v>2501</v>
      </c>
      <c r="D137" s="1" t="s">
        <v>14</v>
      </c>
      <c r="E137" s="1">
        <v>7</v>
      </c>
      <c r="F137" s="1">
        <v>1</v>
      </c>
      <c r="G137" s="1">
        <v>25</v>
      </c>
      <c r="H137" s="10">
        <v>0</v>
      </c>
      <c r="I137" s="1">
        <v>2800</v>
      </c>
      <c r="J137" s="1">
        <v>5</v>
      </c>
      <c r="K137" s="1">
        <v>0</v>
      </c>
      <c r="L137" s="1">
        <v>0</v>
      </c>
      <c r="M137" s="1" t="s">
        <v>1888</v>
      </c>
      <c r="N137" s="1" t="s">
        <v>698</v>
      </c>
      <c r="O137" s="1">
        <v>0</v>
      </c>
      <c r="P137" s="1" t="s">
        <v>2050</v>
      </c>
      <c r="Q137" s="7" t="s">
        <v>2039</v>
      </c>
      <c r="R137" s="1">
        <v>0</v>
      </c>
    </row>
    <row r="138" spans="1:18" ht="14.25" thickBot="1">
      <c r="A138" s="1" t="s">
        <v>167</v>
      </c>
      <c r="B138" s="3">
        <v>1</v>
      </c>
      <c r="C138" s="1" t="s">
        <v>2063</v>
      </c>
      <c r="D138" s="1" t="s">
        <v>8</v>
      </c>
      <c r="E138" s="1">
        <v>1</v>
      </c>
      <c r="F138" s="1">
        <v>1</v>
      </c>
      <c r="G138" s="1">
        <v>30</v>
      </c>
      <c r="H138" s="10">
        <v>0</v>
      </c>
      <c r="I138" s="1">
        <v>3000</v>
      </c>
      <c r="J138" s="1">
        <v>5</v>
      </c>
      <c r="K138" s="1">
        <v>0</v>
      </c>
      <c r="L138" s="1">
        <v>0</v>
      </c>
      <c r="M138" s="1" t="s">
        <v>1889</v>
      </c>
      <c r="N138" s="1" t="s">
        <v>698</v>
      </c>
      <c r="O138" s="1">
        <v>0</v>
      </c>
      <c r="P138" s="1" t="s">
        <v>2051</v>
      </c>
      <c r="Q138" s="7" t="s">
        <v>2197</v>
      </c>
      <c r="R138" s="1">
        <v>0</v>
      </c>
    </row>
    <row r="139" spans="1:18" ht="14.25" thickBot="1">
      <c r="A139" s="1" t="s">
        <v>168</v>
      </c>
      <c r="B139" s="3">
        <v>1</v>
      </c>
      <c r="C139" s="1" t="s">
        <v>2543</v>
      </c>
      <c r="D139" s="1" t="s">
        <v>9</v>
      </c>
      <c r="E139" s="1">
        <v>2</v>
      </c>
      <c r="F139" s="1">
        <v>1</v>
      </c>
      <c r="G139" s="1">
        <v>30</v>
      </c>
      <c r="H139" s="10">
        <v>0</v>
      </c>
      <c r="I139" s="1">
        <v>3000</v>
      </c>
      <c r="J139" s="1">
        <v>5</v>
      </c>
      <c r="K139" s="1">
        <v>0</v>
      </c>
      <c r="L139" s="1">
        <v>0</v>
      </c>
      <c r="M139" s="1" t="s">
        <v>1890</v>
      </c>
      <c r="N139" s="1" t="s">
        <v>698</v>
      </c>
      <c r="O139" s="1">
        <v>0</v>
      </c>
      <c r="P139" s="1" t="s">
        <v>2051</v>
      </c>
      <c r="Q139" s="7" t="s">
        <v>2198</v>
      </c>
      <c r="R139" s="1">
        <v>0</v>
      </c>
    </row>
    <row r="140" spans="1:18" ht="14.25" thickBot="1">
      <c r="A140" s="1" t="s">
        <v>169</v>
      </c>
      <c r="B140" s="2">
        <v>1</v>
      </c>
      <c r="C140" s="1" t="s">
        <v>2544</v>
      </c>
      <c r="D140" s="1" t="s">
        <v>10</v>
      </c>
      <c r="E140" s="1">
        <v>3</v>
      </c>
      <c r="F140" s="1">
        <v>1</v>
      </c>
      <c r="G140" s="1">
        <v>30</v>
      </c>
      <c r="H140" s="10">
        <v>0</v>
      </c>
      <c r="I140" s="1">
        <v>3000</v>
      </c>
      <c r="J140" s="1">
        <v>5</v>
      </c>
      <c r="K140" s="1">
        <v>0</v>
      </c>
      <c r="L140" s="1">
        <v>0</v>
      </c>
      <c r="M140" s="1" t="s">
        <v>2473</v>
      </c>
      <c r="N140" s="1" t="s">
        <v>698</v>
      </c>
      <c r="O140" s="1">
        <v>0</v>
      </c>
      <c r="P140" s="1" t="s">
        <v>2051</v>
      </c>
      <c r="Q140" s="7" t="s">
        <v>2138</v>
      </c>
      <c r="R140" s="1">
        <v>0</v>
      </c>
    </row>
    <row r="141" spans="1:18" ht="14.25" thickBot="1">
      <c r="A141" s="1" t="s">
        <v>170</v>
      </c>
      <c r="B141" s="3">
        <v>1</v>
      </c>
      <c r="C141" s="1" t="s">
        <v>2069</v>
      </c>
      <c r="D141" s="1" t="s">
        <v>15</v>
      </c>
      <c r="E141" s="1">
        <v>8</v>
      </c>
      <c r="F141" s="1">
        <v>1</v>
      </c>
      <c r="G141" s="1">
        <v>30</v>
      </c>
      <c r="H141" s="10">
        <v>0</v>
      </c>
      <c r="I141" s="1">
        <v>3000</v>
      </c>
      <c r="J141" s="1">
        <v>5</v>
      </c>
      <c r="K141" s="1">
        <v>0</v>
      </c>
      <c r="L141" s="1">
        <v>0</v>
      </c>
      <c r="M141" s="1" t="s">
        <v>1891</v>
      </c>
      <c r="N141" s="1" t="s">
        <v>698</v>
      </c>
      <c r="O141" s="1">
        <v>0</v>
      </c>
      <c r="P141" s="1" t="s">
        <v>2051</v>
      </c>
      <c r="Q141" s="7" t="s">
        <v>2199</v>
      </c>
      <c r="R141" s="1">
        <v>0</v>
      </c>
    </row>
    <row r="142" spans="1:18" ht="14.25" thickBot="1">
      <c r="A142" s="1" t="s">
        <v>171</v>
      </c>
      <c r="B142" s="3">
        <v>1</v>
      </c>
      <c r="C142" s="1" t="s">
        <v>2073</v>
      </c>
      <c r="D142" s="1" t="s">
        <v>16</v>
      </c>
      <c r="E142" s="1">
        <v>9</v>
      </c>
      <c r="F142" s="1">
        <v>1</v>
      </c>
      <c r="G142" s="1">
        <v>30</v>
      </c>
      <c r="H142" s="10">
        <v>0</v>
      </c>
      <c r="I142" s="1">
        <v>3000</v>
      </c>
      <c r="J142" s="1">
        <v>5</v>
      </c>
      <c r="K142" s="1">
        <v>0</v>
      </c>
      <c r="L142" s="1">
        <v>0</v>
      </c>
      <c r="M142" s="1" t="s">
        <v>1892</v>
      </c>
      <c r="N142" s="1" t="s">
        <v>698</v>
      </c>
      <c r="O142" s="1">
        <v>0</v>
      </c>
      <c r="P142" s="1" t="s">
        <v>2051</v>
      </c>
      <c r="Q142" s="7" t="s">
        <v>2200</v>
      </c>
      <c r="R142" s="1">
        <v>0</v>
      </c>
    </row>
    <row r="143" spans="1:18" ht="14.25" thickBot="1">
      <c r="A143" s="1" t="s">
        <v>172</v>
      </c>
      <c r="B143" s="3">
        <v>1</v>
      </c>
      <c r="C143" s="1" t="s">
        <v>2078</v>
      </c>
      <c r="D143" s="1" t="s">
        <v>17</v>
      </c>
      <c r="E143" s="1">
        <v>10</v>
      </c>
      <c r="F143" s="1">
        <v>1</v>
      </c>
      <c r="G143" s="1">
        <v>30</v>
      </c>
      <c r="H143" s="10">
        <v>0</v>
      </c>
      <c r="I143" s="1">
        <v>3000</v>
      </c>
      <c r="J143" s="1">
        <v>5</v>
      </c>
      <c r="K143" s="1">
        <v>0</v>
      </c>
      <c r="L143" s="1">
        <v>0</v>
      </c>
      <c r="M143" s="1" t="s">
        <v>1893</v>
      </c>
      <c r="N143" s="1" t="s">
        <v>698</v>
      </c>
      <c r="O143" s="1">
        <v>0</v>
      </c>
      <c r="P143" s="1" t="s">
        <v>2051</v>
      </c>
      <c r="Q143" s="7" t="s">
        <v>2201</v>
      </c>
      <c r="R143" s="1">
        <v>0</v>
      </c>
    </row>
    <row r="144" spans="1:18" ht="14.25" thickBot="1">
      <c r="A144" s="1" t="s">
        <v>173</v>
      </c>
      <c r="B144" s="3">
        <v>1</v>
      </c>
      <c r="C144" s="9" t="s">
        <v>2545</v>
      </c>
      <c r="D144" s="1" t="s">
        <v>12</v>
      </c>
      <c r="E144" s="1">
        <v>5</v>
      </c>
      <c r="F144" s="1">
        <v>1</v>
      </c>
      <c r="G144" s="1">
        <v>30</v>
      </c>
      <c r="H144" s="10" t="s">
        <v>2120</v>
      </c>
      <c r="I144" s="1">
        <v>3000</v>
      </c>
      <c r="J144" s="1">
        <v>5</v>
      </c>
      <c r="K144" s="1">
        <v>0</v>
      </c>
      <c r="L144" s="1">
        <v>0</v>
      </c>
      <c r="M144" s="1" t="s">
        <v>1894</v>
      </c>
      <c r="N144" s="1" t="s">
        <v>698</v>
      </c>
      <c r="O144" s="1">
        <v>0</v>
      </c>
      <c r="P144" s="1" t="s">
        <v>2051</v>
      </c>
      <c r="Q144" s="7" t="s">
        <v>2202</v>
      </c>
      <c r="R144" s="1">
        <v>0</v>
      </c>
    </row>
    <row r="145" spans="1:18" ht="14.25" thickBot="1">
      <c r="A145" s="1" t="s">
        <v>174</v>
      </c>
      <c r="B145" s="3">
        <v>1</v>
      </c>
      <c r="C145" s="9" t="s">
        <v>2110</v>
      </c>
      <c r="D145" s="1" t="s">
        <v>12</v>
      </c>
      <c r="E145" s="1">
        <v>5</v>
      </c>
      <c r="F145" s="1">
        <v>1</v>
      </c>
      <c r="G145" s="1">
        <v>30</v>
      </c>
      <c r="H145" s="10" t="s">
        <v>2120</v>
      </c>
      <c r="I145" s="1">
        <v>3300</v>
      </c>
      <c r="J145" s="1">
        <v>5</v>
      </c>
      <c r="K145" s="1">
        <v>0</v>
      </c>
      <c r="L145" s="1">
        <v>0</v>
      </c>
      <c r="M145" s="1" t="s">
        <v>2017</v>
      </c>
      <c r="N145" s="1" t="s">
        <v>698</v>
      </c>
      <c r="O145" s="1">
        <v>0</v>
      </c>
      <c r="P145" s="1" t="s">
        <v>2051</v>
      </c>
      <c r="Q145" s="7" t="s">
        <v>2203</v>
      </c>
      <c r="R145" s="1">
        <v>0</v>
      </c>
    </row>
    <row r="146" spans="1:18" ht="14.25" thickBot="1">
      <c r="A146" s="1" t="s">
        <v>175</v>
      </c>
      <c r="B146" s="3">
        <v>1</v>
      </c>
      <c r="C146" s="9" t="s">
        <v>2111</v>
      </c>
      <c r="D146" s="1" t="s">
        <v>13</v>
      </c>
      <c r="E146" s="1">
        <v>6</v>
      </c>
      <c r="F146" s="1">
        <v>1</v>
      </c>
      <c r="G146" s="1">
        <v>30</v>
      </c>
      <c r="H146" s="10" t="s">
        <v>2120</v>
      </c>
      <c r="I146" s="1">
        <v>3000</v>
      </c>
      <c r="J146" s="1">
        <v>5</v>
      </c>
      <c r="K146" s="1">
        <v>0</v>
      </c>
      <c r="L146" s="1">
        <v>0</v>
      </c>
      <c r="M146" s="1" t="s">
        <v>1895</v>
      </c>
      <c r="N146" s="1" t="s">
        <v>698</v>
      </c>
      <c r="O146" s="1">
        <v>0</v>
      </c>
      <c r="P146" s="1" t="s">
        <v>2051</v>
      </c>
      <c r="Q146" s="7" t="s">
        <v>2204</v>
      </c>
      <c r="R146" s="1">
        <v>0</v>
      </c>
    </row>
    <row r="147" spans="1:18" ht="14.25" thickBot="1">
      <c r="A147" s="1" t="s">
        <v>176</v>
      </c>
      <c r="B147" s="2">
        <v>0</v>
      </c>
      <c r="C147" s="9" t="s">
        <v>2112</v>
      </c>
      <c r="D147" s="1" t="s">
        <v>13</v>
      </c>
      <c r="E147" s="1">
        <v>6</v>
      </c>
      <c r="F147" s="1">
        <v>1</v>
      </c>
      <c r="G147" s="1">
        <v>30</v>
      </c>
      <c r="H147" s="10" t="s">
        <v>2120</v>
      </c>
      <c r="I147" s="1">
        <v>3300</v>
      </c>
      <c r="J147" s="1">
        <v>5</v>
      </c>
      <c r="K147" s="1">
        <v>0</v>
      </c>
      <c r="L147" s="1">
        <v>0</v>
      </c>
      <c r="M147" s="1" t="s">
        <v>1896</v>
      </c>
      <c r="N147" s="1" t="s">
        <v>698</v>
      </c>
      <c r="O147" s="1">
        <v>0</v>
      </c>
      <c r="P147" s="1" t="s">
        <v>2051</v>
      </c>
      <c r="Q147" s="7" t="s">
        <v>2205</v>
      </c>
      <c r="R147" s="1">
        <v>0</v>
      </c>
    </row>
    <row r="148" spans="1:18" ht="14.25" thickBot="1">
      <c r="A148" s="1" t="s">
        <v>177</v>
      </c>
      <c r="B148" s="3">
        <v>1</v>
      </c>
      <c r="C148" s="1" t="s">
        <v>2114</v>
      </c>
      <c r="D148" s="1" t="s">
        <v>12</v>
      </c>
      <c r="E148" s="1">
        <v>5</v>
      </c>
      <c r="F148" s="1">
        <v>1</v>
      </c>
      <c r="G148" s="1">
        <v>30</v>
      </c>
      <c r="H148" s="10" t="s">
        <v>2121</v>
      </c>
      <c r="I148" s="1">
        <v>3000</v>
      </c>
      <c r="J148" s="1">
        <v>5</v>
      </c>
      <c r="K148" s="1">
        <v>0</v>
      </c>
      <c r="L148" s="1">
        <v>0</v>
      </c>
      <c r="M148" s="1" t="s">
        <v>1894</v>
      </c>
      <c r="N148" s="1" t="s">
        <v>698</v>
      </c>
      <c r="O148" s="1">
        <v>0</v>
      </c>
      <c r="P148" s="1" t="s">
        <v>2051</v>
      </c>
      <c r="Q148" s="7" t="s">
        <v>2206</v>
      </c>
      <c r="R148" s="1">
        <v>0</v>
      </c>
    </row>
    <row r="149" spans="1:18" ht="14.25" thickBot="1">
      <c r="A149" s="1" t="s">
        <v>178</v>
      </c>
      <c r="B149" s="3">
        <v>1</v>
      </c>
      <c r="C149" s="1" t="s">
        <v>2113</v>
      </c>
      <c r="D149" s="1" t="s">
        <v>12</v>
      </c>
      <c r="E149" s="1">
        <v>5</v>
      </c>
      <c r="F149" s="1">
        <v>1</v>
      </c>
      <c r="G149" s="1">
        <v>30</v>
      </c>
      <c r="H149" s="10" t="s">
        <v>2121</v>
      </c>
      <c r="I149" s="1">
        <v>3300</v>
      </c>
      <c r="J149" s="1">
        <v>5</v>
      </c>
      <c r="K149" s="1">
        <v>0</v>
      </c>
      <c r="L149" s="1">
        <v>0</v>
      </c>
      <c r="M149" s="1" t="s">
        <v>2017</v>
      </c>
      <c r="N149" s="1" t="s">
        <v>698</v>
      </c>
      <c r="O149" s="1">
        <v>0</v>
      </c>
      <c r="P149" s="1" t="s">
        <v>2051</v>
      </c>
      <c r="Q149" s="7" t="s">
        <v>2207</v>
      </c>
      <c r="R149" s="1">
        <v>0</v>
      </c>
    </row>
    <row r="150" spans="1:18" ht="14.25" thickBot="1">
      <c r="A150" s="1" t="s">
        <v>179</v>
      </c>
      <c r="B150" s="3">
        <v>1</v>
      </c>
      <c r="C150" s="9" t="s">
        <v>2115</v>
      </c>
      <c r="D150" s="1" t="s">
        <v>13</v>
      </c>
      <c r="E150" s="1">
        <v>6</v>
      </c>
      <c r="F150" s="1">
        <v>1</v>
      </c>
      <c r="G150" s="1">
        <v>30</v>
      </c>
      <c r="H150" s="10" t="s">
        <v>2121</v>
      </c>
      <c r="I150" s="1">
        <v>3000</v>
      </c>
      <c r="J150" s="1">
        <v>5</v>
      </c>
      <c r="K150" s="1">
        <v>0</v>
      </c>
      <c r="L150" s="1">
        <v>0</v>
      </c>
      <c r="M150" s="1" t="s">
        <v>1897</v>
      </c>
      <c r="N150" s="1" t="s">
        <v>698</v>
      </c>
      <c r="O150" s="1">
        <v>0</v>
      </c>
      <c r="P150" s="1" t="s">
        <v>2051</v>
      </c>
      <c r="Q150" s="7" t="s">
        <v>2208</v>
      </c>
      <c r="R150" s="1">
        <v>0</v>
      </c>
    </row>
    <row r="151" spans="1:18" ht="14.25" thickBot="1">
      <c r="A151" s="1" t="s">
        <v>180</v>
      </c>
      <c r="B151" s="2">
        <v>0</v>
      </c>
      <c r="C151" s="9" t="s">
        <v>2116</v>
      </c>
      <c r="D151" s="1" t="s">
        <v>13</v>
      </c>
      <c r="E151" s="1">
        <v>6</v>
      </c>
      <c r="F151" s="1">
        <v>1</v>
      </c>
      <c r="G151" s="1">
        <v>30</v>
      </c>
      <c r="H151" s="10" t="s">
        <v>2121</v>
      </c>
      <c r="I151" s="1">
        <v>3300</v>
      </c>
      <c r="J151" s="1">
        <v>5</v>
      </c>
      <c r="K151" s="1">
        <v>0</v>
      </c>
      <c r="L151" s="1">
        <v>0</v>
      </c>
      <c r="M151" s="1" t="s">
        <v>1898</v>
      </c>
      <c r="N151" s="1" t="s">
        <v>698</v>
      </c>
      <c r="O151" s="1">
        <v>0</v>
      </c>
      <c r="P151" s="1" t="s">
        <v>2051</v>
      </c>
      <c r="Q151" s="7" t="s">
        <v>2209</v>
      </c>
      <c r="R151" s="1">
        <v>0</v>
      </c>
    </row>
    <row r="152" spans="1:18" ht="14.25" thickBot="1">
      <c r="A152" s="1" t="s">
        <v>181</v>
      </c>
      <c r="B152" s="3">
        <v>1</v>
      </c>
      <c r="C152" s="9" t="s">
        <v>2541</v>
      </c>
      <c r="D152" s="1" t="s">
        <v>12</v>
      </c>
      <c r="E152" s="1">
        <v>5</v>
      </c>
      <c r="F152" s="1">
        <v>1</v>
      </c>
      <c r="G152" s="1">
        <v>30</v>
      </c>
      <c r="H152" s="10" t="s">
        <v>2122</v>
      </c>
      <c r="I152" s="1">
        <v>3000</v>
      </c>
      <c r="J152" s="1">
        <v>5</v>
      </c>
      <c r="K152" s="1">
        <v>0</v>
      </c>
      <c r="L152" s="1">
        <v>0</v>
      </c>
      <c r="M152" s="1" t="s">
        <v>1894</v>
      </c>
      <c r="N152" s="1" t="s">
        <v>698</v>
      </c>
      <c r="O152" s="1">
        <v>0</v>
      </c>
      <c r="P152" s="1" t="s">
        <v>2051</v>
      </c>
      <c r="Q152" s="7" t="s">
        <v>2193</v>
      </c>
      <c r="R152" s="1">
        <v>0</v>
      </c>
    </row>
    <row r="153" spans="1:18" ht="14.25" thickBot="1">
      <c r="A153" s="1" t="s">
        <v>182</v>
      </c>
      <c r="B153" s="3">
        <v>1</v>
      </c>
      <c r="C153" s="9" t="s">
        <v>2546</v>
      </c>
      <c r="D153" s="1" t="s">
        <v>12</v>
      </c>
      <c r="E153" s="1">
        <v>5</v>
      </c>
      <c r="F153" s="1">
        <v>1</v>
      </c>
      <c r="G153" s="1">
        <v>30</v>
      </c>
      <c r="H153" s="10" t="s">
        <v>2122</v>
      </c>
      <c r="I153" s="1">
        <v>3300</v>
      </c>
      <c r="J153" s="1">
        <v>5</v>
      </c>
      <c r="K153" s="1">
        <v>0</v>
      </c>
      <c r="L153" s="1">
        <v>0</v>
      </c>
      <c r="M153" s="1" t="s">
        <v>2017</v>
      </c>
      <c r="N153" s="1" t="s">
        <v>698</v>
      </c>
      <c r="O153" s="1">
        <v>0</v>
      </c>
      <c r="P153" s="1" t="s">
        <v>2051</v>
      </c>
      <c r="Q153" s="7" t="s">
        <v>2210</v>
      </c>
      <c r="R153" s="1">
        <v>0</v>
      </c>
    </row>
    <row r="154" spans="1:18" ht="14.25" thickBot="1">
      <c r="A154" s="1" t="s">
        <v>183</v>
      </c>
      <c r="B154" s="3">
        <v>1</v>
      </c>
      <c r="C154" s="9" t="s">
        <v>2547</v>
      </c>
      <c r="D154" s="1" t="s">
        <v>13</v>
      </c>
      <c r="E154" s="1">
        <v>6</v>
      </c>
      <c r="F154" s="1">
        <v>1</v>
      </c>
      <c r="G154" s="1">
        <v>30</v>
      </c>
      <c r="H154" s="10" t="s">
        <v>2122</v>
      </c>
      <c r="I154" s="1">
        <v>3000</v>
      </c>
      <c r="J154" s="1">
        <v>5</v>
      </c>
      <c r="K154" s="1">
        <v>0</v>
      </c>
      <c r="L154" s="1">
        <v>0</v>
      </c>
      <c r="M154" s="1" t="s">
        <v>1899</v>
      </c>
      <c r="N154" s="1" t="s">
        <v>698</v>
      </c>
      <c r="O154" s="1">
        <v>0</v>
      </c>
      <c r="P154" s="1" t="s">
        <v>2051</v>
      </c>
      <c r="Q154" s="7" t="s">
        <v>2211</v>
      </c>
      <c r="R154" s="1">
        <v>0</v>
      </c>
    </row>
    <row r="155" spans="1:18" ht="14.25" thickBot="1">
      <c r="A155" s="1" t="s">
        <v>184</v>
      </c>
      <c r="B155" s="2">
        <v>0</v>
      </c>
      <c r="C155" s="9" t="s">
        <v>2548</v>
      </c>
      <c r="D155" s="1" t="s">
        <v>13</v>
      </c>
      <c r="E155" s="1">
        <v>6</v>
      </c>
      <c r="F155" s="1">
        <v>1</v>
      </c>
      <c r="G155" s="1">
        <v>30</v>
      </c>
      <c r="H155" s="10" t="s">
        <v>2122</v>
      </c>
      <c r="I155" s="1">
        <v>3300</v>
      </c>
      <c r="J155" s="1">
        <v>5</v>
      </c>
      <c r="K155" s="1">
        <v>0</v>
      </c>
      <c r="L155" s="1">
        <v>0</v>
      </c>
      <c r="M155" s="1" t="s">
        <v>1900</v>
      </c>
      <c r="N155" s="1" t="s">
        <v>698</v>
      </c>
      <c r="O155" s="1">
        <v>0</v>
      </c>
      <c r="P155" s="1" t="s">
        <v>2051</v>
      </c>
      <c r="Q155" s="7" t="s">
        <v>2212</v>
      </c>
      <c r="R155" s="1">
        <v>0</v>
      </c>
    </row>
    <row r="156" spans="1:18" ht="14.25" thickBot="1">
      <c r="A156" s="1" t="s">
        <v>185</v>
      </c>
      <c r="B156" s="3">
        <v>1</v>
      </c>
      <c r="C156" s="1" t="s">
        <v>2084</v>
      </c>
      <c r="D156" s="1" t="s">
        <v>11</v>
      </c>
      <c r="E156" s="1">
        <v>4</v>
      </c>
      <c r="F156" s="1">
        <v>1</v>
      </c>
      <c r="G156" s="1">
        <v>30</v>
      </c>
      <c r="H156" s="10">
        <v>0</v>
      </c>
      <c r="I156" s="1">
        <v>3000</v>
      </c>
      <c r="J156" s="1">
        <v>5</v>
      </c>
      <c r="K156" s="1">
        <v>0</v>
      </c>
      <c r="L156" s="1">
        <v>0</v>
      </c>
      <c r="M156" s="1" t="s">
        <v>1901</v>
      </c>
      <c r="N156" s="1" t="s">
        <v>698</v>
      </c>
      <c r="O156" s="1">
        <v>0</v>
      </c>
      <c r="P156" s="1" t="s">
        <v>2051</v>
      </c>
      <c r="Q156" s="7" t="s">
        <v>2213</v>
      </c>
      <c r="R156" s="1">
        <v>0</v>
      </c>
    </row>
    <row r="157" spans="1:18" ht="14.25" thickBot="1">
      <c r="A157" s="1" t="s">
        <v>186</v>
      </c>
      <c r="B157" s="3">
        <v>1</v>
      </c>
      <c r="C157" s="1" t="s">
        <v>2549</v>
      </c>
      <c r="D157" s="1" t="s">
        <v>11</v>
      </c>
      <c r="E157" s="1">
        <v>4</v>
      </c>
      <c r="F157" s="1">
        <v>1</v>
      </c>
      <c r="G157" s="1">
        <v>30</v>
      </c>
      <c r="H157" s="10">
        <v>0</v>
      </c>
      <c r="I157" s="1">
        <v>3300</v>
      </c>
      <c r="J157" s="1">
        <v>5</v>
      </c>
      <c r="K157" s="1">
        <v>0</v>
      </c>
      <c r="L157" s="1">
        <v>0</v>
      </c>
      <c r="M157" s="1" t="s">
        <v>1902</v>
      </c>
      <c r="N157" s="1" t="s">
        <v>698</v>
      </c>
      <c r="O157" s="1">
        <v>0</v>
      </c>
      <c r="P157" s="1" t="s">
        <v>2051</v>
      </c>
      <c r="Q157" s="7" t="s">
        <v>2214</v>
      </c>
      <c r="R157" s="1">
        <v>0</v>
      </c>
    </row>
    <row r="158" spans="1:18" ht="14.25" thickBot="1">
      <c r="A158" s="1" t="s">
        <v>187</v>
      </c>
      <c r="B158" s="3">
        <v>1</v>
      </c>
      <c r="C158" s="1" t="s">
        <v>2090</v>
      </c>
      <c r="D158" s="1" t="s">
        <v>14</v>
      </c>
      <c r="E158" s="1">
        <v>7</v>
      </c>
      <c r="F158" s="1">
        <v>1</v>
      </c>
      <c r="G158" s="1">
        <v>30</v>
      </c>
      <c r="H158" s="10">
        <v>0</v>
      </c>
      <c r="I158" s="1">
        <v>3000</v>
      </c>
      <c r="J158" s="1">
        <v>5</v>
      </c>
      <c r="K158" s="1">
        <v>0</v>
      </c>
      <c r="L158" s="1">
        <v>0</v>
      </c>
      <c r="M158" s="1" t="s">
        <v>1901</v>
      </c>
      <c r="N158" s="1" t="s">
        <v>698</v>
      </c>
      <c r="O158" s="1">
        <v>0</v>
      </c>
      <c r="P158" s="1" t="s">
        <v>2051</v>
      </c>
      <c r="Q158" s="7" t="s">
        <v>2215</v>
      </c>
      <c r="R158" s="1">
        <v>0</v>
      </c>
    </row>
    <row r="159" spans="1:18" ht="14.25" thickBot="1">
      <c r="A159" s="1" t="s">
        <v>188</v>
      </c>
      <c r="B159" s="3">
        <v>1</v>
      </c>
      <c r="C159" s="1" t="s">
        <v>2550</v>
      </c>
      <c r="D159" s="1" t="s">
        <v>14</v>
      </c>
      <c r="E159" s="1">
        <v>7</v>
      </c>
      <c r="F159" s="1">
        <v>1</v>
      </c>
      <c r="G159" s="1">
        <v>30</v>
      </c>
      <c r="H159" s="10">
        <v>0</v>
      </c>
      <c r="I159" s="1">
        <v>3300</v>
      </c>
      <c r="J159" s="1">
        <v>5</v>
      </c>
      <c r="K159" s="1">
        <v>0</v>
      </c>
      <c r="L159" s="1">
        <v>0</v>
      </c>
      <c r="M159" s="1" t="s">
        <v>1902</v>
      </c>
      <c r="N159" s="1" t="s">
        <v>698</v>
      </c>
      <c r="O159" s="1">
        <v>0</v>
      </c>
      <c r="P159" s="1" t="s">
        <v>2051</v>
      </c>
      <c r="Q159" s="7" t="s">
        <v>2216</v>
      </c>
      <c r="R159" s="1">
        <v>0</v>
      </c>
    </row>
    <row r="160" spans="1:18" ht="14.25" thickBot="1">
      <c r="A160" s="1" t="s">
        <v>189</v>
      </c>
      <c r="B160" s="3">
        <v>1</v>
      </c>
      <c r="C160" s="1" t="s">
        <v>2064</v>
      </c>
      <c r="D160" s="1" t="s">
        <v>8</v>
      </c>
      <c r="E160" s="1">
        <v>1</v>
      </c>
      <c r="F160" s="1">
        <v>1</v>
      </c>
      <c r="G160" s="1">
        <v>35</v>
      </c>
      <c r="H160" s="10">
        <v>0</v>
      </c>
      <c r="I160" s="1">
        <v>3500</v>
      </c>
      <c r="J160" s="1">
        <v>5</v>
      </c>
      <c r="K160" s="1">
        <v>0</v>
      </c>
      <c r="L160" s="1">
        <v>0</v>
      </c>
      <c r="M160" s="1" t="s">
        <v>1903</v>
      </c>
      <c r="N160" s="1" t="s">
        <v>698</v>
      </c>
      <c r="O160" s="1">
        <v>0</v>
      </c>
      <c r="P160" s="1" t="s">
        <v>2052</v>
      </c>
      <c r="Q160" s="7" t="s">
        <v>2217</v>
      </c>
      <c r="R160" s="1">
        <v>0</v>
      </c>
    </row>
    <row r="161" spans="1:18" ht="14.25" thickBot="1">
      <c r="A161" s="1" t="s">
        <v>190</v>
      </c>
      <c r="B161" s="3">
        <v>1</v>
      </c>
      <c r="C161" s="1" t="s">
        <v>2551</v>
      </c>
      <c r="D161" s="1" t="s">
        <v>9</v>
      </c>
      <c r="E161" s="1">
        <v>2</v>
      </c>
      <c r="F161" s="1">
        <v>1</v>
      </c>
      <c r="G161" s="1">
        <v>35</v>
      </c>
      <c r="H161" s="10">
        <v>0</v>
      </c>
      <c r="I161" s="1">
        <v>3500</v>
      </c>
      <c r="J161" s="1">
        <v>5</v>
      </c>
      <c r="K161" s="1">
        <v>0</v>
      </c>
      <c r="L161" s="1">
        <v>0</v>
      </c>
      <c r="M161" s="1" t="s">
        <v>1904</v>
      </c>
      <c r="N161" s="1" t="s">
        <v>698</v>
      </c>
      <c r="O161" s="1">
        <v>0</v>
      </c>
      <c r="P161" s="1" t="s">
        <v>2052</v>
      </c>
      <c r="Q161" s="7" t="s">
        <v>2218</v>
      </c>
      <c r="R161" s="1">
        <v>0</v>
      </c>
    </row>
    <row r="162" spans="1:18" ht="14.25" thickBot="1">
      <c r="A162" s="1" t="s">
        <v>191</v>
      </c>
      <c r="B162" s="3">
        <v>1</v>
      </c>
      <c r="C162" s="1" t="s">
        <v>2552</v>
      </c>
      <c r="D162" s="1" t="s">
        <v>10</v>
      </c>
      <c r="E162" s="1">
        <v>3</v>
      </c>
      <c r="F162" s="1">
        <v>1</v>
      </c>
      <c r="G162" s="1">
        <v>35</v>
      </c>
      <c r="H162" s="10">
        <v>0</v>
      </c>
      <c r="I162" s="1">
        <v>3500</v>
      </c>
      <c r="J162" s="1">
        <v>5</v>
      </c>
      <c r="K162" s="1">
        <v>0</v>
      </c>
      <c r="L162" s="1">
        <v>0</v>
      </c>
      <c r="M162" s="1" t="s">
        <v>1905</v>
      </c>
      <c r="N162" s="1" t="s">
        <v>698</v>
      </c>
      <c r="O162" s="1">
        <v>0</v>
      </c>
      <c r="P162" s="1" t="s">
        <v>2052</v>
      </c>
      <c r="Q162" s="7" t="s">
        <v>2219</v>
      </c>
      <c r="R162" s="1">
        <v>0</v>
      </c>
    </row>
    <row r="163" spans="1:18" ht="14.25" thickBot="1">
      <c r="A163" s="1" t="s">
        <v>192</v>
      </c>
      <c r="B163" s="3">
        <v>1</v>
      </c>
      <c r="C163" s="1" t="s">
        <v>2553</v>
      </c>
      <c r="D163" s="1" t="s">
        <v>15</v>
      </c>
      <c r="E163" s="1">
        <v>8</v>
      </c>
      <c r="F163" s="1">
        <v>1</v>
      </c>
      <c r="G163" s="1">
        <v>35</v>
      </c>
      <c r="H163" s="10">
        <v>0</v>
      </c>
      <c r="I163" s="1">
        <v>3500</v>
      </c>
      <c r="J163" s="1">
        <v>5</v>
      </c>
      <c r="K163" s="1">
        <v>0</v>
      </c>
      <c r="L163" s="1">
        <v>0</v>
      </c>
      <c r="M163" s="1" t="s">
        <v>1906</v>
      </c>
      <c r="N163" s="1" t="s">
        <v>698</v>
      </c>
      <c r="O163" s="1">
        <v>0</v>
      </c>
      <c r="P163" s="1" t="s">
        <v>2052</v>
      </c>
      <c r="Q163" s="7" t="s">
        <v>2220</v>
      </c>
      <c r="R163" s="1">
        <v>0</v>
      </c>
    </row>
    <row r="164" spans="1:18" ht="14.25" thickBot="1">
      <c r="A164" s="1" t="s">
        <v>193</v>
      </c>
      <c r="B164" s="3">
        <v>1</v>
      </c>
      <c r="C164" s="1" t="s">
        <v>2074</v>
      </c>
      <c r="D164" s="1" t="s">
        <v>16</v>
      </c>
      <c r="E164" s="1">
        <v>9</v>
      </c>
      <c r="F164" s="1">
        <v>1</v>
      </c>
      <c r="G164" s="1">
        <v>35</v>
      </c>
      <c r="H164" s="10">
        <v>0</v>
      </c>
      <c r="I164" s="1">
        <v>3500</v>
      </c>
      <c r="J164" s="1">
        <v>5</v>
      </c>
      <c r="K164" s="1">
        <v>0</v>
      </c>
      <c r="L164" s="1">
        <v>0</v>
      </c>
      <c r="M164" s="1" t="s">
        <v>1907</v>
      </c>
      <c r="N164" s="1" t="s">
        <v>698</v>
      </c>
      <c r="O164" s="1">
        <v>0</v>
      </c>
      <c r="P164" s="1" t="s">
        <v>2052</v>
      </c>
      <c r="Q164" s="7" t="s">
        <v>2221</v>
      </c>
      <c r="R164" s="1">
        <v>0</v>
      </c>
    </row>
    <row r="165" spans="1:18" ht="14.25" thickBot="1">
      <c r="A165" s="1" t="s">
        <v>194</v>
      </c>
      <c r="B165" s="3">
        <v>1</v>
      </c>
      <c r="C165" s="1" t="s">
        <v>2333</v>
      </c>
      <c r="D165" s="1" t="s">
        <v>17</v>
      </c>
      <c r="E165" s="1">
        <v>10</v>
      </c>
      <c r="F165" s="1">
        <v>1</v>
      </c>
      <c r="G165" s="1">
        <v>35</v>
      </c>
      <c r="H165" s="10">
        <v>0</v>
      </c>
      <c r="I165" s="1">
        <v>3500</v>
      </c>
      <c r="J165" s="1">
        <v>5</v>
      </c>
      <c r="K165" s="1">
        <v>0</v>
      </c>
      <c r="L165" s="1">
        <v>0</v>
      </c>
      <c r="M165" s="1" t="s">
        <v>1908</v>
      </c>
      <c r="N165" s="1" t="s">
        <v>698</v>
      </c>
      <c r="O165" s="1">
        <v>0</v>
      </c>
      <c r="P165" s="1" t="s">
        <v>2052</v>
      </c>
      <c r="Q165" s="7" t="s">
        <v>2222</v>
      </c>
      <c r="R165" s="1">
        <v>0</v>
      </c>
    </row>
    <row r="166" spans="1:18" ht="14.25" thickBot="1">
      <c r="A166" s="1" t="s">
        <v>195</v>
      </c>
      <c r="B166" s="3">
        <v>1</v>
      </c>
      <c r="C166" s="9" t="s">
        <v>2117</v>
      </c>
      <c r="D166" s="1" t="s">
        <v>12</v>
      </c>
      <c r="E166" s="1">
        <v>5</v>
      </c>
      <c r="F166" s="1">
        <v>1</v>
      </c>
      <c r="G166" s="1">
        <v>35</v>
      </c>
      <c r="H166" s="10" t="s">
        <v>2120</v>
      </c>
      <c r="I166" s="1">
        <v>3500</v>
      </c>
      <c r="J166" s="1">
        <v>5</v>
      </c>
      <c r="K166" s="1">
        <v>0</v>
      </c>
      <c r="L166" s="1">
        <v>0</v>
      </c>
      <c r="M166" s="1" t="s">
        <v>1909</v>
      </c>
      <c r="N166" s="1" t="s">
        <v>698</v>
      </c>
      <c r="O166" s="1">
        <v>0</v>
      </c>
      <c r="P166" s="1" t="s">
        <v>2052</v>
      </c>
      <c r="Q166" s="7" t="s">
        <v>2223</v>
      </c>
      <c r="R166" s="1">
        <v>0</v>
      </c>
    </row>
    <row r="167" spans="1:18" ht="14.25" thickBot="1">
      <c r="A167" s="1" t="s">
        <v>196</v>
      </c>
      <c r="B167" s="2">
        <v>0</v>
      </c>
      <c r="C167" s="9" t="s">
        <v>2491</v>
      </c>
      <c r="D167" s="1" t="s">
        <v>12</v>
      </c>
      <c r="E167" s="1">
        <v>5</v>
      </c>
      <c r="F167" s="1">
        <v>1</v>
      </c>
      <c r="G167" s="1">
        <v>35</v>
      </c>
      <c r="H167" s="10" t="s">
        <v>2120</v>
      </c>
      <c r="I167" s="1">
        <v>3800</v>
      </c>
      <c r="J167" s="1">
        <v>5</v>
      </c>
      <c r="K167" s="1">
        <v>0</v>
      </c>
      <c r="L167" s="1">
        <v>0</v>
      </c>
      <c r="M167" s="1" t="s">
        <v>2018</v>
      </c>
      <c r="N167" s="1" t="s">
        <v>698</v>
      </c>
      <c r="O167" s="1">
        <v>0</v>
      </c>
      <c r="P167" s="1" t="s">
        <v>2052</v>
      </c>
      <c r="Q167" s="7" t="s">
        <v>2032</v>
      </c>
      <c r="R167" s="1">
        <v>0</v>
      </c>
    </row>
    <row r="168" spans="1:18" ht="14.25" thickBot="1">
      <c r="A168" s="1" t="s">
        <v>197</v>
      </c>
      <c r="B168" s="3">
        <v>1</v>
      </c>
      <c r="C168" s="9" t="s">
        <v>2118</v>
      </c>
      <c r="D168" s="1" t="s">
        <v>13</v>
      </c>
      <c r="E168" s="1">
        <v>6</v>
      </c>
      <c r="F168" s="1">
        <v>1</v>
      </c>
      <c r="G168" s="1">
        <v>35</v>
      </c>
      <c r="H168" s="10" t="s">
        <v>2120</v>
      </c>
      <c r="I168" s="1">
        <v>3500</v>
      </c>
      <c r="J168" s="1">
        <v>5</v>
      </c>
      <c r="K168" s="1">
        <v>0</v>
      </c>
      <c r="L168" s="1">
        <v>0</v>
      </c>
      <c r="M168" s="1" t="s">
        <v>1910</v>
      </c>
      <c r="N168" s="1" t="s">
        <v>698</v>
      </c>
      <c r="O168" s="1">
        <v>0</v>
      </c>
      <c r="P168" s="1" t="s">
        <v>2052</v>
      </c>
      <c r="Q168" s="7" t="s">
        <v>2205</v>
      </c>
      <c r="R168" s="1">
        <v>0</v>
      </c>
    </row>
    <row r="169" spans="1:18" ht="14.25" thickBot="1">
      <c r="A169" s="1" t="s">
        <v>198</v>
      </c>
      <c r="B169" s="3">
        <v>1</v>
      </c>
      <c r="C169" s="9" t="s">
        <v>2554</v>
      </c>
      <c r="D169" s="1" t="s">
        <v>13</v>
      </c>
      <c r="E169" s="1">
        <v>6</v>
      </c>
      <c r="F169" s="1">
        <v>1</v>
      </c>
      <c r="G169" s="1">
        <v>35</v>
      </c>
      <c r="H169" s="10" t="s">
        <v>2120</v>
      </c>
      <c r="I169" s="1">
        <v>3800</v>
      </c>
      <c r="J169" s="1">
        <v>5</v>
      </c>
      <c r="K169" s="1">
        <v>0</v>
      </c>
      <c r="L169" s="1">
        <v>0</v>
      </c>
      <c r="M169" s="1" t="s">
        <v>1911</v>
      </c>
      <c r="N169" s="1" t="s">
        <v>698</v>
      </c>
      <c r="O169" s="1">
        <v>0</v>
      </c>
      <c r="P169" s="1" t="s">
        <v>2052</v>
      </c>
      <c r="Q169" s="7" t="s">
        <v>2224</v>
      </c>
      <c r="R169" s="1">
        <v>0</v>
      </c>
    </row>
    <row r="170" spans="1:18" ht="14.25" thickBot="1">
      <c r="A170" s="1" t="s">
        <v>199</v>
      </c>
      <c r="B170" s="3">
        <v>1</v>
      </c>
      <c r="C170" s="1" t="s">
        <v>2119</v>
      </c>
      <c r="D170" s="1" t="s">
        <v>12</v>
      </c>
      <c r="E170" s="1">
        <v>5</v>
      </c>
      <c r="F170" s="1">
        <v>1</v>
      </c>
      <c r="G170" s="1">
        <v>35</v>
      </c>
      <c r="H170" s="10" t="s">
        <v>2121</v>
      </c>
      <c r="I170" s="1">
        <v>3500</v>
      </c>
      <c r="J170" s="1">
        <v>5</v>
      </c>
      <c r="K170" s="1">
        <v>0</v>
      </c>
      <c r="L170" s="1">
        <v>0</v>
      </c>
      <c r="M170" s="1" t="s">
        <v>1909</v>
      </c>
      <c r="N170" s="1" t="s">
        <v>698</v>
      </c>
      <c r="O170" s="1">
        <v>0</v>
      </c>
      <c r="P170" s="1" t="s">
        <v>2052</v>
      </c>
      <c r="Q170" s="7" t="s">
        <v>2225</v>
      </c>
      <c r="R170" s="1">
        <v>0</v>
      </c>
    </row>
    <row r="171" spans="1:18" ht="14.25" thickBot="1">
      <c r="A171" s="1" t="s">
        <v>200</v>
      </c>
      <c r="B171" s="2">
        <v>0</v>
      </c>
      <c r="C171" s="1" t="s">
        <v>2494</v>
      </c>
      <c r="D171" s="1" t="s">
        <v>12</v>
      </c>
      <c r="E171" s="1">
        <v>5</v>
      </c>
      <c r="F171" s="1">
        <v>1</v>
      </c>
      <c r="G171" s="1">
        <v>35</v>
      </c>
      <c r="H171" s="10" t="s">
        <v>2121</v>
      </c>
      <c r="I171" s="1">
        <v>3800</v>
      </c>
      <c r="J171" s="1">
        <v>5</v>
      </c>
      <c r="K171" s="1">
        <v>0</v>
      </c>
      <c r="L171" s="1">
        <v>0</v>
      </c>
      <c r="M171" s="1" t="s">
        <v>2018</v>
      </c>
      <c r="N171" s="1" t="s">
        <v>698</v>
      </c>
      <c r="O171" s="1">
        <v>0</v>
      </c>
      <c r="P171" s="1" t="s">
        <v>2052</v>
      </c>
      <c r="Q171" s="7" t="s">
        <v>2034</v>
      </c>
      <c r="R171" s="1">
        <v>0</v>
      </c>
    </row>
    <row r="172" spans="1:18" ht="14.25" thickBot="1">
      <c r="A172" s="1" t="s">
        <v>201</v>
      </c>
      <c r="B172" s="3">
        <v>1</v>
      </c>
      <c r="C172" s="9" t="s">
        <v>2555</v>
      </c>
      <c r="D172" s="1" t="s">
        <v>13</v>
      </c>
      <c r="E172" s="1">
        <v>6</v>
      </c>
      <c r="F172" s="1">
        <v>1</v>
      </c>
      <c r="G172" s="1">
        <v>35</v>
      </c>
      <c r="H172" s="10" t="s">
        <v>2121</v>
      </c>
      <c r="I172" s="1">
        <v>3500</v>
      </c>
      <c r="J172" s="1">
        <v>5</v>
      </c>
      <c r="K172" s="1">
        <v>0</v>
      </c>
      <c r="L172" s="1">
        <v>0</v>
      </c>
      <c r="M172" s="1" t="s">
        <v>1912</v>
      </c>
      <c r="N172" s="1" t="s">
        <v>698</v>
      </c>
      <c r="O172" s="1">
        <v>0</v>
      </c>
      <c r="P172" s="1" t="s">
        <v>2052</v>
      </c>
      <c r="Q172" s="7" t="s">
        <v>2209</v>
      </c>
      <c r="R172" s="1">
        <v>0</v>
      </c>
    </row>
    <row r="173" spans="1:18" ht="14.25" thickBot="1">
      <c r="A173" s="1" t="s">
        <v>202</v>
      </c>
      <c r="B173" s="3">
        <v>1</v>
      </c>
      <c r="C173" s="9" t="s">
        <v>2556</v>
      </c>
      <c r="D173" s="1" t="s">
        <v>13</v>
      </c>
      <c r="E173" s="1">
        <v>6</v>
      </c>
      <c r="F173" s="1">
        <v>1</v>
      </c>
      <c r="G173" s="1">
        <v>35</v>
      </c>
      <c r="H173" s="10" t="s">
        <v>2121</v>
      </c>
      <c r="I173" s="1">
        <v>3800</v>
      </c>
      <c r="J173" s="1">
        <v>5</v>
      </c>
      <c r="K173" s="1">
        <v>0</v>
      </c>
      <c r="L173" s="1">
        <v>0</v>
      </c>
      <c r="M173" s="1" t="s">
        <v>1913</v>
      </c>
      <c r="N173" s="1" t="s">
        <v>698</v>
      </c>
      <c r="O173" s="1">
        <v>0</v>
      </c>
      <c r="P173" s="1" t="s">
        <v>2052</v>
      </c>
      <c r="Q173" s="7" t="s">
        <v>2035</v>
      </c>
      <c r="R173" s="1">
        <v>0</v>
      </c>
    </row>
    <row r="174" spans="1:18" ht="14.25" thickBot="1">
      <c r="A174" s="1" t="s">
        <v>203</v>
      </c>
      <c r="B174" s="3">
        <v>1</v>
      </c>
      <c r="C174" s="9" t="s">
        <v>2557</v>
      </c>
      <c r="D174" s="1" t="s">
        <v>12</v>
      </c>
      <c r="E174" s="1">
        <v>5</v>
      </c>
      <c r="F174" s="1">
        <v>1</v>
      </c>
      <c r="G174" s="1">
        <v>35</v>
      </c>
      <c r="H174" s="10" t="s">
        <v>2122</v>
      </c>
      <c r="I174" s="1">
        <v>3500</v>
      </c>
      <c r="J174" s="1">
        <v>5</v>
      </c>
      <c r="K174" s="1">
        <v>0</v>
      </c>
      <c r="L174" s="1">
        <v>0</v>
      </c>
      <c r="M174" s="1" t="s">
        <v>1909</v>
      </c>
      <c r="N174" s="1" t="s">
        <v>698</v>
      </c>
      <c r="O174" s="1">
        <v>0</v>
      </c>
      <c r="P174" s="1" t="s">
        <v>2052</v>
      </c>
      <c r="Q174" s="7" t="s">
        <v>2226</v>
      </c>
      <c r="R174" s="1">
        <v>0</v>
      </c>
    </row>
    <row r="175" spans="1:18" ht="14.25" thickBot="1">
      <c r="A175" s="1" t="s">
        <v>204</v>
      </c>
      <c r="B175" s="2">
        <v>0</v>
      </c>
      <c r="C175" s="9" t="s">
        <v>2497</v>
      </c>
      <c r="D175" s="1" t="s">
        <v>12</v>
      </c>
      <c r="E175" s="1">
        <v>5</v>
      </c>
      <c r="F175" s="1">
        <v>1</v>
      </c>
      <c r="G175" s="1">
        <v>35</v>
      </c>
      <c r="H175" s="10" t="s">
        <v>2122</v>
      </c>
      <c r="I175" s="1">
        <v>3800</v>
      </c>
      <c r="J175" s="1">
        <v>5</v>
      </c>
      <c r="K175" s="1">
        <v>0</v>
      </c>
      <c r="L175" s="1">
        <v>0</v>
      </c>
      <c r="M175" s="1" t="s">
        <v>2018</v>
      </c>
      <c r="N175" s="1" t="s">
        <v>698</v>
      </c>
      <c r="O175" s="1">
        <v>0</v>
      </c>
      <c r="P175" s="1" t="s">
        <v>2052</v>
      </c>
      <c r="Q175" s="7" t="s">
        <v>2036</v>
      </c>
      <c r="R175" s="1">
        <v>0</v>
      </c>
    </row>
    <row r="176" spans="1:18" ht="14.25" thickBot="1">
      <c r="A176" s="1" t="s">
        <v>205</v>
      </c>
      <c r="B176" s="3">
        <v>1</v>
      </c>
      <c r="C176" s="9" t="s">
        <v>2558</v>
      </c>
      <c r="D176" s="1" t="s">
        <v>13</v>
      </c>
      <c r="E176" s="1">
        <v>6</v>
      </c>
      <c r="F176" s="1">
        <v>1</v>
      </c>
      <c r="G176" s="1">
        <v>35</v>
      </c>
      <c r="H176" s="10" t="s">
        <v>2122</v>
      </c>
      <c r="I176" s="1">
        <v>3500</v>
      </c>
      <c r="J176" s="1">
        <v>5</v>
      </c>
      <c r="K176" s="1">
        <v>0</v>
      </c>
      <c r="L176" s="1">
        <v>0</v>
      </c>
      <c r="M176" s="1" t="s">
        <v>1914</v>
      </c>
      <c r="N176" s="1" t="s">
        <v>698</v>
      </c>
      <c r="O176" s="1">
        <v>0</v>
      </c>
      <c r="P176" s="1" t="s">
        <v>2052</v>
      </c>
      <c r="Q176" s="7" t="s">
        <v>2212</v>
      </c>
      <c r="R176" s="1">
        <v>0</v>
      </c>
    </row>
    <row r="177" spans="1:18" ht="14.25" thickBot="1">
      <c r="A177" s="1" t="s">
        <v>206</v>
      </c>
      <c r="B177" s="3">
        <v>1</v>
      </c>
      <c r="C177" s="9" t="s">
        <v>2559</v>
      </c>
      <c r="D177" s="1" t="s">
        <v>13</v>
      </c>
      <c r="E177" s="1">
        <v>6</v>
      </c>
      <c r="F177" s="1">
        <v>1</v>
      </c>
      <c r="G177" s="1">
        <v>35</v>
      </c>
      <c r="H177" s="10" t="s">
        <v>2122</v>
      </c>
      <c r="I177" s="1">
        <v>3800</v>
      </c>
      <c r="J177" s="1">
        <v>5</v>
      </c>
      <c r="K177" s="1">
        <v>0</v>
      </c>
      <c r="L177" s="1">
        <v>0</v>
      </c>
      <c r="M177" s="1" t="s">
        <v>1915</v>
      </c>
      <c r="N177" s="1" t="s">
        <v>698</v>
      </c>
      <c r="O177" s="1">
        <v>0</v>
      </c>
      <c r="P177" s="1" t="s">
        <v>2052</v>
      </c>
      <c r="Q177" s="7" t="s">
        <v>2227</v>
      </c>
      <c r="R177" s="1">
        <v>0</v>
      </c>
    </row>
    <row r="178" spans="1:18" ht="14.25" thickBot="1">
      <c r="A178" s="1" t="s">
        <v>207</v>
      </c>
      <c r="B178" s="3">
        <v>1</v>
      </c>
      <c r="C178" s="1" t="s">
        <v>2085</v>
      </c>
      <c r="D178" s="1" t="s">
        <v>11</v>
      </c>
      <c r="E178" s="1">
        <v>4</v>
      </c>
      <c r="F178" s="1">
        <v>1</v>
      </c>
      <c r="G178" s="1">
        <v>35</v>
      </c>
      <c r="H178" s="10">
        <v>0</v>
      </c>
      <c r="I178" s="1">
        <v>3500</v>
      </c>
      <c r="J178" s="1">
        <v>5</v>
      </c>
      <c r="K178" s="1">
        <v>0</v>
      </c>
      <c r="L178" s="1">
        <v>0</v>
      </c>
      <c r="M178" s="1" t="s">
        <v>1916</v>
      </c>
      <c r="N178" s="1" t="s">
        <v>698</v>
      </c>
      <c r="O178" s="1">
        <v>0</v>
      </c>
      <c r="P178" s="1" t="s">
        <v>2052</v>
      </c>
      <c r="Q178" s="7" t="s">
        <v>2228</v>
      </c>
      <c r="R178" s="1">
        <v>0</v>
      </c>
    </row>
    <row r="179" spans="1:18" ht="14.25" thickBot="1">
      <c r="A179" s="1" t="s">
        <v>208</v>
      </c>
      <c r="B179" s="3">
        <v>1</v>
      </c>
      <c r="C179" s="1" t="s">
        <v>2560</v>
      </c>
      <c r="D179" s="1" t="s">
        <v>11</v>
      </c>
      <c r="E179" s="1">
        <v>4</v>
      </c>
      <c r="F179" s="1">
        <v>1</v>
      </c>
      <c r="G179" s="1">
        <v>35</v>
      </c>
      <c r="H179" s="10">
        <v>0</v>
      </c>
      <c r="I179" s="1">
        <v>3800</v>
      </c>
      <c r="J179" s="1">
        <v>5</v>
      </c>
      <c r="K179" s="1">
        <v>0</v>
      </c>
      <c r="L179" s="1">
        <v>0</v>
      </c>
      <c r="M179" s="1" t="s">
        <v>1917</v>
      </c>
      <c r="N179" s="1" t="s">
        <v>698</v>
      </c>
      <c r="O179" s="1">
        <v>0</v>
      </c>
      <c r="P179" s="1" t="s">
        <v>2052</v>
      </c>
      <c r="Q179" s="7" t="s">
        <v>2038</v>
      </c>
      <c r="R179" s="1">
        <v>0</v>
      </c>
    </row>
    <row r="180" spans="1:18" ht="14.25" thickBot="1">
      <c r="A180" s="1" t="s">
        <v>209</v>
      </c>
      <c r="B180" s="3">
        <v>1</v>
      </c>
      <c r="C180" s="1" t="s">
        <v>2561</v>
      </c>
      <c r="D180" s="1" t="s">
        <v>14</v>
      </c>
      <c r="E180" s="1">
        <v>7</v>
      </c>
      <c r="F180" s="1">
        <v>1</v>
      </c>
      <c r="G180" s="1">
        <v>35</v>
      </c>
      <c r="H180" s="10">
        <v>0</v>
      </c>
      <c r="I180" s="1">
        <v>3500</v>
      </c>
      <c r="J180" s="1">
        <v>5</v>
      </c>
      <c r="K180" s="1">
        <v>0</v>
      </c>
      <c r="L180" s="1">
        <v>0</v>
      </c>
      <c r="M180" s="1" t="s">
        <v>1916</v>
      </c>
      <c r="N180" s="1" t="s">
        <v>698</v>
      </c>
      <c r="O180" s="1">
        <v>0</v>
      </c>
      <c r="P180" s="1" t="s">
        <v>2052</v>
      </c>
      <c r="Q180" s="7" t="s">
        <v>2216</v>
      </c>
      <c r="R180" s="1">
        <v>0</v>
      </c>
    </row>
    <row r="181" spans="1:18" ht="14.25" thickBot="1">
      <c r="A181" s="1" t="s">
        <v>210</v>
      </c>
      <c r="B181" s="2">
        <v>0</v>
      </c>
      <c r="C181" s="1" t="s">
        <v>2501</v>
      </c>
      <c r="D181" s="1" t="s">
        <v>14</v>
      </c>
      <c r="E181" s="1">
        <v>7</v>
      </c>
      <c r="F181" s="1">
        <v>1</v>
      </c>
      <c r="G181" s="1">
        <v>35</v>
      </c>
      <c r="H181" s="10">
        <v>0</v>
      </c>
      <c r="I181" s="1">
        <v>3800</v>
      </c>
      <c r="J181" s="1">
        <v>5</v>
      </c>
      <c r="K181" s="1">
        <v>0</v>
      </c>
      <c r="L181" s="1">
        <v>0</v>
      </c>
      <c r="M181" s="1" t="s">
        <v>1918</v>
      </c>
      <c r="N181" s="1" t="s">
        <v>698</v>
      </c>
      <c r="O181" s="1">
        <v>0</v>
      </c>
      <c r="P181" s="1" t="s">
        <v>2052</v>
      </c>
      <c r="Q181" s="7" t="s">
        <v>2039</v>
      </c>
      <c r="R181" s="1">
        <v>0</v>
      </c>
    </row>
    <row r="182" spans="1:18" ht="14.25" thickBot="1">
      <c r="A182" s="1" t="s">
        <v>211</v>
      </c>
      <c r="B182" s="3">
        <v>1</v>
      </c>
      <c r="C182" s="1" t="s">
        <v>2065</v>
      </c>
      <c r="D182" s="1" t="s">
        <v>8</v>
      </c>
      <c r="E182" s="1">
        <v>1</v>
      </c>
      <c r="F182" s="1">
        <v>1</v>
      </c>
      <c r="G182" s="1">
        <v>40</v>
      </c>
      <c r="H182" s="10">
        <v>0</v>
      </c>
      <c r="I182" s="1">
        <v>4000</v>
      </c>
      <c r="J182" s="1">
        <v>5</v>
      </c>
      <c r="K182" s="1">
        <v>0</v>
      </c>
      <c r="L182" s="1">
        <v>0</v>
      </c>
      <c r="M182" s="1" t="s">
        <v>1919</v>
      </c>
      <c r="N182" s="1" t="s">
        <v>698</v>
      </c>
      <c r="O182" s="1">
        <v>0</v>
      </c>
      <c r="P182" s="1" t="s">
        <v>2053</v>
      </c>
      <c r="Q182" s="7" t="s">
        <v>2229</v>
      </c>
      <c r="R182" s="1">
        <v>0</v>
      </c>
    </row>
    <row r="183" spans="1:18" ht="14.25" thickBot="1">
      <c r="A183" s="1" t="s">
        <v>212</v>
      </c>
      <c r="B183" s="3">
        <v>1</v>
      </c>
      <c r="C183" s="1" t="s">
        <v>2562</v>
      </c>
      <c r="D183" s="1" t="s">
        <v>9</v>
      </c>
      <c r="E183" s="1">
        <v>2</v>
      </c>
      <c r="F183" s="1">
        <v>1</v>
      </c>
      <c r="G183" s="1">
        <v>40</v>
      </c>
      <c r="H183" s="10">
        <v>0</v>
      </c>
      <c r="I183" s="1">
        <v>4000</v>
      </c>
      <c r="J183" s="1">
        <v>5</v>
      </c>
      <c r="K183" s="1">
        <v>0</v>
      </c>
      <c r="L183" s="1">
        <v>0</v>
      </c>
      <c r="M183" s="1" t="s">
        <v>1920</v>
      </c>
      <c r="N183" s="1" t="s">
        <v>698</v>
      </c>
      <c r="O183" s="1">
        <v>0</v>
      </c>
      <c r="P183" s="1" t="s">
        <v>2053</v>
      </c>
      <c r="Q183" s="7" t="s">
        <v>2230</v>
      </c>
      <c r="R183" s="1">
        <v>0</v>
      </c>
    </row>
    <row r="184" spans="1:18" ht="14.25" thickBot="1">
      <c r="A184" s="1" t="s">
        <v>213</v>
      </c>
      <c r="B184" s="3">
        <v>1</v>
      </c>
      <c r="C184" s="1" t="s">
        <v>2563</v>
      </c>
      <c r="D184" s="1" t="s">
        <v>10</v>
      </c>
      <c r="E184" s="1">
        <v>3</v>
      </c>
      <c r="F184" s="1">
        <v>1</v>
      </c>
      <c r="G184" s="1">
        <v>40</v>
      </c>
      <c r="H184" s="10">
        <v>0</v>
      </c>
      <c r="I184" s="1">
        <v>4000</v>
      </c>
      <c r="J184" s="1">
        <v>5</v>
      </c>
      <c r="K184" s="1">
        <v>0</v>
      </c>
      <c r="L184" s="1">
        <v>0</v>
      </c>
      <c r="M184" s="1" t="s">
        <v>1921</v>
      </c>
      <c r="N184" s="1" t="s">
        <v>698</v>
      </c>
      <c r="O184" s="1">
        <v>0</v>
      </c>
      <c r="P184" s="1" t="s">
        <v>2053</v>
      </c>
      <c r="Q184" s="7" t="s">
        <v>2231</v>
      </c>
      <c r="R184" s="1">
        <v>0</v>
      </c>
    </row>
    <row r="185" spans="1:18" ht="14.25" thickBot="1">
      <c r="A185" s="1" t="s">
        <v>214</v>
      </c>
      <c r="B185" s="3">
        <v>1</v>
      </c>
      <c r="C185" s="1" t="s">
        <v>2564</v>
      </c>
      <c r="D185" s="1" t="s">
        <v>15</v>
      </c>
      <c r="E185" s="1">
        <v>8</v>
      </c>
      <c r="F185" s="1">
        <v>1</v>
      </c>
      <c r="G185" s="1">
        <v>40</v>
      </c>
      <c r="H185" s="10">
        <v>0</v>
      </c>
      <c r="I185" s="1">
        <v>4000</v>
      </c>
      <c r="J185" s="1">
        <v>5</v>
      </c>
      <c r="K185" s="1">
        <v>0</v>
      </c>
      <c r="L185" s="1">
        <v>0</v>
      </c>
      <c r="M185" s="1" t="s">
        <v>1922</v>
      </c>
      <c r="N185" s="1" t="s">
        <v>698</v>
      </c>
      <c r="O185" s="1">
        <v>0</v>
      </c>
      <c r="P185" s="1" t="s">
        <v>2053</v>
      </c>
      <c r="Q185" s="7" t="s">
        <v>2232</v>
      </c>
      <c r="R185" s="1">
        <v>0</v>
      </c>
    </row>
    <row r="186" spans="1:18" ht="14.25" thickBot="1">
      <c r="A186" s="1" t="s">
        <v>215</v>
      </c>
      <c r="B186" s="3">
        <v>1</v>
      </c>
      <c r="C186" s="1" t="s">
        <v>2565</v>
      </c>
      <c r="D186" s="1" t="s">
        <v>16</v>
      </c>
      <c r="E186" s="1">
        <v>9</v>
      </c>
      <c r="F186" s="1">
        <v>1</v>
      </c>
      <c r="G186" s="1">
        <v>40</v>
      </c>
      <c r="H186" s="10">
        <v>0</v>
      </c>
      <c r="I186" s="1">
        <v>4000</v>
      </c>
      <c r="J186" s="1">
        <v>5</v>
      </c>
      <c r="K186" s="1">
        <v>0</v>
      </c>
      <c r="L186" s="1">
        <v>0</v>
      </c>
      <c r="M186" s="1" t="s">
        <v>1923</v>
      </c>
      <c r="N186" s="1" t="s">
        <v>698</v>
      </c>
      <c r="O186" s="1">
        <v>0</v>
      </c>
      <c r="P186" s="1" t="s">
        <v>2053</v>
      </c>
      <c r="Q186" s="7" t="s">
        <v>2233</v>
      </c>
      <c r="R186" s="1">
        <v>0</v>
      </c>
    </row>
    <row r="187" spans="1:18" ht="14.25" thickBot="1">
      <c r="A187" s="1" t="s">
        <v>216</v>
      </c>
      <c r="B187" s="2">
        <v>1</v>
      </c>
      <c r="C187" s="1" t="s">
        <v>2566</v>
      </c>
      <c r="D187" s="1" t="s">
        <v>17</v>
      </c>
      <c r="E187" s="1">
        <v>10</v>
      </c>
      <c r="F187" s="1">
        <v>1</v>
      </c>
      <c r="G187" s="1">
        <v>40</v>
      </c>
      <c r="H187" s="10">
        <v>0</v>
      </c>
      <c r="I187" s="1">
        <v>4000</v>
      </c>
      <c r="J187" s="1">
        <v>5</v>
      </c>
      <c r="K187" s="1">
        <v>0</v>
      </c>
      <c r="L187" s="1">
        <v>0</v>
      </c>
      <c r="M187" s="1" t="s">
        <v>1908</v>
      </c>
      <c r="N187" s="1" t="s">
        <v>698</v>
      </c>
      <c r="O187" s="1">
        <v>0</v>
      </c>
      <c r="P187" s="1" t="s">
        <v>2053</v>
      </c>
      <c r="Q187" s="7" t="s">
        <v>2871</v>
      </c>
      <c r="R187" s="1">
        <v>0</v>
      </c>
    </row>
    <row r="188" spans="1:18" ht="14.25" thickBot="1">
      <c r="A188" s="1" t="s">
        <v>217</v>
      </c>
      <c r="B188" s="3">
        <v>1</v>
      </c>
      <c r="C188" s="9" t="s">
        <v>2567</v>
      </c>
      <c r="D188" s="1" t="s">
        <v>12</v>
      </c>
      <c r="E188" s="1">
        <v>5</v>
      </c>
      <c r="F188" s="1">
        <v>1</v>
      </c>
      <c r="G188" s="1">
        <v>40</v>
      </c>
      <c r="H188" s="10" t="s">
        <v>2120</v>
      </c>
      <c r="I188" s="1">
        <v>4000</v>
      </c>
      <c r="J188" s="1">
        <v>5</v>
      </c>
      <c r="K188" s="1">
        <v>0</v>
      </c>
      <c r="L188" s="1">
        <v>0</v>
      </c>
      <c r="M188" s="1" t="s">
        <v>1924</v>
      </c>
      <c r="N188" s="1" t="s">
        <v>698</v>
      </c>
      <c r="O188" s="1">
        <v>0</v>
      </c>
      <c r="P188" s="1" t="s">
        <v>2053</v>
      </c>
      <c r="Q188" s="7" t="s">
        <v>2234</v>
      </c>
      <c r="R188" s="1">
        <v>0</v>
      </c>
    </row>
    <row r="189" spans="1:18" ht="14.25" thickBot="1">
      <c r="A189" s="1" t="s">
        <v>218</v>
      </c>
      <c r="B189" s="3">
        <v>1</v>
      </c>
      <c r="C189" s="9" t="s">
        <v>2568</v>
      </c>
      <c r="D189" s="1" t="s">
        <v>12</v>
      </c>
      <c r="E189" s="1">
        <v>5</v>
      </c>
      <c r="F189" s="1">
        <v>1</v>
      </c>
      <c r="G189" s="1">
        <v>40</v>
      </c>
      <c r="H189" s="10" t="s">
        <v>2120</v>
      </c>
      <c r="I189" s="1">
        <v>4300</v>
      </c>
      <c r="J189" s="1">
        <v>5</v>
      </c>
      <c r="K189" s="1">
        <v>0</v>
      </c>
      <c r="L189" s="1">
        <v>0</v>
      </c>
      <c r="M189" s="1" t="s">
        <v>2019</v>
      </c>
      <c r="N189" s="1" t="s">
        <v>698</v>
      </c>
      <c r="O189" s="1">
        <v>0</v>
      </c>
      <c r="P189" s="1" t="s">
        <v>2053</v>
      </c>
      <c r="Q189" s="7" t="s">
        <v>2235</v>
      </c>
      <c r="R189" s="1">
        <v>0</v>
      </c>
    </row>
    <row r="190" spans="1:18" ht="14.25" thickBot="1">
      <c r="A190" s="1" t="s">
        <v>219</v>
      </c>
      <c r="B190" s="3">
        <v>1</v>
      </c>
      <c r="C190" s="9" t="s">
        <v>2569</v>
      </c>
      <c r="D190" s="1" t="s">
        <v>13</v>
      </c>
      <c r="E190" s="1">
        <v>6</v>
      </c>
      <c r="F190" s="1">
        <v>1</v>
      </c>
      <c r="G190" s="1">
        <v>40</v>
      </c>
      <c r="H190" s="10" t="s">
        <v>2120</v>
      </c>
      <c r="I190" s="1">
        <v>4000</v>
      </c>
      <c r="J190" s="1">
        <v>5</v>
      </c>
      <c r="K190" s="1">
        <v>0</v>
      </c>
      <c r="L190" s="1">
        <v>0</v>
      </c>
      <c r="M190" s="1" t="s">
        <v>1925</v>
      </c>
      <c r="N190" s="1" t="s">
        <v>698</v>
      </c>
      <c r="O190" s="1">
        <v>0</v>
      </c>
      <c r="P190" s="1" t="s">
        <v>2053</v>
      </c>
      <c r="Q190" s="7" t="s">
        <v>2236</v>
      </c>
      <c r="R190" s="1">
        <v>0</v>
      </c>
    </row>
    <row r="191" spans="1:18" ht="14.25" thickBot="1">
      <c r="A191" s="1" t="s">
        <v>220</v>
      </c>
      <c r="B191" s="2">
        <v>0</v>
      </c>
      <c r="C191" s="9" t="s">
        <v>2061</v>
      </c>
      <c r="D191" s="1" t="s">
        <v>13</v>
      </c>
      <c r="E191" s="1">
        <v>6</v>
      </c>
      <c r="F191" s="1">
        <v>1</v>
      </c>
      <c r="G191" s="1">
        <v>40</v>
      </c>
      <c r="H191" s="10" t="s">
        <v>2120</v>
      </c>
      <c r="I191" s="1">
        <v>4300</v>
      </c>
      <c r="J191" s="1">
        <v>5</v>
      </c>
      <c r="K191" s="1">
        <v>0</v>
      </c>
      <c r="L191" s="1">
        <v>0</v>
      </c>
      <c r="M191" s="1" t="s">
        <v>1926</v>
      </c>
      <c r="N191" s="1" t="s">
        <v>698</v>
      </c>
      <c r="O191" s="1">
        <v>0</v>
      </c>
      <c r="P191" s="1" t="s">
        <v>2053</v>
      </c>
      <c r="Q191" s="7" t="s">
        <v>2033</v>
      </c>
      <c r="R191" s="1">
        <v>0</v>
      </c>
    </row>
    <row r="192" spans="1:18" ht="14.25" thickBot="1">
      <c r="A192" s="1" t="s">
        <v>221</v>
      </c>
      <c r="B192" s="3">
        <v>1</v>
      </c>
      <c r="C192" s="1" t="s">
        <v>2570</v>
      </c>
      <c r="D192" s="1" t="s">
        <v>12</v>
      </c>
      <c r="E192" s="1">
        <v>5</v>
      </c>
      <c r="F192" s="1">
        <v>1</v>
      </c>
      <c r="G192" s="1">
        <v>40</v>
      </c>
      <c r="H192" s="10" t="s">
        <v>2121</v>
      </c>
      <c r="I192" s="1">
        <v>4000</v>
      </c>
      <c r="J192" s="1">
        <v>5</v>
      </c>
      <c r="K192" s="1">
        <v>0</v>
      </c>
      <c r="L192" s="1">
        <v>0</v>
      </c>
      <c r="M192" s="1" t="s">
        <v>1924</v>
      </c>
      <c r="N192" s="1" t="s">
        <v>698</v>
      </c>
      <c r="O192" s="1">
        <v>0</v>
      </c>
      <c r="P192" s="1" t="s">
        <v>2053</v>
      </c>
      <c r="Q192" s="7" t="s">
        <v>2237</v>
      </c>
      <c r="R192" s="1">
        <v>0</v>
      </c>
    </row>
    <row r="193" spans="1:18" ht="14.25" thickBot="1">
      <c r="A193" s="1" t="s">
        <v>222</v>
      </c>
      <c r="B193" s="3">
        <v>1</v>
      </c>
      <c r="C193" s="1" t="s">
        <v>2571</v>
      </c>
      <c r="D193" s="1" t="s">
        <v>12</v>
      </c>
      <c r="E193" s="1">
        <v>5</v>
      </c>
      <c r="F193" s="1">
        <v>1</v>
      </c>
      <c r="G193" s="1">
        <v>40</v>
      </c>
      <c r="H193" s="10" t="s">
        <v>2121</v>
      </c>
      <c r="I193" s="1">
        <v>4300</v>
      </c>
      <c r="J193" s="1">
        <v>5</v>
      </c>
      <c r="K193" s="1">
        <v>0</v>
      </c>
      <c r="L193" s="1">
        <v>0</v>
      </c>
      <c r="M193" s="1" t="s">
        <v>2019</v>
      </c>
      <c r="N193" s="1" t="s">
        <v>698</v>
      </c>
      <c r="O193" s="1">
        <v>0</v>
      </c>
      <c r="P193" s="1" t="s">
        <v>2053</v>
      </c>
      <c r="Q193" s="7" t="s">
        <v>2238</v>
      </c>
      <c r="R193" s="1">
        <v>0</v>
      </c>
    </row>
    <row r="194" spans="1:18" ht="14.25" thickBot="1">
      <c r="A194" s="1" t="s">
        <v>223</v>
      </c>
      <c r="B194" s="3">
        <v>1</v>
      </c>
      <c r="C194" s="9" t="s">
        <v>2572</v>
      </c>
      <c r="D194" s="1" t="s">
        <v>13</v>
      </c>
      <c r="E194" s="1">
        <v>6</v>
      </c>
      <c r="F194" s="1">
        <v>1</v>
      </c>
      <c r="G194" s="1">
        <v>40</v>
      </c>
      <c r="H194" s="10" t="s">
        <v>2121</v>
      </c>
      <c r="I194" s="1">
        <v>4000</v>
      </c>
      <c r="J194" s="1">
        <v>5</v>
      </c>
      <c r="K194" s="1">
        <v>0</v>
      </c>
      <c r="L194" s="1">
        <v>0</v>
      </c>
      <c r="M194" s="1" t="s">
        <v>1923</v>
      </c>
      <c r="N194" s="1" t="s">
        <v>698</v>
      </c>
      <c r="O194" s="1">
        <v>0</v>
      </c>
      <c r="P194" s="1" t="s">
        <v>2053</v>
      </c>
      <c r="Q194" s="7" t="s">
        <v>2239</v>
      </c>
      <c r="R194" s="1">
        <v>0</v>
      </c>
    </row>
    <row r="195" spans="1:18" ht="14.25" thickBot="1">
      <c r="A195" s="1" t="s">
        <v>224</v>
      </c>
      <c r="B195" s="2">
        <v>0</v>
      </c>
      <c r="C195" s="9" t="s">
        <v>2094</v>
      </c>
      <c r="D195" s="1" t="s">
        <v>13</v>
      </c>
      <c r="E195" s="1">
        <v>6</v>
      </c>
      <c r="F195" s="1">
        <v>1</v>
      </c>
      <c r="G195" s="1">
        <v>40</v>
      </c>
      <c r="H195" s="10" t="s">
        <v>2121</v>
      </c>
      <c r="I195" s="1">
        <v>4300</v>
      </c>
      <c r="J195" s="1">
        <v>5</v>
      </c>
      <c r="K195" s="1">
        <v>0</v>
      </c>
      <c r="L195" s="1">
        <v>0</v>
      </c>
      <c r="M195" s="1" t="s">
        <v>1927</v>
      </c>
      <c r="N195" s="1" t="s">
        <v>698</v>
      </c>
      <c r="O195" s="1">
        <v>0</v>
      </c>
      <c r="P195" s="1" t="s">
        <v>2053</v>
      </c>
      <c r="Q195" s="7" t="s">
        <v>2035</v>
      </c>
      <c r="R195" s="1">
        <v>0</v>
      </c>
    </row>
    <row r="196" spans="1:18" ht="14.25" thickBot="1">
      <c r="A196" s="1" t="s">
        <v>225</v>
      </c>
      <c r="B196" s="3">
        <v>1</v>
      </c>
      <c r="C196" s="9" t="s">
        <v>2573</v>
      </c>
      <c r="D196" s="1" t="s">
        <v>12</v>
      </c>
      <c r="E196" s="1">
        <v>5</v>
      </c>
      <c r="F196" s="1">
        <v>1</v>
      </c>
      <c r="G196" s="1">
        <v>40</v>
      </c>
      <c r="H196" s="10" t="s">
        <v>2122</v>
      </c>
      <c r="I196" s="1">
        <v>4000</v>
      </c>
      <c r="J196" s="1">
        <v>5</v>
      </c>
      <c r="K196" s="1">
        <v>0</v>
      </c>
      <c r="L196" s="1">
        <v>0</v>
      </c>
      <c r="M196" s="1" t="s">
        <v>1924</v>
      </c>
      <c r="N196" s="1" t="s">
        <v>698</v>
      </c>
      <c r="O196" s="1">
        <v>0</v>
      </c>
      <c r="P196" s="1" t="s">
        <v>2053</v>
      </c>
      <c r="Q196" s="7" t="s">
        <v>2240</v>
      </c>
      <c r="R196" s="1">
        <v>0</v>
      </c>
    </row>
    <row r="197" spans="1:18" ht="14.25" thickBot="1">
      <c r="A197" s="1" t="s">
        <v>226</v>
      </c>
      <c r="B197" s="3">
        <v>1</v>
      </c>
      <c r="C197" s="9" t="s">
        <v>2574</v>
      </c>
      <c r="D197" s="1" t="s">
        <v>12</v>
      </c>
      <c r="E197" s="1">
        <v>5</v>
      </c>
      <c r="F197" s="1">
        <v>1</v>
      </c>
      <c r="G197" s="1">
        <v>40</v>
      </c>
      <c r="H197" s="10" t="s">
        <v>2122</v>
      </c>
      <c r="I197" s="1">
        <v>4300</v>
      </c>
      <c r="J197" s="1">
        <v>5</v>
      </c>
      <c r="K197" s="1">
        <v>0</v>
      </c>
      <c r="L197" s="1">
        <v>0</v>
      </c>
      <c r="M197" s="1" t="s">
        <v>2019</v>
      </c>
      <c r="N197" s="1" t="s">
        <v>698</v>
      </c>
      <c r="O197" s="1">
        <v>0</v>
      </c>
      <c r="P197" s="1" t="s">
        <v>2053</v>
      </c>
      <c r="Q197" s="7" t="s">
        <v>2241</v>
      </c>
      <c r="R197" s="1">
        <v>0</v>
      </c>
    </row>
    <row r="198" spans="1:18" ht="14.25" thickBot="1">
      <c r="A198" s="1" t="s">
        <v>227</v>
      </c>
      <c r="B198" s="3">
        <v>1</v>
      </c>
      <c r="C198" s="9" t="s">
        <v>2575</v>
      </c>
      <c r="D198" s="1" t="s">
        <v>13</v>
      </c>
      <c r="E198" s="1">
        <v>6</v>
      </c>
      <c r="F198" s="1">
        <v>1</v>
      </c>
      <c r="G198" s="1">
        <v>40</v>
      </c>
      <c r="H198" s="10" t="s">
        <v>2122</v>
      </c>
      <c r="I198" s="1">
        <v>4000</v>
      </c>
      <c r="J198" s="1">
        <v>5</v>
      </c>
      <c r="K198" s="1">
        <v>0</v>
      </c>
      <c r="L198" s="1">
        <v>0</v>
      </c>
      <c r="M198" s="1" t="s">
        <v>1928</v>
      </c>
      <c r="N198" s="1" t="s">
        <v>698</v>
      </c>
      <c r="O198" s="1">
        <v>0</v>
      </c>
      <c r="P198" s="1" t="s">
        <v>2053</v>
      </c>
      <c r="Q198" s="7" t="s">
        <v>2242</v>
      </c>
      <c r="R198" s="1">
        <v>0</v>
      </c>
    </row>
    <row r="199" spans="1:18" ht="14.25" thickBot="1">
      <c r="A199" s="1" t="s">
        <v>228</v>
      </c>
      <c r="B199" s="2">
        <v>0</v>
      </c>
      <c r="C199" s="9" t="s">
        <v>2095</v>
      </c>
      <c r="D199" s="1" t="s">
        <v>13</v>
      </c>
      <c r="E199" s="1">
        <v>6</v>
      </c>
      <c r="F199" s="1">
        <v>1</v>
      </c>
      <c r="G199" s="1">
        <v>40</v>
      </c>
      <c r="H199" s="10" t="s">
        <v>2122</v>
      </c>
      <c r="I199" s="1">
        <v>4300</v>
      </c>
      <c r="J199" s="1">
        <v>5</v>
      </c>
      <c r="K199" s="1">
        <v>0</v>
      </c>
      <c r="L199" s="1">
        <v>0</v>
      </c>
      <c r="M199" s="1" t="s">
        <v>1929</v>
      </c>
      <c r="N199" s="1" t="s">
        <v>698</v>
      </c>
      <c r="O199" s="1">
        <v>0</v>
      </c>
      <c r="P199" s="1" t="s">
        <v>2053</v>
      </c>
      <c r="Q199" s="7" t="s">
        <v>2037</v>
      </c>
      <c r="R199" s="1">
        <v>0</v>
      </c>
    </row>
    <row r="200" spans="1:18" ht="14.25" thickBot="1">
      <c r="A200" s="1" t="s">
        <v>229</v>
      </c>
      <c r="B200" s="3">
        <v>1</v>
      </c>
      <c r="C200" s="1" t="s">
        <v>2086</v>
      </c>
      <c r="D200" s="1" t="s">
        <v>11</v>
      </c>
      <c r="E200" s="1">
        <v>4</v>
      </c>
      <c r="F200" s="1">
        <v>1</v>
      </c>
      <c r="G200" s="1">
        <v>40</v>
      </c>
      <c r="H200" s="10">
        <v>0</v>
      </c>
      <c r="I200" s="1">
        <v>4000</v>
      </c>
      <c r="J200" s="1">
        <v>5</v>
      </c>
      <c r="K200" s="1">
        <v>0</v>
      </c>
      <c r="L200" s="1">
        <v>0</v>
      </c>
      <c r="M200" s="1" t="s">
        <v>1930</v>
      </c>
      <c r="N200" s="1" t="s">
        <v>698</v>
      </c>
      <c r="O200" s="1">
        <v>0</v>
      </c>
      <c r="P200" s="1" t="s">
        <v>2053</v>
      </c>
      <c r="Q200" s="7" t="s">
        <v>2243</v>
      </c>
      <c r="R200" s="1">
        <v>0</v>
      </c>
    </row>
    <row r="201" spans="1:18" ht="14.25" thickBot="1">
      <c r="A201" s="1" t="s">
        <v>230</v>
      </c>
      <c r="B201" s="2">
        <v>0</v>
      </c>
      <c r="C201" s="1" t="s">
        <v>2499</v>
      </c>
      <c r="D201" s="1" t="s">
        <v>11</v>
      </c>
      <c r="E201" s="1">
        <v>4</v>
      </c>
      <c r="F201" s="1">
        <v>1</v>
      </c>
      <c r="G201" s="1">
        <v>40</v>
      </c>
      <c r="H201" s="10">
        <v>0</v>
      </c>
      <c r="I201" s="1">
        <v>4300</v>
      </c>
      <c r="J201" s="1">
        <v>5</v>
      </c>
      <c r="K201" s="1">
        <v>0</v>
      </c>
      <c r="L201" s="1">
        <v>0</v>
      </c>
      <c r="M201" s="1" t="s">
        <v>1931</v>
      </c>
      <c r="N201" s="1" t="s">
        <v>698</v>
      </c>
      <c r="O201" s="1">
        <v>0</v>
      </c>
      <c r="P201" s="1" t="s">
        <v>2053</v>
      </c>
      <c r="Q201" s="7" t="s">
        <v>2038</v>
      </c>
      <c r="R201" s="1">
        <v>0</v>
      </c>
    </row>
    <row r="202" spans="1:18" ht="14.25" thickBot="1">
      <c r="A202" s="1" t="s">
        <v>231</v>
      </c>
      <c r="B202" s="3">
        <v>1</v>
      </c>
      <c r="C202" s="1" t="s">
        <v>2091</v>
      </c>
      <c r="D202" s="1" t="s">
        <v>14</v>
      </c>
      <c r="E202" s="1">
        <v>7</v>
      </c>
      <c r="F202" s="1">
        <v>1</v>
      </c>
      <c r="G202" s="1">
        <v>40</v>
      </c>
      <c r="H202" s="10">
        <v>0</v>
      </c>
      <c r="I202" s="1">
        <v>4000</v>
      </c>
      <c r="J202" s="1">
        <v>5</v>
      </c>
      <c r="K202" s="1">
        <v>0</v>
      </c>
      <c r="L202" s="1">
        <v>0</v>
      </c>
      <c r="M202" s="1" t="s">
        <v>1932</v>
      </c>
      <c r="N202" s="1" t="s">
        <v>698</v>
      </c>
      <c r="O202" s="1">
        <v>0</v>
      </c>
      <c r="P202" s="1" t="s">
        <v>2053</v>
      </c>
      <c r="Q202" s="7" t="s">
        <v>2244</v>
      </c>
      <c r="R202" s="1">
        <v>0</v>
      </c>
    </row>
    <row r="203" spans="1:18" ht="14.25" thickBot="1">
      <c r="A203" s="1" t="s">
        <v>232</v>
      </c>
      <c r="B203" s="2">
        <v>0</v>
      </c>
      <c r="C203" s="1" t="s">
        <v>2501</v>
      </c>
      <c r="D203" s="1" t="s">
        <v>14</v>
      </c>
      <c r="E203" s="1">
        <v>7</v>
      </c>
      <c r="F203" s="1">
        <v>1</v>
      </c>
      <c r="G203" s="1">
        <v>40</v>
      </c>
      <c r="H203" s="10">
        <v>0</v>
      </c>
      <c r="I203" s="1">
        <v>4300</v>
      </c>
      <c r="J203" s="1">
        <v>5</v>
      </c>
      <c r="K203" s="1">
        <v>0</v>
      </c>
      <c r="L203" s="1">
        <v>0</v>
      </c>
      <c r="M203" s="1" t="s">
        <v>1933</v>
      </c>
      <c r="N203" s="1" t="s">
        <v>698</v>
      </c>
      <c r="O203" s="1">
        <v>0</v>
      </c>
      <c r="P203" s="1" t="s">
        <v>2053</v>
      </c>
      <c r="Q203" s="7" t="s">
        <v>2039</v>
      </c>
      <c r="R203" s="1">
        <v>0</v>
      </c>
    </row>
    <row r="204" spans="1:18" ht="14.25" thickBot="1">
      <c r="A204" s="1" t="s">
        <v>233</v>
      </c>
      <c r="B204" s="2">
        <v>1</v>
      </c>
      <c r="C204" s="1" t="s">
        <v>2576</v>
      </c>
      <c r="D204" s="1" t="s">
        <v>8</v>
      </c>
      <c r="E204" s="1">
        <v>1</v>
      </c>
      <c r="F204" s="1">
        <v>1</v>
      </c>
      <c r="G204" s="1">
        <v>45</v>
      </c>
      <c r="H204" s="10">
        <v>0</v>
      </c>
      <c r="I204" s="1">
        <v>4500</v>
      </c>
      <c r="J204" s="1">
        <v>5</v>
      </c>
      <c r="K204" s="1">
        <v>0</v>
      </c>
      <c r="L204" s="1">
        <v>0</v>
      </c>
      <c r="M204" s="1" t="s">
        <v>1919</v>
      </c>
      <c r="N204" s="1" t="s">
        <v>698</v>
      </c>
      <c r="O204" s="1">
        <v>0</v>
      </c>
      <c r="P204" s="1" t="s">
        <v>2054</v>
      </c>
      <c r="Q204" s="7" t="s">
        <v>2165</v>
      </c>
      <c r="R204" s="1">
        <v>0</v>
      </c>
    </row>
    <row r="205" spans="1:18" ht="14.25" thickBot="1">
      <c r="A205" s="1" t="s">
        <v>234</v>
      </c>
      <c r="B205" s="2">
        <v>1</v>
      </c>
      <c r="C205" s="1" t="s">
        <v>2577</v>
      </c>
      <c r="D205" s="1" t="s">
        <v>9</v>
      </c>
      <c r="E205" s="1">
        <v>2</v>
      </c>
      <c r="F205" s="1">
        <v>1</v>
      </c>
      <c r="G205" s="1">
        <v>45</v>
      </c>
      <c r="H205" s="10">
        <v>0</v>
      </c>
      <c r="I205" s="1">
        <v>4500</v>
      </c>
      <c r="J205" s="1">
        <v>5</v>
      </c>
      <c r="K205" s="1">
        <v>0</v>
      </c>
      <c r="L205" s="1">
        <v>0</v>
      </c>
      <c r="M205" s="1" t="s">
        <v>1920</v>
      </c>
      <c r="N205" s="1" t="s">
        <v>698</v>
      </c>
      <c r="O205" s="1">
        <v>0</v>
      </c>
      <c r="P205" s="1" t="s">
        <v>2054</v>
      </c>
      <c r="Q205" s="7" t="s">
        <v>2027</v>
      </c>
      <c r="R205" s="1">
        <v>0</v>
      </c>
    </row>
    <row r="206" spans="1:18" ht="14.25" thickBot="1">
      <c r="A206" s="1" t="s">
        <v>235</v>
      </c>
      <c r="B206" s="3">
        <v>1</v>
      </c>
      <c r="C206" s="1" t="s">
        <v>2578</v>
      </c>
      <c r="D206" s="1" t="s">
        <v>10</v>
      </c>
      <c r="E206" s="1">
        <v>3</v>
      </c>
      <c r="F206" s="1">
        <v>1</v>
      </c>
      <c r="G206" s="1">
        <v>45</v>
      </c>
      <c r="H206" s="10">
        <v>0</v>
      </c>
      <c r="I206" s="1">
        <v>4500</v>
      </c>
      <c r="J206" s="1">
        <v>5</v>
      </c>
      <c r="K206" s="1">
        <v>0</v>
      </c>
      <c r="L206" s="1">
        <v>0</v>
      </c>
      <c r="M206" s="1" t="s">
        <v>1934</v>
      </c>
      <c r="N206" s="1" t="s">
        <v>698</v>
      </c>
      <c r="O206" s="1">
        <v>0</v>
      </c>
      <c r="P206" s="1" t="s">
        <v>2054</v>
      </c>
      <c r="Q206" s="7" t="s">
        <v>2245</v>
      </c>
      <c r="R206" s="1">
        <v>0</v>
      </c>
    </row>
    <row r="207" spans="1:18" ht="14.25" thickBot="1">
      <c r="A207" s="1" t="s">
        <v>236</v>
      </c>
      <c r="B207" s="3">
        <v>1</v>
      </c>
      <c r="C207" s="1" t="s">
        <v>2070</v>
      </c>
      <c r="D207" s="1" t="s">
        <v>15</v>
      </c>
      <c r="E207" s="1">
        <v>8</v>
      </c>
      <c r="F207" s="1">
        <v>1</v>
      </c>
      <c r="G207" s="1">
        <v>45</v>
      </c>
      <c r="H207" s="10">
        <v>0</v>
      </c>
      <c r="I207" s="1">
        <v>4500</v>
      </c>
      <c r="J207" s="1">
        <v>5</v>
      </c>
      <c r="K207" s="1">
        <v>0</v>
      </c>
      <c r="L207" s="1">
        <v>0</v>
      </c>
      <c r="M207" s="1" t="s">
        <v>1935</v>
      </c>
      <c r="N207" s="1" t="s">
        <v>698</v>
      </c>
      <c r="O207" s="1">
        <v>0</v>
      </c>
      <c r="P207" s="1" t="s">
        <v>2054</v>
      </c>
      <c r="Q207" s="7" t="s">
        <v>2246</v>
      </c>
      <c r="R207" s="1">
        <v>0</v>
      </c>
    </row>
    <row r="208" spans="1:18" ht="14.25" thickBot="1">
      <c r="A208" s="1" t="s">
        <v>237</v>
      </c>
      <c r="B208" s="3">
        <v>1</v>
      </c>
      <c r="C208" s="1" t="s">
        <v>2579</v>
      </c>
      <c r="D208" s="1" t="s">
        <v>16</v>
      </c>
      <c r="E208" s="1">
        <v>9</v>
      </c>
      <c r="F208" s="1">
        <v>1</v>
      </c>
      <c r="G208" s="1">
        <v>45</v>
      </c>
      <c r="H208" s="10">
        <v>0</v>
      </c>
      <c r="I208" s="1">
        <v>4500</v>
      </c>
      <c r="J208" s="1">
        <v>5</v>
      </c>
      <c r="K208" s="1">
        <v>0</v>
      </c>
      <c r="L208" s="1">
        <v>0</v>
      </c>
      <c r="M208" s="1" t="s">
        <v>1936</v>
      </c>
      <c r="N208" s="1" t="s">
        <v>698</v>
      </c>
      <c r="O208" s="1">
        <v>0</v>
      </c>
      <c r="P208" s="1" t="s">
        <v>2054</v>
      </c>
      <c r="Q208" s="7" t="s">
        <v>2247</v>
      </c>
      <c r="R208" s="1">
        <v>0</v>
      </c>
    </row>
    <row r="209" spans="1:18" ht="14.25" thickBot="1">
      <c r="A209" s="1" t="s">
        <v>238</v>
      </c>
      <c r="B209" s="3">
        <v>1</v>
      </c>
      <c r="C209" s="1" t="s">
        <v>2580</v>
      </c>
      <c r="D209" s="1" t="s">
        <v>17</v>
      </c>
      <c r="E209" s="1">
        <v>10</v>
      </c>
      <c r="F209" s="1">
        <v>1</v>
      </c>
      <c r="G209" s="1">
        <v>45</v>
      </c>
      <c r="H209" s="10">
        <v>0</v>
      </c>
      <c r="I209" s="1">
        <v>4500</v>
      </c>
      <c r="J209" s="1">
        <v>5</v>
      </c>
      <c r="K209" s="1">
        <v>0</v>
      </c>
      <c r="L209" s="1">
        <v>0</v>
      </c>
      <c r="M209" s="1" t="s">
        <v>1937</v>
      </c>
      <c r="N209" s="1" t="s">
        <v>698</v>
      </c>
      <c r="O209" s="1">
        <v>0</v>
      </c>
      <c r="P209" s="1" t="s">
        <v>2054</v>
      </c>
      <c r="Q209" s="7" t="s">
        <v>2248</v>
      </c>
      <c r="R209" s="1">
        <v>0</v>
      </c>
    </row>
    <row r="210" spans="1:18" ht="14.25" thickBot="1">
      <c r="A210" s="1" t="s">
        <v>239</v>
      </c>
      <c r="B210" s="3">
        <v>1</v>
      </c>
      <c r="C210" s="9" t="s">
        <v>2581</v>
      </c>
      <c r="D210" s="1" t="s">
        <v>12</v>
      </c>
      <c r="E210" s="1">
        <v>5</v>
      </c>
      <c r="F210" s="1">
        <v>1</v>
      </c>
      <c r="G210" s="1">
        <v>45</v>
      </c>
      <c r="H210" s="10" t="s">
        <v>2120</v>
      </c>
      <c r="I210" s="1">
        <v>4500</v>
      </c>
      <c r="J210" s="1">
        <v>5</v>
      </c>
      <c r="K210" s="1">
        <v>0</v>
      </c>
      <c r="L210" s="1">
        <v>0</v>
      </c>
      <c r="M210" s="1" t="s">
        <v>2020</v>
      </c>
      <c r="N210" s="1" t="s">
        <v>698</v>
      </c>
      <c r="O210" s="1">
        <v>0</v>
      </c>
      <c r="P210" s="1" t="s">
        <v>2054</v>
      </c>
      <c r="Q210" s="7" t="s">
        <v>2249</v>
      </c>
      <c r="R210" s="1">
        <v>0</v>
      </c>
    </row>
    <row r="211" spans="1:18" ht="14.25" thickBot="1">
      <c r="A211" s="1" t="s">
        <v>240</v>
      </c>
      <c r="B211" s="2">
        <v>0</v>
      </c>
      <c r="C211" s="9" t="s">
        <v>2491</v>
      </c>
      <c r="D211" s="1" t="s">
        <v>12</v>
      </c>
      <c r="E211" s="1">
        <v>5</v>
      </c>
      <c r="F211" s="1">
        <v>1</v>
      </c>
      <c r="G211" s="1">
        <v>45</v>
      </c>
      <c r="H211" s="10" t="s">
        <v>2120</v>
      </c>
      <c r="I211" s="1">
        <v>4800</v>
      </c>
      <c r="J211" s="1">
        <v>5</v>
      </c>
      <c r="K211" s="1">
        <v>0</v>
      </c>
      <c r="L211" s="1">
        <v>0</v>
      </c>
      <c r="M211" s="1" t="s">
        <v>2021</v>
      </c>
      <c r="N211" s="1" t="s">
        <v>698</v>
      </c>
      <c r="O211" s="1">
        <v>0</v>
      </c>
      <c r="P211" s="1" t="s">
        <v>2054</v>
      </c>
      <c r="Q211" s="7" t="s">
        <v>2032</v>
      </c>
      <c r="R211" s="1">
        <v>0</v>
      </c>
    </row>
    <row r="212" spans="1:18" ht="14.25" thickBot="1">
      <c r="A212" s="1" t="s">
        <v>241</v>
      </c>
      <c r="B212" s="3">
        <v>1</v>
      </c>
      <c r="C212" s="9" t="s">
        <v>2582</v>
      </c>
      <c r="D212" s="1" t="s">
        <v>13</v>
      </c>
      <c r="E212" s="1">
        <v>6</v>
      </c>
      <c r="F212" s="1">
        <v>1</v>
      </c>
      <c r="G212" s="1">
        <v>45</v>
      </c>
      <c r="H212" s="10" t="s">
        <v>2120</v>
      </c>
      <c r="I212" s="1">
        <v>4500</v>
      </c>
      <c r="J212" s="1">
        <v>5</v>
      </c>
      <c r="K212" s="1">
        <v>0</v>
      </c>
      <c r="L212" s="1">
        <v>0</v>
      </c>
      <c r="M212" s="1" t="s">
        <v>1938</v>
      </c>
      <c r="N212" s="1" t="s">
        <v>698</v>
      </c>
      <c r="O212" s="1">
        <v>0</v>
      </c>
      <c r="P212" s="1" t="s">
        <v>2054</v>
      </c>
      <c r="Q212" s="7" t="s">
        <v>2250</v>
      </c>
      <c r="R212" s="1">
        <v>0</v>
      </c>
    </row>
    <row r="213" spans="1:18" ht="14.25" thickBot="1">
      <c r="A213" s="1" t="s">
        <v>242</v>
      </c>
      <c r="B213" s="2">
        <v>0</v>
      </c>
      <c r="C213" s="9" t="s">
        <v>2061</v>
      </c>
      <c r="D213" s="1" t="s">
        <v>13</v>
      </c>
      <c r="E213" s="1">
        <v>6</v>
      </c>
      <c r="F213" s="1">
        <v>1</v>
      </c>
      <c r="G213" s="1">
        <v>45</v>
      </c>
      <c r="H213" s="10" t="s">
        <v>2120</v>
      </c>
      <c r="I213" s="1">
        <v>4800</v>
      </c>
      <c r="J213" s="1">
        <v>5</v>
      </c>
      <c r="K213" s="1">
        <v>0</v>
      </c>
      <c r="L213" s="1">
        <v>0</v>
      </c>
      <c r="M213" s="1" t="s">
        <v>1939</v>
      </c>
      <c r="N213" s="1" t="s">
        <v>698</v>
      </c>
      <c r="O213" s="1">
        <v>0</v>
      </c>
      <c r="P213" s="1" t="s">
        <v>2054</v>
      </c>
      <c r="Q213" s="7" t="s">
        <v>2033</v>
      </c>
      <c r="R213" s="1">
        <v>0</v>
      </c>
    </row>
    <row r="214" spans="1:18" ht="14.25" thickBot="1">
      <c r="A214" s="1" t="s">
        <v>243</v>
      </c>
      <c r="B214" s="3">
        <v>1</v>
      </c>
      <c r="C214" s="1" t="s">
        <v>2583</v>
      </c>
      <c r="D214" s="1" t="s">
        <v>12</v>
      </c>
      <c r="E214" s="1">
        <v>5</v>
      </c>
      <c r="F214" s="1">
        <v>1</v>
      </c>
      <c r="G214" s="1">
        <v>45</v>
      </c>
      <c r="H214" s="10" t="s">
        <v>2121</v>
      </c>
      <c r="I214" s="1">
        <v>4500</v>
      </c>
      <c r="J214" s="1">
        <v>5</v>
      </c>
      <c r="K214" s="1">
        <v>0</v>
      </c>
      <c r="L214" s="1">
        <v>0</v>
      </c>
      <c r="M214" s="1" t="s">
        <v>2020</v>
      </c>
      <c r="N214" s="1" t="s">
        <v>698</v>
      </c>
      <c r="O214" s="1">
        <v>0</v>
      </c>
      <c r="P214" s="1" t="s">
        <v>2054</v>
      </c>
      <c r="Q214" s="7" t="s">
        <v>2251</v>
      </c>
      <c r="R214" s="1">
        <v>0</v>
      </c>
    </row>
    <row r="215" spans="1:18" ht="14.25" thickBot="1">
      <c r="A215" s="1" t="s">
        <v>244</v>
      </c>
      <c r="B215" s="2">
        <v>0</v>
      </c>
      <c r="C215" s="1" t="s">
        <v>2494</v>
      </c>
      <c r="D215" s="1" t="s">
        <v>12</v>
      </c>
      <c r="E215" s="1">
        <v>5</v>
      </c>
      <c r="F215" s="1">
        <v>1</v>
      </c>
      <c r="G215" s="1">
        <v>45</v>
      </c>
      <c r="H215" s="10" t="s">
        <v>2121</v>
      </c>
      <c r="I215" s="1">
        <v>4800</v>
      </c>
      <c r="J215" s="1">
        <v>5</v>
      </c>
      <c r="K215" s="1">
        <v>0</v>
      </c>
      <c r="L215" s="1">
        <v>0</v>
      </c>
      <c r="M215" s="1" t="s">
        <v>2021</v>
      </c>
      <c r="N215" s="1" t="s">
        <v>698</v>
      </c>
      <c r="O215" s="1">
        <v>0</v>
      </c>
      <c r="P215" s="1" t="s">
        <v>2054</v>
      </c>
      <c r="Q215" s="7" t="s">
        <v>2034</v>
      </c>
      <c r="R215" s="1">
        <v>0</v>
      </c>
    </row>
    <row r="216" spans="1:18" ht="14.25" thickBot="1">
      <c r="A216" s="1" t="s">
        <v>245</v>
      </c>
      <c r="B216" s="3">
        <v>1</v>
      </c>
      <c r="C216" s="9" t="s">
        <v>2584</v>
      </c>
      <c r="D216" s="1" t="s">
        <v>13</v>
      </c>
      <c r="E216" s="1">
        <v>6</v>
      </c>
      <c r="F216" s="1">
        <v>1</v>
      </c>
      <c r="G216" s="1">
        <v>45</v>
      </c>
      <c r="H216" s="10" t="s">
        <v>2121</v>
      </c>
      <c r="I216" s="1">
        <v>4500</v>
      </c>
      <c r="J216" s="1">
        <v>5</v>
      </c>
      <c r="K216" s="1">
        <v>0</v>
      </c>
      <c r="L216" s="1">
        <v>0</v>
      </c>
      <c r="M216" s="1" t="s">
        <v>1940</v>
      </c>
      <c r="N216" s="1" t="s">
        <v>698</v>
      </c>
      <c r="O216" s="1">
        <v>0</v>
      </c>
      <c r="P216" s="1" t="s">
        <v>2054</v>
      </c>
      <c r="Q216" s="7" t="s">
        <v>2252</v>
      </c>
      <c r="R216" s="1">
        <v>0</v>
      </c>
    </row>
    <row r="217" spans="1:18" ht="14.25" thickBot="1">
      <c r="A217" s="1" t="s">
        <v>246</v>
      </c>
      <c r="B217" s="2">
        <v>0</v>
      </c>
      <c r="C217" s="9" t="s">
        <v>2094</v>
      </c>
      <c r="D217" s="1" t="s">
        <v>13</v>
      </c>
      <c r="E217" s="1">
        <v>6</v>
      </c>
      <c r="F217" s="1">
        <v>1</v>
      </c>
      <c r="G217" s="1">
        <v>45</v>
      </c>
      <c r="H217" s="10" t="s">
        <v>2121</v>
      </c>
      <c r="I217" s="1">
        <v>4800</v>
      </c>
      <c r="J217" s="1">
        <v>5</v>
      </c>
      <c r="K217" s="1">
        <v>0</v>
      </c>
      <c r="L217" s="1">
        <v>0</v>
      </c>
      <c r="M217" s="1" t="s">
        <v>1941</v>
      </c>
      <c r="N217" s="1" t="s">
        <v>698</v>
      </c>
      <c r="O217" s="1">
        <v>0</v>
      </c>
      <c r="P217" s="1" t="s">
        <v>2054</v>
      </c>
      <c r="Q217" s="7" t="s">
        <v>2035</v>
      </c>
      <c r="R217" s="1">
        <v>0</v>
      </c>
    </row>
    <row r="218" spans="1:18" ht="14.25" thickBot="1">
      <c r="A218" s="1" t="s">
        <v>247</v>
      </c>
      <c r="B218" s="3">
        <v>1</v>
      </c>
      <c r="C218" s="9" t="s">
        <v>2585</v>
      </c>
      <c r="D218" s="1" t="s">
        <v>12</v>
      </c>
      <c r="E218" s="1">
        <v>5</v>
      </c>
      <c r="F218" s="1">
        <v>1</v>
      </c>
      <c r="G218" s="1">
        <v>45</v>
      </c>
      <c r="H218" s="10" t="s">
        <v>2122</v>
      </c>
      <c r="I218" s="1">
        <v>4500</v>
      </c>
      <c r="J218" s="1">
        <v>5</v>
      </c>
      <c r="K218" s="1">
        <v>0</v>
      </c>
      <c r="L218" s="1">
        <v>0</v>
      </c>
      <c r="M218" s="1" t="s">
        <v>2020</v>
      </c>
      <c r="N218" s="1" t="s">
        <v>698</v>
      </c>
      <c r="O218" s="1">
        <v>0</v>
      </c>
      <c r="P218" s="1" t="s">
        <v>2054</v>
      </c>
      <c r="Q218" s="7" t="s">
        <v>2253</v>
      </c>
      <c r="R218" s="1">
        <v>0</v>
      </c>
    </row>
    <row r="219" spans="1:18" ht="14.25" thickBot="1">
      <c r="A219" s="1" t="s">
        <v>248</v>
      </c>
      <c r="B219" s="3">
        <v>1</v>
      </c>
      <c r="C219" s="9" t="s">
        <v>2586</v>
      </c>
      <c r="D219" s="1" t="s">
        <v>12</v>
      </c>
      <c r="E219" s="1">
        <v>5</v>
      </c>
      <c r="F219" s="1">
        <v>1</v>
      </c>
      <c r="G219" s="1">
        <v>45</v>
      </c>
      <c r="H219" s="10" t="s">
        <v>2122</v>
      </c>
      <c r="I219" s="1">
        <v>4800</v>
      </c>
      <c r="J219" s="1">
        <v>5</v>
      </c>
      <c r="K219" s="1">
        <v>0</v>
      </c>
      <c r="L219" s="1">
        <v>0</v>
      </c>
      <c r="M219" s="1" t="s">
        <v>2021</v>
      </c>
      <c r="N219" s="1" t="s">
        <v>698</v>
      </c>
      <c r="O219" s="1">
        <v>0</v>
      </c>
      <c r="P219" s="1" t="s">
        <v>2054</v>
      </c>
      <c r="Q219" s="7" t="s">
        <v>2254</v>
      </c>
      <c r="R219" s="1">
        <v>0</v>
      </c>
    </row>
    <row r="220" spans="1:18" ht="14.25" thickBot="1">
      <c r="A220" s="1" t="s">
        <v>249</v>
      </c>
      <c r="B220" s="3">
        <v>1</v>
      </c>
      <c r="C220" s="9" t="s">
        <v>2587</v>
      </c>
      <c r="D220" s="1" t="s">
        <v>13</v>
      </c>
      <c r="E220" s="1">
        <v>6</v>
      </c>
      <c r="F220" s="1">
        <v>1</v>
      </c>
      <c r="G220" s="1">
        <v>45</v>
      </c>
      <c r="H220" s="10" t="s">
        <v>2122</v>
      </c>
      <c r="I220" s="1">
        <v>4500</v>
      </c>
      <c r="J220" s="1">
        <v>5</v>
      </c>
      <c r="K220" s="1">
        <v>0</v>
      </c>
      <c r="L220" s="1">
        <v>0</v>
      </c>
      <c r="M220" s="1" t="s">
        <v>1942</v>
      </c>
      <c r="N220" s="1" t="s">
        <v>698</v>
      </c>
      <c r="O220" s="1">
        <v>0</v>
      </c>
      <c r="P220" s="1" t="s">
        <v>2054</v>
      </c>
      <c r="Q220" s="7" t="s">
        <v>2255</v>
      </c>
      <c r="R220" s="1">
        <v>0</v>
      </c>
    </row>
    <row r="221" spans="1:18" ht="14.25" thickBot="1">
      <c r="A221" s="1" t="s">
        <v>250</v>
      </c>
      <c r="B221" s="2">
        <v>0</v>
      </c>
      <c r="C221" s="9" t="s">
        <v>2095</v>
      </c>
      <c r="D221" s="1" t="s">
        <v>13</v>
      </c>
      <c r="E221" s="1">
        <v>6</v>
      </c>
      <c r="F221" s="1">
        <v>1</v>
      </c>
      <c r="G221" s="1">
        <v>45</v>
      </c>
      <c r="H221" s="10" t="s">
        <v>2122</v>
      </c>
      <c r="I221" s="1">
        <v>4800</v>
      </c>
      <c r="J221" s="1">
        <v>5</v>
      </c>
      <c r="K221" s="1">
        <v>0</v>
      </c>
      <c r="L221" s="1">
        <v>0</v>
      </c>
      <c r="M221" s="1" t="s">
        <v>1943</v>
      </c>
      <c r="N221" s="1" t="s">
        <v>698</v>
      </c>
      <c r="O221" s="1">
        <v>0</v>
      </c>
      <c r="P221" s="1" t="s">
        <v>2054</v>
      </c>
      <c r="Q221" s="7" t="s">
        <v>2037</v>
      </c>
      <c r="R221" s="1">
        <v>0</v>
      </c>
    </row>
    <row r="222" spans="1:18" ht="14.25" thickBot="1">
      <c r="A222" s="1" t="s">
        <v>251</v>
      </c>
      <c r="B222" s="3">
        <v>1</v>
      </c>
      <c r="C222" s="1" t="s">
        <v>2588</v>
      </c>
      <c r="D222" s="1" t="s">
        <v>11</v>
      </c>
      <c r="E222" s="1">
        <v>4</v>
      </c>
      <c r="F222" s="1">
        <v>1</v>
      </c>
      <c r="G222" s="1">
        <v>45</v>
      </c>
      <c r="H222" s="10">
        <v>0</v>
      </c>
      <c r="I222" s="1">
        <v>4500</v>
      </c>
      <c r="J222" s="1">
        <v>5</v>
      </c>
      <c r="K222" s="1">
        <v>0</v>
      </c>
      <c r="L222" s="1">
        <v>0</v>
      </c>
      <c r="M222" s="1" t="s">
        <v>1944</v>
      </c>
      <c r="N222" s="1" t="s">
        <v>698</v>
      </c>
      <c r="O222" s="1">
        <v>0</v>
      </c>
      <c r="P222" s="1" t="s">
        <v>2054</v>
      </c>
      <c r="Q222" s="7" t="s">
        <v>2256</v>
      </c>
      <c r="R222" s="1">
        <v>0</v>
      </c>
    </row>
    <row r="223" spans="1:18" ht="14.25" thickBot="1">
      <c r="A223" s="1" t="s">
        <v>252</v>
      </c>
      <c r="B223" s="3">
        <v>1</v>
      </c>
      <c r="C223" s="1" t="s">
        <v>2589</v>
      </c>
      <c r="D223" s="1" t="s">
        <v>11</v>
      </c>
      <c r="E223" s="1">
        <v>4</v>
      </c>
      <c r="F223" s="1">
        <v>1</v>
      </c>
      <c r="G223" s="1">
        <v>45</v>
      </c>
      <c r="H223" s="10">
        <v>0</v>
      </c>
      <c r="I223" s="1">
        <v>4800</v>
      </c>
      <c r="J223" s="1">
        <v>5</v>
      </c>
      <c r="K223" s="1">
        <v>0</v>
      </c>
      <c r="L223" s="1">
        <v>0</v>
      </c>
      <c r="M223" s="1" t="s">
        <v>1945</v>
      </c>
      <c r="N223" s="1" t="s">
        <v>698</v>
      </c>
      <c r="O223" s="1">
        <v>0</v>
      </c>
      <c r="P223" s="1" t="s">
        <v>2054</v>
      </c>
      <c r="Q223" s="7" t="s">
        <v>2257</v>
      </c>
      <c r="R223" s="1">
        <v>0</v>
      </c>
    </row>
    <row r="224" spans="1:18" ht="14.25" thickBot="1">
      <c r="A224" s="1" t="s">
        <v>253</v>
      </c>
      <c r="B224" s="3">
        <v>1</v>
      </c>
      <c r="C224" s="1" t="s">
        <v>2092</v>
      </c>
      <c r="D224" s="1" t="s">
        <v>14</v>
      </c>
      <c r="E224" s="1">
        <v>7</v>
      </c>
      <c r="F224" s="1">
        <v>1</v>
      </c>
      <c r="G224" s="1">
        <v>45</v>
      </c>
      <c r="H224" s="10">
        <v>0</v>
      </c>
      <c r="I224" s="1">
        <v>4500</v>
      </c>
      <c r="J224" s="1">
        <v>5</v>
      </c>
      <c r="K224" s="1">
        <v>0</v>
      </c>
      <c r="L224" s="1">
        <v>0</v>
      </c>
      <c r="M224" s="1" t="s">
        <v>1930</v>
      </c>
      <c r="N224" s="1" t="s">
        <v>698</v>
      </c>
      <c r="O224" s="1">
        <v>0</v>
      </c>
      <c r="P224" s="1" t="s">
        <v>2054</v>
      </c>
      <c r="Q224" s="7" t="s">
        <v>2258</v>
      </c>
      <c r="R224" s="1">
        <v>0</v>
      </c>
    </row>
    <row r="225" spans="1:18" ht="14.25" thickBot="1">
      <c r="A225" s="1" t="s">
        <v>254</v>
      </c>
      <c r="B225" s="3">
        <v>1</v>
      </c>
      <c r="C225" s="1" t="s">
        <v>2590</v>
      </c>
      <c r="D225" s="1" t="s">
        <v>14</v>
      </c>
      <c r="E225" s="1">
        <v>7</v>
      </c>
      <c r="F225" s="1">
        <v>1</v>
      </c>
      <c r="G225" s="1">
        <v>45</v>
      </c>
      <c r="H225" s="10">
        <v>0</v>
      </c>
      <c r="I225" s="1">
        <v>4800</v>
      </c>
      <c r="J225" s="1">
        <v>5</v>
      </c>
      <c r="K225" s="1">
        <v>0</v>
      </c>
      <c r="L225" s="1">
        <v>0</v>
      </c>
      <c r="M225" s="1" t="s">
        <v>1931</v>
      </c>
      <c r="N225" s="1" t="s">
        <v>698</v>
      </c>
      <c r="O225" s="1">
        <v>0</v>
      </c>
      <c r="P225" s="1" t="s">
        <v>2054</v>
      </c>
      <c r="Q225" s="7" t="s">
        <v>2259</v>
      </c>
      <c r="R225" s="1">
        <v>0</v>
      </c>
    </row>
    <row r="226" spans="1:18" ht="14.25" thickBot="1">
      <c r="A226" s="1" t="s">
        <v>255</v>
      </c>
      <c r="B226" s="3">
        <v>1</v>
      </c>
      <c r="C226" s="1" t="s">
        <v>2591</v>
      </c>
      <c r="D226" s="1" t="s">
        <v>8</v>
      </c>
      <c r="E226" s="1">
        <v>1</v>
      </c>
      <c r="F226" s="1">
        <v>1</v>
      </c>
      <c r="G226" s="1">
        <v>50</v>
      </c>
      <c r="H226" s="10">
        <v>0</v>
      </c>
      <c r="I226" s="1">
        <v>5000</v>
      </c>
      <c r="J226" s="1">
        <v>5</v>
      </c>
      <c r="K226" s="1">
        <v>0</v>
      </c>
      <c r="L226" s="1">
        <v>0</v>
      </c>
      <c r="M226" s="1" t="s">
        <v>1946</v>
      </c>
      <c r="N226" s="1" t="s">
        <v>698</v>
      </c>
      <c r="O226" s="1">
        <v>0</v>
      </c>
      <c r="P226" s="1" t="s">
        <v>2055</v>
      </c>
      <c r="Q226" s="7" t="s">
        <v>2260</v>
      </c>
      <c r="R226" s="1">
        <v>0</v>
      </c>
    </row>
    <row r="227" spans="1:18" ht="14.25" thickBot="1">
      <c r="A227" s="1" t="s">
        <v>256</v>
      </c>
      <c r="B227" s="3">
        <v>1</v>
      </c>
      <c r="C227" s="1" t="s">
        <v>2592</v>
      </c>
      <c r="D227" s="1" t="s">
        <v>9</v>
      </c>
      <c r="E227" s="1">
        <v>2</v>
      </c>
      <c r="F227" s="1">
        <v>1</v>
      </c>
      <c r="G227" s="1">
        <v>50</v>
      </c>
      <c r="H227" s="10">
        <v>0</v>
      </c>
      <c r="I227" s="1">
        <v>5000</v>
      </c>
      <c r="J227" s="1">
        <v>5</v>
      </c>
      <c r="K227" s="1">
        <v>0</v>
      </c>
      <c r="L227" s="1">
        <v>0</v>
      </c>
      <c r="M227" s="1" t="s">
        <v>1947</v>
      </c>
      <c r="N227" s="1" t="s">
        <v>698</v>
      </c>
      <c r="O227" s="1">
        <v>0</v>
      </c>
      <c r="P227" s="1" t="s">
        <v>2055</v>
      </c>
      <c r="Q227" s="7" t="s">
        <v>2261</v>
      </c>
      <c r="R227" s="1">
        <v>0</v>
      </c>
    </row>
    <row r="228" spans="1:18" ht="14.25" thickBot="1">
      <c r="A228" s="1" t="s">
        <v>257</v>
      </c>
      <c r="B228" s="3">
        <v>1</v>
      </c>
      <c r="C228" s="1" t="s">
        <v>2593</v>
      </c>
      <c r="D228" s="1" t="s">
        <v>10</v>
      </c>
      <c r="E228" s="1">
        <v>3</v>
      </c>
      <c r="F228" s="1">
        <v>1</v>
      </c>
      <c r="G228" s="1">
        <v>50</v>
      </c>
      <c r="H228" s="10">
        <v>0</v>
      </c>
      <c r="I228" s="1">
        <v>5000</v>
      </c>
      <c r="J228" s="1">
        <v>5</v>
      </c>
      <c r="K228" s="1">
        <v>0</v>
      </c>
      <c r="L228" s="1">
        <v>0</v>
      </c>
      <c r="M228" s="1" t="s">
        <v>1948</v>
      </c>
      <c r="N228" s="1" t="s">
        <v>698</v>
      </c>
      <c r="O228" s="1">
        <v>0</v>
      </c>
      <c r="P228" s="1" t="s">
        <v>2055</v>
      </c>
      <c r="Q228" s="7" t="s">
        <v>2262</v>
      </c>
      <c r="R228" s="1">
        <v>0</v>
      </c>
    </row>
    <row r="229" spans="1:18" ht="14.25" thickBot="1">
      <c r="A229" s="1" t="s">
        <v>258</v>
      </c>
      <c r="B229" s="2">
        <v>1</v>
      </c>
      <c r="C229" s="1" t="s">
        <v>2594</v>
      </c>
      <c r="D229" s="1" t="s">
        <v>15</v>
      </c>
      <c r="E229" s="1">
        <v>8</v>
      </c>
      <c r="F229" s="1">
        <v>1</v>
      </c>
      <c r="G229" s="1">
        <v>50</v>
      </c>
      <c r="H229" s="10">
        <v>0</v>
      </c>
      <c r="I229" s="1">
        <v>5000</v>
      </c>
      <c r="J229" s="1">
        <v>5</v>
      </c>
      <c r="K229" s="1">
        <v>0</v>
      </c>
      <c r="L229" s="1">
        <v>0</v>
      </c>
      <c r="M229" s="1" t="s">
        <v>1949</v>
      </c>
      <c r="N229" s="1" t="s">
        <v>698</v>
      </c>
      <c r="O229" s="1">
        <v>0</v>
      </c>
      <c r="P229" s="1" t="s">
        <v>2055</v>
      </c>
      <c r="Q229" s="7" t="s">
        <v>2184</v>
      </c>
      <c r="R229" s="1">
        <v>0</v>
      </c>
    </row>
    <row r="230" spans="1:18" ht="14.25" thickBot="1">
      <c r="A230" s="1" t="s">
        <v>259</v>
      </c>
      <c r="B230" s="3">
        <v>1</v>
      </c>
      <c r="C230" s="1" t="s">
        <v>2075</v>
      </c>
      <c r="D230" s="1" t="s">
        <v>16</v>
      </c>
      <c r="E230" s="1">
        <v>9</v>
      </c>
      <c r="F230" s="1">
        <v>1</v>
      </c>
      <c r="G230" s="1">
        <v>50</v>
      </c>
      <c r="H230" s="10">
        <v>0</v>
      </c>
      <c r="I230" s="1">
        <v>5000</v>
      </c>
      <c r="J230" s="1">
        <v>5</v>
      </c>
      <c r="K230" s="1">
        <v>0</v>
      </c>
      <c r="L230" s="1">
        <v>0</v>
      </c>
      <c r="M230" s="1" t="s">
        <v>1950</v>
      </c>
      <c r="N230" s="1" t="s">
        <v>698</v>
      </c>
      <c r="O230" s="1">
        <v>0</v>
      </c>
      <c r="P230" s="1" t="s">
        <v>2055</v>
      </c>
      <c r="Q230" s="7" t="s">
        <v>2263</v>
      </c>
      <c r="R230" s="1">
        <v>0</v>
      </c>
    </row>
    <row r="231" spans="1:18" ht="14.25" thickBot="1">
      <c r="A231" s="1" t="s">
        <v>260</v>
      </c>
      <c r="B231" s="3">
        <v>1</v>
      </c>
      <c r="C231" s="1" t="s">
        <v>2595</v>
      </c>
      <c r="D231" s="1" t="s">
        <v>17</v>
      </c>
      <c r="E231" s="1">
        <v>10</v>
      </c>
      <c r="F231" s="1">
        <v>1</v>
      </c>
      <c r="G231" s="1">
        <v>50</v>
      </c>
      <c r="H231" s="10">
        <v>0</v>
      </c>
      <c r="I231" s="1">
        <v>5000</v>
      </c>
      <c r="J231" s="1">
        <v>5</v>
      </c>
      <c r="K231" s="1">
        <v>0</v>
      </c>
      <c r="L231" s="1">
        <v>0</v>
      </c>
      <c r="M231" s="1" t="s">
        <v>1951</v>
      </c>
      <c r="N231" s="1" t="s">
        <v>698</v>
      </c>
      <c r="O231" s="1">
        <v>0</v>
      </c>
      <c r="P231" s="1" t="s">
        <v>2055</v>
      </c>
      <c r="Q231" s="7" t="s">
        <v>2264</v>
      </c>
      <c r="R231" s="1">
        <v>0</v>
      </c>
    </row>
    <row r="232" spans="1:18" ht="14.25" thickBot="1">
      <c r="A232" s="1" t="s">
        <v>261</v>
      </c>
      <c r="B232" s="3">
        <v>1</v>
      </c>
      <c r="C232" s="9" t="s">
        <v>2596</v>
      </c>
      <c r="D232" s="1" t="s">
        <v>12</v>
      </c>
      <c r="E232" s="1">
        <v>5</v>
      </c>
      <c r="F232" s="1">
        <v>1</v>
      </c>
      <c r="G232" s="1">
        <v>50</v>
      </c>
      <c r="H232" s="10" t="s">
        <v>2120</v>
      </c>
      <c r="I232" s="1">
        <v>5000</v>
      </c>
      <c r="J232" s="1">
        <v>5</v>
      </c>
      <c r="K232" s="1">
        <v>0</v>
      </c>
      <c r="L232" s="1">
        <v>0</v>
      </c>
      <c r="M232" s="1" t="s">
        <v>1952</v>
      </c>
      <c r="N232" s="1" t="s">
        <v>698</v>
      </c>
      <c r="O232" s="1">
        <v>0</v>
      </c>
      <c r="P232" s="1" t="s">
        <v>2055</v>
      </c>
      <c r="Q232" s="7" t="s">
        <v>2265</v>
      </c>
      <c r="R232" s="1">
        <v>0</v>
      </c>
    </row>
    <row r="233" spans="1:18" ht="14.25" thickBot="1">
      <c r="A233" s="1" t="s">
        <v>262</v>
      </c>
      <c r="B233" s="3">
        <v>1</v>
      </c>
      <c r="C233" s="9" t="s">
        <v>2597</v>
      </c>
      <c r="D233" s="1" t="s">
        <v>12</v>
      </c>
      <c r="E233" s="1">
        <v>5</v>
      </c>
      <c r="F233" s="1">
        <v>1</v>
      </c>
      <c r="G233" s="1">
        <v>50</v>
      </c>
      <c r="H233" s="10" t="s">
        <v>2120</v>
      </c>
      <c r="I233" s="1">
        <v>5300</v>
      </c>
      <c r="J233" s="1">
        <v>5</v>
      </c>
      <c r="K233" s="1">
        <v>0</v>
      </c>
      <c r="L233" s="1">
        <v>0</v>
      </c>
      <c r="M233" s="1" t="s">
        <v>1953</v>
      </c>
      <c r="N233" s="1" t="s">
        <v>698</v>
      </c>
      <c r="O233" s="1">
        <v>0</v>
      </c>
      <c r="P233" s="1" t="s">
        <v>2055</v>
      </c>
      <c r="Q233" s="7" t="s">
        <v>2266</v>
      </c>
      <c r="R233" s="1">
        <v>0</v>
      </c>
    </row>
    <row r="234" spans="1:18" ht="14.25" thickBot="1">
      <c r="A234" s="1" t="s">
        <v>263</v>
      </c>
      <c r="B234" s="3">
        <v>1</v>
      </c>
      <c r="C234" s="9" t="s">
        <v>2598</v>
      </c>
      <c r="D234" s="1" t="s">
        <v>13</v>
      </c>
      <c r="E234" s="1">
        <v>6</v>
      </c>
      <c r="F234" s="1">
        <v>1</v>
      </c>
      <c r="G234" s="1">
        <v>50</v>
      </c>
      <c r="H234" s="10" t="s">
        <v>2120</v>
      </c>
      <c r="I234" s="1">
        <v>5000</v>
      </c>
      <c r="J234" s="1">
        <v>5</v>
      </c>
      <c r="K234" s="1">
        <v>0</v>
      </c>
      <c r="L234" s="1">
        <v>0</v>
      </c>
      <c r="M234" s="1" t="s">
        <v>1954</v>
      </c>
      <c r="N234" s="1" t="s">
        <v>698</v>
      </c>
      <c r="O234" s="1">
        <v>0</v>
      </c>
      <c r="P234" s="1" t="s">
        <v>2055</v>
      </c>
      <c r="Q234" s="7" t="s">
        <v>2267</v>
      </c>
      <c r="R234" s="1">
        <v>0</v>
      </c>
    </row>
    <row r="235" spans="1:18" ht="14.25" thickBot="1">
      <c r="A235" s="1" t="s">
        <v>264</v>
      </c>
      <c r="B235" s="3">
        <v>1</v>
      </c>
      <c r="C235" s="9" t="s">
        <v>2599</v>
      </c>
      <c r="D235" s="1" t="s">
        <v>13</v>
      </c>
      <c r="E235" s="1">
        <v>6</v>
      </c>
      <c r="F235" s="1">
        <v>1</v>
      </c>
      <c r="G235" s="1">
        <v>50</v>
      </c>
      <c r="H235" s="10" t="s">
        <v>2120</v>
      </c>
      <c r="I235" s="1">
        <v>5300</v>
      </c>
      <c r="J235" s="1">
        <v>5</v>
      </c>
      <c r="K235" s="1">
        <v>0</v>
      </c>
      <c r="L235" s="1">
        <v>0</v>
      </c>
      <c r="M235" s="1" t="s">
        <v>1955</v>
      </c>
      <c r="N235" s="1" t="s">
        <v>698</v>
      </c>
      <c r="O235" s="1">
        <v>0</v>
      </c>
      <c r="P235" s="1" t="s">
        <v>2055</v>
      </c>
      <c r="Q235" s="7" t="s">
        <v>2268</v>
      </c>
      <c r="R235" s="1">
        <v>0</v>
      </c>
    </row>
    <row r="236" spans="1:18" ht="14.25" thickBot="1">
      <c r="A236" s="1" t="s">
        <v>265</v>
      </c>
      <c r="B236" s="3">
        <v>1</v>
      </c>
      <c r="C236" s="1" t="s">
        <v>2600</v>
      </c>
      <c r="D236" s="1" t="s">
        <v>12</v>
      </c>
      <c r="E236" s="1">
        <v>5</v>
      </c>
      <c r="F236" s="1">
        <v>1</v>
      </c>
      <c r="G236" s="1">
        <v>50</v>
      </c>
      <c r="H236" s="10" t="s">
        <v>2121</v>
      </c>
      <c r="I236" s="1">
        <v>5000</v>
      </c>
      <c r="J236" s="1">
        <v>5</v>
      </c>
      <c r="K236" s="1">
        <v>0</v>
      </c>
      <c r="L236" s="1">
        <v>0</v>
      </c>
      <c r="M236" s="1" t="s">
        <v>1952</v>
      </c>
      <c r="N236" s="1" t="s">
        <v>698</v>
      </c>
      <c r="O236" s="1">
        <v>0</v>
      </c>
      <c r="P236" s="1" t="s">
        <v>2055</v>
      </c>
      <c r="Q236" s="7" t="s">
        <v>2269</v>
      </c>
      <c r="R236" s="1">
        <v>0</v>
      </c>
    </row>
    <row r="237" spans="1:18" ht="14.25" thickBot="1">
      <c r="A237" s="1" t="s">
        <v>266</v>
      </c>
      <c r="B237" s="3">
        <v>1</v>
      </c>
      <c r="C237" s="1" t="s">
        <v>2601</v>
      </c>
      <c r="D237" s="1" t="s">
        <v>12</v>
      </c>
      <c r="E237" s="1">
        <v>5</v>
      </c>
      <c r="F237" s="1">
        <v>1</v>
      </c>
      <c r="G237" s="1">
        <v>50</v>
      </c>
      <c r="H237" s="10" t="s">
        <v>2121</v>
      </c>
      <c r="I237" s="1">
        <v>5300</v>
      </c>
      <c r="J237" s="1">
        <v>5</v>
      </c>
      <c r="K237" s="1">
        <v>0</v>
      </c>
      <c r="L237" s="1">
        <v>0</v>
      </c>
      <c r="M237" s="1" t="s">
        <v>1953</v>
      </c>
      <c r="N237" s="1" t="s">
        <v>698</v>
      </c>
      <c r="O237" s="1">
        <v>0</v>
      </c>
      <c r="P237" s="1" t="s">
        <v>2055</v>
      </c>
      <c r="Q237" s="7" t="s">
        <v>2270</v>
      </c>
      <c r="R237" s="1">
        <v>0</v>
      </c>
    </row>
    <row r="238" spans="1:18" ht="14.25" thickBot="1">
      <c r="A238" s="1" t="s">
        <v>267</v>
      </c>
      <c r="B238" s="3">
        <v>1</v>
      </c>
      <c r="C238" s="9" t="s">
        <v>2602</v>
      </c>
      <c r="D238" s="1" t="s">
        <v>13</v>
      </c>
      <c r="E238" s="1">
        <v>6</v>
      </c>
      <c r="F238" s="1">
        <v>1</v>
      </c>
      <c r="G238" s="1">
        <v>50</v>
      </c>
      <c r="H238" s="10" t="s">
        <v>2121</v>
      </c>
      <c r="I238" s="1">
        <v>5000</v>
      </c>
      <c r="J238" s="1">
        <v>5</v>
      </c>
      <c r="K238" s="1">
        <v>0</v>
      </c>
      <c r="L238" s="1">
        <v>0</v>
      </c>
      <c r="M238" s="1" t="s">
        <v>1956</v>
      </c>
      <c r="N238" s="1" t="s">
        <v>698</v>
      </c>
      <c r="O238" s="1">
        <v>0</v>
      </c>
      <c r="P238" s="1" t="s">
        <v>2055</v>
      </c>
      <c r="Q238" s="7" t="s">
        <v>2271</v>
      </c>
      <c r="R238" s="1">
        <v>0</v>
      </c>
    </row>
    <row r="239" spans="1:18" ht="14.25" thickBot="1">
      <c r="A239" s="1" t="s">
        <v>268</v>
      </c>
      <c r="B239" s="3">
        <v>1</v>
      </c>
      <c r="C239" s="9" t="s">
        <v>2603</v>
      </c>
      <c r="D239" s="1" t="s">
        <v>13</v>
      </c>
      <c r="E239" s="1">
        <v>6</v>
      </c>
      <c r="F239" s="1">
        <v>1</v>
      </c>
      <c r="G239" s="1">
        <v>50</v>
      </c>
      <c r="H239" s="10" t="s">
        <v>2121</v>
      </c>
      <c r="I239" s="1">
        <v>5300</v>
      </c>
      <c r="J239" s="1">
        <v>5</v>
      </c>
      <c r="K239" s="1">
        <v>0</v>
      </c>
      <c r="L239" s="1">
        <v>0</v>
      </c>
      <c r="M239" s="1" t="s">
        <v>1957</v>
      </c>
      <c r="N239" s="1" t="s">
        <v>698</v>
      </c>
      <c r="O239" s="1">
        <v>0</v>
      </c>
      <c r="P239" s="1" t="s">
        <v>2055</v>
      </c>
      <c r="Q239" s="7" t="s">
        <v>2272</v>
      </c>
      <c r="R239" s="1">
        <v>0</v>
      </c>
    </row>
    <row r="240" spans="1:18" ht="14.25" thickBot="1">
      <c r="A240" s="1" t="s">
        <v>269</v>
      </c>
      <c r="B240" s="3">
        <v>1</v>
      </c>
      <c r="C240" s="9" t="s">
        <v>2604</v>
      </c>
      <c r="D240" s="1" t="s">
        <v>12</v>
      </c>
      <c r="E240" s="1">
        <v>5</v>
      </c>
      <c r="F240" s="1">
        <v>1</v>
      </c>
      <c r="G240" s="1">
        <v>50</v>
      </c>
      <c r="H240" s="10" t="s">
        <v>2122</v>
      </c>
      <c r="I240" s="1">
        <v>5000</v>
      </c>
      <c r="J240" s="1">
        <v>5</v>
      </c>
      <c r="K240" s="1">
        <v>0</v>
      </c>
      <c r="L240" s="1">
        <v>0</v>
      </c>
      <c r="M240" s="1" t="s">
        <v>1952</v>
      </c>
      <c r="N240" s="1" t="s">
        <v>698</v>
      </c>
      <c r="O240" s="1">
        <v>0</v>
      </c>
      <c r="P240" s="1" t="s">
        <v>2055</v>
      </c>
      <c r="Q240" s="7" t="s">
        <v>2273</v>
      </c>
      <c r="R240" s="1">
        <v>0</v>
      </c>
    </row>
    <row r="241" spans="1:18" ht="14.25" thickBot="1">
      <c r="A241" s="1" t="s">
        <v>270</v>
      </c>
      <c r="B241" s="3">
        <v>1</v>
      </c>
      <c r="C241" s="9" t="s">
        <v>2605</v>
      </c>
      <c r="D241" s="1" t="s">
        <v>12</v>
      </c>
      <c r="E241" s="1">
        <v>5</v>
      </c>
      <c r="F241" s="1">
        <v>1</v>
      </c>
      <c r="G241" s="1">
        <v>50</v>
      </c>
      <c r="H241" s="10" t="s">
        <v>2122</v>
      </c>
      <c r="I241" s="1">
        <v>5300</v>
      </c>
      <c r="J241" s="1">
        <v>5</v>
      </c>
      <c r="K241" s="1">
        <v>0</v>
      </c>
      <c r="L241" s="1">
        <v>0</v>
      </c>
      <c r="M241" s="1" t="s">
        <v>1953</v>
      </c>
      <c r="N241" s="1" t="s">
        <v>698</v>
      </c>
      <c r="O241" s="1">
        <v>0</v>
      </c>
      <c r="P241" s="1" t="s">
        <v>2055</v>
      </c>
      <c r="Q241" s="7" t="s">
        <v>2274</v>
      </c>
      <c r="R241" s="1">
        <v>0</v>
      </c>
    </row>
    <row r="242" spans="1:18" ht="14.25" thickBot="1">
      <c r="A242" s="1" t="s">
        <v>271</v>
      </c>
      <c r="B242" s="3">
        <v>1</v>
      </c>
      <c r="C242" s="9" t="s">
        <v>2606</v>
      </c>
      <c r="D242" s="1" t="s">
        <v>13</v>
      </c>
      <c r="E242" s="1">
        <v>6</v>
      </c>
      <c r="F242" s="1">
        <v>1</v>
      </c>
      <c r="G242" s="1">
        <v>50</v>
      </c>
      <c r="H242" s="10" t="s">
        <v>2122</v>
      </c>
      <c r="I242" s="1">
        <v>5000</v>
      </c>
      <c r="J242" s="1">
        <v>5</v>
      </c>
      <c r="K242" s="1">
        <v>0</v>
      </c>
      <c r="L242" s="1">
        <v>0</v>
      </c>
      <c r="M242" s="1" t="s">
        <v>1958</v>
      </c>
      <c r="N242" s="1" t="s">
        <v>698</v>
      </c>
      <c r="O242" s="1">
        <v>0</v>
      </c>
      <c r="P242" s="1" t="s">
        <v>2055</v>
      </c>
      <c r="Q242" s="7" t="s">
        <v>2275</v>
      </c>
      <c r="R242" s="1">
        <v>0</v>
      </c>
    </row>
    <row r="243" spans="1:18" ht="14.25" thickBot="1">
      <c r="A243" s="1" t="s">
        <v>272</v>
      </c>
      <c r="B243" s="3">
        <v>1</v>
      </c>
      <c r="C243" s="9" t="s">
        <v>2607</v>
      </c>
      <c r="D243" s="1" t="s">
        <v>13</v>
      </c>
      <c r="E243" s="1">
        <v>6</v>
      </c>
      <c r="F243" s="1">
        <v>1</v>
      </c>
      <c r="G243" s="1">
        <v>50</v>
      </c>
      <c r="H243" s="10" t="s">
        <v>2122</v>
      </c>
      <c r="I243" s="1">
        <v>5300</v>
      </c>
      <c r="J243" s="1">
        <v>5</v>
      </c>
      <c r="K243" s="1">
        <v>0</v>
      </c>
      <c r="L243" s="1">
        <v>0</v>
      </c>
      <c r="M243" s="1" t="s">
        <v>1959</v>
      </c>
      <c r="N243" s="1" t="s">
        <v>698</v>
      </c>
      <c r="O243" s="1">
        <v>0</v>
      </c>
      <c r="P243" s="1" t="s">
        <v>2055</v>
      </c>
      <c r="Q243" s="7" t="s">
        <v>2276</v>
      </c>
      <c r="R243" s="1">
        <v>0</v>
      </c>
    </row>
    <row r="244" spans="1:18" ht="14.25" thickBot="1">
      <c r="A244" s="1" t="s">
        <v>273</v>
      </c>
      <c r="B244" s="2">
        <v>1</v>
      </c>
      <c r="C244" s="1" t="s">
        <v>2608</v>
      </c>
      <c r="D244" s="1" t="s">
        <v>11</v>
      </c>
      <c r="E244" s="1">
        <v>4</v>
      </c>
      <c r="F244" s="1">
        <v>1</v>
      </c>
      <c r="G244" s="1">
        <v>50</v>
      </c>
      <c r="H244" s="10">
        <v>0</v>
      </c>
      <c r="I244" s="1">
        <v>5000</v>
      </c>
      <c r="J244" s="1">
        <v>5</v>
      </c>
      <c r="K244" s="1">
        <v>0</v>
      </c>
      <c r="L244" s="1">
        <v>0</v>
      </c>
      <c r="M244" s="1" t="s">
        <v>1960</v>
      </c>
      <c r="N244" s="1" t="s">
        <v>698</v>
      </c>
      <c r="O244" s="1">
        <v>0</v>
      </c>
      <c r="P244" s="1" t="s">
        <v>2055</v>
      </c>
      <c r="Q244" s="7" t="s">
        <v>2134</v>
      </c>
      <c r="R244" s="1">
        <v>0</v>
      </c>
    </row>
    <row r="245" spans="1:18" ht="14.25" thickBot="1">
      <c r="A245" s="1" t="s">
        <v>274</v>
      </c>
      <c r="B245" s="2">
        <v>0</v>
      </c>
      <c r="C245" s="1" t="s">
        <v>2499</v>
      </c>
      <c r="D245" s="1" t="s">
        <v>11</v>
      </c>
      <c r="E245" s="1">
        <v>4</v>
      </c>
      <c r="F245" s="1">
        <v>1</v>
      </c>
      <c r="G245" s="1">
        <v>50</v>
      </c>
      <c r="H245" s="10">
        <v>0</v>
      </c>
      <c r="I245" s="1">
        <v>5300</v>
      </c>
      <c r="J245" s="1">
        <v>5</v>
      </c>
      <c r="K245" s="1">
        <v>0</v>
      </c>
      <c r="L245" s="1">
        <v>0</v>
      </c>
      <c r="M245" s="1" t="s">
        <v>1961</v>
      </c>
      <c r="N245" s="1" t="s">
        <v>698</v>
      </c>
      <c r="O245" s="1">
        <v>0</v>
      </c>
      <c r="P245" s="1" t="s">
        <v>2055</v>
      </c>
      <c r="Q245" s="7" t="s">
        <v>2038</v>
      </c>
      <c r="R245" s="1">
        <v>0</v>
      </c>
    </row>
    <row r="246" spans="1:18" ht="14.25" thickBot="1">
      <c r="A246" s="1" t="s">
        <v>275</v>
      </c>
      <c r="B246" s="3">
        <v>1</v>
      </c>
      <c r="C246" s="1" t="s">
        <v>2609</v>
      </c>
      <c r="D246" s="1" t="s">
        <v>14</v>
      </c>
      <c r="E246" s="1">
        <v>7</v>
      </c>
      <c r="F246" s="1">
        <v>1</v>
      </c>
      <c r="G246" s="1">
        <v>50</v>
      </c>
      <c r="H246" s="10">
        <v>0</v>
      </c>
      <c r="I246" s="1">
        <v>5000</v>
      </c>
      <c r="J246" s="1">
        <v>5</v>
      </c>
      <c r="K246" s="1">
        <v>0</v>
      </c>
      <c r="L246" s="1">
        <v>0</v>
      </c>
      <c r="M246" s="1" t="s">
        <v>1944</v>
      </c>
      <c r="N246" s="1" t="s">
        <v>698</v>
      </c>
      <c r="O246" s="1">
        <v>0</v>
      </c>
      <c r="P246" s="1" t="s">
        <v>2055</v>
      </c>
      <c r="Q246" s="7" t="s">
        <v>2277</v>
      </c>
      <c r="R246" s="1">
        <v>0</v>
      </c>
    </row>
    <row r="247" spans="1:18" ht="14.25" thickBot="1">
      <c r="A247" s="1" t="s">
        <v>276</v>
      </c>
      <c r="B247" s="2">
        <v>0</v>
      </c>
      <c r="C247" s="1" t="s">
        <v>2501</v>
      </c>
      <c r="D247" s="1" t="s">
        <v>14</v>
      </c>
      <c r="E247" s="1">
        <v>7</v>
      </c>
      <c r="F247" s="1">
        <v>1</v>
      </c>
      <c r="G247" s="1">
        <v>50</v>
      </c>
      <c r="H247" s="10">
        <v>0</v>
      </c>
      <c r="I247" s="1">
        <v>5300</v>
      </c>
      <c r="J247" s="1">
        <v>5</v>
      </c>
      <c r="K247" s="1">
        <v>0</v>
      </c>
      <c r="L247" s="1">
        <v>0</v>
      </c>
      <c r="M247" s="1" t="s">
        <v>1945</v>
      </c>
      <c r="N247" s="1" t="s">
        <v>698</v>
      </c>
      <c r="O247" s="1">
        <v>0</v>
      </c>
      <c r="P247" s="1" t="s">
        <v>2055</v>
      </c>
      <c r="Q247" s="7" t="s">
        <v>2039</v>
      </c>
      <c r="R247" s="1">
        <v>0</v>
      </c>
    </row>
    <row r="248" spans="1:18" ht="14.25" thickBot="1">
      <c r="A248" s="1" t="s">
        <v>277</v>
      </c>
      <c r="B248" s="3">
        <v>1</v>
      </c>
      <c r="C248" s="1" t="s">
        <v>2610</v>
      </c>
      <c r="D248" s="1" t="s">
        <v>8</v>
      </c>
      <c r="E248" s="1">
        <v>1</v>
      </c>
      <c r="F248" s="1">
        <v>1</v>
      </c>
      <c r="G248" s="1">
        <v>55</v>
      </c>
      <c r="H248" s="10">
        <v>0</v>
      </c>
      <c r="I248" s="1">
        <v>5500</v>
      </c>
      <c r="J248" s="1">
        <v>5</v>
      </c>
      <c r="K248" s="1">
        <v>0</v>
      </c>
      <c r="L248" s="1">
        <v>0</v>
      </c>
      <c r="M248" s="1" t="s">
        <v>1962</v>
      </c>
      <c r="N248" s="1" t="s">
        <v>698</v>
      </c>
      <c r="O248" s="1">
        <v>0</v>
      </c>
      <c r="P248" s="1" t="s">
        <v>2056</v>
      </c>
      <c r="Q248" s="7" t="s">
        <v>2278</v>
      </c>
      <c r="R248" s="1">
        <v>0</v>
      </c>
    </row>
    <row r="249" spans="1:18" ht="14.25" thickBot="1">
      <c r="A249" s="1" t="s">
        <v>278</v>
      </c>
      <c r="B249" s="3">
        <v>1</v>
      </c>
      <c r="C249" s="1" t="s">
        <v>2611</v>
      </c>
      <c r="D249" s="1" t="s">
        <v>9</v>
      </c>
      <c r="E249" s="1">
        <v>2</v>
      </c>
      <c r="F249" s="1">
        <v>1</v>
      </c>
      <c r="G249" s="1">
        <v>55</v>
      </c>
      <c r="H249" s="10">
        <v>0</v>
      </c>
      <c r="I249" s="1">
        <v>5500</v>
      </c>
      <c r="J249" s="1">
        <v>5</v>
      </c>
      <c r="K249" s="1">
        <v>0</v>
      </c>
      <c r="L249" s="1">
        <v>0</v>
      </c>
      <c r="M249" s="1" t="s">
        <v>1963</v>
      </c>
      <c r="N249" s="1" t="s">
        <v>698</v>
      </c>
      <c r="O249" s="1">
        <v>0</v>
      </c>
      <c r="P249" s="1" t="s">
        <v>2056</v>
      </c>
      <c r="Q249" s="7" t="s">
        <v>2279</v>
      </c>
      <c r="R249" s="1">
        <v>0</v>
      </c>
    </row>
    <row r="250" spans="1:18" ht="14.25" thickBot="1">
      <c r="A250" s="1" t="s">
        <v>279</v>
      </c>
      <c r="B250" s="2">
        <v>1</v>
      </c>
      <c r="C250" s="1" t="s">
        <v>2612</v>
      </c>
      <c r="D250" s="1" t="s">
        <v>10</v>
      </c>
      <c r="E250" s="1">
        <v>3</v>
      </c>
      <c r="F250" s="1">
        <v>1</v>
      </c>
      <c r="G250" s="1">
        <v>55</v>
      </c>
      <c r="H250" s="10">
        <v>0</v>
      </c>
      <c r="I250" s="1">
        <v>5500</v>
      </c>
      <c r="J250" s="1">
        <v>5</v>
      </c>
      <c r="K250" s="1">
        <v>0</v>
      </c>
      <c r="L250" s="1">
        <v>0</v>
      </c>
      <c r="M250" s="1" t="s">
        <v>2475</v>
      </c>
      <c r="N250" s="1" t="s">
        <v>698</v>
      </c>
      <c r="O250" s="1">
        <v>0</v>
      </c>
      <c r="P250" s="1" t="s">
        <v>2056</v>
      </c>
      <c r="Q250" s="7" t="s">
        <v>2167</v>
      </c>
      <c r="R250" s="1">
        <v>0</v>
      </c>
    </row>
    <row r="251" spans="1:18" ht="14.25" thickBot="1">
      <c r="A251" s="1" t="s">
        <v>280</v>
      </c>
      <c r="B251" s="3">
        <v>1</v>
      </c>
      <c r="C251" s="1" t="s">
        <v>2613</v>
      </c>
      <c r="D251" s="1" t="s">
        <v>15</v>
      </c>
      <c r="E251" s="1">
        <v>8</v>
      </c>
      <c r="F251" s="1">
        <v>1</v>
      </c>
      <c r="G251" s="1">
        <v>55</v>
      </c>
      <c r="H251" s="10">
        <v>0</v>
      </c>
      <c r="I251" s="1">
        <v>5500</v>
      </c>
      <c r="J251" s="1">
        <v>5</v>
      </c>
      <c r="K251" s="1">
        <v>0</v>
      </c>
      <c r="L251" s="1">
        <v>0</v>
      </c>
      <c r="M251" s="1" t="s">
        <v>1965</v>
      </c>
      <c r="N251" s="1" t="s">
        <v>698</v>
      </c>
      <c r="O251" s="1">
        <v>0</v>
      </c>
      <c r="P251" s="1" t="s">
        <v>2056</v>
      </c>
      <c r="Q251" s="7" t="s">
        <v>2280</v>
      </c>
      <c r="R251" s="1">
        <v>0</v>
      </c>
    </row>
    <row r="252" spans="1:18" ht="14.25" thickBot="1">
      <c r="A252" s="1" t="s">
        <v>281</v>
      </c>
      <c r="B252" s="2">
        <v>0</v>
      </c>
      <c r="C252" s="1" t="s">
        <v>2488</v>
      </c>
      <c r="D252" s="1" t="s">
        <v>16</v>
      </c>
      <c r="E252" s="1">
        <v>9</v>
      </c>
      <c r="F252" s="1">
        <v>1</v>
      </c>
      <c r="G252" s="1">
        <v>55</v>
      </c>
      <c r="H252" s="10">
        <v>0</v>
      </c>
      <c r="I252" s="1">
        <v>5500</v>
      </c>
      <c r="J252" s="1">
        <v>5</v>
      </c>
      <c r="K252" s="1">
        <v>0</v>
      </c>
      <c r="L252" s="1">
        <v>0</v>
      </c>
      <c r="M252" s="1" t="s">
        <v>1950</v>
      </c>
      <c r="N252" s="1" t="s">
        <v>698</v>
      </c>
      <c r="O252" s="1">
        <v>0</v>
      </c>
      <c r="P252" s="1" t="s">
        <v>2056</v>
      </c>
      <c r="Q252" s="7" t="s">
        <v>2221</v>
      </c>
      <c r="R252" s="1">
        <v>0</v>
      </c>
    </row>
    <row r="253" spans="1:18" ht="14.25" thickBot="1">
      <c r="A253" s="1" t="s">
        <v>282</v>
      </c>
      <c r="B253" s="3">
        <v>1</v>
      </c>
      <c r="C253" s="1" t="s">
        <v>2614</v>
      </c>
      <c r="D253" s="1" t="s">
        <v>17</v>
      </c>
      <c r="E253" s="1">
        <v>10</v>
      </c>
      <c r="F253" s="1">
        <v>1</v>
      </c>
      <c r="G253" s="1">
        <v>55</v>
      </c>
      <c r="H253" s="10">
        <v>0</v>
      </c>
      <c r="I253" s="1">
        <v>5500</v>
      </c>
      <c r="J253" s="1">
        <v>5</v>
      </c>
      <c r="K253" s="1">
        <v>0</v>
      </c>
      <c r="L253" s="1">
        <v>0</v>
      </c>
      <c r="M253" s="1" t="s">
        <v>1966</v>
      </c>
      <c r="N253" s="1" t="s">
        <v>698</v>
      </c>
      <c r="O253" s="1">
        <v>0</v>
      </c>
      <c r="P253" s="1" t="s">
        <v>2056</v>
      </c>
      <c r="Q253" s="7" t="s">
        <v>2281</v>
      </c>
      <c r="R253" s="1">
        <v>0</v>
      </c>
    </row>
    <row r="254" spans="1:18" ht="14.25" thickBot="1">
      <c r="A254" s="1" t="s">
        <v>283</v>
      </c>
      <c r="B254" s="3">
        <v>1</v>
      </c>
      <c r="C254" s="9" t="s">
        <v>2615</v>
      </c>
      <c r="D254" s="1" t="s">
        <v>12</v>
      </c>
      <c r="E254" s="1">
        <v>5</v>
      </c>
      <c r="F254" s="1">
        <v>1</v>
      </c>
      <c r="G254" s="1">
        <v>55</v>
      </c>
      <c r="H254" s="10" t="s">
        <v>2120</v>
      </c>
      <c r="I254" s="1">
        <v>5500</v>
      </c>
      <c r="J254" s="1">
        <v>5</v>
      </c>
      <c r="K254" s="1">
        <v>0</v>
      </c>
      <c r="L254" s="1">
        <v>0</v>
      </c>
      <c r="M254" s="1" t="s">
        <v>2022</v>
      </c>
      <c r="N254" s="1" t="s">
        <v>698</v>
      </c>
      <c r="O254" s="1">
        <v>0</v>
      </c>
      <c r="P254" s="1" t="s">
        <v>2056</v>
      </c>
      <c r="Q254" s="7" t="s">
        <v>2282</v>
      </c>
      <c r="R254" s="1">
        <v>0</v>
      </c>
    </row>
    <row r="255" spans="1:18" ht="14.25" thickBot="1">
      <c r="A255" s="1" t="s">
        <v>284</v>
      </c>
      <c r="B255" s="2">
        <v>0</v>
      </c>
      <c r="C255" s="9" t="s">
        <v>2491</v>
      </c>
      <c r="D255" s="1" t="s">
        <v>12</v>
      </c>
      <c r="E255" s="1">
        <v>5</v>
      </c>
      <c r="F255" s="1">
        <v>1</v>
      </c>
      <c r="G255" s="1">
        <v>55</v>
      </c>
      <c r="H255" s="10" t="s">
        <v>2120</v>
      </c>
      <c r="I255" s="1">
        <v>5800</v>
      </c>
      <c r="J255" s="1">
        <v>5</v>
      </c>
      <c r="K255" s="1">
        <v>0</v>
      </c>
      <c r="L255" s="1">
        <v>0</v>
      </c>
      <c r="M255" s="1" t="s">
        <v>2023</v>
      </c>
      <c r="N255" s="1" t="s">
        <v>698</v>
      </c>
      <c r="O255" s="1">
        <v>0</v>
      </c>
      <c r="P255" s="1" t="s">
        <v>2056</v>
      </c>
      <c r="Q255" s="7" t="s">
        <v>2032</v>
      </c>
      <c r="R255" s="1">
        <v>0</v>
      </c>
    </row>
    <row r="256" spans="1:18" ht="14.25" thickBot="1">
      <c r="A256" s="1" t="s">
        <v>285</v>
      </c>
      <c r="B256" s="3">
        <v>1</v>
      </c>
      <c r="C256" s="9" t="s">
        <v>2616</v>
      </c>
      <c r="D256" s="1" t="s">
        <v>13</v>
      </c>
      <c r="E256" s="1">
        <v>6</v>
      </c>
      <c r="F256" s="1">
        <v>1</v>
      </c>
      <c r="G256" s="1">
        <v>55</v>
      </c>
      <c r="H256" s="10" t="s">
        <v>2120</v>
      </c>
      <c r="I256" s="1">
        <v>5500</v>
      </c>
      <c r="J256" s="1">
        <v>5</v>
      </c>
      <c r="K256" s="1">
        <v>0</v>
      </c>
      <c r="L256" s="1">
        <v>0</v>
      </c>
      <c r="M256" s="1" t="s">
        <v>1967</v>
      </c>
      <c r="N256" s="1" t="s">
        <v>698</v>
      </c>
      <c r="O256" s="1">
        <v>0</v>
      </c>
      <c r="P256" s="1" t="s">
        <v>2056</v>
      </c>
      <c r="Q256" s="7" t="s">
        <v>2283</v>
      </c>
      <c r="R256" s="1">
        <v>0</v>
      </c>
    </row>
    <row r="257" spans="1:18" ht="14.25" thickBot="1">
      <c r="A257" s="1" t="s">
        <v>286</v>
      </c>
      <c r="B257" s="3">
        <v>1</v>
      </c>
      <c r="C257" s="9" t="s">
        <v>2617</v>
      </c>
      <c r="D257" s="1" t="s">
        <v>13</v>
      </c>
      <c r="E257" s="1">
        <v>6</v>
      </c>
      <c r="F257" s="1">
        <v>1</v>
      </c>
      <c r="G257" s="1">
        <v>55</v>
      </c>
      <c r="H257" s="10" t="s">
        <v>2120</v>
      </c>
      <c r="I257" s="1">
        <v>5800</v>
      </c>
      <c r="J257" s="1">
        <v>5</v>
      </c>
      <c r="K257" s="1">
        <v>0</v>
      </c>
      <c r="L257" s="1">
        <v>0</v>
      </c>
      <c r="M257" s="1" t="s">
        <v>1968</v>
      </c>
      <c r="N257" s="1" t="s">
        <v>698</v>
      </c>
      <c r="O257" s="1">
        <v>0</v>
      </c>
      <c r="P257" s="1" t="s">
        <v>2056</v>
      </c>
      <c r="Q257" s="7" t="s">
        <v>2284</v>
      </c>
      <c r="R257" s="1">
        <v>0</v>
      </c>
    </row>
    <row r="258" spans="1:18" ht="14.25" thickBot="1">
      <c r="A258" s="1" t="s">
        <v>287</v>
      </c>
      <c r="B258" s="3">
        <v>1</v>
      </c>
      <c r="C258" s="1" t="s">
        <v>2618</v>
      </c>
      <c r="D258" s="1" t="s">
        <v>12</v>
      </c>
      <c r="E258" s="1">
        <v>5</v>
      </c>
      <c r="F258" s="1">
        <v>1</v>
      </c>
      <c r="G258" s="1">
        <v>55</v>
      </c>
      <c r="H258" s="10" t="s">
        <v>2121</v>
      </c>
      <c r="I258" s="1">
        <v>5500</v>
      </c>
      <c r="J258" s="1">
        <v>5</v>
      </c>
      <c r="K258" s="1">
        <v>0</v>
      </c>
      <c r="L258" s="1">
        <v>0</v>
      </c>
      <c r="M258" s="1" t="s">
        <v>2022</v>
      </c>
      <c r="N258" s="1" t="s">
        <v>698</v>
      </c>
      <c r="O258" s="1">
        <v>0</v>
      </c>
      <c r="P258" s="1" t="s">
        <v>2056</v>
      </c>
      <c r="Q258" s="7" t="s">
        <v>2945</v>
      </c>
      <c r="R258" s="1">
        <v>0</v>
      </c>
    </row>
    <row r="259" spans="1:18" ht="14.25" thickBot="1">
      <c r="A259" s="1" t="s">
        <v>288</v>
      </c>
      <c r="B259" s="2">
        <v>0</v>
      </c>
      <c r="C259" s="1" t="s">
        <v>2494</v>
      </c>
      <c r="D259" s="1" t="s">
        <v>12</v>
      </c>
      <c r="E259" s="1">
        <v>5</v>
      </c>
      <c r="F259" s="1">
        <v>1</v>
      </c>
      <c r="G259" s="1">
        <v>55</v>
      </c>
      <c r="H259" s="10" t="s">
        <v>2121</v>
      </c>
      <c r="I259" s="1">
        <v>5800</v>
      </c>
      <c r="J259" s="1">
        <v>5</v>
      </c>
      <c r="K259" s="1">
        <v>0</v>
      </c>
      <c r="L259" s="1">
        <v>0</v>
      </c>
      <c r="M259" s="1" t="s">
        <v>2023</v>
      </c>
      <c r="N259" s="1" t="s">
        <v>698</v>
      </c>
      <c r="O259" s="1">
        <v>0</v>
      </c>
      <c r="P259" s="1" t="s">
        <v>2056</v>
      </c>
      <c r="Q259" s="7" t="s">
        <v>2034</v>
      </c>
      <c r="R259" s="1">
        <v>0</v>
      </c>
    </row>
    <row r="260" spans="1:18" ht="14.25" thickBot="1">
      <c r="A260" s="1" t="s">
        <v>289</v>
      </c>
      <c r="B260" s="3">
        <v>1</v>
      </c>
      <c r="C260" s="9" t="s">
        <v>2619</v>
      </c>
      <c r="D260" s="1" t="s">
        <v>13</v>
      </c>
      <c r="E260" s="1">
        <v>6</v>
      </c>
      <c r="F260" s="1">
        <v>1</v>
      </c>
      <c r="G260" s="1">
        <v>55</v>
      </c>
      <c r="H260" s="10" t="s">
        <v>2121</v>
      </c>
      <c r="I260" s="1">
        <v>5500</v>
      </c>
      <c r="J260" s="1">
        <v>5</v>
      </c>
      <c r="K260" s="1">
        <v>0</v>
      </c>
      <c r="L260" s="1">
        <v>0</v>
      </c>
      <c r="M260" s="1" t="s">
        <v>1969</v>
      </c>
      <c r="N260" s="1" t="s">
        <v>698</v>
      </c>
      <c r="O260" s="1">
        <v>0</v>
      </c>
      <c r="P260" s="1" t="s">
        <v>2056</v>
      </c>
      <c r="Q260" s="7" t="s">
        <v>2285</v>
      </c>
      <c r="R260" s="1">
        <v>0</v>
      </c>
    </row>
    <row r="261" spans="1:18" ht="14.25" thickBot="1">
      <c r="A261" s="1" t="s">
        <v>290</v>
      </c>
      <c r="B261" s="3">
        <v>1</v>
      </c>
      <c r="C261" s="9" t="s">
        <v>2620</v>
      </c>
      <c r="D261" s="1" t="s">
        <v>13</v>
      </c>
      <c r="E261" s="1">
        <v>6</v>
      </c>
      <c r="F261" s="1">
        <v>1</v>
      </c>
      <c r="G261" s="1">
        <v>55</v>
      </c>
      <c r="H261" s="10" t="s">
        <v>2121</v>
      </c>
      <c r="I261" s="1">
        <v>5800</v>
      </c>
      <c r="J261" s="1">
        <v>5</v>
      </c>
      <c r="K261" s="1">
        <v>0</v>
      </c>
      <c r="L261" s="1">
        <v>0</v>
      </c>
      <c r="M261" s="1" t="s">
        <v>1970</v>
      </c>
      <c r="N261" s="1" t="s">
        <v>698</v>
      </c>
      <c r="O261" s="1">
        <v>0</v>
      </c>
      <c r="P261" s="1" t="s">
        <v>2056</v>
      </c>
      <c r="Q261" s="7" t="s">
        <v>2286</v>
      </c>
      <c r="R261" s="1">
        <v>0</v>
      </c>
    </row>
    <row r="262" spans="1:18" ht="14.25" thickBot="1">
      <c r="A262" s="1" t="s">
        <v>291</v>
      </c>
      <c r="B262" s="3">
        <v>1</v>
      </c>
      <c r="C262" s="9" t="s">
        <v>2621</v>
      </c>
      <c r="D262" s="1" t="s">
        <v>12</v>
      </c>
      <c r="E262" s="1">
        <v>5</v>
      </c>
      <c r="F262" s="1">
        <v>1</v>
      </c>
      <c r="G262" s="1">
        <v>55</v>
      </c>
      <c r="H262" s="10" t="s">
        <v>2122</v>
      </c>
      <c r="I262" s="1">
        <v>5500</v>
      </c>
      <c r="J262" s="1">
        <v>5</v>
      </c>
      <c r="K262" s="1">
        <v>0</v>
      </c>
      <c r="L262" s="1">
        <v>0</v>
      </c>
      <c r="M262" s="1" t="s">
        <v>2022</v>
      </c>
      <c r="N262" s="1" t="s">
        <v>698</v>
      </c>
      <c r="O262" s="1">
        <v>0</v>
      </c>
      <c r="P262" s="1" t="s">
        <v>2056</v>
      </c>
      <c r="Q262" s="7" t="s">
        <v>2287</v>
      </c>
      <c r="R262" s="1">
        <v>0</v>
      </c>
    </row>
    <row r="263" spans="1:18" ht="14.25" thickBot="1">
      <c r="A263" s="1" t="s">
        <v>292</v>
      </c>
      <c r="B263" s="2">
        <v>0</v>
      </c>
      <c r="C263" s="9" t="s">
        <v>2497</v>
      </c>
      <c r="D263" s="1" t="s">
        <v>12</v>
      </c>
      <c r="E263" s="1">
        <v>5</v>
      </c>
      <c r="F263" s="1">
        <v>1</v>
      </c>
      <c r="G263" s="1">
        <v>55</v>
      </c>
      <c r="H263" s="10" t="s">
        <v>2122</v>
      </c>
      <c r="I263" s="1">
        <v>5800</v>
      </c>
      <c r="J263" s="1">
        <v>5</v>
      </c>
      <c r="K263" s="1">
        <v>0</v>
      </c>
      <c r="L263" s="1">
        <v>0</v>
      </c>
      <c r="M263" s="1" t="s">
        <v>2023</v>
      </c>
      <c r="N263" s="1" t="s">
        <v>698</v>
      </c>
      <c r="O263" s="1">
        <v>0</v>
      </c>
      <c r="P263" s="1" t="s">
        <v>2056</v>
      </c>
      <c r="Q263" s="7" t="s">
        <v>2036</v>
      </c>
      <c r="R263" s="1">
        <v>0</v>
      </c>
    </row>
    <row r="264" spans="1:18" ht="14.25" thickBot="1">
      <c r="A264" s="1" t="s">
        <v>293</v>
      </c>
      <c r="B264" s="3">
        <v>1</v>
      </c>
      <c r="C264" s="9" t="s">
        <v>2622</v>
      </c>
      <c r="D264" s="1" t="s">
        <v>13</v>
      </c>
      <c r="E264" s="1">
        <v>6</v>
      </c>
      <c r="F264" s="1">
        <v>1</v>
      </c>
      <c r="G264" s="1">
        <v>55</v>
      </c>
      <c r="H264" s="10" t="s">
        <v>2122</v>
      </c>
      <c r="I264" s="1">
        <v>5500</v>
      </c>
      <c r="J264" s="1">
        <v>5</v>
      </c>
      <c r="K264" s="1">
        <v>0</v>
      </c>
      <c r="L264" s="1">
        <v>0</v>
      </c>
      <c r="M264" s="1" t="s">
        <v>1971</v>
      </c>
      <c r="N264" s="1" t="s">
        <v>698</v>
      </c>
      <c r="O264" s="1">
        <v>0</v>
      </c>
      <c r="P264" s="1" t="s">
        <v>2056</v>
      </c>
      <c r="Q264" s="7" t="s">
        <v>2288</v>
      </c>
      <c r="R264" s="1">
        <v>0</v>
      </c>
    </row>
    <row r="265" spans="1:18" ht="14.25" thickBot="1">
      <c r="A265" s="1" t="s">
        <v>294</v>
      </c>
      <c r="B265" s="3">
        <v>1</v>
      </c>
      <c r="C265" s="9" t="s">
        <v>2623</v>
      </c>
      <c r="D265" s="1" t="s">
        <v>13</v>
      </c>
      <c r="E265" s="1">
        <v>6</v>
      </c>
      <c r="F265" s="1">
        <v>1</v>
      </c>
      <c r="G265" s="1">
        <v>55</v>
      </c>
      <c r="H265" s="10" t="s">
        <v>2122</v>
      </c>
      <c r="I265" s="1">
        <v>5800</v>
      </c>
      <c r="J265" s="1">
        <v>5</v>
      </c>
      <c r="K265" s="1">
        <v>0</v>
      </c>
      <c r="L265" s="1">
        <v>0</v>
      </c>
      <c r="M265" s="1" t="s">
        <v>1972</v>
      </c>
      <c r="N265" s="1" t="s">
        <v>698</v>
      </c>
      <c r="O265" s="1">
        <v>0</v>
      </c>
      <c r="P265" s="1" t="s">
        <v>2056</v>
      </c>
      <c r="Q265" s="7" t="s">
        <v>2289</v>
      </c>
      <c r="R265" s="1">
        <v>0</v>
      </c>
    </row>
    <row r="266" spans="1:18" ht="14.25" thickBot="1">
      <c r="A266" s="1" t="s">
        <v>295</v>
      </c>
      <c r="B266" s="3">
        <v>1</v>
      </c>
      <c r="C266" s="1" t="s">
        <v>2624</v>
      </c>
      <c r="D266" s="1" t="s">
        <v>11</v>
      </c>
      <c r="E266" s="1">
        <v>4</v>
      </c>
      <c r="F266" s="1">
        <v>1</v>
      </c>
      <c r="G266" s="1">
        <v>55</v>
      </c>
      <c r="H266" s="10">
        <v>0</v>
      </c>
      <c r="I266" s="1">
        <v>5500</v>
      </c>
      <c r="J266" s="1">
        <v>5</v>
      </c>
      <c r="K266" s="1">
        <v>0</v>
      </c>
      <c r="L266" s="1">
        <v>0</v>
      </c>
      <c r="M266" s="1" t="s">
        <v>1973</v>
      </c>
      <c r="N266" s="1" t="s">
        <v>698</v>
      </c>
      <c r="O266" s="1">
        <v>0</v>
      </c>
      <c r="P266" s="1" t="s">
        <v>2056</v>
      </c>
      <c r="Q266" s="7" t="s">
        <v>2290</v>
      </c>
      <c r="R266" s="1">
        <v>0</v>
      </c>
    </row>
    <row r="267" spans="1:18" ht="14.25" thickBot="1">
      <c r="A267" s="1" t="s">
        <v>296</v>
      </c>
      <c r="B267" s="2">
        <v>0</v>
      </c>
      <c r="C267" s="1" t="s">
        <v>2499</v>
      </c>
      <c r="D267" s="1" t="s">
        <v>11</v>
      </c>
      <c r="E267" s="1">
        <v>4</v>
      </c>
      <c r="F267" s="1">
        <v>1</v>
      </c>
      <c r="G267" s="1">
        <v>55</v>
      </c>
      <c r="H267" s="10">
        <v>0</v>
      </c>
      <c r="I267" s="1">
        <v>5800</v>
      </c>
      <c r="J267" s="1">
        <v>5</v>
      </c>
      <c r="K267" s="1">
        <v>0</v>
      </c>
      <c r="L267" s="1">
        <v>0</v>
      </c>
      <c r="M267" s="1" t="s">
        <v>1974</v>
      </c>
      <c r="N267" s="1" t="s">
        <v>698</v>
      </c>
      <c r="O267" s="1">
        <v>0</v>
      </c>
      <c r="P267" s="1" t="s">
        <v>2056</v>
      </c>
      <c r="Q267" s="7" t="s">
        <v>2038</v>
      </c>
      <c r="R267" s="1">
        <v>0</v>
      </c>
    </row>
    <row r="268" spans="1:18" ht="14.25" thickBot="1">
      <c r="A268" s="1" t="s">
        <v>297</v>
      </c>
      <c r="B268" s="3">
        <v>1</v>
      </c>
      <c r="C268" s="1" t="s">
        <v>2625</v>
      </c>
      <c r="D268" s="1" t="s">
        <v>14</v>
      </c>
      <c r="E268" s="1">
        <v>7</v>
      </c>
      <c r="F268" s="1">
        <v>1</v>
      </c>
      <c r="G268" s="1">
        <v>55</v>
      </c>
      <c r="H268" s="10">
        <v>0</v>
      </c>
      <c r="I268" s="1">
        <v>5500</v>
      </c>
      <c r="J268" s="1">
        <v>5</v>
      </c>
      <c r="K268" s="1">
        <v>0</v>
      </c>
      <c r="L268" s="1">
        <v>0</v>
      </c>
      <c r="M268" s="1" t="s">
        <v>1960</v>
      </c>
      <c r="N268" s="1" t="s">
        <v>698</v>
      </c>
      <c r="O268" s="1">
        <v>0</v>
      </c>
      <c r="P268" s="1" t="s">
        <v>2056</v>
      </c>
      <c r="Q268" s="7" t="s">
        <v>2291</v>
      </c>
      <c r="R268" s="1">
        <v>0</v>
      </c>
    </row>
    <row r="269" spans="1:18" ht="14.25" thickBot="1">
      <c r="A269" s="1" t="s">
        <v>298</v>
      </c>
      <c r="B269" s="2">
        <v>0</v>
      </c>
      <c r="C269" s="1" t="s">
        <v>2501</v>
      </c>
      <c r="D269" s="1" t="s">
        <v>14</v>
      </c>
      <c r="E269" s="1">
        <v>7</v>
      </c>
      <c r="F269" s="1">
        <v>1</v>
      </c>
      <c r="G269" s="1">
        <v>55</v>
      </c>
      <c r="H269" s="10">
        <v>0</v>
      </c>
      <c r="I269" s="1">
        <v>5800</v>
      </c>
      <c r="J269" s="1">
        <v>5</v>
      </c>
      <c r="K269" s="1">
        <v>0</v>
      </c>
      <c r="L269" s="1">
        <v>0</v>
      </c>
      <c r="M269" s="1" t="s">
        <v>1961</v>
      </c>
      <c r="N269" s="1" t="s">
        <v>698</v>
      </c>
      <c r="O269" s="1">
        <v>0</v>
      </c>
      <c r="P269" s="1" t="s">
        <v>2056</v>
      </c>
      <c r="Q269" s="7" t="s">
        <v>2039</v>
      </c>
      <c r="R269" s="1">
        <v>0</v>
      </c>
    </row>
    <row r="270" spans="1:18" ht="14.25" thickBot="1">
      <c r="A270" s="1" t="s">
        <v>299</v>
      </c>
      <c r="B270" s="3">
        <v>1</v>
      </c>
      <c r="C270" s="1" t="s">
        <v>2626</v>
      </c>
      <c r="D270" s="1" t="s">
        <v>8</v>
      </c>
      <c r="E270" s="1">
        <v>1</v>
      </c>
      <c r="F270" s="1">
        <v>1</v>
      </c>
      <c r="G270" s="1">
        <v>60</v>
      </c>
      <c r="H270" s="10">
        <v>0</v>
      </c>
      <c r="I270" s="1">
        <v>6000</v>
      </c>
      <c r="J270" s="1">
        <v>5</v>
      </c>
      <c r="K270" s="1">
        <v>0</v>
      </c>
      <c r="L270" s="1">
        <v>0</v>
      </c>
      <c r="M270" s="1" t="s">
        <v>1975</v>
      </c>
      <c r="N270" s="1" t="s">
        <v>698</v>
      </c>
      <c r="O270" s="1">
        <v>0</v>
      </c>
      <c r="P270" s="1" t="s">
        <v>2057</v>
      </c>
      <c r="Q270" s="7" t="s">
        <v>2292</v>
      </c>
      <c r="R270" s="1">
        <v>0</v>
      </c>
    </row>
    <row r="271" spans="1:18" ht="14.25" thickBot="1">
      <c r="A271" s="1" t="s">
        <v>300</v>
      </c>
      <c r="B271" s="3">
        <v>1</v>
      </c>
      <c r="C271" s="1" t="s">
        <v>2627</v>
      </c>
      <c r="D271" s="1" t="s">
        <v>9</v>
      </c>
      <c r="E271" s="1">
        <v>2</v>
      </c>
      <c r="F271" s="1">
        <v>1</v>
      </c>
      <c r="G271" s="1">
        <v>60</v>
      </c>
      <c r="H271" s="10">
        <v>0</v>
      </c>
      <c r="I271" s="1">
        <v>6000</v>
      </c>
      <c r="J271" s="1">
        <v>5</v>
      </c>
      <c r="K271" s="1">
        <v>0</v>
      </c>
      <c r="L271" s="1">
        <v>0</v>
      </c>
      <c r="M271" s="1" t="s">
        <v>1976</v>
      </c>
      <c r="N271" s="1" t="s">
        <v>698</v>
      </c>
      <c r="O271" s="1">
        <v>0</v>
      </c>
      <c r="P271" s="1" t="s">
        <v>2057</v>
      </c>
      <c r="Q271" s="7" t="s">
        <v>2293</v>
      </c>
      <c r="R271" s="1">
        <v>0</v>
      </c>
    </row>
    <row r="272" spans="1:18" ht="14.25" thickBot="1">
      <c r="A272" s="1" t="s">
        <v>301</v>
      </c>
      <c r="B272" s="3">
        <v>1</v>
      </c>
      <c r="C272" s="1" t="s">
        <v>2628</v>
      </c>
      <c r="D272" s="1" t="s">
        <v>10</v>
      </c>
      <c r="E272" s="1">
        <v>3</v>
      </c>
      <c r="F272" s="1">
        <v>1</v>
      </c>
      <c r="G272" s="1">
        <v>60</v>
      </c>
      <c r="H272" s="10">
        <v>0</v>
      </c>
      <c r="I272" s="1">
        <v>6000</v>
      </c>
      <c r="J272" s="1">
        <v>5</v>
      </c>
      <c r="K272" s="1">
        <v>0</v>
      </c>
      <c r="L272" s="1">
        <v>0</v>
      </c>
      <c r="M272" s="1" t="s">
        <v>1964</v>
      </c>
      <c r="N272" s="1" t="s">
        <v>698</v>
      </c>
      <c r="O272" s="1">
        <v>0</v>
      </c>
      <c r="P272" s="1" t="s">
        <v>2057</v>
      </c>
      <c r="Q272" s="7" t="s">
        <v>2294</v>
      </c>
      <c r="R272" s="1">
        <v>0</v>
      </c>
    </row>
    <row r="273" spans="1:18" ht="14.25" thickBot="1">
      <c r="A273" s="1" t="s">
        <v>302</v>
      </c>
      <c r="B273" s="3">
        <v>1</v>
      </c>
      <c r="C273" s="1" t="s">
        <v>2629</v>
      </c>
      <c r="D273" s="1" t="s">
        <v>15</v>
      </c>
      <c r="E273" s="1">
        <v>8</v>
      </c>
      <c r="F273" s="1">
        <v>1</v>
      </c>
      <c r="G273" s="1">
        <v>60</v>
      </c>
      <c r="H273" s="10">
        <v>0</v>
      </c>
      <c r="I273" s="1">
        <v>6000</v>
      </c>
      <c r="J273" s="1">
        <v>5</v>
      </c>
      <c r="K273" s="1">
        <v>0</v>
      </c>
      <c r="L273" s="1">
        <v>0</v>
      </c>
      <c r="M273" s="1" t="s">
        <v>1977</v>
      </c>
      <c r="N273" s="1" t="s">
        <v>698</v>
      </c>
      <c r="O273" s="1">
        <v>0</v>
      </c>
      <c r="P273" s="1" t="s">
        <v>2057</v>
      </c>
      <c r="Q273" s="7" t="s">
        <v>2295</v>
      </c>
      <c r="R273" s="1">
        <v>0</v>
      </c>
    </row>
    <row r="274" spans="1:18" ht="14.25" thickBot="1">
      <c r="A274" s="1" t="s">
        <v>303</v>
      </c>
      <c r="B274" s="3">
        <v>1</v>
      </c>
      <c r="C274" s="1" t="s">
        <v>2630</v>
      </c>
      <c r="D274" s="1" t="s">
        <v>16</v>
      </c>
      <c r="E274" s="1">
        <v>9</v>
      </c>
      <c r="F274" s="1">
        <v>1</v>
      </c>
      <c r="G274" s="1">
        <v>60</v>
      </c>
      <c r="H274" s="10">
        <v>0</v>
      </c>
      <c r="I274" s="1">
        <v>6000</v>
      </c>
      <c r="J274" s="1">
        <v>5</v>
      </c>
      <c r="K274" s="1">
        <v>0</v>
      </c>
      <c r="L274" s="1">
        <v>0</v>
      </c>
      <c r="M274" s="1" t="s">
        <v>1978</v>
      </c>
      <c r="N274" s="1" t="s">
        <v>698</v>
      </c>
      <c r="O274" s="1">
        <v>0</v>
      </c>
      <c r="P274" s="1" t="s">
        <v>2057</v>
      </c>
      <c r="Q274" s="7" t="s">
        <v>2296</v>
      </c>
      <c r="R274" s="1">
        <v>0</v>
      </c>
    </row>
    <row r="275" spans="1:18" ht="14.25" thickBot="1">
      <c r="A275" s="1" t="s">
        <v>304</v>
      </c>
      <c r="B275" s="3">
        <v>1</v>
      </c>
      <c r="C275" s="1" t="s">
        <v>2631</v>
      </c>
      <c r="D275" s="1" t="s">
        <v>17</v>
      </c>
      <c r="E275" s="1">
        <v>10</v>
      </c>
      <c r="F275" s="1">
        <v>1</v>
      </c>
      <c r="G275" s="1">
        <v>60</v>
      </c>
      <c r="H275" s="10">
        <v>0</v>
      </c>
      <c r="I275" s="1">
        <v>6000</v>
      </c>
      <c r="J275" s="1">
        <v>5</v>
      </c>
      <c r="K275" s="1">
        <v>0</v>
      </c>
      <c r="L275" s="1">
        <v>0</v>
      </c>
      <c r="M275" s="1" t="s">
        <v>1979</v>
      </c>
      <c r="N275" s="1" t="s">
        <v>698</v>
      </c>
      <c r="O275" s="1">
        <v>0</v>
      </c>
      <c r="P275" s="1" t="s">
        <v>2057</v>
      </c>
      <c r="Q275" s="7" t="s">
        <v>2297</v>
      </c>
      <c r="R275" s="1">
        <v>0</v>
      </c>
    </row>
    <row r="276" spans="1:18" ht="14.25" thickBot="1">
      <c r="A276" s="1" t="s">
        <v>305</v>
      </c>
      <c r="B276" s="3">
        <v>1</v>
      </c>
      <c r="C276" s="9" t="s">
        <v>2632</v>
      </c>
      <c r="D276" s="1" t="s">
        <v>12</v>
      </c>
      <c r="E276" s="1">
        <v>5</v>
      </c>
      <c r="F276" s="1">
        <v>1</v>
      </c>
      <c r="G276" s="1">
        <v>60</v>
      </c>
      <c r="H276" s="10" t="s">
        <v>2120</v>
      </c>
      <c r="I276" s="1">
        <v>6000</v>
      </c>
      <c r="J276" s="1">
        <v>5</v>
      </c>
      <c r="K276" s="1">
        <v>0</v>
      </c>
      <c r="L276" s="1">
        <v>0</v>
      </c>
      <c r="M276" s="1" t="s">
        <v>1980</v>
      </c>
      <c r="N276" s="1" t="s">
        <v>698</v>
      </c>
      <c r="O276" s="1">
        <v>0</v>
      </c>
      <c r="P276" s="1" t="s">
        <v>2057</v>
      </c>
      <c r="Q276" s="7" t="s">
        <v>2298</v>
      </c>
      <c r="R276" s="1">
        <v>0</v>
      </c>
    </row>
    <row r="277" spans="1:18" ht="14.25" thickBot="1">
      <c r="A277" s="1" t="s">
        <v>306</v>
      </c>
      <c r="B277" s="3">
        <v>1</v>
      </c>
      <c r="C277" s="9" t="s">
        <v>2633</v>
      </c>
      <c r="D277" s="1" t="s">
        <v>12</v>
      </c>
      <c r="E277" s="1">
        <v>5</v>
      </c>
      <c r="F277" s="1">
        <v>1</v>
      </c>
      <c r="G277" s="1">
        <v>60</v>
      </c>
      <c r="H277" s="10" t="s">
        <v>2120</v>
      </c>
      <c r="I277" s="1">
        <v>6300</v>
      </c>
      <c r="J277" s="1">
        <v>5</v>
      </c>
      <c r="K277" s="1">
        <v>0</v>
      </c>
      <c r="L277" s="1">
        <v>0</v>
      </c>
      <c r="M277" s="1" t="s">
        <v>1981</v>
      </c>
      <c r="N277" s="1" t="s">
        <v>698</v>
      </c>
      <c r="O277" s="1">
        <v>0</v>
      </c>
      <c r="P277" s="1" t="s">
        <v>2057</v>
      </c>
      <c r="Q277" s="7" t="s">
        <v>2299</v>
      </c>
      <c r="R277" s="1">
        <v>0</v>
      </c>
    </row>
    <row r="278" spans="1:18" ht="14.25" thickBot="1">
      <c r="A278" s="1" t="s">
        <v>307</v>
      </c>
      <c r="B278" s="3">
        <v>1</v>
      </c>
      <c r="C278" s="9" t="s">
        <v>2634</v>
      </c>
      <c r="D278" s="1" t="s">
        <v>13</v>
      </c>
      <c r="E278" s="1">
        <v>6</v>
      </c>
      <c r="F278" s="1">
        <v>1</v>
      </c>
      <c r="G278" s="1">
        <v>60</v>
      </c>
      <c r="H278" s="10" t="s">
        <v>2120</v>
      </c>
      <c r="I278" s="1">
        <v>6000</v>
      </c>
      <c r="J278" s="1">
        <v>5</v>
      </c>
      <c r="K278" s="1">
        <v>0</v>
      </c>
      <c r="L278" s="1">
        <v>0</v>
      </c>
      <c r="M278" s="1" t="s">
        <v>1982</v>
      </c>
      <c r="N278" s="1" t="s">
        <v>698</v>
      </c>
      <c r="O278" s="1">
        <v>0</v>
      </c>
      <c r="P278" s="1" t="s">
        <v>2057</v>
      </c>
      <c r="Q278" s="7" t="s">
        <v>2300</v>
      </c>
      <c r="R278" s="1">
        <v>0</v>
      </c>
    </row>
    <row r="279" spans="1:18" ht="14.25" thickBot="1">
      <c r="A279" s="1" t="s">
        <v>308</v>
      </c>
      <c r="B279" s="2">
        <v>0</v>
      </c>
      <c r="C279" s="9" t="s">
        <v>2061</v>
      </c>
      <c r="D279" s="1" t="s">
        <v>13</v>
      </c>
      <c r="E279" s="1">
        <v>6</v>
      </c>
      <c r="F279" s="1">
        <v>1</v>
      </c>
      <c r="G279" s="1">
        <v>60</v>
      </c>
      <c r="H279" s="10" t="s">
        <v>2120</v>
      </c>
      <c r="I279" s="1">
        <v>6300</v>
      </c>
      <c r="J279" s="1">
        <v>5</v>
      </c>
      <c r="K279" s="1">
        <v>0</v>
      </c>
      <c r="L279" s="1">
        <v>0</v>
      </c>
      <c r="M279" s="1" t="s">
        <v>1983</v>
      </c>
      <c r="N279" s="1" t="s">
        <v>698</v>
      </c>
      <c r="O279" s="1">
        <v>0</v>
      </c>
      <c r="P279" s="1" t="s">
        <v>2057</v>
      </c>
      <c r="Q279" s="7" t="s">
        <v>2033</v>
      </c>
      <c r="R279" s="1">
        <v>0</v>
      </c>
    </row>
    <row r="280" spans="1:18" ht="14.25" thickBot="1">
      <c r="A280" s="1" t="s">
        <v>309</v>
      </c>
      <c r="B280" s="3">
        <v>1</v>
      </c>
      <c r="C280" s="1" t="s">
        <v>2635</v>
      </c>
      <c r="D280" s="1" t="s">
        <v>12</v>
      </c>
      <c r="E280" s="1">
        <v>5</v>
      </c>
      <c r="F280" s="1">
        <v>1</v>
      </c>
      <c r="G280" s="1">
        <v>60</v>
      </c>
      <c r="H280" s="10" t="s">
        <v>2121</v>
      </c>
      <c r="I280" s="1">
        <v>6000</v>
      </c>
      <c r="J280" s="1">
        <v>5</v>
      </c>
      <c r="K280" s="1">
        <v>0</v>
      </c>
      <c r="L280" s="1">
        <v>0</v>
      </c>
      <c r="M280" s="1" t="s">
        <v>1980</v>
      </c>
      <c r="N280" s="1" t="s">
        <v>698</v>
      </c>
      <c r="O280" s="1">
        <v>0</v>
      </c>
      <c r="P280" s="1" t="s">
        <v>2057</v>
      </c>
      <c r="Q280" s="7" t="s">
        <v>2301</v>
      </c>
      <c r="R280" s="1">
        <v>0</v>
      </c>
    </row>
    <row r="281" spans="1:18" ht="14.25" thickBot="1">
      <c r="A281" s="1" t="s">
        <v>310</v>
      </c>
      <c r="B281" s="2">
        <v>0</v>
      </c>
      <c r="C281" s="1" t="s">
        <v>2494</v>
      </c>
      <c r="D281" s="1" t="s">
        <v>12</v>
      </c>
      <c r="E281" s="1">
        <v>5</v>
      </c>
      <c r="F281" s="1">
        <v>1</v>
      </c>
      <c r="G281" s="1">
        <v>60</v>
      </c>
      <c r="H281" s="10" t="s">
        <v>2121</v>
      </c>
      <c r="I281" s="1">
        <v>6300</v>
      </c>
      <c r="J281" s="1">
        <v>5</v>
      </c>
      <c r="K281" s="1">
        <v>0</v>
      </c>
      <c r="L281" s="1">
        <v>0</v>
      </c>
      <c r="M281" s="1" t="s">
        <v>1981</v>
      </c>
      <c r="N281" s="1" t="s">
        <v>698</v>
      </c>
      <c r="O281" s="1">
        <v>0</v>
      </c>
      <c r="P281" s="1" t="s">
        <v>2057</v>
      </c>
      <c r="Q281" s="7" t="s">
        <v>2034</v>
      </c>
      <c r="R281" s="1">
        <v>0</v>
      </c>
    </row>
    <row r="282" spans="1:18" ht="14.25" thickBot="1">
      <c r="A282" s="1" t="s">
        <v>311</v>
      </c>
      <c r="B282" s="3">
        <v>1</v>
      </c>
      <c r="C282" s="9" t="s">
        <v>2636</v>
      </c>
      <c r="D282" s="1" t="s">
        <v>13</v>
      </c>
      <c r="E282" s="1">
        <v>6</v>
      </c>
      <c r="F282" s="1">
        <v>1</v>
      </c>
      <c r="G282" s="1">
        <v>60</v>
      </c>
      <c r="H282" s="10" t="s">
        <v>2121</v>
      </c>
      <c r="I282" s="1">
        <v>6000</v>
      </c>
      <c r="J282" s="1">
        <v>5</v>
      </c>
      <c r="K282" s="1">
        <v>0</v>
      </c>
      <c r="L282" s="1">
        <v>0</v>
      </c>
      <c r="M282" s="1" t="s">
        <v>1984</v>
      </c>
      <c r="N282" s="1" t="s">
        <v>698</v>
      </c>
      <c r="O282" s="1">
        <v>0</v>
      </c>
      <c r="P282" s="1" t="s">
        <v>2057</v>
      </c>
      <c r="Q282" s="7" t="s">
        <v>2302</v>
      </c>
      <c r="R282" s="1">
        <v>0</v>
      </c>
    </row>
    <row r="283" spans="1:18" ht="14.25" thickBot="1">
      <c r="A283" s="1" t="s">
        <v>312</v>
      </c>
      <c r="B283" s="2">
        <v>0</v>
      </c>
      <c r="C283" s="9" t="s">
        <v>2094</v>
      </c>
      <c r="D283" s="1" t="s">
        <v>13</v>
      </c>
      <c r="E283" s="1">
        <v>6</v>
      </c>
      <c r="F283" s="1">
        <v>1</v>
      </c>
      <c r="G283" s="1">
        <v>60</v>
      </c>
      <c r="H283" s="10" t="s">
        <v>2121</v>
      </c>
      <c r="I283" s="1">
        <v>6300</v>
      </c>
      <c r="J283" s="1">
        <v>5</v>
      </c>
      <c r="K283" s="1">
        <v>0</v>
      </c>
      <c r="L283" s="1">
        <v>0</v>
      </c>
      <c r="M283" s="1" t="s">
        <v>1985</v>
      </c>
      <c r="N283" s="1" t="s">
        <v>698</v>
      </c>
      <c r="O283" s="1">
        <v>0</v>
      </c>
      <c r="P283" s="1" t="s">
        <v>2057</v>
      </c>
      <c r="Q283" s="7" t="s">
        <v>2035</v>
      </c>
      <c r="R283" s="1">
        <v>0</v>
      </c>
    </row>
    <row r="284" spans="1:18" ht="14.25" thickBot="1">
      <c r="A284" s="1" t="s">
        <v>313</v>
      </c>
      <c r="B284" s="3">
        <v>1</v>
      </c>
      <c r="C284" s="9" t="s">
        <v>2637</v>
      </c>
      <c r="D284" s="1" t="s">
        <v>12</v>
      </c>
      <c r="E284" s="1">
        <v>5</v>
      </c>
      <c r="F284" s="1">
        <v>1</v>
      </c>
      <c r="G284" s="1">
        <v>60</v>
      </c>
      <c r="H284" s="10" t="s">
        <v>2122</v>
      </c>
      <c r="I284" s="1">
        <v>6000</v>
      </c>
      <c r="J284" s="1">
        <v>5</v>
      </c>
      <c r="K284" s="1">
        <v>0</v>
      </c>
      <c r="L284" s="1">
        <v>0</v>
      </c>
      <c r="M284" s="1" t="s">
        <v>1980</v>
      </c>
      <c r="N284" s="1" t="s">
        <v>698</v>
      </c>
      <c r="O284" s="1">
        <v>0</v>
      </c>
      <c r="P284" s="1" t="s">
        <v>2057</v>
      </c>
      <c r="Q284" s="7" t="s">
        <v>2303</v>
      </c>
      <c r="R284" s="1">
        <v>0</v>
      </c>
    </row>
    <row r="285" spans="1:18" ht="14.25" thickBot="1">
      <c r="A285" s="1" t="s">
        <v>314</v>
      </c>
      <c r="B285" s="2">
        <v>0</v>
      </c>
      <c r="C285" s="9" t="s">
        <v>2638</v>
      </c>
      <c r="D285" s="1" t="s">
        <v>12</v>
      </c>
      <c r="E285" s="1">
        <v>5</v>
      </c>
      <c r="F285" s="1">
        <v>1</v>
      </c>
      <c r="G285" s="1">
        <v>60</v>
      </c>
      <c r="H285" s="10" t="s">
        <v>2122</v>
      </c>
      <c r="I285" s="1">
        <v>6300</v>
      </c>
      <c r="J285" s="1">
        <v>5</v>
      </c>
      <c r="K285" s="1">
        <v>0</v>
      </c>
      <c r="L285" s="1">
        <v>0</v>
      </c>
      <c r="M285" s="1" t="s">
        <v>1981</v>
      </c>
      <c r="N285" s="1" t="s">
        <v>698</v>
      </c>
      <c r="O285" s="1">
        <v>0</v>
      </c>
      <c r="P285" s="1" t="s">
        <v>2057</v>
      </c>
      <c r="Q285" s="7" t="s">
        <v>2036</v>
      </c>
      <c r="R285" s="1">
        <v>0</v>
      </c>
    </row>
    <row r="286" spans="1:18" ht="14.25" thickBot="1">
      <c r="A286" s="1" t="s">
        <v>315</v>
      </c>
      <c r="B286" s="3">
        <v>1</v>
      </c>
      <c r="C286" s="9" t="s">
        <v>2639</v>
      </c>
      <c r="D286" s="1" t="s">
        <v>13</v>
      </c>
      <c r="E286" s="1">
        <v>6</v>
      </c>
      <c r="F286" s="1">
        <v>1</v>
      </c>
      <c r="G286" s="1">
        <v>60</v>
      </c>
      <c r="H286" s="10" t="s">
        <v>2122</v>
      </c>
      <c r="I286" s="1">
        <v>6000</v>
      </c>
      <c r="J286" s="1">
        <v>5</v>
      </c>
      <c r="K286" s="1">
        <v>0</v>
      </c>
      <c r="L286" s="1">
        <v>0</v>
      </c>
      <c r="M286" s="1" t="s">
        <v>1986</v>
      </c>
      <c r="N286" s="1" t="s">
        <v>698</v>
      </c>
      <c r="O286" s="1">
        <v>0</v>
      </c>
      <c r="P286" s="1" t="s">
        <v>2057</v>
      </c>
      <c r="Q286" s="7" t="s">
        <v>2304</v>
      </c>
      <c r="R286" s="1">
        <v>0</v>
      </c>
    </row>
    <row r="287" spans="1:18" ht="14.25" thickBot="1">
      <c r="A287" s="1" t="s">
        <v>316</v>
      </c>
      <c r="B287" s="2">
        <v>0</v>
      </c>
      <c r="C287" s="9" t="s">
        <v>2095</v>
      </c>
      <c r="D287" s="1" t="s">
        <v>13</v>
      </c>
      <c r="E287" s="1">
        <v>6</v>
      </c>
      <c r="F287" s="1">
        <v>1</v>
      </c>
      <c r="G287" s="1">
        <v>60</v>
      </c>
      <c r="H287" s="10" t="s">
        <v>2122</v>
      </c>
      <c r="I287" s="1">
        <v>6300</v>
      </c>
      <c r="J287" s="1">
        <v>5</v>
      </c>
      <c r="K287" s="1">
        <v>0</v>
      </c>
      <c r="L287" s="1">
        <v>0</v>
      </c>
      <c r="M287" s="1" t="s">
        <v>1987</v>
      </c>
      <c r="N287" s="1" t="s">
        <v>698</v>
      </c>
      <c r="O287" s="1">
        <v>0</v>
      </c>
      <c r="P287" s="1" t="s">
        <v>2057</v>
      </c>
      <c r="Q287" s="7" t="s">
        <v>2037</v>
      </c>
      <c r="R287" s="1">
        <v>0</v>
      </c>
    </row>
    <row r="288" spans="1:18" ht="14.25" thickBot="1">
      <c r="A288" s="1" t="s">
        <v>317</v>
      </c>
      <c r="B288" s="3">
        <v>1</v>
      </c>
      <c r="C288" s="1" t="s">
        <v>2640</v>
      </c>
      <c r="D288" s="1" t="s">
        <v>11</v>
      </c>
      <c r="E288" s="1">
        <v>4</v>
      </c>
      <c r="F288" s="1">
        <v>1</v>
      </c>
      <c r="G288" s="1">
        <v>60</v>
      </c>
      <c r="H288" s="10">
        <v>0</v>
      </c>
      <c r="I288" s="1">
        <v>6000</v>
      </c>
      <c r="J288" s="1">
        <v>5</v>
      </c>
      <c r="K288" s="1">
        <v>0</v>
      </c>
      <c r="L288" s="1">
        <v>0</v>
      </c>
      <c r="M288" s="1" t="s">
        <v>1988</v>
      </c>
      <c r="N288" s="1" t="s">
        <v>698</v>
      </c>
      <c r="O288" s="1">
        <v>0</v>
      </c>
      <c r="P288" s="1" t="s">
        <v>2057</v>
      </c>
      <c r="Q288" s="7" t="s">
        <v>2305</v>
      </c>
      <c r="R288" s="1">
        <v>0</v>
      </c>
    </row>
    <row r="289" spans="1:18" ht="14.25" thickBot="1">
      <c r="A289" s="1" t="s">
        <v>318</v>
      </c>
      <c r="B289" s="2">
        <v>0</v>
      </c>
      <c r="C289" s="1" t="s">
        <v>2641</v>
      </c>
      <c r="D289" s="1" t="s">
        <v>11</v>
      </c>
      <c r="E289" s="1">
        <v>4</v>
      </c>
      <c r="F289" s="1">
        <v>1</v>
      </c>
      <c r="G289" s="1">
        <v>60</v>
      </c>
      <c r="H289" s="10">
        <v>0</v>
      </c>
      <c r="I289" s="1">
        <v>6300</v>
      </c>
      <c r="J289" s="1">
        <v>5</v>
      </c>
      <c r="K289" s="1">
        <v>0</v>
      </c>
      <c r="L289" s="1">
        <v>0</v>
      </c>
      <c r="M289" s="1" t="s">
        <v>1989</v>
      </c>
      <c r="N289" s="1" t="s">
        <v>698</v>
      </c>
      <c r="O289" s="1">
        <v>0</v>
      </c>
      <c r="P289" s="1" t="s">
        <v>2057</v>
      </c>
      <c r="Q289" s="7" t="s">
        <v>2038</v>
      </c>
      <c r="R289" s="1">
        <v>0</v>
      </c>
    </row>
    <row r="290" spans="1:18" ht="14.25" thickBot="1">
      <c r="A290" s="1" t="s">
        <v>319</v>
      </c>
      <c r="B290" s="3">
        <v>1</v>
      </c>
      <c r="C290" s="1" t="s">
        <v>2642</v>
      </c>
      <c r="D290" s="1" t="s">
        <v>14</v>
      </c>
      <c r="E290" s="1">
        <v>7</v>
      </c>
      <c r="F290" s="1">
        <v>1</v>
      </c>
      <c r="G290" s="1">
        <v>60</v>
      </c>
      <c r="H290" s="10">
        <v>0</v>
      </c>
      <c r="I290" s="1">
        <v>6000</v>
      </c>
      <c r="J290" s="1">
        <v>5</v>
      </c>
      <c r="K290" s="1">
        <v>0</v>
      </c>
      <c r="L290" s="1">
        <v>0</v>
      </c>
      <c r="M290" s="1" t="s">
        <v>1990</v>
      </c>
      <c r="N290" s="1" t="s">
        <v>698</v>
      </c>
      <c r="O290" s="1">
        <v>0</v>
      </c>
      <c r="P290" s="1" t="s">
        <v>2057</v>
      </c>
      <c r="Q290" s="7" t="s">
        <v>2306</v>
      </c>
      <c r="R290" s="1">
        <v>0</v>
      </c>
    </row>
    <row r="291" spans="1:18" ht="14.25" thickBot="1">
      <c r="A291" s="1" t="s">
        <v>320</v>
      </c>
      <c r="B291" s="3">
        <v>1</v>
      </c>
      <c r="C291" s="1" t="s">
        <v>2643</v>
      </c>
      <c r="D291" s="1" t="s">
        <v>14</v>
      </c>
      <c r="E291" s="1">
        <v>7</v>
      </c>
      <c r="F291" s="1">
        <v>1</v>
      </c>
      <c r="G291" s="1">
        <v>60</v>
      </c>
      <c r="H291" s="10">
        <v>0</v>
      </c>
      <c r="I291" s="1">
        <v>6300</v>
      </c>
      <c r="J291" s="1">
        <v>5</v>
      </c>
      <c r="K291" s="1">
        <v>0</v>
      </c>
      <c r="L291" s="1">
        <v>0</v>
      </c>
      <c r="M291" s="1" t="s">
        <v>1991</v>
      </c>
      <c r="N291" s="1" t="s">
        <v>698</v>
      </c>
      <c r="O291" s="1">
        <v>0</v>
      </c>
      <c r="P291" s="1" t="s">
        <v>2057</v>
      </c>
      <c r="Q291" s="7" t="s">
        <v>2307</v>
      </c>
      <c r="R291" s="1">
        <v>0</v>
      </c>
    </row>
    <row r="292" spans="1:18" ht="14.25" thickBot="1">
      <c r="A292" s="1" t="s">
        <v>321</v>
      </c>
      <c r="B292" s="3">
        <v>1</v>
      </c>
      <c r="C292" s="1" t="s">
        <v>2066</v>
      </c>
      <c r="D292" s="1" t="s">
        <v>8</v>
      </c>
      <c r="E292" s="1">
        <v>1</v>
      </c>
      <c r="F292" s="1">
        <v>1</v>
      </c>
      <c r="G292" s="1">
        <v>65</v>
      </c>
      <c r="H292" s="10">
        <v>0</v>
      </c>
      <c r="I292" s="1">
        <v>6500</v>
      </c>
      <c r="J292" s="1">
        <v>5</v>
      </c>
      <c r="K292" s="1">
        <v>0</v>
      </c>
      <c r="L292" s="1">
        <v>0</v>
      </c>
      <c r="M292" s="1" t="s">
        <v>1992</v>
      </c>
      <c r="N292" s="1" t="s">
        <v>698</v>
      </c>
      <c r="O292" s="1">
        <v>0</v>
      </c>
      <c r="P292" s="1" t="s">
        <v>2058</v>
      </c>
      <c r="Q292" s="7" t="s">
        <v>2308</v>
      </c>
      <c r="R292" s="1">
        <v>0</v>
      </c>
    </row>
    <row r="293" spans="1:18" ht="14.25" thickBot="1">
      <c r="A293" s="1" t="s">
        <v>322</v>
      </c>
      <c r="B293" s="3">
        <v>1</v>
      </c>
      <c r="C293" s="1" t="s">
        <v>2644</v>
      </c>
      <c r="D293" s="1" t="s">
        <v>9</v>
      </c>
      <c r="E293" s="1">
        <v>2</v>
      </c>
      <c r="F293" s="1">
        <v>1</v>
      </c>
      <c r="G293" s="1">
        <v>65</v>
      </c>
      <c r="H293" s="10">
        <v>0</v>
      </c>
      <c r="I293" s="1">
        <v>6500</v>
      </c>
      <c r="J293" s="1">
        <v>5</v>
      </c>
      <c r="K293" s="1">
        <v>0</v>
      </c>
      <c r="L293" s="1">
        <v>0</v>
      </c>
      <c r="M293" s="1" t="s">
        <v>1993</v>
      </c>
      <c r="N293" s="1" t="s">
        <v>698</v>
      </c>
      <c r="O293" s="1">
        <v>0</v>
      </c>
      <c r="P293" s="1" t="s">
        <v>2058</v>
      </c>
      <c r="Q293" s="7" t="s">
        <v>2309</v>
      </c>
      <c r="R293" s="1">
        <v>0</v>
      </c>
    </row>
    <row r="294" spans="1:18" ht="14.25" thickBot="1">
      <c r="A294" s="1" t="s">
        <v>323</v>
      </c>
      <c r="B294" s="3">
        <v>1</v>
      </c>
      <c r="C294" s="1" t="s">
        <v>2645</v>
      </c>
      <c r="D294" s="1" t="s">
        <v>10</v>
      </c>
      <c r="E294" s="1">
        <v>3</v>
      </c>
      <c r="F294" s="1">
        <v>1</v>
      </c>
      <c r="G294" s="1">
        <v>65</v>
      </c>
      <c r="H294" s="10">
        <v>0</v>
      </c>
      <c r="I294" s="1">
        <v>6500</v>
      </c>
      <c r="J294" s="1">
        <v>5</v>
      </c>
      <c r="K294" s="1">
        <v>0</v>
      </c>
      <c r="L294" s="1">
        <v>0</v>
      </c>
      <c r="M294" s="1" t="s">
        <v>1994</v>
      </c>
      <c r="N294" s="1" t="s">
        <v>698</v>
      </c>
      <c r="O294" s="1">
        <v>0</v>
      </c>
      <c r="P294" s="1" t="s">
        <v>2058</v>
      </c>
      <c r="Q294" s="7" t="s">
        <v>2310</v>
      </c>
      <c r="R294" s="1">
        <v>0</v>
      </c>
    </row>
    <row r="295" spans="1:18" ht="14.25" thickBot="1">
      <c r="A295" s="1" t="s">
        <v>324</v>
      </c>
      <c r="B295" s="3">
        <v>1</v>
      </c>
      <c r="C295" s="1" t="s">
        <v>2646</v>
      </c>
      <c r="D295" s="1" t="s">
        <v>15</v>
      </c>
      <c r="E295" s="1">
        <v>8</v>
      </c>
      <c r="F295" s="1">
        <v>1</v>
      </c>
      <c r="G295" s="1">
        <v>65</v>
      </c>
      <c r="H295" s="10">
        <v>0</v>
      </c>
      <c r="I295" s="1">
        <v>6500</v>
      </c>
      <c r="J295" s="1">
        <v>5</v>
      </c>
      <c r="K295" s="1">
        <v>0</v>
      </c>
      <c r="L295" s="1">
        <v>0</v>
      </c>
      <c r="M295" s="1" t="s">
        <v>1995</v>
      </c>
      <c r="N295" s="1" t="s">
        <v>698</v>
      </c>
      <c r="O295" s="1">
        <v>0</v>
      </c>
      <c r="P295" s="1" t="s">
        <v>2058</v>
      </c>
      <c r="Q295" s="7" t="s">
        <v>2311</v>
      </c>
      <c r="R295" s="1">
        <v>0</v>
      </c>
    </row>
    <row r="296" spans="1:18" ht="14.25" thickBot="1">
      <c r="A296" s="1" t="s">
        <v>325</v>
      </c>
      <c r="B296" s="3">
        <v>1</v>
      </c>
      <c r="C296" s="1" t="s">
        <v>2647</v>
      </c>
      <c r="D296" s="1" t="s">
        <v>16</v>
      </c>
      <c r="E296" s="1">
        <v>9</v>
      </c>
      <c r="F296" s="1">
        <v>1</v>
      </c>
      <c r="G296" s="1">
        <v>65</v>
      </c>
      <c r="H296" s="10">
        <v>0</v>
      </c>
      <c r="I296" s="1">
        <v>6500</v>
      </c>
      <c r="J296" s="1">
        <v>5</v>
      </c>
      <c r="K296" s="1">
        <v>0</v>
      </c>
      <c r="L296" s="1">
        <v>0</v>
      </c>
      <c r="M296" s="1" t="s">
        <v>1996</v>
      </c>
      <c r="N296" s="1" t="s">
        <v>698</v>
      </c>
      <c r="O296" s="1">
        <v>0</v>
      </c>
      <c r="P296" s="1" t="s">
        <v>2058</v>
      </c>
      <c r="Q296" s="7" t="s">
        <v>2312</v>
      </c>
      <c r="R296" s="1">
        <v>0</v>
      </c>
    </row>
    <row r="297" spans="1:18" ht="14.25" thickBot="1">
      <c r="A297" s="1" t="s">
        <v>326</v>
      </c>
      <c r="B297" s="3">
        <v>1</v>
      </c>
      <c r="C297" s="1" t="s">
        <v>2648</v>
      </c>
      <c r="D297" s="1" t="s">
        <v>17</v>
      </c>
      <c r="E297" s="1">
        <v>10</v>
      </c>
      <c r="F297" s="1">
        <v>1</v>
      </c>
      <c r="G297" s="1">
        <v>65</v>
      </c>
      <c r="H297" s="10">
        <v>0</v>
      </c>
      <c r="I297" s="1">
        <v>6500</v>
      </c>
      <c r="J297" s="1">
        <v>5</v>
      </c>
      <c r="K297" s="1">
        <v>0</v>
      </c>
      <c r="L297" s="1">
        <v>0</v>
      </c>
      <c r="M297" s="1" t="s">
        <v>1997</v>
      </c>
      <c r="N297" s="1" t="s">
        <v>698</v>
      </c>
      <c r="O297" s="1">
        <v>0</v>
      </c>
      <c r="P297" s="1" t="s">
        <v>2058</v>
      </c>
      <c r="Q297" s="7" t="s">
        <v>2313</v>
      </c>
      <c r="R297" s="1">
        <v>0</v>
      </c>
    </row>
    <row r="298" spans="1:18" ht="14.25" thickBot="1">
      <c r="A298" s="1" t="s">
        <v>327</v>
      </c>
      <c r="B298" s="3">
        <v>1</v>
      </c>
      <c r="C298" s="9" t="s">
        <v>2649</v>
      </c>
      <c r="D298" s="1" t="s">
        <v>12</v>
      </c>
      <c r="E298" s="1">
        <v>5</v>
      </c>
      <c r="F298" s="1">
        <v>1</v>
      </c>
      <c r="G298" s="1">
        <v>65</v>
      </c>
      <c r="H298" s="10" t="s">
        <v>2120</v>
      </c>
      <c r="I298" s="1">
        <v>6500</v>
      </c>
      <c r="J298" s="1">
        <v>5</v>
      </c>
      <c r="K298" s="1">
        <v>0</v>
      </c>
      <c r="L298" s="1">
        <v>0</v>
      </c>
      <c r="M298" s="1" t="s">
        <v>2024</v>
      </c>
      <c r="N298" s="1" t="s">
        <v>698</v>
      </c>
      <c r="O298" s="1">
        <v>0</v>
      </c>
      <c r="P298" s="1" t="s">
        <v>2058</v>
      </c>
      <c r="Q298" s="7" t="s">
        <v>2314</v>
      </c>
      <c r="R298" s="1">
        <v>0</v>
      </c>
    </row>
    <row r="299" spans="1:18" ht="14.25" thickBot="1">
      <c r="A299" s="1" t="s">
        <v>328</v>
      </c>
      <c r="B299" s="2">
        <v>0</v>
      </c>
      <c r="C299" s="9" t="s">
        <v>2650</v>
      </c>
      <c r="D299" s="1" t="s">
        <v>12</v>
      </c>
      <c r="E299" s="1">
        <v>5</v>
      </c>
      <c r="F299" s="1">
        <v>1</v>
      </c>
      <c r="G299" s="1">
        <v>65</v>
      </c>
      <c r="H299" s="10" t="s">
        <v>2120</v>
      </c>
      <c r="I299" s="1">
        <v>6800</v>
      </c>
      <c r="J299" s="1">
        <v>5</v>
      </c>
      <c r="K299" s="1">
        <v>0</v>
      </c>
      <c r="L299" s="1">
        <v>0</v>
      </c>
      <c r="M299" s="1" t="s">
        <v>1998</v>
      </c>
      <c r="N299" s="1" t="s">
        <v>698</v>
      </c>
      <c r="O299" s="1">
        <v>0</v>
      </c>
      <c r="P299" s="1" t="s">
        <v>2058</v>
      </c>
      <c r="Q299" s="7" t="s">
        <v>2032</v>
      </c>
      <c r="R299" s="1">
        <v>0</v>
      </c>
    </row>
    <row r="300" spans="1:18" ht="14.25" thickBot="1">
      <c r="A300" s="1" t="s">
        <v>329</v>
      </c>
      <c r="B300" s="3">
        <v>1</v>
      </c>
      <c r="C300" s="9" t="s">
        <v>2651</v>
      </c>
      <c r="D300" s="1" t="s">
        <v>13</v>
      </c>
      <c r="E300" s="1">
        <v>6</v>
      </c>
      <c r="F300" s="1">
        <v>1</v>
      </c>
      <c r="G300" s="1">
        <v>65</v>
      </c>
      <c r="H300" s="10" t="s">
        <v>2120</v>
      </c>
      <c r="I300" s="1">
        <v>6500</v>
      </c>
      <c r="J300" s="1">
        <v>5</v>
      </c>
      <c r="K300" s="1">
        <v>0</v>
      </c>
      <c r="L300" s="1">
        <v>0</v>
      </c>
      <c r="M300" s="1" t="s">
        <v>1999</v>
      </c>
      <c r="N300" s="1" t="s">
        <v>698</v>
      </c>
      <c r="O300" s="1">
        <v>0</v>
      </c>
      <c r="P300" s="1" t="s">
        <v>2058</v>
      </c>
      <c r="Q300" s="7" t="s">
        <v>2315</v>
      </c>
      <c r="R300" s="1">
        <v>0</v>
      </c>
    </row>
    <row r="301" spans="1:18" ht="14.25" thickBot="1">
      <c r="A301" s="1" t="s">
        <v>330</v>
      </c>
      <c r="B301" s="2">
        <v>0</v>
      </c>
      <c r="C301" s="9" t="s">
        <v>2061</v>
      </c>
      <c r="D301" s="1" t="s">
        <v>13</v>
      </c>
      <c r="E301" s="1">
        <v>6</v>
      </c>
      <c r="F301" s="1">
        <v>1</v>
      </c>
      <c r="G301" s="1">
        <v>65</v>
      </c>
      <c r="H301" s="10" t="s">
        <v>2120</v>
      </c>
      <c r="I301" s="1">
        <v>6800</v>
      </c>
      <c r="J301" s="1">
        <v>5</v>
      </c>
      <c r="K301" s="1">
        <v>0</v>
      </c>
      <c r="L301" s="1">
        <v>0</v>
      </c>
      <c r="M301" s="1" t="s">
        <v>1999</v>
      </c>
      <c r="N301" s="1" t="s">
        <v>698</v>
      </c>
      <c r="O301" s="1">
        <v>0</v>
      </c>
      <c r="P301" s="1" t="s">
        <v>2058</v>
      </c>
      <c r="Q301" s="7" t="s">
        <v>2033</v>
      </c>
      <c r="R301" s="1">
        <v>0</v>
      </c>
    </row>
    <row r="302" spans="1:18" ht="14.25" thickBot="1">
      <c r="A302" s="1" t="s">
        <v>331</v>
      </c>
      <c r="B302" s="3">
        <v>1</v>
      </c>
      <c r="C302" s="1" t="s">
        <v>2652</v>
      </c>
      <c r="D302" s="1" t="s">
        <v>12</v>
      </c>
      <c r="E302" s="1">
        <v>5</v>
      </c>
      <c r="F302" s="1">
        <v>1</v>
      </c>
      <c r="G302" s="1">
        <v>65</v>
      </c>
      <c r="H302" s="10" t="s">
        <v>2121</v>
      </c>
      <c r="I302" s="1">
        <v>6500</v>
      </c>
      <c r="J302" s="1">
        <v>5</v>
      </c>
      <c r="K302" s="1">
        <v>0</v>
      </c>
      <c r="L302" s="1">
        <v>0</v>
      </c>
      <c r="M302" s="1" t="s">
        <v>2024</v>
      </c>
      <c r="N302" s="1" t="s">
        <v>698</v>
      </c>
      <c r="O302" s="1">
        <v>0</v>
      </c>
      <c r="P302" s="1" t="s">
        <v>2058</v>
      </c>
      <c r="Q302" s="7" t="s">
        <v>2316</v>
      </c>
      <c r="R302" s="1">
        <v>0</v>
      </c>
    </row>
    <row r="303" spans="1:18" ht="14.25" thickBot="1">
      <c r="A303" s="1" t="s">
        <v>332</v>
      </c>
      <c r="B303" s="2">
        <v>0</v>
      </c>
      <c r="C303" s="1" t="s">
        <v>2653</v>
      </c>
      <c r="D303" s="1" t="s">
        <v>12</v>
      </c>
      <c r="E303" s="1">
        <v>5</v>
      </c>
      <c r="F303" s="1">
        <v>1</v>
      </c>
      <c r="G303" s="1">
        <v>65</v>
      </c>
      <c r="H303" s="10" t="s">
        <v>2121</v>
      </c>
      <c r="I303" s="1">
        <v>6800</v>
      </c>
      <c r="J303" s="1">
        <v>5</v>
      </c>
      <c r="K303" s="1">
        <v>0</v>
      </c>
      <c r="L303" s="1">
        <v>0</v>
      </c>
      <c r="M303" s="1" t="s">
        <v>1998</v>
      </c>
      <c r="N303" s="1" t="s">
        <v>698</v>
      </c>
      <c r="O303" s="1">
        <v>0</v>
      </c>
      <c r="P303" s="1" t="s">
        <v>2058</v>
      </c>
      <c r="Q303" s="7" t="s">
        <v>2034</v>
      </c>
      <c r="R303" s="1">
        <v>0</v>
      </c>
    </row>
    <row r="304" spans="1:18" ht="14.25" thickBot="1">
      <c r="A304" s="1" t="s">
        <v>333</v>
      </c>
      <c r="B304" s="3">
        <v>1</v>
      </c>
      <c r="C304" s="9" t="s">
        <v>2654</v>
      </c>
      <c r="D304" s="1" t="s">
        <v>13</v>
      </c>
      <c r="E304" s="1">
        <v>6</v>
      </c>
      <c r="F304" s="1">
        <v>1</v>
      </c>
      <c r="G304" s="1">
        <v>65</v>
      </c>
      <c r="H304" s="10" t="s">
        <v>2121</v>
      </c>
      <c r="I304" s="1">
        <v>6500</v>
      </c>
      <c r="J304" s="1">
        <v>5</v>
      </c>
      <c r="K304" s="1">
        <v>0</v>
      </c>
      <c r="L304" s="1">
        <v>0</v>
      </c>
      <c r="M304" s="1" t="s">
        <v>2000</v>
      </c>
      <c r="N304" s="1" t="s">
        <v>698</v>
      </c>
      <c r="O304" s="1">
        <v>0</v>
      </c>
      <c r="P304" s="1" t="s">
        <v>2058</v>
      </c>
      <c r="Q304" s="7" t="s">
        <v>2317</v>
      </c>
      <c r="R304" s="1">
        <v>0</v>
      </c>
    </row>
    <row r="305" spans="1:18" ht="14.25" thickBot="1">
      <c r="A305" s="1" t="s">
        <v>334</v>
      </c>
      <c r="B305" s="2">
        <v>0</v>
      </c>
      <c r="C305" s="9" t="s">
        <v>2094</v>
      </c>
      <c r="D305" s="1" t="s">
        <v>13</v>
      </c>
      <c r="E305" s="1">
        <v>6</v>
      </c>
      <c r="F305" s="1">
        <v>1</v>
      </c>
      <c r="G305" s="1">
        <v>65</v>
      </c>
      <c r="H305" s="10" t="s">
        <v>2121</v>
      </c>
      <c r="I305" s="1">
        <v>6800</v>
      </c>
      <c r="J305" s="1">
        <v>5</v>
      </c>
      <c r="K305" s="1">
        <v>0</v>
      </c>
      <c r="L305" s="1">
        <v>0</v>
      </c>
      <c r="M305" s="1" t="s">
        <v>2000</v>
      </c>
      <c r="N305" s="1" t="s">
        <v>698</v>
      </c>
      <c r="O305" s="1">
        <v>0</v>
      </c>
      <c r="P305" s="1" t="s">
        <v>2058</v>
      </c>
      <c r="Q305" s="7" t="s">
        <v>2035</v>
      </c>
      <c r="R305" s="1">
        <v>0</v>
      </c>
    </row>
    <row r="306" spans="1:18" ht="14.25" thickBot="1">
      <c r="A306" s="1" t="s">
        <v>335</v>
      </c>
      <c r="B306" s="3">
        <v>1</v>
      </c>
      <c r="C306" s="9" t="s">
        <v>2655</v>
      </c>
      <c r="D306" s="1" t="s">
        <v>12</v>
      </c>
      <c r="E306" s="1">
        <v>5</v>
      </c>
      <c r="F306" s="1">
        <v>1</v>
      </c>
      <c r="G306" s="1">
        <v>65</v>
      </c>
      <c r="H306" s="10" t="s">
        <v>2122</v>
      </c>
      <c r="I306" s="1">
        <v>6500</v>
      </c>
      <c r="J306" s="1">
        <v>5</v>
      </c>
      <c r="K306" s="1">
        <v>0</v>
      </c>
      <c r="L306" s="1">
        <v>0</v>
      </c>
      <c r="M306" s="1" t="s">
        <v>2024</v>
      </c>
      <c r="N306" s="1" t="s">
        <v>698</v>
      </c>
      <c r="O306" s="1">
        <v>0</v>
      </c>
      <c r="P306" s="1" t="s">
        <v>2058</v>
      </c>
      <c r="Q306" s="7" t="s">
        <v>2318</v>
      </c>
      <c r="R306" s="1">
        <v>0</v>
      </c>
    </row>
    <row r="307" spans="1:18" ht="14.25" thickBot="1">
      <c r="A307" s="1" t="s">
        <v>336</v>
      </c>
      <c r="B307" s="2">
        <v>0</v>
      </c>
      <c r="C307" s="9" t="s">
        <v>2497</v>
      </c>
      <c r="D307" s="1" t="s">
        <v>12</v>
      </c>
      <c r="E307" s="1">
        <v>5</v>
      </c>
      <c r="F307" s="1">
        <v>1</v>
      </c>
      <c r="G307" s="1">
        <v>65</v>
      </c>
      <c r="H307" s="10" t="s">
        <v>2122</v>
      </c>
      <c r="I307" s="1">
        <v>6800</v>
      </c>
      <c r="J307" s="1">
        <v>5</v>
      </c>
      <c r="K307" s="1">
        <v>0</v>
      </c>
      <c r="L307" s="1">
        <v>0</v>
      </c>
      <c r="M307" s="1" t="s">
        <v>1998</v>
      </c>
      <c r="N307" s="1" t="s">
        <v>698</v>
      </c>
      <c r="O307" s="1">
        <v>0</v>
      </c>
      <c r="P307" s="1" t="s">
        <v>2058</v>
      </c>
      <c r="Q307" s="7" t="s">
        <v>2036</v>
      </c>
      <c r="R307" s="1">
        <v>0</v>
      </c>
    </row>
    <row r="308" spans="1:18" ht="14.25" thickBot="1">
      <c r="A308" s="1" t="s">
        <v>337</v>
      </c>
      <c r="B308" s="3">
        <v>1</v>
      </c>
      <c r="C308" s="9" t="s">
        <v>2656</v>
      </c>
      <c r="D308" s="1" t="s">
        <v>13</v>
      </c>
      <c r="E308" s="1">
        <v>6</v>
      </c>
      <c r="F308" s="1">
        <v>1</v>
      </c>
      <c r="G308" s="1">
        <v>65</v>
      </c>
      <c r="H308" s="10" t="s">
        <v>2122</v>
      </c>
      <c r="I308" s="1">
        <v>6500</v>
      </c>
      <c r="J308" s="1">
        <v>5</v>
      </c>
      <c r="K308" s="1">
        <v>0</v>
      </c>
      <c r="L308" s="1">
        <v>0</v>
      </c>
      <c r="M308" s="1" t="s">
        <v>2001</v>
      </c>
      <c r="N308" s="1" t="s">
        <v>698</v>
      </c>
      <c r="O308" s="1">
        <v>0</v>
      </c>
      <c r="P308" s="1" t="s">
        <v>2058</v>
      </c>
      <c r="Q308" s="7" t="s">
        <v>2319</v>
      </c>
      <c r="R308" s="1">
        <v>0</v>
      </c>
    </row>
    <row r="309" spans="1:18" ht="14.25" thickBot="1">
      <c r="A309" s="1" t="s">
        <v>338</v>
      </c>
      <c r="B309" s="2">
        <v>0</v>
      </c>
      <c r="C309" s="9" t="s">
        <v>2095</v>
      </c>
      <c r="D309" s="1" t="s">
        <v>13</v>
      </c>
      <c r="E309" s="1">
        <v>6</v>
      </c>
      <c r="F309" s="1">
        <v>1</v>
      </c>
      <c r="G309" s="1">
        <v>65</v>
      </c>
      <c r="H309" s="10" t="s">
        <v>2122</v>
      </c>
      <c r="I309" s="1">
        <v>6800</v>
      </c>
      <c r="J309" s="1">
        <v>5</v>
      </c>
      <c r="K309" s="1">
        <v>0</v>
      </c>
      <c r="L309" s="1">
        <v>0</v>
      </c>
      <c r="M309" s="1" t="s">
        <v>2002</v>
      </c>
      <c r="N309" s="1" t="s">
        <v>698</v>
      </c>
      <c r="O309" s="1">
        <v>0</v>
      </c>
      <c r="P309" s="1" t="s">
        <v>2058</v>
      </c>
      <c r="Q309" s="7" t="s">
        <v>2037</v>
      </c>
      <c r="R309" s="1">
        <v>0</v>
      </c>
    </row>
    <row r="310" spans="1:18" ht="14.25" thickBot="1">
      <c r="A310" s="1" t="s">
        <v>339</v>
      </c>
      <c r="B310" s="3">
        <v>1</v>
      </c>
      <c r="C310" s="1" t="s">
        <v>2657</v>
      </c>
      <c r="D310" s="1" t="s">
        <v>11</v>
      </c>
      <c r="E310" s="1">
        <v>4</v>
      </c>
      <c r="F310" s="1">
        <v>1</v>
      </c>
      <c r="G310" s="1">
        <v>65</v>
      </c>
      <c r="H310" s="10">
        <v>0</v>
      </c>
      <c r="I310" s="1">
        <v>6500</v>
      </c>
      <c r="J310" s="1">
        <v>5</v>
      </c>
      <c r="K310" s="1">
        <v>0</v>
      </c>
      <c r="L310" s="1">
        <v>0</v>
      </c>
      <c r="M310" s="1" t="s">
        <v>2003</v>
      </c>
      <c r="N310" s="1" t="s">
        <v>698</v>
      </c>
      <c r="O310" s="1">
        <v>0</v>
      </c>
      <c r="P310" s="1" t="s">
        <v>2058</v>
      </c>
      <c r="Q310" s="7" t="s">
        <v>2320</v>
      </c>
      <c r="R310" s="1">
        <v>0</v>
      </c>
    </row>
    <row r="311" spans="1:18" ht="14.25" thickBot="1">
      <c r="A311" s="1" t="s">
        <v>340</v>
      </c>
      <c r="B311" s="2">
        <v>0</v>
      </c>
      <c r="C311" s="1" t="s">
        <v>2499</v>
      </c>
      <c r="D311" s="1" t="s">
        <v>11</v>
      </c>
      <c r="E311" s="1">
        <v>4</v>
      </c>
      <c r="F311" s="1">
        <v>1</v>
      </c>
      <c r="G311" s="1">
        <v>65</v>
      </c>
      <c r="H311" s="10">
        <v>0</v>
      </c>
      <c r="I311" s="1">
        <v>6800</v>
      </c>
      <c r="J311" s="1">
        <v>5</v>
      </c>
      <c r="K311" s="1">
        <v>0</v>
      </c>
      <c r="L311" s="1">
        <v>0</v>
      </c>
      <c r="M311" s="1" t="s">
        <v>2003</v>
      </c>
      <c r="N311" s="1" t="s">
        <v>698</v>
      </c>
      <c r="O311" s="1">
        <v>0</v>
      </c>
      <c r="P311" s="1" t="s">
        <v>2058</v>
      </c>
      <c r="Q311" s="7" t="s">
        <v>2038</v>
      </c>
      <c r="R311" s="1">
        <v>0</v>
      </c>
    </row>
    <row r="312" spans="1:18" ht="14.25" thickBot="1">
      <c r="A312" s="1" t="s">
        <v>341</v>
      </c>
      <c r="B312" s="3">
        <v>1</v>
      </c>
      <c r="C312" s="1" t="s">
        <v>2658</v>
      </c>
      <c r="D312" s="1" t="s">
        <v>14</v>
      </c>
      <c r="E312" s="1">
        <v>7</v>
      </c>
      <c r="F312" s="1">
        <v>1</v>
      </c>
      <c r="G312" s="1">
        <v>65</v>
      </c>
      <c r="H312" s="10">
        <v>0</v>
      </c>
      <c r="I312" s="1">
        <v>6500</v>
      </c>
      <c r="J312" s="1">
        <v>5</v>
      </c>
      <c r="K312" s="1">
        <v>0</v>
      </c>
      <c r="L312" s="1">
        <v>0</v>
      </c>
      <c r="M312" s="1" t="s">
        <v>2004</v>
      </c>
      <c r="N312" s="1" t="s">
        <v>698</v>
      </c>
      <c r="O312" s="1">
        <v>0</v>
      </c>
      <c r="P312" s="1" t="s">
        <v>2058</v>
      </c>
      <c r="Q312" s="7" t="s">
        <v>2321</v>
      </c>
      <c r="R312" s="1">
        <v>0</v>
      </c>
    </row>
    <row r="313" spans="1:18" ht="14.25" thickBot="1">
      <c r="A313" s="1" t="s">
        <v>342</v>
      </c>
      <c r="B313" s="2">
        <v>0</v>
      </c>
      <c r="C313" s="1" t="s">
        <v>2501</v>
      </c>
      <c r="D313" s="1" t="s">
        <v>14</v>
      </c>
      <c r="E313" s="1">
        <v>7</v>
      </c>
      <c r="F313" s="1">
        <v>1</v>
      </c>
      <c r="G313" s="1">
        <v>65</v>
      </c>
      <c r="H313" s="10">
        <v>0</v>
      </c>
      <c r="I313" s="1">
        <v>6800</v>
      </c>
      <c r="J313" s="1">
        <v>5</v>
      </c>
      <c r="K313" s="1">
        <v>0</v>
      </c>
      <c r="L313" s="1">
        <v>0</v>
      </c>
      <c r="M313" s="1" t="s">
        <v>2004</v>
      </c>
      <c r="N313" s="1" t="s">
        <v>698</v>
      </c>
      <c r="O313" s="1">
        <v>0</v>
      </c>
      <c r="P313" s="1" t="s">
        <v>2058</v>
      </c>
      <c r="Q313" s="7" t="s">
        <v>2039</v>
      </c>
      <c r="R313" s="1">
        <v>0</v>
      </c>
    </row>
    <row r="314" spans="1:18" ht="14.25" thickBot="1">
      <c r="A314" s="1" t="s">
        <v>343</v>
      </c>
      <c r="B314" s="3">
        <v>1</v>
      </c>
      <c r="C314" s="1" t="s">
        <v>2659</v>
      </c>
      <c r="D314" s="1" t="s">
        <v>8</v>
      </c>
      <c r="E314" s="1">
        <v>1</v>
      </c>
      <c r="F314" s="1">
        <v>1</v>
      </c>
      <c r="G314" s="1">
        <v>70</v>
      </c>
      <c r="H314" s="10">
        <v>0</v>
      </c>
      <c r="I314" s="1">
        <v>7000</v>
      </c>
      <c r="J314" s="1">
        <v>5</v>
      </c>
      <c r="K314" s="1">
        <v>0</v>
      </c>
      <c r="L314" s="1">
        <v>0</v>
      </c>
      <c r="M314" s="1" t="s">
        <v>2477</v>
      </c>
      <c r="N314" s="1" t="s">
        <v>698</v>
      </c>
      <c r="O314" s="1">
        <v>0</v>
      </c>
      <c r="P314" s="1" t="s">
        <v>2059</v>
      </c>
      <c r="Q314" s="7" t="s">
        <v>2858</v>
      </c>
      <c r="R314" s="1">
        <v>0</v>
      </c>
    </row>
    <row r="315" spans="1:18" ht="14.25" thickBot="1">
      <c r="A315" s="1" t="s">
        <v>344</v>
      </c>
      <c r="B315" s="3">
        <v>1</v>
      </c>
      <c r="C315" s="1" t="s">
        <v>2660</v>
      </c>
      <c r="D315" s="1" t="s">
        <v>9</v>
      </c>
      <c r="E315" s="1">
        <v>2</v>
      </c>
      <c r="F315" s="1">
        <v>1</v>
      </c>
      <c r="G315" s="1">
        <v>70</v>
      </c>
      <c r="H315" s="10">
        <v>0</v>
      </c>
      <c r="I315" s="1">
        <v>7000</v>
      </c>
      <c r="J315" s="1">
        <v>5</v>
      </c>
      <c r="K315" s="1">
        <v>0</v>
      </c>
      <c r="L315" s="1">
        <v>0</v>
      </c>
      <c r="M315" s="1" t="s">
        <v>2478</v>
      </c>
      <c r="N315" s="1" t="s">
        <v>698</v>
      </c>
      <c r="O315" s="1">
        <v>0</v>
      </c>
      <c r="P315" s="1" t="s">
        <v>2059</v>
      </c>
      <c r="Q315" s="7" t="s">
        <v>2859</v>
      </c>
      <c r="R315" s="1">
        <v>0</v>
      </c>
    </row>
    <row r="316" spans="1:18" ht="14.25" thickBot="1">
      <c r="A316" s="1" t="s">
        <v>345</v>
      </c>
      <c r="B316" s="3">
        <v>1</v>
      </c>
      <c r="C316" s="1" t="s">
        <v>2661</v>
      </c>
      <c r="D316" s="1" t="s">
        <v>10</v>
      </c>
      <c r="E316" s="1">
        <v>3</v>
      </c>
      <c r="F316" s="1">
        <v>1</v>
      </c>
      <c r="G316" s="1">
        <v>70</v>
      </c>
      <c r="H316" s="10">
        <v>0</v>
      </c>
      <c r="I316" s="1">
        <v>7000</v>
      </c>
      <c r="J316" s="1">
        <v>5</v>
      </c>
      <c r="K316" s="1">
        <v>0</v>
      </c>
      <c r="L316" s="1">
        <v>0</v>
      </c>
      <c r="M316" s="1" t="s">
        <v>2479</v>
      </c>
      <c r="N316" s="1" t="s">
        <v>698</v>
      </c>
      <c r="O316" s="1">
        <v>0</v>
      </c>
      <c r="P316" s="1" t="s">
        <v>2059</v>
      </c>
      <c r="Q316" s="7" t="s">
        <v>2860</v>
      </c>
      <c r="R316" s="1">
        <v>0</v>
      </c>
    </row>
    <row r="317" spans="1:18" ht="14.25" thickBot="1">
      <c r="A317" s="1" t="s">
        <v>346</v>
      </c>
      <c r="B317" s="3">
        <v>1</v>
      </c>
      <c r="C317" s="1" t="s">
        <v>2662</v>
      </c>
      <c r="D317" s="1" t="s">
        <v>15</v>
      </c>
      <c r="E317" s="1">
        <v>8</v>
      </c>
      <c r="F317" s="1">
        <v>1</v>
      </c>
      <c r="G317" s="1">
        <v>70</v>
      </c>
      <c r="H317" s="10">
        <v>0</v>
      </c>
      <c r="I317" s="1">
        <v>7000</v>
      </c>
      <c r="J317" s="1">
        <v>5</v>
      </c>
      <c r="K317" s="1">
        <v>0</v>
      </c>
      <c r="L317" s="1">
        <v>0</v>
      </c>
      <c r="M317" s="1" t="s">
        <v>2480</v>
      </c>
      <c r="N317" s="1" t="s">
        <v>698</v>
      </c>
      <c r="O317" s="1">
        <v>0</v>
      </c>
      <c r="P317" s="1" t="s">
        <v>2059</v>
      </c>
      <c r="Q317" s="7" t="s">
        <v>2861</v>
      </c>
      <c r="R317" s="1">
        <v>0</v>
      </c>
    </row>
    <row r="318" spans="1:18" ht="14.25" thickBot="1">
      <c r="A318" s="1" t="s">
        <v>347</v>
      </c>
      <c r="B318" s="3">
        <v>1</v>
      </c>
      <c r="C318" s="1" t="s">
        <v>2663</v>
      </c>
      <c r="D318" s="1" t="s">
        <v>16</v>
      </c>
      <c r="E318" s="1">
        <v>9</v>
      </c>
      <c r="F318" s="1">
        <v>1</v>
      </c>
      <c r="G318" s="1">
        <v>70</v>
      </c>
      <c r="H318" s="10">
        <v>0</v>
      </c>
      <c r="I318" s="1">
        <v>7000</v>
      </c>
      <c r="J318" s="1">
        <v>5</v>
      </c>
      <c r="K318" s="1">
        <v>0</v>
      </c>
      <c r="L318" s="1">
        <v>0</v>
      </c>
      <c r="M318" s="1" t="s">
        <v>2481</v>
      </c>
      <c r="N318" s="1" t="s">
        <v>698</v>
      </c>
      <c r="O318" s="1">
        <v>0</v>
      </c>
      <c r="P318" s="1" t="s">
        <v>2059</v>
      </c>
      <c r="Q318" s="7" t="s">
        <v>2862</v>
      </c>
      <c r="R318" s="1">
        <v>0</v>
      </c>
    </row>
    <row r="319" spans="1:18" ht="14.25" thickBot="1">
      <c r="A319" s="1" t="s">
        <v>348</v>
      </c>
      <c r="B319" s="3">
        <v>1</v>
      </c>
      <c r="C319" s="1" t="s">
        <v>2664</v>
      </c>
      <c r="D319" s="1" t="s">
        <v>17</v>
      </c>
      <c r="E319" s="1">
        <v>10</v>
      </c>
      <c r="F319" s="1">
        <v>1</v>
      </c>
      <c r="G319" s="1">
        <v>70</v>
      </c>
      <c r="H319" s="10">
        <v>0</v>
      </c>
      <c r="I319" s="1">
        <v>7000</v>
      </c>
      <c r="J319" s="1">
        <v>5</v>
      </c>
      <c r="K319" s="1">
        <v>0</v>
      </c>
      <c r="L319" s="1">
        <v>0</v>
      </c>
      <c r="M319" s="1" t="s">
        <v>2482</v>
      </c>
      <c r="N319" s="1" t="s">
        <v>698</v>
      </c>
      <c r="O319" s="1">
        <v>0</v>
      </c>
      <c r="P319" s="1" t="s">
        <v>2059</v>
      </c>
      <c r="Q319" s="7" t="s">
        <v>2863</v>
      </c>
      <c r="R319" s="1">
        <v>0</v>
      </c>
    </row>
    <row r="320" spans="1:18" ht="14.25" thickBot="1">
      <c r="A320" s="1" t="s">
        <v>349</v>
      </c>
      <c r="B320" s="3">
        <v>1</v>
      </c>
      <c r="C320" s="9" t="s">
        <v>2650</v>
      </c>
      <c r="D320" s="1" t="s">
        <v>12</v>
      </c>
      <c r="E320" s="1">
        <v>5</v>
      </c>
      <c r="F320" s="1">
        <v>1</v>
      </c>
      <c r="G320" s="1">
        <v>70</v>
      </c>
      <c r="H320" s="10" t="s">
        <v>2120</v>
      </c>
      <c r="I320" s="1">
        <v>7000</v>
      </c>
      <c r="J320" s="1">
        <v>5</v>
      </c>
      <c r="K320" s="1">
        <v>0</v>
      </c>
      <c r="L320" s="1">
        <v>0</v>
      </c>
      <c r="M320" s="1" t="s">
        <v>2025</v>
      </c>
      <c r="N320" s="1" t="s">
        <v>698</v>
      </c>
      <c r="O320" s="1">
        <v>0</v>
      </c>
      <c r="P320" s="1" t="s">
        <v>2059</v>
      </c>
      <c r="Q320" s="7" t="s">
        <v>2322</v>
      </c>
      <c r="R320" s="1">
        <v>0</v>
      </c>
    </row>
    <row r="321" spans="1:18" ht="14.25" thickBot="1">
      <c r="A321" s="1" t="s">
        <v>350</v>
      </c>
      <c r="B321" s="2">
        <v>0</v>
      </c>
      <c r="C321" s="9" t="s">
        <v>2665</v>
      </c>
      <c r="D321" s="1" t="s">
        <v>12</v>
      </c>
      <c r="E321" s="1">
        <v>5</v>
      </c>
      <c r="F321" s="1">
        <v>1</v>
      </c>
      <c r="G321" s="1">
        <v>70</v>
      </c>
      <c r="H321" s="10" t="s">
        <v>2120</v>
      </c>
      <c r="I321" s="1">
        <v>7300</v>
      </c>
      <c r="J321" s="1">
        <v>5</v>
      </c>
      <c r="K321" s="1">
        <v>0</v>
      </c>
      <c r="L321" s="1">
        <v>0</v>
      </c>
      <c r="M321" s="1" t="s">
        <v>2025</v>
      </c>
      <c r="N321" s="1" t="s">
        <v>698</v>
      </c>
      <c r="O321" s="1">
        <v>0</v>
      </c>
      <c r="P321" s="1" t="s">
        <v>2059</v>
      </c>
      <c r="Q321" s="7" t="s">
        <v>2032</v>
      </c>
      <c r="R321" s="1">
        <v>0</v>
      </c>
    </row>
    <row r="322" spans="1:18" ht="14.25" thickBot="1">
      <c r="A322" s="1" t="s">
        <v>351</v>
      </c>
      <c r="B322" s="3">
        <v>1</v>
      </c>
      <c r="C322" s="9" t="s">
        <v>2666</v>
      </c>
      <c r="D322" s="1" t="s">
        <v>13</v>
      </c>
      <c r="E322" s="1">
        <v>6</v>
      </c>
      <c r="F322" s="1">
        <v>1</v>
      </c>
      <c r="G322" s="1">
        <v>70</v>
      </c>
      <c r="H322" s="10" t="s">
        <v>2120</v>
      </c>
      <c r="I322" s="1">
        <v>7000</v>
      </c>
      <c r="J322" s="1">
        <v>5</v>
      </c>
      <c r="K322" s="1">
        <v>0</v>
      </c>
      <c r="L322" s="1">
        <v>0</v>
      </c>
      <c r="M322" s="1" t="s">
        <v>2007</v>
      </c>
      <c r="N322" s="1" t="s">
        <v>698</v>
      </c>
      <c r="O322" s="1">
        <v>0</v>
      </c>
      <c r="P322" s="1" t="s">
        <v>2059</v>
      </c>
      <c r="Q322" s="7" t="s">
        <v>2323</v>
      </c>
      <c r="R322" s="1">
        <v>0</v>
      </c>
    </row>
    <row r="323" spans="1:18" ht="14.25" thickBot="1">
      <c r="A323" s="1" t="s">
        <v>352</v>
      </c>
      <c r="B323" s="2">
        <v>0</v>
      </c>
      <c r="C323" s="9" t="s">
        <v>2667</v>
      </c>
      <c r="D323" s="1" t="s">
        <v>13</v>
      </c>
      <c r="E323" s="1">
        <v>6</v>
      </c>
      <c r="F323" s="1">
        <v>1</v>
      </c>
      <c r="G323" s="1">
        <v>70</v>
      </c>
      <c r="H323" s="10" t="s">
        <v>2120</v>
      </c>
      <c r="I323" s="1">
        <v>7300</v>
      </c>
      <c r="J323" s="1">
        <v>5</v>
      </c>
      <c r="K323" s="1">
        <v>0</v>
      </c>
      <c r="L323" s="1">
        <v>0</v>
      </c>
      <c r="M323" s="1" t="s">
        <v>2007</v>
      </c>
      <c r="N323" s="1" t="s">
        <v>698</v>
      </c>
      <c r="O323" s="1">
        <v>0</v>
      </c>
      <c r="P323" s="1" t="s">
        <v>2059</v>
      </c>
      <c r="Q323" s="7" t="s">
        <v>2033</v>
      </c>
      <c r="R323" s="1">
        <v>0</v>
      </c>
    </row>
    <row r="324" spans="1:18" ht="14.25" thickBot="1">
      <c r="A324" s="1" t="s">
        <v>353</v>
      </c>
      <c r="B324" s="3">
        <v>1</v>
      </c>
      <c r="C324" s="1" t="s">
        <v>2653</v>
      </c>
      <c r="D324" s="1" t="s">
        <v>12</v>
      </c>
      <c r="E324" s="1">
        <v>5</v>
      </c>
      <c r="F324" s="1">
        <v>1</v>
      </c>
      <c r="G324" s="1">
        <v>70</v>
      </c>
      <c r="H324" s="10" t="s">
        <v>2121</v>
      </c>
      <c r="I324" s="1">
        <v>7000</v>
      </c>
      <c r="J324" s="1">
        <v>5</v>
      </c>
      <c r="K324" s="1">
        <v>0</v>
      </c>
      <c r="L324" s="1">
        <v>0</v>
      </c>
      <c r="M324" s="1" t="s">
        <v>2025</v>
      </c>
      <c r="N324" s="1" t="s">
        <v>698</v>
      </c>
      <c r="O324" s="1">
        <v>0</v>
      </c>
      <c r="P324" s="1" t="s">
        <v>2059</v>
      </c>
      <c r="Q324" s="7" t="s">
        <v>2324</v>
      </c>
      <c r="R324" s="1">
        <v>0</v>
      </c>
    </row>
    <row r="325" spans="1:18" ht="14.25" thickBot="1">
      <c r="A325" s="1" t="s">
        <v>354</v>
      </c>
      <c r="B325" s="2">
        <v>0</v>
      </c>
      <c r="C325" s="1" t="s">
        <v>2668</v>
      </c>
      <c r="D325" s="1" t="s">
        <v>12</v>
      </c>
      <c r="E325" s="1">
        <v>5</v>
      </c>
      <c r="F325" s="1">
        <v>1</v>
      </c>
      <c r="G325" s="1">
        <v>70</v>
      </c>
      <c r="H325" s="10" t="s">
        <v>2121</v>
      </c>
      <c r="I325" s="1">
        <v>7300</v>
      </c>
      <c r="J325" s="1">
        <v>5</v>
      </c>
      <c r="K325" s="1">
        <v>0</v>
      </c>
      <c r="L325" s="1">
        <v>0</v>
      </c>
      <c r="M325" s="1" t="s">
        <v>2025</v>
      </c>
      <c r="N325" s="1" t="s">
        <v>698</v>
      </c>
      <c r="O325" s="1">
        <v>0</v>
      </c>
      <c r="P325" s="1" t="s">
        <v>2059</v>
      </c>
      <c r="Q325" s="7" t="s">
        <v>2034</v>
      </c>
      <c r="R325" s="1">
        <v>0</v>
      </c>
    </row>
    <row r="326" spans="1:18" ht="14.25" thickBot="1">
      <c r="A326" s="1" t="s">
        <v>355</v>
      </c>
      <c r="B326" s="3">
        <v>1</v>
      </c>
      <c r="C326" s="9" t="s">
        <v>2669</v>
      </c>
      <c r="D326" s="1" t="s">
        <v>13</v>
      </c>
      <c r="E326" s="1">
        <v>6</v>
      </c>
      <c r="F326" s="1">
        <v>1</v>
      </c>
      <c r="G326" s="1">
        <v>70</v>
      </c>
      <c r="H326" s="10" t="s">
        <v>2121</v>
      </c>
      <c r="I326" s="1">
        <v>7000</v>
      </c>
      <c r="J326" s="1">
        <v>5</v>
      </c>
      <c r="K326" s="1">
        <v>0</v>
      </c>
      <c r="L326" s="1">
        <v>0</v>
      </c>
      <c r="M326" s="1" t="s">
        <v>2008</v>
      </c>
      <c r="N326" s="1" t="s">
        <v>698</v>
      </c>
      <c r="O326" s="1">
        <v>0</v>
      </c>
      <c r="P326" s="1" t="s">
        <v>2059</v>
      </c>
      <c r="Q326" s="7" t="s">
        <v>2325</v>
      </c>
      <c r="R326" s="1">
        <v>0</v>
      </c>
    </row>
    <row r="327" spans="1:18" ht="14.25" thickBot="1">
      <c r="A327" s="1" t="s">
        <v>356</v>
      </c>
      <c r="B327" s="2">
        <v>0</v>
      </c>
      <c r="C327" s="9" t="s">
        <v>2094</v>
      </c>
      <c r="D327" s="1" t="s">
        <v>13</v>
      </c>
      <c r="E327" s="1">
        <v>6</v>
      </c>
      <c r="F327" s="1">
        <v>1</v>
      </c>
      <c r="G327" s="1">
        <v>70</v>
      </c>
      <c r="H327" s="10" t="s">
        <v>2121</v>
      </c>
      <c r="I327" s="1">
        <v>7300</v>
      </c>
      <c r="J327" s="1">
        <v>5</v>
      </c>
      <c r="K327" s="1">
        <v>0</v>
      </c>
      <c r="L327" s="1">
        <v>0</v>
      </c>
      <c r="M327" s="1" t="s">
        <v>2008</v>
      </c>
      <c r="N327" s="1" t="s">
        <v>698</v>
      </c>
      <c r="O327" s="1">
        <v>0</v>
      </c>
      <c r="P327" s="1" t="s">
        <v>2059</v>
      </c>
      <c r="Q327" s="7" t="s">
        <v>2035</v>
      </c>
      <c r="R327" s="1">
        <v>0</v>
      </c>
    </row>
    <row r="328" spans="1:18" ht="14.25" thickBot="1">
      <c r="A328" s="1" t="s">
        <v>357</v>
      </c>
      <c r="B328" s="3">
        <v>1</v>
      </c>
      <c r="C328" s="9" t="s">
        <v>2670</v>
      </c>
      <c r="D328" s="1" t="s">
        <v>12</v>
      </c>
      <c r="E328" s="1">
        <v>5</v>
      </c>
      <c r="F328" s="1">
        <v>1</v>
      </c>
      <c r="G328" s="1">
        <v>70</v>
      </c>
      <c r="H328" s="10" t="s">
        <v>2122</v>
      </c>
      <c r="I328" s="1">
        <v>7000</v>
      </c>
      <c r="J328" s="1">
        <v>5</v>
      </c>
      <c r="K328" s="1">
        <v>0</v>
      </c>
      <c r="L328" s="1">
        <v>0</v>
      </c>
      <c r="M328" s="1" t="s">
        <v>2025</v>
      </c>
      <c r="N328" s="1" t="s">
        <v>698</v>
      </c>
      <c r="O328" s="1">
        <v>0</v>
      </c>
      <c r="P328" s="1" t="s">
        <v>2059</v>
      </c>
      <c r="Q328" s="7" t="s">
        <v>2326</v>
      </c>
      <c r="R328" s="1">
        <v>0</v>
      </c>
    </row>
    <row r="329" spans="1:18" ht="14.25" thickBot="1">
      <c r="A329" s="1" t="s">
        <v>358</v>
      </c>
      <c r="B329" s="2">
        <v>0</v>
      </c>
      <c r="C329" s="9" t="s">
        <v>2671</v>
      </c>
      <c r="D329" s="1" t="s">
        <v>12</v>
      </c>
      <c r="E329" s="1">
        <v>5</v>
      </c>
      <c r="F329" s="1">
        <v>1</v>
      </c>
      <c r="G329" s="1">
        <v>70</v>
      </c>
      <c r="H329" s="10" t="s">
        <v>2122</v>
      </c>
      <c r="I329" s="1">
        <v>7300</v>
      </c>
      <c r="J329" s="1">
        <v>5</v>
      </c>
      <c r="K329" s="1">
        <v>0</v>
      </c>
      <c r="L329" s="1">
        <v>0</v>
      </c>
      <c r="M329" s="1" t="s">
        <v>2025</v>
      </c>
      <c r="N329" s="1" t="s">
        <v>698</v>
      </c>
      <c r="O329" s="1">
        <v>0</v>
      </c>
      <c r="P329" s="1" t="s">
        <v>2059</v>
      </c>
      <c r="Q329" s="7" t="s">
        <v>2036</v>
      </c>
      <c r="R329" s="1">
        <v>0</v>
      </c>
    </row>
    <row r="330" spans="1:18" ht="14.25" thickBot="1">
      <c r="A330" s="1" t="s">
        <v>359</v>
      </c>
      <c r="B330" s="3">
        <v>1</v>
      </c>
      <c r="C330" s="9" t="s">
        <v>2672</v>
      </c>
      <c r="D330" s="1" t="s">
        <v>13</v>
      </c>
      <c r="E330" s="1">
        <v>6</v>
      </c>
      <c r="F330" s="1">
        <v>1</v>
      </c>
      <c r="G330" s="1">
        <v>70</v>
      </c>
      <c r="H330" s="10" t="s">
        <v>2122</v>
      </c>
      <c r="I330" s="1">
        <v>7000</v>
      </c>
      <c r="J330" s="1">
        <v>5</v>
      </c>
      <c r="K330" s="1">
        <v>0</v>
      </c>
      <c r="L330" s="1">
        <v>0</v>
      </c>
      <c r="M330" s="1" t="s">
        <v>2009</v>
      </c>
      <c r="N330" s="1" t="s">
        <v>698</v>
      </c>
      <c r="O330" s="1">
        <v>0</v>
      </c>
      <c r="P330" s="1" t="s">
        <v>2059</v>
      </c>
      <c r="Q330" s="7" t="s">
        <v>2327</v>
      </c>
      <c r="R330" s="1">
        <v>0</v>
      </c>
    </row>
    <row r="331" spans="1:18" ht="14.25" thickBot="1">
      <c r="A331" s="1" t="s">
        <v>360</v>
      </c>
      <c r="B331" s="2">
        <v>0</v>
      </c>
      <c r="C331" s="9" t="s">
        <v>2673</v>
      </c>
      <c r="D331" s="1" t="s">
        <v>13</v>
      </c>
      <c r="E331" s="1">
        <v>6</v>
      </c>
      <c r="F331" s="1">
        <v>1</v>
      </c>
      <c r="G331" s="1">
        <v>70</v>
      </c>
      <c r="H331" s="10" t="s">
        <v>2122</v>
      </c>
      <c r="I331" s="1">
        <v>7300</v>
      </c>
      <c r="J331" s="1">
        <v>5</v>
      </c>
      <c r="K331" s="1">
        <v>0</v>
      </c>
      <c r="L331" s="1">
        <v>0</v>
      </c>
      <c r="M331" s="1" t="s">
        <v>2009</v>
      </c>
      <c r="N331" s="1" t="s">
        <v>698</v>
      </c>
      <c r="O331" s="1">
        <v>0</v>
      </c>
      <c r="P331" s="1" t="s">
        <v>2059</v>
      </c>
      <c r="Q331" s="7" t="s">
        <v>2037</v>
      </c>
      <c r="R331" s="1">
        <v>0</v>
      </c>
    </row>
    <row r="332" spans="1:18" ht="14.25" thickBot="1">
      <c r="A332" s="1" t="s">
        <v>361</v>
      </c>
      <c r="B332" s="3">
        <v>1</v>
      </c>
      <c r="C332" s="1" t="s">
        <v>2674</v>
      </c>
      <c r="D332" s="1" t="s">
        <v>11</v>
      </c>
      <c r="E332" s="1">
        <v>4</v>
      </c>
      <c r="F332" s="1">
        <v>1</v>
      </c>
      <c r="G332" s="1">
        <v>70</v>
      </c>
      <c r="H332" s="10">
        <v>0</v>
      </c>
      <c r="I332" s="1">
        <v>7000</v>
      </c>
      <c r="J332" s="1">
        <v>5</v>
      </c>
      <c r="K332" s="1">
        <v>0</v>
      </c>
      <c r="L332" s="1">
        <v>0</v>
      </c>
      <c r="M332" s="1" t="s">
        <v>2483</v>
      </c>
      <c r="N332" s="1" t="s">
        <v>698</v>
      </c>
      <c r="O332" s="1">
        <v>0</v>
      </c>
      <c r="P332" s="1" t="s">
        <v>2059</v>
      </c>
      <c r="Q332" s="7" t="s">
        <v>2864</v>
      </c>
      <c r="R332" s="1">
        <v>0</v>
      </c>
    </row>
    <row r="333" spans="1:18" ht="14.25" thickBot="1">
      <c r="A333" s="1" t="s">
        <v>362</v>
      </c>
      <c r="B333" s="2">
        <v>0</v>
      </c>
      <c r="C333" s="1" t="s">
        <v>2675</v>
      </c>
      <c r="D333" s="1" t="s">
        <v>11</v>
      </c>
      <c r="E333" s="1">
        <v>4</v>
      </c>
      <c r="F333" s="1">
        <v>1</v>
      </c>
      <c r="G333" s="1">
        <v>70</v>
      </c>
      <c r="H333" s="10">
        <v>0</v>
      </c>
      <c r="I333" s="1">
        <v>7300</v>
      </c>
      <c r="J333" s="1">
        <v>5</v>
      </c>
      <c r="K333" s="1">
        <v>0</v>
      </c>
      <c r="L333" s="1">
        <v>0</v>
      </c>
      <c r="M333" s="1" t="s">
        <v>1811</v>
      </c>
      <c r="N333" s="1" t="s">
        <v>698</v>
      </c>
      <c r="O333" s="1">
        <v>0</v>
      </c>
      <c r="P333" s="1" t="s">
        <v>2059</v>
      </c>
      <c r="Q333" s="7" t="s">
        <v>2038</v>
      </c>
      <c r="R333" s="1">
        <v>0</v>
      </c>
    </row>
    <row r="334" spans="1:18" ht="14.25" thickBot="1">
      <c r="A334" s="1" t="s">
        <v>363</v>
      </c>
      <c r="B334" s="3">
        <v>1</v>
      </c>
      <c r="C334" s="1" t="s">
        <v>2676</v>
      </c>
      <c r="D334" s="1" t="s">
        <v>14</v>
      </c>
      <c r="E334" s="1">
        <v>7</v>
      </c>
      <c r="F334" s="1">
        <v>1</v>
      </c>
      <c r="G334" s="1">
        <v>70</v>
      </c>
      <c r="H334" s="10">
        <v>0</v>
      </c>
      <c r="I334" s="1">
        <v>7000</v>
      </c>
      <c r="J334" s="1">
        <v>5</v>
      </c>
      <c r="K334" s="1">
        <v>0</v>
      </c>
      <c r="L334" s="1">
        <v>0</v>
      </c>
      <c r="M334" s="1" t="s">
        <v>2483</v>
      </c>
      <c r="N334" s="1" t="s">
        <v>698</v>
      </c>
      <c r="O334" s="1">
        <v>0</v>
      </c>
      <c r="P334" s="1" t="s">
        <v>2059</v>
      </c>
      <c r="Q334" s="7" t="s">
        <v>2865</v>
      </c>
      <c r="R334" s="1">
        <v>0</v>
      </c>
    </row>
    <row r="335" spans="1:18" ht="14.25" thickBot="1">
      <c r="A335" s="1" t="s">
        <v>364</v>
      </c>
      <c r="B335" s="2">
        <v>0</v>
      </c>
      <c r="C335" s="1" t="s">
        <v>2677</v>
      </c>
      <c r="D335" s="1" t="s">
        <v>14</v>
      </c>
      <c r="E335" s="1">
        <v>7</v>
      </c>
      <c r="F335" s="1">
        <v>1</v>
      </c>
      <c r="G335" s="1">
        <v>70</v>
      </c>
      <c r="H335" s="10">
        <v>0</v>
      </c>
      <c r="I335" s="1">
        <v>7300</v>
      </c>
      <c r="J335" s="1">
        <v>5</v>
      </c>
      <c r="K335" s="1">
        <v>0</v>
      </c>
      <c r="L335" s="1">
        <v>0</v>
      </c>
      <c r="M335" s="1" t="s">
        <v>1811</v>
      </c>
      <c r="N335" s="1" t="s">
        <v>698</v>
      </c>
      <c r="O335" s="1">
        <v>0</v>
      </c>
      <c r="P335" s="1" t="s">
        <v>2059</v>
      </c>
      <c r="Q335" s="7" t="s">
        <v>2039</v>
      </c>
      <c r="R335" s="1">
        <v>0</v>
      </c>
    </row>
    <row r="336" spans="1:18" ht="14.25" thickBot="1">
      <c r="A336" s="1">
        <v>10750010</v>
      </c>
      <c r="B336" s="3">
        <v>1</v>
      </c>
      <c r="C336" s="1" t="s">
        <v>2678</v>
      </c>
      <c r="D336" s="1" t="s">
        <v>8</v>
      </c>
      <c r="E336" s="1">
        <v>1</v>
      </c>
      <c r="F336" s="1">
        <v>1</v>
      </c>
      <c r="G336" s="1">
        <v>75</v>
      </c>
      <c r="H336" s="10">
        <v>0</v>
      </c>
      <c r="I336" s="1">
        <f>I314+600</f>
        <v>7600</v>
      </c>
      <c r="J336" s="1">
        <v>5</v>
      </c>
      <c r="K336" s="1">
        <v>0</v>
      </c>
      <c r="L336" s="1">
        <v>0</v>
      </c>
      <c r="M336" s="1" t="s">
        <v>2336</v>
      </c>
      <c r="N336" s="1" t="s">
        <v>698</v>
      </c>
      <c r="O336" s="1">
        <v>0</v>
      </c>
      <c r="P336" s="1" t="s">
        <v>2059</v>
      </c>
      <c r="Q336" s="7" t="s">
        <v>2815</v>
      </c>
      <c r="R336" s="1">
        <v>0</v>
      </c>
    </row>
    <row r="337" spans="1:18" ht="14.25" thickBot="1">
      <c r="A337" s="1">
        <v>10750020</v>
      </c>
      <c r="B337" s="3">
        <v>1</v>
      </c>
      <c r="C337" s="1" t="s">
        <v>2679</v>
      </c>
      <c r="D337" s="1" t="s">
        <v>9</v>
      </c>
      <c r="E337" s="1">
        <v>2</v>
      </c>
      <c r="F337" s="1">
        <v>1</v>
      </c>
      <c r="G337" s="1">
        <v>75</v>
      </c>
      <c r="H337" s="10">
        <v>0</v>
      </c>
      <c r="I337" s="1">
        <f t="shared" ref="I337:I400" si="0">I315+600</f>
        <v>7600</v>
      </c>
      <c r="J337" s="1">
        <v>5</v>
      </c>
      <c r="K337" s="1">
        <v>0</v>
      </c>
      <c r="L337" s="1">
        <v>0</v>
      </c>
      <c r="M337" s="1" t="s">
        <v>2337</v>
      </c>
      <c r="N337" s="1" t="s">
        <v>698</v>
      </c>
      <c r="O337" s="1">
        <v>0</v>
      </c>
      <c r="P337" s="1" t="s">
        <v>2059</v>
      </c>
      <c r="Q337" s="7" t="s">
        <v>2816</v>
      </c>
      <c r="R337" s="1">
        <v>0</v>
      </c>
    </row>
    <row r="338" spans="1:18" ht="14.25" thickBot="1">
      <c r="A338" s="1">
        <v>10750030</v>
      </c>
      <c r="B338" s="3">
        <v>1</v>
      </c>
      <c r="C338" s="1" t="s">
        <v>2680</v>
      </c>
      <c r="D338" s="1" t="s">
        <v>10</v>
      </c>
      <c r="E338" s="1">
        <v>3</v>
      </c>
      <c r="F338" s="1">
        <v>1</v>
      </c>
      <c r="G338" s="1">
        <v>75</v>
      </c>
      <c r="H338" s="10">
        <v>0</v>
      </c>
      <c r="I338" s="1">
        <f t="shared" si="0"/>
        <v>7600</v>
      </c>
      <c r="J338" s="1">
        <v>5</v>
      </c>
      <c r="K338" s="1">
        <v>0</v>
      </c>
      <c r="L338" s="1">
        <v>0</v>
      </c>
      <c r="M338" s="1" t="s">
        <v>2338</v>
      </c>
      <c r="N338" s="1" t="s">
        <v>698</v>
      </c>
      <c r="O338" s="1">
        <v>0</v>
      </c>
      <c r="P338" s="1" t="s">
        <v>2059</v>
      </c>
      <c r="Q338" s="7" t="s">
        <v>2817</v>
      </c>
      <c r="R338" s="1">
        <v>0</v>
      </c>
    </row>
    <row r="339" spans="1:18" ht="14.25" thickBot="1">
      <c r="A339" s="1">
        <v>10750080</v>
      </c>
      <c r="B339" s="3">
        <v>1</v>
      </c>
      <c r="C339" s="1" t="s">
        <v>2681</v>
      </c>
      <c r="D339" s="1" t="s">
        <v>15</v>
      </c>
      <c r="E339" s="1">
        <v>8</v>
      </c>
      <c r="F339" s="1">
        <v>1</v>
      </c>
      <c r="G339" s="1">
        <v>75</v>
      </c>
      <c r="H339" s="10">
        <v>0</v>
      </c>
      <c r="I339" s="1">
        <f t="shared" si="0"/>
        <v>7600</v>
      </c>
      <c r="J339" s="1">
        <v>5</v>
      </c>
      <c r="K339" s="1">
        <v>0</v>
      </c>
      <c r="L339" s="1">
        <v>0</v>
      </c>
      <c r="M339" s="1" t="s">
        <v>2339</v>
      </c>
      <c r="N339" s="1" t="s">
        <v>698</v>
      </c>
      <c r="O339" s="1">
        <v>0</v>
      </c>
      <c r="P339" s="1" t="s">
        <v>2059</v>
      </c>
      <c r="Q339" s="7" t="s">
        <v>2818</v>
      </c>
      <c r="R339" s="1">
        <v>0</v>
      </c>
    </row>
    <row r="340" spans="1:18" ht="14.25" thickBot="1">
      <c r="A340" s="1">
        <v>10750090</v>
      </c>
      <c r="B340" s="3">
        <v>1</v>
      </c>
      <c r="C340" s="1" t="s">
        <v>2682</v>
      </c>
      <c r="D340" s="1" t="s">
        <v>16</v>
      </c>
      <c r="E340" s="1">
        <v>9</v>
      </c>
      <c r="F340" s="1">
        <v>1</v>
      </c>
      <c r="G340" s="1">
        <v>75</v>
      </c>
      <c r="H340" s="10">
        <v>0</v>
      </c>
      <c r="I340" s="1">
        <f t="shared" si="0"/>
        <v>7600</v>
      </c>
      <c r="J340" s="1">
        <v>5</v>
      </c>
      <c r="K340" s="1">
        <v>0</v>
      </c>
      <c r="L340" s="1">
        <v>0</v>
      </c>
      <c r="M340" s="1" t="s">
        <v>2340</v>
      </c>
      <c r="N340" s="1" t="s">
        <v>698</v>
      </c>
      <c r="O340" s="1">
        <v>0</v>
      </c>
      <c r="P340" s="1" t="s">
        <v>2059</v>
      </c>
      <c r="Q340" s="7" t="s">
        <v>2819</v>
      </c>
      <c r="R340" s="1">
        <v>0</v>
      </c>
    </row>
    <row r="341" spans="1:18" ht="14.25" thickBot="1">
      <c r="A341" s="1">
        <v>10750100</v>
      </c>
      <c r="B341" s="3">
        <v>1</v>
      </c>
      <c r="C341" s="1" t="s">
        <v>2683</v>
      </c>
      <c r="D341" s="1" t="s">
        <v>17</v>
      </c>
      <c r="E341" s="1">
        <v>10</v>
      </c>
      <c r="F341" s="1">
        <v>1</v>
      </c>
      <c r="G341" s="1">
        <v>75</v>
      </c>
      <c r="H341" s="10">
        <v>0</v>
      </c>
      <c r="I341" s="1">
        <f t="shared" si="0"/>
        <v>7600</v>
      </c>
      <c r="J341" s="1">
        <v>5</v>
      </c>
      <c r="K341" s="1">
        <v>0</v>
      </c>
      <c r="L341" s="1">
        <v>0</v>
      </c>
      <c r="M341" s="1" t="s">
        <v>2341</v>
      </c>
      <c r="N341" s="1" t="s">
        <v>698</v>
      </c>
      <c r="O341" s="1">
        <v>0</v>
      </c>
      <c r="P341" s="1" t="s">
        <v>2059</v>
      </c>
      <c r="Q341" s="7" t="s">
        <v>2820</v>
      </c>
      <c r="R341" s="1">
        <v>0</v>
      </c>
    </row>
    <row r="342" spans="1:18" ht="14.25" thickBot="1">
      <c r="A342" s="1">
        <v>10751050</v>
      </c>
      <c r="B342" s="3">
        <v>1</v>
      </c>
      <c r="C342" s="9" t="s">
        <v>2684</v>
      </c>
      <c r="D342" s="1" t="s">
        <v>12</v>
      </c>
      <c r="E342" s="1">
        <v>5</v>
      </c>
      <c r="F342" s="1">
        <v>1</v>
      </c>
      <c r="G342" s="1">
        <v>75</v>
      </c>
      <c r="H342" s="10" t="s">
        <v>2120</v>
      </c>
      <c r="I342" s="1">
        <f t="shared" si="0"/>
        <v>7600</v>
      </c>
      <c r="J342" s="1">
        <v>5</v>
      </c>
      <c r="K342" s="1">
        <v>0</v>
      </c>
      <c r="L342" s="1">
        <v>0</v>
      </c>
      <c r="M342" s="1" t="s">
        <v>2803</v>
      </c>
      <c r="N342" s="1" t="s">
        <v>698</v>
      </c>
      <c r="O342" s="1">
        <v>0</v>
      </c>
      <c r="P342" s="1" t="s">
        <v>2059</v>
      </c>
      <c r="Q342" s="7" t="s">
        <v>2821</v>
      </c>
      <c r="R342" s="1">
        <v>0</v>
      </c>
    </row>
    <row r="343" spans="1:18" ht="14.25" thickBot="1">
      <c r="A343" s="1">
        <v>10751051</v>
      </c>
      <c r="B343" s="3">
        <v>1</v>
      </c>
      <c r="C343" s="9" t="s">
        <v>2685</v>
      </c>
      <c r="D343" s="1" t="s">
        <v>12</v>
      </c>
      <c r="E343" s="1">
        <v>5</v>
      </c>
      <c r="F343" s="1">
        <v>1</v>
      </c>
      <c r="G343" s="1">
        <v>75</v>
      </c>
      <c r="H343" s="10" t="s">
        <v>2120</v>
      </c>
      <c r="I343" s="1">
        <f t="shared" si="0"/>
        <v>7900</v>
      </c>
      <c r="J343" s="1">
        <v>5</v>
      </c>
      <c r="K343" s="1">
        <v>0</v>
      </c>
      <c r="L343" s="1">
        <v>0</v>
      </c>
      <c r="M343" s="1" t="s">
        <v>2804</v>
      </c>
      <c r="N343" s="1" t="s">
        <v>698</v>
      </c>
      <c r="O343" s="1">
        <v>0</v>
      </c>
      <c r="P343" s="1" t="s">
        <v>2059</v>
      </c>
      <c r="Q343" s="7" t="s">
        <v>2822</v>
      </c>
      <c r="R343" s="1">
        <v>0</v>
      </c>
    </row>
    <row r="344" spans="1:18" ht="14.25" thickBot="1">
      <c r="A344" s="1">
        <v>10751060</v>
      </c>
      <c r="B344" s="3">
        <v>1</v>
      </c>
      <c r="C344" s="9" t="s">
        <v>2686</v>
      </c>
      <c r="D344" s="1" t="s">
        <v>13</v>
      </c>
      <c r="E344" s="1">
        <v>6</v>
      </c>
      <c r="F344" s="1">
        <v>1</v>
      </c>
      <c r="G344" s="1">
        <v>75</v>
      </c>
      <c r="H344" s="10" t="s">
        <v>2120</v>
      </c>
      <c r="I344" s="1">
        <f t="shared" si="0"/>
        <v>7600</v>
      </c>
      <c r="J344" s="1">
        <v>5</v>
      </c>
      <c r="K344" s="1">
        <v>0</v>
      </c>
      <c r="L344" s="1">
        <v>0</v>
      </c>
      <c r="M344" s="1" t="s">
        <v>2342</v>
      </c>
      <c r="N344" s="1" t="s">
        <v>698</v>
      </c>
      <c r="O344" s="1">
        <v>0</v>
      </c>
      <c r="P344" s="1" t="s">
        <v>2059</v>
      </c>
      <c r="Q344" s="7" t="s">
        <v>2823</v>
      </c>
      <c r="R344" s="1">
        <v>0</v>
      </c>
    </row>
    <row r="345" spans="1:18" ht="14.25" thickBot="1">
      <c r="A345" s="1">
        <v>10751061</v>
      </c>
      <c r="B345" s="3">
        <v>1</v>
      </c>
      <c r="C345" s="9" t="s">
        <v>2687</v>
      </c>
      <c r="D345" s="1" t="s">
        <v>13</v>
      </c>
      <c r="E345" s="1">
        <v>6</v>
      </c>
      <c r="F345" s="1">
        <v>1</v>
      </c>
      <c r="G345" s="1">
        <v>75</v>
      </c>
      <c r="H345" s="10" t="s">
        <v>2120</v>
      </c>
      <c r="I345" s="1">
        <f t="shared" si="0"/>
        <v>7900</v>
      </c>
      <c r="J345" s="1">
        <v>5</v>
      </c>
      <c r="K345" s="1">
        <v>0</v>
      </c>
      <c r="L345" s="1">
        <v>0</v>
      </c>
      <c r="M345" s="1" t="s">
        <v>2343</v>
      </c>
      <c r="N345" s="1" t="s">
        <v>698</v>
      </c>
      <c r="O345" s="1">
        <v>0</v>
      </c>
      <c r="P345" s="1" t="s">
        <v>2059</v>
      </c>
      <c r="Q345" s="7" t="s">
        <v>2814</v>
      </c>
      <c r="R345" s="1">
        <v>0</v>
      </c>
    </row>
    <row r="346" spans="1:18" ht="14.25" thickBot="1">
      <c r="A346" s="1">
        <v>10752050</v>
      </c>
      <c r="B346" s="3">
        <v>1</v>
      </c>
      <c r="C346" s="1" t="s">
        <v>2688</v>
      </c>
      <c r="D346" s="1" t="s">
        <v>12</v>
      </c>
      <c r="E346" s="1">
        <v>5</v>
      </c>
      <c r="F346" s="1">
        <v>1</v>
      </c>
      <c r="G346" s="1">
        <v>75</v>
      </c>
      <c r="H346" s="10" t="s">
        <v>2121</v>
      </c>
      <c r="I346" s="1">
        <f t="shared" si="0"/>
        <v>7600</v>
      </c>
      <c r="J346" s="1">
        <v>5</v>
      </c>
      <c r="K346" s="1">
        <v>0</v>
      </c>
      <c r="L346" s="1">
        <v>0</v>
      </c>
      <c r="M346" s="1" t="s">
        <v>2803</v>
      </c>
      <c r="N346" s="1" t="s">
        <v>698</v>
      </c>
      <c r="O346" s="1">
        <v>0</v>
      </c>
      <c r="P346" s="1" t="s">
        <v>2059</v>
      </c>
      <c r="Q346" s="7" t="s">
        <v>2824</v>
      </c>
      <c r="R346" s="1">
        <v>0</v>
      </c>
    </row>
    <row r="347" spans="1:18" ht="14.25" thickBot="1">
      <c r="A347" s="1">
        <v>10752051</v>
      </c>
      <c r="B347" s="3">
        <v>1</v>
      </c>
      <c r="C347" s="1" t="s">
        <v>2689</v>
      </c>
      <c r="D347" s="1" t="s">
        <v>12</v>
      </c>
      <c r="E347" s="1">
        <v>5</v>
      </c>
      <c r="F347" s="1">
        <v>1</v>
      </c>
      <c r="G347" s="1">
        <v>75</v>
      </c>
      <c r="H347" s="10" t="s">
        <v>2121</v>
      </c>
      <c r="I347" s="1">
        <f t="shared" si="0"/>
        <v>7900</v>
      </c>
      <c r="J347" s="1">
        <v>5</v>
      </c>
      <c r="K347" s="1">
        <v>0</v>
      </c>
      <c r="L347" s="1">
        <v>0</v>
      </c>
      <c r="M347" s="1" t="s">
        <v>2804</v>
      </c>
      <c r="N347" s="1" t="s">
        <v>698</v>
      </c>
      <c r="O347" s="1">
        <v>0</v>
      </c>
      <c r="P347" s="1" t="s">
        <v>2059</v>
      </c>
      <c r="Q347" s="7" t="s">
        <v>2825</v>
      </c>
      <c r="R347" s="1">
        <v>0</v>
      </c>
    </row>
    <row r="348" spans="1:18" ht="14.25" thickBot="1">
      <c r="A348" s="1">
        <v>10752060</v>
      </c>
      <c r="B348" s="3">
        <v>1</v>
      </c>
      <c r="C348" s="9" t="s">
        <v>2690</v>
      </c>
      <c r="D348" s="1" t="s">
        <v>13</v>
      </c>
      <c r="E348" s="1">
        <v>6</v>
      </c>
      <c r="F348" s="1">
        <v>1</v>
      </c>
      <c r="G348" s="1">
        <v>75</v>
      </c>
      <c r="H348" s="10" t="s">
        <v>2121</v>
      </c>
      <c r="I348" s="1">
        <f t="shared" si="0"/>
        <v>7600</v>
      </c>
      <c r="J348" s="1">
        <v>5</v>
      </c>
      <c r="K348" s="1">
        <v>0</v>
      </c>
      <c r="L348" s="1">
        <v>0</v>
      </c>
      <c r="M348" s="1" t="s">
        <v>2344</v>
      </c>
      <c r="N348" s="1" t="s">
        <v>698</v>
      </c>
      <c r="O348" s="1">
        <v>0</v>
      </c>
      <c r="P348" s="1" t="s">
        <v>2059</v>
      </c>
      <c r="Q348" s="7" t="s">
        <v>2826</v>
      </c>
      <c r="R348" s="1">
        <v>0</v>
      </c>
    </row>
    <row r="349" spans="1:18" ht="14.25" thickBot="1">
      <c r="A349" s="1">
        <v>10752061</v>
      </c>
      <c r="B349" s="3">
        <v>1</v>
      </c>
      <c r="C349" s="9" t="s">
        <v>2691</v>
      </c>
      <c r="D349" s="1" t="s">
        <v>13</v>
      </c>
      <c r="E349" s="1">
        <v>6</v>
      </c>
      <c r="F349" s="1">
        <v>1</v>
      </c>
      <c r="G349" s="1">
        <v>75</v>
      </c>
      <c r="H349" s="10" t="s">
        <v>2121</v>
      </c>
      <c r="I349" s="1">
        <f t="shared" si="0"/>
        <v>7900</v>
      </c>
      <c r="J349" s="1">
        <v>5</v>
      </c>
      <c r="K349" s="1">
        <v>0</v>
      </c>
      <c r="L349" s="1">
        <v>0</v>
      </c>
      <c r="M349" s="1" t="s">
        <v>2345</v>
      </c>
      <c r="N349" s="1" t="s">
        <v>698</v>
      </c>
      <c r="O349" s="1">
        <v>0</v>
      </c>
      <c r="P349" s="1" t="s">
        <v>2059</v>
      </c>
      <c r="Q349" s="7" t="s">
        <v>2827</v>
      </c>
      <c r="R349" s="1">
        <v>0</v>
      </c>
    </row>
    <row r="350" spans="1:18" ht="14.25" thickBot="1">
      <c r="A350" s="1">
        <v>10753050</v>
      </c>
      <c r="B350" s="3">
        <v>1</v>
      </c>
      <c r="C350" s="9" t="s">
        <v>2692</v>
      </c>
      <c r="D350" s="1" t="s">
        <v>12</v>
      </c>
      <c r="E350" s="1">
        <v>5</v>
      </c>
      <c r="F350" s="1">
        <v>1</v>
      </c>
      <c r="G350" s="1">
        <v>75</v>
      </c>
      <c r="H350" s="10" t="s">
        <v>2122</v>
      </c>
      <c r="I350" s="1">
        <f t="shared" si="0"/>
        <v>7600</v>
      </c>
      <c r="J350" s="1">
        <v>5</v>
      </c>
      <c r="K350" s="1">
        <v>0</v>
      </c>
      <c r="L350" s="1">
        <v>0</v>
      </c>
      <c r="M350" s="1" t="s">
        <v>2803</v>
      </c>
      <c r="N350" s="1" t="s">
        <v>698</v>
      </c>
      <c r="O350" s="1">
        <v>0</v>
      </c>
      <c r="P350" s="1" t="s">
        <v>2059</v>
      </c>
      <c r="Q350" s="7" t="s">
        <v>2828</v>
      </c>
      <c r="R350" s="1">
        <v>0</v>
      </c>
    </row>
    <row r="351" spans="1:18" ht="14.25" thickBot="1">
      <c r="A351" s="1">
        <v>10753051</v>
      </c>
      <c r="B351" s="3">
        <v>1</v>
      </c>
      <c r="C351" s="9" t="s">
        <v>2693</v>
      </c>
      <c r="D351" s="1" t="s">
        <v>12</v>
      </c>
      <c r="E351" s="1">
        <v>5</v>
      </c>
      <c r="F351" s="1">
        <v>1</v>
      </c>
      <c r="G351" s="1">
        <v>75</v>
      </c>
      <c r="H351" s="10" t="s">
        <v>2122</v>
      </c>
      <c r="I351" s="1">
        <f t="shared" si="0"/>
        <v>7900</v>
      </c>
      <c r="J351" s="1">
        <v>5</v>
      </c>
      <c r="K351" s="1">
        <v>0</v>
      </c>
      <c r="L351" s="1">
        <v>0</v>
      </c>
      <c r="M351" s="1" t="s">
        <v>2804</v>
      </c>
      <c r="N351" s="1" t="s">
        <v>698</v>
      </c>
      <c r="O351" s="1">
        <v>0</v>
      </c>
      <c r="P351" s="1" t="s">
        <v>2059</v>
      </c>
      <c r="Q351" s="7" t="s">
        <v>2829</v>
      </c>
      <c r="R351" s="1">
        <v>0</v>
      </c>
    </row>
    <row r="352" spans="1:18" ht="14.25" thickBot="1">
      <c r="A352" s="1">
        <v>10753060</v>
      </c>
      <c r="B352" s="3">
        <v>1</v>
      </c>
      <c r="C352" s="9" t="s">
        <v>2694</v>
      </c>
      <c r="D352" s="1" t="s">
        <v>13</v>
      </c>
      <c r="E352" s="1">
        <v>6</v>
      </c>
      <c r="F352" s="1">
        <v>1</v>
      </c>
      <c r="G352" s="1">
        <v>75</v>
      </c>
      <c r="H352" s="10" t="s">
        <v>2122</v>
      </c>
      <c r="I352" s="1">
        <f t="shared" si="0"/>
        <v>7600</v>
      </c>
      <c r="J352" s="1">
        <v>5</v>
      </c>
      <c r="K352" s="1">
        <v>0</v>
      </c>
      <c r="L352" s="1">
        <v>0</v>
      </c>
      <c r="M352" s="1" t="s">
        <v>2346</v>
      </c>
      <c r="N352" s="1" t="s">
        <v>698</v>
      </c>
      <c r="O352" s="1">
        <v>0</v>
      </c>
      <c r="P352" s="1" t="s">
        <v>2059</v>
      </c>
      <c r="Q352" s="7" t="s">
        <v>2830</v>
      </c>
      <c r="R352" s="1">
        <v>0</v>
      </c>
    </row>
    <row r="353" spans="1:18" ht="14.25" thickBot="1">
      <c r="A353" s="1">
        <v>10753061</v>
      </c>
      <c r="B353" s="3">
        <v>1</v>
      </c>
      <c r="C353" s="9" t="s">
        <v>2695</v>
      </c>
      <c r="D353" s="1" t="s">
        <v>13</v>
      </c>
      <c r="E353" s="1">
        <v>6</v>
      </c>
      <c r="F353" s="1">
        <v>1</v>
      </c>
      <c r="G353" s="1">
        <v>75</v>
      </c>
      <c r="H353" s="10" t="s">
        <v>2122</v>
      </c>
      <c r="I353" s="1">
        <f t="shared" si="0"/>
        <v>7900</v>
      </c>
      <c r="J353" s="1">
        <v>5</v>
      </c>
      <c r="K353" s="1">
        <v>0</v>
      </c>
      <c r="L353" s="1">
        <v>0</v>
      </c>
      <c r="M353" s="1" t="s">
        <v>2347</v>
      </c>
      <c r="N353" s="1" t="s">
        <v>698</v>
      </c>
      <c r="O353" s="1">
        <v>0</v>
      </c>
      <c r="P353" s="1" t="s">
        <v>2059</v>
      </c>
      <c r="Q353" s="7" t="s">
        <v>2831</v>
      </c>
      <c r="R353" s="1">
        <v>0</v>
      </c>
    </row>
    <row r="354" spans="1:18" ht="14.25" thickBot="1">
      <c r="A354" s="1">
        <v>10750040</v>
      </c>
      <c r="B354" s="3">
        <v>1</v>
      </c>
      <c r="C354" s="1" t="s">
        <v>2696</v>
      </c>
      <c r="D354" s="1" t="s">
        <v>11</v>
      </c>
      <c r="E354" s="1">
        <v>4</v>
      </c>
      <c r="F354" s="1">
        <v>1</v>
      </c>
      <c r="G354" s="1">
        <v>75</v>
      </c>
      <c r="H354" s="10">
        <v>0</v>
      </c>
      <c r="I354" s="1">
        <f t="shared" si="0"/>
        <v>7600</v>
      </c>
      <c r="J354" s="1">
        <v>5</v>
      </c>
      <c r="K354" s="1">
        <v>0</v>
      </c>
      <c r="L354" s="1">
        <v>0</v>
      </c>
      <c r="M354" s="1" t="s">
        <v>1968</v>
      </c>
      <c r="N354" s="1" t="s">
        <v>698</v>
      </c>
      <c r="O354" s="1">
        <v>0</v>
      </c>
      <c r="P354" s="1" t="s">
        <v>2059</v>
      </c>
      <c r="Q354" s="7" t="s">
        <v>2832</v>
      </c>
      <c r="R354" s="1">
        <v>0</v>
      </c>
    </row>
    <row r="355" spans="1:18" ht="14.25" thickBot="1">
      <c r="A355" s="1">
        <v>10750041</v>
      </c>
      <c r="B355" s="3">
        <v>1</v>
      </c>
      <c r="C355" s="1" t="s">
        <v>2697</v>
      </c>
      <c r="D355" s="1" t="s">
        <v>11</v>
      </c>
      <c r="E355" s="1">
        <v>4</v>
      </c>
      <c r="F355" s="1">
        <v>1</v>
      </c>
      <c r="G355" s="1">
        <v>75</v>
      </c>
      <c r="H355" s="10">
        <v>0</v>
      </c>
      <c r="I355" s="1">
        <f t="shared" si="0"/>
        <v>7900</v>
      </c>
      <c r="J355" s="1">
        <v>5</v>
      </c>
      <c r="K355" s="1">
        <v>0</v>
      </c>
      <c r="L355" s="1">
        <v>0</v>
      </c>
      <c r="M355" s="1" t="s">
        <v>2348</v>
      </c>
      <c r="N355" s="1" t="s">
        <v>698</v>
      </c>
      <c r="O355" s="1">
        <v>0</v>
      </c>
      <c r="P355" s="1" t="s">
        <v>2059</v>
      </c>
      <c r="Q355" s="7" t="s">
        <v>2833</v>
      </c>
      <c r="R355" s="1">
        <v>0</v>
      </c>
    </row>
    <row r="356" spans="1:18" ht="14.25" thickBot="1">
      <c r="A356" s="1">
        <v>10750070</v>
      </c>
      <c r="B356" s="3">
        <v>1</v>
      </c>
      <c r="C356" s="1" t="s">
        <v>2698</v>
      </c>
      <c r="D356" s="1" t="s">
        <v>14</v>
      </c>
      <c r="E356" s="1">
        <v>7</v>
      </c>
      <c r="F356" s="1">
        <v>1</v>
      </c>
      <c r="G356" s="1">
        <v>75</v>
      </c>
      <c r="H356" s="10">
        <v>0</v>
      </c>
      <c r="I356" s="1">
        <f t="shared" si="0"/>
        <v>7600</v>
      </c>
      <c r="J356" s="1">
        <v>5</v>
      </c>
      <c r="K356" s="1">
        <v>0</v>
      </c>
      <c r="L356" s="1">
        <v>0</v>
      </c>
      <c r="M356" s="1" t="s">
        <v>1968</v>
      </c>
      <c r="N356" s="1" t="s">
        <v>698</v>
      </c>
      <c r="O356" s="1">
        <v>0</v>
      </c>
      <c r="P356" s="1" t="s">
        <v>2059</v>
      </c>
      <c r="Q356" s="7" t="s">
        <v>2834</v>
      </c>
      <c r="R356" s="1">
        <v>0</v>
      </c>
    </row>
    <row r="357" spans="1:18" ht="14.25" thickBot="1">
      <c r="A357" s="1">
        <v>10750071</v>
      </c>
      <c r="B357" s="3">
        <v>1</v>
      </c>
      <c r="C357" s="1" t="s">
        <v>2699</v>
      </c>
      <c r="D357" s="1" t="s">
        <v>14</v>
      </c>
      <c r="E357" s="1">
        <v>7</v>
      </c>
      <c r="F357" s="1">
        <v>1</v>
      </c>
      <c r="G357" s="1">
        <v>75</v>
      </c>
      <c r="H357" s="10">
        <v>0</v>
      </c>
      <c r="I357" s="1">
        <f t="shared" si="0"/>
        <v>7900</v>
      </c>
      <c r="J357" s="1">
        <v>5</v>
      </c>
      <c r="K357" s="1">
        <v>0</v>
      </c>
      <c r="L357" s="1">
        <v>0</v>
      </c>
      <c r="M357" s="1" t="s">
        <v>2348</v>
      </c>
      <c r="N357" s="1" t="s">
        <v>698</v>
      </c>
      <c r="O357" s="1">
        <v>0</v>
      </c>
      <c r="P357" s="1" t="s">
        <v>2059</v>
      </c>
      <c r="Q357" s="7" t="s">
        <v>2835</v>
      </c>
      <c r="R357" s="1">
        <v>0</v>
      </c>
    </row>
    <row r="358" spans="1:18" ht="14.25" thickBot="1">
      <c r="A358" s="1">
        <v>10800010</v>
      </c>
      <c r="B358" s="3">
        <v>1</v>
      </c>
      <c r="C358" s="1" t="s">
        <v>2700</v>
      </c>
      <c r="D358" s="1" t="s">
        <v>8</v>
      </c>
      <c r="E358" s="1">
        <v>1</v>
      </c>
      <c r="F358" s="1">
        <v>1</v>
      </c>
      <c r="G358" s="1">
        <v>80</v>
      </c>
      <c r="H358" s="10">
        <v>0</v>
      </c>
      <c r="I358" s="1">
        <f t="shared" si="0"/>
        <v>8200</v>
      </c>
      <c r="J358" s="1">
        <v>5</v>
      </c>
      <c r="K358" s="1">
        <v>0</v>
      </c>
      <c r="L358" s="1">
        <v>0</v>
      </c>
      <c r="M358" s="1" t="s">
        <v>2349</v>
      </c>
      <c r="N358" s="1" t="s">
        <v>698</v>
      </c>
      <c r="O358" s="1">
        <v>0</v>
      </c>
      <c r="P358" s="1" t="s">
        <v>2059</v>
      </c>
      <c r="Q358" s="7" t="s">
        <v>2836</v>
      </c>
      <c r="R358" s="1">
        <v>0</v>
      </c>
    </row>
    <row r="359" spans="1:18" ht="14.25" thickBot="1">
      <c r="A359" s="1">
        <v>10800020</v>
      </c>
      <c r="B359" s="3">
        <v>1</v>
      </c>
      <c r="C359" s="1" t="s">
        <v>2701</v>
      </c>
      <c r="D359" s="1" t="s">
        <v>9</v>
      </c>
      <c r="E359" s="1">
        <v>2</v>
      </c>
      <c r="F359" s="1">
        <v>1</v>
      </c>
      <c r="G359" s="1">
        <v>80</v>
      </c>
      <c r="H359" s="10">
        <v>0</v>
      </c>
      <c r="I359" s="1">
        <f>I337+600</f>
        <v>8200</v>
      </c>
      <c r="J359" s="1">
        <v>5</v>
      </c>
      <c r="K359" s="1">
        <v>0</v>
      </c>
      <c r="L359" s="1">
        <v>0</v>
      </c>
      <c r="M359" s="1" t="s">
        <v>2350</v>
      </c>
      <c r="N359" s="1" t="s">
        <v>698</v>
      </c>
      <c r="O359" s="1">
        <v>0</v>
      </c>
      <c r="P359" s="1" t="s">
        <v>2059</v>
      </c>
      <c r="Q359" s="7" t="s">
        <v>2837</v>
      </c>
      <c r="R359" s="1">
        <v>0</v>
      </c>
    </row>
    <row r="360" spans="1:18" ht="14.25" thickBot="1">
      <c r="A360" s="1">
        <v>10800030</v>
      </c>
      <c r="B360" s="3">
        <v>1</v>
      </c>
      <c r="C360" s="1" t="s">
        <v>2702</v>
      </c>
      <c r="D360" s="1" t="s">
        <v>10</v>
      </c>
      <c r="E360" s="1">
        <v>3</v>
      </c>
      <c r="F360" s="1">
        <v>1</v>
      </c>
      <c r="G360" s="1">
        <v>80</v>
      </c>
      <c r="H360" s="10">
        <v>0</v>
      </c>
      <c r="I360" s="1">
        <f t="shared" si="0"/>
        <v>8200</v>
      </c>
      <c r="J360" s="1">
        <v>5</v>
      </c>
      <c r="K360" s="1">
        <v>0</v>
      </c>
      <c r="L360" s="1">
        <v>0</v>
      </c>
      <c r="M360" s="1" t="s">
        <v>2351</v>
      </c>
      <c r="N360" s="1" t="s">
        <v>698</v>
      </c>
      <c r="O360" s="1">
        <v>0</v>
      </c>
      <c r="P360" s="1" t="s">
        <v>2059</v>
      </c>
      <c r="Q360" s="7" t="s">
        <v>2838</v>
      </c>
      <c r="R360" s="1">
        <v>0</v>
      </c>
    </row>
    <row r="361" spans="1:18" ht="14.25" thickBot="1">
      <c r="A361" s="1">
        <v>10800080</v>
      </c>
      <c r="B361" s="3">
        <v>1</v>
      </c>
      <c r="C361" s="1" t="s">
        <v>2703</v>
      </c>
      <c r="D361" s="1" t="s">
        <v>15</v>
      </c>
      <c r="E361" s="1">
        <v>8</v>
      </c>
      <c r="F361" s="1">
        <v>1</v>
      </c>
      <c r="G361" s="1">
        <v>80</v>
      </c>
      <c r="H361" s="10">
        <v>0</v>
      </c>
      <c r="I361" s="1">
        <f t="shared" si="0"/>
        <v>8200</v>
      </c>
      <c r="J361" s="1">
        <v>5</v>
      </c>
      <c r="K361" s="1">
        <v>0</v>
      </c>
      <c r="L361" s="1">
        <v>0</v>
      </c>
      <c r="M361" s="1" t="s">
        <v>2352</v>
      </c>
      <c r="N361" s="1" t="s">
        <v>698</v>
      </c>
      <c r="O361" s="1">
        <v>0</v>
      </c>
      <c r="P361" s="1" t="s">
        <v>2059</v>
      </c>
      <c r="Q361" s="7" t="s">
        <v>2839</v>
      </c>
      <c r="R361" s="1">
        <v>0</v>
      </c>
    </row>
    <row r="362" spans="1:18" ht="14.25" thickBot="1">
      <c r="A362" s="1">
        <v>10800090</v>
      </c>
      <c r="B362" s="3">
        <v>1</v>
      </c>
      <c r="C362" s="1" t="s">
        <v>2704</v>
      </c>
      <c r="D362" s="1" t="s">
        <v>16</v>
      </c>
      <c r="E362" s="1">
        <v>9</v>
      </c>
      <c r="F362" s="1">
        <v>1</v>
      </c>
      <c r="G362" s="1">
        <v>80</v>
      </c>
      <c r="H362" s="10">
        <v>0</v>
      </c>
      <c r="I362" s="1">
        <f t="shared" si="0"/>
        <v>8200</v>
      </c>
      <c r="J362" s="1">
        <v>5</v>
      </c>
      <c r="K362" s="1">
        <v>0</v>
      </c>
      <c r="L362" s="1">
        <v>0</v>
      </c>
      <c r="M362" s="1" t="s">
        <v>2353</v>
      </c>
      <c r="N362" s="1" t="s">
        <v>698</v>
      </c>
      <c r="O362" s="1">
        <v>0</v>
      </c>
      <c r="P362" s="1" t="s">
        <v>2059</v>
      </c>
      <c r="Q362" s="7" t="s">
        <v>2840</v>
      </c>
      <c r="R362" s="1">
        <v>0</v>
      </c>
    </row>
    <row r="363" spans="1:18" ht="14.25" thickBot="1">
      <c r="A363" s="1">
        <v>10800100</v>
      </c>
      <c r="B363" s="3">
        <v>1</v>
      </c>
      <c r="C363" s="1" t="s">
        <v>2705</v>
      </c>
      <c r="D363" s="1" t="s">
        <v>17</v>
      </c>
      <c r="E363" s="1">
        <v>10</v>
      </c>
      <c r="F363" s="1">
        <v>1</v>
      </c>
      <c r="G363" s="1">
        <v>80</v>
      </c>
      <c r="H363" s="10">
        <v>0</v>
      </c>
      <c r="I363" s="1">
        <f t="shared" si="0"/>
        <v>8200</v>
      </c>
      <c r="J363" s="1">
        <v>5</v>
      </c>
      <c r="K363" s="1">
        <v>0</v>
      </c>
      <c r="L363" s="1">
        <v>0</v>
      </c>
      <c r="M363" s="1" t="s">
        <v>2354</v>
      </c>
      <c r="N363" s="1" t="s">
        <v>698</v>
      </c>
      <c r="O363" s="1">
        <v>0</v>
      </c>
      <c r="P363" s="1" t="s">
        <v>2059</v>
      </c>
      <c r="Q363" s="7" t="s">
        <v>2841</v>
      </c>
      <c r="R363" s="1">
        <v>0</v>
      </c>
    </row>
    <row r="364" spans="1:18" ht="14.25" thickBot="1">
      <c r="A364" s="1">
        <v>10801050</v>
      </c>
      <c r="B364" s="3">
        <v>1</v>
      </c>
      <c r="C364" s="9" t="s">
        <v>2706</v>
      </c>
      <c r="D364" s="1" t="s">
        <v>12</v>
      </c>
      <c r="E364" s="1">
        <v>5</v>
      </c>
      <c r="F364" s="1">
        <v>1</v>
      </c>
      <c r="G364" s="1">
        <v>80</v>
      </c>
      <c r="H364" s="10" t="s">
        <v>2120</v>
      </c>
      <c r="I364" s="1">
        <f t="shared" si="0"/>
        <v>8200</v>
      </c>
      <c r="J364" s="1">
        <v>5</v>
      </c>
      <c r="K364" s="1">
        <v>0</v>
      </c>
      <c r="L364" s="1">
        <v>0</v>
      </c>
      <c r="M364" s="1" t="s">
        <v>2805</v>
      </c>
      <c r="N364" s="1" t="s">
        <v>698</v>
      </c>
      <c r="O364" s="1">
        <v>0</v>
      </c>
      <c r="P364" s="1" t="s">
        <v>2059</v>
      </c>
      <c r="Q364" s="7" t="s">
        <v>2842</v>
      </c>
      <c r="R364" s="1">
        <v>0</v>
      </c>
    </row>
    <row r="365" spans="1:18" ht="14.25" thickBot="1">
      <c r="A365" s="1">
        <v>10801051</v>
      </c>
      <c r="B365" s="3">
        <v>1</v>
      </c>
      <c r="C365" s="9" t="s">
        <v>2707</v>
      </c>
      <c r="D365" s="1" t="s">
        <v>12</v>
      </c>
      <c r="E365" s="1">
        <v>5</v>
      </c>
      <c r="F365" s="1">
        <v>1</v>
      </c>
      <c r="G365" s="1">
        <v>80</v>
      </c>
      <c r="H365" s="10" t="s">
        <v>2120</v>
      </c>
      <c r="I365" s="1">
        <f t="shared" si="0"/>
        <v>8500</v>
      </c>
      <c r="J365" s="1">
        <v>5</v>
      </c>
      <c r="K365" s="1">
        <v>0</v>
      </c>
      <c r="L365" s="1">
        <v>0</v>
      </c>
      <c r="M365" s="1" t="s">
        <v>2806</v>
      </c>
      <c r="N365" s="1" t="s">
        <v>698</v>
      </c>
      <c r="O365" s="1">
        <v>0</v>
      </c>
      <c r="P365" s="1" t="s">
        <v>2059</v>
      </c>
      <c r="Q365" s="7" t="s">
        <v>2843</v>
      </c>
      <c r="R365" s="1">
        <v>0</v>
      </c>
    </row>
    <row r="366" spans="1:18" ht="14.25" thickBot="1">
      <c r="A366" s="1">
        <v>10801060</v>
      </c>
      <c r="B366" s="3">
        <v>1</v>
      </c>
      <c r="C366" s="9" t="s">
        <v>2708</v>
      </c>
      <c r="D366" s="1" t="s">
        <v>13</v>
      </c>
      <c r="E366" s="1">
        <v>6</v>
      </c>
      <c r="F366" s="1">
        <v>1</v>
      </c>
      <c r="G366" s="1">
        <v>80</v>
      </c>
      <c r="H366" s="10" t="s">
        <v>2120</v>
      </c>
      <c r="I366" s="1">
        <f>I344+600</f>
        <v>8200</v>
      </c>
      <c r="J366" s="1">
        <v>5</v>
      </c>
      <c r="K366" s="1">
        <v>0</v>
      </c>
      <c r="L366" s="1">
        <v>0</v>
      </c>
      <c r="M366" s="1" t="s">
        <v>2355</v>
      </c>
      <c r="N366" s="1" t="s">
        <v>698</v>
      </c>
      <c r="O366" s="1">
        <v>0</v>
      </c>
      <c r="P366" s="1" t="s">
        <v>2059</v>
      </c>
      <c r="Q366" s="7" t="s">
        <v>2844</v>
      </c>
      <c r="R366" s="1">
        <v>0</v>
      </c>
    </row>
    <row r="367" spans="1:18" ht="14.25" thickBot="1">
      <c r="A367" s="1">
        <v>10801061</v>
      </c>
      <c r="B367" s="3">
        <v>1</v>
      </c>
      <c r="C367" s="9" t="s">
        <v>2709</v>
      </c>
      <c r="D367" s="1" t="s">
        <v>13</v>
      </c>
      <c r="E367" s="1">
        <v>6</v>
      </c>
      <c r="F367" s="1">
        <v>1</v>
      </c>
      <c r="G367" s="1">
        <v>80</v>
      </c>
      <c r="H367" s="10" t="s">
        <v>2120</v>
      </c>
      <c r="I367" s="1">
        <f t="shared" si="0"/>
        <v>8500</v>
      </c>
      <c r="J367" s="1">
        <v>5</v>
      </c>
      <c r="K367" s="1">
        <v>0</v>
      </c>
      <c r="L367" s="1">
        <v>0</v>
      </c>
      <c r="M367" s="1" t="s">
        <v>2356</v>
      </c>
      <c r="N367" s="1" t="s">
        <v>698</v>
      </c>
      <c r="O367" s="1">
        <v>0</v>
      </c>
      <c r="P367" s="1" t="s">
        <v>2059</v>
      </c>
      <c r="Q367" s="7" t="s">
        <v>2845</v>
      </c>
      <c r="R367" s="1">
        <v>0</v>
      </c>
    </row>
    <row r="368" spans="1:18" ht="14.25" thickBot="1">
      <c r="A368" s="1">
        <v>10802050</v>
      </c>
      <c r="B368" s="3">
        <v>1</v>
      </c>
      <c r="C368" s="1" t="s">
        <v>2710</v>
      </c>
      <c r="D368" s="1" t="s">
        <v>12</v>
      </c>
      <c r="E368" s="1">
        <v>5</v>
      </c>
      <c r="F368" s="1">
        <v>1</v>
      </c>
      <c r="G368" s="1">
        <v>80</v>
      </c>
      <c r="H368" s="10" t="s">
        <v>2121</v>
      </c>
      <c r="I368" s="1">
        <f t="shared" si="0"/>
        <v>8200</v>
      </c>
      <c r="J368" s="1">
        <v>5</v>
      </c>
      <c r="K368" s="1">
        <v>0</v>
      </c>
      <c r="L368" s="1">
        <v>0</v>
      </c>
      <c r="M368" s="1" t="s">
        <v>2805</v>
      </c>
      <c r="N368" s="1" t="s">
        <v>698</v>
      </c>
      <c r="O368" s="1">
        <v>0</v>
      </c>
      <c r="P368" s="1" t="s">
        <v>2059</v>
      </c>
      <c r="Q368" s="7" t="s">
        <v>2846</v>
      </c>
      <c r="R368" s="1">
        <v>0</v>
      </c>
    </row>
    <row r="369" spans="1:18" ht="14.25" thickBot="1">
      <c r="A369" s="1">
        <v>10802051</v>
      </c>
      <c r="B369" s="3">
        <v>1</v>
      </c>
      <c r="C369" s="1" t="s">
        <v>2711</v>
      </c>
      <c r="D369" s="1" t="s">
        <v>12</v>
      </c>
      <c r="E369" s="1">
        <v>5</v>
      </c>
      <c r="F369" s="1">
        <v>1</v>
      </c>
      <c r="G369" s="1">
        <v>80</v>
      </c>
      <c r="H369" s="10" t="s">
        <v>2121</v>
      </c>
      <c r="I369" s="1">
        <f t="shared" si="0"/>
        <v>8500</v>
      </c>
      <c r="J369" s="1">
        <v>5</v>
      </c>
      <c r="K369" s="1">
        <v>0</v>
      </c>
      <c r="L369" s="1">
        <v>0</v>
      </c>
      <c r="M369" s="1" t="s">
        <v>2806</v>
      </c>
      <c r="N369" s="1" t="s">
        <v>698</v>
      </c>
      <c r="O369" s="1">
        <v>0</v>
      </c>
      <c r="P369" s="1" t="s">
        <v>2059</v>
      </c>
      <c r="Q369" s="7" t="s">
        <v>2847</v>
      </c>
      <c r="R369" s="1">
        <v>0</v>
      </c>
    </row>
    <row r="370" spans="1:18" ht="14.25" thickBot="1">
      <c r="A370" s="1">
        <v>10802060</v>
      </c>
      <c r="B370" s="3">
        <v>1</v>
      </c>
      <c r="C370" s="9" t="s">
        <v>2712</v>
      </c>
      <c r="D370" s="1" t="s">
        <v>13</v>
      </c>
      <c r="E370" s="1">
        <v>6</v>
      </c>
      <c r="F370" s="1">
        <v>1</v>
      </c>
      <c r="G370" s="1">
        <v>80</v>
      </c>
      <c r="H370" s="10" t="s">
        <v>2121</v>
      </c>
      <c r="I370" s="1">
        <f t="shared" si="0"/>
        <v>8200</v>
      </c>
      <c r="J370" s="1">
        <v>5</v>
      </c>
      <c r="K370" s="1">
        <v>0</v>
      </c>
      <c r="L370" s="1">
        <v>0</v>
      </c>
      <c r="M370" s="1" t="s">
        <v>2357</v>
      </c>
      <c r="N370" s="1" t="s">
        <v>698</v>
      </c>
      <c r="O370" s="1">
        <v>0</v>
      </c>
      <c r="P370" s="1" t="s">
        <v>2059</v>
      </c>
      <c r="Q370" s="7" t="s">
        <v>2848</v>
      </c>
      <c r="R370" s="1">
        <v>0</v>
      </c>
    </row>
    <row r="371" spans="1:18" ht="14.25" thickBot="1">
      <c r="A371" s="1">
        <v>10802061</v>
      </c>
      <c r="B371" s="3">
        <v>1</v>
      </c>
      <c r="C371" s="9" t="s">
        <v>2713</v>
      </c>
      <c r="D371" s="1" t="s">
        <v>13</v>
      </c>
      <c r="E371" s="1">
        <v>6</v>
      </c>
      <c r="F371" s="1">
        <v>1</v>
      </c>
      <c r="G371" s="1">
        <v>80</v>
      </c>
      <c r="H371" s="10" t="s">
        <v>2121</v>
      </c>
      <c r="I371" s="1">
        <f t="shared" si="0"/>
        <v>8500</v>
      </c>
      <c r="J371" s="1">
        <v>5</v>
      </c>
      <c r="K371" s="1">
        <v>0</v>
      </c>
      <c r="L371" s="1">
        <v>0</v>
      </c>
      <c r="M371" s="1" t="s">
        <v>2358</v>
      </c>
      <c r="N371" s="1" t="s">
        <v>698</v>
      </c>
      <c r="O371" s="1">
        <v>0</v>
      </c>
      <c r="P371" s="1" t="s">
        <v>2059</v>
      </c>
      <c r="Q371" s="7" t="s">
        <v>2849</v>
      </c>
      <c r="R371" s="1">
        <v>0</v>
      </c>
    </row>
    <row r="372" spans="1:18" ht="14.25" thickBot="1">
      <c r="A372" s="1">
        <v>10803050</v>
      </c>
      <c r="B372" s="3">
        <v>1</v>
      </c>
      <c r="C372" s="9" t="s">
        <v>2714</v>
      </c>
      <c r="D372" s="1" t="s">
        <v>12</v>
      </c>
      <c r="E372" s="1">
        <v>5</v>
      </c>
      <c r="F372" s="1">
        <v>1</v>
      </c>
      <c r="G372" s="1">
        <v>80</v>
      </c>
      <c r="H372" s="10" t="s">
        <v>2122</v>
      </c>
      <c r="I372" s="1">
        <f t="shared" si="0"/>
        <v>8200</v>
      </c>
      <c r="J372" s="1">
        <v>5</v>
      </c>
      <c r="K372" s="1">
        <v>0</v>
      </c>
      <c r="L372" s="1">
        <v>0</v>
      </c>
      <c r="M372" s="1" t="s">
        <v>2805</v>
      </c>
      <c r="N372" s="1" t="s">
        <v>698</v>
      </c>
      <c r="O372" s="1">
        <v>0</v>
      </c>
      <c r="P372" s="1" t="s">
        <v>2059</v>
      </c>
      <c r="Q372" s="7" t="s">
        <v>2850</v>
      </c>
      <c r="R372" s="1">
        <v>0</v>
      </c>
    </row>
    <row r="373" spans="1:18" ht="14.25" thickBot="1">
      <c r="A373" s="1">
        <v>10803051</v>
      </c>
      <c r="B373" s="3">
        <v>1</v>
      </c>
      <c r="C373" s="9" t="s">
        <v>2715</v>
      </c>
      <c r="D373" s="1" t="s">
        <v>12</v>
      </c>
      <c r="E373" s="1">
        <v>5</v>
      </c>
      <c r="F373" s="1">
        <v>1</v>
      </c>
      <c r="G373" s="1">
        <v>80</v>
      </c>
      <c r="H373" s="10" t="s">
        <v>2122</v>
      </c>
      <c r="I373" s="1">
        <f t="shared" si="0"/>
        <v>8500</v>
      </c>
      <c r="J373" s="1">
        <v>5</v>
      </c>
      <c r="K373" s="1">
        <v>0</v>
      </c>
      <c r="L373" s="1">
        <v>0</v>
      </c>
      <c r="M373" s="1" t="s">
        <v>2806</v>
      </c>
      <c r="N373" s="1" t="s">
        <v>698</v>
      </c>
      <c r="O373" s="1">
        <v>0</v>
      </c>
      <c r="P373" s="1" t="s">
        <v>2059</v>
      </c>
      <c r="Q373" s="7" t="s">
        <v>2851</v>
      </c>
      <c r="R373" s="1">
        <v>0</v>
      </c>
    </row>
    <row r="374" spans="1:18" ht="14.25" thickBot="1">
      <c r="A374" s="1">
        <v>10803060</v>
      </c>
      <c r="B374" s="3">
        <v>1</v>
      </c>
      <c r="C374" s="9" t="s">
        <v>2716</v>
      </c>
      <c r="D374" s="1" t="s">
        <v>13</v>
      </c>
      <c r="E374" s="1">
        <v>6</v>
      </c>
      <c r="F374" s="1">
        <v>1</v>
      </c>
      <c r="G374" s="1">
        <v>80</v>
      </c>
      <c r="H374" s="10" t="s">
        <v>2122</v>
      </c>
      <c r="I374" s="1">
        <f t="shared" si="0"/>
        <v>8200</v>
      </c>
      <c r="J374" s="1">
        <v>5</v>
      </c>
      <c r="K374" s="1">
        <v>0</v>
      </c>
      <c r="L374" s="1">
        <v>0</v>
      </c>
      <c r="M374" s="1" t="s">
        <v>2359</v>
      </c>
      <c r="N374" s="1" t="s">
        <v>698</v>
      </c>
      <c r="O374" s="1">
        <v>0</v>
      </c>
      <c r="P374" s="1" t="s">
        <v>2059</v>
      </c>
      <c r="Q374" s="7" t="s">
        <v>2852</v>
      </c>
      <c r="R374" s="1">
        <v>0</v>
      </c>
    </row>
    <row r="375" spans="1:18" ht="14.25" thickBot="1">
      <c r="A375" s="1">
        <v>10803061</v>
      </c>
      <c r="B375" s="3">
        <v>1</v>
      </c>
      <c r="C375" s="9" t="s">
        <v>2717</v>
      </c>
      <c r="D375" s="1" t="s">
        <v>13</v>
      </c>
      <c r="E375" s="1">
        <v>6</v>
      </c>
      <c r="F375" s="1">
        <v>1</v>
      </c>
      <c r="G375" s="1">
        <v>80</v>
      </c>
      <c r="H375" s="10" t="s">
        <v>2122</v>
      </c>
      <c r="I375" s="1">
        <f t="shared" si="0"/>
        <v>8500</v>
      </c>
      <c r="J375" s="1">
        <v>5</v>
      </c>
      <c r="K375" s="1">
        <v>0</v>
      </c>
      <c r="L375" s="1">
        <v>0</v>
      </c>
      <c r="M375" s="1" t="s">
        <v>2360</v>
      </c>
      <c r="N375" s="1" t="s">
        <v>698</v>
      </c>
      <c r="O375" s="1">
        <v>0</v>
      </c>
      <c r="P375" s="1" t="s">
        <v>2059</v>
      </c>
      <c r="Q375" s="7" t="s">
        <v>2853</v>
      </c>
      <c r="R375" s="1">
        <v>0</v>
      </c>
    </row>
    <row r="376" spans="1:18" ht="14.25" thickBot="1">
      <c r="A376" s="1">
        <v>10800040</v>
      </c>
      <c r="B376" s="3">
        <v>1</v>
      </c>
      <c r="C376" s="1" t="s">
        <v>2718</v>
      </c>
      <c r="D376" s="1" t="s">
        <v>11</v>
      </c>
      <c r="E376" s="1">
        <v>4</v>
      </c>
      <c r="F376" s="1">
        <v>1</v>
      </c>
      <c r="G376" s="1">
        <v>80</v>
      </c>
      <c r="H376" s="10">
        <v>0</v>
      </c>
      <c r="I376" s="1">
        <f t="shared" si="0"/>
        <v>8200</v>
      </c>
      <c r="J376" s="1">
        <v>5</v>
      </c>
      <c r="K376" s="1">
        <v>0</v>
      </c>
      <c r="L376" s="1">
        <v>0</v>
      </c>
      <c r="M376" s="1" t="s">
        <v>2361</v>
      </c>
      <c r="N376" s="1" t="s">
        <v>698</v>
      </c>
      <c r="O376" s="1">
        <v>0</v>
      </c>
      <c r="P376" s="1" t="s">
        <v>2059</v>
      </c>
      <c r="Q376" s="7" t="s">
        <v>2854</v>
      </c>
      <c r="R376" s="1">
        <v>0</v>
      </c>
    </row>
    <row r="377" spans="1:18" ht="14.25" thickBot="1">
      <c r="A377" s="1">
        <v>10800041</v>
      </c>
      <c r="B377" s="3">
        <v>1</v>
      </c>
      <c r="C377" s="1" t="s">
        <v>2719</v>
      </c>
      <c r="D377" s="1" t="s">
        <v>11</v>
      </c>
      <c r="E377" s="1">
        <v>4</v>
      </c>
      <c r="F377" s="1">
        <v>1</v>
      </c>
      <c r="G377" s="1">
        <v>80</v>
      </c>
      <c r="H377" s="10">
        <v>0</v>
      </c>
      <c r="I377" s="1">
        <f t="shared" si="0"/>
        <v>8500</v>
      </c>
      <c r="J377" s="1">
        <v>5</v>
      </c>
      <c r="K377" s="1">
        <v>0</v>
      </c>
      <c r="L377" s="1">
        <v>0</v>
      </c>
      <c r="M377" s="1" t="s">
        <v>2362</v>
      </c>
      <c r="N377" s="1" t="s">
        <v>698</v>
      </c>
      <c r="O377" s="1">
        <v>0</v>
      </c>
      <c r="P377" s="1" t="s">
        <v>2059</v>
      </c>
      <c r="Q377" s="7" t="s">
        <v>2855</v>
      </c>
      <c r="R377" s="1">
        <v>0</v>
      </c>
    </row>
    <row r="378" spans="1:18" ht="14.25" thickBot="1">
      <c r="A378" s="1">
        <v>10800070</v>
      </c>
      <c r="B378" s="3">
        <v>1</v>
      </c>
      <c r="C378" s="1" t="s">
        <v>2720</v>
      </c>
      <c r="D378" s="1" t="s">
        <v>14</v>
      </c>
      <c r="E378" s="1">
        <v>7</v>
      </c>
      <c r="F378" s="1">
        <v>1</v>
      </c>
      <c r="G378" s="1">
        <v>80</v>
      </c>
      <c r="H378" s="10">
        <v>0</v>
      </c>
      <c r="I378" s="1">
        <f t="shared" si="0"/>
        <v>8200</v>
      </c>
      <c r="J378" s="1">
        <v>5</v>
      </c>
      <c r="K378" s="1">
        <v>0</v>
      </c>
      <c r="L378" s="1">
        <v>0</v>
      </c>
      <c r="M378" s="1" t="s">
        <v>2361</v>
      </c>
      <c r="N378" s="1" t="s">
        <v>698</v>
      </c>
      <c r="O378" s="1">
        <v>0</v>
      </c>
      <c r="P378" s="1" t="s">
        <v>2059</v>
      </c>
      <c r="Q378" s="7" t="s">
        <v>2856</v>
      </c>
      <c r="R378" s="1">
        <v>0</v>
      </c>
    </row>
    <row r="379" spans="1:18" ht="14.25" thickBot="1">
      <c r="A379" s="1">
        <v>10800071</v>
      </c>
      <c r="B379" s="3">
        <v>1</v>
      </c>
      <c r="C379" s="1" t="s">
        <v>2721</v>
      </c>
      <c r="D379" s="1" t="s">
        <v>14</v>
      </c>
      <c r="E379" s="1">
        <v>7</v>
      </c>
      <c r="F379" s="1">
        <v>1</v>
      </c>
      <c r="G379" s="1">
        <v>80</v>
      </c>
      <c r="H379" s="10">
        <v>0</v>
      </c>
      <c r="I379" s="1">
        <f t="shared" si="0"/>
        <v>8500</v>
      </c>
      <c r="J379" s="1">
        <v>5</v>
      </c>
      <c r="K379" s="1">
        <v>0</v>
      </c>
      <c r="L379" s="1">
        <v>0</v>
      </c>
      <c r="M379" s="1" t="s">
        <v>2362</v>
      </c>
      <c r="N379" s="1" t="s">
        <v>698</v>
      </c>
      <c r="O379" s="1">
        <v>0</v>
      </c>
      <c r="P379" s="1" t="s">
        <v>2059</v>
      </c>
      <c r="Q379" s="7" t="s">
        <v>2857</v>
      </c>
      <c r="R379" s="1">
        <v>0</v>
      </c>
    </row>
    <row r="380" spans="1:18" ht="14.25" thickBot="1">
      <c r="A380" s="1">
        <v>10850010</v>
      </c>
      <c r="B380" s="3">
        <v>1</v>
      </c>
      <c r="C380" s="1" t="s">
        <v>2722</v>
      </c>
      <c r="D380" s="1" t="s">
        <v>8</v>
      </c>
      <c r="E380" s="1">
        <v>1</v>
      </c>
      <c r="F380" s="1">
        <v>1</v>
      </c>
      <c r="G380" s="1">
        <v>85</v>
      </c>
      <c r="H380" s="10">
        <v>0</v>
      </c>
      <c r="I380" s="1">
        <f t="shared" si="0"/>
        <v>8800</v>
      </c>
      <c r="J380" s="1">
        <v>5</v>
      </c>
      <c r="K380" s="1">
        <v>0</v>
      </c>
      <c r="L380" s="1">
        <v>0</v>
      </c>
      <c r="M380" s="1" t="s">
        <v>2363</v>
      </c>
      <c r="N380" s="1" t="s">
        <v>698</v>
      </c>
      <c r="O380" s="1">
        <v>0</v>
      </c>
      <c r="P380" s="1" t="s">
        <v>2059</v>
      </c>
      <c r="Q380" s="7" t="s">
        <v>2888</v>
      </c>
      <c r="R380" s="1">
        <v>0</v>
      </c>
    </row>
    <row r="381" spans="1:18" ht="14.25" thickBot="1">
      <c r="A381" s="1">
        <v>10850020</v>
      </c>
      <c r="B381" s="3">
        <v>1</v>
      </c>
      <c r="C381" s="1" t="s">
        <v>2723</v>
      </c>
      <c r="D381" s="1" t="s">
        <v>9</v>
      </c>
      <c r="E381" s="1">
        <v>2</v>
      </c>
      <c r="F381" s="1">
        <v>1</v>
      </c>
      <c r="G381" s="1">
        <v>85</v>
      </c>
      <c r="H381" s="10">
        <v>0</v>
      </c>
      <c r="I381" s="1">
        <f>I359+600</f>
        <v>8800</v>
      </c>
      <c r="J381" s="1">
        <v>5</v>
      </c>
      <c r="K381" s="1">
        <v>0</v>
      </c>
      <c r="L381" s="1">
        <v>0</v>
      </c>
      <c r="M381" s="1" t="s">
        <v>2364</v>
      </c>
      <c r="N381" s="1" t="s">
        <v>698</v>
      </c>
      <c r="O381" s="1">
        <v>0</v>
      </c>
      <c r="P381" s="1" t="s">
        <v>2059</v>
      </c>
      <c r="Q381" s="7" t="s">
        <v>2895</v>
      </c>
      <c r="R381" s="1">
        <v>0</v>
      </c>
    </row>
    <row r="382" spans="1:18" ht="14.25" thickBot="1">
      <c r="A382" s="1">
        <v>10850030</v>
      </c>
      <c r="B382" s="3">
        <v>1</v>
      </c>
      <c r="C382" s="1" t="s">
        <v>2724</v>
      </c>
      <c r="D382" s="1" t="s">
        <v>10</v>
      </c>
      <c r="E382" s="1">
        <v>3</v>
      </c>
      <c r="F382" s="1">
        <v>1</v>
      </c>
      <c r="G382" s="1">
        <v>85</v>
      </c>
      <c r="H382" s="10">
        <v>0</v>
      </c>
      <c r="I382" s="1">
        <f t="shared" si="0"/>
        <v>8800</v>
      </c>
      <c r="J382" s="1">
        <v>5</v>
      </c>
      <c r="K382" s="1">
        <v>0</v>
      </c>
      <c r="L382" s="1">
        <v>0</v>
      </c>
      <c r="M382" s="1" t="s">
        <v>2365</v>
      </c>
      <c r="N382" s="1" t="s">
        <v>698</v>
      </c>
      <c r="O382" s="1">
        <v>0</v>
      </c>
      <c r="P382" s="1" t="s">
        <v>2059</v>
      </c>
      <c r="Q382" s="7" t="s">
        <v>2891</v>
      </c>
      <c r="R382" s="1">
        <v>0</v>
      </c>
    </row>
    <row r="383" spans="1:18" ht="14.25" thickBot="1">
      <c r="A383" s="1">
        <v>10850080</v>
      </c>
      <c r="B383" s="3">
        <v>1</v>
      </c>
      <c r="C383" s="1" t="s">
        <v>2725</v>
      </c>
      <c r="D383" s="1" t="s">
        <v>15</v>
      </c>
      <c r="E383" s="1">
        <v>8</v>
      </c>
      <c r="F383" s="1">
        <v>1</v>
      </c>
      <c r="G383" s="1">
        <v>85</v>
      </c>
      <c r="H383" s="10">
        <v>0</v>
      </c>
      <c r="I383" s="1">
        <f t="shared" si="0"/>
        <v>8800</v>
      </c>
      <c r="J383" s="1">
        <v>5</v>
      </c>
      <c r="K383" s="1">
        <v>0</v>
      </c>
      <c r="L383" s="1">
        <v>0</v>
      </c>
      <c r="M383" s="1" t="s">
        <v>2366</v>
      </c>
      <c r="N383" s="1" t="s">
        <v>698</v>
      </c>
      <c r="O383" s="1">
        <v>0</v>
      </c>
      <c r="P383" s="1" t="s">
        <v>2059</v>
      </c>
      <c r="Q383" s="7" t="s">
        <v>2892</v>
      </c>
      <c r="R383" s="1">
        <v>0</v>
      </c>
    </row>
    <row r="384" spans="1:18" ht="14.25" thickBot="1">
      <c r="A384" s="1">
        <v>10850090</v>
      </c>
      <c r="B384" s="3">
        <v>1</v>
      </c>
      <c r="C384" s="1" t="s">
        <v>2726</v>
      </c>
      <c r="D384" s="1" t="s">
        <v>16</v>
      </c>
      <c r="E384" s="1">
        <v>9</v>
      </c>
      <c r="F384" s="1">
        <v>1</v>
      </c>
      <c r="G384" s="1">
        <v>85</v>
      </c>
      <c r="H384" s="10">
        <v>0</v>
      </c>
      <c r="I384" s="1">
        <f t="shared" si="0"/>
        <v>8800</v>
      </c>
      <c r="J384" s="1">
        <v>5</v>
      </c>
      <c r="K384" s="1">
        <v>0</v>
      </c>
      <c r="L384" s="1">
        <v>0</v>
      </c>
      <c r="M384" s="1" t="s">
        <v>2367</v>
      </c>
      <c r="N384" s="1" t="s">
        <v>698</v>
      </c>
      <c r="O384" s="1">
        <v>0</v>
      </c>
      <c r="P384" s="1" t="s">
        <v>2059</v>
      </c>
      <c r="Q384" s="7" t="s">
        <v>2893</v>
      </c>
      <c r="R384" s="1">
        <v>0</v>
      </c>
    </row>
    <row r="385" spans="1:18" ht="14.25" thickBot="1">
      <c r="A385" s="1">
        <v>10850100</v>
      </c>
      <c r="B385" s="3">
        <v>1</v>
      </c>
      <c r="C385" s="1" t="s">
        <v>2727</v>
      </c>
      <c r="D385" s="1" t="s">
        <v>17</v>
      </c>
      <c r="E385" s="1">
        <v>10</v>
      </c>
      <c r="F385" s="1">
        <v>1</v>
      </c>
      <c r="G385" s="1">
        <v>85</v>
      </c>
      <c r="H385" s="10">
        <v>0</v>
      </c>
      <c r="I385" s="1">
        <f t="shared" si="0"/>
        <v>8800</v>
      </c>
      <c r="J385" s="1">
        <v>5</v>
      </c>
      <c r="K385" s="1">
        <v>0</v>
      </c>
      <c r="L385" s="1">
        <v>0</v>
      </c>
      <c r="M385" s="1" t="s">
        <v>2368</v>
      </c>
      <c r="N385" s="1" t="s">
        <v>698</v>
      </c>
      <c r="O385" s="1">
        <v>0</v>
      </c>
      <c r="P385" s="1" t="s">
        <v>2059</v>
      </c>
      <c r="Q385" s="7" t="s">
        <v>2894</v>
      </c>
      <c r="R385" s="1">
        <v>0</v>
      </c>
    </row>
    <row r="386" spans="1:18" ht="14.25" thickBot="1">
      <c r="A386" s="1">
        <v>10851050</v>
      </c>
      <c r="B386" s="3">
        <v>1</v>
      </c>
      <c r="C386" s="9" t="s">
        <v>2728</v>
      </c>
      <c r="D386" s="1" t="s">
        <v>12</v>
      </c>
      <c r="E386" s="1">
        <v>5</v>
      </c>
      <c r="F386" s="1">
        <v>1</v>
      </c>
      <c r="G386" s="1">
        <v>85</v>
      </c>
      <c r="H386" s="10" t="s">
        <v>2120</v>
      </c>
      <c r="I386" s="1">
        <f>I364+600</f>
        <v>8800</v>
      </c>
      <c r="J386" s="1">
        <v>5</v>
      </c>
      <c r="K386" s="1">
        <v>0</v>
      </c>
      <c r="L386" s="1">
        <v>0</v>
      </c>
      <c r="M386" s="1" t="s">
        <v>2807</v>
      </c>
      <c r="N386" s="1" t="s">
        <v>698</v>
      </c>
      <c r="O386" s="1">
        <v>0</v>
      </c>
      <c r="P386" s="1" t="s">
        <v>2059</v>
      </c>
      <c r="Q386" s="7" t="s">
        <v>2873</v>
      </c>
      <c r="R386" s="1">
        <v>0</v>
      </c>
    </row>
    <row r="387" spans="1:18" ht="14.25" thickBot="1">
      <c r="A387" s="1">
        <v>10851051</v>
      </c>
      <c r="B387" s="3">
        <v>0</v>
      </c>
      <c r="C387" s="9" t="s">
        <v>2729</v>
      </c>
      <c r="D387" s="1" t="s">
        <v>12</v>
      </c>
      <c r="E387" s="1">
        <v>5</v>
      </c>
      <c r="F387" s="1">
        <v>1</v>
      </c>
      <c r="G387" s="1">
        <v>85</v>
      </c>
      <c r="H387" s="10" t="s">
        <v>2120</v>
      </c>
      <c r="I387" s="1">
        <f t="shared" si="0"/>
        <v>9100</v>
      </c>
      <c r="J387" s="1">
        <v>5</v>
      </c>
      <c r="K387" s="1">
        <v>0</v>
      </c>
      <c r="L387" s="1">
        <v>0</v>
      </c>
      <c r="M387" s="1" t="s">
        <v>2808</v>
      </c>
      <c r="N387" s="1" t="s">
        <v>698</v>
      </c>
      <c r="O387" s="1">
        <v>0</v>
      </c>
      <c r="P387" s="1" t="s">
        <v>2059</v>
      </c>
      <c r="Q387" s="7" t="s">
        <v>2874</v>
      </c>
      <c r="R387" s="1">
        <v>0</v>
      </c>
    </row>
    <row r="388" spans="1:18" ht="14.25" thickBot="1">
      <c r="A388" s="1">
        <v>10851060</v>
      </c>
      <c r="B388" s="3">
        <v>1</v>
      </c>
      <c r="C388" s="9" t="s">
        <v>2730</v>
      </c>
      <c r="D388" s="1" t="s">
        <v>13</v>
      </c>
      <c r="E388" s="1">
        <v>6</v>
      </c>
      <c r="F388" s="1">
        <v>1</v>
      </c>
      <c r="G388" s="1">
        <v>85</v>
      </c>
      <c r="H388" s="10" t="s">
        <v>2120</v>
      </c>
      <c r="I388" s="1">
        <f t="shared" si="0"/>
        <v>8800</v>
      </c>
      <c r="J388" s="1">
        <v>5</v>
      </c>
      <c r="K388" s="1">
        <v>0</v>
      </c>
      <c r="L388" s="1">
        <v>0</v>
      </c>
      <c r="M388" s="1" t="s">
        <v>2369</v>
      </c>
      <c r="N388" s="1" t="s">
        <v>698</v>
      </c>
      <c r="O388" s="1">
        <v>0</v>
      </c>
      <c r="P388" s="1" t="s">
        <v>2059</v>
      </c>
      <c r="Q388" s="7" t="s">
        <v>2875</v>
      </c>
      <c r="R388" s="1">
        <v>0</v>
      </c>
    </row>
    <row r="389" spans="1:18" ht="14.25" thickBot="1">
      <c r="A389" s="1">
        <v>10851061</v>
      </c>
      <c r="B389" s="3">
        <v>0</v>
      </c>
      <c r="C389" s="9" t="s">
        <v>2731</v>
      </c>
      <c r="D389" s="1" t="s">
        <v>13</v>
      </c>
      <c r="E389" s="1">
        <v>6</v>
      </c>
      <c r="F389" s="1">
        <v>1</v>
      </c>
      <c r="G389" s="1">
        <v>85</v>
      </c>
      <c r="H389" s="10" t="s">
        <v>2120</v>
      </c>
      <c r="I389" s="1">
        <f t="shared" si="0"/>
        <v>9100</v>
      </c>
      <c r="J389" s="1">
        <v>5</v>
      </c>
      <c r="K389" s="1">
        <v>0</v>
      </c>
      <c r="L389" s="1">
        <v>0</v>
      </c>
      <c r="M389" s="1" t="s">
        <v>2370</v>
      </c>
      <c r="N389" s="1" t="s">
        <v>698</v>
      </c>
      <c r="O389" s="1">
        <v>0</v>
      </c>
      <c r="P389" s="1" t="s">
        <v>2059</v>
      </c>
      <c r="Q389" s="7" t="s">
        <v>2901</v>
      </c>
      <c r="R389" s="1">
        <v>0</v>
      </c>
    </row>
    <row r="390" spans="1:18" ht="14.25" thickBot="1">
      <c r="A390" s="1">
        <v>10852050</v>
      </c>
      <c r="B390" s="3">
        <v>1</v>
      </c>
      <c r="C390" s="1" t="s">
        <v>2732</v>
      </c>
      <c r="D390" s="1" t="s">
        <v>12</v>
      </c>
      <c r="E390" s="1">
        <v>5</v>
      </c>
      <c r="F390" s="1">
        <v>1</v>
      </c>
      <c r="G390" s="1">
        <v>85</v>
      </c>
      <c r="H390" s="10" t="s">
        <v>2121</v>
      </c>
      <c r="I390" s="1">
        <f t="shared" si="0"/>
        <v>8800</v>
      </c>
      <c r="J390" s="1">
        <v>5</v>
      </c>
      <c r="K390" s="1">
        <v>0</v>
      </c>
      <c r="L390" s="1">
        <v>0</v>
      </c>
      <c r="M390" s="1" t="s">
        <v>2807</v>
      </c>
      <c r="N390" s="1" t="s">
        <v>698</v>
      </c>
      <c r="O390" s="1">
        <v>0</v>
      </c>
      <c r="P390" s="1" t="s">
        <v>2059</v>
      </c>
      <c r="Q390" s="7" t="s">
        <v>2877</v>
      </c>
      <c r="R390" s="1">
        <v>0</v>
      </c>
    </row>
    <row r="391" spans="1:18" ht="14.25" thickBot="1">
      <c r="A391" s="1">
        <v>10852051</v>
      </c>
      <c r="B391" s="3">
        <v>0</v>
      </c>
      <c r="C391" s="1" t="s">
        <v>2733</v>
      </c>
      <c r="D391" s="1" t="s">
        <v>12</v>
      </c>
      <c r="E391" s="1">
        <v>5</v>
      </c>
      <c r="F391" s="1">
        <v>1</v>
      </c>
      <c r="G391" s="1">
        <v>85</v>
      </c>
      <c r="H391" s="10" t="s">
        <v>2121</v>
      </c>
      <c r="I391" s="1">
        <f t="shared" si="0"/>
        <v>9100</v>
      </c>
      <c r="J391" s="1">
        <v>5</v>
      </c>
      <c r="K391" s="1">
        <v>0</v>
      </c>
      <c r="L391" s="1">
        <v>0</v>
      </c>
      <c r="M391" s="1" t="s">
        <v>2808</v>
      </c>
      <c r="N391" s="1" t="s">
        <v>698</v>
      </c>
      <c r="O391" s="1">
        <v>0</v>
      </c>
      <c r="P391" s="1" t="s">
        <v>2059</v>
      </c>
      <c r="Q391" s="7" t="s">
        <v>2878</v>
      </c>
      <c r="R391" s="1">
        <v>0</v>
      </c>
    </row>
    <row r="392" spans="1:18" ht="14.25" thickBot="1">
      <c r="A392" s="1">
        <v>10852060</v>
      </c>
      <c r="B392" s="3">
        <v>1</v>
      </c>
      <c r="C392" s="9" t="s">
        <v>2734</v>
      </c>
      <c r="D392" s="1" t="s">
        <v>13</v>
      </c>
      <c r="E392" s="1">
        <v>6</v>
      </c>
      <c r="F392" s="1">
        <v>1</v>
      </c>
      <c r="G392" s="1">
        <v>85</v>
      </c>
      <c r="H392" s="10" t="s">
        <v>2121</v>
      </c>
      <c r="I392" s="1">
        <f t="shared" si="0"/>
        <v>8800</v>
      </c>
      <c r="J392" s="1">
        <v>5</v>
      </c>
      <c r="K392" s="1">
        <v>0</v>
      </c>
      <c r="L392" s="1">
        <v>0</v>
      </c>
      <c r="M392" s="1" t="s">
        <v>2371</v>
      </c>
      <c r="N392" s="1" t="s">
        <v>698</v>
      </c>
      <c r="O392" s="1">
        <v>0</v>
      </c>
      <c r="P392" s="1" t="s">
        <v>2059</v>
      </c>
      <c r="Q392" s="7" t="s">
        <v>2879</v>
      </c>
      <c r="R392" s="1">
        <v>0</v>
      </c>
    </row>
    <row r="393" spans="1:18" ht="14.25" thickBot="1">
      <c r="A393" s="1">
        <v>10852061</v>
      </c>
      <c r="B393" s="3">
        <v>0</v>
      </c>
      <c r="C393" s="9" t="s">
        <v>2735</v>
      </c>
      <c r="D393" s="1" t="s">
        <v>13</v>
      </c>
      <c r="E393" s="1">
        <v>6</v>
      </c>
      <c r="F393" s="1">
        <v>1</v>
      </c>
      <c r="G393" s="1">
        <v>85</v>
      </c>
      <c r="H393" s="10" t="s">
        <v>2121</v>
      </c>
      <c r="I393" s="1">
        <f>I371+600</f>
        <v>9100</v>
      </c>
      <c r="J393" s="1">
        <v>5</v>
      </c>
      <c r="K393" s="1">
        <v>0</v>
      </c>
      <c r="L393" s="1">
        <v>0</v>
      </c>
      <c r="M393" s="1" t="s">
        <v>2372</v>
      </c>
      <c r="N393" s="1" t="s">
        <v>698</v>
      </c>
      <c r="O393" s="1">
        <v>0</v>
      </c>
      <c r="P393" s="1" t="s">
        <v>2059</v>
      </c>
      <c r="Q393" s="7" t="s">
        <v>2880</v>
      </c>
      <c r="R393" s="1">
        <v>0</v>
      </c>
    </row>
    <row r="394" spans="1:18" ht="14.25" thickBot="1">
      <c r="A394" s="1">
        <v>10853050</v>
      </c>
      <c r="B394" s="3">
        <v>1</v>
      </c>
      <c r="C394" s="9" t="s">
        <v>2736</v>
      </c>
      <c r="D394" s="1" t="s">
        <v>12</v>
      </c>
      <c r="E394" s="1">
        <v>5</v>
      </c>
      <c r="F394" s="1">
        <v>1</v>
      </c>
      <c r="G394" s="1">
        <v>85</v>
      </c>
      <c r="H394" s="10" t="s">
        <v>2122</v>
      </c>
      <c r="I394" s="1">
        <f t="shared" si="0"/>
        <v>8800</v>
      </c>
      <c r="J394" s="1">
        <v>5</v>
      </c>
      <c r="K394" s="1">
        <v>0</v>
      </c>
      <c r="L394" s="1">
        <v>0</v>
      </c>
      <c r="M394" s="1" t="s">
        <v>2807</v>
      </c>
      <c r="N394" s="1" t="s">
        <v>698</v>
      </c>
      <c r="O394" s="1">
        <v>0</v>
      </c>
      <c r="P394" s="1" t="s">
        <v>2059</v>
      </c>
      <c r="Q394" s="7" t="s">
        <v>2851</v>
      </c>
      <c r="R394" s="1">
        <v>0</v>
      </c>
    </row>
    <row r="395" spans="1:18" ht="14.25" thickBot="1">
      <c r="A395" s="1">
        <v>10853051</v>
      </c>
      <c r="B395" s="3">
        <v>0</v>
      </c>
      <c r="C395" s="9" t="s">
        <v>2737</v>
      </c>
      <c r="D395" s="1" t="s">
        <v>12</v>
      </c>
      <c r="E395" s="1">
        <v>5</v>
      </c>
      <c r="F395" s="1">
        <v>1</v>
      </c>
      <c r="G395" s="1">
        <v>85</v>
      </c>
      <c r="H395" s="10" t="s">
        <v>2122</v>
      </c>
      <c r="I395" s="1">
        <f t="shared" si="0"/>
        <v>9100</v>
      </c>
      <c r="J395" s="1">
        <v>5</v>
      </c>
      <c r="K395" s="1">
        <v>0</v>
      </c>
      <c r="L395" s="1">
        <v>0</v>
      </c>
      <c r="M395" s="1" t="s">
        <v>2808</v>
      </c>
      <c r="N395" s="1" t="s">
        <v>698</v>
      </c>
      <c r="O395" s="1">
        <v>0</v>
      </c>
      <c r="P395" s="1" t="s">
        <v>2059</v>
      </c>
      <c r="Q395" s="7" t="s">
        <v>2881</v>
      </c>
      <c r="R395" s="1">
        <v>0</v>
      </c>
    </row>
    <row r="396" spans="1:18" ht="14.25" thickBot="1">
      <c r="A396" s="1">
        <v>10853060</v>
      </c>
      <c r="B396" s="3">
        <v>1</v>
      </c>
      <c r="C396" s="9" t="s">
        <v>2738</v>
      </c>
      <c r="D396" s="1" t="s">
        <v>13</v>
      </c>
      <c r="E396" s="1">
        <v>6</v>
      </c>
      <c r="F396" s="1">
        <v>1</v>
      </c>
      <c r="G396" s="1">
        <v>85</v>
      </c>
      <c r="H396" s="10" t="s">
        <v>2122</v>
      </c>
      <c r="I396" s="1">
        <f t="shared" si="0"/>
        <v>8800</v>
      </c>
      <c r="J396" s="1">
        <v>5</v>
      </c>
      <c r="K396" s="1">
        <v>0</v>
      </c>
      <c r="L396" s="1">
        <v>0</v>
      </c>
      <c r="M396" s="1" t="s">
        <v>2373</v>
      </c>
      <c r="N396" s="1" t="s">
        <v>698</v>
      </c>
      <c r="O396" s="1">
        <v>0</v>
      </c>
      <c r="P396" s="1" t="s">
        <v>2059</v>
      </c>
      <c r="Q396" s="7" t="s">
        <v>2883</v>
      </c>
      <c r="R396" s="1">
        <v>0</v>
      </c>
    </row>
    <row r="397" spans="1:18" ht="14.25" thickBot="1">
      <c r="A397" s="1">
        <v>10853061</v>
      </c>
      <c r="B397" s="3">
        <v>0</v>
      </c>
      <c r="C397" s="9" t="s">
        <v>2739</v>
      </c>
      <c r="D397" s="1" t="s">
        <v>13</v>
      </c>
      <c r="E397" s="1">
        <v>6</v>
      </c>
      <c r="F397" s="1">
        <v>1</v>
      </c>
      <c r="G397" s="1">
        <v>85</v>
      </c>
      <c r="H397" s="10" t="s">
        <v>2122</v>
      </c>
      <c r="I397" s="1">
        <f t="shared" si="0"/>
        <v>9100</v>
      </c>
      <c r="J397" s="1">
        <v>5</v>
      </c>
      <c r="K397" s="1">
        <v>0</v>
      </c>
      <c r="L397" s="1">
        <v>0</v>
      </c>
      <c r="M397" s="1" t="s">
        <v>2374</v>
      </c>
      <c r="N397" s="1" t="s">
        <v>698</v>
      </c>
      <c r="O397" s="1">
        <v>0</v>
      </c>
      <c r="P397" s="1" t="s">
        <v>2059</v>
      </c>
      <c r="Q397" s="7" t="s">
        <v>2882</v>
      </c>
      <c r="R397" s="1">
        <v>0</v>
      </c>
    </row>
    <row r="398" spans="1:18" ht="14.25" thickBot="1">
      <c r="A398" s="1">
        <v>10850040</v>
      </c>
      <c r="B398" s="3">
        <v>1</v>
      </c>
      <c r="C398" s="1" t="s">
        <v>2740</v>
      </c>
      <c r="D398" s="1" t="s">
        <v>11</v>
      </c>
      <c r="E398" s="1">
        <v>4</v>
      </c>
      <c r="F398" s="1">
        <v>1</v>
      </c>
      <c r="G398" s="1">
        <v>85</v>
      </c>
      <c r="H398" s="10">
        <v>0</v>
      </c>
      <c r="I398" s="1">
        <f t="shared" si="0"/>
        <v>8800</v>
      </c>
      <c r="J398" s="1">
        <v>5</v>
      </c>
      <c r="K398" s="1">
        <v>0</v>
      </c>
      <c r="L398" s="1">
        <v>0</v>
      </c>
      <c r="M398" s="1" t="s">
        <v>2375</v>
      </c>
      <c r="N398" s="1" t="s">
        <v>698</v>
      </c>
      <c r="O398" s="1">
        <v>0</v>
      </c>
      <c r="P398" s="1" t="s">
        <v>2059</v>
      </c>
      <c r="Q398" s="7" t="s">
        <v>2885</v>
      </c>
      <c r="R398" s="1">
        <v>0</v>
      </c>
    </row>
    <row r="399" spans="1:18" ht="14.25" thickBot="1">
      <c r="A399" s="1">
        <v>10850041</v>
      </c>
      <c r="B399" s="3">
        <v>0</v>
      </c>
      <c r="C399" s="1" t="s">
        <v>2741</v>
      </c>
      <c r="D399" s="1" t="s">
        <v>11</v>
      </c>
      <c r="E399" s="1">
        <v>4</v>
      </c>
      <c r="F399" s="1">
        <v>1</v>
      </c>
      <c r="G399" s="1">
        <v>85</v>
      </c>
      <c r="H399" s="10">
        <v>0</v>
      </c>
      <c r="I399" s="1">
        <f t="shared" si="0"/>
        <v>9100</v>
      </c>
      <c r="J399" s="1">
        <v>5</v>
      </c>
      <c r="K399" s="1">
        <v>0</v>
      </c>
      <c r="L399" s="1">
        <v>0</v>
      </c>
      <c r="M399" s="1" t="s">
        <v>2376</v>
      </c>
      <c r="N399" s="1" t="s">
        <v>698</v>
      </c>
      <c r="O399" s="1">
        <v>0</v>
      </c>
      <c r="P399" s="1" t="s">
        <v>2059</v>
      </c>
      <c r="Q399" s="7" t="s">
        <v>2884</v>
      </c>
      <c r="R399" s="1">
        <v>0</v>
      </c>
    </row>
    <row r="400" spans="1:18" ht="14.25" thickBot="1">
      <c r="A400" s="1">
        <v>10850070</v>
      </c>
      <c r="B400" s="3">
        <v>1</v>
      </c>
      <c r="C400" s="1" t="s">
        <v>2742</v>
      </c>
      <c r="D400" s="1" t="s">
        <v>14</v>
      </c>
      <c r="E400" s="1">
        <v>7</v>
      </c>
      <c r="F400" s="1">
        <v>1</v>
      </c>
      <c r="G400" s="1">
        <v>85</v>
      </c>
      <c r="H400" s="10">
        <v>0</v>
      </c>
      <c r="I400" s="1">
        <f t="shared" si="0"/>
        <v>8800</v>
      </c>
      <c r="J400" s="1">
        <v>5</v>
      </c>
      <c r="K400" s="1">
        <v>0</v>
      </c>
      <c r="L400" s="1">
        <v>0</v>
      </c>
      <c r="M400" s="1" t="s">
        <v>2375</v>
      </c>
      <c r="N400" s="1" t="s">
        <v>698</v>
      </c>
      <c r="O400" s="1">
        <v>0</v>
      </c>
      <c r="P400" s="1" t="s">
        <v>2059</v>
      </c>
      <c r="Q400" s="7" t="s">
        <v>2887</v>
      </c>
      <c r="R400" s="1">
        <v>0</v>
      </c>
    </row>
    <row r="401" spans="1:18" ht="14.25" thickBot="1">
      <c r="A401" s="1">
        <v>10850071</v>
      </c>
      <c r="B401" s="3">
        <v>0</v>
      </c>
      <c r="C401" s="1" t="s">
        <v>2743</v>
      </c>
      <c r="D401" s="1" t="s">
        <v>14</v>
      </c>
      <c r="E401" s="1">
        <v>7</v>
      </c>
      <c r="F401" s="1">
        <v>1</v>
      </c>
      <c r="G401" s="1">
        <v>85</v>
      </c>
      <c r="H401" s="10">
        <v>0</v>
      </c>
      <c r="I401" s="1">
        <f t="shared" ref="I401:I402" si="1">I379+600</f>
        <v>9100</v>
      </c>
      <c r="J401" s="1">
        <v>5</v>
      </c>
      <c r="K401" s="1">
        <v>0</v>
      </c>
      <c r="L401" s="1">
        <v>0</v>
      </c>
      <c r="M401" s="1" t="s">
        <v>2376</v>
      </c>
      <c r="N401" s="1" t="s">
        <v>698</v>
      </c>
      <c r="O401" s="1">
        <v>0</v>
      </c>
      <c r="P401" s="1" t="s">
        <v>2059</v>
      </c>
      <c r="Q401" s="7" t="s">
        <v>2886</v>
      </c>
      <c r="R401" s="1">
        <v>0</v>
      </c>
    </row>
    <row r="402" spans="1:18" ht="14.25" thickBot="1">
      <c r="A402" s="1">
        <v>10900010</v>
      </c>
      <c r="B402" s="3">
        <v>1</v>
      </c>
      <c r="C402" s="1" t="s">
        <v>2744</v>
      </c>
      <c r="D402" s="1" t="s">
        <v>8</v>
      </c>
      <c r="E402" s="1">
        <v>1</v>
      </c>
      <c r="F402" s="1">
        <v>1</v>
      </c>
      <c r="G402" s="1">
        <v>90</v>
      </c>
      <c r="H402" s="10">
        <v>0</v>
      </c>
      <c r="I402" s="1">
        <f t="shared" si="1"/>
        <v>9400</v>
      </c>
      <c r="J402" s="1">
        <v>5</v>
      </c>
      <c r="K402" s="1">
        <v>0</v>
      </c>
      <c r="L402" s="1">
        <v>0</v>
      </c>
      <c r="M402" s="1" t="s">
        <v>2377</v>
      </c>
      <c r="N402" s="1" t="s">
        <v>698</v>
      </c>
      <c r="O402" s="1">
        <v>0</v>
      </c>
      <c r="P402" s="1" t="s">
        <v>2059</v>
      </c>
      <c r="Q402" s="7" t="s">
        <v>2889</v>
      </c>
      <c r="R402" s="1">
        <v>0</v>
      </c>
    </row>
    <row r="403" spans="1:18" ht="14.25" thickBot="1">
      <c r="A403" s="1">
        <v>10900020</v>
      </c>
      <c r="B403" s="3">
        <v>1</v>
      </c>
      <c r="C403" s="1" t="s">
        <v>2745</v>
      </c>
      <c r="D403" s="1" t="s">
        <v>9</v>
      </c>
      <c r="E403" s="1">
        <v>2</v>
      </c>
      <c r="F403" s="1">
        <v>1</v>
      </c>
      <c r="G403" s="1">
        <v>90</v>
      </c>
      <c r="H403" s="10">
        <v>0</v>
      </c>
      <c r="I403" s="1">
        <f>I381+600</f>
        <v>9400</v>
      </c>
      <c r="J403" s="1">
        <v>5</v>
      </c>
      <c r="K403" s="1">
        <v>0</v>
      </c>
      <c r="L403" s="1">
        <v>0</v>
      </c>
      <c r="M403" s="1" t="s">
        <v>2378</v>
      </c>
      <c r="N403" s="1" t="s">
        <v>698</v>
      </c>
      <c r="O403" s="1">
        <v>0</v>
      </c>
      <c r="P403" s="1" t="s">
        <v>2059</v>
      </c>
      <c r="Q403" s="7" t="s">
        <v>2890</v>
      </c>
      <c r="R403" s="1">
        <v>0</v>
      </c>
    </row>
    <row r="404" spans="1:18" ht="14.25" thickBot="1">
      <c r="A404" s="1">
        <v>10900030</v>
      </c>
      <c r="B404" s="3">
        <v>1</v>
      </c>
      <c r="C404" s="1" t="s">
        <v>2746</v>
      </c>
      <c r="D404" s="1" t="s">
        <v>10</v>
      </c>
      <c r="E404" s="1">
        <v>3</v>
      </c>
      <c r="F404" s="1">
        <v>1</v>
      </c>
      <c r="G404" s="1">
        <v>90</v>
      </c>
      <c r="H404" s="10">
        <v>0</v>
      </c>
      <c r="I404" s="1">
        <f t="shared" ref="I404:I467" si="2">I382+600</f>
        <v>9400</v>
      </c>
      <c r="J404" s="1">
        <v>5</v>
      </c>
      <c r="K404" s="1">
        <v>0</v>
      </c>
      <c r="L404" s="1">
        <v>0</v>
      </c>
      <c r="M404" s="1" t="s">
        <v>2379</v>
      </c>
      <c r="N404" s="1" t="s">
        <v>698</v>
      </c>
      <c r="O404" s="1">
        <v>0</v>
      </c>
      <c r="P404" s="1" t="s">
        <v>2059</v>
      </c>
      <c r="Q404" s="7" t="s">
        <v>2896</v>
      </c>
      <c r="R404" s="1">
        <v>0</v>
      </c>
    </row>
    <row r="405" spans="1:18" ht="14.25" thickBot="1">
      <c r="A405" s="1">
        <v>10900080</v>
      </c>
      <c r="B405" s="3">
        <v>1</v>
      </c>
      <c r="C405" s="1" t="s">
        <v>2747</v>
      </c>
      <c r="D405" s="1" t="s">
        <v>15</v>
      </c>
      <c r="E405" s="1">
        <v>8</v>
      </c>
      <c r="F405" s="1">
        <v>1</v>
      </c>
      <c r="G405" s="1">
        <v>90</v>
      </c>
      <c r="H405" s="10">
        <v>0</v>
      </c>
      <c r="I405" s="1">
        <f t="shared" si="2"/>
        <v>9400</v>
      </c>
      <c r="J405" s="1">
        <v>5</v>
      </c>
      <c r="K405" s="1">
        <v>0</v>
      </c>
      <c r="L405" s="1">
        <v>0</v>
      </c>
      <c r="M405" s="1" t="s">
        <v>2380</v>
      </c>
      <c r="N405" s="1" t="s">
        <v>698</v>
      </c>
      <c r="O405" s="1">
        <v>0</v>
      </c>
      <c r="P405" s="1" t="s">
        <v>2059</v>
      </c>
      <c r="Q405" s="7" t="s">
        <v>2897</v>
      </c>
      <c r="R405" s="1">
        <v>0</v>
      </c>
    </row>
    <row r="406" spans="1:18" ht="14.25" thickBot="1">
      <c r="A406" s="1">
        <v>10900090</v>
      </c>
      <c r="B406" s="3">
        <v>1</v>
      </c>
      <c r="C406" s="1" t="s">
        <v>2748</v>
      </c>
      <c r="D406" s="1" t="s">
        <v>16</v>
      </c>
      <c r="E406" s="1">
        <v>9</v>
      </c>
      <c r="F406" s="1">
        <v>1</v>
      </c>
      <c r="G406" s="1">
        <v>90</v>
      </c>
      <c r="H406" s="10">
        <v>0</v>
      </c>
      <c r="I406" s="1">
        <f t="shared" si="2"/>
        <v>9400</v>
      </c>
      <c r="J406" s="1">
        <v>5</v>
      </c>
      <c r="K406" s="1">
        <v>0</v>
      </c>
      <c r="L406" s="1">
        <v>0</v>
      </c>
      <c r="M406" s="1" t="s">
        <v>2381</v>
      </c>
      <c r="N406" s="1" t="s">
        <v>698</v>
      </c>
      <c r="O406" s="1">
        <v>0</v>
      </c>
      <c r="P406" s="1" t="s">
        <v>2059</v>
      </c>
      <c r="Q406" s="7" t="s">
        <v>2898</v>
      </c>
      <c r="R406" s="1">
        <v>0</v>
      </c>
    </row>
    <row r="407" spans="1:18" ht="14.25" thickBot="1">
      <c r="A407" s="1">
        <v>10900100</v>
      </c>
      <c r="B407" s="3">
        <v>1</v>
      </c>
      <c r="C407" s="1" t="s">
        <v>2749</v>
      </c>
      <c r="D407" s="1" t="s">
        <v>17</v>
      </c>
      <c r="E407" s="1">
        <v>10</v>
      </c>
      <c r="F407" s="1">
        <v>1</v>
      </c>
      <c r="G407" s="1">
        <v>90</v>
      </c>
      <c r="H407" s="10">
        <v>0</v>
      </c>
      <c r="I407" s="1">
        <f t="shared" si="2"/>
        <v>9400</v>
      </c>
      <c r="J407" s="1">
        <v>5</v>
      </c>
      <c r="K407" s="1">
        <v>0</v>
      </c>
      <c r="L407" s="1">
        <v>0</v>
      </c>
      <c r="M407" s="1" t="s">
        <v>2382</v>
      </c>
      <c r="N407" s="1" t="s">
        <v>698</v>
      </c>
      <c r="O407" s="1">
        <v>0</v>
      </c>
      <c r="P407" s="1" t="s">
        <v>2059</v>
      </c>
      <c r="Q407" s="7" t="s">
        <v>2899</v>
      </c>
      <c r="R407" s="1">
        <v>0</v>
      </c>
    </row>
    <row r="408" spans="1:18" ht="14.25" thickBot="1">
      <c r="A408" s="1">
        <v>10901050</v>
      </c>
      <c r="B408" s="3">
        <v>1</v>
      </c>
      <c r="C408" s="9" t="s">
        <v>2751</v>
      </c>
      <c r="D408" s="1" t="s">
        <v>12</v>
      </c>
      <c r="E408" s="1">
        <v>5</v>
      </c>
      <c r="F408" s="1">
        <v>1</v>
      </c>
      <c r="G408" s="1">
        <v>90</v>
      </c>
      <c r="H408" s="10" t="s">
        <v>2120</v>
      </c>
      <c r="I408" s="1">
        <f t="shared" si="2"/>
        <v>9400</v>
      </c>
      <c r="J408" s="1">
        <v>5</v>
      </c>
      <c r="K408" s="1">
        <v>0</v>
      </c>
      <c r="L408" s="1">
        <v>0</v>
      </c>
      <c r="M408" s="1" t="s">
        <v>2809</v>
      </c>
      <c r="N408" s="1" t="s">
        <v>698</v>
      </c>
      <c r="O408" s="1">
        <v>0</v>
      </c>
      <c r="P408" s="1" t="s">
        <v>2059</v>
      </c>
      <c r="Q408" s="7" t="s">
        <v>2900</v>
      </c>
      <c r="R408" s="1">
        <v>0</v>
      </c>
    </row>
    <row r="409" spans="1:18" ht="14.25" thickBot="1">
      <c r="A409" s="1">
        <v>10901051</v>
      </c>
      <c r="B409" s="3">
        <v>0</v>
      </c>
      <c r="C409" s="9" t="s">
        <v>2750</v>
      </c>
      <c r="D409" s="1" t="s">
        <v>12</v>
      </c>
      <c r="E409" s="1">
        <v>5</v>
      </c>
      <c r="F409" s="1">
        <v>1</v>
      </c>
      <c r="G409" s="1">
        <v>90</v>
      </c>
      <c r="H409" s="10" t="s">
        <v>2120</v>
      </c>
      <c r="I409" s="1">
        <f t="shared" si="2"/>
        <v>9700</v>
      </c>
      <c r="J409" s="1">
        <v>5</v>
      </c>
      <c r="K409" s="1">
        <v>0</v>
      </c>
      <c r="L409" s="1">
        <v>0</v>
      </c>
      <c r="M409" s="1" t="s">
        <v>2810</v>
      </c>
      <c r="N409" s="1" t="s">
        <v>698</v>
      </c>
      <c r="O409" s="1">
        <v>0</v>
      </c>
      <c r="P409" s="1" t="s">
        <v>2059</v>
      </c>
      <c r="Q409" s="7" t="s">
        <v>2951</v>
      </c>
      <c r="R409" s="1">
        <v>0</v>
      </c>
    </row>
    <row r="410" spans="1:18" ht="14.25" thickBot="1">
      <c r="A410" s="1">
        <v>10901060</v>
      </c>
      <c r="B410" s="3">
        <v>1</v>
      </c>
      <c r="C410" s="9" t="s">
        <v>2752</v>
      </c>
      <c r="D410" s="1" t="s">
        <v>13</v>
      </c>
      <c r="E410" s="1">
        <v>6</v>
      </c>
      <c r="F410" s="1">
        <v>1</v>
      </c>
      <c r="G410" s="1">
        <v>90</v>
      </c>
      <c r="H410" s="10" t="s">
        <v>2120</v>
      </c>
      <c r="I410" s="1">
        <f t="shared" si="2"/>
        <v>9400</v>
      </c>
      <c r="J410" s="1">
        <v>5</v>
      </c>
      <c r="K410" s="1">
        <v>0</v>
      </c>
      <c r="L410" s="1">
        <v>0</v>
      </c>
      <c r="M410" s="1" t="s">
        <v>2383</v>
      </c>
      <c r="N410" s="1" t="s">
        <v>698</v>
      </c>
      <c r="O410" s="1">
        <v>0</v>
      </c>
      <c r="P410" s="1" t="s">
        <v>2059</v>
      </c>
      <c r="Q410" s="7" t="s">
        <v>2876</v>
      </c>
      <c r="R410" s="1">
        <v>0</v>
      </c>
    </row>
    <row r="411" spans="1:18" ht="14.25" thickBot="1">
      <c r="A411" s="1">
        <v>10901061</v>
      </c>
      <c r="B411" s="3">
        <v>0</v>
      </c>
      <c r="C411" s="9" t="s">
        <v>2753</v>
      </c>
      <c r="D411" s="1" t="s">
        <v>13</v>
      </c>
      <c r="E411" s="1">
        <v>6</v>
      </c>
      <c r="F411" s="1">
        <v>1</v>
      </c>
      <c r="G411" s="1">
        <v>90</v>
      </c>
      <c r="H411" s="10" t="s">
        <v>2120</v>
      </c>
      <c r="I411" s="1">
        <f t="shared" si="2"/>
        <v>9700</v>
      </c>
      <c r="J411" s="1">
        <v>5</v>
      </c>
      <c r="K411" s="1">
        <v>0</v>
      </c>
      <c r="L411" s="1">
        <v>0</v>
      </c>
      <c r="M411" s="1" t="s">
        <v>2384</v>
      </c>
      <c r="N411" s="1" t="s">
        <v>698</v>
      </c>
      <c r="O411" s="1">
        <v>0</v>
      </c>
      <c r="P411" s="1" t="s">
        <v>2059</v>
      </c>
      <c r="Q411" s="7" t="s">
        <v>2950</v>
      </c>
      <c r="R411" s="1">
        <v>0</v>
      </c>
    </row>
    <row r="412" spans="1:18" ht="14.25" thickBot="1">
      <c r="A412" s="1">
        <v>10902050</v>
      </c>
      <c r="B412" s="3">
        <v>1</v>
      </c>
      <c r="C412" s="1" t="s">
        <v>2754</v>
      </c>
      <c r="D412" s="1" t="s">
        <v>12</v>
      </c>
      <c r="E412" s="1">
        <v>5</v>
      </c>
      <c r="F412" s="1">
        <v>1</v>
      </c>
      <c r="G412" s="1">
        <v>90</v>
      </c>
      <c r="H412" s="10" t="s">
        <v>2121</v>
      </c>
      <c r="I412" s="1">
        <f t="shared" si="2"/>
        <v>9400</v>
      </c>
      <c r="J412" s="1">
        <v>5</v>
      </c>
      <c r="K412" s="1">
        <v>0</v>
      </c>
      <c r="L412" s="1">
        <v>0</v>
      </c>
      <c r="M412" s="1" t="s">
        <v>2809</v>
      </c>
      <c r="N412" s="1" t="s">
        <v>698</v>
      </c>
      <c r="O412" s="1">
        <v>0</v>
      </c>
      <c r="P412" s="1" t="s">
        <v>2059</v>
      </c>
      <c r="Q412" s="7" t="s">
        <v>2902</v>
      </c>
      <c r="R412" s="1">
        <v>0</v>
      </c>
    </row>
    <row r="413" spans="1:18" ht="14.25" thickBot="1">
      <c r="A413" s="1">
        <v>10902051</v>
      </c>
      <c r="B413" s="3">
        <v>0</v>
      </c>
      <c r="C413" s="9" t="s">
        <v>2755</v>
      </c>
      <c r="D413" s="1" t="s">
        <v>12</v>
      </c>
      <c r="E413" s="1">
        <v>5</v>
      </c>
      <c r="F413" s="1">
        <v>1</v>
      </c>
      <c r="G413" s="1">
        <v>90</v>
      </c>
      <c r="H413" s="10" t="s">
        <v>2121</v>
      </c>
      <c r="I413" s="1">
        <f t="shared" si="2"/>
        <v>9700</v>
      </c>
      <c r="J413" s="1">
        <v>5</v>
      </c>
      <c r="K413" s="1">
        <v>0</v>
      </c>
      <c r="L413" s="1">
        <v>0</v>
      </c>
      <c r="M413" s="1" t="s">
        <v>2810</v>
      </c>
      <c r="N413" s="1" t="s">
        <v>698</v>
      </c>
      <c r="O413" s="1">
        <v>0</v>
      </c>
      <c r="P413" s="1" t="s">
        <v>2059</v>
      </c>
      <c r="Q413" s="7" t="s">
        <v>2952</v>
      </c>
      <c r="R413" s="1">
        <v>0</v>
      </c>
    </row>
    <row r="414" spans="1:18" ht="14.25" thickBot="1">
      <c r="A414" s="1">
        <v>10902060</v>
      </c>
      <c r="B414" s="3">
        <v>1</v>
      </c>
      <c r="C414" s="9" t="s">
        <v>2756</v>
      </c>
      <c r="D414" s="1" t="s">
        <v>13</v>
      </c>
      <c r="E414" s="1">
        <v>6</v>
      </c>
      <c r="F414" s="1">
        <v>1</v>
      </c>
      <c r="G414" s="1">
        <v>90</v>
      </c>
      <c r="H414" s="10" t="s">
        <v>2121</v>
      </c>
      <c r="I414" s="1">
        <f t="shared" si="2"/>
        <v>9400</v>
      </c>
      <c r="J414" s="1">
        <v>5</v>
      </c>
      <c r="K414" s="1">
        <v>0</v>
      </c>
      <c r="L414" s="1">
        <v>0</v>
      </c>
      <c r="M414" s="1" t="s">
        <v>2385</v>
      </c>
      <c r="N414" s="1" t="s">
        <v>698</v>
      </c>
      <c r="O414" s="1">
        <v>0</v>
      </c>
      <c r="P414" s="1" t="s">
        <v>2059</v>
      </c>
      <c r="Q414" s="7" t="s">
        <v>2903</v>
      </c>
      <c r="R414" s="1">
        <v>0</v>
      </c>
    </row>
    <row r="415" spans="1:18" ht="14.25" thickBot="1">
      <c r="A415" s="1">
        <v>10902061</v>
      </c>
      <c r="B415" s="3">
        <v>0</v>
      </c>
      <c r="C415" s="9" t="s">
        <v>2757</v>
      </c>
      <c r="D415" s="1" t="s">
        <v>13</v>
      </c>
      <c r="E415" s="1">
        <v>6</v>
      </c>
      <c r="F415" s="1">
        <v>1</v>
      </c>
      <c r="G415" s="1">
        <v>90</v>
      </c>
      <c r="H415" s="10" t="s">
        <v>2121</v>
      </c>
      <c r="I415" s="1">
        <f t="shared" si="2"/>
        <v>9700</v>
      </c>
      <c r="J415" s="1">
        <v>5</v>
      </c>
      <c r="K415" s="1">
        <v>0</v>
      </c>
      <c r="L415" s="1">
        <v>0</v>
      </c>
      <c r="M415" s="1" t="s">
        <v>2386</v>
      </c>
      <c r="N415" s="1" t="s">
        <v>698</v>
      </c>
      <c r="O415" s="1">
        <v>0</v>
      </c>
      <c r="P415" s="1" t="s">
        <v>2059</v>
      </c>
      <c r="Q415" s="7" t="s">
        <v>2949</v>
      </c>
      <c r="R415" s="1">
        <v>0</v>
      </c>
    </row>
    <row r="416" spans="1:18" ht="14.25" thickBot="1">
      <c r="A416" s="1">
        <v>10903050</v>
      </c>
      <c r="B416" s="3">
        <v>1</v>
      </c>
      <c r="C416" s="9" t="s">
        <v>2758</v>
      </c>
      <c r="D416" s="1" t="s">
        <v>12</v>
      </c>
      <c r="E416" s="1">
        <v>5</v>
      </c>
      <c r="F416" s="1">
        <v>1</v>
      </c>
      <c r="G416" s="1">
        <v>90</v>
      </c>
      <c r="H416" s="10" t="s">
        <v>2122</v>
      </c>
      <c r="I416" s="1">
        <f t="shared" si="2"/>
        <v>9400</v>
      </c>
      <c r="J416" s="1">
        <v>5</v>
      </c>
      <c r="K416" s="1">
        <v>0</v>
      </c>
      <c r="L416" s="1">
        <v>0</v>
      </c>
      <c r="M416" s="1" t="s">
        <v>2809</v>
      </c>
      <c r="N416" s="1" t="s">
        <v>698</v>
      </c>
      <c r="O416" s="1">
        <v>0</v>
      </c>
      <c r="P416" s="1" t="s">
        <v>2059</v>
      </c>
      <c r="Q416" s="7" t="s">
        <v>2904</v>
      </c>
      <c r="R416" s="1">
        <v>0</v>
      </c>
    </row>
    <row r="417" spans="1:18" ht="14.25" thickBot="1">
      <c r="A417" s="1">
        <v>10903051</v>
      </c>
      <c r="B417" s="3">
        <v>0</v>
      </c>
      <c r="C417" s="9" t="s">
        <v>2759</v>
      </c>
      <c r="D417" s="1" t="s">
        <v>12</v>
      </c>
      <c r="E417" s="1">
        <v>5</v>
      </c>
      <c r="F417" s="1">
        <v>1</v>
      </c>
      <c r="G417" s="1">
        <v>90</v>
      </c>
      <c r="H417" s="10" t="s">
        <v>2122</v>
      </c>
      <c r="I417" s="1">
        <f t="shared" si="2"/>
        <v>9700</v>
      </c>
      <c r="J417" s="1">
        <v>5</v>
      </c>
      <c r="K417" s="1">
        <v>0</v>
      </c>
      <c r="L417" s="1">
        <v>0</v>
      </c>
      <c r="M417" s="1" t="s">
        <v>2810</v>
      </c>
      <c r="N417" s="1" t="s">
        <v>698</v>
      </c>
      <c r="O417" s="1">
        <v>0</v>
      </c>
      <c r="P417" s="1" t="s">
        <v>2059</v>
      </c>
      <c r="Q417" s="7" t="s">
        <v>2947</v>
      </c>
      <c r="R417" s="1">
        <v>0</v>
      </c>
    </row>
    <row r="418" spans="1:18" ht="14.25" thickBot="1">
      <c r="A418" s="1">
        <v>10903060</v>
      </c>
      <c r="B418" s="3">
        <v>1</v>
      </c>
      <c r="C418" s="9" t="s">
        <v>2760</v>
      </c>
      <c r="D418" s="1" t="s">
        <v>13</v>
      </c>
      <c r="E418" s="1">
        <v>6</v>
      </c>
      <c r="F418" s="1">
        <v>1</v>
      </c>
      <c r="G418" s="1">
        <v>90</v>
      </c>
      <c r="H418" s="10" t="s">
        <v>2122</v>
      </c>
      <c r="I418" s="1">
        <f t="shared" si="2"/>
        <v>9400</v>
      </c>
      <c r="J418" s="1">
        <v>5</v>
      </c>
      <c r="K418" s="1">
        <v>0</v>
      </c>
      <c r="L418" s="1">
        <v>0</v>
      </c>
      <c r="M418" s="1" t="s">
        <v>2387</v>
      </c>
      <c r="N418" s="1" t="s">
        <v>698</v>
      </c>
      <c r="O418" s="1">
        <v>0</v>
      </c>
      <c r="P418" s="1" t="s">
        <v>2059</v>
      </c>
      <c r="Q418" s="7" t="s">
        <v>2905</v>
      </c>
      <c r="R418" s="1">
        <v>0</v>
      </c>
    </row>
    <row r="419" spans="1:18" ht="14.25" thickBot="1">
      <c r="A419" s="1">
        <v>10903061</v>
      </c>
      <c r="B419" s="3">
        <v>0</v>
      </c>
      <c r="C419" s="9" t="s">
        <v>2673</v>
      </c>
      <c r="D419" s="1" t="s">
        <v>13</v>
      </c>
      <c r="E419" s="1">
        <v>6</v>
      </c>
      <c r="F419" s="1">
        <v>1</v>
      </c>
      <c r="G419" s="1">
        <v>90</v>
      </c>
      <c r="H419" s="10" t="s">
        <v>2122</v>
      </c>
      <c r="I419" s="1">
        <f t="shared" si="2"/>
        <v>9700</v>
      </c>
      <c r="J419" s="1">
        <v>5</v>
      </c>
      <c r="K419" s="1">
        <v>0</v>
      </c>
      <c r="L419" s="1">
        <v>0</v>
      </c>
      <c r="M419" s="1" t="s">
        <v>2388</v>
      </c>
      <c r="N419" s="1" t="s">
        <v>698</v>
      </c>
      <c r="O419" s="1">
        <v>0</v>
      </c>
      <c r="P419" s="1" t="s">
        <v>2059</v>
      </c>
      <c r="Q419" s="7" t="s">
        <v>2948</v>
      </c>
      <c r="R419" s="1">
        <v>0</v>
      </c>
    </row>
    <row r="420" spans="1:18" ht="14.25" thickBot="1">
      <c r="A420" s="1">
        <v>10900040</v>
      </c>
      <c r="B420" s="3">
        <v>1</v>
      </c>
      <c r="C420" s="1" t="s">
        <v>2761</v>
      </c>
      <c r="D420" s="1" t="s">
        <v>11</v>
      </c>
      <c r="E420" s="1">
        <v>4</v>
      </c>
      <c r="F420" s="1">
        <v>1</v>
      </c>
      <c r="G420" s="1">
        <v>90</v>
      </c>
      <c r="H420" s="10">
        <v>0</v>
      </c>
      <c r="I420" s="1">
        <f t="shared" si="2"/>
        <v>9400</v>
      </c>
      <c r="J420" s="1">
        <v>5</v>
      </c>
      <c r="K420" s="1">
        <v>0</v>
      </c>
      <c r="L420" s="1">
        <v>0</v>
      </c>
      <c r="M420" s="1" t="s">
        <v>2389</v>
      </c>
      <c r="N420" s="1" t="s">
        <v>698</v>
      </c>
      <c r="O420" s="1">
        <v>0</v>
      </c>
      <c r="P420" s="1" t="s">
        <v>2059</v>
      </c>
      <c r="Q420" s="7" t="s">
        <v>2906</v>
      </c>
      <c r="R420" s="1">
        <v>0</v>
      </c>
    </row>
    <row r="421" spans="1:18" ht="14.25" thickBot="1">
      <c r="A421" s="1">
        <v>10900041</v>
      </c>
      <c r="B421" s="3">
        <v>0</v>
      </c>
      <c r="C421" s="1" t="s">
        <v>2762</v>
      </c>
      <c r="D421" s="1" t="s">
        <v>11</v>
      </c>
      <c r="E421" s="1">
        <v>4</v>
      </c>
      <c r="F421" s="1">
        <v>1</v>
      </c>
      <c r="G421" s="1">
        <v>90</v>
      </c>
      <c r="H421" s="10">
        <v>0</v>
      </c>
      <c r="I421" s="1">
        <f t="shared" si="2"/>
        <v>9700</v>
      </c>
      <c r="J421" s="1">
        <v>5</v>
      </c>
      <c r="K421" s="1">
        <v>0</v>
      </c>
      <c r="L421" s="1">
        <v>0</v>
      </c>
      <c r="M421" s="1" t="s">
        <v>2390</v>
      </c>
      <c r="N421" s="1" t="s">
        <v>698</v>
      </c>
      <c r="O421" s="1">
        <v>0</v>
      </c>
      <c r="P421" s="1" t="s">
        <v>2059</v>
      </c>
      <c r="Q421" s="7" t="s">
        <v>2038</v>
      </c>
      <c r="R421" s="1">
        <v>0</v>
      </c>
    </row>
    <row r="422" spans="1:18" ht="14.25" thickBot="1">
      <c r="A422" s="1">
        <v>10900070</v>
      </c>
      <c r="B422" s="3">
        <v>1</v>
      </c>
      <c r="C422" s="1" t="s">
        <v>2763</v>
      </c>
      <c r="D422" s="1" t="s">
        <v>14</v>
      </c>
      <c r="E422" s="1">
        <v>7</v>
      </c>
      <c r="F422" s="1">
        <v>1</v>
      </c>
      <c r="G422" s="1">
        <v>90</v>
      </c>
      <c r="H422" s="10">
        <v>0</v>
      </c>
      <c r="I422" s="1">
        <f t="shared" si="2"/>
        <v>9400</v>
      </c>
      <c r="J422" s="1">
        <v>5</v>
      </c>
      <c r="K422" s="1">
        <v>0</v>
      </c>
      <c r="L422" s="1">
        <v>0</v>
      </c>
      <c r="M422" s="1" t="s">
        <v>2389</v>
      </c>
      <c r="N422" s="1" t="s">
        <v>698</v>
      </c>
      <c r="O422" s="1">
        <v>0</v>
      </c>
      <c r="P422" s="1" t="s">
        <v>2059</v>
      </c>
      <c r="Q422" s="7" t="s">
        <v>2907</v>
      </c>
      <c r="R422" s="1">
        <v>0</v>
      </c>
    </row>
    <row r="423" spans="1:18" ht="14.25" thickBot="1">
      <c r="A423" s="1">
        <v>10900071</v>
      </c>
      <c r="B423" s="3">
        <v>0</v>
      </c>
      <c r="C423" s="1" t="s">
        <v>2764</v>
      </c>
      <c r="D423" s="1" t="s">
        <v>14</v>
      </c>
      <c r="E423" s="1">
        <v>7</v>
      </c>
      <c r="F423" s="1">
        <v>1</v>
      </c>
      <c r="G423" s="1">
        <v>90</v>
      </c>
      <c r="H423" s="10">
        <v>0</v>
      </c>
      <c r="I423" s="1">
        <f t="shared" si="2"/>
        <v>9700</v>
      </c>
      <c r="J423" s="1">
        <v>5</v>
      </c>
      <c r="K423" s="1">
        <v>0</v>
      </c>
      <c r="L423" s="1">
        <v>0</v>
      </c>
      <c r="M423" s="1" t="s">
        <v>2390</v>
      </c>
      <c r="N423" s="1" t="s">
        <v>698</v>
      </c>
      <c r="O423" s="1">
        <v>0</v>
      </c>
      <c r="P423" s="1" t="s">
        <v>2059</v>
      </c>
      <c r="Q423" s="7" t="s">
        <v>2039</v>
      </c>
      <c r="R423" s="1">
        <v>0</v>
      </c>
    </row>
    <row r="424" spans="1:18" ht="14.25" thickBot="1">
      <c r="A424" s="1">
        <v>10950010</v>
      </c>
      <c r="B424" s="3">
        <v>1</v>
      </c>
      <c r="C424" s="1" t="s">
        <v>2765</v>
      </c>
      <c r="D424" s="1" t="s">
        <v>8</v>
      </c>
      <c r="E424" s="1">
        <v>1</v>
      </c>
      <c r="F424" s="1">
        <v>1</v>
      </c>
      <c r="G424" s="1">
        <v>95</v>
      </c>
      <c r="H424" s="10">
        <v>0</v>
      </c>
      <c r="I424" s="1">
        <f t="shared" si="2"/>
        <v>10000</v>
      </c>
      <c r="J424" s="1">
        <v>5</v>
      </c>
      <c r="K424" s="1">
        <v>0</v>
      </c>
      <c r="L424" s="1">
        <v>0</v>
      </c>
      <c r="M424" s="1" t="s">
        <v>2391</v>
      </c>
      <c r="N424" s="1" t="s">
        <v>698</v>
      </c>
      <c r="O424" s="1">
        <v>0</v>
      </c>
      <c r="P424" s="1" t="s">
        <v>2059</v>
      </c>
      <c r="Q424" s="7" t="s">
        <v>2026</v>
      </c>
      <c r="R424" s="1">
        <v>0</v>
      </c>
    </row>
    <row r="425" spans="1:18" ht="14.25" thickBot="1">
      <c r="A425" s="1">
        <v>10950020</v>
      </c>
      <c r="B425" s="3">
        <v>1</v>
      </c>
      <c r="C425" s="1" t="s">
        <v>2766</v>
      </c>
      <c r="D425" s="1" t="s">
        <v>9</v>
      </c>
      <c r="E425" s="1">
        <v>2</v>
      </c>
      <c r="F425" s="1">
        <v>1</v>
      </c>
      <c r="G425" s="1">
        <v>95</v>
      </c>
      <c r="H425" s="10">
        <v>0</v>
      </c>
      <c r="I425" s="1">
        <f t="shared" si="2"/>
        <v>10000</v>
      </c>
      <c r="J425" s="1">
        <v>5</v>
      </c>
      <c r="K425" s="1">
        <v>0</v>
      </c>
      <c r="L425" s="1">
        <v>0</v>
      </c>
      <c r="M425" s="1" t="s">
        <v>2392</v>
      </c>
      <c r="N425" s="1" t="s">
        <v>698</v>
      </c>
      <c r="O425" s="1">
        <v>0</v>
      </c>
      <c r="P425" s="1" t="s">
        <v>2059</v>
      </c>
      <c r="Q425" s="7" t="s">
        <v>2027</v>
      </c>
      <c r="R425" s="1">
        <v>0</v>
      </c>
    </row>
    <row r="426" spans="1:18" ht="14.25" thickBot="1">
      <c r="A426" s="1">
        <v>10950030</v>
      </c>
      <c r="B426" s="3">
        <v>1</v>
      </c>
      <c r="C426" s="1" t="s">
        <v>2767</v>
      </c>
      <c r="D426" s="1" t="s">
        <v>10</v>
      </c>
      <c r="E426" s="1">
        <v>3</v>
      </c>
      <c r="F426" s="1">
        <v>1</v>
      </c>
      <c r="G426" s="1">
        <v>95</v>
      </c>
      <c r="H426" s="10">
        <v>0</v>
      </c>
      <c r="I426" s="1">
        <f t="shared" si="2"/>
        <v>10000</v>
      </c>
      <c r="J426" s="1">
        <v>5</v>
      </c>
      <c r="K426" s="1">
        <v>0</v>
      </c>
      <c r="L426" s="1">
        <v>0</v>
      </c>
      <c r="M426" s="1" t="s">
        <v>2393</v>
      </c>
      <c r="N426" s="1" t="s">
        <v>698</v>
      </c>
      <c r="O426" s="1">
        <v>0</v>
      </c>
      <c r="P426" s="1" t="s">
        <v>2059</v>
      </c>
      <c r="Q426" s="7" t="s">
        <v>2028</v>
      </c>
      <c r="R426" s="1">
        <v>0</v>
      </c>
    </row>
    <row r="427" spans="1:18" ht="14.25" thickBot="1">
      <c r="A427" s="1">
        <v>10950080</v>
      </c>
      <c r="B427" s="3">
        <v>1</v>
      </c>
      <c r="C427" s="1" t="s">
        <v>2768</v>
      </c>
      <c r="D427" s="1" t="s">
        <v>15</v>
      </c>
      <c r="E427" s="1">
        <v>8</v>
      </c>
      <c r="F427" s="1">
        <v>1</v>
      </c>
      <c r="G427" s="1">
        <v>95</v>
      </c>
      <c r="H427" s="10">
        <v>0</v>
      </c>
      <c r="I427" s="1">
        <f t="shared" si="2"/>
        <v>10000</v>
      </c>
      <c r="J427" s="1">
        <v>5</v>
      </c>
      <c r="K427" s="1">
        <v>0</v>
      </c>
      <c r="L427" s="1">
        <v>0</v>
      </c>
      <c r="M427" s="1" t="s">
        <v>2394</v>
      </c>
      <c r="N427" s="1" t="s">
        <v>698</v>
      </c>
      <c r="O427" s="1">
        <v>0</v>
      </c>
      <c r="P427" s="1" t="s">
        <v>2059</v>
      </c>
      <c r="Q427" s="7" t="s">
        <v>2029</v>
      </c>
      <c r="R427" s="1">
        <v>0</v>
      </c>
    </row>
    <row r="428" spans="1:18" ht="14.25" thickBot="1">
      <c r="A428" s="1">
        <v>10950090</v>
      </c>
      <c r="B428" s="3">
        <v>1</v>
      </c>
      <c r="C428" s="1" t="s">
        <v>2769</v>
      </c>
      <c r="D428" s="1" t="s">
        <v>16</v>
      </c>
      <c r="E428" s="1">
        <v>9</v>
      </c>
      <c r="F428" s="1">
        <v>1</v>
      </c>
      <c r="G428" s="1">
        <v>95</v>
      </c>
      <c r="H428" s="10">
        <v>0</v>
      </c>
      <c r="I428" s="1">
        <f t="shared" si="2"/>
        <v>10000</v>
      </c>
      <c r="J428" s="1">
        <v>5</v>
      </c>
      <c r="K428" s="1">
        <v>0</v>
      </c>
      <c r="L428" s="1">
        <v>0</v>
      </c>
      <c r="M428" s="1" t="s">
        <v>2395</v>
      </c>
      <c r="N428" s="1" t="s">
        <v>698</v>
      </c>
      <c r="O428" s="1">
        <v>0</v>
      </c>
      <c r="P428" s="1" t="s">
        <v>2059</v>
      </c>
      <c r="Q428" s="7" t="s">
        <v>2030</v>
      </c>
      <c r="R428" s="1">
        <v>0</v>
      </c>
    </row>
    <row r="429" spans="1:18" ht="14.25" thickBot="1">
      <c r="A429" s="1">
        <v>10950100</v>
      </c>
      <c r="B429" s="3">
        <v>1</v>
      </c>
      <c r="C429" s="1" t="s">
        <v>2770</v>
      </c>
      <c r="D429" s="1" t="s">
        <v>17</v>
      </c>
      <c r="E429" s="1">
        <v>10</v>
      </c>
      <c r="F429" s="1">
        <v>1</v>
      </c>
      <c r="G429" s="1">
        <v>95</v>
      </c>
      <c r="H429" s="10">
        <v>0</v>
      </c>
      <c r="I429" s="1">
        <f t="shared" si="2"/>
        <v>10000</v>
      </c>
      <c r="J429" s="1">
        <v>5</v>
      </c>
      <c r="K429" s="1">
        <v>0</v>
      </c>
      <c r="L429" s="1">
        <v>0</v>
      </c>
      <c r="M429" s="1" t="s">
        <v>2396</v>
      </c>
      <c r="N429" s="1" t="s">
        <v>698</v>
      </c>
      <c r="O429" s="1">
        <v>0</v>
      </c>
      <c r="P429" s="1" t="s">
        <v>2059</v>
      </c>
      <c r="Q429" s="7" t="s">
        <v>2031</v>
      </c>
      <c r="R429" s="1">
        <v>0</v>
      </c>
    </row>
    <row r="430" spans="1:18" ht="14.25" thickBot="1">
      <c r="A430" s="1">
        <v>10951050</v>
      </c>
      <c r="B430" s="3">
        <v>1</v>
      </c>
      <c r="C430" s="9" t="s">
        <v>2771</v>
      </c>
      <c r="D430" s="1" t="s">
        <v>12</v>
      </c>
      <c r="E430" s="1">
        <v>5</v>
      </c>
      <c r="F430" s="1">
        <v>1</v>
      </c>
      <c r="G430" s="1">
        <v>95</v>
      </c>
      <c r="H430" s="10" t="s">
        <v>2120</v>
      </c>
      <c r="I430" s="1">
        <f t="shared" si="2"/>
        <v>10000</v>
      </c>
      <c r="J430" s="1">
        <v>5</v>
      </c>
      <c r="K430" s="1">
        <v>0</v>
      </c>
      <c r="L430" s="1">
        <v>0</v>
      </c>
      <c r="M430" s="1" t="s">
        <v>2811</v>
      </c>
      <c r="N430" s="1" t="s">
        <v>698</v>
      </c>
      <c r="O430" s="1">
        <v>0</v>
      </c>
      <c r="P430" s="1" t="s">
        <v>2059</v>
      </c>
      <c r="Q430" s="7" t="s">
        <v>2322</v>
      </c>
      <c r="R430" s="1">
        <v>0</v>
      </c>
    </row>
    <row r="431" spans="1:18" ht="14.25" thickBot="1">
      <c r="A431" s="1">
        <v>10951051</v>
      </c>
      <c r="B431" s="3">
        <v>0</v>
      </c>
      <c r="C431" s="9" t="s">
        <v>2772</v>
      </c>
      <c r="D431" s="1" t="s">
        <v>12</v>
      </c>
      <c r="E431" s="1">
        <v>5</v>
      </c>
      <c r="F431" s="1">
        <v>1</v>
      </c>
      <c r="G431" s="1">
        <v>95</v>
      </c>
      <c r="H431" s="10" t="s">
        <v>2120</v>
      </c>
      <c r="I431" s="1">
        <f t="shared" si="2"/>
        <v>10300</v>
      </c>
      <c r="J431" s="1">
        <v>5</v>
      </c>
      <c r="K431" s="1">
        <v>0</v>
      </c>
      <c r="L431" s="1">
        <v>0</v>
      </c>
      <c r="M431" s="1" t="s">
        <v>2812</v>
      </c>
      <c r="N431" s="1" t="s">
        <v>698</v>
      </c>
      <c r="O431" s="1">
        <v>0</v>
      </c>
      <c r="P431" s="1" t="s">
        <v>2059</v>
      </c>
      <c r="Q431" s="7" t="s">
        <v>2032</v>
      </c>
      <c r="R431" s="1">
        <v>0</v>
      </c>
    </row>
    <row r="432" spans="1:18" ht="14.25" thickBot="1">
      <c r="A432" s="1">
        <v>10951060</v>
      </c>
      <c r="B432" s="3">
        <v>1</v>
      </c>
      <c r="C432" s="9" t="s">
        <v>2773</v>
      </c>
      <c r="D432" s="1" t="s">
        <v>13</v>
      </c>
      <c r="E432" s="1">
        <v>6</v>
      </c>
      <c r="F432" s="1">
        <v>1</v>
      </c>
      <c r="G432" s="1">
        <v>95</v>
      </c>
      <c r="H432" s="10" t="s">
        <v>2120</v>
      </c>
      <c r="I432" s="1">
        <f t="shared" si="2"/>
        <v>10000</v>
      </c>
      <c r="J432" s="1">
        <v>5</v>
      </c>
      <c r="K432" s="1">
        <v>0</v>
      </c>
      <c r="L432" s="1">
        <v>0</v>
      </c>
      <c r="M432" s="1" t="s">
        <v>2397</v>
      </c>
      <c r="N432" s="1" t="s">
        <v>698</v>
      </c>
      <c r="O432" s="1">
        <v>0</v>
      </c>
      <c r="P432" s="1" t="s">
        <v>2059</v>
      </c>
      <c r="Q432" s="7" t="s">
        <v>2323</v>
      </c>
      <c r="R432" s="1">
        <v>0</v>
      </c>
    </row>
    <row r="433" spans="1:18" ht="14.25" thickBot="1">
      <c r="A433" s="1">
        <v>10951061</v>
      </c>
      <c r="B433" s="3">
        <v>0</v>
      </c>
      <c r="C433" s="9" t="s">
        <v>2774</v>
      </c>
      <c r="D433" s="1" t="s">
        <v>13</v>
      </c>
      <c r="E433" s="1">
        <v>6</v>
      </c>
      <c r="F433" s="1">
        <v>1</v>
      </c>
      <c r="G433" s="1">
        <v>95</v>
      </c>
      <c r="H433" s="10" t="s">
        <v>2120</v>
      </c>
      <c r="I433" s="1">
        <f t="shared" si="2"/>
        <v>10300</v>
      </c>
      <c r="J433" s="1">
        <v>5</v>
      </c>
      <c r="K433" s="1">
        <v>0</v>
      </c>
      <c r="L433" s="1">
        <v>0</v>
      </c>
      <c r="M433" s="1" t="s">
        <v>2398</v>
      </c>
      <c r="N433" s="1" t="s">
        <v>698</v>
      </c>
      <c r="O433" s="1">
        <v>0</v>
      </c>
      <c r="P433" s="1" t="s">
        <v>2059</v>
      </c>
      <c r="Q433" s="7" t="s">
        <v>2033</v>
      </c>
      <c r="R433" s="1">
        <v>0</v>
      </c>
    </row>
    <row r="434" spans="1:18" ht="14.25" thickBot="1">
      <c r="A434" s="1">
        <v>10952050</v>
      </c>
      <c r="B434" s="3">
        <v>1</v>
      </c>
      <c r="C434" s="1" t="s">
        <v>2775</v>
      </c>
      <c r="D434" s="1" t="s">
        <v>12</v>
      </c>
      <c r="E434" s="1">
        <v>5</v>
      </c>
      <c r="F434" s="1">
        <v>1</v>
      </c>
      <c r="G434" s="1">
        <v>95</v>
      </c>
      <c r="H434" s="10" t="s">
        <v>2121</v>
      </c>
      <c r="I434" s="1">
        <f t="shared" si="2"/>
        <v>10000</v>
      </c>
      <c r="J434" s="1">
        <v>5</v>
      </c>
      <c r="K434" s="1">
        <v>0</v>
      </c>
      <c r="L434" s="1">
        <v>0</v>
      </c>
      <c r="M434" s="1" t="s">
        <v>2811</v>
      </c>
      <c r="N434" s="1" t="s">
        <v>698</v>
      </c>
      <c r="O434" s="1">
        <v>0</v>
      </c>
      <c r="P434" s="1" t="s">
        <v>2059</v>
      </c>
      <c r="Q434" s="7" t="s">
        <v>2324</v>
      </c>
      <c r="R434" s="1">
        <v>0</v>
      </c>
    </row>
    <row r="435" spans="1:18" ht="14.25" thickBot="1">
      <c r="A435" s="1">
        <v>10952051</v>
      </c>
      <c r="B435" s="3">
        <v>0</v>
      </c>
      <c r="C435" s="9" t="s">
        <v>2776</v>
      </c>
      <c r="D435" s="1" t="s">
        <v>12</v>
      </c>
      <c r="E435" s="1">
        <v>5</v>
      </c>
      <c r="F435" s="1">
        <v>1</v>
      </c>
      <c r="G435" s="1">
        <v>95</v>
      </c>
      <c r="H435" s="10" t="s">
        <v>2121</v>
      </c>
      <c r="I435" s="1">
        <f t="shared" si="2"/>
        <v>10300</v>
      </c>
      <c r="J435" s="1">
        <v>5</v>
      </c>
      <c r="K435" s="1">
        <v>0</v>
      </c>
      <c r="L435" s="1">
        <v>0</v>
      </c>
      <c r="M435" s="1" t="s">
        <v>2812</v>
      </c>
      <c r="N435" s="1" t="s">
        <v>698</v>
      </c>
      <c r="O435" s="1">
        <v>0</v>
      </c>
      <c r="P435" s="1" t="s">
        <v>2059</v>
      </c>
      <c r="Q435" s="7" t="s">
        <v>2034</v>
      </c>
      <c r="R435" s="1">
        <v>0</v>
      </c>
    </row>
    <row r="436" spans="1:18" ht="14.25" thickBot="1">
      <c r="A436" s="1">
        <v>10952060</v>
      </c>
      <c r="B436" s="3">
        <v>1</v>
      </c>
      <c r="C436" s="9" t="s">
        <v>2777</v>
      </c>
      <c r="D436" s="1" t="s">
        <v>13</v>
      </c>
      <c r="E436" s="1">
        <v>6</v>
      </c>
      <c r="F436" s="1">
        <v>1</v>
      </c>
      <c r="G436" s="1">
        <v>95</v>
      </c>
      <c r="H436" s="10" t="s">
        <v>2121</v>
      </c>
      <c r="I436" s="1">
        <f t="shared" si="2"/>
        <v>10000</v>
      </c>
      <c r="J436" s="1">
        <v>5</v>
      </c>
      <c r="K436" s="1">
        <v>0</v>
      </c>
      <c r="L436" s="1">
        <v>0</v>
      </c>
      <c r="M436" s="1" t="s">
        <v>2399</v>
      </c>
      <c r="N436" s="1" t="s">
        <v>698</v>
      </c>
      <c r="O436" s="1">
        <v>0</v>
      </c>
      <c r="P436" s="1" t="s">
        <v>2059</v>
      </c>
      <c r="Q436" s="7" t="s">
        <v>2325</v>
      </c>
      <c r="R436" s="1">
        <v>0</v>
      </c>
    </row>
    <row r="437" spans="1:18" ht="14.25" thickBot="1">
      <c r="A437" s="1">
        <v>10952061</v>
      </c>
      <c r="B437" s="3">
        <v>0</v>
      </c>
      <c r="C437" s="9" t="s">
        <v>2778</v>
      </c>
      <c r="D437" s="1" t="s">
        <v>13</v>
      </c>
      <c r="E437" s="1">
        <v>6</v>
      </c>
      <c r="F437" s="1">
        <v>1</v>
      </c>
      <c r="G437" s="1">
        <v>95</v>
      </c>
      <c r="H437" s="10" t="s">
        <v>2121</v>
      </c>
      <c r="I437" s="1">
        <f t="shared" si="2"/>
        <v>10300</v>
      </c>
      <c r="J437" s="1">
        <v>5</v>
      </c>
      <c r="K437" s="1">
        <v>0</v>
      </c>
      <c r="L437" s="1">
        <v>0</v>
      </c>
      <c r="M437" s="1" t="s">
        <v>2400</v>
      </c>
      <c r="N437" s="1" t="s">
        <v>698</v>
      </c>
      <c r="O437" s="1">
        <v>0</v>
      </c>
      <c r="P437" s="1" t="s">
        <v>2059</v>
      </c>
      <c r="Q437" s="7" t="s">
        <v>2035</v>
      </c>
      <c r="R437" s="1">
        <v>0</v>
      </c>
    </row>
    <row r="438" spans="1:18" ht="14.25" thickBot="1">
      <c r="A438" s="1">
        <v>10953050</v>
      </c>
      <c r="B438" s="3">
        <v>1</v>
      </c>
      <c r="C438" s="9" t="s">
        <v>2779</v>
      </c>
      <c r="D438" s="1" t="s">
        <v>12</v>
      </c>
      <c r="E438" s="1">
        <v>5</v>
      </c>
      <c r="F438" s="1">
        <v>1</v>
      </c>
      <c r="G438" s="1">
        <v>95</v>
      </c>
      <c r="H438" s="10" t="s">
        <v>2122</v>
      </c>
      <c r="I438" s="1">
        <f t="shared" si="2"/>
        <v>10000</v>
      </c>
      <c r="J438" s="1">
        <v>5</v>
      </c>
      <c r="K438" s="1">
        <v>0</v>
      </c>
      <c r="L438" s="1">
        <v>0</v>
      </c>
      <c r="M438" s="1" t="s">
        <v>2811</v>
      </c>
      <c r="N438" s="1" t="s">
        <v>698</v>
      </c>
      <c r="O438" s="1">
        <v>0</v>
      </c>
      <c r="P438" s="1" t="s">
        <v>2059</v>
      </c>
      <c r="Q438" s="7" t="s">
        <v>2326</v>
      </c>
      <c r="R438" s="1">
        <v>0</v>
      </c>
    </row>
    <row r="439" spans="1:18" ht="14.25" thickBot="1">
      <c r="A439" s="1">
        <v>10953051</v>
      </c>
      <c r="B439" s="3">
        <v>0</v>
      </c>
      <c r="C439" s="9" t="s">
        <v>2780</v>
      </c>
      <c r="D439" s="1" t="s">
        <v>12</v>
      </c>
      <c r="E439" s="1">
        <v>5</v>
      </c>
      <c r="F439" s="1">
        <v>1</v>
      </c>
      <c r="G439" s="1">
        <v>95</v>
      </c>
      <c r="H439" s="10" t="s">
        <v>2122</v>
      </c>
      <c r="I439" s="1">
        <f t="shared" si="2"/>
        <v>10300</v>
      </c>
      <c r="J439" s="1">
        <v>5</v>
      </c>
      <c r="K439" s="1">
        <v>0</v>
      </c>
      <c r="L439" s="1">
        <v>0</v>
      </c>
      <c r="M439" s="1" t="s">
        <v>2812</v>
      </c>
      <c r="N439" s="1" t="s">
        <v>698</v>
      </c>
      <c r="O439" s="1">
        <v>0</v>
      </c>
      <c r="P439" s="1" t="s">
        <v>2059</v>
      </c>
      <c r="Q439" s="7" t="s">
        <v>2036</v>
      </c>
      <c r="R439" s="1">
        <v>0</v>
      </c>
    </row>
    <row r="440" spans="1:18" ht="14.25" thickBot="1">
      <c r="A440" s="1">
        <v>10953060</v>
      </c>
      <c r="B440" s="3">
        <v>1</v>
      </c>
      <c r="C440" s="9" t="s">
        <v>2781</v>
      </c>
      <c r="D440" s="1" t="s">
        <v>13</v>
      </c>
      <c r="E440" s="1">
        <v>6</v>
      </c>
      <c r="F440" s="1">
        <v>1</v>
      </c>
      <c r="G440" s="1">
        <v>95</v>
      </c>
      <c r="H440" s="10" t="s">
        <v>2122</v>
      </c>
      <c r="I440" s="1">
        <f t="shared" si="2"/>
        <v>10000</v>
      </c>
      <c r="J440" s="1">
        <v>5</v>
      </c>
      <c r="K440" s="1">
        <v>0</v>
      </c>
      <c r="L440" s="1">
        <v>0</v>
      </c>
      <c r="M440" s="1" t="s">
        <v>2401</v>
      </c>
      <c r="N440" s="1" t="s">
        <v>698</v>
      </c>
      <c r="O440" s="1">
        <v>0</v>
      </c>
      <c r="P440" s="1" t="s">
        <v>2059</v>
      </c>
      <c r="Q440" s="7" t="s">
        <v>2327</v>
      </c>
      <c r="R440" s="1">
        <v>0</v>
      </c>
    </row>
    <row r="441" spans="1:18" ht="14.25" thickBot="1">
      <c r="A441" s="1">
        <v>10953061</v>
      </c>
      <c r="B441" s="3">
        <v>0</v>
      </c>
      <c r="C441" s="9" t="s">
        <v>2782</v>
      </c>
      <c r="D441" s="1" t="s">
        <v>13</v>
      </c>
      <c r="E441" s="1">
        <v>6</v>
      </c>
      <c r="F441" s="1">
        <v>1</v>
      </c>
      <c r="G441" s="1">
        <v>95</v>
      </c>
      <c r="H441" s="10" t="s">
        <v>2122</v>
      </c>
      <c r="I441" s="1">
        <f t="shared" si="2"/>
        <v>10300</v>
      </c>
      <c r="J441" s="1">
        <v>5</v>
      </c>
      <c r="K441" s="1">
        <v>0</v>
      </c>
      <c r="L441" s="1">
        <v>0</v>
      </c>
      <c r="M441" s="1" t="s">
        <v>2402</v>
      </c>
      <c r="N441" s="1" t="s">
        <v>698</v>
      </c>
      <c r="O441" s="1">
        <v>0</v>
      </c>
      <c r="P441" s="1" t="s">
        <v>2059</v>
      </c>
      <c r="Q441" s="7" t="s">
        <v>2037</v>
      </c>
      <c r="R441" s="1">
        <v>0</v>
      </c>
    </row>
    <row r="442" spans="1:18" ht="14.25" thickBot="1">
      <c r="A442" s="1">
        <v>10950040</v>
      </c>
      <c r="B442" s="3">
        <v>1</v>
      </c>
      <c r="C442" s="1" t="s">
        <v>2783</v>
      </c>
      <c r="D442" s="1" t="s">
        <v>11</v>
      </c>
      <c r="E442" s="1">
        <v>4</v>
      </c>
      <c r="F442" s="1">
        <v>1</v>
      </c>
      <c r="G442" s="1">
        <v>95</v>
      </c>
      <c r="H442" s="10">
        <v>0</v>
      </c>
      <c r="I442" s="1">
        <f t="shared" si="2"/>
        <v>10000</v>
      </c>
      <c r="J442" s="1">
        <v>5</v>
      </c>
      <c r="K442" s="1">
        <v>0</v>
      </c>
      <c r="L442" s="1">
        <v>0</v>
      </c>
      <c r="M442" s="1" t="s">
        <v>2403</v>
      </c>
      <c r="N442" s="1" t="s">
        <v>698</v>
      </c>
      <c r="O442" s="1">
        <v>0</v>
      </c>
      <c r="P442" s="1" t="s">
        <v>2059</v>
      </c>
      <c r="Q442" s="7" t="s">
        <v>2038</v>
      </c>
      <c r="R442" s="1">
        <v>0</v>
      </c>
    </row>
    <row r="443" spans="1:18" ht="14.25" thickBot="1">
      <c r="A443" s="1">
        <v>10950041</v>
      </c>
      <c r="B443" s="3">
        <v>0</v>
      </c>
      <c r="C443" s="1" t="s">
        <v>2784</v>
      </c>
      <c r="D443" s="1" t="s">
        <v>11</v>
      </c>
      <c r="E443" s="1">
        <v>4</v>
      </c>
      <c r="F443" s="1">
        <v>1</v>
      </c>
      <c r="G443" s="1">
        <v>95</v>
      </c>
      <c r="H443" s="10">
        <v>0</v>
      </c>
      <c r="I443" s="1">
        <f t="shared" si="2"/>
        <v>10300</v>
      </c>
      <c r="J443" s="1">
        <v>5</v>
      </c>
      <c r="K443" s="1">
        <v>0</v>
      </c>
      <c r="L443" s="1">
        <v>0</v>
      </c>
      <c r="M443" s="1" t="s">
        <v>2404</v>
      </c>
      <c r="N443" s="1" t="s">
        <v>698</v>
      </c>
      <c r="O443" s="1">
        <v>0</v>
      </c>
      <c r="P443" s="1" t="s">
        <v>2059</v>
      </c>
      <c r="Q443" s="7" t="s">
        <v>2038</v>
      </c>
      <c r="R443" s="1">
        <v>0</v>
      </c>
    </row>
    <row r="444" spans="1:18" ht="14.25" thickBot="1">
      <c r="A444" s="1">
        <v>10950070</v>
      </c>
      <c r="B444" s="3">
        <v>1</v>
      </c>
      <c r="C444" s="1" t="s">
        <v>2785</v>
      </c>
      <c r="D444" s="1" t="s">
        <v>14</v>
      </c>
      <c r="E444" s="1">
        <v>7</v>
      </c>
      <c r="F444" s="1">
        <v>1</v>
      </c>
      <c r="G444" s="1">
        <v>95</v>
      </c>
      <c r="H444" s="10">
        <v>0</v>
      </c>
      <c r="I444" s="1">
        <f t="shared" si="2"/>
        <v>10000</v>
      </c>
      <c r="J444" s="1">
        <v>5</v>
      </c>
      <c r="K444" s="1">
        <v>0</v>
      </c>
      <c r="L444" s="1">
        <v>0</v>
      </c>
      <c r="M444" s="1" t="s">
        <v>2403</v>
      </c>
      <c r="N444" s="1" t="s">
        <v>698</v>
      </c>
      <c r="O444" s="1">
        <v>0</v>
      </c>
      <c r="P444" s="1" t="s">
        <v>2059</v>
      </c>
      <c r="Q444" s="7" t="s">
        <v>2039</v>
      </c>
      <c r="R444" s="1">
        <v>0</v>
      </c>
    </row>
    <row r="445" spans="1:18" ht="14.25" thickBot="1">
      <c r="A445" s="1">
        <v>10950071</v>
      </c>
      <c r="B445" s="3">
        <v>0</v>
      </c>
      <c r="C445" s="1" t="s">
        <v>2677</v>
      </c>
      <c r="D445" s="1" t="s">
        <v>14</v>
      </c>
      <c r="E445" s="1">
        <v>7</v>
      </c>
      <c r="F445" s="1">
        <v>1</v>
      </c>
      <c r="G445" s="1">
        <v>95</v>
      </c>
      <c r="H445" s="10">
        <v>0</v>
      </c>
      <c r="I445" s="1">
        <f t="shared" si="2"/>
        <v>10300</v>
      </c>
      <c r="J445" s="1">
        <v>5</v>
      </c>
      <c r="K445" s="1">
        <v>0</v>
      </c>
      <c r="L445" s="1">
        <v>0</v>
      </c>
      <c r="M445" s="1" t="s">
        <v>2404</v>
      </c>
      <c r="N445" s="1" t="s">
        <v>698</v>
      </c>
      <c r="O445" s="1">
        <v>0</v>
      </c>
      <c r="P445" s="1" t="s">
        <v>2059</v>
      </c>
      <c r="Q445" s="7" t="s">
        <v>2039</v>
      </c>
      <c r="R445" s="1">
        <v>0</v>
      </c>
    </row>
    <row r="446" spans="1:18" ht="14.25" thickBot="1">
      <c r="A446" s="1">
        <v>11000010</v>
      </c>
      <c r="B446" s="3">
        <v>0</v>
      </c>
      <c r="C446" s="1" t="s">
        <v>2786</v>
      </c>
      <c r="D446" s="1" t="s">
        <v>8</v>
      </c>
      <c r="E446" s="1">
        <v>1</v>
      </c>
      <c r="F446" s="1">
        <v>1</v>
      </c>
      <c r="G446" s="1">
        <v>100</v>
      </c>
      <c r="H446" s="10">
        <v>0</v>
      </c>
      <c r="I446" s="1">
        <f t="shared" si="2"/>
        <v>10600</v>
      </c>
      <c r="J446" s="1">
        <v>5</v>
      </c>
      <c r="K446" s="1">
        <v>0</v>
      </c>
      <c r="L446" s="1">
        <v>0</v>
      </c>
      <c r="M446" s="1" t="s">
        <v>2405</v>
      </c>
      <c r="N446" s="1" t="s">
        <v>698</v>
      </c>
      <c r="O446" s="1">
        <v>0</v>
      </c>
      <c r="P446" s="1" t="s">
        <v>2059</v>
      </c>
      <c r="Q446" s="7" t="s">
        <v>2026</v>
      </c>
      <c r="R446" s="1">
        <v>0</v>
      </c>
    </row>
    <row r="447" spans="1:18" ht="14.25" thickBot="1">
      <c r="A447" s="1">
        <v>11000020</v>
      </c>
      <c r="B447" s="3">
        <v>0</v>
      </c>
      <c r="C447" s="1" t="s">
        <v>2787</v>
      </c>
      <c r="D447" s="1" t="s">
        <v>9</v>
      </c>
      <c r="E447" s="1">
        <v>2</v>
      </c>
      <c r="F447" s="1">
        <v>1</v>
      </c>
      <c r="G447" s="1">
        <v>100</v>
      </c>
      <c r="H447" s="10">
        <v>0</v>
      </c>
      <c r="I447" s="1">
        <f t="shared" si="2"/>
        <v>10600</v>
      </c>
      <c r="J447" s="1">
        <v>5</v>
      </c>
      <c r="K447" s="1">
        <v>0</v>
      </c>
      <c r="L447" s="1">
        <v>0</v>
      </c>
      <c r="M447" s="1" t="s">
        <v>2406</v>
      </c>
      <c r="N447" s="1" t="s">
        <v>698</v>
      </c>
      <c r="O447" s="1">
        <v>0</v>
      </c>
      <c r="P447" s="1" t="s">
        <v>2059</v>
      </c>
      <c r="Q447" s="7" t="s">
        <v>2027</v>
      </c>
      <c r="R447" s="1">
        <v>0</v>
      </c>
    </row>
    <row r="448" spans="1:18" ht="14.25" thickBot="1">
      <c r="A448" s="1">
        <v>11000030</v>
      </c>
      <c r="B448" s="3">
        <v>0</v>
      </c>
      <c r="C448" s="1" t="s">
        <v>2788</v>
      </c>
      <c r="D448" s="1" t="s">
        <v>10</v>
      </c>
      <c r="E448" s="1">
        <v>3</v>
      </c>
      <c r="F448" s="1">
        <v>1</v>
      </c>
      <c r="G448" s="1">
        <v>100</v>
      </c>
      <c r="H448" s="10">
        <v>0</v>
      </c>
      <c r="I448" s="1">
        <f t="shared" si="2"/>
        <v>10600</v>
      </c>
      <c r="J448" s="1">
        <v>5</v>
      </c>
      <c r="K448" s="1">
        <v>0</v>
      </c>
      <c r="L448" s="1">
        <v>0</v>
      </c>
      <c r="M448" s="1" t="s">
        <v>2407</v>
      </c>
      <c r="N448" s="1" t="s">
        <v>698</v>
      </c>
      <c r="O448" s="1">
        <v>0</v>
      </c>
      <c r="P448" s="1" t="s">
        <v>2059</v>
      </c>
      <c r="Q448" s="7" t="s">
        <v>2028</v>
      </c>
      <c r="R448" s="1">
        <v>0</v>
      </c>
    </row>
    <row r="449" spans="1:18" ht="14.25" thickBot="1">
      <c r="A449" s="1">
        <v>11000080</v>
      </c>
      <c r="B449" s="3">
        <v>0</v>
      </c>
      <c r="C449" s="1" t="s">
        <v>2789</v>
      </c>
      <c r="D449" s="1" t="s">
        <v>15</v>
      </c>
      <c r="E449" s="1">
        <v>8</v>
      </c>
      <c r="F449" s="1">
        <v>1</v>
      </c>
      <c r="G449" s="1">
        <v>100</v>
      </c>
      <c r="H449" s="10">
        <v>0</v>
      </c>
      <c r="I449" s="1">
        <f t="shared" si="2"/>
        <v>10600</v>
      </c>
      <c r="J449" s="1">
        <v>5</v>
      </c>
      <c r="K449" s="1">
        <v>0</v>
      </c>
      <c r="L449" s="1">
        <v>0</v>
      </c>
      <c r="M449" s="1" t="s">
        <v>2408</v>
      </c>
      <c r="N449" s="1" t="s">
        <v>698</v>
      </c>
      <c r="O449" s="1">
        <v>0</v>
      </c>
      <c r="P449" s="1" t="s">
        <v>2059</v>
      </c>
      <c r="Q449" s="7" t="s">
        <v>2029</v>
      </c>
      <c r="R449" s="1">
        <v>0</v>
      </c>
    </row>
    <row r="450" spans="1:18" ht="14.25" thickBot="1">
      <c r="A450" s="1">
        <v>11000090</v>
      </c>
      <c r="B450" s="3">
        <v>0</v>
      </c>
      <c r="C450" s="1" t="s">
        <v>2790</v>
      </c>
      <c r="D450" s="1" t="s">
        <v>16</v>
      </c>
      <c r="E450" s="1">
        <v>9</v>
      </c>
      <c r="F450" s="1">
        <v>1</v>
      </c>
      <c r="G450" s="1">
        <v>100</v>
      </c>
      <c r="H450" s="10">
        <v>0</v>
      </c>
      <c r="I450" s="1">
        <f t="shared" si="2"/>
        <v>10600</v>
      </c>
      <c r="J450" s="1">
        <v>5</v>
      </c>
      <c r="K450" s="1">
        <v>0</v>
      </c>
      <c r="L450" s="1">
        <v>0</v>
      </c>
      <c r="M450" s="1" t="s">
        <v>2409</v>
      </c>
      <c r="N450" s="1" t="s">
        <v>698</v>
      </c>
      <c r="O450" s="1">
        <v>0</v>
      </c>
      <c r="P450" s="1" t="s">
        <v>2059</v>
      </c>
      <c r="Q450" s="7" t="s">
        <v>2030</v>
      </c>
      <c r="R450" s="1">
        <v>0</v>
      </c>
    </row>
    <row r="451" spans="1:18" ht="14.25" thickBot="1">
      <c r="A451" s="1">
        <v>11000100</v>
      </c>
      <c r="B451" s="3">
        <v>0</v>
      </c>
      <c r="C451" s="1" t="s">
        <v>2791</v>
      </c>
      <c r="D451" s="1" t="s">
        <v>17</v>
      </c>
      <c r="E451" s="1">
        <v>10</v>
      </c>
      <c r="F451" s="1">
        <v>1</v>
      </c>
      <c r="G451" s="1">
        <v>100</v>
      </c>
      <c r="H451" s="10">
        <v>0</v>
      </c>
      <c r="I451" s="1">
        <f t="shared" si="2"/>
        <v>10600</v>
      </c>
      <c r="J451" s="1">
        <v>5</v>
      </c>
      <c r="K451" s="1">
        <v>0</v>
      </c>
      <c r="L451" s="1">
        <v>0</v>
      </c>
      <c r="M451" s="1" t="s">
        <v>2410</v>
      </c>
      <c r="N451" s="1" t="s">
        <v>698</v>
      </c>
      <c r="O451" s="1">
        <v>0</v>
      </c>
      <c r="P451" s="1" t="s">
        <v>2059</v>
      </c>
      <c r="Q451" s="7" t="s">
        <v>2031</v>
      </c>
      <c r="R451" s="1">
        <v>0</v>
      </c>
    </row>
    <row r="452" spans="1:18" ht="14.25" thickBot="1">
      <c r="A452" s="1">
        <v>11001050</v>
      </c>
      <c r="B452" s="3">
        <v>0</v>
      </c>
      <c r="C452" s="9" t="s">
        <v>2792</v>
      </c>
      <c r="D452" s="1" t="s">
        <v>12</v>
      </c>
      <c r="E452" s="1">
        <v>5</v>
      </c>
      <c r="F452" s="1">
        <v>1</v>
      </c>
      <c r="G452" s="1">
        <v>100</v>
      </c>
      <c r="H452" s="10" t="s">
        <v>2120</v>
      </c>
      <c r="I452" s="1">
        <f t="shared" si="2"/>
        <v>10600</v>
      </c>
      <c r="J452" s="1">
        <v>5</v>
      </c>
      <c r="K452" s="1">
        <v>0</v>
      </c>
      <c r="L452" s="1">
        <v>0</v>
      </c>
      <c r="M452" s="1" t="s">
        <v>2813</v>
      </c>
      <c r="N452" s="1" t="s">
        <v>698</v>
      </c>
      <c r="O452" s="1">
        <v>0</v>
      </c>
      <c r="P452" s="1" t="s">
        <v>2059</v>
      </c>
      <c r="Q452" s="7" t="s">
        <v>2322</v>
      </c>
      <c r="R452" s="1">
        <v>0</v>
      </c>
    </row>
    <row r="453" spans="1:18" ht="14.25" thickBot="1">
      <c r="A453" s="1">
        <v>11001051</v>
      </c>
      <c r="B453" s="3">
        <v>0</v>
      </c>
      <c r="C453" s="9" t="s">
        <v>2665</v>
      </c>
      <c r="D453" s="1" t="s">
        <v>12</v>
      </c>
      <c r="E453" s="1">
        <v>5</v>
      </c>
      <c r="F453" s="1">
        <v>1</v>
      </c>
      <c r="G453" s="1">
        <v>100</v>
      </c>
      <c r="H453" s="10" t="s">
        <v>2120</v>
      </c>
      <c r="I453" s="1">
        <f t="shared" si="2"/>
        <v>10900</v>
      </c>
      <c r="J453" s="1">
        <v>5</v>
      </c>
      <c r="K453" s="1">
        <v>0</v>
      </c>
      <c r="L453" s="1">
        <v>0</v>
      </c>
      <c r="M453" s="1" t="s">
        <v>2411</v>
      </c>
      <c r="N453" s="1" t="s">
        <v>698</v>
      </c>
      <c r="O453" s="1">
        <v>0</v>
      </c>
      <c r="P453" s="1" t="s">
        <v>2059</v>
      </c>
      <c r="Q453" s="7" t="s">
        <v>2032</v>
      </c>
      <c r="R453" s="1">
        <v>0</v>
      </c>
    </row>
    <row r="454" spans="1:18" ht="14.25" thickBot="1">
      <c r="A454" s="1">
        <v>11001060</v>
      </c>
      <c r="B454" s="3">
        <v>0</v>
      </c>
      <c r="C454" s="9" t="s">
        <v>2793</v>
      </c>
      <c r="D454" s="1" t="s">
        <v>13</v>
      </c>
      <c r="E454" s="1">
        <v>6</v>
      </c>
      <c r="F454" s="1">
        <v>1</v>
      </c>
      <c r="G454" s="1">
        <v>100</v>
      </c>
      <c r="H454" s="10" t="s">
        <v>2120</v>
      </c>
      <c r="I454" s="1">
        <f t="shared" si="2"/>
        <v>10600</v>
      </c>
      <c r="J454" s="1">
        <v>5</v>
      </c>
      <c r="K454" s="1">
        <v>0</v>
      </c>
      <c r="L454" s="1">
        <v>0</v>
      </c>
      <c r="M454" s="1" t="s">
        <v>2412</v>
      </c>
      <c r="N454" s="1" t="s">
        <v>698</v>
      </c>
      <c r="O454" s="1">
        <v>0</v>
      </c>
      <c r="P454" s="1" t="s">
        <v>2059</v>
      </c>
      <c r="Q454" s="7" t="s">
        <v>2323</v>
      </c>
      <c r="R454" s="1">
        <v>0</v>
      </c>
    </row>
    <row r="455" spans="1:18" ht="14.25" thickBot="1">
      <c r="A455" s="1">
        <v>11001061</v>
      </c>
      <c r="B455" s="3">
        <v>0</v>
      </c>
      <c r="C455" s="9" t="s">
        <v>2793</v>
      </c>
      <c r="D455" s="1" t="s">
        <v>13</v>
      </c>
      <c r="E455" s="1">
        <v>6</v>
      </c>
      <c r="F455" s="1">
        <v>1</v>
      </c>
      <c r="G455" s="1">
        <v>100</v>
      </c>
      <c r="H455" s="10" t="s">
        <v>2120</v>
      </c>
      <c r="I455" s="1">
        <f t="shared" si="2"/>
        <v>10900</v>
      </c>
      <c r="J455" s="1">
        <v>5</v>
      </c>
      <c r="K455" s="1">
        <v>0</v>
      </c>
      <c r="L455" s="1">
        <v>0</v>
      </c>
      <c r="M455" s="1" t="s">
        <v>1811</v>
      </c>
      <c r="N455" s="1" t="s">
        <v>698</v>
      </c>
      <c r="O455" s="1">
        <v>0</v>
      </c>
      <c r="P455" s="1" t="s">
        <v>2059</v>
      </c>
      <c r="Q455" s="7" t="s">
        <v>2033</v>
      </c>
      <c r="R455" s="1">
        <v>0</v>
      </c>
    </row>
    <row r="456" spans="1:18" ht="14.25" thickBot="1">
      <c r="A456" s="1">
        <v>11002050</v>
      </c>
      <c r="B456" s="3">
        <v>0</v>
      </c>
      <c r="C456" s="1" t="s">
        <v>2794</v>
      </c>
      <c r="D456" s="1" t="s">
        <v>12</v>
      </c>
      <c r="E456" s="1">
        <v>5</v>
      </c>
      <c r="F456" s="1">
        <v>1</v>
      </c>
      <c r="G456" s="1">
        <v>100</v>
      </c>
      <c r="H456" s="10" t="s">
        <v>2121</v>
      </c>
      <c r="I456" s="1">
        <f t="shared" si="2"/>
        <v>10600</v>
      </c>
      <c r="J456" s="1">
        <v>5</v>
      </c>
      <c r="K456" s="1">
        <v>0</v>
      </c>
      <c r="L456" s="1">
        <v>0</v>
      </c>
      <c r="M456" s="1" t="s">
        <v>2813</v>
      </c>
      <c r="N456" s="1" t="s">
        <v>698</v>
      </c>
      <c r="O456" s="1">
        <v>0</v>
      </c>
      <c r="P456" s="1" t="s">
        <v>2059</v>
      </c>
      <c r="Q456" s="7" t="s">
        <v>2324</v>
      </c>
      <c r="R456" s="1">
        <v>0</v>
      </c>
    </row>
    <row r="457" spans="1:18" ht="14.25" thickBot="1">
      <c r="A457" s="1">
        <v>11002051</v>
      </c>
      <c r="B457" s="3">
        <v>0</v>
      </c>
      <c r="C457" s="1" t="s">
        <v>2668</v>
      </c>
      <c r="D457" s="1" t="s">
        <v>12</v>
      </c>
      <c r="E457" s="1">
        <v>5</v>
      </c>
      <c r="F457" s="1">
        <v>1</v>
      </c>
      <c r="G457" s="1">
        <v>100</v>
      </c>
      <c r="H457" s="10" t="s">
        <v>2121</v>
      </c>
      <c r="I457" s="1">
        <f t="shared" si="2"/>
        <v>10900</v>
      </c>
      <c r="J457" s="1">
        <v>5</v>
      </c>
      <c r="K457" s="1">
        <v>0</v>
      </c>
      <c r="L457" s="1">
        <v>0</v>
      </c>
      <c r="M457" s="1" t="s">
        <v>2411</v>
      </c>
      <c r="N457" s="1" t="s">
        <v>698</v>
      </c>
      <c r="O457" s="1">
        <v>0</v>
      </c>
      <c r="P457" s="1" t="s">
        <v>2059</v>
      </c>
      <c r="Q457" s="7" t="s">
        <v>2034</v>
      </c>
      <c r="R457" s="1">
        <v>0</v>
      </c>
    </row>
    <row r="458" spans="1:18" ht="14.25" thickBot="1">
      <c r="A458" s="1">
        <v>11002060</v>
      </c>
      <c r="B458" s="3">
        <v>0</v>
      </c>
      <c r="C458" s="9" t="s">
        <v>2795</v>
      </c>
      <c r="D458" s="1" t="s">
        <v>13</v>
      </c>
      <c r="E458" s="1">
        <v>6</v>
      </c>
      <c r="F458" s="1">
        <v>1</v>
      </c>
      <c r="G458" s="1">
        <v>100</v>
      </c>
      <c r="H458" s="10" t="s">
        <v>2121</v>
      </c>
      <c r="I458" s="1">
        <f t="shared" si="2"/>
        <v>10600</v>
      </c>
      <c r="J458" s="1">
        <v>5</v>
      </c>
      <c r="K458" s="1">
        <v>0</v>
      </c>
      <c r="L458" s="1">
        <v>0</v>
      </c>
      <c r="M458" s="1" t="s">
        <v>2413</v>
      </c>
      <c r="N458" s="1" t="s">
        <v>698</v>
      </c>
      <c r="O458" s="1">
        <v>0</v>
      </c>
      <c r="P458" s="1" t="s">
        <v>2059</v>
      </c>
      <c r="Q458" s="7" t="s">
        <v>2325</v>
      </c>
      <c r="R458" s="1">
        <v>0</v>
      </c>
    </row>
    <row r="459" spans="1:18" ht="14.25" thickBot="1">
      <c r="A459" s="1">
        <v>11002061</v>
      </c>
      <c r="B459" s="3">
        <v>0</v>
      </c>
      <c r="C459" s="9" t="s">
        <v>2795</v>
      </c>
      <c r="D459" s="1" t="s">
        <v>13</v>
      </c>
      <c r="E459" s="1">
        <v>6</v>
      </c>
      <c r="F459" s="1">
        <v>1</v>
      </c>
      <c r="G459" s="1">
        <v>100</v>
      </c>
      <c r="H459" s="10" t="s">
        <v>2121</v>
      </c>
      <c r="I459" s="1">
        <f t="shared" si="2"/>
        <v>10900</v>
      </c>
      <c r="J459" s="1">
        <v>5</v>
      </c>
      <c r="K459" s="1">
        <v>0</v>
      </c>
      <c r="L459" s="1">
        <v>0</v>
      </c>
      <c r="M459" s="1" t="s">
        <v>2006</v>
      </c>
      <c r="N459" s="1" t="s">
        <v>698</v>
      </c>
      <c r="O459" s="1">
        <v>0</v>
      </c>
      <c r="P459" s="1" t="s">
        <v>2059</v>
      </c>
      <c r="Q459" s="7" t="s">
        <v>2035</v>
      </c>
      <c r="R459" s="1">
        <v>0</v>
      </c>
    </row>
    <row r="460" spans="1:18" ht="14.25" thickBot="1">
      <c r="A460" s="1">
        <v>11003050</v>
      </c>
      <c r="B460" s="3">
        <v>0</v>
      </c>
      <c r="C460" s="9" t="s">
        <v>2796</v>
      </c>
      <c r="D460" s="1" t="s">
        <v>12</v>
      </c>
      <c r="E460" s="1">
        <v>5</v>
      </c>
      <c r="F460" s="1">
        <v>1</v>
      </c>
      <c r="G460" s="1">
        <v>100</v>
      </c>
      <c r="H460" s="10" t="s">
        <v>2122</v>
      </c>
      <c r="I460" s="1">
        <f t="shared" si="2"/>
        <v>10600</v>
      </c>
      <c r="J460" s="1">
        <v>5</v>
      </c>
      <c r="K460" s="1">
        <v>0</v>
      </c>
      <c r="L460" s="1">
        <v>0</v>
      </c>
      <c r="M460" s="1" t="s">
        <v>2813</v>
      </c>
      <c r="N460" s="1" t="s">
        <v>698</v>
      </c>
      <c r="O460" s="1">
        <v>0</v>
      </c>
      <c r="P460" s="1" t="s">
        <v>2059</v>
      </c>
      <c r="Q460" s="7" t="s">
        <v>2326</v>
      </c>
      <c r="R460" s="1">
        <v>0</v>
      </c>
    </row>
    <row r="461" spans="1:18" ht="14.25" thickBot="1">
      <c r="A461" s="1">
        <v>11003051</v>
      </c>
      <c r="B461" s="3">
        <v>0</v>
      </c>
      <c r="C461" s="9" t="s">
        <v>2797</v>
      </c>
      <c r="D461" s="1" t="s">
        <v>12</v>
      </c>
      <c r="E461" s="1">
        <v>5</v>
      </c>
      <c r="F461" s="1">
        <v>1</v>
      </c>
      <c r="G461" s="1">
        <v>100</v>
      </c>
      <c r="H461" s="10" t="s">
        <v>2122</v>
      </c>
      <c r="I461" s="1">
        <f t="shared" si="2"/>
        <v>10900</v>
      </c>
      <c r="J461" s="1">
        <v>5</v>
      </c>
      <c r="K461" s="1">
        <v>0</v>
      </c>
      <c r="L461" s="1">
        <v>0</v>
      </c>
      <c r="M461" s="1" t="s">
        <v>2411</v>
      </c>
      <c r="N461" s="1" t="s">
        <v>698</v>
      </c>
      <c r="O461" s="1">
        <v>0</v>
      </c>
      <c r="P461" s="1" t="s">
        <v>2059</v>
      </c>
      <c r="Q461" s="7" t="s">
        <v>2036</v>
      </c>
      <c r="R461" s="1">
        <v>0</v>
      </c>
    </row>
    <row r="462" spans="1:18" ht="14.25" thickBot="1">
      <c r="A462" s="1">
        <v>11003060</v>
      </c>
      <c r="B462" s="3">
        <v>0</v>
      </c>
      <c r="C462" s="9" t="s">
        <v>2798</v>
      </c>
      <c r="D462" s="1" t="s">
        <v>13</v>
      </c>
      <c r="E462" s="1">
        <v>6</v>
      </c>
      <c r="F462" s="1">
        <v>1</v>
      </c>
      <c r="G462" s="1">
        <v>100</v>
      </c>
      <c r="H462" s="10" t="s">
        <v>2122</v>
      </c>
      <c r="I462" s="1">
        <f t="shared" si="2"/>
        <v>10600</v>
      </c>
      <c r="J462" s="1">
        <v>5</v>
      </c>
      <c r="K462" s="1">
        <v>0</v>
      </c>
      <c r="L462" s="1">
        <v>0</v>
      </c>
      <c r="M462" s="1" t="s">
        <v>2414</v>
      </c>
      <c r="N462" s="1" t="s">
        <v>698</v>
      </c>
      <c r="O462" s="1">
        <v>0</v>
      </c>
      <c r="P462" s="1" t="s">
        <v>2059</v>
      </c>
      <c r="Q462" s="7" t="s">
        <v>2327</v>
      </c>
      <c r="R462" s="1">
        <v>0</v>
      </c>
    </row>
    <row r="463" spans="1:18" ht="14.25" thickBot="1">
      <c r="A463" s="1">
        <v>11003061</v>
      </c>
      <c r="B463" s="3">
        <v>0</v>
      </c>
      <c r="C463" s="9" t="s">
        <v>2799</v>
      </c>
      <c r="D463" s="1" t="s">
        <v>13</v>
      </c>
      <c r="E463" s="1">
        <v>6</v>
      </c>
      <c r="F463" s="1">
        <v>1</v>
      </c>
      <c r="G463" s="1">
        <v>100</v>
      </c>
      <c r="H463" s="10" t="s">
        <v>2122</v>
      </c>
      <c r="I463" s="1">
        <f t="shared" si="2"/>
        <v>10900</v>
      </c>
      <c r="J463" s="1">
        <v>5</v>
      </c>
      <c r="K463" s="1">
        <v>0</v>
      </c>
      <c r="L463" s="1">
        <v>0</v>
      </c>
      <c r="M463" s="1" t="s">
        <v>2005</v>
      </c>
      <c r="N463" s="1" t="s">
        <v>698</v>
      </c>
      <c r="O463" s="1">
        <v>0</v>
      </c>
      <c r="P463" s="1" t="s">
        <v>2059</v>
      </c>
      <c r="Q463" s="7" t="s">
        <v>2037</v>
      </c>
      <c r="R463" s="1">
        <v>0</v>
      </c>
    </row>
    <row r="464" spans="1:18" ht="14.25" thickBot="1">
      <c r="A464" s="1">
        <v>11000040</v>
      </c>
      <c r="B464" s="3">
        <v>0</v>
      </c>
      <c r="C464" s="1" t="s">
        <v>2800</v>
      </c>
      <c r="D464" s="1" t="s">
        <v>11</v>
      </c>
      <c r="E464" s="1">
        <v>4</v>
      </c>
      <c r="F464" s="1">
        <v>1</v>
      </c>
      <c r="G464" s="1">
        <v>100</v>
      </c>
      <c r="H464" s="10">
        <v>0</v>
      </c>
      <c r="I464" s="1">
        <f t="shared" si="2"/>
        <v>10600</v>
      </c>
      <c r="J464" s="1">
        <v>5</v>
      </c>
      <c r="K464" s="1">
        <v>0</v>
      </c>
      <c r="L464" s="1">
        <v>0</v>
      </c>
      <c r="M464" s="1" t="s">
        <v>2415</v>
      </c>
      <c r="N464" s="1" t="s">
        <v>698</v>
      </c>
      <c r="O464" s="1">
        <v>0</v>
      </c>
      <c r="P464" s="1" t="s">
        <v>2059</v>
      </c>
      <c r="Q464" s="7" t="s">
        <v>2038</v>
      </c>
      <c r="R464" s="1">
        <v>0</v>
      </c>
    </row>
    <row r="465" spans="1:18" ht="14.25" thickBot="1">
      <c r="A465" s="1">
        <v>11000041</v>
      </c>
      <c r="B465" s="3">
        <v>0</v>
      </c>
      <c r="C465" s="1" t="s">
        <v>2675</v>
      </c>
      <c r="D465" s="1" t="s">
        <v>11</v>
      </c>
      <c r="E465" s="1">
        <v>4</v>
      </c>
      <c r="F465" s="1">
        <v>1</v>
      </c>
      <c r="G465" s="1">
        <v>100</v>
      </c>
      <c r="H465" s="10">
        <v>0</v>
      </c>
      <c r="I465" s="1">
        <f t="shared" si="2"/>
        <v>10900</v>
      </c>
      <c r="J465" s="1">
        <v>5</v>
      </c>
      <c r="K465" s="1">
        <v>0</v>
      </c>
      <c r="L465" s="1">
        <v>0</v>
      </c>
      <c r="M465" s="1" t="s">
        <v>1811</v>
      </c>
      <c r="N465" s="1" t="s">
        <v>698</v>
      </c>
      <c r="O465" s="1">
        <v>0</v>
      </c>
      <c r="P465" s="1" t="s">
        <v>2059</v>
      </c>
      <c r="Q465" s="7" t="s">
        <v>2038</v>
      </c>
      <c r="R465" s="1">
        <v>0</v>
      </c>
    </row>
    <row r="466" spans="1:18" ht="14.25" thickBot="1">
      <c r="A466" s="1">
        <v>11000070</v>
      </c>
      <c r="B466" s="3">
        <v>0</v>
      </c>
      <c r="C466" s="1" t="s">
        <v>2801</v>
      </c>
      <c r="D466" s="1" t="s">
        <v>14</v>
      </c>
      <c r="E466" s="1">
        <v>7</v>
      </c>
      <c r="F466" s="1">
        <v>1</v>
      </c>
      <c r="G466" s="1">
        <v>100</v>
      </c>
      <c r="H466" s="10">
        <v>0</v>
      </c>
      <c r="I466" s="1">
        <f t="shared" si="2"/>
        <v>10600</v>
      </c>
      <c r="J466" s="1">
        <v>5</v>
      </c>
      <c r="K466" s="1">
        <v>0</v>
      </c>
      <c r="L466" s="1">
        <v>0</v>
      </c>
      <c r="M466" s="1" t="s">
        <v>2415</v>
      </c>
      <c r="N466" s="1" t="s">
        <v>698</v>
      </c>
      <c r="O466" s="1">
        <v>0</v>
      </c>
      <c r="P466" s="1" t="s">
        <v>2059</v>
      </c>
      <c r="Q466" s="7" t="s">
        <v>2039</v>
      </c>
      <c r="R466" s="1">
        <v>0</v>
      </c>
    </row>
    <row r="467" spans="1:18" ht="14.25" thickBot="1">
      <c r="A467" s="1">
        <v>11000071</v>
      </c>
      <c r="B467" s="3">
        <v>0</v>
      </c>
      <c r="C467" s="1" t="s">
        <v>2802</v>
      </c>
      <c r="D467" s="1" t="s">
        <v>14</v>
      </c>
      <c r="E467" s="1">
        <v>7</v>
      </c>
      <c r="F467" s="1">
        <v>1</v>
      </c>
      <c r="G467" s="1">
        <v>100</v>
      </c>
      <c r="H467" s="10">
        <v>0</v>
      </c>
      <c r="I467" s="1">
        <f t="shared" si="2"/>
        <v>10900</v>
      </c>
      <c r="J467" s="1">
        <v>5</v>
      </c>
      <c r="K467" s="1">
        <v>0</v>
      </c>
      <c r="L467" s="1">
        <v>0</v>
      </c>
      <c r="M467" s="1" t="s">
        <v>1811</v>
      </c>
      <c r="N467" s="1" t="s">
        <v>698</v>
      </c>
      <c r="O467" s="1">
        <v>0</v>
      </c>
      <c r="P467" s="1" t="s">
        <v>2059</v>
      </c>
      <c r="Q467" s="7" t="s">
        <v>2039</v>
      </c>
      <c r="R467" s="1">
        <v>0</v>
      </c>
    </row>
    <row r="468" spans="1:18" ht="14.25" thickBot="1">
      <c r="A468" s="1" t="s">
        <v>368</v>
      </c>
      <c r="B468" s="2">
        <v>0</v>
      </c>
      <c r="C468" s="1" t="s">
        <v>2484</v>
      </c>
      <c r="D468" s="1" t="s">
        <v>8</v>
      </c>
      <c r="E468" s="1">
        <v>1</v>
      </c>
      <c r="F468" s="1">
        <v>2</v>
      </c>
      <c r="G468" s="1">
        <v>1</v>
      </c>
      <c r="H468" s="10">
        <v>0</v>
      </c>
      <c r="I468" s="1">
        <v>200</v>
      </c>
      <c r="J468" s="1">
        <v>10</v>
      </c>
      <c r="K468" s="1">
        <v>0</v>
      </c>
      <c r="L468" s="1">
        <v>0</v>
      </c>
      <c r="M468" s="1" t="s">
        <v>1797</v>
      </c>
      <c r="N468" s="1" t="s">
        <v>699</v>
      </c>
      <c r="O468" s="1">
        <v>0</v>
      </c>
      <c r="P468" s="1" t="s">
        <v>2045</v>
      </c>
      <c r="Q468" s="7" t="str">
        <f>Q6</f>
        <v>equipment/3001.png</v>
      </c>
      <c r="R468" s="1">
        <v>0</v>
      </c>
    </row>
    <row r="469" spans="1:18" ht="14.25" thickBot="1">
      <c r="A469" s="1" t="s">
        <v>369</v>
      </c>
      <c r="B469" s="2">
        <v>0</v>
      </c>
      <c r="C469" s="1" t="s">
        <v>2485</v>
      </c>
      <c r="D469" s="1" t="s">
        <v>9</v>
      </c>
      <c r="E469" s="1">
        <v>2</v>
      </c>
      <c r="F469" s="1">
        <v>2</v>
      </c>
      <c r="G469" s="1">
        <v>1</v>
      </c>
      <c r="H469" s="10">
        <v>0</v>
      </c>
      <c r="I469" s="1">
        <v>200</v>
      </c>
      <c r="J469" s="1">
        <v>10</v>
      </c>
      <c r="K469" s="1">
        <v>0</v>
      </c>
      <c r="L469" s="1">
        <v>0</v>
      </c>
      <c r="M469" s="1" t="s">
        <v>1798</v>
      </c>
      <c r="N469" s="1" t="s">
        <v>699</v>
      </c>
      <c r="O469" s="1">
        <v>0</v>
      </c>
      <c r="P469" s="1" t="s">
        <v>2045</v>
      </c>
      <c r="Q469" s="7" t="str">
        <f t="shared" ref="Q469:Q532" si="3">Q7</f>
        <v>equipment/14001.png</v>
      </c>
      <c r="R469" s="1">
        <v>0</v>
      </c>
    </row>
    <row r="470" spans="1:18" ht="14.25" thickBot="1">
      <c r="A470" s="1" t="s">
        <v>370</v>
      </c>
      <c r="B470" s="2">
        <v>0</v>
      </c>
      <c r="C470" s="1" t="s">
        <v>2486</v>
      </c>
      <c r="D470" s="1" t="s">
        <v>10</v>
      </c>
      <c r="E470" s="1">
        <v>3</v>
      </c>
      <c r="F470" s="1">
        <v>2</v>
      </c>
      <c r="G470" s="1">
        <v>1</v>
      </c>
      <c r="H470" s="10">
        <v>0</v>
      </c>
      <c r="I470" s="1">
        <v>200</v>
      </c>
      <c r="J470" s="1">
        <v>10</v>
      </c>
      <c r="K470" s="1">
        <v>0</v>
      </c>
      <c r="L470" s="1">
        <v>0</v>
      </c>
      <c r="M470" s="1" t="s">
        <v>1799</v>
      </c>
      <c r="N470" s="1" t="s">
        <v>699</v>
      </c>
      <c r="O470" s="1">
        <v>0</v>
      </c>
      <c r="P470" s="1" t="s">
        <v>2045</v>
      </c>
      <c r="Q470" s="7" t="str">
        <f t="shared" si="3"/>
        <v>equipment/6001.png</v>
      </c>
      <c r="R470" s="1">
        <v>0</v>
      </c>
    </row>
    <row r="471" spans="1:18" ht="14.25" thickBot="1">
      <c r="A471" s="1" t="s">
        <v>371</v>
      </c>
      <c r="B471" s="3">
        <v>1</v>
      </c>
      <c r="C471" s="1" t="s">
        <v>2487</v>
      </c>
      <c r="D471" s="1" t="s">
        <v>15</v>
      </c>
      <c r="E471" s="1">
        <v>8</v>
      </c>
      <c r="F471" s="1">
        <v>2</v>
      </c>
      <c r="G471" s="1">
        <v>1</v>
      </c>
      <c r="H471" s="10">
        <v>0</v>
      </c>
      <c r="I471" s="1">
        <v>200</v>
      </c>
      <c r="J471" s="1">
        <v>10</v>
      </c>
      <c r="K471" s="1">
        <v>0</v>
      </c>
      <c r="L471" s="1">
        <v>0</v>
      </c>
      <c r="M471" s="1" t="s">
        <v>1800</v>
      </c>
      <c r="N471" s="1" t="s">
        <v>699</v>
      </c>
      <c r="O471" s="1">
        <v>0</v>
      </c>
      <c r="P471" s="1" t="s">
        <v>2045</v>
      </c>
      <c r="Q471" s="7" t="str">
        <f t="shared" si="3"/>
        <v>equipment/8001.png</v>
      </c>
      <c r="R471" s="1">
        <v>0</v>
      </c>
    </row>
    <row r="472" spans="1:18" ht="14.25" thickBot="1">
      <c r="A472" s="1" t="s">
        <v>372</v>
      </c>
      <c r="B472" s="3">
        <v>1</v>
      </c>
      <c r="C472" s="1" t="s">
        <v>2488</v>
      </c>
      <c r="D472" s="1" t="s">
        <v>16</v>
      </c>
      <c r="E472" s="1">
        <v>9</v>
      </c>
      <c r="F472" s="1">
        <v>2</v>
      </c>
      <c r="G472" s="1">
        <v>1</v>
      </c>
      <c r="H472" s="10">
        <v>0</v>
      </c>
      <c r="I472" s="1">
        <v>200</v>
      </c>
      <c r="J472" s="1">
        <v>10</v>
      </c>
      <c r="K472" s="1">
        <v>0</v>
      </c>
      <c r="L472" s="1">
        <v>0</v>
      </c>
      <c r="M472" s="1" t="s">
        <v>1801</v>
      </c>
      <c r="N472" s="1" t="s">
        <v>699</v>
      </c>
      <c r="O472" s="1">
        <v>0</v>
      </c>
      <c r="P472" s="1" t="s">
        <v>2045</v>
      </c>
      <c r="Q472" s="7" t="str">
        <f t="shared" si="3"/>
        <v>equipment/10001.png</v>
      </c>
      <c r="R472" s="1">
        <v>0</v>
      </c>
    </row>
    <row r="473" spans="1:18" ht="14.25" thickBot="1">
      <c r="A473" s="1" t="s">
        <v>373</v>
      </c>
      <c r="B473" s="2">
        <v>0</v>
      </c>
      <c r="C473" s="1" t="s">
        <v>2489</v>
      </c>
      <c r="D473" s="1" t="s">
        <v>17</v>
      </c>
      <c r="E473" s="1">
        <v>10</v>
      </c>
      <c r="F473" s="1">
        <v>2</v>
      </c>
      <c r="G473" s="1">
        <v>1</v>
      </c>
      <c r="H473" s="10">
        <v>0</v>
      </c>
      <c r="I473" s="1">
        <v>200</v>
      </c>
      <c r="J473" s="1">
        <v>10</v>
      </c>
      <c r="K473" s="1">
        <v>0</v>
      </c>
      <c r="L473" s="1">
        <v>0</v>
      </c>
      <c r="M473" s="1" t="s">
        <v>1802</v>
      </c>
      <c r="N473" s="1" t="s">
        <v>699</v>
      </c>
      <c r="O473" s="1">
        <v>0</v>
      </c>
      <c r="P473" s="1" t="s">
        <v>2045</v>
      </c>
      <c r="Q473" s="7" t="str">
        <f t="shared" si="3"/>
        <v>equipment/12001.png</v>
      </c>
      <c r="R473" s="1">
        <v>0</v>
      </c>
    </row>
    <row r="474" spans="1:18" ht="14.25" thickBot="1">
      <c r="A474" s="1" t="s">
        <v>374</v>
      </c>
      <c r="B474" s="3">
        <v>1</v>
      </c>
      <c r="C474" s="9" t="s">
        <v>2490</v>
      </c>
      <c r="D474" s="1" t="s">
        <v>12</v>
      </c>
      <c r="E474" s="1">
        <v>5</v>
      </c>
      <c r="F474" s="1">
        <v>2</v>
      </c>
      <c r="G474" s="1">
        <v>1</v>
      </c>
      <c r="H474" s="10" t="s">
        <v>2120</v>
      </c>
      <c r="I474" s="1">
        <v>200</v>
      </c>
      <c r="J474" s="1">
        <v>10</v>
      </c>
      <c r="K474" s="1">
        <v>0</v>
      </c>
      <c r="L474" s="1">
        <v>0</v>
      </c>
      <c r="M474" s="1" t="s">
        <v>2010</v>
      </c>
      <c r="N474" s="1" t="s">
        <v>700</v>
      </c>
      <c r="O474" s="1">
        <v>0</v>
      </c>
      <c r="P474" s="1" t="s">
        <v>2045</v>
      </c>
      <c r="Q474" s="7" t="str">
        <f t="shared" si="3"/>
        <v>equipment/1101.png</v>
      </c>
      <c r="R474" s="1">
        <v>0</v>
      </c>
    </row>
    <row r="475" spans="1:18" ht="14.25" thickBot="1">
      <c r="A475" s="1" t="s">
        <v>375</v>
      </c>
      <c r="B475" s="3">
        <v>1</v>
      </c>
      <c r="C475" s="9" t="s">
        <v>2491</v>
      </c>
      <c r="D475" s="1" t="s">
        <v>12</v>
      </c>
      <c r="E475" s="1">
        <v>5</v>
      </c>
      <c r="F475" s="1">
        <v>2</v>
      </c>
      <c r="G475" s="1">
        <v>1</v>
      </c>
      <c r="H475" s="10" t="s">
        <v>2120</v>
      </c>
      <c r="I475" s="1">
        <v>800</v>
      </c>
      <c r="J475" s="1">
        <v>10</v>
      </c>
      <c r="K475" s="1">
        <v>0</v>
      </c>
      <c r="L475" s="1">
        <v>0</v>
      </c>
      <c r="M475" s="1" t="s">
        <v>2011</v>
      </c>
      <c r="N475" s="1" t="s">
        <v>700</v>
      </c>
      <c r="O475" s="1">
        <v>0</v>
      </c>
      <c r="P475" s="1" t="s">
        <v>2045</v>
      </c>
      <c r="Q475" s="7" t="str">
        <f t="shared" si="3"/>
        <v>equipment/1102.png</v>
      </c>
      <c r="R475" s="1">
        <v>0</v>
      </c>
    </row>
    <row r="476" spans="1:18" ht="14.25" thickBot="1">
      <c r="A476" s="1" t="s">
        <v>376</v>
      </c>
      <c r="B476" s="3">
        <v>1</v>
      </c>
      <c r="C476" s="9" t="s">
        <v>2492</v>
      </c>
      <c r="D476" s="1" t="s">
        <v>13</v>
      </c>
      <c r="E476" s="1">
        <v>6</v>
      </c>
      <c r="F476" s="1">
        <v>2</v>
      </c>
      <c r="G476" s="1">
        <v>1</v>
      </c>
      <c r="H476" s="10" t="s">
        <v>2120</v>
      </c>
      <c r="I476" s="1">
        <v>200</v>
      </c>
      <c r="J476" s="1">
        <v>10</v>
      </c>
      <c r="K476" s="1">
        <v>0</v>
      </c>
      <c r="L476" s="1">
        <v>0</v>
      </c>
      <c r="M476" s="1" t="s">
        <v>1803</v>
      </c>
      <c r="N476" s="1" t="s">
        <v>700</v>
      </c>
      <c r="O476" s="1">
        <v>0</v>
      </c>
      <c r="P476" s="1" t="s">
        <v>2045</v>
      </c>
      <c r="Q476" s="7" t="str">
        <f t="shared" si="3"/>
        <v>equipment/2101.png</v>
      </c>
      <c r="R476" s="1">
        <v>0</v>
      </c>
    </row>
    <row r="477" spans="1:18" ht="14.25" thickBot="1">
      <c r="A477" s="1" t="s">
        <v>377</v>
      </c>
      <c r="B477" s="2">
        <v>0</v>
      </c>
      <c r="C477" s="9" t="s">
        <v>2061</v>
      </c>
      <c r="D477" s="1" t="s">
        <v>13</v>
      </c>
      <c r="E477" s="1">
        <v>6</v>
      </c>
      <c r="F477" s="1">
        <v>2</v>
      </c>
      <c r="G477" s="1">
        <v>1</v>
      </c>
      <c r="H477" s="10" t="s">
        <v>2120</v>
      </c>
      <c r="I477" s="1">
        <v>800</v>
      </c>
      <c r="J477" s="1">
        <v>10</v>
      </c>
      <c r="K477" s="1">
        <v>0</v>
      </c>
      <c r="L477" s="1">
        <v>0</v>
      </c>
      <c r="M477" s="1" t="s">
        <v>1804</v>
      </c>
      <c r="N477" s="1" t="s">
        <v>700</v>
      </c>
      <c r="O477" s="1">
        <v>0</v>
      </c>
      <c r="P477" s="1" t="s">
        <v>2045</v>
      </c>
      <c r="Q477" s="7" t="str">
        <f t="shared" si="3"/>
        <v>equipment/2101.png</v>
      </c>
      <c r="R477" s="1">
        <v>0</v>
      </c>
    </row>
    <row r="478" spans="1:18" ht="14.25" thickBot="1">
      <c r="A478" s="1" t="s">
        <v>378</v>
      </c>
      <c r="B478" s="3">
        <v>1</v>
      </c>
      <c r="C478" s="1" t="s">
        <v>2493</v>
      </c>
      <c r="D478" s="1" t="s">
        <v>12</v>
      </c>
      <c r="E478" s="1">
        <v>5</v>
      </c>
      <c r="F478" s="1">
        <v>2</v>
      </c>
      <c r="G478" s="1">
        <v>1</v>
      </c>
      <c r="H478" s="10" t="s">
        <v>2121</v>
      </c>
      <c r="I478" s="1">
        <v>200</v>
      </c>
      <c r="J478" s="1">
        <v>10</v>
      </c>
      <c r="K478" s="1">
        <v>0</v>
      </c>
      <c r="L478" s="1">
        <v>0</v>
      </c>
      <c r="M478" s="1" t="s">
        <v>2010</v>
      </c>
      <c r="N478" s="1" t="s">
        <v>700</v>
      </c>
      <c r="O478" s="1">
        <v>0</v>
      </c>
      <c r="P478" s="1" t="s">
        <v>2045</v>
      </c>
      <c r="Q478" s="7" t="str">
        <f t="shared" si="3"/>
        <v>equipment/1201.png</v>
      </c>
      <c r="R478" s="1">
        <v>0</v>
      </c>
    </row>
    <row r="479" spans="1:18" ht="14.25" thickBot="1">
      <c r="A479" s="1" t="s">
        <v>379</v>
      </c>
      <c r="B479" s="3">
        <v>1</v>
      </c>
      <c r="C479" s="1" t="s">
        <v>2494</v>
      </c>
      <c r="D479" s="1" t="s">
        <v>12</v>
      </c>
      <c r="E479" s="1">
        <v>5</v>
      </c>
      <c r="F479" s="1">
        <v>2</v>
      </c>
      <c r="G479" s="1">
        <v>1</v>
      </c>
      <c r="H479" s="10" t="s">
        <v>2121</v>
      </c>
      <c r="I479" s="1">
        <v>800</v>
      </c>
      <c r="J479" s="1">
        <v>10</v>
      </c>
      <c r="K479" s="1">
        <v>0</v>
      </c>
      <c r="L479" s="1">
        <v>0</v>
      </c>
      <c r="M479" s="1" t="s">
        <v>2011</v>
      </c>
      <c r="N479" s="1" t="s">
        <v>700</v>
      </c>
      <c r="O479" s="1">
        <v>0</v>
      </c>
      <c r="P479" s="1" t="s">
        <v>2045</v>
      </c>
      <c r="Q479" s="7" t="str">
        <f t="shared" si="3"/>
        <v>equipment/1202.png</v>
      </c>
      <c r="R479" s="1">
        <v>0</v>
      </c>
    </row>
    <row r="480" spans="1:18" ht="14.25" thickBot="1">
      <c r="A480" s="1" t="s">
        <v>380</v>
      </c>
      <c r="B480" s="3">
        <v>1</v>
      </c>
      <c r="C480" s="9" t="s">
        <v>2495</v>
      </c>
      <c r="D480" s="1" t="s">
        <v>13</v>
      </c>
      <c r="E480" s="1">
        <v>6</v>
      </c>
      <c r="F480" s="1">
        <v>2</v>
      </c>
      <c r="G480" s="1">
        <v>1</v>
      </c>
      <c r="H480" s="10" t="s">
        <v>2121</v>
      </c>
      <c r="I480" s="1">
        <v>200</v>
      </c>
      <c r="J480" s="1">
        <v>10</v>
      </c>
      <c r="K480" s="1">
        <v>0</v>
      </c>
      <c r="L480" s="1">
        <v>0</v>
      </c>
      <c r="M480" s="1" t="s">
        <v>1805</v>
      </c>
      <c r="N480" s="1" t="s">
        <v>700</v>
      </c>
      <c r="O480" s="1">
        <v>0</v>
      </c>
      <c r="P480" s="1" t="s">
        <v>2045</v>
      </c>
      <c r="Q480" s="7" t="str">
        <f t="shared" si="3"/>
        <v>equipment/2201.png</v>
      </c>
      <c r="R480" s="1">
        <v>0</v>
      </c>
    </row>
    <row r="481" spans="1:18" ht="14.25" thickBot="1">
      <c r="A481" s="1" t="s">
        <v>381</v>
      </c>
      <c r="B481" s="2">
        <v>0</v>
      </c>
      <c r="C481" s="9" t="s">
        <v>2094</v>
      </c>
      <c r="D481" s="1" t="s">
        <v>13</v>
      </c>
      <c r="E481" s="1">
        <v>6</v>
      </c>
      <c r="F481" s="1">
        <v>2</v>
      </c>
      <c r="G481" s="1">
        <v>1</v>
      </c>
      <c r="H481" s="10" t="s">
        <v>2121</v>
      </c>
      <c r="I481" s="1">
        <v>800</v>
      </c>
      <c r="J481" s="1">
        <v>10</v>
      </c>
      <c r="K481" s="1">
        <v>0</v>
      </c>
      <c r="L481" s="1">
        <v>0</v>
      </c>
      <c r="M481" s="1" t="s">
        <v>1806</v>
      </c>
      <c r="N481" s="1" t="s">
        <v>700</v>
      </c>
      <c r="O481" s="1">
        <v>0</v>
      </c>
      <c r="P481" s="1" t="s">
        <v>2045</v>
      </c>
      <c r="Q481" s="7" t="str">
        <f t="shared" si="3"/>
        <v>equipment/2201.png</v>
      </c>
      <c r="R481" s="1">
        <v>0</v>
      </c>
    </row>
    <row r="482" spans="1:18" ht="14.25" thickBot="1">
      <c r="A482" s="1" t="s">
        <v>382</v>
      </c>
      <c r="B482" s="3">
        <v>1</v>
      </c>
      <c r="C482" s="9" t="s">
        <v>2496</v>
      </c>
      <c r="D482" s="1" t="s">
        <v>12</v>
      </c>
      <c r="E482" s="1">
        <v>5</v>
      </c>
      <c r="F482" s="1">
        <v>2</v>
      </c>
      <c r="G482" s="1">
        <v>1</v>
      </c>
      <c r="H482" s="10" t="s">
        <v>2122</v>
      </c>
      <c r="I482" s="1">
        <v>200</v>
      </c>
      <c r="J482" s="1">
        <v>10</v>
      </c>
      <c r="K482" s="1">
        <v>0</v>
      </c>
      <c r="L482" s="1">
        <v>0</v>
      </c>
      <c r="M482" s="1" t="s">
        <v>2010</v>
      </c>
      <c r="N482" s="1" t="s">
        <v>700</v>
      </c>
      <c r="O482" s="1">
        <v>0</v>
      </c>
      <c r="P482" s="1" t="s">
        <v>2045</v>
      </c>
      <c r="Q482" s="7" t="str">
        <f t="shared" si="3"/>
        <v>equipment/1301.png</v>
      </c>
      <c r="R482" s="1">
        <v>0</v>
      </c>
    </row>
    <row r="483" spans="1:18" ht="14.25" thickBot="1">
      <c r="A483" s="1" t="s">
        <v>383</v>
      </c>
      <c r="B483" s="3">
        <v>1</v>
      </c>
      <c r="C483" s="9" t="s">
        <v>2497</v>
      </c>
      <c r="D483" s="1" t="s">
        <v>12</v>
      </c>
      <c r="E483" s="1">
        <v>5</v>
      </c>
      <c r="F483" s="1">
        <v>2</v>
      </c>
      <c r="G483" s="1">
        <v>1</v>
      </c>
      <c r="H483" s="10" t="s">
        <v>2122</v>
      </c>
      <c r="I483" s="1">
        <v>800</v>
      </c>
      <c r="J483" s="1">
        <v>10</v>
      </c>
      <c r="K483" s="1">
        <v>0</v>
      </c>
      <c r="L483" s="1">
        <v>0</v>
      </c>
      <c r="M483" s="1" t="s">
        <v>2011</v>
      </c>
      <c r="N483" s="1" t="s">
        <v>700</v>
      </c>
      <c r="O483" s="1">
        <v>0</v>
      </c>
      <c r="P483" s="1" t="s">
        <v>2045</v>
      </c>
      <c r="Q483" s="7" t="str">
        <f t="shared" si="3"/>
        <v>equipment/1302.png</v>
      </c>
      <c r="R483" s="1">
        <v>0</v>
      </c>
    </row>
    <row r="484" spans="1:18" ht="14.25" thickBot="1">
      <c r="A484" s="1" t="s">
        <v>384</v>
      </c>
      <c r="B484" s="3">
        <v>1</v>
      </c>
      <c r="C484" s="9" t="s">
        <v>2498</v>
      </c>
      <c r="D484" s="1" t="s">
        <v>13</v>
      </c>
      <c r="E484" s="1">
        <v>6</v>
      </c>
      <c r="F484" s="1">
        <v>2</v>
      </c>
      <c r="G484" s="1">
        <v>1</v>
      </c>
      <c r="H484" s="10" t="s">
        <v>2122</v>
      </c>
      <c r="I484" s="1">
        <v>200</v>
      </c>
      <c r="J484" s="1">
        <v>10</v>
      </c>
      <c r="K484" s="1">
        <v>0</v>
      </c>
      <c r="L484" s="1">
        <v>0</v>
      </c>
      <c r="M484" s="1" t="s">
        <v>1807</v>
      </c>
      <c r="N484" s="1" t="s">
        <v>700</v>
      </c>
      <c r="O484" s="1">
        <v>0</v>
      </c>
      <c r="P484" s="1" t="s">
        <v>2045</v>
      </c>
      <c r="Q484" s="7" t="str">
        <f t="shared" si="3"/>
        <v>equipment/2301.png</v>
      </c>
      <c r="R484" s="1">
        <v>0</v>
      </c>
    </row>
    <row r="485" spans="1:18" ht="14.25" thickBot="1">
      <c r="A485" s="1" t="s">
        <v>385</v>
      </c>
      <c r="B485" s="2">
        <v>0</v>
      </c>
      <c r="C485" s="9" t="s">
        <v>2095</v>
      </c>
      <c r="D485" s="1" t="s">
        <v>13</v>
      </c>
      <c r="E485" s="1">
        <v>6</v>
      </c>
      <c r="F485" s="1">
        <v>2</v>
      </c>
      <c r="G485" s="1">
        <v>1</v>
      </c>
      <c r="H485" s="10" t="s">
        <v>2122</v>
      </c>
      <c r="I485" s="1">
        <v>800</v>
      </c>
      <c r="J485" s="1">
        <v>10</v>
      </c>
      <c r="K485" s="1">
        <v>0</v>
      </c>
      <c r="L485" s="1">
        <v>0</v>
      </c>
      <c r="M485" s="1" t="s">
        <v>1808</v>
      </c>
      <c r="N485" s="1" t="s">
        <v>700</v>
      </c>
      <c r="O485" s="1">
        <v>0</v>
      </c>
      <c r="P485" s="1" t="s">
        <v>2045</v>
      </c>
      <c r="Q485" s="7" t="str">
        <f t="shared" si="3"/>
        <v>equipment/2301.png</v>
      </c>
      <c r="R485" s="1">
        <v>0</v>
      </c>
    </row>
    <row r="486" spans="1:18" ht="14.25" thickBot="1">
      <c r="A486" s="1" t="s">
        <v>386</v>
      </c>
      <c r="B486" s="3">
        <v>1</v>
      </c>
      <c r="C486" s="1" t="s">
        <v>2499</v>
      </c>
      <c r="D486" s="1" t="s">
        <v>11</v>
      </c>
      <c r="E486" s="1">
        <v>4</v>
      </c>
      <c r="F486" s="1">
        <v>2</v>
      </c>
      <c r="G486" s="1">
        <v>1</v>
      </c>
      <c r="H486" s="10">
        <v>0</v>
      </c>
      <c r="I486" s="1">
        <v>200</v>
      </c>
      <c r="J486" s="1">
        <v>10</v>
      </c>
      <c r="K486" s="1">
        <v>0</v>
      </c>
      <c r="L486" s="1">
        <v>0</v>
      </c>
      <c r="M486" s="1" t="s">
        <v>1809</v>
      </c>
      <c r="N486" s="1" t="s">
        <v>699</v>
      </c>
      <c r="O486" s="1">
        <v>0</v>
      </c>
      <c r="P486" s="1" t="s">
        <v>2045</v>
      </c>
      <c r="Q486" s="7" t="str">
        <f t="shared" si="3"/>
        <v>equipment/5001.png</v>
      </c>
      <c r="R486" s="1">
        <v>0</v>
      </c>
    </row>
    <row r="487" spans="1:18" ht="14.25" thickBot="1">
      <c r="A487" s="1" t="s">
        <v>387</v>
      </c>
      <c r="B487" s="2">
        <v>0</v>
      </c>
      <c r="C487" s="1" t="s">
        <v>2499</v>
      </c>
      <c r="D487" s="1" t="s">
        <v>11</v>
      </c>
      <c r="E487" s="1">
        <v>4</v>
      </c>
      <c r="F487" s="1">
        <v>2</v>
      </c>
      <c r="G487" s="1">
        <v>1</v>
      </c>
      <c r="H487" s="10">
        <v>0</v>
      </c>
      <c r="I487" s="1">
        <v>800</v>
      </c>
      <c r="J487" s="1">
        <v>10</v>
      </c>
      <c r="K487" s="1">
        <v>0</v>
      </c>
      <c r="L487" s="1">
        <v>0</v>
      </c>
      <c r="M487" s="1" t="s">
        <v>1810</v>
      </c>
      <c r="N487" s="1" t="s">
        <v>699</v>
      </c>
      <c r="O487" s="1">
        <v>0</v>
      </c>
      <c r="P487" s="1" t="s">
        <v>2045</v>
      </c>
      <c r="Q487" s="7" t="str">
        <f t="shared" si="3"/>
        <v>equipment/5001.png</v>
      </c>
      <c r="R487" s="1">
        <v>0</v>
      </c>
    </row>
    <row r="488" spans="1:18" ht="14.25" thickBot="1">
      <c r="A488" s="1" t="s">
        <v>388</v>
      </c>
      <c r="B488" s="2">
        <v>0</v>
      </c>
      <c r="C488" s="1" t="s">
        <v>2500</v>
      </c>
      <c r="D488" s="1" t="s">
        <v>14</v>
      </c>
      <c r="E488" s="1">
        <v>7</v>
      </c>
      <c r="F488" s="1">
        <v>2</v>
      </c>
      <c r="G488" s="1">
        <v>1</v>
      </c>
      <c r="H488" s="10">
        <v>0</v>
      </c>
      <c r="I488" s="1">
        <v>200</v>
      </c>
      <c r="J488" s="1">
        <v>10</v>
      </c>
      <c r="K488" s="1">
        <v>0</v>
      </c>
      <c r="L488" s="1">
        <v>0</v>
      </c>
      <c r="M488" s="1" t="s">
        <v>1811</v>
      </c>
      <c r="N488" s="1" t="s">
        <v>699</v>
      </c>
      <c r="O488" s="1">
        <v>0</v>
      </c>
      <c r="P488" s="1" t="s">
        <v>2045</v>
      </c>
      <c r="Q488" s="7" t="str">
        <f t="shared" si="3"/>
        <v>equipment/7001.png</v>
      </c>
      <c r="R488" s="1">
        <v>0</v>
      </c>
    </row>
    <row r="489" spans="1:18" ht="14.25" thickBot="1">
      <c r="A489" s="1" t="s">
        <v>389</v>
      </c>
      <c r="B489" s="2">
        <v>0</v>
      </c>
      <c r="C489" s="1" t="s">
        <v>2501</v>
      </c>
      <c r="D489" s="1" t="s">
        <v>14</v>
      </c>
      <c r="E489" s="1">
        <v>7</v>
      </c>
      <c r="F489" s="1">
        <v>2</v>
      </c>
      <c r="G489" s="1">
        <v>1</v>
      </c>
      <c r="H489" s="10">
        <v>0</v>
      </c>
      <c r="I489" s="1">
        <v>800</v>
      </c>
      <c r="J489" s="1">
        <v>10</v>
      </c>
      <c r="K489" s="1">
        <v>0</v>
      </c>
      <c r="L489" s="1">
        <v>0</v>
      </c>
      <c r="M489" s="1" t="s">
        <v>1812</v>
      </c>
      <c r="N489" s="1" t="s">
        <v>699</v>
      </c>
      <c r="O489" s="1">
        <v>0</v>
      </c>
      <c r="P489" s="1" t="s">
        <v>2045</v>
      </c>
      <c r="Q489" s="7" t="str">
        <f t="shared" si="3"/>
        <v>equipment/7001.png</v>
      </c>
      <c r="R489" s="1">
        <v>0</v>
      </c>
    </row>
    <row r="490" spans="1:18" ht="14.25" thickBot="1">
      <c r="A490" s="1" t="s">
        <v>390</v>
      </c>
      <c r="B490" s="3">
        <v>1</v>
      </c>
      <c r="C490" s="1" t="s">
        <v>2484</v>
      </c>
      <c r="D490" s="1" t="s">
        <v>8</v>
      </c>
      <c r="E490" s="1">
        <v>1</v>
      </c>
      <c r="F490" s="1">
        <v>2</v>
      </c>
      <c r="G490" s="1">
        <v>5</v>
      </c>
      <c r="H490" s="10">
        <v>0</v>
      </c>
      <c r="I490" s="1">
        <v>1000</v>
      </c>
      <c r="J490" s="1">
        <v>10</v>
      </c>
      <c r="K490" s="1">
        <v>0</v>
      </c>
      <c r="L490" s="1">
        <v>0</v>
      </c>
      <c r="M490" s="1" t="s">
        <v>1813</v>
      </c>
      <c r="N490" s="1" t="s">
        <v>701</v>
      </c>
      <c r="O490" s="1">
        <v>0</v>
      </c>
      <c r="P490" s="1" t="s">
        <v>2046</v>
      </c>
      <c r="Q490" s="7" t="str">
        <f t="shared" si="3"/>
        <v>equipment/3001.png</v>
      </c>
      <c r="R490" s="1">
        <v>0</v>
      </c>
    </row>
    <row r="491" spans="1:18" ht="14.25" thickBot="1">
      <c r="A491" s="1" t="s">
        <v>391</v>
      </c>
      <c r="B491" s="3">
        <v>1</v>
      </c>
      <c r="C491" s="1" t="s">
        <v>2485</v>
      </c>
      <c r="D491" s="1" t="s">
        <v>9</v>
      </c>
      <c r="E491" s="1">
        <v>2</v>
      </c>
      <c r="F491" s="1">
        <v>2</v>
      </c>
      <c r="G491" s="1">
        <v>5</v>
      </c>
      <c r="H491" s="10">
        <v>0</v>
      </c>
      <c r="I491" s="1">
        <v>1000</v>
      </c>
      <c r="J491" s="1">
        <v>10</v>
      </c>
      <c r="K491" s="1">
        <v>0</v>
      </c>
      <c r="L491" s="1">
        <v>0</v>
      </c>
      <c r="M491" s="1" t="s">
        <v>1814</v>
      </c>
      <c r="N491" s="1" t="s">
        <v>701</v>
      </c>
      <c r="O491" s="1">
        <v>0</v>
      </c>
      <c r="P491" s="1" t="s">
        <v>2046</v>
      </c>
      <c r="Q491" s="7" t="str">
        <f t="shared" si="3"/>
        <v>equipment/14001.png</v>
      </c>
      <c r="R491" s="1">
        <v>0</v>
      </c>
    </row>
    <row r="492" spans="1:18" ht="14.25" thickBot="1">
      <c r="A492" s="1" t="s">
        <v>392</v>
      </c>
      <c r="B492" s="3">
        <v>1</v>
      </c>
      <c r="C492" s="1" t="s">
        <v>2486</v>
      </c>
      <c r="D492" s="1" t="s">
        <v>10</v>
      </c>
      <c r="E492" s="1">
        <v>3</v>
      </c>
      <c r="F492" s="1">
        <v>2</v>
      </c>
      <c r="G492" s="1">
        <v>5</v>
      </c>
      <c r="H492" s="10">
        <v>0</v>
      </c>
      <c r="I492" s="1">
        <v>1000</v>
      </c>
      <c r="J492" s="1">
        <v>10</v>
      </c>
      <c r="K492" s="1">
        <v>0</v>
      </c>
      <c r="L492" s="1">
        <v>0</v>
      </c>
      <c r="M492" s="1" t="s">
        <v>1799</v>
      </c>
      <c r="N492" s="1" t="s">
        <v>701</v>
      </c>
      <c r="O492" s="1">
        <v>0</v>
      </c>
      <c r="P492" s="1" t="s">
        <v>2046</v>
      </c>
      <c r="Q492" s="7" t="str">
        <f t="shared" si="3"/>
        <v>equipment/6001.png</v>
      </c>
      <c r="R492" s="1">
        <v>0</v>
      </c>
    </row>
    <row r="493" spans="1:18" ht="14.25" thickBot="1">
      <c r="A493" s="1" t="s">
        <v>393</v>
      </c>
      <c r="B493" s="2">
        <v>0</v>
      </c>
      <c r="C493" s="1" t="s">
        <v>2487</v>
      </c>
      <c r="D493" s="1" t="s">
        <v>15</v>
      </c>
      <c r="E493" s="1">
        <v>8</v>
      </c>
      <c r="F493" s="1">
        <v>2</v>
      </c>
      <c r="G493" s="1">
        <v>5</v>
      </c>
      <c r="H493" s="10">
        <v>0</v>
      </c>
      <c r="I493" s="1">
        <v>1000</v>
      </c>
      <c r="J493" s="1">
        <v>10</v>
      </c>
      <c r="K493" s="1">
        <v>0</v>
      </c>
      <c r="L493" s="1">
        <v>0</v>
      </c>
      <c r="M493" s="1" t="s">
        <v>1815</v>
      </c>
      <c r="N493" s="1" t="s">
        <v>701</v>
      </c>
      <c r="O493" s="1">
        <v>0</v>
      </c>
      <c r="P493" s="1" t="s">
        <v>2046</v>
      </c>
      <c r="Q493" s="7" t="str">
        <f t="shared" si="3"/>
        <v>equipment/8001.png</v>
      </c>
      <c r="R493" s="1">
        <v>0</v>
      </c>
    </row>
    <row r="494" spans="1:18" ht="14.25" thickBot="1">
      <c r="A494" s="1" t="s">
        <v>394</v>
      </c>
      <c r="B494" s="2">
        <v>0</v>
      </c>
      <c r="C494" s="1" t="s">
        <v>2488</v>
      </c>
      <c r="D494" s="1" t="s">
        <v>16</v>
      </c>
      <c r="E494" s="1">
        <v>9</v>
      </c>
      <c r="F494" s="1">
        <v>2</v>
      </c>
      <c r="G494" s="1">
        <v>5</v>
      </c>
      <c r="H494" s="10">
        <v>0</v>
      </c>
      <c r="I494" s="1">
        <v>1000</v>
      </c>
      <c r="J494" s="1">
        <v>10</v>
      </c>
      <c r="K494" s="1">
        <v>0</v>
      </c>
      <c r="L494" s="1">
        <v>0</v>
      </c>
      <c r="M494" s="1" t="s">
        <v>1816</v>
      </c>
      <c r="N494" s="1" t="s">
        <v>701</v>
      </c>
      <c r="O494" s="1">
        <v>0</v>
      </c>
      <c r="P494" s="1" t="s">
        <v>2046</v>
      </c>
      <c r="Q494" s="7" t="str">
        <f t="shared" si="3"/>
        <v>equipment/10001.png</v>
      </c>
      <c r="R494" s="1">
        <v>0</v>
      </c>
    </row>
    <row r="495" spans="1:18" ht="14.25" thickBot="1">
      <c r="A495" s="1" t="s">
        <v>395</v>
      </c>
      <c r="B495" s="3">
        <v>1</v>
      </c>
      <c r="C495" s="1" t="s">
        <v>2489</v>
      </c>
      <c r="D495" s="1" t="s">
        <v>17</v>
      </c>
      <c r="E495" s="1">
        <v>10</v>
      </c>
      <c r="F495" s="1">
        <v>2</v>
      </c>
      <c r="G495" s="1">
        <v>5</v>
      </c>
      <c r="H495" s="10">
        <v>0</v>
      </c>
      <c r="I495" s="1">
        <v>1000</v>
      </c>
      <c r="J495" s="1">
        <v>10</v>
      </c>
      <c r="K495" s="1">
        <v>0</v>
      </c>
      <c r="L495" s="1">
        <v>0</v>
      </c>
      <c r="M495" s="1" t="s">
        <v>1817</v>
      </c>
      <c r="N495" s="1" t="s">
        <v>701</v>
      </c>
      <c r="O495" s="1">
        <v>0</v>
      </c>
      <c r="P495" s="1" t="s">
        <v>2046</v>
      </c>
      <c r="Q495" s="7" t="str">
        <f t="shared" si="3"/>
        <v>equipment/12001.png</v>
      </c>
      <c r="R495" s="1">
        <v>0</v>
      </c>
    </row>
    <row r="496" spans="1:18" ht="14.25" thickBot="1">
      <c r="A496" s="1" t="s">
        <v>396</v>
      </c>
      <c r="B496" s="3">
        <v>1</v>
      </c>
      <c r="C496" s="9" t="s">
        <v>2502</v>
      </c>
      <c r="D496" s="1" t="s">
        <v>12</v>
      </c>
      <c r="E496" s="1">
        <v>5</v>
      </c>
      <c r="F496" s="1">
        <v>2</v>
      </c>
      <c r="G496" s="1">
        <v>5</v>
      </c>
      <c r="H496" s="10" t="s">
        <v>2120</v>
      </c>
      <c r="I496" s="1">
        <v>1000</v>
      </c>
      <c r="J496" s="1">
        <v>10</v>
      </c>
      <c r="K496" s="1">
        <v>0</v>
      </c>
      <c r="L496" s="1">
        <v>0</v>
      </c>
      <c r="M496" s="1" t="s">
        <v>1818</v>
      </c>
      <c r="N496" s="1" t="s">
        <v>702</v>
      </c>
      <c r="O496" s="1">
        <v>0</v>
      </c>
      <c r="P496" s="1" t="s">
        <v>2046</v>
      </c>
      <c r="Q496" s="7" t="str">
        <f t="shared" si="3"/>
        <v>equipment/1103.png</v>
      </c>
      <c r="R496" s="1">
        <v>0</v>
      </c>
    </row>
    <row r="497" spans="1:18" ht="14.25" thickBot="1">
      <c r="A497" s="1" t="s">
        <v>397</v>
      </c>
      <c r="B497" s="3">
        <v>1</v>
      </c>
      <c r="C497" s="9" t="s">
        <v>2503</v>
      </c>
      <c r="D497" s="1" t="s">
        <v>12</v>
      </c>
      <c r="E497" s="1">
        <v>5</v>
      </c>
      <c r="F497" s="1">
        <v>2</v>
      </c>
      <c r="G497" s="1">
        <v>5</v>
      </c>
      <c r="H497" s="10" t="s">
        <v>2120</v>
      </c>
      <c r="I497" s="1">
        <v>1600</v>
      </c>
      <c r="J497" s="1">
        <v>10</v>
      </c>
      <c r="K497" s="1">
        <v>0</v>
      </c>
      <c r="L497" s="1">
        <v>0</v>
      </c>
      <c r="M497" s="1" t="s">
        <v>2012</v>
      </c>
      <c r="N497" s="1" t="s">
        <v>702</v>
      </c>
      <c r="O497" s="1">
        <v>0</v>
      </c>
      <c r="P497" s="1" t="s">
        <v>2046</v>
      </c>
      <c r="Q497" s="7" t="str">
        <f t="shared" si="3"/>
        <v>equipment/1104.png</v>
      </c>
      <c r="R497" s="1">
        <v>0</v>
      </c>
    </row>
    <row r="498" spans="1:18" ht="14.25" thickBot="1">
      <c r="A498" s="1" t="s">
        <v>398</v>
      </c>
      <c r="B498" s="3">
        <v>1</v>
      </c>
      <c r="C498" s="9" t="s">
        <v>2061</v>
      </c>
      <c r="D498" s="1" t="s">
        <v>13</v>
      </c>
      <c r="E498" s="1">
        <v>6</v>
      </c>
      <c r="F498" s="1">
        <v>2</v>
      </c>
      <c r="G498" s="1">
        <v>5</v>
      </c>
      <c r="H498" s="10" t="s">
        <v>2120</v>
      </c>
      <c r="I498" s="1">
        <v>1000</v>
      </c>
      <c r="J498" s="1">
        <v>10</v>
      </c>
      <c r="K498" s="1">
        <v>0</v>
      </c>
      <c r="L498" s="1">
        <v>0</v>
      </c>
      <c r="M498" s="1" t="s">
        <v>1819</v>
      </c>
      <c r="N498" s="1" t="s">
        <v>702</v>
      </c>
      <c r="O498" s="1">
        <v>0</v>
      </c>
      <c r="P498" s="1" t="s">
        <v>2046</v>
      </c>
      <c r="Q498" s="7" t="str">
        <f t="shared" si="3"/>
        <v>equipment/2102.png</v>
      </c>
      <c r="R498" s="1">
        <v>0</v>
      </c>
    </row>
    <row r="499" spans="1:18" ht="14.25" thickBot="1">
      <c r="A499" s="1" t="s">
        <v>399</v>
      </c>
      <c r="B499" s="2">
        <v>0</v>
      </c>
      <c r="C499" s="9" t="s">
        <v>2061</v>
      </c>
      <c r="D499" s="1" t="s">
        <v>13</v>
      </c>
      <c r="E499" s="1">
        <v>6</v>
      </c>
      <c r="F499" s="1">
        <v>2</v>
      </c>
      <c r="G499" s="1">
        <v>5</v>
      </c>
      <c r="H499" s="10" t="s">
        <v>2120</v>
      </c>
      <c r="I499" s="1">
        <v>1600</v>
      </c>
      <c r="J499" s="1">
        <v>10</v>
      </c>
      <c r="K499" s="1">
        <v>0</v>
      </c>
      <c r="L499" s="1">
        <v>0</v>
      </c>
      <c r="M499" s="1" t="s">
        <v>1820</v>
      </c>
      <c r="N499" s="1" t="s">
        <v>702</v>
      </c>
      <c r="O499" s="1">
        <v>0</v>
      </c>
      <c r="P499" s="1" t="s">
        <v>2046</v>
      </c>
      <c r="Q499" s="7" t="str">
        <f t="shared" si="3"/>
        <v>equipment/2101.png</v>
      </c>
      <c r="R499" s="1">
        <v>0</v>
      </c>
    </row>
    <row r="500" spans="1:18" ht="14.25" thickBot="1">
      <c r="A500" s="1" t="s">
        <v>400</v>
      </c>
      <c r="B500" s="3">
        <v>1</v>
      </c>
      <c r="C500" s="1" t="s">
        <v>2504</v>
      </c>
      <c r="D500" s="1" t="s">
        <v>12</v>
      </c>
      <c r="E500" s="1">
        <v>5</v>
      </c>
      <c r="F500" s="1">
        <v>2</v>
      </c>
      <c r="G500" s="1">
        <v>5</v>
      </c>
      <c r="H500" s="10" t="s">
        <v>2121</v>
      </c>
      <c r="I500" s="1">
        <v>1000</v>
      </c>
      <c r="J500" s="1">
        <v>10</v>
      </c>
      <c r="K500" s="1">
        <v>0</v>
      </c>
      <c r="L500" s="1">
        <v>0</v>
      </c>
      <c r="M500" s="1" t="s">
        <v>1818</v>
      </c>
      <c r="N500" s="1" t="s">
        <v>702</v>
      </c>
      <c r="O500" s="1">
        <v>0</v>
      </c>
      <c r="P500" s="1" t="s">
        <v>2046</v>
      </c>
      <c r="Q500" s="7" t="str">
        <f t="shared" si="3"/>
        <v>equipment/1204.png</v>
      </c>
      <c r="R500" s="1">
        <v>0</v>
      </c>
    </row>
    <row r="501" spans="1:18" ht="14.25" thickBot="1">
      <c r="A501" s="1" t="s">
        <v>401</v>
      </c>
      <c r="B501" s="3">
        <v>1</v>
      </c>
      <c r="C501" s="1" t="s">
        <v>2505</v>
      </c>
      <c r="D501" s="1" t="s">
        <v>12</v>
      </c>
      <c r="E501" s="1">
        <v>5</v>
      </c>
      <c r="F501" s="1">
        <v>2</v>
      </c>
      <c r="G501" s="1">
        <v>5</v>
      </c>
      <c r="H501" s="10" t="s">
        <v>2121</v>
      </c>
      <c r="I501" s="1">
        <v>1600</v>
      </c>
      <c r="J501" s="1">
        <v>10</v>
      </c>
      <c r="K501" s="1">
        <v>0</v>
      </c>
      <c r="L501" s="1">
        <v>0</v>
      </c>
      <c r="M501" s="1" t="s">
        <v>2012</v>
      </c>
      <c r="N501" s="1" t="s">
        <v>702</v>
      </c>
      <c r="O501" s="1">
        <v>0</v>
      </c>
      <c r="P501" s="1" t="s">
        <v>2046</v>
      </c>
      <c r="Q501" s="7" t="str">
        <f t="shared" si="3"/>
        <v>equipment/1203.png</v>
      </c>
      <c r="R501" s="1">
        <v>0</v>
      </c>
    </row>
    <row r="502" spans="1:18" ht="14.25" thickBot="1">
      <c r="A502" s="1" t="s">
        <v>402</v>
      </c>
      <c r="B502" s="3">
        <v>1</v>
      </c>
      <c r="C502" s="9" t="s">
        <v>2094</v>
      </c>
      <c r="D502" s="1" t="s">
        <v>13</v>
      </c>
      <c r="E502" s="1">
        <v>6</v>
      </c>
      <c r="F502" s="1">
        <v>2</v>
      </c>
      <c r="G502" s="1">
        <v>5</v>
      </c>
      <c r="H502" s="10" t="s">
        <v>2121</v>
      </c>
      <c r="I502" s="1">
        <v>1000</v>
      </c>
      <c r="J502" s="1">
        <v>10</v>
      </c>
      <c r="K502" s="1">
        <v>0</v>
      </c>
      <c r="L502" s="1">
        <v>0</v>
      </c>
      <c r="M502" s="1" t="s">
        <v>1821</v>
      </c>
      <c r="N502" s="1" t="s">
        <v>702</v>
      </c>
      <c r="O502" s="1">
        <v>0</v>
      </c>
      <c r="P502" s="1" t="s">
        <v>2046</v>
      </c>
      <c r="Q502" s="7" t="str">
        <f t="shared" si="3"/>
        <v>equipment/2202.png</v>
      </c>
      <c r="R502" s="1">
        <v>0</v>
      </c>
    </row>
    <row r="503" spans="1:18" ht="14.25" thickBot="1">
      <c r="A503" s="1" t="s">
        <v>403</v>
      </c>
      <c r="B503" s="2">
        <v>0</v>
      </c>
      <c r="C503" s="9" t="s">
        <v>2094</v>
      </c>
      <c r="D503" s="1" t="s">
        <v>13</v>
      </c>
      <c r="E503" s="1">
        <v>6</v>
      </c>
      <c r="F503" s="1">
        <v>2</v>
      </c>
      <c r="G503" s="1">
        <v>5</v>
      </c>
      <c r="H503" s="10" t="s">
        <v>2121</v>
      </c>
      <c r="I503" s="1">
        <v>1600</v>
      </c>
      <c r="J503" s="1">
        <v>10</v>
      </c>
      <c r="K503" s="1">
        <v>0</v>
      </c>
      <c r="L503" s="1">
        <v>0</v>
      </c>
      <c r="M503" s="1" t="s">
        <v>1822</v>
      </c>
      <c r="N503" s="1" t="s">
        <v>702</v>
      </c>
      <c r="O503" s="1">
        <v>0</v>
      </c>
      <c r="P503" s="1" t="s">
        <v>2046</v>
      </c>
      <c r="Q503" s="7" t="str">
        <f t="shared" si="3"/>
        <v>equipment/2201.png</v>
      </c>
      <c r="R503" s="1">
        <v>0</v>
      </c>
    </row>
    <row r="504" spans="1:18" ht="14.25" thickBot="1">
      <c r="A504" s="1" t="s">
        <v>404</v>
      </c>
      <c r="B504" s="3">
        <v>1</v>
      </c>
      <c r="C504" s="9" t="s">
        <v>2506</v>
      </c>
      <c r="D504" s="1" t="s">
        <v>12</v>
      </c>
      <c r="E504" s="1">
        <v>5</v>
      </c>
      <c r="F504" s="1">
        <v>2</v>
      </c>
      <c r="G504" s="1">
        <v>5</v>
      </c>
      <c r="H504" s="10" t="s">
        <v>2122</v>
      </c>
      <c r="I504" s="1">
        <v>1000</v>
      </c>
      <c r="J504" s="1">
        <v>10</v>
      </c>
      <c r="K504" s="1">
        <v>0</v>
      </c>
      <c r="L504" s="1">
        <v>0</v>
      </c>
      <c r="M504" s="1" t="s">
        <v>1818</v>
      </c>
      <c r="N504" s="1" t="s">
        <v>702</v>
      </c>
      <c r="O504" s="1">
        <v>0</v>
      </c>
      <c r="P504" s="1" t="s">
        <v>2046</v>
      </c>
      <c r="Q504" s="7" t="str">
        <f t="shared" si="3"/>
        <v>equipment/1303.png</v>
      </c>
      <c r="R504" s="1">
        <v>0</v>
      </c>
    </row>
    <row r="505" spans="1:18" ht="14.25" thickBot="1">
      <c r="A505" s="1" t="s">
        <v>405</v>
      </c>
      <c r="B505" s="3">
        <v>1</v>
      </c>
      <c r="C505" s="9" t="s">
        <v>2507</v>
      </c>
      <c r="D505" s="1" t="s">
        <v>12</v>
      </c>
      <c r="E505" s="1">
        <v>5</v>
      </c>
      <c r="F505" s="1">
        <v>2</v>
      </c>
      <c r="G505" s="1">
        <v>5</v>
      </c>
      <c r="H505" s="10" t="s">
        <v>2122</v>
      </c>
      <c r="I505" s="1">
        <v>1600</v>
      </c>
      <c r="J505" s="1">
        <v>10</v>
      </c>
      <c r="K505" s="1">
        <v>0</v>
      </c>
      <c r="L505" s="1">
        <v>0</v>
      </c>
      <c r="M505" s="1" t="s">
        <v>2012</v>
      </c>
      <c r="N505" s="1" t="s">
        <v>702</v>
      </c>
      <c r="O505" s="1">
        <v>0</v>
      </c>
      <c r="P505" s="1" t="s">
        <v>2046</v>
      </c>
      <c r="Q505" s="7" t="str">
        <f t="shared" si="3"/>
        <v>equipment/1304.png</v>
      </c>
      <c r="R505" s="1">
        <v>0</v>
      </c>
    </row>
    <row r="506" spans="1:18" ht="14.25" thickBot="1">
      <c r="A506" s="1" t="s">
        <v>406</v>
      </c>
      <c r="B506" s="3">
        <v>1</v>
      </c>
      <c r="C506" s="9" t="s">
        <v>2095</v>
      </c>
      <c r="D506" s="1" t="s">
        <v>13</v>
      </c>
      <c r="E506" s="1">
        <v>6</v>
      </c>
      <c r="F506" s="1">
        <v>2</v>
      </c>
      <c r="G506" s="1">
        <v>5</v>
      </c>
      <c r="H506" s="10" t="s">
        <v>2122</v>
      </c>
      <c r="I506" s="1">
        <v>1000</v>
      </c>
      <c r="J506" s="1">
        <v>10</v>
      </c>
      <c r="K506" s="1">
        <v>0</v>
      </c>
      <c r="L506" s="1">
        <v>0</v>
      </c>
      <c r="M506" s="1" t="s">
        <v>1823</v>
      </c>
      <c r="N506" s="1" t="s">
        <v>702</v>
      </c>
      <c r="O506" s="1">
        <v>0</v>
      </c>
      <c r="P506" s="1" t="s">
        <v>2046</v>
      </c>
      <c r="Q506" s="7" t="str">
        <f t="shared" si="3"/>
        <v>equipment/2302.png</v>
      </c>
      <c r="R506" s="1">
        <v>0</v>
      </c>
    </row>
    <row r="507" spans="1:18" ht="14.25" thickBot="1">
      <c r="A507" s="1" t="s">
        <v>407</v>
      </c>
      <c r="B507" s="2">
        <v>0</v>
      </c>
      <c r="C507" s="9" t="s">
        <v>2095</v>
      </c>
      <c r="D507" s="1" t="s">
        <v>13</v>
      </c>
      <c r="E507" s="1">
        <v>6</v>
      </c>
      <c r="F507" s="1">
        <v>2</v>
      </c>
      <c r="G507" s="1">
        <v>5</v>
      </c>
      <c r="H507" s="10" t="s">
        <v>2122</v>
      </c>
      <c r="I507" s="1">
        <v>1600</v>
      </c>
      <c r="J507" s="1">
        <v>10</v>
      </c>
      <c r="K507" s="1">
        <v>0</v>
      </c>
      <c r="L507" s="1">
        <v>0</v>
      </c>
      <c r="M507" s="1" t="s">
        <v>1824</v>
      </c>
      <c r="N507" s="1" t="s">
        <v>702</v>
      </c>
      <c r="O507" s="1">
        <v>0</v>
      </c>
      <c r="P507" s="1" t="s">
        <v>2046</v>
      </c>
      <c r="Q507" s="7" t="str">
        <f t="shared" si="3"/>
        <v>equipment/2301.png</v>
      </c>
      <c r="R507" s="1">
        <v>0</v>
      </c>
    </row>
    <row r="508" spans="1:18" ht="14.25" thickBot="1">
      <c r="A508" s="1" t="s">
        <v>408</v>
      </c>
      <c r="B508" s="3">
        <v>1</v>
      </c>
      <c r="C508" s="1" t="s">
        <v>2508</v>
      </c>
      <c r="D508" s="1" t="s">
        <v>11</v>
      </c>
      <c r="E508" s="1">
        <v>4</v>
      </c>
      <c r="F508" s="1">
        <v>2</v>
      </c>
      <c r="G508" s="1">
        <v>5</v>
      </c>
      <c r="H508" s="10">
        <v>0</v>
      </c>
      <c r="I508" s="1">
        <v>1000</v>
      </c>
      <c r="J508" s="1">
        <v>10</v>
      </c>
      <c r="K508" s="1">
        <v>0</v>
      </c>
      <c r="L508" s="1">
        <v>0</v>
      </c>
      <c r="M508" s="1" t="s">
        <v>1825</v>
      </c>
      <c r="N508" s="1" t="s">
        <v>701</v>
      </c>
      <c r="O508" s="1">
        <v>0</v>
      </c>
      <c r="P508" s="1" t="s">
        <v>2046</v>
      </c>
      <c r="Q508" s="7" t="str">
        <f t="shared" si="3"/>
        <v>equipment/5002.png</v>
      </c>
      <c r="R508" s="1">
        <v>0</v>
      </c>
    </row>
    <row r="509" spans="1:18" ht="14.25" thickBot="1">
      <c r="A509" s="1" t="s">
        <v>409</v>
      </c>
      <c r="B509" s="3">
        <v>1</v>
      </c>
      <c r="C509" s="1" t="s">
        <v>2509</v>
      </c>
      <c r="D509" s="1" t="s">
        <v>11</v>
      </c>
      <c r="E509" s="1">
        <v>4</v>
      </c>
      <c r="F509" s="1">
        <v>2</v>
      </c>
      <c r="G509" s="1">
        <v>5</v>
      </c>
      <c r="H509" s="10">
        <v>0</v>
      </c>
      <c r="I509" s="1">
        <v>1600</v>
      </c>
      <c r="J509" s="1">
        <v>10</v>
      </c>
      <c r="K509" s="1">
        <v>0</v>
      </c>
      <c r="L509" s="1">
        <v>0</v>
      </c>
      <c r="M509" s="1" t="s">
        <v>1826</v>
      </c>
      <c r="N509" s="1" t="s">
        <v>701</v>
      </c>
      <c r="O509" s="1">
        <v>0</v>
      </c>
      <c r="P509" s="1" t="s">
        <v>2046</v>
      </c>
      <c r="Q509" s="7" t="str">
        <f t="shared" si="3"/>
        <v>equipment/5003.png</v>
      </c>
      <c r="R509" s="1">
        <v>0</v>
      </c>
    </row>
    <row r="510" spans="1:18" ht="14.25" thickBot="1">
      <c r="A510" s="1" t="s">
        <v>410</v>
      </c>
      <c r="B510" s="3">
        <v>1</v>
      </c>
      <c r="C510" s="1" t="s">
        <v>2500</v>
      </c>
      <c r="D510" s="1" t="s">
        <v>14</v>
      </c>
      <c r="E510" s="1">
        <v>7</v>
      </c>
      <c r="F510" s="1">
        <v>2</v>
      </c>
      <c r="G510" s="1">
        <v>5</v>
      </c>
      <c r="H510" s="10">
        <v>0</v>
      </c>
      <c r="I510" s="1">
        <v>1000</v>
      </c>
      <c r="J510" s="1">
        <v>10</v>
      </c>
      <c r="K510" s="1">
        <v>0</v>
      </c>
      <c r="L510" s="1">
        <v>0</v>
      </c>
      <c r="M510" s="1" t="s">
        <v>1809</v>
      </c>
      <c r="N510" s="1" t="s">
        <v>701</v>
      </c>
      <c r="O510" s="1">
        <v>0</v>
      </c>
      <c r="P510" s="1" t="s">
        <v>2046</v>
      </c>
      <c r="Q510" s="7" t="str">
        <f t="shared" si="3"/>
        <v>equipment/7001.png</v>
      </c>
      <c r="R510" s="1">
        <v>0</v>
      </c>
    </row>
    <row r="511" spans="1:18" ht="14.25" thickBot="1">
      <c r="A511" s="1" t="s">
        <v>411</v>
      </c>
      <c r="B511" s="3">
        <v>1</v>
      </c>
      <c r="C511" s="1" t="s">
        <v>2501</v>
      </c>
      <c r="D511" s="1" t="s">
        <v>14</v>
      </c>
      <c r="E511" s="1">
        <v>7</v>
      </c>
      <c r="F511" s="1">
        <v>2</v>
      </c>
      <c r="G511" s="1">
        <v>5</v>
      </c>
      <c r="H511" s="10">
        <v>0</v>
      </c>
      <c r="I511" s="1">
        <v>1600</v>
      </c>
      <c r="J511" s="1">
        <v>10</v>
      </c>
      <c r="K511" s="1">
        <v>0</v>
      </c>
      <c r="L511" s="1">
        <v>0</v>
      </c>
      <c r="M511" s="1" t="s">
        <v>1827</v>
      </c>
      <c r="N511" s="1" t="s">
        <v>701</v>
      </c>
      <c r="O511" s="1">
        <v>0</v>
      </c>
      <c r="P511" s="1" t="s">
        <v>2046</v>
      </c>
      <c r="Q511" s="7" t="str">
        <f t="shared" si="3"/>
        <v>equipment/7002.png</v>
      </c>
      <c r="R511" s="1">
        <v>0</v>
      </c>
    </row>
    <row r="512" spans="1:18" ht="14.25" thickBot="1">
      <c r="A512" s="1" t="s">
        <v>412</v>
      </c>
      <c r="B512" s="3">
        <v>1</v>
      </c>
      <c r="C512" s="1" t="s">
        <v>2510</v>
      </c>
      <c r="D512" s="1" t="s">
        <v>8</v>
      </c>
      <c r="E512" s="1">
        <v>1</v>
      </c>
      <c r="F512" s="1">
        <v>2</v>
      </c>
      <c r="G512" s="1">
        <v>10</v>
      </c>
      <c r="H512" s="10">
        <v>0</v>
      </c>
      <c r="I512" s="1">
        <v>2000</v>
      </c>
      <c r="J512" s="1">
        <v>10</v>
      </c>
      <c r="K512" s="1">
        <v>0</v>
      </c>
      <c r="L512" s="1">
        <v>0</v>
      </c>
      <c r="M512" s="1" t="s">
        <v>1828</v>
      </c>
      <c r="N512" s="1" t="s">
        <v>703</v>
      </c>
      <c r="O512" s="1">
        <v>0</v>
      </c>
      <c r="P512" s="1" t="s">
        <v>2047</v>
      </c>
      <c r="Q512" s="7" t="str">
        <f t="shared" si="3"/>
        <v>equipment/3002.png</v>
      </c>
      <c r="R512" s="1">
        <v>0</v>
      </c>
    </row>
    <row r="513" spans="1:18" ht="14.25" thickBot="1">
      <c r="A513" s="1" t="s">
        <v>413</v>
      </c>
      <c r="B513" s="3">
        <v>1</v>
      </c>
      <c r="C513" s="1" t="s">
        <v>2511</v>
      </c>
      <c r="D513" s="1" t="s">
        <v>9</v>
      </c>
      <c r="E513" s="1">
        <v>2</v>
      </c>
      <c r="F513" s="1">
        <v>2</v>
      </c>
      <c r="G513" s="1">
        <v>10</v>
      </c>
      <c r="H513" s="10">
        <v>0</v>
      </c>
      <c r="I513" s="1">
        <v>2000</v>
      </c>
      <c r="J513" s="1">
        <v>10</v>
      </c>
      <c r="K513" s="1">
        <v>0</v>
      </c>
      <c r="L513" s="1">
        <v>0</v>
      </c>
      <c r="M513" s="1" t="s">
        <v>1829</v>
      </c>
      <c r="N513" s="1" t="s">
        <v>703</v>
      </c>
      <c r="O513" s="1">
        <v>0</v>
      </c>
      <c r="P513" s="1" t="s">
        <v>2047</v>
      </c>
      <c r="Q513" s="7" t="str">
        <f t="shared" si="3"/>
        <v>equipment/14002.png</v>
      </c>
      <c r="R513" s="1">
        <v>0</v>
      </c>
    </row>
    <row r="514" spans="1:18" ht="14.25" thickBot="1">
      <c r="A514" s="1" t="s">
        <v>414</v>
      </c>
      <c r="B514" s="3">
        <v>1</v>
      </c>
      <c r="C514" s="1" t="s">
        <v>2512</v>
      </c>
      <c r="D514" s="1" t="s">
        <v>10</v>
      </c>
      <c r="E514" s="1">
        <v>3</v>
      </c>
      <c r="F514" s="1">
        <v>2</v>
      </c>
      <c r="G514" s="1">
        <v>10</v>
      </c>
      <c r="H514" s="10">
        <v>0</v>
      </c>
      <c r="I514" s="1">
        <v>2000</v>
      </c>
      <c r="J514" s="1">
        <v>10</v>
      </c>
      <c r="K514" s="1">
        <v>0</v>
      </c>
      <c r="L514" s="1">
        <v>0</v>
      </c>
      <c r="M514" s="1" t="s">
        <v>1830</v>
      </c>
      <c r="N514" s="1" t="s">
        <v>703</v>
      </c>
      <c r="O514" s="1">
        <v>0</v>
      </c>
      <c r="P514" s="1" t="s">
        <v>2047</v>
      </c>
      <c r="Q514" s="7" t="str">
        <f t="shared" si="3"/>
        <v>equipment/6002.png</v>
      </c>
      <c r="R514" s="1">
        <v>0</v>
      </c>
    </row>
    <row r="515" spans="1:18" ht="14.25" thickBot="1">
      <c r="A515" s="1" t="s">
        <v>415</v>
      </c>
      <c r="B515" s="3">
        <v>1</v>
      </c>
      <c r="C515" s="1" t="s">
        <v>2067</v>
      </c>
      <c r="D515" s="1" t="s">
        <v>15</v>
      </c>
      <c r="E515" s="1">
        <v>8</v>
      </c>
      <c r="F515" s="1">
        <v>2</v>
      </c>
      <c r="G515" s="1">
        <v>10</v>
      </c>
      <c r="H515" s="10">
        <v>0</v>
      </c>
      <c r="I515" s="1">
        <v>2000</v>
      </c>
      <c r="J515" s="1">
        <v>10</v>
      </c>
      <c r="K515" s="1">
        <v>0</v>
      </c>
      <c r="L515" s="1">
        <v>0</v>
      </c>
      <c r="M515" s="1" t="s">
        <v>1831</v>
      </c>
      <c r="N515" s="1" t="s">
        <v>703</v>
      </c>
      <c r="O515" s="1">
        <v>0</v>
      </c>
      <c r="P515" s="1" t="s">
        <v>2047</v>
      </c>
      <c r="Q515" s="7" t="str">
        <f t="shared" si="3"/>
        <v>equipment/8002.png</v>
      </c>
      <c r="R515" s="1">
        <v>0</v>
      </c>
    </row>
    <row r="516" spans="1:18" ht="14.25" thickBot="1">
      <c r="A516" s="1" t="s">
        <v>416</v>
      </c>
      <c r="B516" s="3">
        <v>1</v>
      </c>
      <c r="C516" s="1" t="s">
        <v>2071</v>
      </c>
      <c r="D516" s="1" t="s">
        <v>16</v>
      </c>
      <c r="E516" s="1">
        <v>9</v>
      </c>
      <c r="F516" s="1">
        <v>2</v>
      </c>
      <c r="G516" s="1">
        <v>10</v>
      </c>
      <c r="H516" s="10">
        <v>0</v>
      </c>
      <c r="I516" s="1">
        <v>2000</v>
      </c>
      <c r="J516" s="1">
        <v>10</v>
      </c>
      <c r="K516" s="1">
        <v>0</v>
      </c>
      <c r="L516" s="1">
        <v>0</v>
      </c>
      <c r="M516" s="1" t="s">
        <v>1832</v>
      </c>
      <c r="N516" s="1" t="s">
        <v>703</v>
      </c>
      <c r="O516" s="1">
        <v>0</v>
      </c>
      <c r="P516" s="1" t="s">
        <v>2047</v>
      </c>
      <c r="Q516" s="7" t="str">
        <f t="shared" si="3"/>
        <v>equipment/10002.png</v>
      </c>
      <c r="R516" s="1">
        <v>0</v>
      </c>
    </row>
    <row r="517" spans="1:18" ht="14.25" thickBot="1">
      <c r="A517" s="1" t="s">
        <v>417</v>
      </c>
      <c r="B517" s="2">
        <v>0</v>
      </c>
      <c r="C517" s="1" t="s">
        <v>2489</v>
      </c>
      <c r="D517" s="1" t="s">
        <v>17</v>
      </c>
      <c r="E517" s="1">
        <v>10</v>
      </c>
      <c r="F517" s="1">
        <v>2</v>
      </c>
      <c r="G517" s="1">
        <v>10</v>
      </c>
      <c r="H517" s="10">
        <v>0</v>
      </c>
      <c r="I517" s="1">
        <v>2000</v>
      </c>
      <c r="J517" s="1">
        <v>10</v>
      </c>
      <c r="K517" s="1">
        <v>0</v>
      </c>
      <c r="L517" s="1">
        <v>0</v>
      </c>
      <c r="M517" s="1" t="s">
        <v>1817</v>
      </c>
      <c r="N517" s="1" t="s">
        <v>703</v>
      </c>
      <c r="O517" s="1">
        <v>0</v>
      </c>
      <c r="P517" s="1" t="s">
        <v>2047</v>
      </c>
      <c r="Q517" s="7" t="str">
        <f t="shared" si="3"/>
        <v>equipment/12001.png</v>
      </c>
      <c r="R517" s="1">
        <v>0</v>
      </c>
    </row>
    <row r="518" spans="1:18" ht="14.25" thickBot="1">
      <c r="A518" s="1" t="s">
        <v>418</v>
      </c>
      <c r="B518" s="3">
        <v>1</v>
      </c>
      <c r="C518" s="9" t="s">
        <v>2513</v>
      </c>
      <c r="D518" s="1" t="s">
        <v>12</v>
      </c>
      <c r="E518" s="1">
        <v>5</v>
      </c>
      <c r="F518" s="1">
        <v>2</v>
      </c>
      <c r="G518" s="1">
        <v>10</v>
      </c>
      <c r="H518" s="10" t="s">
        <v>2120</v>
      </c>
      <c r="I518" s="1">
        <v>2000</v>
      </c>
      <c r="J518" s="1">
        <v>10</v>
      </c>
      <c r="K518" s="1">
        <v>0</v>
      </c>
      <c r="L518" s="1">
        <v>0</v>
      </c>
      <c r="M518" s="1" t="s">
        <v>1833</v>
      </c>
      <c r="N518" s="1" t="s">
        <v>704</v>
      </c>
      <c r="O518" s="1">
        <v>0</v>
      </c>
      <c r="P518" s="1" t="s">
        <v>2047</v>
      </c>
      <c r="Q518" s="7" t="str">
        <f t="shared" si="3"/>
        <v>equipment/1105.png</v>
      </c>
      <c r="R518" s="1">
        <v>0</v>
      </c>
    </row>
    <row r="519" spans="1:18" ht="14.25" thickBot="1">
      <c r="A519" s="1" t="s">
        <v>419</v>
      </c>
      <c r="B519" s="3">
        <v>1</v>
      </c>
      <c r="C519" s="9" t="s">
        <v>2514</v>
      </c>
      <c r="D519" s="1" t="s">
        <v>12</v>
      </c>
      <c r="E519" s="1">
        <v>5</v>
      </c>
      <c r="F519" s="1">
        <v>2</v>
      </c>
      <c r="G519" s="1">
        <v>10</v>
      </c>
      <c r="H519" s="10" t="s">
        <v>2120</v>
      </c>
      <c r="I519" s="1">
        <v>2600</v>
      </c>
      <c r="J519" s="1">
        <v>10</v>
      </c>
      <c r="K519" s="1">
        <v>0</v>
      </c>
      <c r="L519" s="1">
        <v>0</v>
      </c>
      <c r="M519" s="1" t="s">
        <v>1834</v>
      </c>
      <c r="N519" s="1" t="s">
        <v>704</v>
      </c>
      <c r="O519" s="1">
        <v>0</v>
      </c>
      <c r="P519" s="1" t="s">
        <v>2047</v>
      </c>
      <c r="Q519" s="7" t="str">
        <f t="shared" si="3"/>
        <v>equipment/1106.png</v>
      </c>
      <c r="R519" s="1">
        <v>0</v>
      </c>
    </row>
    <row r="520" spans="1:18" ht="14.25" thickBot="1">
      <c r="A520" s="1" t="s">
        <v>420</v>
      </c>
      <c r="B520" s="3">
        <v>1</v>
      </c>
      <c r="C520" s="9" t="s">
        <v>2515</v>
      </c>
      <c r="D520" s="1" t="s">
        <v>13</v>
      </c>
      <c r="E520" s="1">
        <v>6</v>
      </c>
      <c r="F520" s="1">
        <v>2</v>
      </c>
      <c r="G520" s="1">
        <v>10</v>
      </c>
      <c r="H520" s="10" t="s">
        <v>2120</v>
      </c>
      <c r="I520" s="1">
        <v>2000</v>
      </c>
      <c r="J520" s="1">
        <v>10</v>
      </c>
      <c r="K520" s="1">
        <v>0</v>
      </c>
      <c r="L520" s="1">
        <v>0</v>
      </c>
      <c r="M520" s="1" t="s">
        <v>1835</v>
      </c>
      <c r="N520" s="1" t="s">
        <v>704</v>
      </c>
      <c r="O520" s="1">
        <v>0</v>
      </c>
      <c r="P520" s="1" t="s">
        <v>2047</v>
      </c>
      <c r="Q520" s="7" t="str">
        <f t="shared" si="3"/>
        <v>equipment/2103.png</v>
      </c>
      <c r="R520" s="1">
        <v>0</v>
      </c>
    </row>
    <row r="521" spans="1:18" ht="14.25" thickBot="1">
      <c r="A521" s="1" t="s">
        <v>421</v>
      </c>
      <c r="B521" s="2">
        <v>0</v>
      </c>
      <c r="C521" s="9" t="s">
        <v>2061</v>
      </c>
      <c r="D521" s="1" t="s">
        <v>13</v>
      </c>
      <c r="E521" s="1">
        <v>6</v>
      </c>
      <c r="F521" s="1">
        <v>2</v>
      </c>
      <c r="G521" s="1">
        <v>10</v>
      </c>
      <c r="H521" s="10" t="s">
        <v>2120</v>
      </c>
      <c r="I521" s="1">
        <v>2600</v>
      </c>
      <c r="J521" s="1">
        <v>10</v>
      </c>
      <c r="K521" s="1">
        <v>0</v>
      </c>
      <c r="L521" s="1">
        <v>0</v>
      </c>
      <c r="M521" s="1" t="s">
        <v>1836</v>
      </c>
      <c r="N521" s="1" t="s">
        <v>704</v>
      </c>
      <c r="O521" s="1">
        <v>0</v>
      </c>
      <c r="P521" s="1" t="s">
        <v>2047</v>
      </c>
      <c r="Q521" s="7" t="str">
        <f t="shared" si="3"/>
        <v>equipment/2101.png</v>
      </c>
      <c r="R521" s="1">
        <v>0</v>
      </c>
    </row>
    <row r="522" spans="1:18" ht="14.25" thickBot="1">
      <c r="A522" s="1" t="s">
        <v>422</v>
      </c>
      <c r="B522" s="3">
        <v>1</v>
      </c>
      <c r="C522" s="1" t="s">
        <v>2096</v>
      </c>
      <c r="D522" s="1" t="s">
        <v>12</v>
      </c>
      <c r="E522" s="1">
        <v>5</v>
      </c>
      <c r="F522" s="1">
        <v>2</v>
      </c>
      <c r="G522" s="1">
        <v>10</v>
      </c>
      <c r="H522" s="10" t="s">
        <v>2121</v>
      </c>
      <c r="I522" s="1">
        <v>2000</v>
      </c>
      <c r="J522" s="1">
        <v>10</v>
      </c>
      <c r="K522" s="1">
        <v>0</v>
      </c>
      <c r="L522" s="1">
        <v>0</v>
      </c>
      <c r="M522" s="1" t="s">
        <v>1833</v>
      </c>
      <c r="N522" s="1" t="s">
        <v>704</v>
      </c>
      <c r="O522" s="1">
        <v>0</v>
      </c>
      <c r="P522" s="1" t="s">
        <v>2047</v>
      </c>
      <c r="Q522" s="7" t="str">
        <f t="shared" si="3"/>
        <v>equipment/1205.png</v>
      </c>
      <c r="R522" s="1">
        <v>0</v>
      </c>
    </row>
    <row r="523" spans="1:18" ht="14.25" thickBot="1">
      <c r="A523" s="1" t="s">
        <v>423</v>
      </c>
      <c r="B523" s="3">
        <v>1</v>
      </c>
      <c r="C523" s="1" t="s">
        <v>2097</v>
      </c>
      <c r="D523" s="1" t="s">
        <v>12</v>
      </c>
      <c r="E523" s="1">
        <v>5</v>
      </c>
      <c r="F523" s="1">
        <v>2</v>
      </c>
      <c r="G523" s="1">
        <v>10</v>
      </c>
      <c r="H523" s="10" t="s">
        <v>2121</v>
      </c>
      <c r="I523" s="1">
        <v>2600</v>
      </c>
      <c r="J523" s="1">
        <v>10</v>
      </c>
      <c r="K523" s="1">
        <v>0</v>
      </c>
      <c r="L523" s="1">
        <v>0</v>
      </c>
      <c r="M523" s="1" t="s">
        <v>1834</v>
      </c>
      <c r="N523" s="1" t="s">
        <v>704</v>
      </c>
      <c r="O523" s="1">
        <v>0</v>
      </c>
      <c r="P523" s="1" t="s">
        <v>2047</v>
      </c>
      <c r="Q523" s="7" t="str">
        <f t="shared" si="3"/>
        <v>equipment/1206.png</v>
      </c>
      <c r="R523" s="1">
        <v>0</v>
      </c>
    </row>
    <row r="524" spans="1:18" ht="14.25" thickBot="1">
      <c r="A524" s="1" t="s">
        <v>424</v>
      </c>
      <c r="B524" s="3">
        <v>1</v>
      </c>
      <c r="C524" s="9" t="s">
        <v>2098</v>
      </c>
      <c r="D524" s="1" t="s">
        <v>13</v>
      </c>
      <c r="E524" s="1">
        <v>6</v>
      </c>
      <c r="F524" s="1">
        <v>2</v>
      </c>
      <c r="G524" s="1">
        <v>10</v>
      </c>
      <c r="H524" s="10" t="s">
        <v>2121</v>
      </c>
      <c r="I524" s="1">
        <v>2000</v>
      </c>
      <c r="J524" s="1">
        <v>10</v>
      </c>
      <c r="K524" s="1">
        <v>0</v>
      </c>
      <c r="L524" s="1">
        <v>0</v>
      </c>
      <c r="M524" s="1" t="s">
        <v>1837</v>
      </c>
      <c r="N524" s="1" t="s">
        <v>704</v>
      </c>
      <c r="O524" s="1">
        <v>0</v>
      </c>
      <c r="P524" s="1" t="s">
        <v>2047</v>
      </c>
      <c r="Q524" s="7" t="str">
        <f t="shared" si="3"/>
        <v>equipment/2203.png</v>
      </c>
      <c r="R524" s="1">
        <v>0</v>
      </c>
    </row>
    <row r="525" spans="1:18" ht="14.25" thickBot="1">
      <c r="A525" s="1" t="s">
        <v>425</v>
      </c>
      <c r="B525" s="2">
        <v>0</v>
      </c>
      <c r="C525" s="9" t="s">
        <v>2094</v>
      </c>
      <c r="D525" s="1" t="s">
        <v>13</v>
      </c>
      <c r="E525" s="1">
        <v>6</v>
      </c>
      <c r="F525" s="1">
        <v>2</v>
      </c>
      <c r="G525" s="1">
        <v>10</v>
      </c>
      <c r="H525" s="10" t="s">
        <v>2121</v>
      </c>
      <c r="I525" s="1">
        <v>2600</v>
      </c>
      <c r="J525" s="1">
        <v>10</v>
      </c>
      <c r="K525" s="1">
        <v>0</v>
      </c>
      <c r="L525" s="1">
        <v>0</v>
      </c>
      <c r="M525" s="1" t="s">
        <v>1838</v>
      </c>
      <c r="N525" s="1" t="s">
        <v>704</v>
      </c>
      <c r="O525" s="1">
        <v>0</v>
      </c>
      <c r="P525" s="1" t="s">
        <v>2047</v>
      </c>
      <c r="Q525" s="7" t="str">
        <f t="shared" si="3"/>
        <v>equipment/2201.png</v>
      </c>
      <c r="R525" s="1">
        <v>0</v>
      </c>
    </row>
    <row r="526" spans="1:18" ht="14.25" thickBot="1">
      <c r="A526" s="1" t="s">
        <v>426</v>
      </c>
      <c r="B526" s="3">
        <v>1</v>
      </c>
      <c r="C526" s="9" t="s">
        <v>2516</v>
      </c>
      <c r="D526" s="1" t="s">
        <v>12</v>
      </c>
      <c r="E526" s="1">
        <v>5</v>
      </c>
      <c r="F526" s="1">
        <v>2</v>
      </c>
      <c r="G526" s="1">
        <v>10</v>
      </c>
      <c r="H526" s="10" t="s">
        <v>2122</v>
      </c>
      <c r="I526" s="1">
        <v>2000</v>
      </c>
      <c r="J526" s="1">
        <v>10</v>
      </c>
      <c r="K526" s="1">
        <v>0</v>
      </c>
      <c r="L526" s="1">
        <v>0</v>
      </c>
      <c r="M526" s="1" t="s">
        <v>1833</v>
      </c>
      <c r="N526" s="1" t="s">
        <v>704</v>
      </c>
      <c r="O526" s="1">
        <v>0</v>
      </c>
      <c r="P526" s="1" t="s">
        <v>2047</v>
      </c>
      <c r="Q526" s="7" t="str">
        <f t="shared" si="3"/>
        <v>equipment/1305.png</v>
      </c>
      <c r="R526" s="1">
        <v>0</v>
      </c>
    </row>
    <row r="527" spans="1:18" ht="14.25" thickBot="1">
      <c r="A527" s="1" t="s">
        <v>427</v>
      </c>
      <c r="B527" s="3">
        <v>1</v>
      </c>
      <c r="C527" s="9" t="s">
        <v>2099</v>
      </c>
      <c r="D527" s="1" t="s">
        <v>12</v>
      </c>
      <c r="E527" s="1">
        <v>5</v>
      </c>
      <c r="F527" s="1">
        <v>2</v>
      </c>
      <c r="G527" s="1">
        <v>10</v>
      </c>
      <c r="H527" s="10" t="s">
        <v>2122</v>
      </c>
      <c r="I527" s="1">
        <v>2600</v>
      </c>
      <c r="J527" s="1">
        <v>10</v>
      </c>
      <c r="K527" s="1">
        <v>0</v>
      </c>
      <c r="L527" s="1">
        <v>0</v>
      </c>
      <c r="M527" s="1" t="s">
        <v>1834</v>
      </c>
      <c r="N527" s="1" t="s">
        <v>704</v>
      </c>
      <c r="O527" s="1">
        <v>0</v>
      </c>
      <c r="P527" s="1" t="s">
        <v>2047</v>
      </c>
      <c r="Q527" s="7" t="str">
        <f t="shared" si="3"/>
        <v>equipment/1306.png</v>
      </c>
      <c r="R527" s="1">
        <v>0</v>
      </c>
    </row>
    <row r="528" spans="1:18" ht="14.25" thickBot="1">
      <c r="A528" s="1" t="s">
        <v>428</v>
      </c>
      <c r="B528" s="3">
        <v>1</v>
      </c>
      <c r="C528" s="9" t="s">
        <v>2517</v>
      </c>
      <c r="D528" s="1" t="s">
        <v>13</v>
      </c>
      <c r="E528" s="1">
        <v>6</v>
      </c>
      <c r="F528" s="1">
        <v>2</v>
      </c>
      <c r="G528" s="1">
        <v>10</v>
      </c>
      <c r="H528" s="10" t="s">
        <v>2122</v>
      </c>
      <c r="I528" s="1">
        <v>2000</v>
      </c>
      <c r="J528" s="1">
        <v>10</v>
      </c>
      <c r="K528" s="1">
        <v>0</v>
      </c>
      <c r="L528" s="1">
        <v>0</v>
      </c>
      <c r="M528" s="1" t="s">
        <v>1839</v>
      </c>
      <c r="N528" s="1" t="s">
        <v>704</v>
      </c>
      <c r="O528" s="1">
        <v>0</v>
      </c>
      <c r="P528" s="1" t="s">
        <v>2047</v>
      </c>
      <c r="Q528" s="7" t="str">
        <f t="shared" si="3"/>
        <v>equipment/2303.png</v>
      </c>
      <c r="R528" s="1">
        <v>0</v>
      </c>
    </row>
    <row r="529" spans="1:18" ht="14.25" thickBot="1">
      <c r="A529" s="1" t="s">
        <v>429</v>
      </c>
      <c r="B529" s="2">
        <v>0</v>
      </c>
      <c r="C529" s="9" t="s">
        <v>2095</v>
      </c>
      <c r="D529" s="1" t="s">
        <v>13</v>
      </c>
      <c r="E529" s="1">
        <v>6</v>
      </c>
      <c r="F529" s="1">
        <v>2</v>
      </c>
      <c r="G529" s="1">
        <v>10</v>
      </c>
      <c r="H529" s="10" t="s">
        <v>2122</v>
      </c>
      <c r="I529" s="1">
        <v>2600</v>
      </c>
      <c r="J529" s="1">
        <v>10</v>
      </c>
      <c r="K529" s="1">
        <v>0</v>
      </c>
      <c r="L529" s="1">
        <v>0</v>
      </c>
      <c r="M529" s="1" t="s">
        <v>1840</v>
      </c>
      <c r="N529" s="1" t="s">
        <v>704</v>
      </c>
      <c r="O529" s="1">
        <v>0</v>
      </c>
      <c r="P529" s="1" t="s">
        <v>2047</v>
      </c>
      <c r="Q529" s="7" t="str">
        <f t="shared" si="3"/>
        <v>equipment/2301.png</v>
      </c>
      <c r="R529" s="1">
        <v>0</v>
      </c>
    </row>
    <row r="530" spans="1:18" ht="14.25" thickBot="1">
      <c r="A530" s="1" t="s">
        <v>430</v>
      </c>
      <c r="B530" s="3">
        <v>1</v>
      </c>
      <c r="C530" s="1" t="s">
        <v>2079</v>
      </c>
      <c r="D530" s="1" t="s">
        <v>11</v>
      </c>
      <c r="E530" s="1">
        <v>4</v>
      </c>
      <c r="F530" s="1">
        <v>2</v>
      </c>
      <c r="G530" s="1">
        <v>10</v>
      </c>
      <c r="H530" s="10">
        <v>0</v>
      </c>
      <c r="I530" s="1">
        <v>2000</v>
      </c>
      <c r="J530" s="1">
        <v>10</v>
      </c>
      <c r="K530" s="1">
        <v>0</v>
      </c>
      <c r="L530" s="1">
        <v>0</v>
      </c>
      <c r="M530" s="1" t="s">
        <v>1841</v>
      </c>
      <c r="N530" s="1" t="s">
        <v>703</v>
      </c>
      <c r="O530" s="1">
        <v>0</v>
      </c>
      <c r="P530" s="1" t="s">
        <v>2047</v>
      </c>
      <c r="Q530" s="7" t="str">
        <f t="shared" si="3"/>
        <v>equipment/5003.png</v>
      </c>
      <c r="R530" s="1">
        <v>0</v>
      </c>
    </row>
    <row r="531" spans="1:18" ht="14.25" thickBot="1">
      <c r="A531" s="1" t="s">
        <v>431</v>
      </c>
      <c r="B531" s="2">
        <v>0</v>
      </c>
      <c r="C531" s="1" t="s">
        <v>2499</v>
      </c>
      <c r="D531" s="1" t="s">
        <v>11</v>
      </c>
      <c r="E531" s="1">
        <v>4</v>
      </c>
      <c r="F531" s="1">
        <v>2</v>
      </c>
      <c r="G531" s="1">
        <v>10</v>
      </c>
      <c r="H531" s="10">
        <v>0</v>
      </c>
      <c r="I531" s="1">
        <v>2600</v>
      </c>
      <c r="J531" s="1">
        <v>10</v>
      </c>
      <c r="K531" s="1">
        <v>0</v>
      </c>
      <c r="L531" s="1">
        <v>0</v>
      </c>
      <c r="M531" s="1" t="s">
        <v>1842</v>
      </c>
      <c r="N531" s="1" t="s">
        <v>703</v>
      </c>
      <c r="O531" s="1">
        <v>0</v>
      </c>
      <c r="P531" s="1" t="s">
        <v>2047</v>
      </c>
      <c r="Q531" s="7" t="str">
        <f t="shared" si="3"/>
        <v>equipment/5001.png</v>
      </c>
      <c r="R531" s="1">
        <v>0</v>
      </c>
    </row>
    <row r="532" spans="1:18" ht="14.25" thickBot="1">
      <c r="A532" s="1" t="s">
        <v>432</v>
      </c>
      <c r="B532" s="3">
        <v>1</v>
      </c>
      <c r="C532" s="1" t="s">
        <v>2087</v>
      </c>
      <c r="D532" s="1" t="s">
        <v>14</v>
      </c>
      <c r="E532" s="1">
        <v>7</v>
      </c>
      <c r="F532" s="1">
        <v>2</v>
      </c>
      <c r="G532" s="1">
        <v>10</v>
      </c>
      <c r="H532" s="10">
        <v>0</v>
      </c>
      <c r="I532" s="1">
        <v>2000</v>
      </c>
      <c r="J532" s="1">
        <v>10</v>
      </c>
      <c r="K532" s="1">
        <v>0</v>
      </c>
      <c r="L532" s="1">
        <v>0</v>
      </c>
      <c r="M532" s="1" t="s">
        <v>1841</v>
      </c>
      <c r="N532" s="1" t="s">
        <v>703</v>
      </c>
      <c r="O532" s="1">
        <v>0</v>
      </c>
      <c r="P532" s="1" t="s">
        <v>2047</v>
      </c>
      <c r="Q532" s="7" t="str">
        <f t="shared" si="3"/>
        <v>equipment/7003.png</v>
      </c>
      <c r="R532" s="1">
        <v>0</v>
      </c>
    </row>
    <row r="533" spans="1:18" ht="14.25" thickBot="1">
      <c r="A533" s="1" t="s">
        <v>433</v>
      </c>
      <c r="B533" s="2">
        <v>0</v>
      </c>
      <c r="C533" s="1" t="s">
        <v>2501</v>
      </c>
      <c r="D533" s="1" t="s">
        <v>14</v>
      </c>
      <c r="E533" s="1">
        <v>7</v>
      </c>
      <c r="F533" s="1">
        <v>2</v>
      </c>
      <c r="G533" s="1">
        <v>10</v>
      </c>
      <c r="H533" s="10">
        <v>0</v>
      </c>
      <c r="I533" s="1">
        <v>2600</v>
      </c>
      <c r="J533" s="1">
        <v>10</v>
      </c>
      <c r="K533" s="1">
        <v>0</v>
      </c>
      <c r="L533" s="1">
        <v>0</v>
      </c>
      <c r="M533" s="1" t="s">
        <v>1842</v>
      </c>
      <c r="N533" s="1" t="s">
        <v>703</v>
      </c>
      <c r="O533" s="1">
        <v>0</v>
      </c>
      <c r="P533" s="1" t="s">
        <v>2047</v>
      </c>
      <c r="Q533" s="7" t="str">
        <f t="shared" ref="Q533:Q596" si="4">Q71</f>
        <v>equipment/7001.png</v>
      </c>
      <c r="R533" s="1">
        <v>0</v>
      </c>
    </row>
    <row r="534" spans="1:18" ht="14.25" thickBot="1">
      <c r="A534" s="1" t="s">
        <v>434</v>
      </c>
      <c r="B534" s="2">
        <v>0</v>
      </c>
      <c r="C534" s="1" t="s">
        <v>2484</v>
      </c>
      <c r="D534" s="1" t="s">
        <v>8</v>
      </c>
      <c r="E534" s="1">
        <v>1</v>
      </c>
      <c r="F534" s="1">
        <v>2</v>
      </c>
      <c r="G534" s="1">
        <v>15</v>
      </c>
      <c r="H534" s="10">
        <v>0</v>
      </c>
      <c r="I534" s="1">
        <v>3000</v>
      </c>
      <c r="J534" s="1">
        <v>10</v>
      </c>
      <c r="K534" s="1">
        <v>0</v>
      </c>
      <c r="L534" s="1">
        <v>0</v>
      </c>
      <c r="M534" s="1" t="s">
        <v>1828</v>
      </c>
      <c r="N534" s="1" t="s">
        <v>705</v>
      </c>
      <c r="O534" s="1">
        <v>0</v>
      </c>
      <c r="P534" s="1" t="s">
        <v>2048</v>
      </c>
      <c r="Q534" s="7" t="str">
        <f t="shared" si="4"/>
        <v>equipment/3001.png</v>
      </c>
      <c r="R534" s="1">
        <v>0</v>
      </c>
    </row>
    <row r="535" spans="1:18" ht="14.25" thickBot="1">
      <c r="A535" s="1" t="s">
        <v>435</v>
      </c>
      <c r="B535" s="2">
        <v>0</v>
      </c>
      <c r="C535" s="1" t="s">
        <v>2485</v>
      </c>
      <c r="D535" s="1" t="s">
        <v>9</v>
      </c>
      <c r="E535" s="1">
        <v>2</v>
      </c>
      <c r="F535" s="1">
        <v>2</v>
      </c>
      <c r="G535" s="1">
        <v>15</v>
      </c>
      <c r="H535" s="10">
        <v>0</v>
      </c>
      <c r="I535" s="1">
        <v>3000</v>
      </c>
      <c r="J535" s="1">
        <v>10</v>
      </c>
      <c r="K535" s="1">
        <v>0</v>
      </c>
      <c r="L535" s="1">
        <v>0</v>
      </c>
      <c r="M535" s="1" t="s">
        <v>1843</v>
      </c>
      <c r="N535" s="1" t="s">
        <v>705</v>
      </c>
      <c r="O535" s="1">
        <v>0</v>
      </c>
      <c r="P535" s="1" t="s">
        <v>2048</v>
      </c>
      <c r="Q535" s="7" t="str">
        <f t="shared" si="4"/>
        <v>equipment/14001.png</v>
      </c>
      <c r="R535" s="1">
        <v>0</v>
      </c>
    </row>
    <row r="536" spans="1:18" ht="14.25" thickBot="1">
      <c r="A536" s="1" t="s">
        <v>436</v>
      </c>
      <c r="B536" s="3">
        <v>1</v>
      </c>
      <c r="C536" s="1" t="s">
        <v>2518</v>
      </c>
      <c r="D536" s="1" t="s">
        <v>10</v>
      </c>
      <c r="E536" s="1">
        <v>3</v>
      </c>
      <c r="F536" s="1">
        <v>2</v>
      </c>
      <c r="G536" s="1">
        <v>15</v>
      </c>
      <c r="H536" s="10">
        <v>0</v>
      </c>
      <c r="I536" s="1">
        <v>3000</v>
      </c>
      <c r="J536" s="1">
        <v>10</v>
      </c>
      <c r="K536" s="1">
        <v>0</v>
      </c>
      <c r="L536" s="1">
        <v>0</v>
      </c>
      <c r="M536" s="1" t="s">
        <v>1844</v>
      </c>
      <c r="N536" s="1" t="s">
        <v>705</v>
      </c>
      <c r="O536" s="1">
        <v>0</v>
      </c>
      <c r="P536" s="1" t="s">
        <v>2048</v>
      </c>
      <c r="Q536" s="7" t="str">
        <f t="shared" si="4"/>
        <v>equipment/6003.png</v>
      </c>
      <c r="R536" s="1">
        <v>0</v>
      </c>
    </row>
    <row r="537" spans="1:18" ht="14.25" thickBot="1">
      <c r="A537" s="1" t="s">
        <v>437</v>
      </c>
      <c r="B537" s="3">
        <v>1</v>
      </c>
      <c r="C537" s="1" t="s">
        <v>2068</v>
      </c>
      <c r="D537" s="1" t="s">
        <v>15</v>
      </c>
      <c r="E537" s="1">
        <v>8</v>
      </c>
      <c r="F537" s="1">
        <v>2</v>
      </c>
      <c r="G537" s="1">
        <v>15</v>
      </c>
      <c r="H537" s="10">
        <v>0</v>
      </c>
      <c r="I537" s="1">
        <v>3000</v>
      </c>
      <c r="J537" s="1">
        <v>10</v>
      </c>
      <c r="K537" s="1">
        <v>0</v>
      </c>
      <c r="L537" s="1">
        <v>0</v>
      </c>
      <c r="M537" s="1" t="s">
        <v>1845</v>
      </c>
      <c r="N537" s="1" t="s">
        <v>705</v>
      </c>
      <c r="O537" s="1">
        <v>0</v>
      </c>
      <c r="P537" s="1" t="s">
        <v>2048</v>
      </c>
      <c r="Q537" s="7" t="str">
        <f t="shared" si="4"/>
        <v>equipment/8003.png</v>
      </c>
      <c r="R537" s="1">
        <v>0</v>
      </c>
    </row>
    <row r="538" spans="1:18" ht="14.25" thickBot="1">
      <c r="A538" s="1" t="s">
        <v>438</v>
      </c>
      <c r="B538" s="3">
        <v>1</v>
      </c>
      <c r="C538" s="1" t="s">
        <v>2072</v>
      </c>
      <c r="D538" s="1" t="s">
        <v>16</v>
      </c>
      <c r="E538" s="1">
        <v>9</v>
      </c>
      <c r="F538" s="1">
        <v>2</v>
      </c>
      <c r="G538" s="1">
        <v>15</v>
      </c>
      <c r="H538" s="10">
        <v>0</v>
      </c>
      <c r="I538" s="1">
        <v>3000</v>
      </c>
      <c r="J538" s="1">
        <v>10</v>
      </c>
      <c r="K538" s="1">
        <v>0</v>
      </c>
      <c r="L538" s="1">
        <v>0</v>
      </c>
      <c r="M538" s="1" t="s">
        <v>1846</v>
      </c>
      <c r="N538" s="1" t="s">
        <v>705</v>
      </c>
      <c r="O538" s="1">
        <v>0</v>
      </c>
      <c r="P538" s="1" t="s">
        <v>2048</v>
      </c>
      <c r="Q538" s="7" t="str">
        <f t="shared" si="4"/>
        <v>equipment/10003.png</v>
      </c>
      <c r="R538" s="1">
        <v>0</v>
      </c>
    </row>
    <row r="539" spans="1:18" ht="14.25" thickBot="1">
      <c r="A539" s="1" t="s">
        <v>439</v>
      </c>
      <c r="B539" s="3">
        <v>1</v>
      </c>
      <c r="C539" s="1" t="s">
        <v>2076</v>
      </c>
      <c r="D539" s="1" t="s">
        <v>17</v>
      </c>
      <c r="E539" s="1">
        <v>10</v>
      </c>
      <c r="F539" s="1">
        <v>2</v>
      </c>
      <c r="G539" s="1">
        <v>15</v>
      </c>
      <c r="H539" s="10">
        <v>0</v>
      </c>
      <c r="I539" s="1">
        <v>3000</v>
      </c>
      <c r="J539" s="1">
        <v>10</v>
      </c>
      <c r="K539" s="1">
        <v>0</v>
      </c>
      <c r="L539" s="1">
        <v>0</v>
      </c>
      <c r="M539" s="1" t="s">
        <v>1847</v>
      </c>
      <c r="N539" s="1" t="s">
        <v>705</v>
      </c>
      <c r="O539" s="1">
        <v>0</v>
      </c>
      <c r="P539" s="1" t="s">
        <v>2048</v>
      </c>
      <c r="Q539" s="7" t="str">
        <f t="shared" si="4"/>
        <v>equipment/12002.png</v>
      </c>
      <c r="R539" s="1">
        <v>0</v>
      </c>
    </row>
    <row r="540" spans="1:18" ht="14.25" thickBot="1">
      <c r="A540" s="1" t="s">
        <v>440</v>
      </c>
      <c r="B540" s="3">
        <v>1</v>
      </c>
      <c r="C540" s="9" t="s">
        <v>2519</v>
      </c>
      <c r="D540" s="1" t="s">
        <v>12</v>
      </c>
      <c r="E540" s="1">
        <v>5</v>
      </c>
      <c r="F540" s="1">
        <v>2</v>
      </c>
      <c r="G540" s="1">
        <v>15</v>
      </c>
      <c r="H540" s="10" t="s">
        <v>2120</v>
      </c>
      <c r="I540" s="1">
        <v>3000</v>
      </c>
      <c r="J540" s="1">
        <v>10</v>
      </c>
      <c r="K540" s="1">
        <v>0</v>
      </c>
      <c r="L540" s="1">
        <v>0</v>
      </c>
      <c r="M540" s="1" t="s">
        <v>1848</v>
      </c>
      <c r="N540" s="1" t="s">
        <v>706</v>
      </c>
      <c r="O540" s="1">
        <v>0</v>
      </c>
      <c r="P540" s="1" t="s">
        <v>2048</v>
      </c>
      <c r="Q540" s="7" t="str">
        <f t="shared" si="4"/>
        <v>equipment/1108.png</v>
      </c>
      <c r="R540" s="1">
        <v>0</v>
      </c>
    </row>
    <row r="541" spans="1:18" ht="14.25" thickBot="1">
      <c r="A541" s="1" t="s">
        <v>441</v>
      </c>
      <c r="B541" s="3">
        <v>1</v>
      </c>
      <c r="C541" s="9" t="s">
        <v>2520</v>
      </c>
      <c r="D541" s="1" t="s">
        <v>12</v>
      </c>
      <c r="E541" s="1">
        <v>5</v>
      </c>
      <c r="F541" s="1">
        <v>2</v>
      </c>
      <c r="G541" s="1">
        <v>15</v>
      </c>
      <c r="H541" s="10" t="s">
        <v>2120</v>
      </c>
      <c r="I541" s="1">
        <v>3600</v>
      </c>
      <c r="J541" s="1">
        <v>10</v>
      </c>
      <c r="K541" s="1">
        <v>0</v>
      </c>
      <c r="L541" s="1">
        <v>0</v>
      </c>
      <c r="M541" s="1" t="s">
        <v>2013</v>
      </c>
      <c r="N541" s="1" t="s">
        <v>706</v>
      </c>
      <c r="O541" s="1">
        <v>0</v>
      </c>
      <c r="P541" s="1" t="s">
        <v>2048</v>
      </c>
      <c r="Q541" s="7" t="str">
        <f t="shared" si="4"/>
        <v>equipment/1107.png</v>
      </c>
      <c r="R541" s="1">
        <v>0</v>
      </c>
    </row>
    <row r="542" spans="1:18" ht="14.25" thickBot="1">
      <c r="A542" s="1" t="s">
        <v>442</v>
      </c>
      <c r="B542" s="3">
        <v>1</v>
      </c>
      <c r="C542" s="9" t="s">
        <v>2093</v>
      </c>
      <c r="D542" s="1" t="s">
        <v>13</v>
      </c>
      <c r="E542" s="1">
        <v>6</v>
      </c>
      <c r="F542" s="1">
        <v>2</v>
      </c>
      <c r="G542" s="1">
        <v>15</v>
      </c>
      <c r="H542" s="10" t="s">
        <v>2120</v>
      </c>
      <c r="I542" s="1">
        <v>3000</v>
      </c>
      <c r="J542" s="1">
        <v>10</v>
      </c>
      <c r="K542" s="1">
        <v>0</v>
      </c>
      <c r="L542" s="1">
        <v>0</v>
      </c>
      <c r="M542" s="1" t="s">
        <v>1849</v>
      </c>
      <c r="N542" s="1" t="s">
        <v>706</v>
      </c>
      <c r="O542" s="1">
        <v>0</v>
      </c>
      <c r="P542" s="1" t="s">
        <v>2048</v>
      </c>
      <c r="Q542" s="7" t="str">
        <f t="shared" si="4"/>
        <v>equipment/2105.png</v>
      </c>
      <c r="R542" s="1">
        <v>0</v>
      </c>
    </row>
    <row r="543" spans="1:18" ht="14.25" thickBot="1">
      <c r="A543" s="1" t="s">
        <v>443</v>
      </c>
      <c r="B543" s="2">
        <v>0</v>
      </c>
      <c r="C543" s="9" t="s">
        <v>2061</v>
      </c>
      <c r="D543" s="1" t="s">
        <v>13</v>
      </c>
      <c r="E543" s="1">
        <v>6</v>
      </c>
      <c r="F543" s="1">
        <v>2</v>
      </c>
      <c r="G543" s="1">
        <v>15</v>
      </c>
      <c r="H543" s="10" t="s">
        <v>2120</v>
      </c>
      <c r="I543" s="1">
        <v>3600</v>
      </c>
      <c r="J543" s="1">
        <v>10</v>
      </c>
      <c r="K543" s="1">
        <v>0</v>
      </c>
      <c r="L543" s="1">
        <v>0</v>
      </c>
      <c r="M543" s="1" t="s">
        <v>1850</v>
      </c>
      <c r="N543" s="1" t="s">
        <v>706</v>
      </c>
      <c r="O543" s="1">
        <v>0</v>
      </c>
      <c r="P543" s="1" t="s">
        <v>2048</v>
      </c>
      <c r="Q543" s="7" t="str">
        <f t="shared" si="4"/>
        <v>equipment/2101.png</v>
      </c>
      <c r="R543" s="1">
        <v>0</v>
      </c>
    </row>
    <row r="544" spans="1:18" ht="14.25" thickBot="1">
      <c r="A544" s="1" t="s">
        <v>444</v>
      </c>
      <c r="B544" s="3">
        <v>1</v>
      </c>
      <c r="C544" s="1" t="s">
        <v>2521</v>
      </c>
      <c r="D544" s="1" t="s">
        <v>12</v>
      </c>
      <c r="E544" s="1">
        <v>5</v>
      </c>
      <c r="F544" s="1">
        <v>2</v>
      </c>
      <c r="G544" s="1">
        <v>15</v>
      </c>
      <c r="H544" s="10" t="s">
        <v>2121</v>
      </c>
      <c r="I544" s="1">
        <v>3000</v>
      </c>
      <c r="J544" s="1">
        <v>10</v>
      </c>
      <c r="K544" s="1">
        <v>0</v>
      </c>
      <c r="L544" s="1">
        <v>0</v>
      </c>
      <c r="M544" s="1" t="s">
        <v>1848</v>
      </c>
      <c r="N544" s="1" t="s">
        <v>706</v>
      </c>
      <c r="O544" s="1">
        <v>0</v>
      </c>
      <c r="P544" s="1" t="s">
        <v>2048</v>
      </c>
      <c r="Q544" s="7" t="str">
        <f t="shared" si="4"/>
        <v>equipment/1207.png</v>
      </c>
      <c r="R544" s="1">
        <v>0</v>
      </c>
    </row>
    <row r="545" spans="1:18" ht="14.25" thickBot="1">
      <c r="A545" s="1" t="s">
        <v>445</v>
      </c>
      <c r="B545" s="3">
        <v>1</v>
      </c>
      <c r="C545" s="1" t="s">
        <v>2100</v>
      </c>
      <c r="D545" s="1" t="s">
        <v>12</v>
      </c>
      <c r="E545" s="1">
        <v>5</v>
      </c>
      <c r="F545" s="1">
        <v>2</v>
      </c>
      <c r="G545" s="1">
        <v>15</v>
      </c>
      <c r="H545" s="10" t="s">
        <v>2121</v>
      </c>
      <c r="I545" s="1">
        <v>3600</v>
      </c>
      <c r="J545" s="1">
        <v>10</v>
      </c>
      <c r="K545" s="1">
        <v>0</v>
      </c>
      <c r="L545" s="1">
        <v>0</v>
      </c>
      <c r="M545" s="1" t="s">
        <v>2013</v>
      </c>
      <c r="N545" s="1" t="s">
        <v>706</v>
      </c>
      <c r="O545" s="1">
        <v>0</v>
      </c>
      <c r="P545" s="1" t="s">
        <v>2048</v>
      </c>
      <c r="Q545" s="7" t="str">
        <f t="shared" si="4"/>
        <v>equipment/1208.png</v>
      </c>
      <c r="R545" s="1">
        <v>0</v>
      </c>
    </row>
    <row r="546" spans="1:18" ht="14.25" thickBot="1">
      <c r="A546" s="1" t="s">
        <v>446</v>
      </c>
      <c r="B546" s="3">
        <v>1</v>
      </c>
      <c r="C546" s="9" t="s">
        <v>2101</v>
      </c>
      <c r="D546" s="1" t="s">
        <v>13</v>
      </c>
      <c r="E546" s="1">
        <v>6</v>
      </c>
      <c r="F546" s="1">
        <v>2</v>
      </c>
      <c r="G546" s="1">
        <v>15</v>
      </c>
      <c r="H546" s="10" t="s">
        <v>2121</v>
      </c>
      <c r="I546" s="1">
        <v>3000</v>
      </c>
      <c r="J546" s="1">
        <v>10</v>
      </c>
      <c r="K546" s="1">
        <v>0</v>
      </c>
      <c r="L546" s="1">
        <v>0</v>
      </c>
      <c r="M546" s="1" t="s">
        <v>1851</v>
      </c>
      <c r="N546" s="1" t="s">
        <v>706</v>
      </c>
      <c r="O546" s="1">
        <v>0</v>
      </c>
      <c r="P546" s="1" t="s">
        <v>2048</v>
      </c>
      <c r="Q546" s="7" t="str">
        <f t="shared" si="4"/>
        <v>equipment/2204.png</v>
      </c>
      <c r="R546" s="1">
        <v>0</v>
      </c>
    </row>
    <row r="547" spans="1:18" ht="14.25" thickBot="1">
      <c r="A547" s="1" t="s">
        <v>447</v>
      </c>
      <c r="B547" s="2">
        <v>0</v>
      </c>
      <c r="C547" s="9" t="s">
        <v>2094</v>
      </c>
      <c r="D547" s="1" t="s">
        <v>13</v>
      </c>
      <c r="E547" s="1">
        <v>6</v>
      </c>
      <c r="F547" s="1">
        <v>2</v>
      </c>
      <c r="G547" s="1">
        <v>15</v>
      </c>
      <c r="H547" s="10" t="s">
        <v>2121</v>
      </c>
      <c r="I547" s="1">
        <v>3600</v>
      </c>
      <c r="J547" s="1">
        <v>10</v>
      </c>
      <c r="K547" s="1">
        <v>0</v>
      </c>
      <c r="L547" s="1">
        <v>0</v>
      </c>
      <c r="M547" s="1" t="s">
        <v>1852</v>
      </c>
      <c r="N547" s="1" t="s">
        <v>706</v>
      </c>
      <c r="O547" s="1">
        <v>0</v>
      </c>
      <c r="P547" s="1" t="s">
        <v>2048</v>
      </c>
      <c r="Q547" s="7" t="str">
        <f t="shared" si="4"/>
        <v>equipment/2201.png</v>
      </c>
      <c r="R547" s="1">
        <v>0</v>
      </c>
    </row>
    <row r="548" spans="1:18" ht="14.25" thickBot="1">
      <c r="A548" s="1" t="s">
        <v>448</v>
      </c>
      <c r="B548" s="3">
        <v>1</v>
      </c>
      <c r="C548" s="9" t="s">
        <v>2102</v>
      </c>
      <c r="D548" s="1" t="s">
        <v>12</v>
      </c>
      <c r="E548" s="1">
        <v>5</v>
      </c>
      <c r="F548" s="1">
        <v>2</v>
      </c>
      <c r="G548" s="1">
        <v>15</v>
      </c>
      <c r="H548" s="10" t="s">
        <v>2122</v>
      </c>
      <c r="I548" s="1">
        <v>3000</v>
      </c>
      <c r="J548" s="1">
        <v>10</v>
      </c>
      <c r="K548" s="1">
        <v>0</v>
      </c>
      <c r="L548" s="1">
        <v>0</v>
      </c>
      <c r="M548" s="1" t="s">
        <v>1848</v>
      </c>
      <c r="N548" s="1" t="s">
        <v>706</v>
      </c>
      <c r="O548" s="1">
        <v>0</v>
      </c>
      <c r="P548" s="1" t="s">
        <v>2048</v>
      </c>
      <c r="Q548" s="7" t="str">
        <f t="shared" si="4"/>
        <v>equipment/1307.png</v>
      </c>
      <c r="R548" s="1">
        <v>0</v>
      </c>
    </row>
    <row r="549" spans="1:18" ht="14.25" thickBot="1">
      <c r="A549" s="1" t="s">
        <v>449</v>
      </c>
      <c r="B549" s="3">
        <v>1</v>
      </c>
      <c r="C549" s="9" t="s">
        <v>2103</v>
      </c>
      <c r="D549" s="1" t="s">
        <v>12</v>
      </c>
      <c r="E549" s="1">
        <v>5</v>
      </c>
      <c r="F549" s="1">
        <v>2</v>
      </c>
      <c r="G549" s="1">
        <v>15</v>
      </c>
      <c r="H549" s="10" t="s">
        <v>2122</v>
      </c>
      <c r="I549" s="1">
        <v>3600</v>
      </c>
      <c r="J549" s="1">
        <v>10</v>
      </c>
      <c r="K549" s="1">
        <v>0</v>
      </c>
      <c r="L549" s="1">
        <v>0</v>
      </c>
      <c r="M549" s="1" t="s">
        <v>2013</v>
      </c>
      <c r="N549" s="1" t="s">
        <v>706</v>
      </c>
      <c r="O549" s="1">
        <v>0</v>
      </c>
      <c r="P549" s="1" t="s">
        <v>2048</v>
      </c>
      <c r="Q549" s="7" t="str">
        <f t="shared" si="4"/>
        <v>equipment/1308.png</v>
      </c>
      <c r="R549" s="1">
        <v>0</v>
      </c>
    </row>
    <row r="550" spans="1:18" ht="14.25" thickBot="1">
      <c r="A550" s="1" t="s">
        <v>450</v>
      </c>
      <c r="B550" s="3">
        <v>1</v>
      </c>
      <c r="C550" s="9" t="s">
        <v>2522</v>
      </c>
      <c r="D550" s="1" t="s">
        <v>13</v>
      </c>
      <c r="E550" s="1">
        <v>6</v>
      </c>
      <c r="F550" s="1">
        <v>2</v>
      </c>
      <c r="G550" s="1">
        <v>15</v>
      </c>
      <c r="H550" s="10" t="s">
        <v>2122</v>
      </c>
      <c r="I550" s="1">
        <v>3000</v>
      </c>
      <c r="J550" s="1">
        <v>10</v>
      </c>
      <c r="K550" s="1">
        <v>0</v>
      </c>
      <c r="L550" s="1">
        <v>0</v>
      </c>
      <c r="M550" s="1" t="s">
        <v>1853</v>
      </c>
      <c r="N550" s="1" t="s">
        <v>706</v>
      </c>
      <c r="O550" s="1">
        <v>0</v>
      </c>
      <c r="P550" s="1" t="s">
        <v>2048</v>
      </c>
      <c r="Q550" s="7" t="str">
        <f t="shared" si="4"/>
        <v>equipment/2304.png</v>
      </c>
      <c r="R550" s="1">
        <v>0</v>
      </c>
    </row>
    <row r="551" spans="1:18" ht="14.25" thickBot="1">
      <c r="A551" s="1" t="s">
        <v>451</v>
      </c>
      <c r="B551" s="2">
        <v>0</v>
      </c>
      <c r="C551" s="9" t="s">
        <v>2095</v>
      </c>
      <c r="D551" s="1" t="s">
        <v>13</v>
      </c>
      <c r="E551" s="1">
        <v>6</v>
      </c>
      <c r="F551" s="1">
        <v>2</v>
      </c>
      <c r="G551" s="1">
        <v>15</v>
      </c>
      <c r="H551" s="10" t="s">
        <v>2122</v>
      </c>
      <c r="I551" s="1">
        <v>3600</v>
      </c>
      <c r="J551" s="1">
        <v>10</v>
      </c>
      <c r="K551" s="1">
        <v>0</v>
      </c>
      <c r="L551" s="1">
        <v>0</v>
      </c>
      <c r="M551" s="1" t="s">
        <v>1854</v>
      </c>
      <c r="N551" s="1" t="s">
        <v>706</v>
      </c>
      <c r="O551" s="1">
        <v>0</v>
      </c>
      <c r="P551" s="1" t="s">
        <v>2048</v>
      </c>
      <c r="Q551" s="7" t="str">
        <f t="shared" si="4"/>
        <v>equipment/2301.png</v>
      </c>
      <c r="R551" s="1">
        <v>0</v>
      </c>
    </row>
    <row r="552" spans="1:18" ht="14.25" thickBot="1">
      <c r="A552" s="1" t="s">
        <v>452</v>
      </c>
      <c r="B552" s="3">
        <v>1</v>
      </c>
      <c r="C552" s="1" t="s">
        <v>2080</v>
      </c>
      <c r="D552" s="1" t="s">
        <v>11</v>
      </c>
      <c r="E552" s="1">
        <v>4</v>
      </c>
      <c r="F552" s="1">
        <v>2</v>
      </c>
      <c r="G552" s="1">
        <v>15</v>
      </c>
      <c r="H552" s="10">
        <v>0</v>
      </c>
      <c r="I552" s="1">
        <v>3000</v>
      </c>
      <c r="J552" s="1">
        <v>10</v>
      </c>
      <c r="K552" s="1">
        <v>0</v>
      </c>
      <c r="L552" s="1">
        <v>0</v>
      </c>
      <c r="M552" s="1" t="s">
        <v>1855</v>
      </c>
      <c r="N552" s="1" t="s">
        <v>705</v>
      </c>
      <c r="O552" s="1">
        <v>0</v>
      </c>
      <c r="P552" s="1" t="s">
        <v>2048</v>
      </c>
      <c r="Q552" s="7" t="str">
        <f t="shared" si="4"/>
        <v>equipment/5005.png</v>
      </c>
      <c r="R552" s="1">
        <v>0</v>
      </c>
    </row>
    <row r="553" spans="1:18" ht="14.25" thickBot="1">
      <c r="A553" s="1" t="s">
        <v>453</v>
      </c>
      <c r="B553" s="2">
        <v>0</v>
      </c>
      <c r="C553" s="1" t="s">
        <v>2499</v>
      </c>
      <c r="D553" s="1" t="s">
        <v>11</v>
      </c>
      <c r="E553" s="1">
        <v>4</v>
      </c>
      <c r="F553" s="1">
        <v>2</v>
      </c>
      <c r="G553" s="1">
        <v>15</v>
      </c>
      <c r="H553" s="10">
        <v>0</v>
      </c>
      <c r="I553" s="1">
        <v>3600</v>
      </c>
      <c r="J553" s="1">
        <v>10</v>
      </c>
      <c r="K553" s="1">
        <v>0</v>
      </c>
      <c r="L553" s="1">
        <v>0</v>
      </c>
      <c r="M553" s="1" t="s">
        <v>1856</v>
      </c>
      <c r="N553" s="1" t="s">
        <v>705</v>
      </c>
      <c r="O553" s="1">
        <v>0</v>
      </c>
      <c r="P553" s="1" t="s">
        <v>2048</v>
      </c>
      <c r="Q553" s="7" t="str">
        <f t="shared" si="4"/>
        <v>equipment/5001.png</v>
      </c>
      <c r="R553" s="1">
        <v>0</v>
      </c>
    </row>
    <row r="554" spans="1:18" ht="14.25" thickBot="1">
      <c r="A554" s="1" t="s">
        <v>454</v>
      </c>
      <c r="B554" s="3">
        <v>1</v>
      </c>
      <c r="C554" s="1" t="s">
        <v>2088</v>
      </c>
      <c r="D554" s="1" t="s">
        <v>14</v>
      </c>
      <c r="E554" s="1">
        <v>7</v>
      </c>
      <c r="F554" s="1">
        <v>2</v>
      </c>
      <c r="G554" s="1">
        <v>15</v>
      </c>
      <c r="H554" s="10">
        <v>0</v>
      </c>
      <c r="I554" s="1">
        <v>3000</v>
      </c>
      <c r="J554" s="1">
        <v>10</v>
      </c>
      <c r="K554" s="1">
        <v>0</v>
      </c>
      <c r="L554" s="1">
        <v>0</v>
      </c>
      <c r="M554" s="1" t="s">
        <v>1855</v>
      </c>
      <c r="N554" s="1" t="s">
        <v>705</v>
      </c>
      <c r="O554" s="1">
        <v>0</v>
      </c>
      <c r="P554" s="1" t="s">
        <v>2048</v>
      </c>
      <c r="Q554" s="7" t="str">
        <f t="shared" si="4"/>
        <v>equipment/7003.png</v>
      </c>
      <c r="R554" s="1">
        <v>0</v>
      </c>
    </row>
    <row r="555" spans="1:18" ht="14.25" thickBot="1">
      <c r="A555" s="1" t="s">
        <v>455</v>
      </c>
      <c r="B555" s="2">
        <v>0</v>
      </c>
      <c r="C555" s="1" t="s">
        <v>2501</v>
      </c>
      <c r="D555" s="1" t="s">
        <v>14</v>
      </c>
      <c r="E555" s="1">
        <v>7</v>
      </c>
      <c r="F555" s="1">
        <v>2</v>
      </c>
      <c r="G555" s="1">
        <v>15</v>
      </c>
      <c r="H555" s="10">
        <v>0</v>
      </c>
      <c r="I555" s="1">
        <v>3600</v>
      </c>
      <c r="J555" s="1">
        <v>10</v>
      </c>
      <c r="K555" s="1">
        <v>0</v>
      </c>
      <c r="L555" s="1">
        <v>0</v>
      </c>
      <c r="M555" s="1" t="s">
        <v>1857</v>
      </c>
      <c r="N555" s="1" t="s">
        <v>705</v>
      </c>
      <c r="O555" s="1">
        <v>0</v>
      </c>
      <c r="P555" s="1" t="s">
        <v>2048</v>
      </c>
      <c r="Q555" s="7" t="str">
        <f t="shared" si="4"/>
        <v>equipment/7001.png</v>
      </c>
      <c r="R555" s="1">
        <v>0</v>
      </c>
    </row>
    <row r="556" spans="1:18" ht="14.25" thickBot="1">
      <c r="A556" s="1" t="s">
        <v>456</v>
      </c>
      <c r="B556" s="3">
        <v>1</v>
      </c>
      <c r="C556" s="1" t="s">
        <v>2523</v>
      </c>
      <c r="D556" s="1" t="s">
        <v>8</v>
      </c>
      <c r="E556" s="1">
        <v>1</v>
      </c>
      <c r="F556" s="1">
        <v>2</v>
      </c>
      <c r="G556" s="1">
        <v>20</v>
      </c>
      <c r="H556" s="10">
        <v>0</v>
      </c>
      <c r="I556" s="1">
        <v>4000</v>
      </c>
      <c r="J556" s="1">
        <v>10</v>
      </c>
      <c r="K556" s="1">
        <v>0</v>
      </c>
      <c r="L556" s="1">
        <v>0</v>
      </c>
      <c r="M556" s="1" t="s">
        <v>1858</v>
      </c>
      <c r="N556" s="1" t="s">
        <v>706</v>
      </c>
      <c r="O556" s="1">
        <v>0</v>
      </c>
      <c r="P556" s="1" t="s">
        <v>2049</v>
      </c>
      <c r="Q556" s="7" t="str">
        <f t="shared" si="4"/>
        <v>equipment/3003.png</v>
      </c>
      <c r="R556" s="1">
        <v>0</v>
      </c>
    </row>
    <row r="557" spans="1:18" ht="14.25" thickBot="1">
      <c r="A557" s="1" t="s">
        <v>457</v>
      </c>
      <c r="B557" s="3">
        <v>1</v>
      </c>
      <c r="C557" s="1" t="s">
        <v>2524</v>
      </c>
      <c r="D557" s="1" t="s">
        <v>9</v>
      </c>
      <c r="E557" s="1">
        <v>2</v>
      </c>
      <c r="F557" s="1">
        <v>2</v>
      </c>
      <c r="G557" s="1">
        <v>20</v>
      </c>
      <c r="H557" s="10">
        <v>0</v>
      </c>
      <c r="I557" s="1">
        <v>4000</v>
      </c>
      <c r="J557" s="1">
        <v>10</v>
      </c>
      <c r="K557" s="1">
        <v>0</v>
      </c>
      <c r="L557" s="1">
        <v>0</v>
      </c>
      <c r="M557" s="1" t="s">
        <v>1839</v>
      </c>
      <c r="N557" s="1" t="s">
        <v>706</v>
      </c>
      <c r="O557" s="1">
        <v>0</v>
      </c>
      <c r="P557" s="1" t="s">
        <v>2049</v>
      </c>
      <c r="Q557" s="7" t="str">
        <f t="shared" si="4"/>
        <v>equipment/14003.png</v>
      </c>
      <c r="R557" s="1">
        <v>0</v>
      </c>
    </row>
    <row r="558" spans="1:18" ht="14.25" thickBot="1">
      <c r="A558" s="1" t="s">
        <v>458</v>
      </c>
      <c r="B558" s="3">
        <v>1</v>
      </c>
      <c r="C558" s="1" t="s">
        <v>2867</v>
      </c>
      <c r="D558" s="1" t="s">
        <v>10</v>
      </c>
      <c r="E558" s="1">
        <v>3</v>
      </c>
      <c r="F558" s="1">
        <v>2</v>
      </c>
      <c r="G558" s="1">
        <v>20</v>
      </c>
      <c r="H558" s="10">
        <v>0</v>
      </c>
      <c r="I558" s="1">
        <v>4000</v>
      </c>
      <c r="J558" s="1">
        <v>10</v>
      </c>
      <c r="K558" s="1">
        <v>0</v>
      </c>
      <c r="L558" s="1">
        <v>0</v>
      </c>
      <c r="M558" s="1" t="s">
        <v>1859</v>
      </c>
      <c r="N558" s="1" t="s">
        <v>706</v>
      </c>
      <c r="O558" s="1">
        <v>0</v>
      </c>
      <c r="P558" s="1" t="s">
        <v>2049</v>
      </c>
      <c r="Q558" s="7" t="str">
        <f t="shared" si="4"/>
        <v>equipment/6004.png</v>
      </c>
      <c r="R558" s="1">
        <v>0</v>
      </c>
    </row>
    <row r="559" spans="1:18" ht="14.25" thickBot="1">
      <c r="A559" s="1" t="s">
        <v>459</v>
      </c>
      <c r="B559" s="2">
        <v>1</v>
      </c>
      <c r="C559" s="1" t="s">
        <v>2525</v>
      </c>
      <c r="D559" s="1" t="s">
        <v>15</v>
      </c>
      <c r="E559" s="1">
        <v>8</v>
      </c>
      <c r="F559" s="1">
        <v>2</v>
      </c>
      <c r="G559" s="1">
        <v>20</v>
      </c>
      <c r="H559" s="10">
        <v>0</v>
      </c>
      <c r="I559" s="1">
        <v>4000</v>
      </c>
      <c r="J559" s="1">
        <v>10</v>
      </c>
      <c r="K559" s="1">
        <v>0</v>
      </c>
      <c r="L559" s="1">
        <v>0</v>
      </c>
      <c r="M559" s="1" t="s">
        <v>2471</v>
      </c>
      <c r="N559" s="1" t="s">
        <v>706</v>
      </c>
      <c r="O559" s="1">
        <v>0</v>
      </c>
      <c r="P559" s="1" t="s">
        <v>2049</v>
      </c>
      <c r="Q559" s="7" t="str">
        <f t="shared" si="4"/>
        <v>equipment/8003.png</v>
      </c>
      <c r="R559" s="1">
        <v>0</v>
      </c>
    </row>
    <row r="560" spans="1:18" ht="14.25" thickBot="1">
      <c r="A560" s="1" t="s">
        <v>460</v>
      </c>
      <c r="B560" s="3">
        <v>1</v>
      </c>
      <c r="C560" s="1" t="s">
        <v>2526</v>
      </c>
      <c r="D560" s="1" t="s">
        <v>16</v>
      </c>
      <c r="E560" s="1">
        <v>9</v>
      </c>
      <c r="F560" s="1">
        <v>2</v>
      </c>
      <c r="G560" s="1">
        <v>20</v>
      </c>
      <c r="H560" s="10">
        <v>0</v>
      </c>
      <c r="I560" s="1">
        <v>4000</v>
      </c>
      <c r="J560" s="1">
        <v>10</v>
      </c>
      <c r="K560" s="1">
        <v>0</v>
      </c>
      <c r="L560" s="1">
        <v>0</v>
      </c>
      <c r="M560" s="1" t="s">
        <v>1861</v>
      </c>
      <c r="N560" s="1" t="s">
        <v>706</v>
      </c>
      <c r="O560" s="1">
        <v>0</v>
      </c>
      <c r="P560" s="1" t="s">
        <v>2049</v>
      </c>
      <c r="Q560" s="7" t="str">
        <f t="shared" si="4"/>
        <v>equipment/10004.png</v>
      </c>
      <c r="R560" s="1">
        <v>0</v>
      </c>
    </row>
    <row r="561" spans="1:18" ht="14.25" thickBot="1">
      <c r="A561" s="1" t="s">
        <v>461</v>
      </c>
      <c r="B561" s="3">
        <v>1</v>
      </c>
      <c r="C561" s="1" t="s">
        <v>2527</v>
      </c>
      <c r="D561" s="1" t="s">
        <v>17</v>
      </c>
      <c r="E561" s="1">
        <v>10</v>
      </c>
      <c r="F561" s="1">
        <v>2</v>
      </c>
      <c r="G561" s="1">
        <v>20</v>
      </c>
      <c r="H561" s="10">
        <v>0</v>
      </c>
      <c r="I561" s="1">
        <v>4000</v>
      </c>
      <c r="J561" s="1">
        <v>10</v>
      </c>
      <c r="K561" s="1">
        <v>0</v>
      </c>
      <c r="L561" s="1">
        <v>0</v>
      </c>
      <c r="M561" s="1" t="s">
        <v>1862</v>
      </c>
      <c r="N561" s="1" t="s">
        <v>706</v>
      </c>
      <c r="O561" s="1">
        <v>0</v>
      </c>
      <c r="P561" s="1" t="s">
        <v>2049</v>
      </c>
      <c r="Q561" s="7" t="str">
        <f t="shared" si="4"/>
        <v>equipment/12003.png</v>
      </c>
      <c r="R561" s="1">
        <v>0</v>
      </c>
    </row>
    <row r="562" spans="1:18" ht="14.25" thickBot="1">
      <c r="A562" s="1" t="s">
        <v>462</v>
      </c>
      <c r="B562" s="3">
        <v>1</v>
      </c>
      <c r="C562" s="9" t="s">
        <v>2104</v>
      </c>
      <c r="D562" s="1" t="s">
        <v>12</v>
      </c>
      <c r="E562" s="1">
        <v>5</v>
      </c>
      <c r="F562" s="1">
        <v>2</v>
      </c>
      <c r="G562" s="1">
        <v>20</v>
      </c>
      <c r="H562" s="10" t="s">
        <v>2120</v>
      </c>
      <c r="I562" s="1">
        <v>4000</v>
      </c>
      <c r="J562" s="1">
        <v>10</v>
      </c>
      <c r="K562" s="1">
        <v>0</v>
      </c>
      <c r="L562" s="1">
        <v>0</v>
      </c>
      <c r="M562" s="1" t="s">
        <v>2014</v>
      </c>
      <c r="N562" s="1" t="s">
        <v>707</v>
      </c>
      <c r="O562" s="1">
        <v>0</v>
      </c>
      <c r="P562" s="1" t="s">
        <v>2049</v>
      </c>
      <c r="Q562" s="7" t="str">
        <f t="shared" si="4"/>
        <v>equipment/1109.png</v>
      </c>
      <c r="R562" s="1">
        <v>0</v>
      </c>
    </row>
    <row r="563" spans="1:18" ht="14.25" thickBot="1">
      <c r="A563" s="1" t="s">
        <v>463</v>
      </c>
      <c r="B563" s="2">
        <v>0</v>
      </c>
      <c r="C563" s="9" t="s">
        <v>2491</v>
      </c>
      <c r="D563" s="1" t="s">
        <v>12</v>
      </c>
      <c r="E563" s="1">
        <v>5</v>
      </c>
      <c r="F563" s="1">
        <v>2</v>
      </c>
      <c r="G563" s="1">
        <v>20</v>
      </c>
      <c r="H563" s="10" t="s">
        <v>2120</v>
      </c>
      <c r="I563" s="1">
        <v>4600</v>
      </c>
      <c r="J563" s="1">
        <v>10</v>
      </c>
      <c r="K563" s="1">
        <v>0</v>
      </c>
      <c r="L563" s="1">
        <v>0</v>
      </c>
      <c r="M563" s="1" t="s">
        <v>2015</v>
      </c>
      <c r="N563" s="1" t="s">
        <v>707</v>
      </c>
      <c r="O563" s="1">
        <v>0</v>
      </c>
      <c r="P563" s="1" t="s">
        <v>2049</v>
      </c>
      <c r="Q563" s="7" t="str">
        <f t="shared" si="4"/>
        <v>equipment/1101.png</v>
      </c>
      <c r="R563" s="1">
        <v>0</v>
      </c>
    </row>
    <row r="564" spans="1:18" ht="14.25" thickBot="1">
      <c r="A564" s="1" t="s">
        <v>464</v>
      </c>
      <c r="B564" s="3">
        <v>1</v>
      </c>
      <c r="C564" s="9" t="s">
        <v>2528</v>
      </c>
      <c r="D564" s="1" t="s">
        <v>13</v>
      </c>
      <c r="E564" s="1">
        <v>6</v>
      </c>
      <c r="F564" s="1">
        <v>2</v>
      </c>
      <c r="G564" s="1">
        <v>20</v>
      </c>
      <c r="H564" s="10" t="s">
        <v>2120</v>
      </c>
      <c r="I564" s="1">
        <v>4000</v>
      </c>
      <c r="J564" s="1">
        <v>10</v>
      </c>
      <c r="K564" s="1">
        <v>0</v>
      </c>
      <c r="L564" s="1">
        <v>0</v>
      </c>
      <c r="M564" s="1" t="s">
        <v>1863</v>
      </c>
      <c r="N564" s="1" t="s">
        <v>707</v>
      </c>
      <c r="O564" s="1">
        <v>0</v>
      </c>
      <c r="P564" s="1" t="s">
        <v>2049</v>
      </c>
      <c r="Q564" s="7" t="str">
        <f t="shared" si="4"/>
        <v>equipment/2104.png</v>
      </c>
      <c r="R564" s="1">
        <v>0</v>
      </c>
    </row>
    <row r="565" spans="1:18" ht="14.25" thickBot="1">
      <c r="A565" s="1" t="s">
        <v>465</v>
      </c>
      <c r="B565" s="2">
        <v>0</v>
      </c>
      <c r="C565" s="9" t="s">
        <v>2061</v>
      </c>
      <c r="D565" s="1" t="s">
        <v>13</v>
      </c>
      <c r="E565" s="1">
        <v>6</v>
      </c>
      <c r="F565" s="1">
        <v>2</v>
      </c>
      <c r="G565" s="1">
        <v>20</v>
      </c>
      <c r="H565" s="10" t="s">
        <v>2120</v>
      </c>
      <c r="I565" s="1">
        <v>4600</v>
      </c>
      <c r="J565" s="1">
        <v>10</v>
      </c>
      <c r="K565" s="1">
        <v>0</v>
      </c>
      <c r="L565" s="1">
        <v>0</v>
      </c>
      <c r="M565" s="1" t="s">
        <v>1864</v>
      </c>
      <c r="N565" s="1" t="s">
        <v>707</v>
      </c>
      <c r="O565" s="1">
        <v>0</v>
      </c>
      <c r="P565" s="1" t="s">
        <v>2049</v>
      </c>
      <c r="Q565" s="7" t="str">
        <f t="shared" si="4"/>
        <v>equipment/2101.png</v>
      </c>
      <c r="R565" s="1">
        <v>0</v>
      </c>
    </row>
    <row r="566" spans="1:18" ht="14.25" thickBot="1">
      <c r="A566" s="1" t="s">
        <v>466</v>
      </c>
      <c r="B566" s="3">
        <v>1</v>
      </c>
      <c r="C566" s="1" t="s">
        <v>2105</v>
      </c>
      <c r="D566" s="1" t="s">
        <v>12</v>
      </c>
      <c r="E566" s="1">
        <v>5</v>
      </c>
      <c r="F566" s="1">
        <v>2</v>
      </c>
      <c r="G566" s="1">
        <v>20</v>
      </c>
      <c r="H566" s="10" t="s">
        <v>2121</v>
      </c>
      <c r="I566" s="1">
        <v>4000</v>
      </c>
      <c r="J566" s="1">
        <v>10</v>
      </c>
      <c r="K566" s="1">
        <v>0</v>
      </c>
      <c r="L566" s="1">
        <v>0</v>
      </c>
      <c r="M566" s="1" t="s">
        <v>2014</v>
      </c>
      <c r="N566" s="1" t="s">
        <v>707</v>
      </c>
      <c r="O566" s="1">
        <v>0</v>
      </c>
      <c r="P566" s="1" t="s">
        <v>2049</v>
      </c>
      <c r="Q566" s="7" t="str">
        <f t="shared" si="4"/>
        <v>equipment/1209.png</v>
      </c>
      <c r="R566" s="1">
        <v>0</v>
      </c>
    </row>
    <row r="567" spans="1:18" ht="14.25" thickBot="1">
      <c r="A567" s="1" t="s">
        <v>467</v>
      </c>
      <c r="B567" s="2">
        <v>0</v>
      </c>
      <c r="C567" s="1" t="s">
        <v>2494</v>
      </c>
      <c r="D567" s="1" t="s">
        <v>12</v>
      </c>
      <c r="E567" s="1">
        <v>5</v>
      </c>
      <c r="F567" s="1">
        <v>2</v>
      </c>
      <c r="G567" s="1">
        <v>20</v>
      </c>
      <c r="H567" s="10" t="s">
        <v>2121</v>
      </c>
      <c r="I567" s="1">
        <v>4600</v>
      </c>
      <c r="J567" s="1">
        <v>10</v>
      </c>
      <c r="K567" s="1">
        <v>0</v>
      </c>
      <c r="L567" s="1">
        <v>0</v>
      </c>
      <c r="M567" s="1" t="s">
        <v>2015</v>
      </c>
      <c r="N567" s="1" t="s">
        <v>707</v>
      </c>
      <c r="O567" s="1">
        <v>0</v>
      </c>
      <c r="P567" s="1" t="s">
        <v>2049</v>
      </c>
      <c r="Q567" s="7" t="str">
        <f t="shared" si="4"/>
        <v>equipment/1201.png</v>
      </c>
      <c r="R567" s="1">
        <v>0</v>
      </c>
    </row>
    <row r="568" spans="1:18" ht="14.25" thickBot="1">
      <c r="A568" s="1" t="s">
        <v>468</v>
      </c>
      <c r="B568" s="3">
        <v>1</v>
      </c>
      <c r="C568" s="9" t="s">
        <v>2106</v>
      </c>
      <c r="D568" s="1" t="s">
        <v>13</v>
      </c>
      <c r="E568" s="1">
        <v>6</v>
      </c>
      <c r="F568" s="1">
        <v>2</v>
      </c>
      <c r="G568" s="1">
        <v>20</v>
      </c>
      <c r="H568" s="10" t="s">
        <v>2121</v>
      </c>
      <c r="I568" s="1">
        <v>4000</v>
      </c>
      <c r="J568" s="1">
        <v>10</v>
      </c>
      <c r="K568" s="1">
        <v>0</v>
      </c>
      <c r="L568" s="1">
        <v>0</v>
      </c>
      <c r="M568" s="1" t="s">
        <v>1865</v>
      </c>
      <c r="N568" s="1" t="s">
        <v>707</v>
      </c>
      <c r="O568" s="1">
        <v>0</v>
      </c>
      <c r="P568" s="1" t="s">
        <v>2049</v>
      </c>
      <c r="Q568" s="7" t="str">
        <f t="shared" si="4"/>
        <v>equipment/2205.png</v>
      </c>
      <c r="R568" s="1">
        <v>0</v>
      </c>
    </row>
    <row r="569" spans="1:18" ht="14.25" thickBot="1">
      <c r="A569" s="1" t="s">
        <v>469</v>
      </c>
      <c r="B569" s="2">
        <v>0</v>
      </c>
      <c r="C569" s="9" t="s">
        <v>2094</v>
      </c>
      <c r="D569" s="1" t="s">
        <v>13</v>
      </c>
      <c r="E569" s="1">
        <v>6</v>
      </c>
      <c r="F569" s="1">
        <v>2</v>
      </c>
      <c r="G569" s="1">
        <v>20</v>
      </c>
      <c r="H569" s="10" t="s">
        <v>2121</v>
      </c>
      <c r="I569" s="1">
        <v>4600</v>
      </c>
      <c r="J569" s="1">
        <v>10</v>
      </c>
      <c r="K569" s="1">
        <v>0</v>
      </c>
      <c r="L569" s="1">
        <v>0</v>
      </c>
      <c r="M569" s="1" t="s">
        <v>1866</v>
      </c>
      <c r="N569" s="1" t="s">
        <v>707</v>
      </c>
      <c r="O569" s="1">
        <v>0</v>
      </c>
      <c r="P569" s="1" t="s">
        <v>2049</v>
      </c>
      <c r="Q569" s="7" t="str">
        <f t="shared" si="4"/>
        <v>equipment/2201.png</v>
      </c>
      <c r="R569" s="1">
        <v>0</v>
      </c>
    </row>
    <row r="570" spans="1:18" ht="14.25" thickBot="1">
      <c r="A570" s="1" t="s">
        <v>470</v>
      </c>
      <c r="B570" s="3">
        <v>1</v>
      </c>
      <c r="C570" s="9" t="s">
        <v>2107</v>
      </c>
      <c r="D570" s="1" t="s">
        <v>12</v>
      </c>
      <c r="E570" s="1">
        <v>5</v>
      </c>
      <c r="F570" s="1">
        <v>2</v>
      </c>
      <c r="G570" s="1">
        <v>20</v>
      </c>
      <c r="H570" s="10" t="s">
        <v>2122</v>
      </c>
      <c r="I570" s="1">
        <v>4000</v>
      </c>
      <c r="J570" s="1">
        <v>10</v>
      </c>
      <c r="K570" s="1">
        <v>0</v>
      </c>
      <c r="L570" s="1">
        <v>0</v>
      </c>
      <c r="M570" s="1" t="s">
        <v>2014</v>
      </c>
      <c r="N570" s="1" t="s">
        <v>707</v>
      </c>
      <c r="O570" s="1">
        <v>0</v>
      </c>
      <c r="P570" s="1" t="s">
        <v>2049</v>
      </c>
      <c r="Q570" s="7" t="str">
        <f t="shared" si="4"/>
        <v>equipment/1309.png</v>
      </c>
      <c r="R570" s="1">
        <v>0</v>
      </c>
    </row>
    <row r="571" spans="1:18" ht="14.25" thickBot="1">
      <c r="A571" s="1" t="s">
        <v>471</v>
      </c>
      <c r="B571" s="3">
        <v>1</v>
      </c>
      <c r="C571" s="9" t="s">
        <v>2529</v>
      </c>
      <c r="D571" s="1" t="s">
        <v>12</v>
      </c>
      <c r="E571" s="1">
        <v>5</v>
      </c>
      <c r="F571" s="1">
        <v>2</v>
      </c>
      <c r="G571" s="1">
        <v>20</v>
      </c>
      <c r="H571" s="10" t="s">
        <v>2122</v>
      </c>
      <c r="I571" s="1">
        <v>4600</v>
      </c>
      <c r="J571" s="1">
        <v>10</v>
      </c>
      <c r="K571" s="1">
        <v>0</v>
      </c>
      <c r="L571" s="1">
        <v>0</v>
      </c>
      <c r="M571" s="1" t="s">
        <v>2015</v>
      </c>
      <c r="N571" s="1" t="s">
        <v>707</v>
      </c>
      <c r="O571" s="1">
        <v>0</v>
      </c>
      <c r="P571" s="1" t="s">
        <v>2049</v>
      </c>
      <c r="Q571" s="7" t="str">
        <f t="shared" si="4"/>
        <v>equipment/1310.png</v>
      </c>
      <c r="R571" s="1">
        <v>0</v>
      </c>
    </row>
    <row r="572" spans="1:18" ht="14.25" thickBot="1">
      <c r="A572" s="1" t="s">
        <v>472</v>
      </c>
      <c r="B572" s="3">
        <v>1</v>
      </c>
      <c r="C572" s="9" t="s">
        <v>2530</v>
      </c>
      <c r="D572" s="1" t="s">
        <v>13</v>
      </c>
      <c r="E572" s="1">
        <v>6</v>
      </c>
      <c r="F572" s="1">
        <v>2</v>
      </c>
      <c r="G572" s="1">
        <v>20</v>
      </c>
      <c r="H572" s="10" t="s">
        <v>2122</v>
      </c>
      <c r="I572" s="1">
        <v>4000</v>
      </c>
      <c r="J572" s="1">
        <v>10</v>
      </c>
      <c r="K572" s="1">
        <v>0</v>
      </c>
      <c r="L572" s="1">
        <v>0</v>
      </c>
      <c r="M572" s="1" t="s">
        <v>1867</v>
      </c>
      <c r="N572" s="1" t="s">
        <v>707</v>
      </c>
      <c r="O572" s="1">
        <v>0</v>
      </c>
      <c r="P572" s="1" t="s">
        <v>2049</v>
      </c>
      <c r="Q572" s="7" t="str">
        <f t="shared" si="4"/>
        <v>equipment/2305.png</v>
      </c>
      <c r="R572" s="1">
        <v>0</v>
      </c>
    </row>
    <row r="573" spans="1:18" ht="14.25" thickBot="1">
      <c r="A573" s="1" t="s">
        <v>473</v>
      </c>
      <c r="B573" s="2">
        <v>0</v>
      </c>
      <c r="C573" s="9" t="s">
        <v>2095</v>
      </c>
      <c r="D573" s="1" t="s">
        <v>13</v>
      </c>
      <c r="E573" s="1">
        <v>6</v>
      </c>
      <c r="F573" s="1">
        <v>2</v>
      </c>
      <c r="G573" s="1">
        <v>20</v>
      </c>
      <c r="H573" s="10" t="s">
        <v>2122</v>
      </c>
      <c r="I573" s="1">
        <v>4600</v>
      </c>
      <c r="J573" s="1">
        <v>10</v>
      </c>
      <c r="K573" s="1">
        <v>0</v>
      </c>
      <c r="L573" s="1">
        <v>0</v>
      </c>
      <c r="M573" s="1" t="s">
        <v>1868</v>
      </c>
      <c r="N573" s="1" t="s">
        <v>707</v>
      </c>
      <c r="O573" s="1">
        <v>0</v>
      </c>
      <c r="P573" s="1" t="s">
        <v>2049</v>
      </c>
      <c r="Q573" s="7" t="str">
        <f t="shared" si="4"/>
        <v>equipment/2301.png</v>
      </c>
      <c r="R573" s="1">
        <v>0</v>
      </c>
    </row>
    <row r="574" spans="1:18" ht="14.25" thickBot="1">
      <c r="A574" s="1" t="s">
        <v>474</v>
      </c>
      <c r="B574" s="3">
        <v>1</v>
      </c>
      <c r="C574" s="1" t="s">
        <v>2081</v>
      </c>
      <c r="D574" s="1" t="s">
        <v>11</v>
      </c>
      <c r="E574" s="1">
        <v>4</v>
      </c>
      <c r="F574" s="1">
        <v>2</v>
      </c>
      <c r="G574" s="1">
        <v>20</v>
      </c>
      <c r="H574" s="10">
        <v>0</v>
      </c>
      <c r="I574" s="1">
        <v>4000</v>
      </c>
      <c r="J574" s="1">
        <v>10</v>
      </c>
      <c r="K574" s="1">
        <v>0</v>
      </c>
      <c r="L574" s="1">
        <v>0</v>
      </c>
      <c r="M574" s="1" t="s">
        <v>1869</v>
      </c>
      <c r="N574" s="1" t="s">
        <v>706</v>
      </c>
      <c r="O574" s="1">
        <v>0</v>
      </c>
      <c r="P574" s="1" t="s">
        <v>2049</v>
      </c>
      <c r="Q574" s="7" t="str">
        <f t="shared" si="4"/>
        <v>equipment/5004.png</v>
      </c>
      <c r="R574" s="1">
        <v>0</v>
      </c>
    </row>
    <row r="575" spans="1:18" ht="14.25" thickBot="1">
      <c r="A575" s="1" t="s">
        <v>475</v>
      </c>
      <c r="B575" s="3">
        <v>1</v>
      </c>
      <c r="C575" s="1" t="s">
        <v>2082</v>
      </c>
      <c r="D575" s="1" t="s">
        <v>11</v>
      </c>
      <c r="E575" s="1">
        <v>4</v>
      </c>
      <c r="F575" s="1">
        <v>2</v>
      </c>
      <c r="G575" s="1">
        <v>20</v>
      </c>
      <c r="H575" s="10">
        <v>0</v>
      </c>
      <c r="I575" s="1">
        <v>4600</v>
      </c>
      <c r="J575" s="1">
        <v>10</v>
      </c>
      <c r="K575" s="1">
        <v>0</v>
      </c>
      <c r="L575" s="1">
        <v>0</v>
      </c>
      <c r="M575" s="1" t="s">
        <v>1870</v>
      </c>
      <c r="N575" s="1" t="s">
        <v>706</v>
      </c>
      <c r="O575" s="1">
        <v>0</v>
      </c>
      <c r="P575" s="1" t="s">
        <v>2049</v>
      </c>
      <c r="Q575" s="7" t="str">
        <f t="shared" si="4"/>
        <v>equipment/5006.png</v>
      </c>
      <c r="R575" s="1">
        <v>0</v>
      </c>
    </row>
    <row r="576" spans="1:18" ht="14.25" thickBot="1">
      <c r="A576" s="1" t="s">
        <v>476</v>
      </c>
      <c r="B576" s="3">
        <v>1</v>
      </c>
      <c r="C576" s="1" t="s">
        <v>2531</v>
      </c>
      <c r="D576" s="1" t="s">
        <v>14</v>
      </c>
      <c r="E576" s="1">
        <v>7</v>
      </c>
      <c r="F576" s="1">
        <v>2</v>
      </c>
      <c r="G576" s="1">
        <v>20</v>
      </c>
      <c r="H576" s="10">
        <v>0</v>
      </c>
      <c r="I576" s="1">
        <v>4000</v>
      </c>
      <c r="J576" s="1">
        <v>10</v>
      </c>
      <c r="K576" s="1">
        <v>0</v>
      </c>
      <c r="L576" s="1">
        <v>0</v>
      </c>
      <c r="M576" s="1" t="s">
        <v>1871</v>
      </c>
      <c r="N576" s="1" t="s">
        <v>706</v>
      </c>
      <c r="O576" s="1">
        <v>0</v>
      </c>
      <c r="P576" s="1" t="s">
        <v>2049</v>
      </c>
      <c r="Q576" s="7" t="str">
        <f t="shared" si="4"/>
        <v>equipment/7005.png</v>
      </c>
      <c r="R576" s="1">
        <v>0</v>
      </c>
    </row>
    <row r="577" spans="1:18" ht="14.25" thickBot="1">
      <c r="A577" s="1" t="s">
        <v>477</v>
      </c>
      <c r="B577" s="3">
        <v>1</v>
      </c>
      <c r="C577" s="1" t="s">
        <v>2532</v>
      </c>
      <c r="D577" s="1" t="s">
        <v>14</v>
      </c>
      <c r="E577" s="1">
        <v>7</v>
      </c>
      <c r="F577" s="1">
        <v>2</v>
      </c>
      <c r="G577" s="1">
        <v>20</v>
      </c>
      <c r="H577" s="10">
        <v>0</v>
      </c>
      <c r="I577" s="1">
        <v>4600</v>
      </c>
      <c r="J577" s="1">
        <v>10</v>
      </c>
      <c r="K577" s="1">
        <v>0</v>
      </c>
      <c r="L577" s="1">
        <v>0</v>
      </c>
      <c r="M577" s="1" t="s">
        <v>1872</v>
      </c>
      <c r="N577" s="1" t="s">
        <v>706</v>
      </c>
      <c r="O577" s="1">
        <v>0</v>
      </c>
      <c r="P577" s="1" t="s">
        <v>2049</v>
      </c>
      <c r="Q577" s="7" t="str">
        <f t="shared" si="4"/>
        <v>equipment/7004.png</v>
      </c>
      <c r="R577" s="1">
        <v>0</v>
      </c>
    </row>
    <row r="578" spans="1:18" ht="14.25" thickBot="1">
      <c r="A578" s="1" t="s">
        <v>478</v>
      </c>
      <c r="B578" s="3">
        <v>1</v>
      </c>
      <c r="C578" s="1" t="s">
        <v>2062</v>
      </c>
      <c r="D578" s="1" t="s">
        <v>8</v>
      </c>
      <c r="E578" s="1">
        <v>1</v>
      </c>
      <c r="F578" s="1">
        <v>2</v>
      </c>
      <c r="G578" s="1">
        <v>25</v>
      </c>
      <c r="H578" s="10">
        <v>0</v>
      </c>
      <c r="I578" s="1">
        <v>5000</v>
      </c>
      <c r="J578" s="1">
        <v>10</v>
      </c>
      <c r="K578" s="1">
        <v>0</v>
      </c>
      <c r="L578" s="1">
        <v>0</v>
      </c>
      <c r="M578" s="1" t="s">
        <v>1873</v>
      </c>
      <c r="N578" s="1" t="s">
        <v>708</v>
      </c>
      <c r="O578" s="1">
        <v>0</v>
      </c>
      <c r="P578" s="1" t="s">
        <v>2050</v>
      </c>
      <c r="Q578" s="7" t="str">
        <f t="shared" si="4"/>
        <v>equipment/3005.png</v>
      </c>
      <c r="R578" s="1">
        <v>0</v>
      </c>
    </row>
    <row r="579" spans="1:18" ht="14.25" thickBot="1">
      <c r="A579" s="1" t="s">
        <v>479</v>
      </c>
      <c r="B579" s="3">
        <v>1</v>
      </c>
      <c r="C579" s="1" t="s">
        <v>2334</v>
      </c>
      <c r="D579" s="1" t="s">
        <v>9</v>
      </c>
      <c r="E579" s="1">
        <v>2</v>
      </c>
      <c r="F579" s="1">
        <v>2</v>
      </c>
      <c r="G579" s="1">
        <v>25</v>
      </c>
      <c r="H579" s="10">
        <v>0</v>
      </c>
      <c r="I579" s="1">
        <v>5000</v>
      </c>
      <c r="J579" s="1">
        <v>10</v>
      </c>
      <c r="K579" s="1">
        <v>0</v>
      </c>
      <c r="L579" s="1">
        <v>0</v>
      </c>
      <c r="M579" s="1" t="s">
        <v>1874</v>
      </c>
      <c r="N579" s="1" t="s">
        <v>708</v>
      </c>
      <c r="O579" s="1">
        <v>0</v>
      </c>
      <c r="P579" s="1" t="s">
        <v>2050</v>
      </c>
      <c r="Q579" s="7" t="str">
        <f t="shared" si="4"/>
        <v>equipment/14004.png</v>
      </c>
      <c r="R579" s="1">
        <v>0</v>
      </c>
    </row>
    <row r="580" spans="1:18" ht="14.25" thickBot="1">
      <c r="A580" s="1" t="s">
        <v>480</v>
      </c>
      <c r="B580" s="3">
        <v>1</v>
      </c>
      <c r="C580" s="1" t="s">
        <v>2533</v>
      </c>
      <c r="D580" s="1" t="s">
        <v>10</v>
      </c>
      <c r="E580" s="1">
        <v>3</v>
      </c>
      <c r="F580" s="1">
        <v>2</v>
      </c>
      <c r="G580" s="1">
        <v>25</v>
      </c>
      <c r="H580" s="10">
        <v>0</v>
      </c>
      <c r="I580" s="1">
        <v>5000</v>
      </c>
      <c r="J580" s="1">
        <v>10</v>
      </c>
      <c r="K580" s="1">
        <v>0</v>
      </c>
      <c r="L580" s="1">
        <v>0</v>
      </c>
      <c r="M580" s="1" t="s">
        <v>1875</v>
      </c>
      <c r="N580" s="1" t="s">
        <v>708</v>
      </c>
      <c r="O580" s="1">
        <v>0</v>
      </c>
      <c r="P580" s="1" t="s">
        <v>2050</v>
      </c>
      <c r="Q580" s="7" t="str">
        <f t="shared" si="4"/>
        <v>equipment/6005.png</v>
      </c>
      <c r="R580" s="1">
        <v>0</v>
      </c>
    </row>
    <row r="581" spans="1:18" ht="14.25" thickBot="1">
      <c r="A581" s="1" t="s">
        <v>481</v>
      </c>
      <c r="B581" s="3">
        <v>1</v>
      </c>
      <c r="C581" s="1" t="s">
        <v>2534</v>
      </c>
      <c r="D581" s="1" t="s">
        <v>15</v>
      </c>
      <c r="E581" s="1">
        <v>8</v>
      </c>
      <c r="F581" s="1">
        <v>2</v>
      </c>
      <c r="G581" s="1">
        <v>25</v>
      </c>
      <c r="H581" s="10">
        <v>0</v>
      </c>
      <c r="I581" s="1">
        <v>5000</v>
      </c>
      <c r="J581" s="1">
        <v>10</v>
      </c>
      <c r="K581" s="1">
        <v>0</v>
      </c>
      <c r="L581" s="1">
        <v>0</v>
      </c>
      <c r="M581" s="1" t="s">
        <v>1860</v>
      </c>
      <c r="N581" s="1" t="s">
        <v>708</v>
      </c>
      <c r="O581" s="1">
        <v>0</v>
      </c>
      <c r="P581" s="1" t="s">
        <v>2050</v>
      </c>
      <c r="Q581" s="7" t="str">
        <f t="shared" si="4"/>
        <v>equipment/8004.png</v>
      </c>
      <c r="R581" s="1">
        <v>0</v>
      </c>
    </row>
    <row r="582" spans="1:18" ht="14.25" thickBot="1">
      <c r="A582" s="1" t="s">
        <v>482</v>
      </c>
      <c r="B582" s="2">
        <v>1</v>
      </c>
      <c r="C582" s="1" t="s">
        <v>2535</v>
      </c>
      <c r="D582" s="1" t="s">
        <v>16</v>
      </c>
      <c r="E582" s="1">
        <v>9</v>
      </c>
      <c r="F582" s="1">
        <v>2</v>
      </c>
      <c r="G582" s="1">
        <v>25</v>
      </c>
      <c r="H582" s="10">
        <v>0</v>
      </c>
      <c r="I582" s="1">
        <v>5000</v>
      </c>
      <c r="J582" s="1">
        <v>10</v>
      </c>
      <c r="K582" s="1">
        <v>0</v>
      </c>
      <c r="L582" s="1">
        <v>0</v>
      </c>
      <c r="M582" s="1" t="s">
        <v>1876</v>
      </c>
      <c r="N582" s="1" t="s">
        <v>708</v>
      </c>
      <c r="O582" s="1">
        <v>0</v>
      </c>
      <c r="P582" s="1" t="s">
        <v>2050</v>
      </c>
      <c r="Q582" s="7" t="str">
        <f t="shared" si="4"/>
        <v>equipment/10003.png</v>
      </c>
      <c r="R582" s="1">
        <v>0</v>
      </c>
    </row>
    <row r="583" spans="1:18" ht="14.25" thickBot="1">
      <c r="A583" s="1" t="s">
        <v>483</v>
      </c>
      <c r="B583" s="3">
        <v>1</v>
      </c>
      <c r="C583" s="1" t="s">
        <v>2077</v>
      </c>
      <c r="D583" s="1" t="s">
        <v>17</v>
      </c>
      <c r="E583" s="1">
        <v>10</v>
      </c>
      <c r="F583" s="1">
        <v>2</v>
      </c>
      <c r="G583" s="1">
        <v>25</v>
      </c>
      <c r="H583" s="10">
        <v>0</v>
      </c>
      <c r="I583" s="1">
        <v>5000</v>
      </c>
      <c r="J583" s="1">
        <v>10</v>
      </c>
      <c r="K583" s="1">
        <v>0</v>
      </c>
      <c r="L583" s="1">
        <v>0</v>
      </c>
      <c r="M583" s="1" t="s">
        <v>1877</v>
      </c>
      <c r="N583" s="1" t="s">
        <v>708</v>
      </c>
      <c r="O583" s="1">
        <v>0</v>
      </c>
      <c r="P583" s="1" t="s">
        <v>2050</v>
      </c>
      <c r="Q583" s="7" t="str">
        <f t="shared" si="4"/>
        <v>equipment/12004.png</v>
      </c>
      <c r="R583" s="1">
        <v>0</v>
      </c>
    </row>
    <row r="584" spans="1:18" ht="14.25" thickBot="1">
      <c r="A584" s="1" t="s">
        <v>484</v>
      </c>
      <c r="B584" s="3">
        <v>1</v>
      </c>
      <c r="C584" s="9" t="s">
        <v>2536</v>
      </c>
      <c r="D584" s="1" t="s">
        <v>12</v>
      </c>
      <c r="E584" s="1">
        <v>5</v>
      </c>
      <c r="F584" s="1">
        <v>2</v>
      </c>
      <c r="G584" s="1">
        <v>25</v>
      </c>
      <c r="H584" s="10" t="s">
        <v>2120</v>
      </c>
      <c r="I584" s="1">
        <v>5000</v>
      </c>
      <c r="J584" s="1">
        <v>10</v>
      </c>
      <c r="K584" s="1">
        <v>0</v>
      </c>
      <c r="L584" s="1">
        <v>0</v>
      </c>
      <c r="M584" s="1" t="s">
        <v>1878</v>
      </c>
      <c r="N584" s="1" t="s">
        <v>709</v>
      </c>
      <c r="O584" s="1">
        <v>0</v>
      </c>
      <c r="P584" s="1" t="s">
        <v>2050</v>
      </c>
      <c r="Q584" s="7" t="str">
        <f t="shared" si="4"/>
        <v>equipment/1110.png</v>
      </c>
      <c r="R584" s="1">
        <v>0</v>
      </c>
    </row>
    <row r="585" spans="1:18" ht="14.25" thickBot="1">
      <c r="A585" s="1" t="s">
        <v>485</v>
      </c>
      <c r="B585" s="3">
        <v>1</v>
      </c>
      <c r="C585" s="9" t="s">
        <v>2537</v>
      </c>
      <c r="D585" s="1" t="s">
        <v>12</v>
      </c>
      <c r="E585" s="1">
        <v>5</v>
      </c>
      <c r="F585" s="1">
        <v>2</v>
      </c>
      <c r="G585" s="1">
        <v>25</v>
      </c>
      <c r="H585" s="10" t="s">
        <v>2120</v>
      </c>
      <c r="I585" s="1">
        <v>5600</v>
      </c>
      <c r="J585" s="1">
        <v>10</v>
      </c>
      <c r="K585" s="1">
        <v>0</v>
      </c>
      <c r="L585" s="1">
        <v>0</v>
      </c>
      <c r="M585" s="1" t="s">
        <v>2016</v>
      </c>
      <c r="N585" s="1" t="s">
        <v>709</v>
      </c>
      <c r="O585" s="1">
        <v>0</v>
      </c>
      <c r="P585" s="1" t="s">
        <v>2050</v>
      </c>
      <c r="Q585" s="7" t="str">
        <f t="shared" si="4"/>
        <v>equipment/1111.png</v>
      </c>
      <c r="R585" s="1">
        <v>0</v>
      </c>
    </row>
    <row r="586" spans="1:18" ht="14.25" thickBot="1">
      <c r="A586" s="1" t="s">
        <v>486</v>
      </c>
      <c r="B586" s="3">
        <v>1</v>
      </c>
      <c r="C586" s="9" t="s">
        <v>2538</v>
      </c>
      <c r="D586" s="1" t="s">
        <v>13</v>
      </c>
      <c r="E586" s="1">
        <v>6</v>
      </c>
      <c r="F586" s="1">
        <v>2</v>
      </c>
      <c r="G586" s="1">
        <v>25</v>
      </c>
      <c r="H586" s="10" t="s">
        <v>2120</v>
      </c>
      <c r="I586" s="1">
        <v>5000</v>
      </c>
      <c r="J586" s="1">
        <v>10</v>
      </c>
      <c r="K586" s="1">
        <v>0</v>
      </c>
      <c r="L586" s="1">
        <v>0</v>
      </c>
      <c r="M586" s="1" t="s">
        <v>1879</v>
      </c>
      <c r="N586" s="1" t="s">
        <v>709</v>
      </c>
      <c r="O586" s="1">
        <v>0</v>
      </c>
      <c r="P586" s="1" t="s">
        <v>2050</v>
      </c>
      <c r="Q586" s="7" t="str">
        <f t="shared" si="4"/>
        <v>equipment/2106.png</v>
      </c>
      <c r="R586" s="1">
        <v>0</v>
      </c>
    </row>
    <row r="587" spans="1:18" ht="14.25" thickBot="1">
      <c r="A587" s="1" t="s">
        <v>487</v>
      </c>
      <c r="B587" s="2">
        <v>0</v>
      </c>
      <c r="C587" s="9" t="s">
        <v>2061</v>
      </c>
      <c r="D587" s="1" t="s">
        <v>13</v>
      </c>
      <c r="E587" s="1">
        <v>6</v>
      </c>
      <c r="F587" s="1">
        <v>2</v>
      </c>
      <c r="G587" s="1">
        <v>25</v>
      </c>
      <c r="H587" s="10" t="s">
        <v>2120</v>
      </c>
      <c r="I587" s="1">
        <v>5600</v>
      </c>
      <c r="J587" s="1">
        <v>10</v>
      </c>
      <c r="K587" s="1">
        <v>0</v>
      </c>
      <c r="L587" s="1">
        <v>0</v>
      </c>
      <c r="M587" s="1" t="s">
        <v>1880</v>
      </c>
      <c r="N587" s="1" t="s">
        <v>709</v>
      </c>
      <c r="O587" s="1">
        <v>0</v>
      </c>
      <c r="P587" s="1" t="s">
        <v>2050</v>
      </c>
      <c r="Q587" s="7" t="str">
        <f t="shared" si="4"/>
        <v>equipment/2101.png</v>
      </c>
      <c r="R587" s="1">
        <v>0</v>
      </c>
    </row>
    <row r="588" spans="1:18" ht="14.25" thickBot="1">
      <c r="A588" s="1" t="s">
        <v>488</v>
      </c>
      <c r="B588" s="3">
        <v>1</v>
      </c>
      <c r="C588" s="1" t="s">
        <v>2108</v>
      </c>
      <c r="D588" s="1" t="s">
        <v>12</v>
      </c>
      <c r="E588" s="1">
        <v>5</v>
      </c>
      <c r="F588" s="1">
        <v>2</v>
      </c>
      <c r="G588" s="1">
        <v>25</v>
      </c>
      <c r="H588" s="10" t="s">
        <v>2121</v>
      </c>
      <c r="I588" s="1">
        <v>5000</v>
      </c>
      <c r="J588" s="1">
        <v>10</v>
      </c>
      <c r="K588" s="1">
        <v>0</v>
      </c>
      <c r="L588" s="1">
        <v>0</v>
      </c>
      <c r="M588" s="1" t="s">
        <v>1878</v>
      </c>
      <c r="N588" s="1" t="s">
        <v>709</v>
      </c>
      <c r="O588" s="1">
        <v>0</v>
      </c>
      <c r="P588" s="1" t="s">
        <v>2050</v>
      </c>
      <c r="Q588" s="7" t="str">
        <f t="shared" si="4"/>
        <v>equipment/1210.png</v>
      </c>
      <c r="R588" s="1">
        <v>0</v>
      </c>
    </row>
    <row r="589" spans="1:18" ht="14.25" thickBot="1">
      <c r="A589" s="1" t="s">
        <v>489</v>
      </c>
      <c r="B589" s="3">
        <v>1</v>
      </c>
      <c r="C589" s="1" t="s">
        <v>2539</v>
      </c>
      <c r="D589" s="1" t="s">
        <v>12</v>
      </c>
      <c r="E589" s="1">
        <v>5</v>
      </c>
      <c r="F589" s="1">
        <v>2</v>
      </c>
      <c r="G589" s="1">
        <v>25</v>
      </c>
      <c r="H589" s="10" t="s">
        <v>2121</v>
      </c>
      <c r="I589" s="1">
        <v>5600</v>
      </c>
      <c r="J589" s="1">
        <v>10</v>
      </c>
      <c r="K589" s="1">
        <v>0</v>
      </c>
      <c r="L589" s="1">
        <v>0</v>
      </c>
      <c r="M589" s="1" t="s">
        <v>2016</v>
      </c>
      <c r="N589" s="1" t="s">
        <v>709</v>
      </c>
      <c r="O589" s="1">
        <v>0</v>
      </c>
      <c r="P589" s="1" t="s">
        <v>2050</v>
      </c>
      <c r="Q589" s="7" t="str">
        <f t="shared" si="4"/>
        <v>equipment/1215.png</v>
      </c>
      <c r="R589" s="1">
        <v>0</v>
      </c>
    </row>
    <row r="590" spans="1:18" ht="14.25" thickBot="1">
      <c r="A590" s="1" t="s">
        <v>490</v>
      </c>
      <c r="B590" s="3">
        <v>1</v>
      </c>
      <c r="C590" s="9" t="s">
        <v>2109</v>
      </c>
      <c r="D590" s="1" t="s">
        <v>13</v>
      </c>
      <c r="E590" s="1">
        <v>6</v>
      </c>
      <c r="F590" s="1">
        <v>2</v>
      </c>
      <c r="G590" s="1">
        <v>25</v>
      </c>
      <c r="H590" s="10" t="s">
        <v>2121</v>
      </c>
      <c r="I590" s="1">
        <v>5000</v>
      </c>
      <c r="J590" s="1">
        <v>10</v>
      </c>
      <c r="K590" s="1">
        <v>0</v>
      </c>
      <c r="L590" s="1">
        <v>0</v>
      </c>
      <c r="M590" s="1" t="s">
        <v>1881</v>
      </c>
      <c r="N590" s="1" t="s">
        <v>709</v>
      </c>
      <c r="O590" s="1">
        <v>0</v>
      </c>
      <c r="P590" s="1" t="s">
        <v>2050</v>
      </c>
      <c r="Q590" s="7" t="str">
        <f t="shared" si="4"/>
        <v>equipment/2206.png</v>
      </c>
      <c r="R590" s="1">
        <v>0</v>
      </c>
    </row>
    <row r="591" spans="1:18" ht="14.25" thickBot="1">
      <c r="A591" s="1" t="s">
        <v>491</v>
      </c>
      <c r="B591" s="2">
        <v>0</v>
      </c>
      <c r="C591" s="9" t="s">
        <v>2094</v>
      </c>
      <c r="D591" s="1" t="s">
        <v>13</v>
      </c>
      <c r="E591" s="1">
        <v>6</v>
      </c>
      <c r="F591" s="1">
        <v>2</v>
      </c>
      <c r="G591" s="1">
        <v>25</v>
      </c>
      <c r="H591" s="10" t="s">
        <v>2121</v>
      </c>
      <c r="I591" s="1">
        <v>5600</v>
      </c>
      <c r="J591" s="1">
        <v>10</v>
      </c>
      <c r="K591" s="1">
        <v>0</v>
      </c>
      <c r="L591" s="1">
        <v>0</v>
      </c>
      <c r="M591" s="1" t="s">
        <v>1882</v>
      </c>
      <c r="N591" s="1" t="s">
        <v>709</v>
      </c>
      <c r="O591" s="1">
        <v>0</v>
      </c>
      <c r="P591" s="1" t="s">
        <v>2050</v>
      </c>
      <c r="Q591" s="7" t="str">
        <f t="shared" si="4"/>
        <v>equipment/2201.png</v>
      </c>
      <c r="R591" s="1">
        <v>0</v>
      </c>
    </row>
    <row r="592" spans="1:18" ht="14.25" thickBot="1">
      <c r="A592" s="1" t="s">
        <v>492</v>
      </c>
      <c r="B592" s="3">
        <v>1</v>
      </c>
      <c r="C592" s="9" t="s">
        <v>2540</v>
      </c>
      <c r="D592" s="1" t="s">
        <v>12</v>
      </c>
      <c r="E592" s="1">
        <v>5</v>
      </c>
      <c r="F592" s="1">
        <v>2</v>
      </c>
      <c r="G592" s="1">
        <v>25</v>
      </c>
      <c r="H592" s="10" t="s">
        <v>2122</v>
      </c>
      <c r="I592" s="1">
        <v>5000</v>
      </c>
      <c r="J592" s="1">
        <v>10</v>
      </c>
      <c r="K592" s="1">
        <v>0</v>
      </c>
      <c r="L592" s="1">
        <v>0</v>
      </c>
      <c r="M592" s="1" t="s">
        <v>1878</v>
      </c>
      <c r="N592" s="1" t="s">
        <v>709</v>
      </c>
      <c r="O592" s="1">
        <v>0</v>
      </c>
      <c r="P592" s="1" t="s">
        <v>2050</v>
      </c>
      <c r="Q592" s="7" t="str">
        <f t="shared" si="4"/>
        <v>equipment/1311.png</v>
      </c>
      <c r="R592" s="1">
        <v>0</v>
      </c>
    </row>
    <row r="593" spans="1:18" ht="14.25" thickBot="1">
      <c r="A593" s="1" t="s">
        <v>493</v>
      </c>
      <c r="B593" s="2">
        <v>0</v>
      </c>
      <c r="C593" s="9" t="s">
        <v>2541</v>
      </c>
      <c r="D593" s="1" t="s">
        <v>12</v>
      </c>
      <c r="E593" s="1">
        <v>5</v>
      </c>
      <c r="F593" s="1">
        <v>2</v>
      </c>
      <c r="G593" s="1">
        <v>25</v>
      </c>
      <c r="H593" s="10" t="s">
        <v>2122</v>
      </c>
      <c r="I593" s="1">
        <v>5600</v>
      </c>
      <c r="J593" s="1">
        <v>10</v>
      </c>
      <c r="K593" s="1">
        <v>0</v>
      </c>
      <c r="L593" s="1">
        <v>0</v>
      </c>
      <c r="M593" s="1" t="s">
        <v>2016</v>
      </c>
      <c r="N593" s="1" t="s">
        <v>709</v>
      </c>
      <c r="O593" s="1">
        <v>0</v>
      </c>
      <c r="P593" s="1" t="s">
        <v>2050</v>
      </c>
      <c r="Q593" s="7" t="str">
        <f t="shared" si="4"/>
        <v>equipment/1312.png</v>
      </c>
      <c r="R593" s="1">
        <v>0</v>
      </c>
    </row>
    <row r="594" spans="1:18" ht="14.25" thickBot="1">
      <c r="A594" s="1" t="s">
        <v>494</v>
      </c>
      <c r="B594" s="3">
        <v>1</v>
      </c>
      <c r="C594" s="9" t="s">
        <v>2542</v>
      </c>
      <c r="D594" s="1" t="s">
        <v>13</v>
      </c>
      <c r="E594" s="1">
        <v>6</v>
      </c>
      <c r="F594" s="1">
        <v>2</v>
      </c>
      <c r="G594" s="1">
        <v>25</v>
      </c>
      <c r="H594" s="10" t="s">
        <v>2122</v>
      </c>
      <c r="I594" s="1">
        <v>5000</v>
      </c>
      <c r="J594" s="1">
        <v>10</v>
      </c>
      <c r="K594" s="1">
        <v>0</v>
      </c>
      <c r="L594" s="1">
        <v>0</v>
      </c>
      <c r="M594" s="1" t="s">
        <v>1883</v>
      </c>
      <c r="N594" s="1" t="s">
        <v>709</v>
      </c>
      <c r="O594" s="1">
        <v>0</v>
      </c>
      <c r="P594" s="1" t="s">
        <v>2050</v>
      </c>
      <c r="Q594" s="7" t="str">
        <f t="shared" si="4"/>
        <v>equipment/2306.png</v>
      </c>
      <c r="R594" s="1">
        <v>0</v>
      </c>
    </row>
    <row r="595" spans="1:18" ht="14.25" thickBot="1">
      <c r="A595" s="1" t="s">
        <v>495</v>
      </c>
      <c r="B595" s="2">
        <v>0</v>
      </c>
      <c r="C595" s="9" t="s">
        <v>2095</v>
      </c>
      <c r="D595" s="1" t="s">
        <v>13</v>
      </c>
      <c r="E595" s="1">
        <v>6</v>
      </c>
      <c r="F595" s="1">
        <v>2</v>
      </c>
      <c r="G595" s="1">
        <v>25</v>
      </c>
      <c r="H595" s="10" t="s">
        <v>2122</v>
      </c>
      <c r="I595" s="1">
        <v>5600</v>
      </c>
      <c r="J595" s="1">
        <v>10</v>
      </c>
      <c r="K595" s="1">
        <v>0</v>
      </c>
      <c r="L595" s="1">
        <v>0</v>
      </c>
      <c r="M595" s="1" t="s">
        <v>1884</v>
      </c>
      <c r="N595" s="1" t="s">
        <v>709</v>
      </c>
      <c r="O595" s="1">
        <v>0</v>
      </c>
      <c r="P595" s="1" t="s">
        <v>2050</v>
      </c>
      <c r="Q595" s="7" t="str">
        <f t="shared" si="4"/>
        <v>equipment/2301.png</v>
      </c>
      <c r="R595" s="1">
        <v>0</v>
      </c>
    </row>
    <row r="596" spans="1:18" ht="14.25" thickBot="1">
      <c r="A596" s="1" t="s">
        <v>496</v>
      </c>
      <c r="B596" s="3">
        <v>1</v>
      </c>
      <c r="C596" s="1" t="s">
        <v>2083</v>
      </c>
      <c r="D596" s="1" t="s">
        <v>11</v>
      </c>
      <c r="E596" s="1">
        <v>4</v>
      </c>
      <c r="F596" s="1">
        <v>2</v>
      </c>
      <c r="G596" s="1">
        <v>25</v>
      </c>
      <c r="H596" s="10">
        <v>0</v>
      </c>
      <c r="I596" s="1">
        <v>5000</v>
      </c>
      <c r="J596" s="1">
        <v>10</v>
      </c>
      <c r="K596" s="1">
        <v>0</v>
      </c>
      <c r="L596" s="1">
        <v>0</v>
      </c>
      <c r="M596" s="1" t="s">
        <v>1885</v>
      </c>
      <c r="N596" s="1" t="s">
        <v>708</v>
      </c>
      <c r="O596" s="1">
        <v>0</v>
      </c>
      <c r="P596" s="1" t="s">
        <v>2050</v>
      </c>
      <c r="Q596" s="7" t="str">
        <f t="shared" si="4"/>
        <v>equipment/5007.png</v>
      </c>
      <c r="R596" s="1">
        <v>0</v>
      </c>
    </row>
    <row r="597" spans="1:18" ht="14.25" thickBot="1">
      <c r="A597" s="1" t="s">
        <v>497</v>
      </c>
      <c r="B597" s="2">
        <v>0</v>
      </c>
      <c r="C597" s="1" t="s">
        <v>2499</v>
      </c>
      <c r="D597" s="1" t="s">
        <v>11</v>
      </c>
      <c r="E597" s="1">
        <v>4</v>
      </c>
      <c r="F597" s="1">
        <v>2</v>
      </c>
      <c r="G597" s="1">
        <v>25</v>
      </c>
      <c r="H597" s="10">
        <v>0</v>
      </c>
      <c r="I597" s="1">
        <v>5600</v>
      </c>
      <c r="J597" s="1">
        <v>10</v>
      </c>
      <c r="K597" s="1">
        <v>0</v>
      </c>
      <c r="L597" s="1">
        <v>0</v>
      </c>
      <c r="M597" s="1" t="s">
        <v>1886</v>
      </c>
      <c r="N597" s="1" t="s">
        <v>708</v>
      </c>
      <c r="O597" s="1">
        <v>0</v>
      </c>
      <c r="P597" s="1" t="s">
        <v>2050</v>
      </c>
      <c r="Q597" s="7" t="str">
        <f t="shared" ref="Q597:Q660" si="5">Q135</f>
        <v>equipment/5001.png</v>
      </c>
      <c r="R597" s="1">
        <v>0</v>
      </c>
    </row>
    <row r="598" spans="1:18" ht="14.25" thickBot="1">
      <c r="A598" s="1" t="s">
        <v>498</v>
      </c>
      <c r="B598" s="3">
        <v>1</v>
      </c>
      <c r="C598" s="1" t="s">
        <v>2089</v>
      </c>
      <c r="D598" s="1" t="s">
        <v>14</v>
      </c>
      <c r="E598" s="1">
        <v>7</v>
      </c>
      <c r="F598" s="1">
        <v>2</v>
      </c>
      <c r="G598" s="1">
        <v>25</v>
      </c>
      <c r="H598" s="10">
        <v>0</v>
      </c>
      <c r="I598" s="1">
        <v>5000</v>
      </c>
      <c r="J598" s="1">
        <v>10</v>
      </c>
      <c r="K598" s="1">
        <v>0</v>
      </c>
      <c r="L598" s="1">
        <v>0</v>
      </c>
      <c r="M598" s="1" t="s">
        <v>1887</v>
      </c>
      <c r="N598" s="1" t="s">
        <v>708</v>
      </c>
      <c r="O598" s="1">
        <v>0</v>
      </c>
      <c r="P598" s="1" t="s">
        <v>2050</v>
      </c>
      <c r="Q598" s="7" t="str">
        <f t="shared" si="5"/>
        <v>equipment/7006.png</v>
      </c>
      <c r="R598" s="1">
        <v>0</v>
      </c>
    </row>
    <row r="599" spans="1:18" ht="14.25" thickBot="1">
      <c r="A599" s="1" t="s">
        <v>499</v>
      </c>
      <c r="B599" s="2">
        <v>0</v>
      </c>
      <c r="C599" s="1" t="s">
        <v>2501</v>
      </c>
      <c r="D599" s="1" t="s">
        <v>14</v>
      </c>
      <c r="E599" s="1">
        <v>7</v>
      </c>
      <c r="F599" s="1">
        <v>2</v>
      </c>
      <c r="G599" s="1">
        <v>25</v>
      </c>
      <c r="H599" s="10">
        <v>0</v>
      </c>
      <c r="I599" s="1">
        <v>5600</v>
      </c>
      <c r="J599" s="1">
        <v>10</v>
      </c>
      <c r="K599" s="1">
        <v>0</v>
      </c>
      <c r="L599" s="1">
        <v>0</v>
      </c>
      <c r="M599" s="1" t="s">
        <v>1888</v>
      </c>
      <c r="N599" s="1" t="s">
        <v>708</v>
      </c>
      <c r="O599" s="1">
        <v>0</v>
      </c>
      <c r="P599" s="1" t="s">
        <v>2050</v>
      </c>
      <c r="Q599" s="7" t="str">
        <f t="shared" si="5"/>
        <v>equipment/7001.png</v>
      </c>
      <c r="R599" s="1">
        <v>0</v>
      </c>
    </row>
    <row r="600" spans="1:18" ht="14.25" thickBot="1">
      <c r="A600" s="1" t="s">
        <v>500</v>
      </c>
      <c r="B600" s="3">
        <v>1</v>
      </c>
      <c r="C600" s="1" t="s">
        <v>2063</v>
      </c>
      <c r="D600" s="1" t="s">
        <v>8</v>
      </c>
      <c r="E600" s="1">
        <v>1</v>
      </c>
      <c r="F600" s="1">
        <v>2</v>
      </c>
      <c r="G600" s="1">
        <v>30</v>
      </c>
      <c r="H600" s="10">
        <v>0</v>
      </c>
      <c r="I600" s="1">
        <v>6000</v>
      </c>
      <c r="J600" s="1">
        <v>10</v>
      </c>
      <c r="K600" s="1">
        <v>0</v>
      </c>
      <c r="L600" s="1">
        <v>0</v>
      </c>
      <c r="M600" s="1" t="s">
        <v>1889</v>
      </c>
      <c r="N600" s="1" t="s">
        <v>710</v>
      </c>
      <c r="O600" s="1">
        <v>0</v>
      </c>
      <c r="P600" s="1" t="s">
        <v>2051</v>
      </c>
      <c r="Q600" s="7" t="str">
        <f t="shared" si="5"/>
        <v>equipment/3004.png</v>
      </c>
      <c r="R600" s="1">
        <v>0</v>
      </c>
    </row>
    <row r="601" spans="1:18" ht="14.25" thickBot="1">
      <c r="A601" s="1" t="s">
        <v>501</v>
      </c>
      <c r="B601" s="3">
        <v>1</v>
      </c>
      <c r="C601" s="1" t="s">
        <v>2543</v>
      </c>
      <c r="D601" s="1" t="s">
        <v>9</v>
      </c>
      <c r="E601" s="1">
        <v>2</v>
      </c>
      <c r="F601" s="1">
        <v>2</v>
      </c>
      <c r="G601" s="1">
        <v>30</v>
      </c>
      <c r="H601" s="10">
        <v>0</v>
      </c>
      <c r="I601" s="1">
        <v>6000</v>
      </c>
      <c r="J601" s="1">
        <v>10</v>
      </c>
      <c r="K601" s="1">
        <v>0</v>
      </c>
      <c r="L601" s="1">
        <v>0</v>
      </c>
      <c r="M601" s="1" t="s">
        <v>1890</v>
      </c>
      <c r="N601" s="1" t="s">
        <v>710</v>
      </c>
      <c r="O601" s="1">
        <v>0</v>
      </c>
      <c r="P601" s="1" t="s">
        <v>2051</v>
      </c>
      <c r="Q601" s="7" t="str">
        <f t="shared" si="5"/>
        <v>equipment/14005.png</v>
      </c>
      <c r="R601" s="1">
        <v>0</v>
      </c>
    </row>
    <row r="602" spans="1:18" ht="14.25" thickBot="1">
      <c r="A602" s="1" t="s">
        <v>502</v>
      </c>
      <c r="B602" s="2">
        <v>1</v>
      </c>
      <c r="C602" s="1" t="s">
        <v>2544</v>
      </c>
      <c r="D602" s="1" t="s">
        <v>10</v>
      </c>
      <c r="E602" s="1">
        <v>3</v>
      </c>
      <c r="F602" s="1">
        <v>2</v>
      </c>
      <c r="G602" s="1">
        <v>30</v>
      </c>
      <c r="H602" s="10">
        <v>0</v>
      </c>
      <c r="I602" s="1">
        <v>6000</v>
      </c>
      <c r="J602" s="1">
        <v>10</v>
      </c>
      <c r="K602" s="1">
        <v>0</v>
      </c>
      <c r="L602" s="1">
        <v>0</v>
      </c>
      <c r="M602" s="1" t="s">
        <v>2473</v>
      </c>
      <c r="N602" s="1" t="s">
        <v>710</v>
      </c>
      <c r="O602" s="1">
        <v>0</v>
      </c>
      <c r="P602" s="1" t="s">
        <v>2051</v>
      </c>
      <c r="Q602" s="7" t="str">
        <f t="shared" si="5"/>
        <v>equipment/6002.png</v>
      </c>
      <c r="R602" s="1">
        <v>0</v>
      </c>
    </row>
    <row r="603" spans="1:18" ht="14.25" thickBot="1">
      <c r="A603" s="1" t="s">
        <v>503</v>
      </c>
      <c r="B603" s="3">
        <v>1</v>
      </c>
      <c r="C603" s="1" t="s">
        <v>2069</v>
      </c>
      <c r="D603" s="1" t="s">
        <v>15</v>
      </c>
      <c r="E603" s="1">
        <v>8</v>
      </c>
      <c r="F603" s="1">
        <v>2</v>
      </c>
      <c r="G603" s="1">
        <v>30</v>
      </c>
      <c r="H603" s="10">
        <v>0</v>
      </c>
      <c r="I603" s="1">
        <v>6000</v>
      </c>
      <c r="J603" s="1">
        <v>10</v>
      </c>
      <c r="K603" s="1">
        <v>0</v>
      </c>
      <c r="L603" s="1">
        <v>0</v>
      </c>
      <c r="M603" s="1" t="s">
        <v>1891</v>
      </c>
      <c r="N603" s="1" t="s">
        <v>710</v>
      </c>
      <c r="O603" s="1">
        <v>0</v>
      </c>
      <c r="P603" s="1" t="s">
        <v>2051</v>
      </c>
      <c r="Q603" s="7" t="str">
        <f t="shared" si="5"/>
        <v>equipment/8005.png</v>
      </c>
      <c r="R603" s="1">
        <v>0</v>
      </c>
    </row>
    <row r="604" spans="1:18" ht="14.25" thickBot="1">
      <c r="A604" s="1" t="s">
        <v>504</v>
      </c>
      <c r="B604" s="3">
        <v>1</v>
      </c>
      <c r="C604" s="1" t="s">
        <v>2073</v>
      </c>
      <c r="D604" s="1" t="s">
        <v>16</v>
      </c>
      <c r="E604" s="1">
        <v>9</v>
      </c>
      <c r="F604" s="1">
        <v>2</v>
      </c>
      <c r="G604" s="1">
        <v>30</v>
      </c>
      <c r="H604" s="10">
        <v>0</v>
      </c>
      <c r="I604" s="1">
        <v>6000</v>
      </c>
      <c r="J604" s="1">
        <v>10</v>
      </c>
      <c r="K604" s="1">
        <v>0</v>
      </c>
      <c r="L604" s="1">
        <v>0</v>
      </c>
      <c r="M604" s="1" t="s">
        <v>1892</v>
      </c>
      <c r="N604" s="1" t="s">
        <v>710</v>
      </c>
      <c r="O604" s="1">
        <v>0</v>
      </c>
      <c r="P604" s="1" t="s">
        <v>2051</v>
      </c>
      <c r="Q604" s="7" t="str">
        <f t="shared" si="5"/>
        <v>equipment/10005.png</v>
      </c>
      <c r="R604" s="1">
        <v>0</v>
      </c>
    </row>
    <row r="605" spans="1:18" ht="14.25" thickBot="1">
      <c r="A605" s="1" t="s">
        <v>505</v>
      </c>
      <c r="B605" s="3">
        <v>1</v>
      </c>
      <c r="C605" s="1" t="s">
        <v>2078</v>
      </c>
      <c r="D605" s="1" t="s">
        <v>17</v>
      </c>
      <c r="E605" s="1">
        <v>10</v>
      </c>
      <c r="F605" s="1">
        <v>2</v>
      </c>
      <c r="G605" s="1">
        <v>30</v>
      </c>
      <c r="H605" s="10">
        <v>0</v>
      </c>
      <c r="I605" s="1">
        <v>6000</v>
      </c>
      <c r="J605" s="1">
        <v>10</v>
      </c>
      <c r="K605" s="1">
        <v>0</v>
      </c>
      <c r="L605" s="1">
        <v>0</v>
      </c>
      <c r="M605" s="1" t="s">
        <v>1893</v>
      </c>
      <c r="N605" s="1" t="s">
        <v>710</v>
      </c>
      <c r="O605" s="1">
        <v>0</v>
      </c>
      <c r="P605" s="1" t="s">
        <v>2051</v>
      </c>
      <c r="Q605" s="7" t="str">
        <f t="shared" si="5"/>
        <v>equipment/12005.png</v>
      </c>
      <c r="R605" s="1">
        <v>0</v>
      </c>
    </row>
    <row r="606" spans="1:18" ht="14.25" thickBot="1">
      <c r="A606" s="1" t="s">
        <v>506</v>
      </c>
      <c r="B606" s="3">
        <v>1</v>
      </c>
      <c r="C606" s="9" t="s">
        <v>2545</v>
      </c>
      <c r="D606" s="1" t="s">
        <v>12</v>
      </c>
      <c r="E606" s="1">
        <v>5</v>
      </c>
      <c r="F606" s="1">
        <v>2</v>
      </c>
      <c r="G606" s="1">
        <v>30</v>
      </c>
      <c r="H606" s="10" t="s">
        <v>2120</v>
      </c>
      <c r="I606" s="1">
        <v>6000</v>
      </c>
      <c r="J606" s="1">
        <v>10</v>
      </c>
      <c r="K606" s="1">
        <v>0</v>
      </c>
      <c r="L606" s="1">
        <v>0</v>
      </c>
      <c r="M606" s="1" t="s">
        <v>1894</v>
      </c>
      <c r="N606" s="1" t="s">
        <v>711</v>
      </c>
      <c r="O606" s="1">
        <v>0</v>
      </c>
      <c r="P606" s="1" t="s">
        <v>2051</v>
      </c>
      <c r="Q606" s="7" t="str">
        <f t="shared" si="5"/>
        <v>equipment/1112.png</v>
      </c>
      <c r="R606" s="1">
        <v>0</v>
      </c>
    </row>
    <row r="607" spans="1:18" ht="14.25" thickBot="1">
      <c r="A607" s="1" t="s">
        <v>507</v>
      </c>
      <c r="B607" s="3">
        <v>1</v>
      </c>
      <c r="C607" s="9" t="s">
        <v>2110</v>
      </c>
      <c r="D607" s="1" t="s">
        <v>12</v>
      </c>
      <c r="E607" s="1">
        <v>5</v>
      </c>
      <c r="F607" s="1">
        <v>2</v>
      </c>
      <c r="G607" s="1">
        <v>30</v>
      </c>
      <c r="H607" s="10" t="s">
        <v>2120</v>
      </c>
      <c r="I607" s="1">
        <v>6600</v>
      </c>
      <c r="J607" s="1">
        <v>10</v>
      </c>
      <c r="K607" s="1">
        <v>0</v>
      </c>
      <c r="L607" s="1">
        <v>0</v>
      </c>
      <c r="M607" s="1" t="s">
        <v>2017</v>
      </c>
      <c r="N607" s="1" t="s">
        <v>711</v>
      </c>
      <c r="O607" s="1">
        <v>0</v>
      </c>
      <c r="P607" s="1" t="s">
        <v>2051</v>
      </c>
      <c r="Q607" s="7" t="str">
        <f t="shared" si="5"/>
        <v>equipment/1113.png</v>
      </c>
      <c r="R607" s="1">
        <v>0</v>
      </c>
    </row>
    <row r="608" spans="1:18" ht="14.25" thickBot="1">
      <c r="A608" s="1" t="s">
        <v>508</v>
      </c>
      <c r="B608" s="3">
        <v>1</v>
      </c>
      <c r="C608" s="9" t="s">
        <v>2111</v>
      </c>
      <c r="D608" s="1" t="s">
        <v>13</v>
      </c>
      <c r="E608" s="1">
        <v>6</v>
      </c>
      <c r="F608" s="1">
        <v>2</v>
      </c>
      <c r="G608" s="1">
        <v>30</v>
      </c>
      <c r="H608" s="10" t="s">
        <v>2120</v>
      </c>
      <c r="I608" s="1">
        <v>6000</v>
      </c>
      <c r="J608" s="1">
        <v>10</v>
      </c>
      <c r="K608" s="1">
        <v>0</v>
      </c>
      <c r="L608" s="1">
        <v>0</v>
      </c>
      <c r="M608" s="1" t="s">
        <v>1895</v>
      </c>
      <c r="N608" s="1" t="s">
        <v>711</v>
      </c>
      <c r="O608" s="1">
        <v>0</v>
      </c>
      <c r="P608" s="1" t="s">
        <v>2051</v>
      </c>
      <c r="Q608" s="7" t="str">
        <f t="shared" si="5"/>
        <v>equipment/2107.png</v>
      </c>
      <c r="R608" s="1">
        <v>0</v>
      </c>
    </row>
    <row r="609" spans="1:18" ht="14.25" thickBot="1">
      <c r="A609" s="1" t="s">
        <v>509</v>
      </c>
      <c r="B609" s="2">
        <v>0</v>
      </c>
      <c r="C609" s="9" t="s">
        <v>2112</v>
      </c>
      <c r="D609" s="1" t="s">
        <v>13</v>
      </c>
      <c r="E609" s="1">
        <v>6</v>
      </c>
      <c r="F609" s="1">
        <v>2</v>
      </c>
      <c r="G609" s="1">
        <v>30</v>
      </c>
      <c r="H609" s="10" t="s">
        <v>2120</v>
      </c>
      <c r="I609" s="1">
        <v>6600</v>
      </c>
      <c r="J609" s="1">
        <v>10</v>
      </c>
      <c r="K609" s="1">
        <v>0</v>
      </c>
      <c r="L609" s="1">
        <v>0</v>
      </c>
      <c r="M609" s="1" t="s">
        <v>1896</v>
      </c>
      <c r="N609" s="1" t="s">
        <v>711</v>
      </c>
      <c r="O609" s="1">
        <v>0</v>
      </c>
      <c r="P609" s="1" t="s">
        <v>2051</v>
      </c>
      <c r="Q609" s="7" t="str">
        <f t="shared" si="5"/>
        <v>equipment/2108.png</v>
      </c>
      <c r="R609" s="1">
        <v>0</v>
      </c>
    </row>
    <row r="610" spans="1:18" ht="14.25" thickBot="1">
      <c r="A610" s="1" t="s">
        <v>510</v>
      </c>
      <c r="B610" s="3">
        <v>1</v>
      </c>
      <c r="C610" s="1" t="s">
        <v>2114</v>
      </c>
      <c r="D610" s="1" t="s">
        <v>12</v>
      </c>
      <c r="E610" s="1">
        <v>5</v>
      </c>
      <c r="F610" s="1">
        <v>2</v>
      </c>
      <c r="G610" s="1">
        <v>30</v>
      </c>
      <c r="H610" s="10" t="s">
        <v>2121</v>
      </c>
      <c r="I610" s="1">
        <v>6000</v>
      </c>
      <c r="J610" s="1">
        <v>10</v>
      </c>
      <c r="K610" s="1">
        <v>0</v>
      </c>
      <c r="L610" s="1">
        <v>0</v>
      </c>
      <c r="M610" s="1" t="s">
        <v>1894</v>
      </c>
      <c r="N610" s="1" t="s">
        <v>711</v>
      </c>
      <c r="O610" s="1">
        <v>0</v>
      </c>
      <c r="P610" s="1" t="s">
        <v>2051</v>
      </c>
      <c r="Q610" s="7" t="str">
        <f t="shared" si="5"/>
        <v>equipment/1211.png</v>
      </c>
      <c r="R610" s="1">
        <v>0</v>
      </c>
    </row>
    <row r="611" spans="1:18" ht="14.25" thickBot="1">
      <c r="A611" s="1" t="s">
        <v>511</v>
      </c>
      <c r="B611" s="3">
        <v>1</v>
      </c>
      <c r="C611" s="1" t="s">
        <v>2113</v>
      </c>
      <c r="D611" s="1" t="s">
        <v>12</v>
      </c>
      <c r="E611" s="1">
        <v>5</v>
      </c>
      <c r="F611" s="1">
        <v>2</v>
      </c>
      <c r="G611" s="1">
        <v>30</v>
      </c>
      <c r="H611" s="10" t="s">
        <v>2121</v>
      </c>
      <c r="I611" s="1">
        <v>6600</v>
      </c>
      <c r="J611" s="1">
        <v>10</v>
      </c>
      <c r="K611" s="1">
        <v>0</v>
      </c>
      <c r="L611" s="1">
        <v>0</v>
      </c>
      <c r="M611" s="1" t="s">
        <v>2017</v>
      </c>
      <c r="N611" s="1" t="s">
        <v>711</v>
      </c>
      <c r="O611" s="1">
        <v>0</v>
      </c>
      <c r="P611" s="1" t="s">
        <v>2051</v>
      </c>
      <c r="Q611" s="7" t="str">
        <f t="shared" si="5"/>
        <v>equipment/1212.png</v>
      </c>
      <c r="R611" s="1">
        <v>0</v>
      </c>
    </row>
    <row r="612" spans="1:18" ht="14.25" thickBot="1">
      <c r="A612" s="1" t="s">
        <v>512</v>
      </c>
      <c r="B612" s="3">
        <v>1</v>
      </c>
      <c r="C612" s="9" t="s">
        <v>2115</v>
      </c>
      <c r="D612" s="1" t="s">
        <v>13</v>
      </c>
      <c r="E612" s="1">
        <v>6</v>
      </c>
      <c r="F612" s="1">
        <v>2</v>
      </c>
      <c r="G612" s="1">
        <v>30</v>
      </c>
      <c r="H612" s="10" t="s">
        <v>2121</v>
      </c>
      <c r="I612" s="1">
        <v>6000</v>
      </c>
      <c r="J612" s="1">
        <v>10</v>
      </c>
      <c r="K612" s="1">
        <v>0</v>
      </c>
      <c r="L612" s="1">
        <v>0</v>
      </c>
      <c r="M612" s="1" t="s">
        <v>1897</v>
      </c>
      <c r="N612" s="1" t="s">
        <v>711</v>
      </c>
      <c r="O612" s="1">
        <v>0</v>
      </c>
      <c r="P612" s="1" t="s">
        <v>2051</v>
      </c>
      <c r="Q612" s="7" t="str">
        <f t="shared" si="5"/>
        <v>equipment/2207.png</v>
      </c>
      <c r="R612" s="1">
        <v>0</v>
      </c>
    </row>
    <row r="613" spans="1:18" ht="14.25" thickBot="1">
      <c r="A613" s="1" t="s">
        <v>513</v>
      </c>
      <c r="B613" s="2">
        <v>0</v>
      </c>
      <c r="C613" s="9" t="s">
        <v>2116</v>
      </c>
      <c r="D613" s="1" t="s">
        <v>13</v>
      </c>
      <c r="E613" s="1">
        <v>6</v>
      </c>
      <c r="F613" s="1">
        <v>2</v>
      </c>
      <c r="G613" s="1">
        <v>30</v>
      </c>
      <c r="H613" s="10" t="s">
        <v>2121</v>
      </c>
      <c r="I613" s="1">
        <v>6600</v>
      </c>
      <c r="J613" s="1">
        <v>10</v>
      </c>
      <c r="K613" s="1">
        <v>0</v>
      </c>
      <c r="L613" s="1">
        <v>0</v>
      </c>
      <c r="M613" s="1" t="s">
        <v>1898</v>
      </c>
      <c r="N613" s="1" t="s">
        <v>711</v>
      </c>
      <c r="O613" s="1">
        <v>0</v>
      </c>
      <c r="P613" s="1" t="s">
        <v>2051</v>
      </c>
      <c r="Q613" s="7" t="str">
        <f t="shared" si="5"/>
        <v>equipment/2208.png</v>
      </c>
      <c r="R613" s="1">
        <v>0</v>
      </c>
    </row>
    <row r="614" spans="1:18" ht="14.25" thickBot="1">
      <c r="A614" s="1" t="s">
        <v>514</v>
      </c>
      <c r="B614" s="3">
        <v>1</v>
      </c>
      <c r="C614" s="9" t="s">
        <v>2541</v>
      </c>
      <c r="D614" s="1" t="s">
        <v>12</v>
      </c>
      <c r="E614" s="1">
        <v>5</v>
      </c>
      <c r="F614" s="1">
        <v>2</v>
      </c>
      <c r="G614" s="1">
        <v>30</v>
      </c>
      <c r="H614" s="10" t="s">
        <v>2122</v>
      </c>
      <c r="I614" s="1">
        <v>6000</v>
      </c>
      <c r="J614" s="1">
        <v>10</v>
      </c>
      <c r="K614" s="1">
        <v>0</v>
      </c>
      <c r="L614" s="1">
        <v>0</v>
      </c>
      <c r="M614" s="1" t="s">
        <v>1894</v>
      </c>
      <c r="N614" s="1" t="s">
        <v>711</v>
      </c>
      <c r="O614" s="1">
        <v>0</v>
      </c>
      <c r="P614" s="1" t="s">
        <v>2051</v>
      </c>
      <c r="Q614" s="7" t="str">
        <f t="shared" si="5"/>
        <v>equipment/1312.png</v>
      </c>
      <c r="R614" s="1">
        <v>0</v>
      </c>
    </row>
    <row r="615" spans="1:18" ht="14.25" thickBot="1">
      <c r="A615" s="1" t="s">
        <v>515</v>
      </c>
      <c r="B615" s="3">
        <v>1</v>
      </c>
      <c r="C615" s="9" t="s">
        <v>2546</v>
      </c>
      <c r="D615" s="1" t="s">
        <v>12</v>
      </c>
      <c r="E615" s="1">
        <v>5</v>
      </c>
      <c r="F615" s="1">
        <v>2</v>
      </c>
      <c r="G615" s="1">
        <v>30</v>
      </c>
      <c r="H615" s="10" t="s">
        <v>2122</v>
      </c>
      <c r="I615" s="1">
        <v>6600</v>
      </c>
      <c r="J615" s="1">
        <v>10</v>
      </c>
      <c r="K615" s="1">
        <v>0</v>
      </c>
      <c r="L615" s="1">
        <v>0</v>
      </c>
      <c r="M615" s="1" t="s">
        <v>2017</v>
      </c>
      <c r="N615" s="1" t="s">
        <v>711</v>
      </c>
      <c r="O615" s="1">
        <v>0</v>
      </c>
      <c r="P615" s="1" t="s">
        <v>2051</v>
      </c>
      <c r="Q615" s="7" t="str">
        <f t="shared" si="5"/>
        <v>equipment/1313.png</v>
      </c>
      <c r="R615" s="1">
        <v>0</v>
      </c>
    </row>
    <row r="616" spans="1:18" ht="14.25" thickBot="1">
      <c r="A616" s="1" t="s">
        <v>516</v>
      </c>
      <c r="B616" s="3">
        <v>1</v>
      </c>
      <c r="C616" s="9" t="s">
        <v>2547</v>
      </c>
      <c r="D616" s="1" t="s">
        <v>13</v>
      </c>
      <c r="E616" s="1">
        <v>6</v>
      </c>
      <c r="F616" s="1">
        <v>2</v>
      </c>
      <c r="G616" s="1">
        <v>30</v>
      </c>
      <c r="H616" s="10" t="s">
        <v>2122</v>
      </c>
      <c r="I616" s="1">
        <v>6000</v>
      </c>
      <c r="J616" s="1">
        <v>10</v>
      </c>
      <c r="K616" s="1">
        <v>0</v>
      </c>
      <c r="L616" s="1">
        <v>0</v>
      </c>
      <c r="M616" s="1" t="s">
        <v>1899</v>
      </c>
      <c r="N616" s="1" t="s">
        <v>711</v>
      </c>
      <c r="O616" s="1">
        <v>0</v>
      </c>
      <c r="P616" s="1" t="s">
        <v>2051</v>
      </c>
      <c r="Q616" s="7" t="str">
        <f t="shared" si="5"/>
        <v>equipment/2307.png</v>
      </c>
      <c r="R616" s="1">
        <v>0</v>
      </c>
    </row>
    <row r="617" spans="1:18" ht="14.25" thickBot="1">
      <c r="A617" s="1" t="s">
        <v>517</v>
      </c>
      <c r="B617" s="2">
        <v>0</v>
      </c>
      <c r="C617" s="9" t="s">
        <v>2548</v>
      </c>
      <c r="D617" s="1" t="s">
        <v>13</v>
      </c>
      <c r="E617" s="1">
        <v>6</v>
      </c>
      <c r="F617" s="1">
        <v>2</v>
      </c>
      <c r="G617" s="1">
        <v>30</v>
      </c>
      <c r="H617" s="10" t="s">
        <v>2122</v>
      </c>
      <c r="I617" s="1">
        <v>6600</v>
      </c>
      <c r="J617" s="1">
        <v>10</v>
      </c>
      <c r="K617" s="1">
        <v>0</v>
      </c>
      <c r="L617" s="1">
        <v>0</v>
      </c>
      <c r="M617" s="1" t="s">
        <v>1900</v>
      </c>
      <c r="N617" s="1" t="s">
        <v>711</v>
      </c>
      <c r="O617" s="1">
        <v>0</v>
      </c>
      <c r="P617" s="1" t="s">
        <v>2051</v>
      </c>
      <c r="Q617" s="7" t="str">
        <f t="shared" si="5"/>
        <v>equipment/2308.png</v>
      </c>
      <c r="R617" s="1">
        <v>0</v>
      </c>
    </row>
    <row r="618" spans="1:18" ht="14.25" thickBot="1">
      <c r="A618" s="1" t="s">
        <v>518</v>
      </c>
      <c r="B618" s="3">
        <v>1</v>
      </c>
      <c r="C618" s="1" t="s">
        <v>2084</v>
      </c>
      <c r="D618" s="1" t="s">
        <v>11</v>
      </c>
      <c r="E618" s="1">
        <v>4</v>
      </c>
      <c r="F618" s="1">
        <v>2</v>
      </c>
      <c r="G618" s="1">
        <v>30</v>
      </c>
      <c r="H618" s="10">
        <v>0</v>
      </c>
      <c r="I618" s="1">
        <v>6000</v>
      </c>
      <c r="J618" s="1">
        <v>10</v>
      </c>
      <c r="K618" s="1">
        <v>0</v>
      </c>
      <c r="L618" s="1">
        <v>0</v>
      </c>
      <c r="M618" s="1" t="s">
        <v>1901</v>
      </c>
      <c r="N618" s="1" t="s">
        <v>710</v>
      </c>
      <c r="O618" s="1">
        <v>0</v>
      </c>
      <c r="P618" s="1" t="s">
        <v>2051</v>
      </c>
      <c r="Q618" s="7" t="str">
        <f t="shared" si="5"/>
        <v>equipment/5008.png</v>
      </c>
      <c r="R618" s="1">
        <v>0</v>
      </c>
    </row>
    <row r="619" spans="1:18" ht="14.25" thickBot="1">
      <c r="A619" s="1" t="s">
        <v>519</v>
      </c>
      <c r="B619" s="3">
        <v>1</v>
      </c>
      <c r="C619" s="1" t="s">
        <v>2549</v>
      </c>
      <c r="D619" s="1" t="s">
        <v>11</v>
      </c>
      <c r="E619" s="1">
        <v>4</v>
      </c>
      <c r="F619" s="1">
        <v>2</v>
      </c>
      <c r="G619" s="1">
        <v>30</v>
      </c>
      <c r="H619" s="10">
        <v>0</v>
      </c>
      <c r="I619" s="1">
        <v>6600</v>
      </c>
      <c r="J619" s="1">
        <v>10</v>
      </c>
      <c r="K619" s="1">
        <v>0</v>
      </c>
      <c r="L619" s="1">
        <v>0</v>
      </c>
      <c r="M619" s="1" t="s">
        <v>1902</v>
      </c>
      <c r="N619" s="1" t="s">
        <v>710</v>
      </c>
      <c r="O619" s="1">
        <v>0</v>
      </c>
      <c r="P619" s="1" t="s">
        <v>2051</v>
      </c>
      <c r="Q619" s="7" t="str">
        <f t="shared" si="5"/>
        <v>equipment/5009.png</v>
      </c>
      <c r="R619" s="1">
        <v>0</v>
      </c>
    </row>
    <row r="620" spans="1:18" ht="14.25" thickBot="1">
      <c r="A620" s="1" t="s">
        <v>520</v>
      </c>
      <c r="B620" s="3">
        <v>1</v>
      </c>
      <c r="C620" s="1" t="s">
        <v>2090</v>
      </c>
      <c r="D620" s="1" t="s">
        <v>14</v>
      </c>
      <c r="E620" s="1">
        <v>7</v>
      </c>
      <c r="F620" s="1">
        <v>2</v>
      </c>
      <c r="G620" s="1">
        <v>30</v>
      </c>
      <c r="H620" s="10">
        <v>0</v>
      </c>
      <c r="I620" s="1">
        <v>6000</v>
      </c>
      <c r="J620" s="1">
        <v>10</v>
      </c>
      <c r="K620" s="1">
        <v>0</v>
      </c>
      <c r="L620" s="1">
        <v>0</v>
      </c>
      <c r="M620" s="1" t="s">
        <v>1901</v>
      </c>
      <c r="N620" s="1" t="s">
        <v>710</v>
      </c>
      <c r="O620" s="1">
        <v>0</v>
      </c>
      <c r="P620" s="1" t="s">
        <v>2051</v>
      </c>
      <c r="Q620" s="7" t="str">
        <f t="shared" si="5"/>
        <v>equipment/7007.png</v>
      </c>
      <c r="R620" s="1">
        <v>0</v>
      </c>
    </row>
    <row r="621" spans="1:18" ht="14.25" thickBot="1">
      <c r="A621" s="1" t="s">
        <v>521</v>
      </c>
      <c r="B621" s="3">
        <v>1</v>
      </c>
      <c r="C621" s="1" t="s">
        <v>2550</v>
      </c>
      <c r="D621" s="1" t="s">
        <v>14</v>
      </c>
      <c r="E621" s="1">
        <v>7</v>
      </c>
      <c r="F621" s="1">
        <v>2</v>
      </c>
      <c r="G621" s="1">
        <v>30</v>
      </c>
      <c r="H621" s="10">
        <v>0</v>
      </c>
      <c r="I621" s="1">
        <v>6600</v>
      </c>
      <c r="J621" s="1">
        <v>10</v>
      </c>
      <c r="K621" s="1">
        <v>0</v>
      </c>
      <c r="L621" s="1">
        <v>0</v>
      </c>
      <c r="M621" s="1" t="s">
        <v>1902</v>
      </c>
      <c r="N621" s="1" t="s">
        <v>710</v>
      </c>
      <c r="O621" s="1">
        <v>0</v>
      </c>
      <c r="P621" s="1" t="s">
        <v>2051</v>
      </c>
      <c r="Q621" s="7" t="str">
        <f t="shared" si="5"/>
        <v>equipment/7008.png</v>
      </c>
      <c r="R621" s="1">
        <v>0</v>
      </c>
    </row>
    <row r="622" spans="1:18" ht="14.25" thickBot="1">
      <c r="A622" s="1" t="s">
        <v>522</v>
      </c>
      <c r="B622" s="3">
        <v>1</v>
      </c>
      <c r="C622" s="1" t="s">
        <v>2064</v>
      </c>
      <c r="D622" s="1" t="s">
        <v>8</v>
      </c>
      <c r="E622" s="1">
        <v>1</v>
      </c>
      <c r="F622" s="1">
        <v>2</v>
      </c>
      <c r="G622" s="1">
        <v>35</v>
      </c>
      <c r="H622" s="10">
        <v>0</v>
      </c>
      <c r="I622" s="1">
        <v>7000</v>
      </c>
      <c r="J622" s="1">
        <v>10</v>
      </c>
      <c r="K622" s="1">
        <v>0</v>
      </c>
      <c r="L622" s="1">
        <v>0</v>
      </c>
      <c r="M622" s="1" t="s">
        <v>1903</v>
      </c>
      <c r="N622" s="1" t="s">
        <v>712</v>
      </c>
      <c r="O622" s="1">
        <v>0</v>
      </c>
      <c r="P622" s="1" t="s">
        <v>2052</v>
      </c>
      <c r="Q622" s="7" t="str">
        <f t="shared" si="5"/>
        <v>equipment/3006.png</v>
      </c>
      <c r="R622" s="1">
        <v>0</v>
      </c>
    </row>
    <row r="623" spans="1:18" ht="14.25" thickBot="1">
      <c r="A623" s="1" t="s">
        <v>523</v>
      </c>
      <c r="B623" s="3">
        <v>1</v>
      </c>
      <c r="C623" s="1" t="s">
        <v>2551</v>
      </c>
      <c r="D623" s="1" t="s">
        <v>9</v>
      </c>
      <c r="E623" s="1">
        <v>2</v>
      </c>
      <c r="F623" s="1">
        <v>2</v>
      </c>
      <c r="G623" s="1">
        <v>35</v>
      </c>
      <c r="H623" s="10">
        <v>0</v>
      </c>
      <c r="I623" s="1">
        <v>7000</v>
      </c>
      <c r="J623" s="1">
        <v>10</v>
      </c>
      <c r="K623" s="1">
        <v>0</v>
      </c>
      <c r="L623" s="1">
        <v>0</v>
      </c>
      <c r="M623" s="1" t="s">
        <v>1904</v>
      </c>
      <c r="N623" s="1" t="s">
        <v>712</v>
      </c>
      <c r="O623" s="1">
        <v>0</v>
      </c>
      <c r="P623" s="1" t="s">
        <v>2052</v>
      </c>
      <c r="Q623" s="7" t="str">
        <f t="shared" si="5"/>
        <v>equipment/14006.png</v>
      </c>
      <c r="R623" s="1">
        <v>0</v>
      </c>
    </row>
    <row r="624" spans="1:18" ht="14.25" thickBot="1">
      <c r="A624" s="1" t="s">
        <v>524</v>
      </c>
      <c r="B624" s="3">
        <v>1</v>
      </c>
      <c r="C624" s="1" t="s">
        <v>2552</v>
      </c>
      <c r="D624" s="1" t="s">
        <v>10</v>
      </c>
      <c r="E624" s="1">
        <v>3</v>
      </c>
      <c r="F624" s="1">
        <v>2</v>
      </c>
      <c r="G624" s="1">
        <v>35</v>
      </c>
      <c r="H624" s="10">
        <v>0</v>
      </c>
      <c r="I624" s="1">
        <v>7000</v>
      </c>
      <c r="J624" s="1">
        <v>10</v>
      </c>
      <c r="K624" s="1">
        <v>0</v>
      </c>
      <c r="L624" s="1">
        <v>0</v>
      </c>
      <c r="M624" s="1" t="s">
        <v>1905</v>
      </c>
      <c r="N624" s="1" t="s">
        <v>712</v>
      </c>
      <c r="O624" s="1">
        <v>0</v>
      </c>
      <c r="P624" s="1" t="s">
        <v>2052</v>
      </c>
      <c r="Q624" s="7" t="str">
        <f t="shared" si="5"/>
        <v>equipment/6006.png</v>
      </c>
      <c r="R624" s="1">
        <v>0</v>
      </c>
    </row>
    <row r="625" spans="1:18" ht="14.25" thickBot="1">
      <c r="A625" s="1" t="s">
        <v>525</v>
      </c>
      <c r="B625" s="3">
        <v>1</v>
      </c>
      <c r="C625" s="1" t="s">
        <v>2553</v>
      </c>
      <c r="D625" s="1" t="s">
        <v>15</v>
      </c>
      <c r="E625" s="1">
        <v>8</v>
      </c>
      <c r="F625" s="1">
        <v>2</v>
      </c>
      <c r="G625" s="1">
        <v>35</v>
      </c>
      <c r="H625" s="10">
        <v>0</v>
      </c>
      <c r="I625" s="1">
        <v>7000</v>
      </c>
      <c r="J625" s="1">
        <v>10</v>
      </c>
      <c r="K625" s="1">
        <v>0</v>
      </c>
      <c r="L625" s="1">
        <v>0</v>
      </c>
      <c r="M625" s="1" t="s">
        <v>1906</v>
      </c>
      <c r="N625" s="1" t="s">
        <v>712</v>
      </c>
      <c r="O625" s="1">
        <v>0</v>
      </c>
      <c r="P625" s="1" t="s">
        <v>2052</v>
      </c>
      <c r="Q625" s="7" t="str">
        <f t="shared" si="5"/>
        <v>equipment/8006.png</v>
      </c>
      <c r="R625" s="1">
        <v>0</v>
      </c>
    </row>
    <row r="626" spans="1:18" ht="14.25" thickBot="1">
      <c r="A626" s="1" t="s">
        <v>526</v>
      </c>
      <c r="B626" s="3">
        <v>1</v>
      </c>
      <c r="C626" s="1" t="s">
        <v>2074</v>
      </c>
      <c r="D626" s="1" t="s">
        <v>16</v>
      </c>
      <c r="E626" s="1">
        <v>9</v>
      </c>
      <c r="F626" s="1">
        <v>2</v>
      </c>
      <c r="G626" s="1">
        <v>35</v>
      </c>
      <c r="H626" s="10">
        <v>0</v>
      </c>
      <c r="I626" s="1">
        <v>7000</v>
      </c>
      <c r="J626" s="1">
        <v>10</v>
      </c>
      <c r="K626" s="1">
        <v>0</v>
      </c>
      <c r="L626" s="1">
        <v>0</v>
      </c>
      <c r="M626" s="1" t="s">
        <v>1907</v>
      </c>
      <c r="N626" s="1" t="s">
        <v>712</v>
      </c>
      <c r="O626" s="1">
        <v>0</v>
      </c>
      <c r="P626" s="1" t="s">
        <v>2052</v>
      </c>
      <c r="Q626" s="7" t="str">
        <f t="shared" si="5"/>
        <v>equipment/10006.png</v>
      </c>
      <c r="R626" s="1">
        <v>0</v>
      </c>
    </row>
    <row r="627" spans="1:18" ht="14.25" thickBot="1">
      <c r="A627" s="1" t="s">
        <v>527</v>
      </c>
      <c r="B627" s="3">
        <v>1</v>
      </c>
      <c r="C627" s="1" t="s">
        <v>2333</v>
      </c>
      <c r="D627" s="1" t="s">
        <v>17</v>
      </c>
      <c r="E627" s="1">
        <v>10</v>
      </c>
      <c r="F627" s="1">
        <v>2</v>
      </c>
      <c r="G627" s="1">
        <v>35</v>
      </c>
      <c r="H627" s="10">
        <v>0</v>
      </c>
      <c r="I627" s="1">
        <v>7000</v>
      </c>
      <c r="J627" s="1">
        <v>10</v>
      </c>
      <c r="K627" s="1">
        <v>0</v>
      </c>
      <c r="L627" s="1">
        <v>0</v>
      </c>
      <c r="M627" s="1" t="s">
        <v>1908</v>
      </c>
      <c r="N627" s="1" t="s">
        <v>712</v>
      </c>
      <c r="O627" s="1">
        <v>0</v>
      </c>
      <c r="P627" s="1" t="s">
        <v>2052</v>
      </c>
      <c r="Q627" s="7" t="str">
        <f t="shared" si="5"/>
        <v>equipment/12006.png</v>
      </c>
      <c r="R627" s="1">
        <v>0</v>
      </c>
    </row>
    <row r="628" spans="1:18" ht="14.25" thickBot="1">
      <c r="A628" s="1" t="s">
        <v>528</v>
      </c>
      <c r="B628" s="3">
        <v>1</v>
      </c>
      <c r="C628" s="9" t="s">
        <v>2117</v>
      </c>
      <c r="D628" s="1" t="s">
        <v>12</v>
      </c>
      <c r="E628" s="1">
        <v>5</v>
      </c>
      <c r="F628" s="1">
        <v>2</v>
      </c>
      <c r="G628" s="1">
        <v>35</v>
      </c>
      <c r="H628" s="10" t="s">
        <v>2120</v>
      </c>
      <c r="I628" s="1">
        <v>7000</v>
      </c>
      <c r="J628" s="1">
        <v>10</v>
      </c>
      <c r="K628" s="1">
        <v>0</v>
      </c>
      <c r="L628" s="1">
        <v>0</v>
      </c>
      <c r="M628" s="1" t="s">
        <v>1909</v>
      </c>
      <c r="N628" s="1" t="s">
        <v>713</v>
      </c>
      <c r="O628" s="1">
        <v>0</v>
      </c>
      <c r="P628" s="1" t="s">
        <v>2052</v>
      </c>
      <c r="Q628" s="7" t="str">
        <f t="shared" si="5"/>
        <v>equipment/1114.png</v>
      </c>
      <c r="R628" s="1">
        <v>0</v>
      </c>
    </row>
    <row r="629" spans="1:18" ht="14.25" thickBot="1">
      <c r="A629" s="1" t="s">
        <v>529</v>
      </c>
      <c r="B629" s="2">
        <v>0</v>
      </c>
      <c r="C629" s="9" t="s">
        <v>2491</v>
      </c>
      <c r="D629" s="1" t="s">
        <v>12</v>
      </c>
      <c r="E629" s="1">
        <v>5</v>
      </c>
      <c r="F629" s="1">
        <v>2</v>
      </c>
      <c r="G629" s="1">
        <v>35</v>
      </c>
      <c r="H629" s="10" t="s">
        <v>2120</v>
      </c>
      <c r="I629" s="1">
        <v>7600</v>
      </c>
      <c r="J629" s="1">
        <v>10</v>
      </c>
      <c r="K629" s="1">
        <v>0</v>
      </c>
      <c r="L629" s="1">
        <v>0</v>
      </c>
      <c r="M629" s="1" t="s">
        <v>2018</v>
      </c>
      <c r="N629" s="1" t="s">
        <v>713</v>
      </c>
      <c r="O629" s="1">
        <v>0</v>
      </c>
      <c r="P629" s="1" t="s">
        <v>2052</v>
      </c>
      <c r="Q629" s="7" t="str">
        <f t="shared" si="5"/>
        <v>equipment/1101.png</v>
      </c>
      <c r="R629" s="1">
        <v>0</v>
      </c>
    </row>
    <row r="630" spans="1:18" ht="14.25" thickBot="1">
      <c r="A630" s="1" t="s">
        <v>530</v>
      </c>
      <c r="B630" s="3">
        <v>1</v>
      </c>
      <c r="C630" s="9" t="s">
        <v>2118</v>
      </c>
      <c r="D630" s="1" t="s">
        <v>13</v>
      </c>
      <c r="E630" s="1">
        <v>6</v>
      </c>
      <c r="F630" s="1">
        <v>2</v>
      </c>
      <c r="G630" s="1">
        <v>35</v>
      </c>
      <c r="H630" s="10" t="s">
        <v>2120</v>
      </c>
      <c r="I630" s="1">
        <v>7000</v>
      </c>
      <c r="J630" s="1">
        <v>10</v>
      </c>
      <c r="K630" s="1">
        <v>0</v>
      </c>
      <c r="L630" s="1">
        <v>0</v>
      </c>
      <c r="M630" s="1" t="s">
        <v>1910</v>
      </c>
      <c r="N630" s="1" t="s">
        <v>713</v>
      </c>
      <c r="O630" s="1">
        <v>0</v>
      </c>
      <c r="P630" s="1" t="s">
        <v>2052</v>
      </c>
      <c r="Q630" s="7" t="str">
        <f t="shared" si="5"/>
        <v>equipment/2108.png</v>
      </c>
      <c r="R630" s="1">
        <v>0</v>
      </c>
    </row>
    <row r="631" spans="1:18" ht="14.25" thickBot="1">
      <c r="A631" s="1" t="s">
        <v>531</v>
      </c>
      <c r="B631" s="3">
        <v>1</v>
      </c>
      <c r="C631" s="9" t="s">
        <v>2554</v>
      </c>
      <c r="D631" s="1" t="s">
        <v>13</v>
      </c>
      <c r="E631" s="1">
        <v>6</v>
      </c>
      <c r="F631" s="1">
        <v>2</v>
      </c>
      <c r="G631" s="1">
        <v>35</v>
      </c>
      <c r="H631" s="10" t="s">
        <v>2120</v>
      </c>
      <c r="I631" s="1">
        <v>7600</v>
      </c>
      <c r="J631" s="1">
        <v>10</v>
      </c>
      <c r="K631" s="1">
        <v>0</v>
      </c>
      <c r="L631" s="1">
        <v>0</v>
      </c>
      <c r="M631" s="1" t="s">
        <v>1911</v>
      </c>
      <c r="N631" s="1" t="s">
        <v>713</v>
      </c>
      <c r="O631" s="1">
        <v>0</v>
      </c>
      <c r="P631" s="1" t="s">
        <v>2052</v>
      </c>
      <c r="Q631" s="7" t="str">
        <f t="shared" si="5"/>
        <v>equipment/2117.png</v>
      </c>
      <c r="R631" s="1">
        <v>0</v>
      </c>
    </row>
    <row r="632" spans="1:18" ht="14.25" thickBot="1">
      <c r="A632" s="1" t="s">
        <v>532</v>
      </c>
      <c r="B632" s="3">
        <v>1</v>
      </c>
      <c r="C632" s="1" t="s">
        <v>2119</v>
      </c>
      <c r="D632" s="1" t="s">
        <v>12</v>
      </c>
      <c r="E632" s="1">
        <v>5</v>
      </c>
      <c r="F632" s="1">
        <v>2</v>
      </c>
      <c r="G632" s="1">
        <v>35</v>
      </c>
      <c r="H632" s="10" t="s">
        <v>2121</v>
      </c>
      <c r="I632" s="1">
        <v>7000</v>
      </c>
      <c r="J632" s="1">
        <v>10</v>
      </c>
      <c r="K632" s="1">
        <v>0</v>
      </c>
      <c r="L632" s="1">
        <v>0</v>
      </c>
      <c r="M632" s="1" t="s">
        <v>1909</v>
      </c>
      <c r="N632" s="1" t="s">
        <v>713</v>
      </c>
      <c r="O632" s="1">
        <v>0</v>
      </c>
      <c r="P632" s="1" t="s">
        <v>2052</v>
      </c>
      <c r="Q632" s="7" t="str">
        <f t="shared" si="5"/>
        <v>equipment/1213.png</v>
      </c>
      <c r="R632" s="1">
        <v>0</v>
      </c>
    </row>
    <row r="633" spans="1:18" ht="14.25" thickBot="1">
      <c r="A633" s="1" t="s">
        <v>533</v>
      </c>
      <c r="B633" s="2">
        <v>0</v>
      </c>
      <c r="C633" s="1" t="s">
        <v>2494</v>
      </c>
      <c r="D633" s="1" t="s">
        <v>12</v>
      </c>
      <c r="E633" s="1">
        <v>5</v>
      </c>
      <c r="F633" s="1">
        <v>2</v>
      </c>
      <c r="G633" s="1">
        <v>35</v>
      </c>
      <c r="H633" s="10" t="s">
        <v>2121</v>
      </c>
      <c r="I633" s="1">
        <v>7600</v>
      </c>
      <c r="J633" s="1">
        <v>10</v>
      </c>
      <c r="K633" s="1">
        <v>0</v>
      </c>
      <c r="L633" s="1">
        <v>0</v>
      </c>
      <c r="M633" s="1" t="s">
        <v>2018</v>
      </c>
      <c r="N633" s="1" t="s">
        <v>713</v>
      </c>
      <c r="O633" s="1">
        <v>0</v>
      </c>
      <c r="P633" s="1" t="s">
        <v>2052</v>
      </c>
      <c r="Q633" s="7" t="str">
        <f t="shared" si="5"/>
        <v>equipment/1201.png</v>
      </c>
      <c r="R633" s="1">
        <v>0</v>
      </c>
    </row>
    <row r="634" spans="1:18" ht="14.25" thickBot="1">
      <c r="A634" s="1" t="s">
        <v>534</v>
      </c>
      <c r="B634" s="3">
        <v>1</v>
      </c>
      <c r="C634" s="9" t="s">
        <v>2555</v>
      </c>
      <c r="D634" s="1" t="s">
        <v>13</v>
      </c>
      <c r="E634" s="1">
        <v>6</v>
      </c>
      <c r="F634" s="1">
        <v>2</v>
      </c>
      <c r="G634" s="1">
        <v>35</v>
      </c>
      <c r="H634" s="10" t="s">
        <v>2121</v>
      </c>
      <c r="I634" s="1">
        <v>7000</v>
      </c>
      <c r="J634" s="1">
        <v>10</v>
      </c>
      <c r="K634" s="1">
        <v>0</v>
      </c>
      <c r="L634" s="1">
        <v>0</v>
      </c>
      <c r="M634" s="1" t="s">
        <v>1912</v>
      </c>
      <c r="N634" s="1" t="s">
        <v>713</v>
      </c>
      <c r="O634" s="1">
        <v>0</v>
      </c>
      <c r="P634" s="1" t="s">
        <v>2052</v>
      </c>
      <c r="Q634" s="7" t="str">
        <f t="shared" si="5"/>
        <v>equipment/2208.png</v>
      </c>
      <c r="R634" s="1">
        <v>0</v>
      </c>
    </row>
    <row r="635" spans="1:18" ht="14.25" thickBot="1">
      <c r="A635" s="1" t="s">
        <v>535</v>
      </c>
      <c r="B635" s="3">
        <v>1</v>
      </c>
      <c r="C635" s="9" t="s">
        <v>2556</v>
      </c>
      <c r="D635" s="1" t="s">
        <v>13</v>
      </c>
      <c r="E635" s="1">
        <v>6</v>
      </c>
      <c r="F635" s="1">
        <v>2</v>
      </c>
      <c r="G635" s="1">
        <v>35</v>
      </c>
      <c r="H635" s="10" t="s">
        <v>2121</v>
      </c>
      <c r="I635" s="1">
        <v>7600</v>
      </c>
      <c r="J635" s="1">
        <v>10</v>
      </c>
      <c r="K635" s="1">
        <v>0</v>
      </c>
      <c r="L635" s="1">
        <v>0</v>
      </c>
      <c r="M635" s="1" t="s">
        <v>1913</v>
      </c>
      <c r="N635" s="1" t="s">
        <v>713</v>
      </c>
      <c r="O635" s="1">
        <v>0</v>
      </c>
      <c r="P635" s="1" t="s">
        <v>2052</v>
      </c>
      <c r="Q635" s="7" t="str">
        <f t="shared" si="5"/>
        <v>equipment/2201.png</v>
      </c>
      <c r="R635" s="1">
        <v>0</v>
      </c>
    </row>
    <row r="636" spans="1:18" ht="14.25" thickBot="1">
      <c r="A636" s="1" t="s">
        <v>536</v>
      </c>
      <c r="B636" s="3">
        <v>1</v>
      </c>
      <c r="C636" s="9" t="s">
        <v>2557</v>
      </c>
      <c r="D636" s="1" t="s">
        <v>12</v>
      </c>
      <c r="E636" s="1">
        <v>5</v>
      </c>
      <c r="F636" s="1">
        <v>2</v>
      </c>
      <c r="G636" s="1">
        <v>35</v>
      </c>
      <c r="H636" s="10" t="s">
        <v>2122</v>
      </c>
      <c r="I636" s="1">
        <v>7000</v>
      </c>
      <c r="J636" s="1">
        <v>10</v>
      </c>
      <c r="K636" s="1">
        <v>0</v>
      </c>
      <c r="L636" s="1">
        <v>0</v>
      </c>
      <c r="M636" s="1" t="s">
        <v>1909</v>
      </c>
      <c r="N636" s="1" t="s">
        <v>713</v>
      </c>
      <c r="O636" s="1">
        <v>0</v>
      </c>
      <c r="P636" s="1" t="s">
        <v>2052</v>
      </c>
      <c r="Q636" s="7" t="str">
        <f t="shared" si="5"/>
        <v>equipment/1314.png</v>
      </c>
      <c r="R636" s="1">
        <v>0</v>
      </c>
    </row>
    <row r="637" spans="1:18" ht="14.25" thickBot="1">
      <c r="A637" s="1" t="s">
        <v>537</v>
      </c>
      <c r="B637" s="2">
        <v>0</v>
      </c>
      <c r="C637" s="9" t="s">
        <v>2497</v>
      </c>
      <c r="D637" s="1" t="s">
        <v>12</v>
      </c>
      <c r="E637" s="1">
        <v>5</v>
      </c>
      <c r="F637" s="1">
        <v>2</v>
      </c>
      <c r="G637" s="1">
        <v>35</v>
      </c>
      <c r="H637" s="10" t="s">
        <v>2122</v>
      </c>
      <c r="I637" s="1">
        <v>7600</v>
      </c>
      <c r="J637" s="1">
        <v>10</v>
      </c>
      <c r="K637" s="1">
        <v>0</v>
      </c>
      <c r="L637" s="1">
        <v>0</v>
      </c>
      <c r="M637" s="1" t="s">
        <v>2018</v>
      </c>
      <c r="N637" s="1" t="s">
        <v>713</v>
      </c>
      <c r="O637" s="1">
        <v>0</v>
      </c>
      <c r="P637" s="1" t="s">
        <v>2052</v>
      </c>
      <c r="Q637" s="7" t="str">
        <f t="shared" si="5"/>
        <v>equipment/1301.png</v>
      </c>
      <c r="R637" s="1">
        <v>0</v>
      </c>
    </row>
    <row r="638" spans="1:18" ht="14.25" thickBot="1">
      <c r="A638" s="1" t="s">
        <v>538</v>
      </c>
      <c r="B638" s="3">
        <v>1</v>
      </c>
      <c r="C638" s="9" t="s">
        <v>2558</v>
      </c>
      <c r="D638" s="1" t="s">
        <v>13</v>
      </c>
      <c r="E638" s="1">
        <v>6</v>
      </c>
      <c r="F638" s="1">
        <v>2</v>
      </c>
      <c r="G638" s="1">
        <v>35</v>
      </c>
      <c r="H638" s="10" t="s">
        <v>2122</v>
      </c>
      <c r="I638" s="1">
        <v>7000</v>
      </c>
      <c r="J638" s="1">
        <v>10</v>
      </c>
      <c r="K638" s="1">
        <v>0</v>
      </c>
      <c r="L638" s="1">
        <v>0</v>
      </c>
      <c r="M638" s="1" t="s">
        <v>1914</v>
      </c>
      <c r="N638" s="1" t="s">
        <v>713</v>
      </c>
      <c r="O638" s="1">
        <v>0</v>
      </c>
      <c r="P638" s="1" t="s">
        <v>2052</v>
      </c>
      <c r="Q638" s="7" t="str">
        <f t="shared" si="5"/>
        <v>equipment/2308.png</v>
      </c>
      <c r="R638" s="1">
        <v>0</v>
      </c>
    </row>
    <row r="639" spans="1:18" ht="14.25" thickBot="1">
      <c r="A639" s="1" t="s">
        <v>539</v>
      </c>
      <c r="B639" s="3">
        <v>1</v>
      </c>
      <c r="C639" s="9" t="s">
        <v>2559</v>
      </c>
      <c r="D639" s="1" t="s">
        <v>13</v>
      </c>
      <c r="E639" s="1">
        <v>6</v>
      </c>
      <c r="F639" s="1">
        <v>2</v>
      </c>
      <c r="G639" s="1">
        <v>35</v>
      </c>
      <c r="H639" s="10" t="s">
        <v>2122</v>
      </c>
      <c r="I639" s="1">
        <v>7600</v>
      </c>
      <c r="J639" s="1">
        <v>10</v>
      </c>
      <c r="K639" s="1">
        <v>0</v>
      </c>
      <c r="L639" s="1">
        <v>0</v>
      </c>
      <c r="M639" s="1" t="s">
        <v>1915</v>
      </c>
      <c r="N639" s="1" t="s">
        <v>713</v>
      </c>
      <c r="O639" s="1">
        <v>0</v>
      </c>
      <c r="P639" s="1" t="s">
        <v>2052</v>
      </c>
      <c r="Q639" s="7" t="str">
        <f t="shared" si="5"/>
        <v>equipment/2314.png</v>
      </c>
      <c r="R639" s="1">
        <v>0</v>
      </c>
    </row>
    <row r="640" spans="1:18" ht="14.25" thickBot="1">
      <c r="A640" s="1" t="s">
        <v>540</v>
      </c>
      <c r="B640" s="3">
        <v>1</v>
      </c>
      <c r="C640" s="1" t="s">
        <v>2085</v>
      </c>
      <c r="D640" s="1" t="s">
        <v>11</v>
      </c>
      <c r="E640" s="1">
        <v>4</v>
      </c>
      <c r="F640" s="1">
        <v>2</v>
      </c>
      <c r="G640" s="1">
        <v>35</v>
      </c>
      <c r="H640" s="10">
        <v>0</v>
      </c>
      <c r="I640" s="1">
        <v>7000</v>
      </c>
      <c r="J640" s="1">
        <v>10</v>
      </c>
      <c r="K640" s="1">
        <v>0</v>
      </c>
      <c r="L640" s="1">
        <v>0</v>
      </c>
      <c r="M640" s="1" t="s">
        <v>1916</v>
      </c>
      <c r="N640" s="1" t="s">
        <v>712</v>
      </c>
      <c r="O640" s="1">
        <v>0</v>
      </c>
      <c r="P640" s="1" t="s">
        <v>2052</v>
      </c>
      <c r="Q640" s="7" t="str">
        <f t="shared" si="5"/>
        <v>equipment/5011.png</v>
      </c>
      <c r="R640" s="1">
        <v>0</v>
      </c>
    </row>
    <row r="641" spans="1:18" ht="14.25" thickBot="1">
      <c r="A641" s="1" t="s">
        <v>541</v>
      </c>
      <c r="B641" s="3">
        <v>1</v>
      </c>
      <c r="C641" s="1" t="s">
        <v>2560</v>
      </c>
      <c r="D641" s="1" t="s">
        <v>11</v>
      </c>
      <c r="E641" s="1">
        <v>4</v>
      </c>
      <c r="F641" s="1">
        <v>2</v>
      </c>
      <c r="G641" s="1">
        <v>35</v>
      </c>
      <c r="H641" s="10">
        <v>0</v>
      </c>
      <c r="I641" s="1">
        <v>7600</v>
      </c>
      <c r="J641" s="1">
        <v>10</v>
      </c>
      <c r="K641" s="1">
        <v>0</v>
      </c>
      <c r="L641" s="1">
        <v>0</v>
      </c>
      <c r="M641" s="1" t="s">
        <v>1917</v>
      </c>
      <c r="N641" s="1" t="s">
        <v>712</v>
      </c>
      <c r="O641" s="1">
        <v>0</v>
      </c>
      <c r="P641" s="1" t="s">
        <v>2052</v>
      </c>
      <c r="Q641" s="7" t="str">
        <f t="shared" si="5"/>
        <v>equipment/5001.png</v>
      </c>
      <c r="R641" s="1">
        <v>0</v>
      </c>
    </row>
    <row r="642" spans="1:18" ht="14.25" thickBot="1">
      <c r="A642" s="1" t="s">
        <v>542</v>
      </c>
      <c r="B642" s="3">
        <v>1</v>
      </c>
      <c r="C642" s="1" t="s">
        <v>2561</v>
      </c>
      <c r="D642" s="1" t="s">
        <v>14</v>
      </c>
      <c r="E642" s="1">
        <v>7</v>
      </c>
      <c r="F642" s="1">
        <v>2</v>
      </c>
      <c r="G642" s="1">
        <v>35</v>
      </c>
      <c r="H642" s="10">
        <v>0</v>
      </c>
      <c r="I642" s="1">
        <v>7000</v>
      </c>
      <c r="J642" s="1">
        <v>10</v>
      </c>
      <c r="K642" s="1">
        <v>0</v>
      </c>
      <c r="L642" s="1">
        <v>0</v>
      </c>
      <c r="M642" s="1" t="s">
        <v>1916</v>
      </c>
      <c r="N642" s="1" t="s">
        <v>712</v>
      </c>
      <c r="O642" s="1">
        <v>0</v>
      </c>
      <c r="P642" s="1" t="s">
        <v>2052</v>
      </c>
      <c r="Q642" s="7" t="str">
        <f t="shared" si="5"/>
        <v>equipment/7008.png</v>
      </c>
      <c r="R642" s="1">
        <v>0</v>
      </c>
    </row>
    <row r="643" spans="1:18" ht="14.25" thickBot="1">
      <c r="A643" s="1" t="s">
        <v>543</v>
      </c>
      <c r="B643" s="2">
        <v>0</v>
      </c>
      <c r="C643" s="1" t="s">
        <v>2501</v>
      </c>
      <c r="D643" s="1" t="s">
        <v>14</v>
      </c>
      <c r="E643" s="1">
        <v>7</v>
      </c>
      <c r="F643" s="1">
        <v>2</v>
      </c>
      <c r="G643" s="1">
        <v>35</v>
      </c>
      <c r="H643" s="10">
        <v>0</v>
      </c>
      <c r="I643" s="1">
        <v>7600</v>
      </c>
      <c r="J643" s="1">
        <v>10</v>
      </c>
      <c r="K643" s="1">
        <v>0</v>
      </c>
      <c r="L643" s="1">
        <v>0</v>
      </c>
      <c r="M643" s="1" t="s">
        <v>1918</v>
      </c>
      <c r="N643" s="1" t="s">
        <v>712</v>
      </c>
      <c r="O643" s="1">
        <v>0</v>
      </c>
      <c r="P643" s="1" t="s">
        <v>2052</v>
      </c>
      <c r="Q643" s="7" t="str">
        <f t="shared" si="5"/>
        <v>equipment/7001.png</v>
      </c>
      <c r="R643" s="1">
        <v>0</v>
      </c>
    </row>
    <row r="644" spans="1:18" ht="14.25" thickBot="1">
      <c r="A644" s="1" t="s">
        <v>544</v>
      </c>
      <c r="B644" s="3">
        <v>1</v>
      </c>
      <c r="C644" s="1" t="s">
        <v>2065</v>
      </c>
      <c r="D644" s="1" t="s">
        <v>8</v>
      </c>
      <c r="E644" s="1">
        <v>1</v>
      </c>
      <c r="F644" s="1">
        <v>2</v>
      </c>
      <c r="G644" s="1">
        <v>40</v>
      </c>
      <c r="H644" s="10">
        <v>0</v>
      </c>
      <c r="I644" s="1">
        <v>8000</v>
      </c>
      <c r="J644" s="1">
        <v>10</v>
      </c>
      <c r="K644" s="1">
        <v>0</v>
      </c>
      <c r="L644" s="1">
        <v>0</v>
      </c>
      <c r="M644" s="1" t="s">
        <v>1919</v>
      </c>
      <c r="N644" s="1" t="s">
        <v>714</v>
      </c>
      <c r="O644" s="1">
        <v>0</v>
      </c>
      <c r="P644" s="1" t="s">
        <v>2053</v>
      </c>
      <c r="Q644" s="7" t="str">
        <f t="shared" si="5"/>
        <v>equipment/3007.png</v>
      </c>
      <c r="R644" s="1">
        <v>0</v>
      </c>
    </row>
    <row r="645" spans="1:18" ht="14.25" thickBot="1">
      <c r="A645" s="1" t="s">
        <v>545</v>
      </c>
      <c r="B645" s="3">
        <v>1</v>
      </c>
      <c r="C645" s="1" t="s">
        <v>2562</v>
      </c>
      <c r="D645" s="1" t="s">
        <v>9</v>
      </c>
      <c r="E645" s="1">
        <v>2</v>
      </c>
      <c r="F645" s="1">
        <v>2</v>
      </c>
      <c r="G645" s="1">
        <v>40</v>
      </c>
      <c r="H645" s="10">
        <v>0</v>
      </c>
      <c r="I645" s="1">
        <v>8000</v>
      </c>
      <c r="J645" s="1">
        <v>10</v>
      </c>
      <c r="K645" s="1">
        <v>0</v>
      </c>
      <c r="L645" s="1">
        <v>0</v>
      </c>
      <c r="M645" s="1" t="s">
        <v>1920</v>
      </c>
      <c r="N645" s="1" t="s">
        <v>714</v>
      </c>
      <c r="O645" s="1">
        <v>0</v>
      </c>
      <c r="P645" s="1" t="s">
        <v>2053</v>
      </c>
      <c r="Q645" s="7" t="str">
        <f t="shared" si="5"/>
        <v>equipment/14007.png</v>
      </c>
      <c r="R645" s="1">
        <v>0</v>
      </c>
    </row>
    <row r="646" spans="1:18" ht="14.25" thickBot="1">
      <c r="A646" s="1" t="s">
        <v>546</v>
      </c>
      <c r="B646" s="3">
        <v>1</v>
      </c>
      <c r="C646" s="1" t="s">
        <v>2563</v>
      </c>
      <c r="D646" s="1" t="s">
        <v>10</v>
      </c>
      <c r="E646" s="1">
        <v>3</v>
      </c>
      <c r="F646" s="1">
        <v>2</v>
      </c>
      <c r="G646" s="1">
        <v>40</v>
      </c>
      <c r="H646" s="10">
        <v>0</v>
      </c>
      <c r="I646" s="1">
        <v>8000</v>
      </c>
      <c r="J646" s="1">
        <v>10</v>
      </c>
      <c r="K646" s="1">
        <v>0</v>
      </c>
      <c r="L646" s="1">
        <v>0</v>
      </c>
      <c r="M646" s="1" t="s">
        <v>1921</v>
      </c>
      <c r="N646" s="1" t="s">
        <v>714</v>
      </c>
      <c r="O646" s="1">
        <v>0</v>
      </c>
      <c r="P646" s="1" t="s">
        <v>2053</v>
      </c>
      <c r="Q646" s="7" t="str">
        <f t="shared" si="5"/>
        <v>equipment/6007.png</v>
      </c>
      <c r="R646" s="1">
        <v>0</v>
      </c>
    </row>
    <row r="647" spans="1:18" ht="14.25" thickBot="1">
      <c r="A647" s="1" t="s">
        <v>547</v>
      </c>
      <c r="B647" s="3">
        <v>1</v>
      </c>
      <c r="C647" s="1" t="s">
        <v>2564</v>
      </c>
      <c r="D647" s="1" t="s">
        <v>15</v>
      </c>
      <c r="E647" s="1">
        <v>8</v>
      </c>
      <c r="F647" s="1">
        <v>2</v>
      </c>
      <c r="G647" s="1">
        <v>40</v>
      </c>
      <c r="H647" s="10">
        <v>0</v>
      </c>
      <c r="I647" s="1">
        <v>8000</v>
      </c>
      <c r="J647" s="1">
        <v>10</v>
      </c>
      <c r="K647" s="1">
        <v>0</v>
      </c>
      <c r="L647" s="1">
        <v>0</v>
      </c>
      <c r="M647" s="1" t="s">
        <v>1922</v>
      </c>
      <c r="N647" s="1" t="s">
        <v>714</v>
      </c>
      <c r="O647" s="1">
        <v>0</v>
      </c>
      <c r="P647" s="1" t="s">
        <v>2053</v>
      </c>
      <c r="Q647" s="7" t="str">
        <f t="shared" si="5"/>
        <v>equipment/8007.png</v>
      </c>
      <c r="R647" s="1">
        <v>0</v>
      </c>
    </row>
    <row r="648" spans="1:18" ht="14.25" thickBot="1">
      <c r="A648" s="1" t="s">
        <v>548</v>
      </c>
      <c r="B648" s="3">
        <v>1</v>
      </c>
      <c r="C648" s="1" t="s">
        <v>2565</v>
      </c>
      <c r="D648" s="1" t="s">
        <v>16</v>
      </c>
      <c r="E648" s="1">
        <v>9</v>
      </c>
      <c r="F648" s="1">
        <v>2</v>
      </c>
      <c r="G648" s="1">
        <v>40</v>
      </c>
      <c r="H648" s="10">
        <v>0</v>
      </c>
      <c r="I648" s="1">
        <v>8000</v>
      </c>
      <c r="J648" s="1">
        <v>10</v>
      </c>
      <c r="K648" s="1">
        <v>0</v>
      </c>
      <c r="L648" s="1">
        <v>0</v>
      </c>
      <c r="M648" s="1" t="s">
        <v>1923</v>
      </c>
      <c r="N648" s="1" t="s">
        <v>714</v>
      </c>
      <c r="O648" s="1">
        <v>0</v>
      </c>
      <c r="P648" s="1" t="s">
        <v>2053</v>
      </c>
      <c r="Q648" s="7" t="str">
        <f t="shared" si="5"/>
        <v>equipment/10007.png</v>
      </c>
      <c r="R648" s="1">
        <v>0</v>
      </c>
    </row>
    <row r="649" spans="1:18" ht="14.25" thickBot="1">
      <c r="A649" s="1" t="s">
        <v>549</v>
      </c>
      <c r="B649" s="2">
        <v>1</v>
      </c>
      <c r="C649" s="1" t="s">
        <v>2566</v>
      </c>
      <c r="D649" s="1" t="s">
        <v>17</v>
      </c>
      <c r="E649" s="1">
        <v>10</v>
      </c>
      <c r="F649" s="1">
        <v>2</v>
      </c>
      <c r="G649" s="1">
        <v>40</v>
      </c>
      <c r="H649" s="10">
        <v>0</v>
      </c>
      <c r="I649" s="1">
        <v>8000</v>
      </c>
      <c r="J649" s="1">
        <v>10</v>
      </c>
      <c r="K649" s="1">
        <v>0</v>
      </c>
      <c r="L649" s="1">
        <v>0</v>
      </c>
      <c r="M649" s="1" t="s">
        <v>1908</v>
      </c>
      <c r="N649" s="1" t="s">
        <v>714</v>
      </c>
      <c r="O649" s="1">
        <v>0</v>
      </c>
      <c r="P649" s="1" t="s">
        <v>2053</v>
      </c>
      <c r="Q649" s="7" t="str">
        <f t="shared" si="5"/>
        <v>equipment/12012.png</v>
      </c>
      <c r="R649" s="1">
        <v>0</v>
      </c>
    </row>
    <row r="650" spans="1:18" ht="14.25" thickBot="1">
      <c r="A650" s="1" t="s">
        <v>550</v>
      </c>
      <c r="B650" s="3">
        <v>1</v>
      </c>
      <c r="C650" s="9" t="s">
        <v>2567</v>
      </c>
      <c r="D650" s="1" t="s">
        <v>12</v>
      </c>
      <c r="E650" s="1">
        <v>5</v>
      </c>
      <c r="F650" s="1">
        <v>2</v>
      </c>
      <c r="G650" s="1">
        <v>40</v>
      </c>
      <c r="H650" s="10" t="s">
        <v>2120</v>
      </c>
      <c r="I650" s="1">
        <v>8000</v>
      </c>
      <c r="J650" s="1">
        <v>10</v>
      </c>
      <c r="K650" s="1">
        <v>0</v>
      </c>
      <c r="L650" s="1">
        <v>0</v>
      </c>
      <c r="M650" s="1" t="s">
        <v>1924</v>
      </c>
      <c r="N650" s="1" t="s">
        <v>715</v>
      </c>
      <c r="O650" s="1">
        <v>0</v>
      </c>
      <c r="P650" s="1" t="s">
        <v>2053</v>
      </c>
      <c r="Q650" s="7" t="str">
        <f t="shared" si="5"/>
        <v>equipment/1115.png</v>
      </c>
      <c r="R650" s="1">
        <v>0</v>
      </c>
    </row>
    <row r="651" spans="1:18" ht="14.25" thickBot="1">
      <c r="A651" s="1" t="s">
        <v>551</v>
      </c>
      <c r="B651" s="3">
        <v>1</v>
      </c>
      <c r="C651" s="9" t="s">
        <v>2568</v>
      </c>
      <c r="D651" s="1" t="s">
        <v>12</v>
      </c>
      <c r="E651" s="1">
        <v>5</v>
      </c>
      <c r="F651" s="1">
        <v>2</v>
      </c>
      <c r="G651" s="1">
        <v>40</v>
      </c>
      <c r="H651" s="10" t="s">
        <v>2120</v>
      </c>
      <c r="I651" s="1">
        <v>8600</v>
      </c>
      <c r="J651" s="1">
        <v>10</v>
      </c>
      <c r="K651" s="1">
        <v>0</v>
      </c>
      <c r="L651" s="1">
        <v>0</v>
      </c>
      <c r="M651" s="1" t="s">
        <v>2019</v>
      </c>
      <c r="N651" s="1" t="s">
        <v>715</v>
      </c>
      <c r="O651" s="1">
        <v>0</v>
      </c>
      <c r="P651" s="1" t="s">
        <v>2053</v>
      </c>
      <c r="Q651" s="7" t="str">
        <f t="shared" si="5"/>
        <v>equipment/1116.png</v>
      </c>
      <c r="R651" s="1">
        <v>0</v>
      </c>
    </row>
    <row r="652" spans="1:18" ht="14.25" thickBot="1">
      <c r="A652" s="1" t="s">
        <v>552</v>
      </c>
      <c r="B652" s="3">
        <v>1</v>
      </c>
      <c r="C652" s="9" t="s">
        <v>2569</v>
      </c>
      <c r="D652" s="1" t="s">
        <v>13</v>
      </c>
      <c r="E652" s="1">
        <v>6</v>
      </c>
      <c r="F652" s="1">
        <v>2</v>
      </c>
      <c r="G652" s="1">
        <v>40</v>
      </c>
      <c r="H652" s="10" t="s">
        <v>2120</v>
      </c>
      <c r="I652" s="1">
        <v>8000</v>
      </c>
      <c r="J652" s="1">
        <v>10</v>
      </c>
      <c r="K652" s="1">
        <v>0</v>
      </c>
      <c r="L652" s="1">
        <v>0</v>
      </c>
      <c r="M652" s="1" t="s">
        <v>1925</v>
      </c>
      <c r="N652" s="1" t="s">
        <v>715</v>
      </c>
      <c r="O652" s="1">
        <v>0</v>
      </c>
      <c r="P652" s="1" t="s">
        <v>2053</v>
      </c>
      <c r="Q652" s="7" t="str">
        <f t="shared" si="5"/>
        <v>equipment/2109.png</v>
      </c>
      <c r="R652" s="1">
        <v>0</v>
      </c>
    </row>
    <row r="653" spans="1:18" ht="14.25" thickBot="1">
      <c r="A653" s="1" t="s">
        <v>553</v>
      </c>
      <c r="B653" s="2">
        <v>0</v>
      </c>
      <c r="C653" s="9" t="s">
        <v>2061</v>
      </c>
      <c r="D653" s="1" t="s">
        <v>13</v>
      </c>
      <c r="E653" s="1">
        <v>6</v>
      </c>
      <c r="F653" s="1">
        <v>2</v>
      </c>
      <c r="G653" s="1">
        <v>40</v>
      </c>
      <c r="H653" s="10" t="s">
        <v>2120</v>
      </c>
      <c r="I653" s="1">
        <v>8600</v>
      </c>
      <c r="J653" s="1">
        <v>10</v>
      </c>
      <c r="K653" s="1">
        <v>0</v>
      </c>
      <c r="L653" s="1">
        <v>0</v>
      </c>
      <c r="M653" s="1" t="s">
        <v>1926</v>
      </c>
      <c r="N653" s="1" t="s">
        <v>715</v>
      </c>
      <c r="O653" s="1">
        <v>0</v>
      </c>
      <c r="P653" s="1" t="s">
        <v>2053</v>
      </c>
      <c r="Q653" s="7" t="str">
        <f t="shared" si="5"/>
        <v>equipment/2101.png</v>
      </c>
      <c r="R653" s="1">
        <v>0</v>
      </c>
    </row>
    <row r="654" spans="1:18" ht="14.25" thickBot="1">
      <c r="A654" s="1" t="s">
        <v>554</v>
      </c>
      <c r="B654" s="3">
        <v>1</v>
      </c>
      <c r="C654" s="1" t="s">
        <v>2570</v>
      </c>
      <c r="D654" s="1" t="s">
        <v>12</v>
      </c>
      <c r="E654" s="1">
        <v>5</v>
      </c>
      <c r="F654" s="1">
        <v>2</v>
      </c>
      <c r="G654" s="1">
        <v>40</v>
      </c>
      <c r="H654" s="10" t="s">
        <v>2121</v>
      </c>
      <c r="I654" s="1">
        <v>8000</v>
      </c>
      <c r="J654" s="1">
        <v>10</v>
      </c>
      <c r="K654" s="1">
        <v>0</v>
      </c>
      <c r="L654" s="1">
        <v>0</v>
      </c>
      <c r="M654" s="1" t="s">
        <v>1924</v>
      </c>
      <c r="N654" s="1" t="s">
        <v>715</v>
      </c>
      <c r="O654" s="1">
        <v>0</v>
      </c>
      <c r="P654" s="1" t="s">
        <v>2053</v>
      </c>
      <c r="Q654" s="7" t="str">
        <f t="shared" si="5"/>
        <v>equipment/1216.png</v>
      </c>
      <c r="R654" s="1">
        <v>0</v>
      </c>
    </row>
    <row r="655" spans="1:18" ht="14.25" thickBot="1">
      <c r="A655" s="1" t="s">
        <v>555</v>
      </c>
      <c r="B655" s="3">
        <v>1</v>
      </c>
      <c r="C655" s="1" t="s">
        <v>2571</v>
      </c>
      <c r="D655" s="1" t="s">
        <v>12</v>
      </c>
      <c r="E655" s="1">
        <v>5</v>
      </c>
      <c r="F655" s="1">
        <v>2</v>
      </c>
      <c r="G655" s="1">
        <v>40</v>
      </c>
      <c r="H655" s="10" t="s">
        <v>2121</v>
      </c>
      <c r="I655" s="1">
        <v>8600</v>
      </c>
      <c r="J655" s="1">
        <v>10</v>
      </c>
      <c r="K655" s="1">
        <v>0</v>
      </c>
      <c r="L655" s="1">
        <v>0</v>
      </c>
      <c r="M655" s="1" t="s">
        <v>2019</v>
      </c>
      <c r="N655" s="1" t="s">
        <v>715</v>
      </c>
      <c r="O655" s="1">
        <v>0</v>
      </c>
      <c r="P655" s="1" t="s">
        <v>2053</v>
      </c>
      <c r="Q655" s="7" t="str">
        <f t="shared" si="5"/>
        <v>equipment/1214.png</v>
      </c>
      <c r="R655" s="1">
        <v>0</v>
      </c>
    </row>
    <row r="656" spans="1:18" ht="14.25" thickBot="1">
      <c r="A656" s="1" t="s">
        <v>556</v>
      </c>
      <c r="B656" s="3">
        <v>1</v>
      </c>
      <c r="C656" s="9" t="s">
        <v>2572</v>
      </c>
      <c r="D656" s="1" t="s">
        <v>13</v>
      </c>
      <c r="E656" s="1">
        <v>6</v>
      </c>
      <c r="F656" s="1">
        <v>2</v>
      </c>
      <c r="G656" s="1">
        <v>40</v>
      </c>
      <c r="H656" s="10" t="s">
        <v>2121</v>
      </c>
      <c r="I656" s="1">
        <v>8000</v>
      </c>
      <c r="J656" s="1">
        <v>10</v>
      </c>
      <c r="K656" s="1">
        <v>0</v>
      </c>
      <c r="L656" s="1">
        <v>0</v>
      </c>
      <c r="M656" s="1" t="s">
        <v>1923</v>
      </c>
      <c r="N656" s="1" t="s">
        <v>715</v>
      </c>
      <c r="O656" s="1">
        <v>0</v>
      </c>
      <c r="P656" s="1" t="s">
        <v>2053</v>
      </c>
      <c r="Q656" s="7" t="str">
        <f t="shared" si="5"/>
        <v>equipment/2209.png</v>
      </c>
      <c r="R656" s="1">
        <v>0</v>
      </c>
    </row>
    <row r="657" spans="1:18" ht="14.25" thickBot="1">
      <c r="A657" s="1" t="s">
        <v>557</v>
      </c>
      <c r="B657" s="2">
        <v>0</v>
      </c>
      <c r="C657" s="9" t="s">
        <v>2094</v>
      </c>
      <c r="D657" s="1" t="s">
        <v>13</v>
      </c>
      <c r="E657" s="1">
        <v>6</v>
      </c>
      <c r="F657" s="1">
        <v>2</v>
      </c>
      <c r="G657" s="1">
        <v>40</v>
      </c>
      <c r="H657" s="10" t="s">
        <v>2121</v>
      </c>
      <c r="I657" s="1">
        <v>8600</v>
      </c>
      <c r="J657" s="1">
        <v>10</v>
      </c>
      <c r="K657" s="1">
        <v>0</v>
      </c>
      <c r="L657" s="1">
        <v>0</v>
      </c>
      <c r="M657" s="1" t="s">
        <v>1927</v>
      </c>
      <c r="N657" s="1" t="s">
        <v>715</v>
      </c>
      <c r="O657" s="1">
        <v>0</v>
      </c>
      <c r="P657" s="1" t="s">
        <v>2053</v>
      </c>
      <c r="Q657" s="7" t="str">
        <f t="shared" si="5"/>
        <v>equipment/2201.png</v>
      </c>
      <c r="R657" s="1">
        <v>0</v>
      </c>
    </row>
    <row r="658" spans="1:18" ht="14.25" thickBot="1">
      <c r="A658" s="1" t="s">
        <v>558</v>
      </c>
      <c r="B658" s="3">
        <v>1</v>
      </c>
      <c r="C658" s="9" t="s">
        <v>2573</v>
      </c>
      <c r="D658" s="1" t="s">
        <v>12</v>
      </c>
      <c r="E658" s="1">
        <v>5</v>
      </c>
      <c r="F658" s="1">
        <v>2</v>
      </c>
      <c r="G658" s="1">
        <v>40</v>
      </c>
      <c r="H658" s="10" t="s">
        <v>2122</v>
      </c>
      <c r="I658" s="1">
        <v>8000</v>
      </c>
      <c r="J658" s="1">
        <v>10</v>
      </c>
      <c r="K658" s="1">
        <v>0</v>
      </c>
      <c r="L658" s="1">
        <v>0</v>
      </c>
      <c r="M658" s="1" t="s">
        <v>1924</v>
      </c>
      <c r="N658" s="1" t="s">
        <v>715</v>
      </c>
      <c r="O658" s="1">
        <v>0</v>
      </c>
      <c r="P658" s="1" t="s">
        <v>2053</v>
      </c>
      <c r="Q658" s="7" t="str">
        <f t="shared" si="5"/>
        <v>equipment/1317.png</v>
      </c>
      <c r="R658" s="1">
        <v>0</v>
      </c>
    </row>
    <row r="659" spans="1:18" ht="14.25" thickBot="1">
      <c r="A659" s="1" t="s">
        <v>559</v>
      </c>
      <c r="B659" s="3">
        <v>1</v>
      </c>
      <c r="C659" s="9" t="s">
        <v>2574</v>
      </c>
      <c r="D659" s="1" t="s">
        <v>12</v>
      </c>
      <c r="E659" s="1">
        <v>5</v>
      </c>
      <c r="F659" s="1">
        <v>2</v>
      </c>
      <c r="G659" s="1">
        <v>40</v>
      </c>
      <c r="H659" s="10" t="s">
        <v>2122</v>
      </c>
      <c r="I659" s="1">
        <v>8600</v>
      </c>
      <c r="J659" s="1">
        <v>10</v>
      </c>
      <c r="K659" s="1">
        <v>0</v>
      </c>
      <c r="L659" s="1">
        <v>0</v>
      </c>
      <c r="M659" s="1" t="s">
        <v>2019</v>
      </c>
      <c r="N659" s="1" t="s">
        <v>715</v>
      </c>
      <c r="O659" s="1">
        <v>0</v>
      </c>
      <c r="P659" s="1" t="s">
        <v>2053</v>
      </c>
      <c r="Q659" s="7" t="str">
        <f t="shared" si="5"/>
        <v>equipment/1315.png</v>
      </c>
      <c r="R659" s="1">
        <v>0</v>
      </c>
    </row>
    <row r="660" spans="1:18" ht="14.25" thickBot="1">
      <c r="A660" s="1" t="s">
        <v>560</v>
      </c>
      <c r="B660" s="3">
        <v>1</v>
      </c>
      <c r="C660" s="9" t="s">
        <v>2575</v>
      </c>
      <c r="D660" s="1" t="s">
        <v>13</v>
      </c>
      <c r="E660" s="1">
        <v>6</v>
      </c>
      <c r="F660" s="1">
        <v>2</v>
      </c>
      <c r="G660" s="1">
        <v>40</v>
      </c>
      <c r="H660" s="10" t="s">
        <v>2122</v>
      </c>
      <c r="I660" s="1">
        <v>8000</v>
      </c>
      <c r="J660" s="1">
        <v>10</v>
      </c>
      <c r="K660" s="1">
        <v>0</v>
      </c>
      <c r="L660" s="1">
        <v>0</v>
      </c>
      <c r="M660" s="1" t="s">
        <v>1928</v>
      </c>
      <c r="N660" s="1" t="s">
        <v>715</v>
      </c>
      <c r="O660" s="1">
        <v>0</v>
      </c>
      <c r="P660" s="1" t="s">
        <v>2053</v>
      </c>
      <c r="Q660" s="7" t="str">
        <f t="shared" si="5"/>
        <v>equipment/2309.png</v>
      </c>
      <c r="R660" s="1">
        <v>0</v>
      </c>
    </row>
    <row r="661" spans="1:18" ht="14.25" thickBot="1">
      <c r="A661" s="1" t="s">
        <v>561</v>
      </c>
      <c r="B661" s="2">
        <v>0</v>
      </c>
      <c r="C661" s="9" t="s">
        <v>2095</v>
      </c>
      <c r="D661" s="1" t="s">
        <v>13</v>
      </c>
      <c r="E661" s="1">
        <v>6</v>
      </c>
      <c r="F661" s="1">
        <v>2</v>
      </c>
      <c r="G661" s="1">
        <v>40</v>
      </c>
      <c r="H661" s="10" t="s">
        <v>2122</v>
      </c>
      <c r="I661" s="1">
        <v>8600</v>
      </c>
      <c r="J661" s="1">
        <v>10</v>
      </c>
      <c r="K661" s="1">
        <v>0</v>
      </c>
      <c r="L661" s="1">
        <v>0</v>
      </c>
      <c r="M661" s="1" t="s">
        <v>1929</v>
      </c>
      <c r="N661" s="1" t="s">
        <v>715</v>
      </c>
      <c r="O661" s="1">
        <v>0</v>
      </c>
      <c r="P661" s="1" t="s">
        <v>2053</v>
      </c>
      <c r="Q661" s="7" t="str">
        <f t="shared" ref="Q661:Q724" si="6">Q199</f>
        <v>equipment/2301.png</v>
      </c>
      <c r="R661" s="1">
        <v>0</v>
      </c>
    </row>
    <row r="662" spans="1:18" ht="14.25" thickBot="1">
      <c r="A662" s="1" t="s">
        <v>562</v>
      </c>
      <c r="B662" s="3">
        <v>1</v>
      </c>
      <c r="C662" s="1" t="s">
        <v>2086</v>
      </c>
      <c r="D662" s="1" t="s">
        <v>11</v>
      </c>
      <c r="E662" s="1">
        <v>4</v>
      </c>
      <c r="F662" s="1">
        <v>2</v>
      </c>
      <c r="G662" s="1">
        <v>40</v>
      </c>
      <c r="H662" s="10">
        <v>0</v>
      </c>
      <c r="I662" s="1">
        <v>8000</v>
      </c>
      <c r="J662" s="1">
        <v>10</v>
      </c>
      <c r="K662" s="1">
        <v>0</v>
      </c>
      <c r="L662" s="1">
        <v>0</v>
      </c>
      <c r="M662" s="1" t="s">
        <v>1930</v>
      </c>
      <c r="N662" s="1" t="s">
        <v>714</v>
      </c>
      <c r="O662" s="1">
        <v>0</v>
      </c>
      <c r="P662" s="1" t="s">
        <v>2053</v>
      </c>
      <c r="Q662" s="7" t="str">
        <f t="shared" si="6"/>
        <v>equipment/5012.png</v>
      </c>
      <c r="R662" s="1">
        <v>0</v>
      </c>
    </row>
    <row r="663" spans="1:18" ht="14.25" thickBot="1">
      <c r="A663" s="1" t="s">
        <v>563</v>
      </c>
      <c r="B663" s="2">
        <v>0</v>
      </c>
      <c r="C663" s="1" t="s">
        <v>2499</v>
      </c>
      <c r="D663" s="1" t="s">
        <v>11</v>
      </c>
      <c r="E663" s="1">
        <v>4</v>
      </c>
      <c r="F663" s="1">
        <v>2</v>
      </c>
      <c r="G663" s="1">
        <v>40</v>
      </c>
      <c r="H663" s="10">
        <v>0</v>
      </c>
      <c r="I663" s="1">
        <v>8600</v>
      </c>
      <c r="J663" s="1">
        <v>10</v>
      </c>
      <c r="K663" s="1">
        <v>0</v>
      </c>
      <c r="L663" s="1">
        <v>0</v>
      </c>
      <c r="M663" s="1" t="s">
        <v>1931</v>
      </c>
      <c r="N663" s="1" t="s">
        <v>714</v>
      </c>
      <c r="O663" s="1">
        <v>0</v>
      </c>
      <c r="P663" s="1" t="s">
        <v>2053</v>
      </c>
      <c r="Q663" s="7" t="str">
        <f t="shared" si="6"/>
        <v>equipment/5001.png</v>
      </c>
      <c r="R663" s="1">
        <v>0</v>
      </c>
    </row>
    <row r="664" spans="1:18" ht="14.25" thickBot="1">
      <c r="A664" s="1" t="s">
        <v>564</v>
      </c>
      <c r="B664" s="3">
        <v>1</v>
      </c>
      <c r="C664" s="1" t="s">
        <v>2091</v>
      </c>
      <c r="D664" s="1" t="s">
        <v>14</v>
      </c>
      <c r="E664" s="1">
        <v>7</v>
      </c>
      <c r="F664" s="1">
        <v>2</v>
      </c>
      <c r="G664" s="1">
        <v>40</v>
      </c>
      <c r="H664" s="10">
        <v>0</v>
      </c>
      <c r="I664" s="1">
        <v>8000</v>
      </c>
      <c r="J664" s="1">
        <v>10</v>
      </c>
      <c r="K664" s="1">
        <v>0</v>
      </c>
      <c r="L664" s="1">
        <v>0</v>
      </c>
      <c r="M664" s="1" t="s">
        <v>1932</v>
      </c>
      <c r="N664" s="1" t="s">
        <v>714</v>
      </c>
      <c r="O664" s="1">
        <v>0</v>
      </c>
      <c r="P664" s="1" t="s">
        <v>2053</v>
      </c>
      <c r="Q664" s="7" t="str">
        <f t="shared" si="6"/>
        <v>equipment/7009.png</v>
      </c>
      <c r="R664" s="1">
        <v>0</v>
      </c>
    </row>
    <row r="665" spans="1:18" ht="14.25" thickBot="1">
      <c r="A665" s="1" t="s">
        <v>565</v>
      </c>
      <c r="B665" s="2">
        <v>0</v>
      </c>
      <c r="C665" s="1" t="s">
        <v>2501</v>
      </c>
      <c r="D665" s="1" t="s">
        <v>14</v>
      </c>
      <c r="E665" s="1">
        <v>7</v>
      </c>
      <c r="F665" s="1">
        <v>2</v>
      </c>
      <c r="G665" s="1">
        <v>40</v>
      </c>
      <c r="H665" s="10">
        <v>0</v>
      </c>
      <c r="I665" s="1">
        <v>8600</v>
      </c>
      <c r="J665" s="1">
        <v>10</v>
      </c>
      <c r="K665" s="1">
        <v>0</v>
      </c>
      <c r="L665" s="1">
        <v>0</v>
      </c>
      <c r="M665" s="1" t="s">
        <v>1933</v>
      </c>
      <c r="N665" s="1" t="s">
        <v>714</v>
      </c>
      <c r="O665" s="1">
        <v>0</v>
      </c>
      <c r="P665" s="1" t="s">
        <v>2053</v>
      </c>
      <c r="Q665" s="7" t="str">
        <f t="shared" si="6"/>
        <v>equipment/7001.png</v>
      </c>
      <c r="R665" s="1">
        <v>0</v>
      </c>
    </row>
    <row r="666" spans="1:18" ht="14.25" thickBot="1">
      <c r="A666" s="1" t="s">
        <v>566</v>
      </c>
      <c r="B666" s="2">
        <v>1</v>
      </c>
      <c r="C666" s="1" t="s">
        <v>2576</v>
      </c>
      <c r="D666" s="1" t="s">
        <v>8</v>
      </c>
      <c r="E666" s="1">
        <v>1</v>
      </c>
      <c r="F666" s="1">
        <v>2</v>
      </c>
      <c r="G666" s="1">
        <v>45</v>
      </c>
      <c r="H666" s="10">
        <v>0</v>
      </c>
      <c r="I666" s="1">
        <v>9000</v>
      </c>
      <c r="J666" s="1">
        <v>10</v>
      </c>
      <c r="K666" s="1">
        <v>0</v>
      </c>
      <c r="L666" s="1">
        <v>0</v>
      </c>
      <c r="M666" s="1" t="s">
        <v>1919</v>
      </c>
      <c r="N666" s="1" t="s">
        <v>716</v>
      </c>
      <c r="O666" s="1">
        <v>0</v>
      </c>
      <c r="P666" s="1" t="s">
        <v>2054</v>
      </c>
      <c r="Q666" s="7" t="str">
        <f t="shared" si="6"/>
        <v>equipment/3003.png</v>
      </c>
      <c r="R666" s="1">
        <v>0</v>
      </c>
    </row>
    <row r="667" spans="1:18" ht="14.25" thickBot="1">
      <c r="A667" s="1" t="s">
        <v>567</v>
      </c>
      <c r="B667" s="2">
        <v>1</v>
      </c>
      <c r="C667" s="1" t="s">
        <v>2577</v>
      </c>
      <c r="D667" s="1" t="s">
        <v>9</v>
      </c>
      <c r="E667" s="1">
        <v>2</v>
      </c>
      <c r="F667" s="1">
        <v>2</v>
      </c>
      <c r="G667" s="1">
        <v>45</v>
      </c>
      <c r="H667" s="10">
        <v>0</v>
      </c>
      <c r="I667" s="1">
        <v>9000</v>
      </c>
      <c r="J667" s="1">
        <v>10</v>
      </c>
      <c r="K667" s="1">
        <v>0</v>
      </c>
      <c r="L667" s="1">
        <v>0</v>
      </c>
      <c r="M667" s="1" t="s">
        <v>1920</v>
      </c>
      <c r="N667" s="1" t="s">
        <v>716</v>
      </c>
      <c r="O667" s="1">
        <v>0</v>
      </c>
      <c r="P667" s="1" t="s">
        <v>2054</v>
      </c>
      <c r="Q667" s="7" t="str">
        <f t="shared" si="6"/>
        <v>equipment/14001.png</v>
      </c>
      <c r="R667" s="1">
        <v>0</v>
      </c>
    </row>
    <row r="668" spans="1:18" ht="14.25" thickBot="1">
      <c r="A668" s="1" t="s">
        <v>568</v>
      </c>
      <c r="B668" s="3">
        <v>1</v>
      </c>
      <c r="C668" s="1" t="s">
        <v>2578</v>
      </c>
      <c r="D668" s="1" t="s">
        <v>10</v>
      </c>
      <c r="E668" s="1">
        <v>3</v>
      </c>
      <c r="F668" s="1">
        <v>2</v>
      </c>
      <c r="G668" s="1">
        <v>45</v>
      </c>
      <c r="H668" s="10">
        <v>0</v>
      </c>
      <c r="I668" s="1">
        <v>9000</v>
      </c>
      <c r="J668" s="1">
        <v>10</v>
      </c>
      <c r="K668" s="1">
        <v>0</v>
      </c>
      <c r="L668" s="1">
        <v>0</v>
      </c>
      <c r="M668" s="1" t="s">
        <v>1934</v>
      </c>
      <c r="N668" s="1" t="s">
        <v>716</v>
      </c>
      <c r="O668" s="1">
        <v>0</v>
      </c>
      <c r="P668" s="1" t="s">
        <v>2054</v>
      </c>
      <c r="Q668" s="7" t="str">
        <f t="shared" si="6"/>
        <v>equipment/6008.png</v>
      </c>
      <c r="R668" s="1">
        <v>0</v>
      </c>
    </row>
    <row r="669" spans="1:18" ht="14.25" thickBot="1">
      <c r="A669" s="1" t="s">
        <v>569</v>
      </c>
      <c r="B669" s="3">
        <v>1</v>
      </c>
      <c r="C669" s="1" t="s">
        <v>2070</v>
      </c>
      <c r="D669" s="1" t="s">
        <v>15</v>
      </c>
      <c r="E669" s="1">
        <v>8</v>
      </c>
      <c r="F669" s="1">
        <v>2</v>
      </c>
      <c r="G669" s="1">
        <v>45</v>
      </c>
      <c r="H669" s="10">
        <v>0</v>
      </c>
      <c r="I669" s="1">
        <v>9000</v>
      </c>
      <c r="J669" s="1">
        <v>10</v>
      </c>
      <c r="K669" s="1">
        <v>0</v>
      </c>
      <c r="L669" s="1">
        <v>0</v>
      </c>
      <c r="M669" s="1" t="s">
        <v>1935</v>
      </c>
      <c r="N669" s="1" t="s">
        <v>716</v>
      </c>
      <c r="O669" s="1">
        <v>0</v>
      </c>
      <c r="P669" s="1" t="s">
        <v>2054</v>
      </c>
      <c r="Q669" s="7" t="str">
        <f t="shared" si="6"/>
        <v>equipment/8008.png</v>
      </c>
      <c r="R669" s="1">
        <v>0</v>
      </c>
    </row>
    <row r="670" spans="1:18" ht="14.25" thickBot="1">
      <c r="A670" s="1" t="s">
        <v>570</v>
      </c>
      <c r="B670" s="3">
        <v>1</v>
      </c>
      <c r="C670" s="1" t="s">
        <v>2579</v>
      </c>
      <c r="D670" s="1" t="s">
        <v>16</v>
      </c>
      <c r="E670" s="1">
        <v>9</v>
      </c>
      <c r="F670" s="1">
        <v>2</v>
      </c>
      <c r="G670" s="1">
        <v>45</v>
      </c>
      <c r="H670" s="10">
        <v>0</v>
      </c>
      <c r="I670" s="1">
        <v>9000</v>
      </c>
      <c r="J670" s="1">
        <v>10</v>
      </c>
      <c r="K670" s="1">
        <v>0</v>
      </c>
      <c r="L670" s="1">
        <v>0</v>
      </c>
      <c r="M670" s="1" t="s">
        <v>1936</v>
      </c>
      <c r="N670" s="1" t="s">
        <v>716</v>
      </c>
      <c r="O670" s="1">
        <v>0</v>
      </c>
      <c r="P670" s="1" t="s">
        <v>2054</v>
      </c>
      <c r="Q670" s="7" t="str">
        <f t="shared" si="6"/>
        <v>equipment/10008.png</v>
      </c>
      <c r="R670" s="1">
        <v>0</v>
      </c>
    </row>
    <row r="671" spans="1:18" ht="14.25" thickBot="1">
      <c r="A671" s="1" t="s">
        <v>571</v>
      </c>
      <c r="B671" s="3">
        <v>1</v>
      </c>
      <c r="C671" s="1" t="s">
        <v>2580</v>
      </c>
      <c r="D671" s="1" t="s">
        <v>17</v>
      </c>
      <c r="E671" s="1">
        <v>10</v>
      </c>
      <c r="F671" s="1">
        <v>2</v>
      </c>
      <c r="G671" s="1">
        <v>45</v>
      </c>
      <c r="H671" s="10">
        <v>0</v>
      </c>
      <c r="I671" s="1">
        <v>9000</v>
      </c>
      <c r="J671" s="1">
        <v>10</v>
      </c>
      <c r="K671" s="1">
        <v>0</v>
      </c>
      <c r="L671" s="1">
        <v>0</v>
      </c>
      <c r="M671" s="1" t="s">
        <v>1937</v>
      </c>
      <c r="N671" s="1" t="s">
        <v>716</v>
      </c>
      <c r="O671" s="1">
        <v>0</v>
      </c>
      <c r="P671" s="1" t="s">
        <v>2054</v>
      </c>
      <c r="Q671" s="7" t="str">
        <f t="shared" si="6"/>
        <v>equipment/12007.png</v>
      </c>
      <c r="R671" s="1">
        <v>0</v>
      </c>
    </row>
    <row r="672" spans="1:18" ht="14.25" thickBot="1">
      <c r="A672" s="1" t="s">
        <v>572</v>
      </c>
      <c r="B672" s="3">
        <v>1</v>
      </c>
      <c r="C672" s="9" t="s">
        <v>2581</v>
      </c>
      <c r="D672" s="1" t="s">
        <v>12</v>
      </c>
      <c r="E672" s="1">
        <v>5</v>
      </c>
      <c r="F672" s="1">
        <v>2</v>
      </c>
      <c r="G672" s="1">
        <v>45</v>
      </c>
      <c r="H672" s="10" t="s">
        <v>2120</v>
      </c>
      <c r="I672" s="1">
        <v>9000</v>
      </c>
      <c r="J672" s="1">
        <v>10</v>
      </c>
      <c r="K672" s="1">
        <v>0</v>
      </c>
      <c r="L672" s="1">
        <v>0</v>
      </c>
      <c r="M672" s="1" t="s">
        <v>2020</v>
      </c>
      <c r="N672" s="1" t="s">
        <v>717</v>
      </c>
      <c r="O672" s="1">
        <v>0</v>
      </c>
      <c r="P672" s="1" t="s">
        <v>2054</v>
      </c>
      <c r="Q672" s="7" t="str">
        <f t="shared" si="6"/>
        <v>equipment/1117.png</v>
      </c>
      <c r="R672" s="1">
        <v>0</v>
      </c>
    </row>
    <row r="673" spans="1:18" ht="14.25" thickBot="1">
      <c r="A673" s="1" t="s">
        <v>573</v>
      </c>
      <c r="B673" s="2">
        <v>0</v>
      </c>
      <c r="C673" s="9" t="s">
        <v>2491</v>
      </c>
      <c r="D673" s="1" t="s">
        <v>12</v>
      </c>
      <c r="E673" s="1">
        <v>5</v>
      </c>
      <c r="F673" s="1">
        <v>2</v>
      </c>
      <c r="G673" s="1">
        <v>45</v>
      </c>
      <c r="H673" s="10" t="s">
        <v>2120</v>
      </c>
      <c r="I673" s="1">
        <v>9600</v>
      </c>
      <c r="J673" s="1">
        <v>10</v>
      </c>
      <c r="K673" s="1">
        <v>0</v>
      </c>
      <c r="L673" s="1">
        <v>0</v>
      </c>
      <c r="M673" s="1" t="s">
        <v>2021</v>
      </c>
      <c r="N673" s="1" t="s">
        <v>717</v>
      </c>
      <c r="O673" s="1">
        <v>0</v>
      </c>
      <c r="P673" s="1" t="s">
        <v>2054</v>
      </c>
      <c r="Q673" s="7" t="str">
        <f t="shared" si="6"/>
        <v>equipment/1101.png</v>
      </c>
      <c r="R673" s="1">
        <v>0</v>
      </c>
    </row>
    <row r="674" spans="1:18" ht="14.25" thickBot="1">
      <c r="A674" s="1" t="s">
        <v>574</v>
      </c>
      <c r="B674" s="3">
        <v>1</v>
      </c>
      <c r="C674" s="9" t="s">
        <v>2582</v>
      </c>
      <c r="D674" s="1" t="s">
        <v>13</v>
      </c>
      <c r="E674" s="1">
        <v>6</v>
      </c>
      <c r="F674" s="1">
        <v>2</v>
      </c>
      <c r="G674" s="1">
        <v>45</v>
      </c>
      <c r="H674" s="10" t="s">
        <v>2120</v>
      </c>
      <c r="I674" s="1">
        <v>9000</v>
      </c>
      <c r="J674" s="1">
        <v>10</v>
      </c>
      <c r="K674" s="1">
        <v>0</v>
      </c>
      <c r="L674" s="1">
        <v>0</v>
      </c>
      <c r="M674" s="1" t="s">
        <v>1938</v>
      </c>
      <c r="N674" s="1" t="s">
        <v>717</v>
      </c>
      <c r="O674" s="1">
        <v>0</v>
      </c>
      <c r="P674" s="1" t="s">
        <v>2054</v>
      </c>
      <c r="Q674" s="7" t="str">
        <f t="shared" si="6"/>
        <v>equipment/2110.png</v>
      </c>
      <c r="R674" s="1">
        <v>0</v>
      </c>
    </row>
    <row r="675" spans="1:18" ht="14.25" thickBot="1">
      <c r="A675" s="1" t="s">
        <v>575</v>
      </c>
      <c r="B675" s="2">
        <v>0</v>
      </c>
      <c r="C675" s="9" t="s">
        <v>2061</v>
      </c>
      <c r="D675" s="1" t="s">
        <v>13</v>
      </c>
      <c r="E675" s="1">
        <v>6</v>
      </c>
      <c r="F675" s="1">
        <v>2</v>
      </c>
      <c r="G675" s="1">
        <v>45</v>
      </c>
      <c r="H675" s="10" t="s">
        <v>2120</v>
      </c>
      <c r="I675" s="1">
        <v>9600</v>
      </c>
      <c r="J675" s="1">
        <v>10</v>
      </c>
      <c r="K675" s="1">
        <v>0</v>
      </c>
      <c r="L675" s="1">
        <v>0</v>
      </c>
      <c r="M675" s="1" t="s">
        <v>1939</v>
      </c>
      <c r="N675" s="1" t="s">
        <v>717</v>
      </c>
      <c r="O675" s="1">
        <v>0</v>
      </c>
      <c r="P675" s="1" t="s">
        <v>2054</v>
      </c>
      <c r="Q675" s="7" t="str">
        <f t="shared" si="6"/>
        <v>equipment/2101.png</v>
      </c>
      <c r="R675" s="1">
        <v>0</v>
      </c>
    </row>
    <row r="676" spans="1:18" ht="14.25" thickBot="1">
      <c r="A676" s="1" t="s">
        <v>576</v>
      </c>
      <c r="B676" s="3">
        <v>1</v>
      </c>
      <c r="C676" s="1" t="s">
        <v>2583</v>
      </c>
      <c r="D676" s="1" t="s">
        <v>12</v>
      </c>
      <c r="E676" s="1">
        <v>5</v>
      </c>
      <c r="F676" s="1">
        <v>2</v>
      </c>
      <c r="G676" s="1">
        <v>45</v>
      </c>
      <c r="H676" s="10" t="s">
        <v>2121</v>
      </c>
      <c r="I676" s="1">
        <v>9000</v>
      </c>
      <c r="J676" s="1">
        <v>10</v>
      </c>
      <c r="K676" s="1">
        <v>0</v>
      </c>
      <c r="L676" s="1">
        <v>0</v>
      </c>
      <c r="M676" s="1" t="s">
        <v>2020</v>
      </c>
      <c r="N676" s="1" t="s">
        <v>717</v>
      </c>
      <c r="O676" s="1">
        <v>0</v>
      </c>
      <c r="P676" s="1" t="s">
        <v>2054</v>
      </c>
      <c r="Q676" s="7" t="str">
        <f t="shared" si="6"/>
        <v>equipment/1217.png</v>
      </c>
      <c r="R676" s="1">
        <v>0</v>
      </c>
    </row>
    <row r="677" spans="1:18" ht="14.25" thickBot="1">
      <c r="A677" s="1" t="s">
        <v>577</v>
      </c>
      <c r="B677" s="2">
        <v>0</v>
      </c>
      <c r="C677" s="1" t="s">
        <v>2494</v>
      </c>
      <c r="D677" s="1" t="s">
        <v>12</v>
      </c>
      <c r="E677" s="1">
        <v>5</v>
      </c>
      <c r="F677" s="1">
        <v>2</v>
      </c>
      <c r="G677" s="1">
        <v>45</v>
      </c>
      <c r="H677" s="10" t="s">
        <v>2121</v>
      </c>
      <c r="I677" s="1">
        <v>9600</v>
      </c>
      <c r="J677" s="1">
        <v>10</v>
      </c>
      <c r="K677" s="1">
        <v>0</v>
      </c>
      <c r="L677" s="1">
        <v>0</v>
      </c>
      <c r="M677" s="1" t="s">
        <v>2021</v>
      </c>
      <c r="N677" s="1" t="s">
        <v>717</v>
      </c>
      <c r="O677" s="1">
        <v>0</v>
      </c>
      <c r="P677" s="1" t="s">
        <v>2054</v>
      </c>
      <c r="Q677" s="7" t="str">
        <f t="shared" si="6"/>
        <v>equipment/1201.png</v>
      </c>
      <c r="R677" s="1">
        <v>0</v>
      </c>
    </row>
    <row r="678" spans="1:18" ht="14.25" thickBot="1">
      <c r="A678" s="1" t="s">
        <v>578</v>
      </c>
      <c r="B678" s="3">
        <v>1</v>
      </c>
      <c r="C678" s="9" t="s">
        <v>2584</v>
      </c>
      <c r="D678" s="1" t="s">
        <v>13</v>
      </c>
      <c r="E678" s="1">
        <v>6</v>
      </c>
      <c r="F678" s="1">
        <v>2</v>
      </c>
      <c r="G678" s="1">
        <v>45</v>
      </c>
      <c r="H678" s="10" t="s">
        <v>2121</v>
      </c>
      <c r="I678" s="1">
        <v>9000</v>
      </c>
      <c r="J678" s="1">
        <v>10</v>
      </c>
      <c r="K678" s="1">
        <v>0</v>
      </c>
      <c r="L678" s="1">
        <v>0</v>
      </c>
      <c r="M678" s="1" t="s">
        <v>1940</v>
      </c>
      <c r="N678" s="1" t="s">
        <v>717</v>
      </c>
      <c r="O678" s="1">
        <v>0</v>
      </c>
      <c r="P678" s="1" t="s">
        <v>2054</v>
      </c>
      <c r="Q678" s="7" t="str">
        <f t="shared" si="6"/>
        <v>equipment/2211.png</v>
      </c>
      <c r="R678" s="1">
        <v>0</v>
      </c>
    </row>
    <row r="679" spans="1:18" ht="14.25" thickBot="1">
      <c r="A679" s="1" t="s">
        <v>579</v>
      </c>
      <c r="B679" s="2">
        <v>0</v>
      </c>
      <c r="C679" s="9" t="s">
        <v>2094</v>
      </c>
      <c r="D679" s="1" t="s">
        <v>13</v>
      </c>
      <c r="E679" s="1">
        <v>6</v>
      </c>
      <c r="F679" s="1">
        <v>2</v>
      </c>
      <c r="G679" s="1">
        <v>45</v>
      </c>
      <c r="H679" s="10" t="s">
        <v>2121</v>
      </c>
      <c r="I679" s="1">
        <v>9600</v>
      </c>
      <c r="J679" s="1">
        <v>10</v>
      </c>
      <c r="K679" s="1">
        <v>0</v>
      </c>
      <c r="L679" s="1">
        <v>0</v>
      </c>
      <c r="M679" s="1" t="s">
        <v>1941</v>
      </c>
      <c r="N679" s="1" t="s">
        <v>717</v>
      </c>
      <c r="O679" s="1">
        <v>0</v>
      </c>
      <c r="P679" s="1" t="s">
        <v>2054</v>
      </c>
      <c r="Q679" s="7" t="str">
        <f t="shared" si="6"/>
        <v>equipment/2201.png</v>
      </c>
      <c r="R679" s="1">
        <v>0</v>
      </c>
    </row>
    <row r="680" spans="1:18" ht="14.25" thickBot="1">
      <c r="A680" s="1" t="s">
        <v>580</v>
      </c>
      <c r="B680" s="3">
        <v>1</v>
      </c>
      <c r="C680" s="9" t="s">
        <v>2585</v>
      </c>
      <c r="D680" s="1" t="s">
        <v>12</v>
      </c>
      <c r="E680" s="1">
        <v>5</v>
      </c>
      <c r="F680" s="1">
        <v>2</v>
      </c>
      <c r="G680" s="1">
        <v>45</v>
      </c>
      <c r="H680" s="10" t="s">
        <v>2122</v>
      </c>
      <c r="I680" s="1">
        <v>9000</v>
      </c>
      <c r="J680" s="1">
        <v>10</v>
      </c>
      <c r="K680" s="1">
        <v>0</v>
      </c>
      <c r="L680" s="1">
        <v>0</v>
      </c>
      <c r="M680" s="1" t="s">
        <v>2020</v>
      </c>
      <c r="N680" s="1" t="s">
        <v>717</v>
      </c>
      <c r="O680" s="1">
        <v>0</v>
      </c>
      <c r="P680" s="1" t="s">
        <v>2054</v>
      </c>
      <c r="Q680" s="7" t="str">
        <f t="shared" si="6"/>
        <v>equipment/1316.png</v>
      </c>
      <c r="R680" s="1">
        <v>0</v>
      </c>
    </row>
    <row r="681" spans="1:18" ht="14.25" thickBot="1">
      <c r="A681" s="1" t="s">
        <v>581</v>
      </c>
      <c r="B681" s="3">
        <v>1</v>
      </c>
      <c r="C681" s="9" t="s">
        <v>2586</v>
      </c>
      <c r="D681" s="1" t="s">
        <v>12</v>
      </c>
      <c r="E681" s="1">
        <v>5</v>
      </c>
      <c r="F681" s="1">
        <v>2</v>
      </c>
      <c r="G681" s="1">
        <v>45</v>
      </c>
      <c r="H681" s="10" t="s">
        <v>2122</v>
      </c>
      <c r="I681" s="1">
        <v>9600</v>
      </c>
      <c r="J681" s="1">
        <v>10</v>
      </c>
      <c r="K681" s="1">
        <v>0</v>
      </c>
      <c r="L681" s="1">
        <v>0</v>
      </c>
      <c r="M681" s="1" t="s">
        <v>2021</v>
      </c>
      <c r="N681" s="1" t="s">
        <v>717</v>
      </c>
      <c r="O681" s="1">
        <v>0</v>
      </c>
      <c r="P681" s="1" t="s">
        <v>2054</v>
      </c>
      <c r="Q681" s="7" t="str">
        <f t="shared" si="6"/>
        <v>equipment/1318.png</v>
      </c>
      <c r="R681" s="1">
        <v>0</v>
      </c>
    </row>
    <row r="682" spans="1:18" ht="14.25" thickBot="1">
      <c r="A682" s="1" t="s">
        <v>582</v>
      </c>
      <c r="B682" s="3">
        <v>1</v>
      </c>
      <c r="C682" s="9" t="s">
        <v>2587</v>
      </c>
      <c r="D682" s="1" t="s">
        <v>13</v>
      </c>
      <c r="E682" s="1">
        <v>6</v>
      </c>
      <c r="F682" s="1">
        <v>2</v>
      </c>
      <c r="G682" s="1">
        <v>45</v>
      </c>
      <c r="H682" s="10" t="s">
        <v>2122</v>
      </c>
      <c r="I682" s="1">
        <v>9000</v>
      </c>
      <c r="J682" s="1">
        <v>10</v>
      </c>
      <c r="K682" s="1">
        <v>0</v>
      </c>
      <c r="L682" s="1">
        <v>0</v>
      </c>
      <c r="M682" s="1" t="s">
        <v>1942</v>
      </c>
      <c r="N682" s="1" t="s">
        <v>717</v>
      </c>
      <c r="O682" s="1">
        <v>0</v>
      </c>
      <c r="P682" s="1" t="s">
        <v>2054</v>
      </c>
      <c r="Q682" s="7" t="str">
        <f t="shared" si="6"/>
        <v>equipment/2310.png</v>
      </c>
      <c r="R682" s="1">
        <v>0</v>
      </c>
    </row>
    <row r="683" spans="1:18" ht="14.25" thickBot="1">
      <c r="A683" s="1" t="s">
        <v>583</v>
      </c>
      <c r="B683" s="2">
        <v>0</v>
      </c>
      <c r="C683" s="9" t="s">
        <v>2095</v>
      </c>
      <c r="D683" s="1" t="s">
        <v>13</v>
      </c>
      <c r="E683" s="1">
        <v>6</v>
      </c>
      <c r="F683" s="1">
        <v>2</v>
      </c>
      <c r="G683" s="1">
        <v>45</v>
      </c>
      <c r="H683" s="10" t="s">
        <v>2122</v>
      </c>
      <c r="I683" s="1">
        <v>9600</v>
      </c>
      <c r="J683" s="1">
        <v>10</v>
      </c>
      <c r="K683" s="1">
        <v>0</v>
      </c>
      <c r="L683" s="1">
        <v>0</v>
      </c>
      <c r="M683" s="1" t="s">
        <v>1943</v>
      </c>
      <c r="N683" s="1" t="s">
        <v>717</v>
      </c>
      <c r="O683" s="1">
        <v>0</v>
      </c>
      <c r="P683" s="1" t="s">
        <v>2054</v>
      </c>
      <c r="Q683" s="7" t="str">
        <f t="shared" si="6"/>
        <v>equipment/2301.png</v>
      </c>
      <c r="R683" s="1">
        <v>0</v>
      </c>
    </row>
    <row r="684" spans="1:18" ht="14.25" thickBot="1">
      <c r="A684" s="1" t="s">
        <v>584</v>
      </c>
      <c r="B684" s="3">
        <v>1</v>
      </c>
      <c r="C684" s="1" t="s">
        <v>2588</v>
      </c>
      <c r="D684" s="1" t="s">
        <v>11</v>
      </c>
      <c r="E684" s="1">
        <v>4</v>
      </c>
      <c r="F684" s="1">
        <v>2</v>
      </c>
      <c r="G684" s="1">
        <v>45</v>
      </c>
      <c r="H684" s="10">
        <v>0</v>
      </c>
      <c r="I684" s="1">
        <v>9000</v>
      </c>
      <c r="J684" s="1">
        <v>10</v>
      </c>
      <c r="K684" s="1">
        <v>0</v>
      </c>
      <c r="L684" s="1">
        <v>0</v>
      </c>
      <c r="M684" s="1" t="s">
        <v>1944</v>
      </c>
      <c r="N684" s="1" t="s">
        <v>716</v>
      </c>
      <c r="O684" s="1">
        <v>0</v>
      </c>
      <c r="P684" s="1" t="s">
        <v>2054</v>
      </c>
      <c r="Q684" s="7" t="str">
        <f t="shared" si="6"/>
        <v>equipment/5013.png</v>
      </c>
      <c r="R684" s="1">
        <v>0</v>
      </c>
    </row>
    <row r="685" spans="1:18" ht="14.25" thickBot="1">
      <c r="A685" s="1" t="s">
        <v>585</v>
      </c>
      <c r="B685" s="3">
        <v>1</v>
      </c>
      <c r="C685" s="1" t="s">
        <v>2589</v>
      </c>
      <c r="D685" s="1" t="s">
        <v>11</v>
      </c>
      <c r="E685" s="1">
        <v>4</v>
      </c>
      <c r="F685" s="1">
        <v>2</v>
      </c>
      <c r="G685" s="1">
        <v>45</v>
      </c>
      <c r="H685" s="10">
        <v>0</v>
      </c>
      <c r="I685" s="1">
        <v>9600</v>
      </c>
      <c r="J685" s="1">
        <v>10</v>
      </c>
      <c r="K685" s="1">
        <v>0</v>
      </c>
      <c r="L685" s="1">
        <v>0</v>
      </c>
      <c r="M685" s="1" t="s">
        <v>1945</v>
      </c>
      <c r="N685" s="1" t="s">
        <v>716</v>
      </c>
      <c r="O685" s="1">
        <v>0</v>
      </c>
      <c r="P685" s="1" t="s">
        <v>2054</v>
      </c>
      <c r="Q685" s="7" t="str">
        <f t="shared" si="6"/>
        <v>equipment/5014.png</v>
      </c>
      <c r="R685" s="1">
        <v>0</v>
      </c>
    </row>
    <row r="686" spans="1:18" ht="14.25" thickBot="1">
      <c r="A686" s="1" t="s">
        <v>586</v>
      </c>
      <c r="B686" s="3">
        <v>1</v>
      </c>
      <c r="C686" s="1" t="s">
        <v>2092</v>
      </c>
      <c r="D686" s="1" t="s">
        <v>14</v>
      </c>
      <c r="E686" s="1">
        <v>7</v>
      </c>
      <c r="F686" s="1">
        <v>2</v>
      </c>
      <c r="G686" s="1">
        <v>45</v>
      </c>
      <c r="H686" s="10">
        <v>0</v>
      </c>
      <c r="I686" s="1">
        <v>9000</v>
      </c>
      <c r="J686" s="1">
        <v>10</v>
      </c>
      <c r="K686" s="1">
        <v>0</v>
      </c>
      <c r="L686" s="1">
        <v>0</v>
      </c>
      <c r="M686" s="1" t="s">
        <v>1930</v>
      </c>
      <c r="N686" s="1" t="s">
        <v>716</v>
      </c>
      <c r="O686" s="1">
        <v>0</v>
      </c>
      <c r="P686" s="1" t="s">
        <v>2054</v>
      </c>
      <c r="Q686" s="7" t="str">
        <f t="shared" si="6"/>
        <v>equipment/7011.png</v>
      </c>
      <c r="R686" s="1">
        <v>0</v>
      </c>
    </row>
    <row r="687" spans="1:18" ht="14.25" thickBot="1">
      <c r="A687" s="1" t="s">
        <v>587</v>
      </c>
      <c r="B687" s="3">
        <v>1</v>
      </c>
      <c r="C687" s="1" t="s">
        <v>2590</v>
      </c>
      <c r="D687" s="1" t="s">
        <v>14</v>
      </c>
      <c r="E687" s="1">
        <v>7</v>
      </c>
      <c r="F687" s="1">
        <v>2</v>
      </c>
      <c r="G687" s="1">
        <v>45</v>
      </c>
      <c r="H687" s="10">
        <v>0</v>
      </c>
      <c r="I687" s="1">
        <v>9600</v>
      </c>
      <c r="J687" s="1">
        <v>10</v>
      </c>
      <c r="K687" s="1">
        <v>0</v>
      </c>
      <c r="L687" s="1">
        <v>0</v>
      </c>
      <c r="M687" s="1" t="s">
        <v>1931</v>
      </c>
      <c r="N687" s="1" t="s">
        <v>716</v>
      </c>
      <c r="O687" s="1">
        <v>0</v>
      </c>
      <c r="P687" s="1" t="s">
        <v>2054</v>
      </c>
      <c r="Q687" s="7" t="str">
        <f t="shared" si="6"/>
        <v>equipment/7010.png</v>
      </c>
      <c r="R687" s="1">
        <v>0</v>
      </c>
    </row>
    <row r="688" spans="1:18" ht="14.25" thickBot="1">
      <c r="A688" s="1" t="s">
        <v>588</v>
      </c>
      <c r="B688" s="3">
        <v>1</v>
      </c>
      <c r="C688" s="1" t="s">
        <v>2591</v>
      </c>
      <c r="D688" s="1" t="s">
        <v>8</v>
      </c>
      <c r="E688" s="1">
        <v>1</v>
      </c>
      <c r="F688" s="1">
        <v>2</v>
      </c>
      <c r="G688" s="1">
        <v>50</v>
      </c>
      <c r="H688" s="10">
        <v>0</v>
      </c>
      <c r="I688" s="1">
        <v>10000</v>
      </c>
      <c r="J688" s="1">
        <v>10</v>
      </c>
      <c r="K688" s="1">
        <v>0</v>
      </c>
      <c r="L688" s="1">
        <v>0</v>
      </c>
      <c r="M688" s="1" t="s">
        <v>1946</v>
      </c>
      <c r="N688" s="1" t="s">
        <v>718</v>
      </c>
      <c r="O688" s="1">
        <v>0</v>
      </c>
      <c r="P688" s="1" t="s">
        <v>2055</v>
      </c>
      <c r="Q688" s="7" t="str">
        <f t="shared" si="6"/>
        <v>equipment/3008.png</v>
      </c>
      <c r="R688" s="1">
        <v>0</v>
      </c>
    </row>
    <row r="689" spans="1:18" ht="14.25" thickBot="1">
      <c r="A689" s="1" t="s">
        <v>589</v>
      </c>
      <c r="B689" s="3">
        <v>1</v>
      </c>
      <c r="C689" s="1" t="s">
        <v>2592</v>
      </c>
      <c r="D689" s="1" t="s">
        <v>9</v>
      </c>
      <c r="E689" s="1">
        <v>2</v>
      </c>
      <c r="F689" s="1">
        <v>2</v>
      </c>
      <c r="G689" s="1">
        <v>50</v>
      </c>
      <c r="H689" s="10">
        <v>0</v>
      </c>
      <c r="I689" s="1">
        <v>10000</v>
      </c>
      <c r="J689" s="1">
        <v>10</v>
      </c>
      <c r="K689" s="1">
        <v>0</v>
      </c>
      <c r="L689" s="1">
        <v>0</v>
      </c>
      <c r="M689" s="1" t="s">
        <v>1947</v>
      </c>
      <c r="N689" s="1" t="s">
        <v>718</v>
      </c>
      <c r="O689" s="1">
        <v>0</v>
      </c>
      <c r="P689" s="1" t="s">
        <v>2055</v>
      </c>
      <c r="Q689" s="7" t="str">
        <f t="shared" si="6"/>
        <v>equipment/14008.png</v>
      </c>
      <c r="R689" s="1">
        <v>0</v>
      </c>
    </row>
    <row r="690" spans="1:18" ht="14.25" thickBot="1">
      <c r="A690" s="1" t="s">
        <v>590</v>
      </c>
      <c r="B690" s="3">
        <v>1</v>
      </c>
      <c r="C690" s="1" t="s">
        <v>2593</v>
      </c>
      <c r="D690" s="1" t="s">
        <v>10</v>
      </c>
      <c r="E690" s="1">
        <v>3</v>
      </c>
      <c r="F690" s="1">
        <v>2</v>
      </c>
      <c r="G690" s="1">
        <v>50</v>
      </c>
      <c r="H690" s="10">
        <v>0</v>
      </c>
      <c r="I690" s="1">
        <v>10000</v>
      </c>
      <c r="J690" s="1">
        <v>10</v>
      </c>
      <c r="K690" s="1">
        <v>0</v>
      </c>
      <c r="L690" s="1">
        <v>0</v>
      </c>
      <c r="M690" s="1" t="s">
        <v>1948</v>
      </c>
      <c r="N690" s="1" t="s">
        <v>718</v>
      </c>
      <c r="O690" s="1">
        <v>0</v>
      </c>
      <c r="P690" s="1" t="s">
        <v>2055</v>
      </c>
      <c r="Q690" s="7" t="str">
        <f t="shared" si="6"/>
        <v>equipment/6009.png</v>
      </c>
      <c r="R690" s="1">
        <v>0</v>
      </c>
    </row>
    <row r="691" spans="1:18" ht="14.25" thickBot="1">
      <c r="A691" s="1" t="s">
        <v>591</v>
      </c>
      <c r="B691" s="2">
        <v>1</v>
      </c>
      <c r="C691" s="1" t="s">
        <v>2594</v>
      </c>
      <c r="D691" s="1" t="s">
        <v>15</v>
      </c>
      <c r="E691" s="1">
        <v>8</v>
      </c>
      <c r="F691" s="1">
        <v>2</v>
      </c>
      <c r="G691" s="1">
        <v>50</v>
      </c>
      <c r="H691" s="10">
        <v>0</v>
      </c>
      <c r="I691" s="1">
        <v>10000</v>
      </c>
      <c r="J691" s="1">
        <v>10</v>
      </c>
      <c r="K691" s="1">
        <v>0</v>
      </c>
      <c r="L691" s="1">
        <v>0</v>
      </c>
      <c r="M691" s="1" t="s">
        <v>1949</v>
      </c>
      <c r="N691" s="1" t="s">
        <v>718</v>
      </c>
      <c r="O691" s="1">
        <v>0</v>
      </c>
      <c r="P691" s="1" t="s">
        <v>2055</v>
      </c>
      <c r="Q691" s="7" t="str">
        <f t="shared" si="6"/>
        <v>equipment/8004.png</v>
      </c>
      <c r="R691" s="1">
        <v>0</v>
      </c>
    </row>
    <row r="692" spans="1:18" ht="14.25" thickBot="1">
      <c r="A692" s="1" t="s">
        <v>592</v>
      </c>
      <c r="B692" s="3">
        <v>1</v>
      </c>
      <c r="C692" s="1" t="s">
        <v>2075</v>
      </c>
      <c r="D692" s="1" t="s">
        <v>16</v>
      </c>
      <c r="E692" s="1">
        <v>9</v>
      </c>
      <c r="F692" s="1">
        <v>2</v>
      </c>
      <c r="G692" s="1">
        <v>50</v>
      </c>
      <c r="H692" s="10">
        <v>0</v>
      </c>
      <c r="I692" s="1">
        <v>10000</v>
      </c>
      <c r="J692" s="1">
        <v>10</v>
      </c>
      <c r="K692" s="1">
        <v>0</v>
      </c>
      <c r="L692" s="1">
        <v>0</v>
      </c>
      <c r="M692" s="1" t="s">
        <v>1950</v>
      </c>
      <c r="N692" s="1" t="s">
        <v>718</v>
      </c>
      <c r="O692" s="1">
        <v>0</v>
      </c>
      <c r="P692" s="1" t="s">
        <v>2055</v>
      </c>
      <c r="Q692" s="7" t="str">
        <f t="shared" si="6"/>
        <v>equipment/10009.png</v>
      </c>
      <c r="R692" s="1">
        <v>0</v>
      </c>
    </row>
    <row r="693" spans="1:18" ht="14.25" thickBot="1">
      <c r="A693" s="1" t="s">
        <v>593</v>
      </c>
      <c r="B693" s="3">
        <v>1</v>
      </c>
      <c r="C693" s="1" t="s">
        <v>2595</v>
      </c>
      <c r="D693" s="1" t="s">
        <v>17</v>
      </c>
      <c r="E693" s="1">
        <v>10</v>
      </c>
      <c r="F693" s="1">
        <v>2</v>
      </c>
      <c r="G693" s="1">
        <v>50</v>
      </c>
      <c r="H693" s="10">
        <v>0</v>
      </c>
      <c r="I693" s="1">
        <v>10000</v>
      </c>
      <c r="J693" s="1">
        <v>10</v>
      </c>
      <c r="K693" s="1">
        <v>0</v>
      </c>
      <c r="L693" s="1">
        <v>0</v>
      </c>
      <c r="M693" s="1" t="s">
        <v>1951</v>
      </c>
      <c r="N693" s="1" t="s">
        <v>718</v>
      </c>
      <c r="O693" s="1">
        <v>0</v>
      </c>
      <c r="P693" s="1" t="s">
        <v>2055</v>
      </c>
      <c r="Q693" s="7" t="str">
        <f t="shared" si="6"/>
        <v>equipment/12008.png</v>
      </c>
      <c r="R693" s="1">
        <v>0</v>
      </c>
    </row>
    <row r="694" spans="1:18" ht="14.25" thickBot="1">
      <c r="A694" s="1" t="s">
        <v>594</v>
      </c>
      <c r="B694" s="3">
        <v>1</v>
      </c>
      <c r="C694" s="9" t="s">
        <v>2596</v>
      </c>
      <c r="D694" s="1" t="s">
        <v>12</v>
      </c>
      <c r="E694" s="1">
        <v>5</v>
      </c>
      <c r="F694" s="1">
        <v>2</v>
      </c>
      <c r="G694" s="1">
        <v>50</v>
      </c>
      <c r="H694" s="10" t="s">
        <v>2120</v>
      </c>
      <c r="I694" s="1">
        <v>10000</v>
      </c>
      <c r="J694" s="1">
        <v>10</v>
      </c>
      <c r="K694" s="1">
        <v>0</v>
      </c>
      <c r="L694" s="1">
        <v>0</v>
      </c>
      <c r="M694" s="1" t="s">
        <v>1952</v>
      </c>
      <c r="N694" s="1" t="s">
        <v>719</v>
      </c>
      <c r="O694" s="1">
        <v>0</v>
      </c>
      <c r="P694" s="1" t="s">
        <v>2055</v>
      </c>
      <c r="Q694" s="7" t="str">
        <f t="shared" si="6"/>
        <v>equipment/1119.png</v>
      </c>
      <c r="R694" s="1">
        <v>0</v>
      </c>
    </row>
    <row r="695" spans="1:18" ht="14.25" thickBot="1">
      <c r="A695" s="1" t="s">
        <v>595</v>
      </c>
      <c r="B695" s="3">
        <v>1</v>
      </c>
      <c r="C695" s="9" t="s">
        <v>2597</v>
      </c>
      <c r="D695" s="1" t="s">
        <v>12</v>
      </c>
      <c r="E695" s="1">
        <v>5</v>
      </c>
      <c r="F695" s="1">
        <v>2</v>
      </c>
      <c r="G695" s="1">
        <v>50</v>
      </c>
      <c r="H695" s="10" t="s">
        <v>2120</v>
      </c>
      <c r="I695" s="1">
        <v>10600</v>
      </c>
      <c r="J695" s="1">
        <v>10</v>
      </c>
      <c r="K695" s="1">
        <v>0</v>
      </c>
      <c r="L695" s="1">
        <v>0</v>
      </c>
      <c r="M695" s="1" t="s">
        <v>1953</v>
      </c>
      <c r="N695" s="1" t="s">
        <v>719</v>
      </c>
      <c r="O695" s="1">
        <v>0</v>
      </c>
      <c r="P695" s="1" t="s">
        <v>2055</v>
      </c>
      <c r="Q695" s="7" t="str">
        <f t="shared" si="6"/>
        <v>equipment/1120.png</v>
      </c>
      <c r="R695" s="1">
        <v>0</v>
      </c>
    </row>
    <row r="696" spans="1:18" ht="14.25" thickBot="1">
      <c r="A696" s="1" t="s">
        <v>596</v>
      </c>
      <c r="B696" s="3">
        <v>1</v>
      </c>
      <c r="C696" s="9" t="s">
        <v>2598</v>
      </c>
      <c r="D696" s="1" t="s">
        <v>13</v>
      </c>
      <c r="E696" s="1">
        <v>6</v>
      </c>
      <c r="F696" s="1">
        <v>2</v>
      </c>
      <c r="G696" s="1">
        <v>50</v>
      </c>
      <c r="H696" s="10" t="s">
        <v>2120</v>
      </c>
      <c r="I696" s="1">
        <v>10000</v>
      </c>
      <c r="J696" s="1">
        <v>10</v>
      </c>
      <c r="K696" s="1">
        <v>0</v>
      </c>
      <c r="L696" s="1">
        <v>0</v>
      </c>
      <c r="M696" s="1" t="s">
        <v>1954</v>
      </c>
      <c r="N696" s="1" t="s">
        <v>719</v>
      </c>
      <c r="O696" s="1">
        <v>0</v>
      </c>
      <c r="P696" s="1" t="s">
        <v>2055</v>
      </c>
      <c r="Q696" s="7" t="str">
        <f t="shared" si="6"/>
        <v>equipment/2111.png</v>
      </c>
      <c r="R696" s="1">
        <v>0</v>
      </c>
    </row>
    <row r="697" spans="1:18" ht="14.25" thickBot="1">
      <c r="A697" s="1" t="s">
        <v>597</v>
      </c>
      <c r="B697" s="3">
        <v>1</v>
      </c>
      <c r="C697" s="9" t="s">
        <v>2599</v>
      </c>
      <c r="D697" s="1" t="s">
        <v>13</v>
      </c>
      <c r="E697" s="1">
        <v>6</v>
      </c>
      <c r="F697" s="1">
        <v>2</v>
      </c>
      <c r="G697" s="1">
        <v>50</v>
      </c>
      <c r="H697" s="10" t="s">
        <v>2120</v>
      </c>
      <c r="I697" s="1">
        <v>10600</v>
      </c>
      <c r="J697" s="1">
        <v>10</v>
      </c>
      <c r="K697" s="1">
        <v>0</v>
      </c>
      <c r="L697" s="1">
        <v>0</v>
      </c>
      <c r="M697" s="1" t="s">
        <v>1955</v>
      </c>
      <c r="N697" s="1" t="s">
        <v>719</v>
      </c>
      <c r="O697" s="1">
        <v>0</v>
      </c>
      <c r="P697" s="1" t="s">
        <v>2055</v>
      </c>
      <c r="Q697" s="7" t="str">
        <f t="shared" si="6"/>
        <v>equipment/2112.png</v>
      </c>
      <c r="R697" s="1">
        <v>0</v>
      </c>
    </row>
    <row r="698" spans="1:18" ht="14.25" thickBot="1">
      <c r="A698" s="1" t="s">
        <v>598</v>
      </c>
      <c r="B698" s="3">
        <v>1</v>
      </c>
      <c r="C698" s="1" t="s">
        <v>2944</v>
      </c>
      <c r="D698" s="1" t="s">
        <v>12</v>
      </c>
      <c r="E698" s="1">
        <v>5</v>
      </c>
      <c r="F698" s="1">
        <v>2</v>
      </c>
      <c r="G698" s="1">
        <v>50</v>
      </c>
      <c r="H698" s="10" t="s">
        <v>2121</v>
      </c>
      <c r="I698" s="1">
        <v>10000</v>
      </c>
      <c r="J698" s="1">
        <v>10</v>
      </c>
      <c r="K698" s="1">
        <v>0</v>
      </c>
      <c r="L698" s="1">
        <v>0</v>
      </c>
      <c r="M698" s="1" t="s">
        <v>1952</v>
      </c>
      <c r="N698" s="1" t="s">
        <v>719</v>
      </c>
      <c r="O698" s="1">
        <v>0</v>
      </c>
      <c r="P698" s="1" t="s">
        <v>2055</v>
      </c>
      <c r="Q698" s="7" t="str">
        <f t="shared" si="6"/>
        <v>equipment/1218.png</v>
      </c>
      <c r="R698" s="1">
        <v>0</v>
      </c>
    </row>
    <row r="699" spans="1:18" ht="14.25" thickBot="1">
      <c r="A699" s="1" t="s">
        <v>599</v>
      </c>
      <c r="B699" s="3">
        <v>1</v>
      </c>
      <c r="C699" s="1" t="s">
        <v>2601</v>
      </c>
      <c r="D699" s="1" t="s">
        <v>12</v>
      </c>
      <c r="E699" s="1">
        <v>5</v>
      </c>
      <c r="F699" s="1">
        <v>2</v>
      </c>
      <c r="G699" s="1">
        <v>50</v>
      </c>
      <c r="H699" s="10" t="s">
        <v>2121</v>
      </c>
      <c r="I699" s="1">
        <v>10600</v>
      </c>
      <c r="J699" s="1">
        <v>10</v>
      </c>
      <c r="K699" s="1">
        <v>0</v>
      </c>
      <c r="L699" s="1">
        <v>0</v>
      </c>
      <c r="M699" s="1" t="s">
        <v>1953</v>
      </c>
      <c r="N699" s="1" t="s">
        <v>719</v>
      </c>
      <c r="O699" s="1">
        <v>0</v>
      </c>
      <c r="P699" s="1" t="s">
        <v>2055</v>
      </c>
      <c r="Q699" s="7" t="str">
        <f t="shared" si="6"/>
        <v>equipment/1221.png</v>
      </c>
      <c r="R699" s="1">
        <v>0</v>
      </c>
    </row>
    <row r="700" spans="1:18" ht="14.25" thickBot="1">
      <c r="A700" s="1" t="s">
        <v>600</v>
      </c>
      <c r="B700" s="3">
        <v>1</v>
      </c>
      <c r="C700" s="9" t="s">
        <v>2602</v>
      </c>
      <c r="D700" s="1" t="s">
        <v>13</v>
      </c>
      <c r="E700" s="1">
        <v>6</v>
      </c>
      <c r="F700" s="1">
        <v>2</v>
      </c>
      <c r="G700" s="1">
        <v>50</v>
      </c>
      <c r="H700" s="10" t="s">
        <v>2121</v>
      </c>
      <c r="I700" s="1">
        <v>10000</v>
      </c>
      <c r="J700" s="1">
        <v>10</v>
      </c>
      <c r="K700" s="1">
        <v>0</v>
      </c>
      <c r="L700" s="1">
        <v>0</v>
      </c>
      <c r="M700" s="1" t="s">
        <v>1956</v>
      </c>
      <c r="N700" s="1" t="s">
        <v>719</v>
      </c>
      <c r="O700" s="1">
        <v>0</v>
      </c>
      <c r="P700" s="1" t="s">
        <v>2055</v>
      </c>
      <c r="Q700" s="7" t="str">
        <f t="shared" si="6"/>
        <v>equipment/2210.png</v>
      </c>
      <c r="R700" s="1">
        <v>0</v>
      </c>
    </row>
    <row r="701" spans="1:18" ht="14.25" thickBot="1">
      <c r="A701" s="1" t="s">
        <v>601</v>
      </c>
      <c r="B701" s="3">
        <v>1</v>
      </c>
      <c r="C701" s="9" t="s">
        <v>2603</v>
      </c>
      <c r="D701" s="1" t="s">
        <v>13</v>
      </c>
      <c r="E701" s="1">
        <v>6</v>
      </c>
      <c r="F701" s="1">
        <v>2</v>
      </c>
      <c r="G701" s="1">
        <v>50</v>
      </c>
      <c r="H701" s="10" t="s">
        <v>2121</v>
      </c>
      <c r="I701" s="1">
        <v>10600</v>
      </c>
      <c r="J701" s="1">
        <v>10</v>
      </c>
      <c r="K701" s="1">
        <v>0</v>
      </c>
      <c r="L701" s="1">
        <v>0</v>
      </c>
      <c r="M701" s="1" t="s">
        <v>1957</v>
      </c>
      <c r="N701" s="1" t="s">
        <v>719</v>
      </c>
      <c r="O701" s="1">
        <v>0</v>
      </c>
      <c r="P701" s="1" t="s">
        <v>2055</v>
      </c>
      <c r="Q701" s="7" t="str">
        <f t="shared" si="6"/>
        <v>equipment/2212.png</v>
      </c>
      <c r="R701" s="1">
        <v>0</v>
      </c>
    </row>
    <row r="702" spans="1:18" ht="14.25" thickBot="1">
      <c r="A702" s="1" t="s">
        <v>602</v>
      </c>
      <c r="B702" s="3">
        <v>1</v>
      </c>
      <c r="C702" s="9" t="s">
        <v>2943</v>
      </c>
      <c r="D702" s="1" t="s">
        <v>12</v>
      </c>
      <c r="E702" s="1">
        <v>5</v>
      </c>
      <c r="F702" s="1">
        <v>2</v>
      </c>
      <c r="G702" s="1">
        <v>50</v>
      </c>
      <c r="H702" s="10" t="s">
        <v>2122</v>
      </c>
      <c r="I702" s="1">
        <v>10000</v>
      </c>
      <c r="J702" s="1">
        <v>10</v>
      </c>
      <c r="K702" s="1">
        <v>0</v>
      </c>
      <c r="L702" s="1">
        <v>0</v>
      </c>
      <c r="M702" s="1" t="s">
        <v>1952</v>
      </c>
      <c r="N702" s="1" t="s">
        <v>719</v>
      </c>
      <c r="O702" s="1">
        <v>0</v>
      </c>
      <c r="P702" s="1" t="s">
        <v>2055</v>
      </c>
      <c r="Q702" s="7" t="str">
        <f t="shared" si="6"/>
        <v>equipment/1319.png</v>
      </c>
      <c r="R702" s="1">
        <v>0</v>
      </c>
    </row>
    <row r="703" spans="1:18" ht="14.25" thickBot="1">
      <c r="A703" s="1" t="s">
        <v>603</v>
      </c>
      <c r="B703" s="3">
        <v>1</v>
      </c>
      <c r="C703" s="9" t="s">
        <v>2605</v>
      </c>
      <c r="D703" s="1" t="s">
        <v>12</v>
      </c>
      <c r="E703" s="1">
        <v>5</v>
      </c>
      <c r="F703" s="1">
        <v>2</v>
      </c>
      <c r="G703" s="1">
        <v>50</v>
      </c>
      <c r="H703" s="10" t="s">
        <v>2122</v>
      </c>
      <c r="I703" s="1">
        <v>10600</v>
      </c>
      <c r="J703" s="1">
        <v>10</v>
      </c>
      <c r="K703" s="1">
        <v>0</v>
      </c>
      <c r="L703" s="1">
        <v>0</v>
      </c>
      <c r="M703" s="1" t="s">
        <v>1953</v>
      </c>
      <c r="N703" s="1" t="s">
        <v>719</v>
      </c>
      <c r="O703" s="1">
        <v>0</v>
      </c>
      <c r="P703" s="1" t="s">
        <v>2055</v>
      </c>
      <c r="Q703" s="7" t="str">
        <f t="shared" si="6"/>
        <v>equipment/1320.png</v>
      </c>
      <c r="R703" s="1">
        <v>0</v>
      </c>
    </row>
    <row r="704" spans="1:18" ht="14.25" thickBot="1">
      <c r="A704" s="1" t="s">
        <v>604</v>
      </c>
      <c r="B704" s="3">
        <v>1</v>
      </c>
      <c r="C704" s="9" t="s">
        <v>2606</v>
      </c>
      <c r="D704" s="1" t="s">
        <v>13</v>
      </c>
      <c r="E704" s="1">
        <v>6</v>
      </c>
      <c r="F704" s="1">
        <v>2</v>
      </c>
      <c r="G704" s="1">
        <v>50</v>
      </c>
      <c r="H704" s="10" t="s">
        <v>2122</v>
      </c>
      <c r="I704" s="1">
        <v>10000</v>
      </c>
      <c r="J704" s="1">
        <v>10</v>
      </c>
      <c r="K704" s="1">
        <v>0</v>
      </c>
      <c r="L704" s="1">
        <v>0</v>
      </c>
      <c r="M704" s="1" t="s">
        <v>1958</v>
      </c>
      <c r="N704" s="1" t="s">
        <v>719</v>
      </c>
      <c r="O704" s="1">
        <v>0</v>
      </c>
      <c r="P704" s="1" t="s">
        <v>2055</v>
      </c>
      <c r="Q704" s="7" t="str">
        <f t="shared" si="6"/>
        <v>equipment/2311.png</v>
      </c>
      <c r="R704" s="1">
        <v>0</v>
      </c>
    </row>
    <row r="705" spans="1:18" ht="14.25" thickBot="1">
      <c r="A705" s="1" t="s">
        <v>605</v>
      </c>
      <c r="B705" s="3">
        <v>1</v>
      </c>
      <c r="C705" s="9" t="s">
        <v>2607</v>
      </c>
      <c r="D705" s="1" t="s">
        <v>13</v>
      </c>
      <c r="E705" s="1">
        <v>6</v>
      </c>
      <c r="F705" s="1">
        <v>2</v>
      </c>
      <c r="G705" s="1">
        <v>50</v>
      </c>
      <c r="H705" s="10" t="s">
        <v>2122</v>
      </c>
      <c r="I705" s="1">
        <v>10600</v>
      </c>
      <c r="J705" s="1">
        <v>10</v>
      </c>
      <c r="K705" s="1">
        <v>0</v>
      </c>
      <c r="L705" s="1">
        <v>0</v>
      </c>
      <c r="M705" s="1" t="s">
        <v>1959</v>
      </c>
      <c r="N705" s="1" t="s">
        <v>719</v>
      </c>
      <c r="O705" s="1">
        <v>0</v>
      </c>
      <c r="P705" s="1" t="s">
        <v>2055</v>
      </c>
      <c r="Q705" s="7" t="str">
        <f t="shared" si="6"/>
        <v>equipment/2312.png</v>
      </c>
      <c r="R705" s="1">
        <v>0</v>
      </c>
    </row>
    <row r="706" spans="1:18" ht="14.25" thickBot="1">
      <c r="A706" s="1" t="s">
        <v>606</v>
      </c>
      <c r="B706" s="2">
        <v>1</v>
      </c>
      <c r="C706" s="1" t="s">
        <v>2608</v>
      </c>
      <c r="D706" s="1" t="s">
        <v>11</v>
      </c>
      <c r="E706" s="1">
        <v>4</v>
      </c>
      <c r="F706" s="1">
        <v>2</v>
      </c>
      <c r="G706" s="1">
        <v>50</v>
      </c>
      <c r="H706" s="10">
        <v>0</v>
      </c>
      <c r="I706" s="1">
        <v>10000</v>
      </c>
      <c r="J706" s="1">
        <v>10</v>
      </c>
      <c r="K706" s="1">
        <v>0</v>
      </c>
      <c r="L706" s="1">
        <v>0</v>
      </c>
      <c r="M706" s="1" t="s">
        <v>1960</v>
      </c>
      <c r="N706" s="1" t="s">
        <v>718</v>
      </c>
      <c r="O706" s="1">
        <v>0</v>
      </c>
      <c r="P706" s="1" t="s">
        <v>2055</v>
      </c>
      <c r="Q706" s="7" t="str">
        <f t="shared" si="6"/>
        <v>equipment/5003.png</v>
      </c>
      <c r="R706" s="1">
        <v>0</v>
      </c>
    </row>
    <row r="707" spans="1:18" ht="14.25" thickBot="1">
      <c r="A707" s="1" t="s">
        <v>607</v>
      </c>
      <c r="B707" s="2">
        <v>0</v>
      </c>
      <c r="C707" s="1" t="s">
        <v>2499</v>
      </c>
      <c r="D707" s="1" t="s">
        <v>11</v>
      </c>
      <c r="E707" s="1">
        <v>4</v>
      </c>
      <c r="F707" s="1">
        <v>2</v>
      </c>
      <c r="G707" s="1">
        <v>50</v>
      </c>
      <c r="H707" s="10">
        <v>0</v>
      </c>
      <c r="I707" s="1">
        <v>10600</v>
      </c>
      <c r="J707" s="1">
        <v>10</v>
      </c>
      <c r="K707" s="1">
        <v>0</v>
      </c>
      <c r="L707" s="1">
        <v>0</v>
      </c>
      <c r="M707" s="1" t="s">
        <v>1961</v>
      </c>
      <c r="N707" s="1" t="s">
        <v>718</v>
      </c>
      <c r="O707" s="1">
        <v>0</v>
      </c>
      <c r="P707" s="1" t="s">
        <v>2055</v>
      </c>
      <c r="Q707" s="7" t="str">
        <f t="shared" si="6"/>
        <v>equipment/5001.png</v>
      </c>
      <c r="R707" s="1">
        <v>0</v>
      </c>
    </row>
    <row r="708" spans="1:18" ht="14.25" thickBot="1">
      <c r="A708" s="1" t="s">
        <v>608</v>
      </c>
      <c r="B708" s="3">
        <v>1</v>
      </c>
      <c r="C708" s="1" t="s">
        <v>2609</v>
      </c>
      <c r="D708" s="1" t="s">
        <v>14</v>
      </c>
      <c r="E708" s="1">
        <v>7</v>
      </c>
      <c r="F708" s="1">
        <v>2</v>
      </c>
      <c r="G708" s="1">
        <v>50</v>
      </c>
      <c r="H708" s="10">
        <v>0</v>
      </c>
      <c r="I708" s="1">
        <v>10000</v>
      </c>
      <c r="J708" s="1">
        <v>10</v>
      </c>
      <c r="K708" s="1">
        <v>0</v>
      </c>
      <c r="L708" s="1">
        <v>0</v>
      </c>
      <c r="M708" s="1" t="s">
        <v>1944</v>
      </c>
      <c r="N708" s="1" t="s">
        <v>718</v>
      </c>
      <c r="O708" s="1">
        <v>0</v>
      </c>
      <c r="P708" s="1" t="s">
        <v>2055</v>
      </c>
      <c r="Q708" s="7" t="str">
        <f t="shared" si="6"/>
        <v>equipment/7012.png</v>
      </c>
      <c r="R708" s="1">
        <v>0</v>
      </c>
    </row>
    <row r="709" spans="1:18" ht="14.25" thickBot="1">
      <c r="A709" s="1" t="s">
        <v>609</v>
      </c>
      <c r="B709" s="2">
        <v>0</v>
      </c>
      <c r="C709" s="1" t="s">
        <v>2501</v>
      </c>
      <c r="D709" s="1" t="s">
        <v>14</v>
      </c>
      <c r="E709" s="1">
        <v>7</v>
      </c>
      <c r="F709" s="1">
        <v>2</v>
      </c>
      <c r="G709" s="1">
        <v>50</v>
      </c>
      <c r="H709" s="10">
        <v>0</v>
      </c>
      <c r="I709" s="1">
        <v>10600</v>
      </c>
      <c r="J709" s="1">
        <v>10</v>
      </c>
      <c r="K709" s="1">
        <v>0</v>
      </c>
      <c r="L709" s="1">
        <v>0</v>
      </c>
      <c r="M709" s="1" t="s">
        <v>1945</v>
      </c>
      <c r="N709" s="1" t="s">
        <v>718</v>
      </c>
      <c r="O709" s="1">
        <v>0</v>
      </c>
      <c r="P709" s="1" t="s">
        <v>2055</v>
      </c>
      <c r="Q709" s="7" t="str">
        <f t="shared" si="6"/>
        <v>equipment/7001.png</v>
      </c>
      <c r="R709" s="1">
        <v>0</v>
      </c>
    </row>
    <row r="710" spans="1:18" ht="14.25" thickBot="1">
      <c r="A710" s="1" t="s">
        <v>610</v>
      </c>
      <c r="B710" s="3">
        <v>1</v>
      </c>
      <c r="C710" s="1" t="s">
        <v>2610</v>
      </c>
      <c r="D710" s="1" t="s">
        <v>8</v>
      </c>
      <c r="E710" s="1">
        <v>1</v>
      </c>
      <c r="F710" s="1">
        <v>2</v>
      </c>
      <c r="G710" s="1">
        <v>55</v>
      </c>
      <c r="H710" s="10">
        <v>0</v>
      </c>
      <c r="I710" s="1">
        <v>11000</v>
      </c>
      <c r="J710" s="1">
        <v>10</v>
      </c>
      <c r="K710" s="1">
        <v>0</v>
      </c>
      <c r="L710" s="1">
        <v>0</v>
      </c>
      <c r="M710" s="1" t="s">
        <v>1962</v>
      </c>
      <c r="N710" s="1" t="s">
        <v>720</v>
      </c>
      <c r="O710" s="1">
        <v>0</v>
      </c>
      <c r="P710" s="1" t="s">
        <v>2056</v>
      </c>
      <c r="Q710" s="7" t="str">
        <f t="shared" si="6"/>
        <v>equipment/3009.png</v>
      </c>
      <c r="R710" s="1">
        <v>0</v>
      </c>
    </row>
    <row r="711" spans="1:18" ht="14.25" thickBot="1">
      <c r="A711" s="1" t="s">
        <v>611</v>
      </c>
      <c r="B711" s="3">
        <v>1</v>
      </c>
      <c r="C711" s="1" t="s">
        <v>2611</v>
      </c>
      <c r="D711" s="1" t="s">
        <v>9</v>
      </c>
      <c r="E711" s="1">
        <v>2</v>
      </c>
      <c r="F711" s="1">
        <v>2</v>
      </c>
      <c r="G711" s="1">
        <v>55</v>
      </c>
      <c r="H711" s="10">
        <v>0</v>
      </c>
      <c r="I711" s="1">
        <v>11000</v>
      </c>
      <c r="J711" s="1">
        <v>10</v>
      </c>
      <c r="K711" s="1">
        <v>0</v>
      </c>
      <c r="L711" s="1">
        <v>0</v>
      </c>
      <c r="M711" s="1" t="s">
        <v>1963</v>
      </c>
      <c r="N711" s="1" t="s">
        <v>720</v>
      </c>
      <c r="O711" s="1">
        <v>0</v>
      </c>
      <c r="P711" s="1" t="s">
        <v>2056</v>
      </c>
      <c r="Q711" s="7" t="str">
        <f t="shared" si="6"/>
        <v>equipment/14009.png</v>
      </c>
      <c r="R711" s="1">
        <v>0</v>
      </c>
    </row>
    <row r="712" spans="1:18" ht="14.25" thickBot="1">
      <c r="A712" s="1" t="s">
        <v>612</v>
      </c>
      <c r="B712" s="2">
        <v>1</v>
      </c>
      <c r="C712" s="1" t="s">
        <v>2612</v>
      </c>
      <c r="D712" s="1" t="s">
        <v>10</v>
      </c>
      <c r="E712" s="1">
        <v>3</v>
      </c>
      <c r="F712" s="1">
        <v>2</v>
      </c>
      <c r="G712" s="1">
        <v>55</v>
      </c>
      <c r="H712" s="10">
        <v>0</v>
      </c>
      <c r="I712" s="1">
        <v>11000</v>
      </c>
      <c r="J712" s="1">
        <v>10</v>
      </c>
      <c r="K712" s="1">
        <v>0</v>
      </c>
      <c r="L712" s="1">
        <v>0</v>
      </c>
      <c r="M712" s="1" t="s">
        <v>2475</v>
      </c>
      <c r="N712" s="1" t="s">
        <v>720</v>
      </c>
      <c r="O712" s="1">
        <v>0</v>
      </c>
      <c r="P712" s="1" t="s">
        <v>2056</v>
      </c>
      <c r="Q712" s="7" t="str">
        <f t="shared" si="6"/>
        <v>equipment/6004.png</v>
      </c>
      <c r="R712" s="1">
        <v>0</v>
      </c>
    </row>
    <row r="713" spans="1:18" ht="14.25" thickBot="1">
      <c r="A713" s="1" t="s">
        <v>613</v>
      </c>
      <c r="B713" s="3">
        <v>1</v>
      </c>
      <c r="C713" s="1" t="s">
        <v>2613</v>
      </c>
      <c r="D713" s="1" t="s">
        <v>15</v>
      </c>
      <c r="E713" s="1">
        <v>8</v>
      </c>
      <c r="F713" s="1">
        <v>2</v>
      </c>
      <c r="G713" s="1">
        <v>55</v>
      </c>
      <c r="H713" s="10">
        <v>0</v>
      </c>
      <c r="I713" s="1">
        <v>11000</v>
      </c>
      <c r="J713" s="1">
        <v>10</v>
      </c>
      <c r="K713" s="1">
        <v>0</v>
      </c>
      <c r="L713" s="1">
        <v>0</v>
      </c>
      <c r="M713" s="1" t="s">
        <v>1965</v>
      </c>
      <c r="N713" s="1" t="s">
        <v>720</v>
      </c>
      <c r="O713" s="1">
        <v>0</v>
      </c>
      <c r="P713" s="1" t="s">
        <v>2056</v>
      </c>
      <c r="Q713" s="7" t="str">
        <f t="shared" si="6"/>
        <v>equipment/8009.png</v>
      </c>
      <c r="R713" s="1">
        <v>0</v>
      </c>
    </row>
    <row r="714" spans="1:18" ht="14.25" thickBot="1">
      <c r="A714" s="1" t="s">
        <v>614</v>
      </c>
      <c r="B714" s="2">
        <v>0</v>
      </c>
      <c r="C714" s="1" t="s">
        <v>2488</v>
      </c>
      <c r="D714" s="1" t="s">
        <v>16</v>
      </c>
      <c r="E714" s="1">
        <v>9</v>
      </c>
      <c r="F714" s="1">
        <v>2</v>
      </c>
      <c r="G714" s="1">
        <v>55</v>
      </c>
      <c r="H714" s="10">
        <v>0</v>
      </c>
      <c r="I714" s="1">
        <v>11000</v>
      </c>
      <c r="J714" s="1">
        <v>10</v>
      </c>
      <c r="K714" s="1">
        <v>0</v>
      </c>
      <c r="L714" s="1">
        <v>0</v>
      </c>
      <c r="M714" s="1" t="s">
        <v>1950</v>
      </c>
      <c r="N714" s="1" t="s">
        <v>720</v>
      </c>
      <c r="O714" s="1">
        <v>0</v>
      </c>
      <c r="P714" s="1" t="s">
        <v>2056</v>
      </c>
      <c r="Q714" s="7" t="str">
        <f t="shared" si="6"/>
        <v>equipment/10006.png</v>
      </c>
      <c r="R714" s="1">
        <v>0</v>
      </c>
    </row>
    <row r="715" spans="1:18" ht="14.25" thickBot="1">
      <c r="A715" s="1" t="s">
        <v>615</v>
      </c>
      <c r="B715" s="3">
        <v>1</v>
      </c>
      <c r="C715" s="1" t="s">
        <v>2614</v>
      </c>
      <c r="D715" s="1" t="s">
        <v>17</v>
      </c>
      <c r="E715" s="1">
        <v>10</v>
      </c>
      <c r="F715" s="1">
        <v>2</v>
      </c>
      <c r="G715" s="1">
        <v>55</v>
      </c>
      <c r="H715" s="10">
        <v>0</v>
      </c>
      <c r="I715" s="1">
        <v>11000</v>
      </c>
      <c r="J715" s="1">
        <v>10</v>
      </c>
      <c r="K715" s="1">
        <v>0</v>
      </c>
      <c r="L715" s="1">
        <v>0</v>
      </c>
      <c r="M715" s="1" t="s">
        <v>1966</v>
      </c>
      <c r="N715" s="1" t="s">
        <v>720</v>
      </c>
      <c r="O715" s="1">
        <v>0</v>
      </c>
      <c r="P715" s="1" t="s">
        <v>2056</v>
      </c>
      <c r="Q715" s="7" t="str">
        <f t="shared" si="6"/>
        <v>equipment/12009.png</v>
      </c>
      <c r="R715" s="1">
        <v>0</v>
      </c>
    </row>
    <row r="716" spans="1:18" ht="14.25" thickBot="1">
      <c r="A716" s="1" t="s">
        <v>616</v>
      </c>
      <c r="B716" s="3">
        <v>1</v>
      </c>
      <c r="C716" s="9" t="s">
        <v>2615</v>
      </c>
      <c r="D716" s="1" t="s">
        <v>12</v>
      </c>
      <c r="E716" s="1">
        <v>5</v>
      </c>
      <c r="F716" s="1">
        <v>2</v>
      </c>
      <c r="G716" s="1">
        <v>55</v>
      </c>
      <c r="H716" s="10" t="s">
        <v>2120</v>
      </c>
      <c r="I716" s="1">
        <v>11000</v>
      </c>
      <c r="J716" s="1">
        <v>10</v>
      </c>
      <c r="K716" s="1">
        <v>0</v>
      </c>
      <c r="L716" s="1">
        <v>0</v>
      </c>
      <c r="M716" s="1" t="s">
        <v>2022</v>
      </c>
      <c r="N716" s="1" t="s">
        <v>721</v>
      </c>
      <c r="O716" s="1">
        <v>0</v>
      </c>
      <c r="P716" s="1" t="s">
        <v>2056</v>
      </c>
      <c r="Q716" s="7" t="str">
        <f t="shared" si="6"/>
        <v>equipment/1121.png</v>
      </c>
      <c r="R716" s="1">
        <v>0</v>
      </c>
    </row>
    <row r="717" spans="1:18" ht="14.25" thickBot="1">
      <c r="A717" s="1" t="s">
        <v>617</v>
      </c>
      <c r="B717" s="2">
        <v>0</v>
      </c>
      <c r="C717" s="9" t="s">
        <v>2491</v>
      </c>
      <c r="D717" s="1" t="s">
        <v>12</v>
      </c>
      <c r="E717" s="1">
        <v>5</v>
      </c>
      <c r="F717" s="1">
        <v>2</v>
      </c>
      <c r="G717" s="1">
        <v>55</v>
      </c>
      <c r="H717" s="10" t="s">
        <v>2120</v>
      </c>
      <c r="I717" s="1">
        <v>11600</v>
      </c>
      <c r="J717" s="1">
        <v>10</v>
      </c>
      <c r="K717" s="1">
        <v>0</v>
      </c>
      <c r="L717" s="1">
        <v>0</v>
      </c>
      <c r="M717" s="1" t="s">
        <v>2023</v>
      </c>
      <c r="N717" s="1" t="s">
        <v>721</v>
      </c>
      <c r="O717" s="1">
        <v>0</v>
      </c>
      <c r="P717" s="1" t="s">
        <v>2056</v>
      </c>
      <c r="Q717" s="7" t="str">
        <f t="shared" si="6"/>
        <v>equipment/1101.png</v>
      </c>
      <c r="R717" s="1">
        <v>0</v>
      </c>
    </row>
    <row r="718" spans="1:18" ht="14.25" thickBot="1">
      <c r="A718" s="1" t="s">
        <v>618</v>
      </c>
      <c r="B718" s="3">
        <v>1</v>
      </c>
      <c r="C718" s="9" t="s">
        <v>2616</v>
      </c>
      <c r="D718" s="1" t="s">
        <v>13</v>
      </c>
      <c r="E718" s="1">
        <v>6</v>
      </c>
      <c r="F718" s="1">
        <v>2</v>
      </c>
      <c r="G718" s="1">
        <v>55</v>
      </c>
      <c r="H718" s="10" t="s">
        <v>2120</v>
      </c>
      <c r="I718" s="1">
        <v>11000</v>
      </c>
      <c r="J718" s="1">
        <v>10</v>
      </c>
      <c r="K718" s="1">
        <v>0</v>
      </c>
      <c r="L718" s="1">
        <v>0</v>
      </c>
      <c r="M718" s="1" t="s">
        <v>1967</v>
      </c>
      <c r="N718" s="1" t="s">
        <v>721</v>
      </c>
      <c r="O718" s="1">
        <v>0</v>
      </c>
      <c r="P718" s="1" t="s">
        <v>2056</v>
      </c>
      <c r="Q718" s="7" t="str">
        <f t="shared" si="6"/>
        <v>equipment/2113.png</v>
      </c>
      <c r="R718" s="1">
        <v>0</v>
      </c>
    </row>
    <row r="719" spans="1:18" ht="14.25" thickBot="1">
      <c r="A719" s="1" t="s">
        <v>619</v>
      </c>
      <c r="B719" s="3">
        <v>1</v>
      </c>
      <c r="C719" s="9" t="s">
        <v>2617</v>
      </c>
      <c r="D719" s="1" t="s">
        <v>13</v>
      </c>
      <c r="E719" s="1">
        <v>6</v>
      </c>
      <c r="F719" s="1">
        <v>2</v>
      </c>
      <c r="G719" s="1">
        <v>55</v>
      </c>
      <c r="H719" s="10" t="s">
        <v>2120</v>
      </c>
      <c r="I719" s="1">
        <v>11600</v>
      </c>
      <c r="J719" s="1">
        <v>10</v>
      </c>
      <c r="K719" s="1">
        <v>0</v>
      </c>
      <c r="L719" s="1">
        <v>0</v>
      </c>
      <c r="M719" s="1" t="s">
        <v>1968</v>
      </c>
      <c r="N719" s="1" t="s">
        <v>721</v>
      </c>
      <c r="O719" s="1">
        <v>0</v>
      </c>
      <c r="P719" s="1" t="s">
        <v>2056</v>
      </c>
      <c r="Q719" s="7" t="str">
        <f>Q257</f>
        <v>equipment/2114.png</v>
      </c>
      <c r="R719" s="1">
        <v>0</v>
      </c>
    </row>
    <row r="720" spans="1:18" ht="14.25" thickBot="1">
      <c r="A720" s="1" t="s">
        <v>620</v>
      </c>
      <c r="B720" s="3">
        <v>1</v>
      </c>
      <c r="C720" s="1" t="s">
        <v>2618</v>
      </c>
      <c r="D720" s="1" t="s">
        <v>12</v>
      </c>
      <c r="E720" s="1">
        <v>5</v>
      </c>
      <c r="F720" s="1">
        <v>2</v>
      </c>
      <c r="G720" s="1">
        <v>55</v>
      </c>
      <c r="H720" s="10" t="s">
        <v>2121</v>
      </c>
      <c r="I720" s="1">
        <v>11000</v>
      </c>
      <c r="J720" s="1">
        <v>10</v>
      </c>
      <c r="K720" s="1">
        <v>0</v>
      </c>
      <c r="L720" s="1">
        <v>0</v>
      </c>
      <c r="M720" s="1" t="s">
        <v>2022</v>
      </c>
      <c r="N720" s="1" t="s">
        <v>721</v>
      </c>
      <c r="O720" s="1">
        <v>0</v>
      </c>
      <c r="P720" s="1" t="s">
        <v>2056</v>
      </c>
      <c r="Q720" s="7" t="str">
        <f t="shared" si="6"/>
        <v>equipment/1219.png</v>
      </c>
      <c r="R720" s="1">
        <v>0</v>
      </c>
    </row>
    <row r="721" spans="1:18" ht="14.25" thickBot="1">
      <c r="A721" s="1" t="s">
        <v>621</v>
      </c>
      <c r="B721" s="2">
        <v>0</v>
      </c>
      <c r="C721" s="1" t="s">
        <v>2494</v>
      </c>
      <c r="D721" s="1" t="s">
        <v>12</v>
      </c>
      <c r="E721" s="1">
        <v>5</v>
      </c>
      <c r="F721" s="1">
        <v>2</v>
      </c>
      <c r="G721" s="1">
        <v>55</v>
      </c>
      <c r="H721" s="10" t="s">
        <v>2121</v>
      </c>
      <c r="I721" s="1">
        <v>11600</v>
      </c>
      <c r="J721" s="1">
        <v>10</v>
      </c>
      <c r="K721" s="1">
        <v>0</v>
      </c>
      <c r="L721" s="1">
        <v>0</v>
      </c>
      <c r="M721" s="1" t="s">
        <v>2023</v>
      </c>
      <c r="N721" s="1" t="s">
        <v>721</v>
      </c>
      <c r="O721" s="1">
        <v>0</v>
      </c>
      <c r="P721" s="1" t="s">
        <v>2056</v>
      </c>
      <c r="Q721" s="7" t="str">
        <f t="shared" si="6"/>
        <v>equipment/1201.png</v>
      </c>
      <c r="R721" s="1">
        <v>0</v>
      </c>
    </row>
    <row r="722" spans="1:18" ht="14.25" thickBot="1">
      <c r="A722" s="1" t="s">
        <v>622</v>
      </c>
      <c r="B722" s="3">
        <v>1</v>
      </c>
      <c r="C722" s="9" t="s">
        <v>2619</v>
      </c>
      <c r="D722" s="1" t="s">
        <v>13</v>
      </c>
      <c r="E722" s="1">
        <v>6</v>
      </c>
      <c r="F722" s="1">
        <v>2</v>
      </c>
      <c r="G722" s="1">
        <v>55</v>
      </c>
      <c r="H722" s="10" t="s">
        <v>2121</v>
      </c>
      <c r="I722" s="1">
        <v>11000</v>
      </c>
      <c r="J722" s="1">
        <v>10</v>
      </c>
      <c r="K722" s="1">
        <v>0</v>
      </c>
      <c r="L722" s="1">
        <v>0</v>
      </c>
      <c r="M722" s="1" t="s">
        <v>1969</v>
      </c>
      <c r="N722" s="1" t="s">
        <v>721</v>
      </c>
      <c r="O722" s="1">
        <v>0</v>
      </c>
      <c r="P722" s="1" t="s">
        <v>2056</v>
      </c>
      <c r="Q722" s="7" t="str">
        <f t="shared" si="6"/>
        <v>equipment/2213.png</v>
      </c>
      <c r="R722" s="1">
        <v>0</v>
      </c>
    </row>
    <row r="723" spans="1:18" ht="14.25" thickBot="1">
      <c r="A723" s="1" t="s">
        <v>623</v>
      </c>
      <c r="B723" s="3">
        <v>1</v>
      </c>
      <c r="C723" s="9" t="s">
        <v>2620</v>
      </c>
      <c r="D723" s="1" t="s">
        <v>13</v>
      </c>
      <c r="E723" s="1">
        <v>6</v>
      </c>
      <c r="F723" s="1">
        <v>2</v>
      </c>
      <c r="G723" s="1">
        <v>55</v>
      </c>
      <c r="H723" s="10" t="s">
        <v>2121</v>
      </c>
      <c r="I723" s="1">
        <v>11600</v>
      </c>
      <c r="J723" s="1">
        <v>10</v>
      </c>
      <c r="K723" s="1">
        <v>0</v>
      </c>
      <c r="L723" s="1">
        <v>0</v>
      </c>
      <c r="M723" s="1" t="s">
        <v>1970</v>
      </c>
      <c r="N723" s="1" t="s">
        <v>721</v>
      </c>
      <c r="O723" s="1">
        <v>0</v>
      </c>
      <c r="P723" s="1" t="s">
        <v>2056</v>
      </c>
      <c r="Q723" s="7" t="str">
        <f t="shared" si="6"/>
        <v>equipment/2214.png</v>
      </c>
      <c r="R723" s="1">
        <v>0</v>
      </c>
    </row>
    <row r="724" spans="1:18" ht="14.25" thickBot="1">
      <c r="A724" s="1" t="s">
        <v>624</v>
      </c>
      <c r="B724" s="3">
        <v>1</v>
      </c>
      <c r="C724" s="9" t="s">
        <v>2621</v>
      </c>
      <c r="D724" s="1" t="s">
        <v>12</v>
      </c>
      <c r="E724" s="1">
        <v>5</v>
      </c>
      <c r="F724" s="1">
        <v>2</v>
      </c>
      <c r="G724" s="1">
        <v>55</v>
      </c>
      <c r="H724" s="10" t="s">
        <v>2122</v>
      </c>
      <c r="I724" s="1">
        <v>11000</v>
      </c>
      <c r="J724" s="1">
        <v>10</v>
      </c>
      <c r="K724" s="1">
        <v>0</v>
      </c>
      <c r="L724" s="1">
        <v>0</v>
      </c>
      <c r="M724" s="1" t="s">
        <v>2022</v>
      </c>
      <c r="N724" s="1" t="s">
        <v>721</v>
      </c>
      <c r="O724" s="1">
        <v>0</v>
      </c>
      <c r="P724" s="1" t="s">
        <v>2056</v>
      </c>
      <c r="Q724" s="7" t="str">
        <f t="shared" si="6"/>
        <v>equipment/1321.png</v>
      </c>
      <c r="R724" s="1">
        <v>0</v>
      </c>
    </row>
    <row r="725" spans="1:18" ht="14.25" thickBot="1">
      <c r="A725" s="1" t="s">
        <v>625</v>
      </c>
      <c r="B725" s="2">
        <v>0</v>
      </c>
      <c r="C725" s="9" t="s">
        <v>2497</v>
      </c>
      <c r="D725" s="1" t="s">
        <v>12</v>
      </c>
      <c r="E725" s="1">
        <v>5</v>
      </c>
      <c r="F725" s="1">
        <v>2</v>
      </c>
      <c r="G725" s="1">
        <v>55</v>
      </c>
      <c r="H725" s="10" t="s">
        <v>2122</v>
      </c>
      <c r="I725" s="1">
        <v>11600</v>
      </c>
      <c r="J725" s="1">
        <v>10</v>
      </c>
      <c r="K725" s="1">
        <v>0</v>
      </c>
      <c r="L725" s="1">
        <v>0</v>
      </c>
      <c r="M725" s="1" t="s">
        <v>2023</v>
      </c>
      <c r="N725" s="1" t="s">
        <v>721</v>
      </c>
      <c r="O725" s="1">
        <v>0</v>
      </c>
      <c r="P725" s="1" t="s">
        <v>2056</v>
      </c>
      <c r="Q725" s="7" t="str">
        <f t="shared" ref="Q725:Q788" si="7">Q263</f>
        <v>equipment/1301.png</v>
      </c>
      <c r="R725" s="1">
        <v>0</v>
      </c>
    </row>
    <row r="726" spans="1:18" ht="14.25" thickBot="1">
      <c r="A726" s="1" t="s">
        <v>626</v>
      </c>
      <c r="B726" s="3">
        <v>1</v>
      </c>
      <c r="C726" s="9" t="s">
        <v>2622</v>
      </c>
      <c r="D726" s="1" t="s">
        <v>13</v>
      </c>
      <c r="E726" s="1">
        <v>6</v>
      </c>
      <c r="F726" s="1">
        <v>2</v>
      </c>
      <c r="G726" s="1">
        <v>55</v>
      </c>
      <c r="H726" s="10" t="s">
        <v>2122</v>
      </c>
      <c r="I726" s="1">
        <v>11000</v>
      </c>
      <c r="J726" s="1">
        <v>10</v>
      </c>
      <c r="K726" s="1">
        <v>0</v>
      </c>
      <c r="L726" s="1">
        <v>0</v>
      </c>
      <c r="M726" s="1" t="s">
        <v>1971</v>
      </c>
      <c r="N726" s="1" t="s">
        <v>721</v>
      </c>
      <c r="O726" s="1">
        <v>0</v>
      </c>
      <c r="P726" s="1" t="s">
        <v>2056</v>
      </c>
      <c r="Q726" s="7" t="str">
        <f t="shared" si="7"/>
        <v>equipment/2313.png</v>
      </c>
      <c r="R726" s="1">
        <v>0</v>
      </c>
    </row>
    <row r="727" spans="1:18" ht="14.25" thickBot="1">
      <c r="A727" s="1" t="s">
        <v>627</v>
      </c>
      <c r="B727" s="3">
        <v>1</v>
      </c>
      <c r="C727" s="9" t="s">
        <v>2623</v>
      </c>
      <c r="D727" s="1" t="s">
        <v>13</v>
      </c>
      <c r="E727" s="1">
        <v>6</v>
      </c>
      <c r="F727" s="1">
        <v>2</v>
      </c>
      <c r="G727" s="1">
        <v>55</v>
      </c>
      <c r="H727" s="10" t="s">
        <v>2122</v>
      </c>
      <c r="I727" s="1">
        <v>11600</v>
      </c>
      <c r="J727" s="1">
        <v>10</v>
      </c>
      <c r="K727" s="1">
        <v>0</v>
      </c>
      <c r="L727" s="1">
        <v>0</v>
      </c>
      <c r="M727" s="1" t="s">
        <v>1972</v>
      </c>
      <c r="N727" s="1" t="s">
        <v>721</v>
      </c>
      <c r="O727" s="1">
        <v>0</v>
      </c>
      <c r="P727" s="1" t="s">
        <v>2056</v>
      </c>
      <c r="Q727" s="7" t="str">
        <f t="shared" si="7"/>
        <v>equipment/2316.png</v>
      </c>
      <c r="R727" s="1">
        <v>0</v>
      </c>
    </row>
    <row r="728" spans="1:18" ht="14.25" thickBot="1">
      <c r="A728" s="1" t="s">
        <v>628</v>
      </c>
      <c r="B728" s="3">
        <v>1</v>
      </c>
      <c r="C728" s="1" t="s">
        <v>2624</v>
      </c>
      <c r="D728" s="1" t="s">
        <v>11</v>
      </c>
      <c r="E728" s="1">
        <v>4</v>
      </c>
      <c r="F728" s="1">
        <v>2</v>
      </c>
      <c r="G728" s="1">
        <v>55</v>
      </c>
      <c r="H728" s="10">
        <v>0</v>
      </c>
      <c r="I728" s="1">
        <v>11000</v>
      </c>
      <c r="J728" s="1">
        <v>10</v>
      </c>
      <c r="K728" s="1">
        <v>0</v>
      </c>
      <c r="L728" s="1">
        <v>0</v>
      </c>
      <c r="M728" s="1" t="s">
        <v>1973</v>
      </c>
      <c r="N728" s="1" t="s">
        <v>720</v>
      </c>
      <c r="O728" s="1">
        <v>0</v>
      </c>
      <c r="P728" s="1" t="s">
        <v>2056</v>
      </c>
      <c r="Q728" s="7" t="str">
        <f t="shared" si="7"/>
        <v>equipment/5015.png</v>
      </c>
      <c r="R728" s="1">
        <v>0</v>
      </c>
    </row>
    <row r="729" spans="1:18" ht="14.25" thickBot="1">
      <c r="A729" s="1" t="s">
        <v>629</v>
      </c>
      <c r="B729" s="2">
        <v>0</v>
      </c>
      <c r="C729" s="1" t="s">
        <v>2499</v>
      </c>
      <c r="D729" s="1" t="s">
        <v>11</v>
      </c>
      <c r="E729" s="1">
        <v>4</v>
      </c>
      <c r="F729" s="1">
        <v>2</v>
      </c>
      <c r="G729" s="1">
        <v>55</v>
      </c>
      <c r="H729" s="10">
        <v>0</v>
      </c>
      <c r="I729" s="1">
        <v>11600</v>
      </c>
      <c r="J729" s="1">
        <v>10</v>
      </c>
      <c r="K729" s="1">
        <v>0</v>
      </c>
      <c r="L729" s="1">
        <v>0</v>
      </c>
      <c r="M729" s="1" t="s">
        <v>1974</v>
      </c>
      <c r="N729" s="1" t="s">
        <v>720</v>
      </c>
      <c r="O729" s="1">
        <v>0</v>
      </c>
      <c r="P729" s="1" t="s">
        <v>2056</v>
      </c>
      <c r="Q729" s="7" t="str">
        <f t="shared" si="7"/>
        <v>equipment/5001.png</v>
      </c>
      <c r="R729" s="1">
        <v>0</v>
      </c>
    </row>
    <row r="730" spans="1:18" ht="14.25" thickBot="1">
      <c r="A730" s="1" t="s">
        <v>630</v>
      </c>
      <c r="B730" s="3">
        <v>1</v>
      </c>
      <c r="C730" s="1" t="s">
        <v>2625</v>
      </c>
      <c r="D730" s="1" t="s">
        <v>14</v>
      </c>
      <c r="E730" s="1">
        <v>7</v>
      </c>
      <c r="F730" s="1">
        <v>2</v>
      </c>
      <c r="G730" s="1">
        <v>55</v>
      </c>
      <c r="H730" s="10">
        <v>0</v>
      </c>
      <c r="I730" s="1">
        <v>11000</v>
      </c>
      <c r="J730" s="1">
        <v>10</v>
      </c>
      <c r="K730" s="1">
        <v>0</v>
      </c>
      <c r="L730" s="1">
        <v>0</v>
      </c>
      <c r="M730" s="1" t="s">
        <v>1960</v>
      </c>
      <c r="N730" s="1" t="s">
        <v>720</v>
      </c>
      <c r="O730" s="1">
        <v>0</v>
      </c>
      <c r="P730" s="1" t="s">
        <v>2056</v>
      </c>
      <c r="Q730" s="7" t="str">
        <f t="shared" si="7"/>
        <v>equipment/7013.png</v>
      </c>
      <c r="R730" s="1">
        <v>0</v>
      </c>
    </row>
    <row r="731" spans="1:18" ht="14.25" thickBot="1">
      <c r="A731" s="1" t="s">
        <v>631</v>
      </c>
      <c r="B731" s="2">
        <v>0</v>
      </c>
      <c r="C731" s="1" t="s">
        <v>2501</v>
      </c>
      <c r="D731" s="1" t="s">
        <v>14</v>
      </c>
      <c r="E731" s="1">
        <v>7</v>
      </c>
      <c r="F731" s="1">
        <v>2</v>
      </c>
      <c r="G731" s="1">
        <v>55</v>
      </c>
      <c r="H731" s="10">
        <v>0</v>
      </c>
      <c r="I731" s="1">
        <v>11600</v>
      </c>
      <c r="J731" s="1">
        <v>10</v>
      </c>
      <c r="K731" s="1">
        <v>0</v>
      </c>
      <c r="L731" s="1">
        <v>0</v>
      </c>
      <c r="M731" s="1" t="s">
        <v>1961</v>
      </c>
      <c r="N731" s="1" t="s">
        <v>720</v>
      </c>
      <c r="O731" s="1">
        <v>0</v>
      </c>
      <c r="P731" s="1" t="s">
        <v>2056</v>
      </c>
      <c r="Q731" s="7" t="str">
        <f t="shared" si="7"/>
        <v>equipment/7001.png</v>
      </c>
      <c r="R731" s="1">
        <v>0</v>
      </c>
    </row>
    <row r="732" spans="1:18" ht="14.25" thickBot="1">
      <c r="A732" s="1" t="s">
        <v>632</v>
      </c>
      <c r="B732" s="3">
        <v>1</v>
      </c>
      <c r="C732" s="1" t="s">
        <v>2626</v>
      </c>
      <c r="D732" s="1" t="s">
        <v>8</v>
      </c>
      <c r="E732" s="1">
        <v>1</v>
      </c>
      <c r="F732" s="1">
        <v>2</v>
      </c>
      <c r="G732" s="1">
        <v>60</v>
      </c>
      <c r="H732" s="10">
        <v>0</v>
      </c>
      <c r="I732" s="1">
        <v>12000</v>
      </c>
      <c r="J732" s="1">
        <v>10</v>
      </c>
      <c r="K732" s="1">
        <v>0</v>
      </c>
      <c r="L732" s="1">
        <v>0</v>
      </c>
      <c r="M732" s="1" t="s">
        <v>1975</v>
      </c>
      <c r="N732" s="1" t="s">
        <v>722</v>
      </c>
      <c r="O732" s="1">
        <v>0</v>
      </c>
      <c r="P732" s="1" t="s">
        <v>2057</v>
      </c>
      <c r="Q732" s="7" t="str">
        <f t="shared" si="7"/>
        <v>equipment/3010.png</v>
      </c>
      <c r="R732" s="1">
        <v>0</v>
      </c>
    </row>
    <row r="733" spans="1:18" ht="14.25" thickBot="1">
      <c r="A733" s="1" t="s">
        <v>633</v>
      </c>
      <c r="B733" s="3">
        <v>1</v>
      </c>
      <c r="C733" s="1" t="s">
        <v>2627</v>
      </c>
      <c r="D733" s="1" t="s">
        <v>9</v>
      </c>
      <c r="E733" s="1">
        <v>2</v>
      </c>
      <c r="F733" s="1">
        <v>2</v>
      </c>
      <c r="G733" s="1">
        <v>60</v>
      </c>
      <c r="H733" s="10">
        <v>0</v>
      </c>
      <c r="I733" s="1">
        <v>12000</v>
      </c>
      <c r="J733" s="1">
        <v>10</v>
      </c>
      <c r="K733" s="1">
        <v>0</v>
      </c>
      <c r="L733" s="1">
        <v>0</v>
      </c>
      <c r="M733" s="1" t="s">
        <v>1976</v>
      </c>
      <c r="N733" s="1" t="s">
        <v>722</v>
      </c>
      <c r="O733" s="1">
        <v>0</v>
      </c>
      <c r="P733" s="1" t="s">
        <v>2057</v>
      </c>
      <c r="Q733" s="7" t="str">
        <f t="shared" si="7"/>
        <v>equipment/14010.png</v>
      </c>
      <c r="R733" s="1">
        <v>0</v>
      </c>
    </row>
    <row r="734" spans="1:18" ht="14.25" thickBot="1">
      <c r="A734" s="1" t="s">
        <v>634</v>
      </c>
      <c r="B734" s="3">
        <v>1</v>
      </c>
      <c r="C734" s="1" t="s">
        <v>2628</v>
      </c>
      <c r="D734" s="1" t="s">
        <v>10</v>
      </c>
      <c r="E734" s="1">
        <v>3</v>
      </c>
      <c r="F734" s="1">
        <v>2</v>
      </c>
      <c r="G734" s="1">
        <v>60</v>
      </c>
      <c r="H734" s="10">
        <v>0</v>
      </c>
      <c r="I734" s="1">
        <v>12000</v>
      </c>
      <c r="J734" s="1">
        <v>10</v>
      </c>
      <c r="K734" s="1">
        <v>0</v>
      </c>
      <c r="L734" s="1">
        <v>0</v>
      </c>
      <c r="M734" s="1" t="s">
        <v>1964</v>
      </c>
      <c r="N734" s="1" t="s">
        <v>722</v>
      </c>
      <c r="O734" s="1">
        <v>0</v>
      </c>
      <c r="P734" s="1" t="s">
        <v>2057</v>
      </c>
      <c r="Q734" s="7" t="str">
        <f t="shared" si="7"/>
        <v>equipment/6010.png</v>
      </c>
      <c r="R734" s="1">
        <v>0</v>
      </c>
    </row>
    <row r="735" spans="1:18" ht="14.25" thickBot="1">
      <c r="A735" s="1" t="s">
        <v>635</v>
      </c>
      <c r="B735" s="3">
        <v>1</v>
      </c>
      <c r="C735" s="1" t="s">
        <v>2629</v>
      </c>
      <c r="D735" s="1" t="s">
        <v>15</v>
      </c>
      <c r="E735" s="1">
        <v>8</v>
      </c>
      <c r="F735" s="1">
        <v>2</v>
      </c>
      <c r="G735" s="1">
        <v>60</v>
      </c>
      <c r="H735" s="10">
        <v>0</v>
      </c>
      <c r="I735" s="1">
        <v>12000</v>
      </c>
      <c r="J735" s="1">
        <v>10</v>
      </c>
      <c r="K735" s="1">
        <v>0</v>
      </c>
      <c r="L735" s="1">
        <v>0</v>
      </c>
      <c r="M735" s="1" t="s">
        <v>1977</v>
      </c>
      <c r="N735" s="1" t="s">
        <v>722</v>
      </c>
      <c r="O735" s="1">
        <v>0</v>
      </c>
      <c r="P735" s="1" t="s">
        <v>2057</v>
      </c>
      <c r="Q735" s="7" t="str">
        <f t="shared" si="7"/>
        <v>equipment/8010.png</v>
      </c>
      <c r="R735" s="1">
        <v>0</v>
      </c>
    </row>
    <row r="736" spans="1:18" ht="14.25" thickBot="1">
      <c r="A736" s="1" t="s">
        <v>636</v>
      </c>
      <c r="B736" s="3">
        <v>1</v>
      </c>
      <c r="C736" s="1" t="s">
        <v>2630</v>
      </c>
      <c r="D736" s="1" t="s">
        <v>16</v>
      </c>
      <c r="E736" s="1">
        <v>9</v>
      </c>
      <c r="F736" s="1">
        <v>2</v>
      </c>
      <c r="G736" s="1">
        <v>60</v>
      </c>
      <c r="H736" s="10">
        <v>0</v>
      </c>
      <c r="I736" s="1">
        <v>12000</v>
      </c>
      <c r="J736" s="1">
        <v>10</v>
      </c>
      <c r="K736" s="1">
        <v>0</v>
      </c>
      <c r="L736" s="1">
        <v>0</v>
      </c>
      <c r="M736" s="1" t="s">
        <v>1978</v>
      </c>
      <c r="N736" s="1" t="s">
        <v>722</v>
      </c>
      <c r="O736" s="1">
        <v>0</v>
      </c>
      <c r="P736" s="1" t="s">
        <v>2057</v>
      </c>
      <c r="Q736" s="7" t="str">
        <f t="shared" si="7"/>
        <v>equipment/10010.png</v>
      </c>
      <c r="R736" s="1">
        <v>0</v>
      </c>
    </row>
    <row r="737" spans="1:18" ht="14.25" thickBot="1">
      <c r="A737" s="1" t="s">
        <v>637</v>
      </c>
      <c r="B737" s="3">
        <v>1</v>
      </c>
      <c r="C737" s="1" t="s">
        <v>2631</v>
      </c>
      <c r="D737" s="1" t="s">
        <v>17</v>
      </c>
      <c r="E737" s="1">
        <v>10</v>
      </c>
      <c r="F737" s="1">
        <v>2</v>
      </c>
      <c r="G737" s="1">
        <v>60</v>
      </c>
      <c r="H737" s="10">
        <v>0</v>
      </c>
      <c r="I737" s="1">
        <v>12000</v>
      </c>
      <c r="J737" s="1">
        <v>10</v>
      </c>
      <c r="K737" s="1">
        <v>0</v>
      </c>
      <c r="L737" s="1">
        <v>0</v>
      </c>
      <c r="M737" s="1" t="s">
        <v>1979</v>
      </c>
      <c r="N737" s="1" t="s">
        <v>722</v>
      </c>
      <c r="O737" s="1">
        <v>0</v>
      </c>
      <c r="P737" s="1" t="s">
        <v>2057</v>
      </c>
      <c r="Q737" s="7" t="str">
        <f t="shared" si="7"/>
        <v>equipment/12010.png</v>
      </c>
      <c r="R737" s="1">
        <v>0</v>
      </c>
    </row>
    <row r="738" spans="1:18" ht="14.25" thickBot="1">
      <c r="A738" s="1" t="s">
        <v>638</v>
      </c>
      <c r="B738" s="3">
        <v>1</v>
      </c>
      <c r="C738" s="9" t="s">
        <v>2632</v>
      </c>
      <c r="D738" s="1" t="s">
        <v>12</v>
      </c>
      <c r="E738" s="1">
        <v>5</v>
      </c>
      <c r="F738" s="1">
        <v>2</v>
      </c>
      <c r="G738" s="1">
        <v>60</v>
      </c>
      <c r="H738" s="10" t="s">
        <v>2120</v>
      </c>
      <c r="I738" s="1">
        <v>12000</v>
      </c>
      <c r="J738" s="1">
        <v>10</v>
      </c>
      <c r="K738" s="1">
        <v>0</v>
      </c>
      <c r="L738" s="1">
        <v>0</v>
      </c>
      <c r="M738" s="1" t="s">
        <v>1980</v>
      </c>
      <c r="N738" s="1" t="s">
        <v>723</v>
      </c>
      <c r="O738" s="1">
        <v>0</v>
      </c>
      <c r="P738" s="1" t="s">
        <v>2057</v>
      </c>
      <c r="Q738" s="7" t="str">
        <f t="shared" si="7"/>
        <v>equipment/1118.png</v>
      </c>
      <c r="R738" s="1">
        <v>0</v>
      </c>
    </row>
    <row r="739" spans="1:18" ht="14.25" thickBot="1">
      <c r="A739" s="1" t="s">
        <v>639</v>
      </c>
      <c r="B739" s="3">
        <v>1</v>
      </c>
      <c r="C739" s="9" t="s">
        <v>2633</v>
      </c>
      <c r="D739" s="1" t="s">
        <v>12</v>
      </c>
      <c r="E739" s="1">
        <v>5</v>
      </c>
      <c r="F739" s="1">
        <v>2</v>
      </c>
      <c r="G739" s="1">
        <v>60</v>
      </c>
      <c r="H739" s="10" t="s">
        <v>2120</v>
      </c>
      <c r="I739" s="1">
        <v>12600</v>
      </c>
      <c r="J739" s="1">
        <v>10</v>
      </c>
      <c r="K739" s="1">
        <v>0</v>
      </c>
      <c r="L739" s="1">
        <v>0</v>
      </c>
      <c r="M739" s="1" t="s">
        <v>1981</v>
      </c>
      <c r="N739" s="1" t="s">
        <v>723</v>
      </c>
      <c r="O739" s="1">
        <v>0</v>
      </c>
      <c r="P739" s="1" t="s">
        <v>2057</v>
      </c>
      <c r="Q739" s="7" t="str">
        <f t="shared" si="7"/>
        <v>equipment/1122.png</v>
      </c>
      <c r="R739" s="1">
        <v>0</v>
      </c>
    </row>
    <row r="740" spans="1:18" ht="14.25" thickBot="1">
      <c r="A740" s="1" t="s">
        <v>640</v>
      </c>
      <c r="B740" s="3">
        <v>1</v>
      </c>
      <c r="C740" s="9" t="s">
        <v>2634</v>
      </c>
      <c r="D740" s="1" t="s">
        <v>13</v>
      </c>
      <c r="E740" s="1">
        <v>6</v>
      </c>
      <c r="F740" s="1">
        <v>2</v>
      </c>
      <c r="G740" s="1">
        <v>60</v>
      </c>
      <c r="H740" s="10" t="s">
        <v>2120</v>
      </c>
      <c r="I740" s="1">
        <v>12000</v>
      </c>
      <c r="J740" s="1">
        <v>10</v>
      </c>
      <c r="K740" s="1">
        <v>0</v>
      </c>
      <c r="L740" s="1">
        <v>0</v>
      </c>
      <c r="M740" s="1" t="s">
        <v>1982</v>
      </c>
      <c r="N740" s="1" t="s">
        <v>723</v>
      </c>
      <c r="O740" s="1">
        <v>0</v>
      </c>
      <c r="P740" s="1" t="s">
        <v>2057</v>
      </c>
      <c r="Q740" s="7" t="str">
        <f t="shared" si="7"/>
        <v>equipment/2115.png</v>
      </c>
      <c r="R740" s="1">
        <v>0</v>
      </c>
    </row>
    <row r="741" spans="1:18" ht="14.25" thickBot="1">
      <c r="A741" s="1" t="s">
        <v>641</v>
      </c>
      <c r="B741" s="2">
        <v>0</v>
      </c>
      <c r="C741" s="9" t="s">
        <v>2061</v>
      </c>
      <c r="D741" s="1" t="s">
        <v>13</v>
      </c>
      <c r="E741" s="1">
        <v>6</v>
      </c>
      <c r="F741" s="1">
        <v>2</v>
      </c>
      <c r="G741" s="1">
        <v>60</v>
      </c>
      <c r="H741" s="10" t="s">
        <v>2120</v>
      </c>
      <c r="I741" s="1">
        <v>12600</v>
      </c>
      <c r="J741" s="1">
        <v>10</v>
      </c>
      <c r="K741" s="1">
        <v>0</v>
      </c>
      <c r="L741" s="1">
        <v>0</v>
      </c>
      <c r="M741" s="1" t="s">
        <v>1983</v>
      </c>
      <c r="N741" s="1" t="s">
        <v>723</v>
      </c>
      <c r="O741" s="1">
        <v>0</v>
      </c>
      <c r="P741" s="1" t="s">
        <v>2057</v>
      </c>
      <c r="Q741" s="7" t="str">
        <f t="shared" si="7"/>
        <v>equipment/2101.png</v>
      </c>
      <c r="R741" s="1">
        <v>0</v>
      </c>
    </row>
    <row r="742" spans="1:18" ht="14.25" thickBot="1">
      <c r="A742" s="1" t="s">
        <v>642</v>
      </c>
      <c r="B742" s="3">
        <v>1</v>
      </c>
      <c r="C742" s="1" t="s">
        <v>2635</v>
      </c>
      <c r="D742" s="1" t="s">
        <v>12</v>
      </c>
      <c r="E742" s="1">
        <v>5</v>
      </c>
      <c r="F742" s="1">
        <v>2</v>
      </c>
      <c r="G742" s="1">
        <v>60</v>
      </c>
      <c r="H742" s="10" t="s">
        <v>2121</v>
      </c>
      <c r="I742" s="1">
        <v>12000</v>
      </c>
      <c r="J742" s="1">
        <v>10</v>
      </c>
      <c r="K742" s="1">
        <v>0</v>
      </c>
      <c r="L742" s="1">
        <v>0</v>
      </c>
      <c r="M742" s="1" t="s">
        <v>1980</v>
      </c>
      <c r="N742" s="1" t="s">
        <v>723</v>
      </c>
      <c r="O742" s="1">
        <v>0</v>
      </c>
      <c r="P742" s="1" t="s">
        <v>2057</v>
      </c>
      <c r="Q742" s="7" t="str">
        <f t="shared" si="7"/>
        <v>equipment/1220.png</v>
      </c>
      <c r="R742" s="1">
        <v>0</v>
      </c>
    </row>
    <row r="743" spans="1:18" ht="14.25" thickBot="1">
      <c r="A743" s="1" t="s">
        <v>643</v>
      </c>
      <c r="B743" s="2">
        <v>0</v>
      </c>
      <c r="C743" s="1" t="s">
        <v>2494</v>
      </c>
      <c r="D743" s="1" t="s">
        <v>12</v>
      </c>
      <c r="E743" s="1">
        <v>5</v>
      </c>
      <c r="F743" s="1">
        <v>2</v>
      </c>
      <c r="G743" s="1">
        <v>60</v>
      </c>
      <c r="H743" s="10" t="s">
        <v>2121</v>
      </c>
      <c r="I743" s="1">
        <v>12600</v>
      </c>
      <c r="J743" s="1">
        <v>10</v>
      </c>
      <c r="K743" s="1">
        <v>0</v>
      </c>
      <c r="L743" s="1">
        <v>0</v>
      </c>
      <c r="M743" s="1" t="s">
        <v>1981</v>
      </c>
      <c r="N743" s="1" t="s">
        <v>723</v>
      </c>
      <c r="O743" s="1">
        <v>0</v>
      </c>
      <c r="P743" s="1" t="s">
        <v>2057</v>
      </c>
      <c r="Q743" s="7" t="str">
        <f t="shared" si="7"/>
        <v>equipment/1201.png</v>
      </c>
      <c r="R743" s="1">
        <v>0</v>
      </c>
    </row>
    <row r="744" spans="1:18" ht="14.25" thickBot="1">
      <c r="A744" s="1" t="s">
        <v>644</v>
      </c>
      <c r="B744" s="3">
        <v>1</v>
      </c>
      <c r="C744" s="9" t="s">
        <v>2636</v>
      </c>
      <c r="D744" s="1" t="s">
        <v>13</v>
      </c>
      <c r="E744" s="1">
        <v>6</v>
      </c>
      <c r="F744" s="1">
        <v>2</v>
      </c>
      <c r="G744" s="1">
        <v>60</v>
      </c>
      <c r="H744" s="10" t="s">
        <v>2121</v>
      </c>
      <c r="I744" s="1">
        <v>12000</v>
      </c>
      <c r="J744" s="1">
        <v>10</v>
      </c>
      <c r="K744" s="1">
        <v>0</v>
      </c>
      <c r="L744" s="1">
        <v>0</v>
      </c>
      <c r="M744" s="1" t="s">
        <v>1984</v>
      </c>
      <c r="N744" s="1" t="s">
        <v>723</v>
      </c>
      <c r="O744" s="1">
        <v>0</v>
      </c>
      <c r="P744" s="1" t="s">
        <v>2057</v>
      </c>
      <c r="Q744" s="7" t="str">
        <f t="shared" si="7"/>
        <v>equipment/2215.png</v>
      </c>
      <c r="R744" s="1">
        <v>0</v>
      </c>
    </row>
    <row r="745" spans="1:18" ht="14.25" thickBot="1">
      <c r="A745" s="1" t="s">
        <v>645</v>
      </c>
      <c r="B745" s="2">
        <v>0</v>
      </c>
      <c r="C745" s="9" t="s">
        <v>2094</v>
      </c>
      <c r="D745" s="1" t="s">
        <v>13</v>
      </c>
      <c r="E745" s="1">
        <v>6</v>
      </c>
      <c r="F745" s="1">
        <v>2</v>
      </c>
      <c r="G745" s="1">
        <v>60</v>
      </c>
      <c r="H745" s="10" t="s">
        <v>2121</v>
      </c>
      <c r="I745" s="1">
        <v>12600</v>
      </c>
      <c r="J745" s="1">
        <v>10</v>
      </c>
      <c r="K745" s="1">
        <v>0</v>
      </c>
      <c r="L745" s="1">
        <v>0</v>
      </c>
      <c r="M745" s="1" t="s">
        <v>1985</v>
      </c>
      <c r="N745" s="1" t="s">
        <v>723</v>
      </c>
      <c r="O745" s="1">
        <v>0</v>
      </c>
      <c r="P745" s="1" t="s">
        <v>2057</v>
      </c>
      <c r="Q745" s="7" t="str">
        <f t="shared" si="7"/>
        <v>equipment/2201.png</v>
      </c>
      <c r="R745" s="1">
        <v>0</v>
      </c>
    </row>
    <row r="746" spans="1:18" ht="14.25" thickBot="1">
      <c r="A746" s="1" t="s">
        <v>646</v>
      </c>
      <c r="B746" s="3">
        <v>1</v>
      </c>
      <c r="C746" s="9" t="s">
        <v>2637</v>
      </c>
      <c r="D746" s="1" t="s">
        <v>12</v>
      </c>
      <c r="E746" s="1">
        <v>5</v>
      </c>
      <c r="F746" s="1">
        <v>2</v>
      </c>
      <c r="G746" s="1">
        <v>60</v>
      </c>
      <c r="H746" s="10" t="s">
        <v>2122</v>
      </c>
      <c r="I746" s="1">
        <v>12000</v>
      </c>
      <c r="J746" s="1">
        <v>10</v>
      </c>
      <c r="K746" s="1">
        <v>0</v>
      </c>
      <c r="L746" s="1">
        <v>0</v>
      </c>
      <c r="M746" s="1" t="s">
        <v>1980</v>
      </c>
      <c r="N746" s="1" t="s">
        <v>723</v>
      </c>
      <c r="O746" s="1">
        <v>0</v>
      </c>
      <c r="P746" s="1" t="s">
        <v>2057</v>
      </c>
      <c r="Q746" s="7" t="str">
        <f t="shared" si="7"/>
        <v>equipment/1322.png</v>
      </c>
      <c r="R746" s="1">
        <v>0</v>
      </c>
    </row>
    <row r="747" spans="1:18" ht="14.25" thickBot="1">
      <c r="A747" s="1" t="s">
        <v>647</v>
      </c>
      <c r="B747" s="2">
        <v>0</v>
      </c>
      <c r="C747" s="9" t="s">
        <v>2638</v>
      </c>
      <c r="D747" s="1" t="s">
        <v>12</v>
      </c>
      <c r="E747" s="1">
        <v>5</v>
      </c>
      <c r="F747" s="1">
        <v>2</v>
      </c>
      <c r="G747" s="1">
        <v>60</v>
      </c>
      <c r="H747" s="10" t="s">
        <v>2122</v>
      </c>
      <c r="I747" s="1">
        <v>12600</v>
      </c>
      <c r="J747" s="1">
        <v>10</v>
      </c>
      <c r="K747" s="1">
        <v>0</v>
      </c>
      <c r="L747" s="1">
        <v>0</v>
      </c>
      <c r="M747" s="1" t="s">
        <v>1981</v>
      </c>
      <c r="N747" s="1" t="s">
        <v>723</v>
      </c>
      <c r="O747" s="1">
        <v>0</v>
      </c>
      <c r="P747" s="1" t="s">
        <v>2057</v>
      </c>
      <c r="Q747" s="7" t="str">
        <f t="shared" si="7"/>
        <v>equipment/1301.png</v>
      </c>
      <c r="R747" s="1">
        <v>0</v>
      </c>
    </row>
    <row r="748" spans="1:18" ht="14.25" thickBot="1">
      <c r="A748" s="1" t="s">
        <v>648</v>
      </c>
      <c r="B748" s="3">
        <v>1</v>
      </c>
      <c r="C748" s="9" t="s">
        <v>2639</v>
      </c>
      <c r="D748" s="1" t="s">
        <v>13</v>
      </c>
      <c r="E748" s="1">
        <v>6</v>
      </c>
      <c r="F748" s="1">
        <v>2</v>
      </c>
      <c r="G748" s="1">
        <v>60</v>
      </c>
      <c r="H748" s="10" t="s">
        <v>2122</v>
      </c>
      <c r="I748" s="1">
        <v>12000</v>
      </c>
      <c r="J748" s="1">
        <v>10</v>
      </c>
      <c r="K748" s="1">
        <v>0</v>
      </c>
      <c r="L748" s="1">
        <v>0</v>
      </c>
      <c r="M748" s="1" t="s">
        <v>1986</v>
      </c>
      <c r="N748" s="1" t="s">
        <v>723</v>
      </c>
      <c r="O748" s="1">
        <v>0</v>
      </c>
      <c r="P748" s="1" t="s">
        <v>2057</v>
      </c>
      <c r="Q748" s="7" t="str">
        <f t="shared" si="7"/>
        <v>equipment/2315.png</v>
      </c>
      <c r="R748" s="1">
        <v>0</v>
      </c>
    </row>
    <row r="749" spans="1:18" ht="14.25" thickBot="1">
      <c r="A749" s="1" t="s">
        <v>649</v>
      </c>
      <c r="B749" s="2">
        <v>0</v>
      </c>
      <c r="C749" s="9" t="s">
        <v>2095</v>
      </c>
      <c r="D749" s="1" t="s">
        <v>13</v>
      </c>
      <c r="E749" s="1">
        <v>6</v>
      </c>
      <c r="F749" s="1">
        <v>2</v>
      </c>
      <c r="G749" s="1">
        <v>60</v>
      </c>
      <c r="H749" s="10" t="s">
        <v>2122</v>
      </c>
      <c r="I749" s="1">
        <v>12600</v>
      </c>
      <c r="J749" s="1">
        <v>10</v>
      </c>
      <c r="K749" s="1">
        <v>0</v>
      </c>
      <c r="L749" s="1">
        <v>0</v>
      </c>
      <c r="M749" s="1" t="s">
        <v>1987</v>
      </c>
      <c r="N749" s="1" t="s">
        <v>723</v>
      </c>
      <c r="O749" s="1">
        <v>0</v>
      </c>
      <c r="P749" s="1" t="s">
        <v>2057</v>
      </c>
      <c r="Q749" s="7" t="str">
        <f t="shared" si="7"/>
        <v>equipment/2301.png</v>
      </c>
      <c r="R749" s="1">
        <v>0</v>
      </c>
    </row>
    <row r="750" spans="1:18" ht="14.25" thickBot="1">
      <c r="A750" s="1" t="s">
        <v>650</v>
      </c>
      <c r="B750" s="3">
        <v>1</v>
      </c>
      <c r="C750" s="1" t="s">
        <v>2640</v>
      </c>
      <c r="D750" s="1" t="s">
        <v>11</v>
      </c>
      <c r="E750" s="1">
        <v>4</v>
      </c>
      <c r="F750" s="1">
        <v>2</v>
      </c>
      <c r="G750" s="1">
        <v>60</v>
      </c>
      <c r="H750" s="10">
        <v>0</v>
      </c>
      <c r="I750" s="1">
        <v>12000</v>
      </c>
      <c r="J750" s="1">
        <v>10</v>
      </c>
      <c r="K750" s="1">
        <v>0</v>
      </c>
      <c r="L750" s="1">
        <v>0</v>
      </c>
      <c r="M750" s="1" t="s">
        <v>1988</v>
      </c>
      <c r="N750" s="1" t="s">
        <v>722</v>
      </c>
      <c r="O750" s="1">
        <v>0</v>
      </c>
      <c r="P750" s="1" t="s">
        <v>2057</v>
      </c>
      <c r="Q750" s="7" t="str">
        <f t="shared" si="7"/>
        <v>equipment/5016.png</v>
      </c>
      <c r="R750" s="1">
        <v>0</v>
      </c>
    </row>
    <row r="751" spans="1:18" ht="14.25" thickBot="1">
      <c r="A751" s="1" t="s">
        <v>651</v>
      </c>
      <c r="B751" s="2">
        <v>0</v>
      </c>
      <c r="C751" s="1" t="s">
        <v>2641</v>
      </c>
      <c r="D751" s="1" t="s">
        <v>11</v>
      </c>
      <c r="E751" s="1">
        <v>4</v>
      </c>
      <c r="F751" s="1">
        <v>2</v>
      </c>
      <c r="G751" s="1">
        <v>60</v>
      </c>
      <c r="H751" s="10">
        <v>0</v>
      </c>
      <c r="I751" s="1">
        <v>12600</v>
      </c>
      <c r="J751" s="1">
        <v>10</v>
      </c>
      <c r="K751" s="1">
        <v>0</v>
      </c>
      <c r="L751" s="1">
        <v>0</v>
      </c>
      <c r="M751" s="1" t="s">
        <v>1989</v>
      </c>
      <c r="N751" s="1" t="s">
        <v>722</v>
      </c>
      <c r="O751" s="1">
        <v>0</v>
      </c>
      <c r="P751" s="1" t="s">
        <v>2057</v>
      </c>
      <c r="Q751" s="7" t="str">
        <f t="shared" si="7"/>
        <v>equipment/5001.png</v>
      </c>
      <c r="R751" s="1">
        <v>0</v>
      </c>
    </row>
    <row r="752" spans="1:18" ht="14.25" thickBot="1">
      <c r="A752" s="1" t="s">
        <v>652</v>
      </c>
      <c r="B752" s="3">
        <v>1</v>
      </c>
      <c r="C752" s="1" t="s">
        <v>2642</v>
      </c>
      <c r="D752" s="1" t="s">
        <v>14</v>
      </c>
      <c r="E752" s="1">
        <v>7</v>
      </c>
      <c r="F752" s="1">
        <v>2</v>
      </c>
      <c r="G752" s="1">
        <v>60</v>
      </c>
      <c r="H752" s="10">
        <v>0</v>
      </c>
      <c r="I752" s="1">
        <v>12000</v>
      </c>
      <c r="J752" s="1">
        <v>10</v>
      </c>
      <c r="K752" s="1">
        <v>0</v>
      </c>
      <c r="L752" s="1">
        <v>0</v>
      </c>
      <c r="M752" s="1" t="s">
        <v>1990</v>
      </c>
      <c r="N752" s="1" t="s">
        <v>722</v>
      </c>
      <c r="O752" s="1">
        <v>0</v>
      </c>
      <c r="P752" s="1" t="s">
        <v>2057</v>
      </c>
      <c r="Q752" s="7" t="str">
        <f t="shared" si="7"/>
        <v>equipment/7014.png</v>
      </c>
      <c r="R752" s="1">
        <v>0</v>
      </c>
    </row>
    <row r="753" spans="1:18" ht="14.25" thickBot="1">
      <c r="A753" s="1" t="s">
        <v>653</v>
      </c>
      <c r="B753" s="3">
        <v>1</v>
      </c>
      <c r="C753" s="1" t="s">
        <v>2643</v>
      </c>
      <c r="D753" s="1" t="s">
        <v>14</v>
      </c>
      <c r="E753" s="1">
        <v>7</v>
      </c>
      <c r="F753" s="1">
        <v>2</v>
      </c>
      <c r="G753" s="1">
        <v>60</v>
      </c>
      <c r="H753" s="10">
        <v>0</v>
      </c>
      <c r="I753" s="1">
        <v>12600</v>
      </c>
      <c r="J753" s="1">
        <v>10</v>
      </c>
      <c r="K753" s="1">
        <v>0</v>
      </c>
      <c r="L753" s="1">
        <v>0</v>
      </c>
      <c r="M753" s="1" t="s">
        <v>1991</v>
      </c>
      <c r="N753" s="1" t="s">
        <v>722</v>
      </c>
      <c r="O753" s="1">
        <v>0</v>
      </c>
      <c r="P753" s="1" t="s">
        <v>2057</v>
      </c>
      <c r="Q753" s="7" t="str">
        <f t="shared" si="7"/>
        <v>equipment/7015.png</v>
      </c>
      <c r="R753" s="1">
        <v>0</v>
      </c>
    </row>
    <row r="754" spans="1:18" ht="14.25" thickBot="1">
      <c r="A754" s="1" t="s">
        <v>654</v>
      </c>
      <c r="B754" s="3">
        <v>1</v>
      </c>
      <c r="C754" s="1" t="s">
        <v>2066</v>
      </c>
      <c r="D754" s="1" t="s">
        <v>8</v>
      </c>
      <c r="E754" s="1">
        <v>1</v>
      </c>
      <c r="F754" s="1">
        <v>2</v>
      </c>
      <c r="G754" s="1">
        <v>65</v>
      </c>
      <c r="H754" s="10">
        <v>0</v>
      </c>
      <c r="I754" s="1">
        <v>13000</v>
      </c>
      <c r="J754" s="1">
        <v>10</v>
      </c>
      <c r="K754" s="1">
        <v>0</v>
      </c>
      <c r="L754" s="1">
        <v>0</v>
      </c>
      <c r="M754" s="1" t="s">
        <v>1992</v>
      </c>
      <c r="N754" s="1" t="s">
        <v>724</v>
      </c>
      <c r="O754" s="1">
        <v>0</v>
      </c>
      <c r="P754" s="1" t="s">
        <v>2058</v>
      </c>
      <c r="Q754" s="7" t="str">
        <f t="shared" si="7"/>
        <v>equipment/3011.png</v>
      </c>
      <c r="R754" s="1">
        <v>0</v>
      </c>
    </row>
    <row r="755" spans="1:18" ht="14.25" thickBot="1">
      <c r="A755" s="1" t="s">
        <v>655</v>
      </c>
      <c r="B755" s="3">
        <v>1</v>
      </c>
      <c r="C755" s="1" t="s">
        <v>2644</v>
      </c>
      <c r="D755" s="1" t="s">
        <v>9</v>
      </c>
      <c r="E755" s="1">
        <v>2</v>
      </c>
      <c r="F755" s="1">
        <v>2</v>
      </c>
      <c r="G755" s="1">
        <v>65</v>
      </c>
      <c r="H755" s="10">
        <v>0</v>
      </c>
      <c r="I755" s="1">
        <v>13000</v>
      </c>
      <c r="J755" s="1">
        <v>10</v>
      </c>
      <c r="K755" s="1">
        <v>0</v>
      </c>
      <c r="L755" s="1">
        <v>0</v>
      </c>
      <c r="M755" s="1" t="s">
        <v>1993</v>
      </c>
      <c r="N755" s="1" t="s">
        <v>724</v>
      </c>
      <c r="O755" s="1">
        <v>0</v>
      </c>
      <c r="P755" s="1" t="s">
        <v>2058</v>
      </c>
      <c r="Q755" s="7" t="str">
        <f t="shared" si="7"/>
        <v>equipment/14011.png</v>
      </c>
      <c r="R755" s="1">
        <v>0</v>
      </c>
    </row>
    <row r="756" spans="1:18" ht="14.25" thickBot="1">
      <c r="A756" s="1" t="s">
        <v>656</v>
      </c>
      <c r="B756" s="3">
        <v>1</v>
      </c>
      <c r="C756" s="1" t="s">
        <v>2645</v>
      </c>
      <c r="D756" s="1" t="s">
        <v>10</v>
      </c>
      <c r="E756" s="1">
        <v>3</v>
      </c>
      <c r="F756" s="1">
        <v>2</v>
      </c>
      <c r="G756" s="1">
        <v>65</v>
      </c>
      <c r="H756" s="10">
        <v>0</v>
      </c>
      <c r="I756" s="1">
        <v>13000</v>
      </c>
      <c r="J756" s="1">
        <v>10</v>
      </c>
      <c r="K756" s="1">
        <v>0</v>
      </c>
      <c r="L756" s="1">
        <v>0</v>
      </c>
      <c r="M756" s="1" t="s">
        <v>1994</v>
      </c>
      <c r="N756" s="1" t="s">
        <v>724</v>
      </c>
      <c r="O756" s="1">
        <v>0</v>
      </c>
      <c r="P756" s="1" t="s">
        <v>2058</v>
      </c>
      <c r="Q756" s="7" t="str">
        <f t="shared" si="7"/>
        <v>equipment/6011.png</v>
      </c>
      <c r="R756" s="1">
        <v>0</v>
      </c>
    </row>
    <row r="757" spans="1:18" ht="14.25" thickBot="1">
      <c r="A757" s="1" t="s">
        <v>657</v>
      </c>
      <c r="B757" s="3">
        <v>1</v>
      </c>
      <c r="C757" s="1" t="s">
        <v>2646</v>
      </c>
      <c r="D757" s="1" t="s">
        <v>15</v>
      </c>
      <c r="E757" s="1">
        <v>8</v>
      </c>
      <c r="F757" s="1">
        <v>2</v>
      </c>
      <c r="G757" s="1">
        <v>65</v>
      </c>
      <c r="H757" s="10">
        <v>0</v>
      </c>
      <c r="I757" s="1">
        <v>13000</v>
      </c>
      <c r="J757" s="1">
        <v>10</v>
      </c>
      <c r="K757" s="1">
        <v>0</v>
      </c>
      <c r="L757" s="1">
        <v>0</v>
      </c>
      <c r="M757" s="1" t="s">
        <v>1995</v>
      </c>
      <c r="N757" s="1" t="s">
        <v>724</v>
      </c>
      <c r="O757" s="1">
        <v>0</v>
      </c>
      <c r="P757" s="1" t="s">
        <v>2058</v>
      </c>
      <c r="Q757" s="7" t="str">
        <f t="shared" si="7"/>
        <v>equipment/8011.png</v>
      </c>
      <c r="R757" s="1">
        <v>0</v>
      </c>
    </row>
    <row r="758" spans="1:18" ht="14.25" thickBot="1">
      <c r="A758" s="1" t="s">
        <v>658</v>
      </c>
      <c r="B758" s="3">
        <v>1</v>
      </c>
      <c r="C758" s="1" t="s">
        <v>2647</v>
      </c>
      <c r="D758" s="1" t="s">
        <v>16</v>
      </c>
      <c r="E758" s="1">
        <v>9</v>
      </c>
      <c r="F758" s="1">
        <v>2</v>
      </c>
      <c r="G758" s="1">
        <v>65</v>
      </c>
      <c r="H758" s="10">
        <v>0</v>
      </c>
      <c r="I758" s="1">
        <v>13000</v>
      </c>
      <c r="J758" s="1">
        <v>10</v>
      </c>
      <c r="K758" s="1">
        <v>0</v>
      </c>
      <c r="L758" s="1">
        <v>0</v>
      </c>
      <c r="M758" s="1" t="s">
        <v>1996</v>
      </c>
      <c r="N758" s="1" t="s">
        <v>724</v>
      </c>
      <c r="O758" s="1">
        <v>0</v>
      </c>
      <c r="P758" s="1" t="s">
        <v>2058</v>
      </c>
      <c r="Q758" s="7" t="str">
        <f t="shared" si="7"/>
        <v>equipment/10011.png</v>
      </c>
      <c r="R758" s="1">
        <v>0</v>
      </c>
    </row>
    <row r="759" spans="1:18" ht="14.25" thickBot="1">
      <c r="A759" s="1" t="s">
        <v>659</v>
      </c>
      <c r="B759" s="3">
        <v>1</v>
      </c>
      <c r="C759" s="1" t="s">
        <v>2648</v>
      </c>
      <c r="D759" s="1" t="s">
        <v>17</v>
      </c>
      <c r="E759" s="1">
        <v>10</v>
      </c>
      <c r="F759" s="1">
        <v>2</v>
      </c>
      <c r="G759" s="1">
        <v>65</v>
      </c>
      <c r="H759" s="10">
        <v>0</v>
      </c>
      <c r="I759" s="1">
        <v>13000</v>
      </c>
      <c r="J759" s="1">
        <v>10</v>
      </c>
      <c r="K759" s="1">
        <v>0</v>
      </c>
      <c r="L759" s="1">
        <v>0</v>
      </c>
      <c r="M759" s="1" t="s">
        <v>1997</v>
      </c>
      <c r="N759" s="1" t="s">
        <v>724</v>
      </c>
      <c r="O759" s="1">
        <v>0</v>
      </c>
      <c r="P759" s="1" t="s">
        <v>2058</v>
      </c>
      <c r="Q759" s="7" t="str">
        <f t="shared" si="7"/>
        <v>equipment/12011.png</v>
      </c>
      <c r="R759" s="1">
        <v>0</v>
      </c>
    </row>
    <row r="760" spans="1:18" ht="14.25" thickBot="1">
      <c r="A760" s="1" t="s">
        <v>660</v>
      </c>
      <c r="B760" s="3">
        <v>1</v>
      </c>
      <c r="C760" s="9" t="s">
        <v>2649</v>
      </c>
      <c r="D760" s="1" t="s">
        <v>12</v>
      </c>
      <c r="E760" s="1">
        <v>5</v>
      </c>
      <c r="F760" s="1">
        <v>2</v>
      </c>
      <c r="G760" s="1">
        <v>65</v>
      </c>
      <c r="H760" s="10" t="s">
        <v>2120</v>
      </c>
      <c r="I760" s="1">
        <v>13000</v>
      </c>
      <c r="J760" s="1">
        <v>10</v>
      </c>
      <c r="K760" s="1">
        <v>0</v>
      </c>
      <c r="L760" s="1">
        <v>0</v>
      </c>
      <c r="M760" s="1" t="s">
        <v>2024</v>
      </c>
      <c r="N760" s="1" t="s">
        <v>725</v>
      </c>
      <c r="O760" s="1">
        <v>0</v>
      </c>
      <c r="P760" s="1" t="s">
        <v>2058</v>
      </c>
      <c r="Q760" s="7" t="str">
        <f t="shared" si="7"/>
        <v>equipment/1123.png</v>
      </c>
      <c r="R760" s="1">
        <v>0</v>
      </c>
    </row>
    <row r="761" spans="1:18" ht="14.25" thickBot="1">
      <c r="A761" s="1" t="s">
        <v>661</v>
      </c>
      <c r="B761" s="2">
        <v>0</v>
      </c>
      <c r="C761" s="9" t="s">
        <v>2650</v>
      </c>
      <c r="D761" s="1" t="s">
        <v>12</v>
      </c>
      <c r="E761" s="1">
        <v>5</v>
      </c>
      <c r="F761" s="1">
        <v>2</v>
      </c>
      <c r="G761" s="1">
        <v>65</v>
      </c>
      <c r="H761" s="10" t="s">
        <v>2120</v>
      </c>
      <c r="I761" s="1">
        <v>13600</v>
      </c>
      <c r="J761" s="1">
        <v>10</v>
      </c>
      <c r="K761" s="1">
        <v>0</v>
      </c>
      <c r="L761" s="1">
        <v>0</v>
      </c>
      <c r="M761" s="1" t="s">
        <v>1998</v>
      </c>
      <c r="N761" s="1" t="s">
        <v>725</v>
      </c>
      <c r="O761" s="1">
        <v>0</v>
      </c>
      <c r="P761" s="1" t="s">
        <v>2058</v>
      </c>
      <c r="Q761" s="7" t="str">
        <f t="shared" si="7"/>
        <v>equipment/1101.png</v>
      </c>
      <c r="R761" s="1">
        <v>0</v>
      </c>
    </row>
    <row r="762" spans="1:18" ht="14.25" thickBot="1">
      <c r="A762" s="1" t="s">
        <v>662</v>
      </c>
      <c r="B762" s="3">
        <v>1</v>
      </c>
      <c r="C762" s="9" t="s">
        <v>2651</v>
      </c>
      <c r="D762" s="1" t="s">
        <v>13</v>
      </c>
      <c r="E762" s="1">
        <v>6</v>
      </c>
      <c r="F762" s="1">
        <v>2</v>
      </c>
      <c r="G762" s="1">
        <v>65</v>
      </c>
      <c r="H762" s="10" t="s">
        <v>2120</v>
      </c>
      <c r="I762" s="1">
        <v>13000</v>
      </c>
      <c r="J762" s="1">
        <v>10</v>
      </c>
      <c r="K762" s="1">
        <v>0</v>
      </c>
      <c r="L762" s="1">
        <v>0</v>
      </c>
      <c r="M762" s="1" t="s">
        <v>1999</v>
      </c>
      <c r="N762" s="1" t="s">
        <v>725</v>
      </c>
      <c r="O762" s="1">
        <v>0</v>
      </c>
      <c r="P762" s="1" t="s">
        <v>2058</v>
      </c>
      <c r="Q762" s="7" t="str">
        <f t="shared" si="7"/>
        <v>equipment/2116.png</v>
      </c>
      <c r="R762" s="1">
        <v>0</v>
      </c>
    </row>
    <row r="763" spans="1:18" ht="14.25" thickBot="1">
      <c r="A763" s="1" t="s">
        <v>663</v>
      </c>
      <c r="B763" s="2">
        <v>0</v>
      </c>
      <c r="C763" s="9" t="s">
        <v>2061</v>
      </c>
      <c r="D763" s="1" t="s">
        <v>13</v>
      </c>
      <c r="E763" s="1">
        <v>6</v>
      </c>
      <c r="F763" s="1">
        <v>2</v>
      </c>
      <c r="G763" s="1">
        <v>65</v>
      </c>
      <c r="H763" s="10" t="s">
        <v>2120</v>
      </c>
      <c r="I763" s="1">
        <v>13600</v>
      </c>
      <c r="J763" s="1">
        <v>10</v>
      </c>
      <c r="K763" s="1">
        <v>0</v>
      </c>
      <c r="L763" s="1">
        <v>0</v>
      </c>
      <c r="M763" s="1" t="s">
        <v>1999</v>
      </c>
      <c r="N763" s="1" t="s">
        <v>725</v>
      </c>
      <c r="O763" s="1">
        <v>0</v>
      </c>
      <c r="P763" s="1" t="s">
        <v>2058</v>
      </c>
      <c r="Q763" s="7" t="str">
        <f t="shared" si="7"/>
        <v>equipment/2101.png</v>
      </c>
      <c r="R763" s="1">
        <v>0</v>
      </c>
    </row>
    <row r="764" spans="1:18" ht="14.25" thickBot="1">
      <c r="A764" s="1" t="s">
        <v>664</v>
      </c>
      <c r="B764" s="3">
        <v>1</v>
      </c>
      <c r="C764" s="1" t="s">
        <v>2652</v>
      </c>
      <c r="D764" s="1" t="s">
        <v>12</v>
      </c>
      <c r="E764" s="1">
        <v>5</v>
      </c>
      <c r="F764" s="1">
        <v>2</v>
      </c>
      <c r="G764" s="1">
        <v>65</v>
      </c>
      <c r="H764" s="10" t="s">
        <v>2121</v>
      </c>
      <c r="I764" s="1">
        <v>13000</v>
      </c>
      <c r="J764" s="1">
        <v>10</v>
      </c>
      <c r="K764" s="1">
        <v>0</v>
      </c>
      <c r="L764" s="1">
        <v>0</v>
      </c>
      <c r="M764" s="1" t="s">
        <v>2024</v>
      </c>
      <c r="N764" s="1" t="s">
        <v>725</v>
      </c>
      <c r="O764" s="1">
        <v>0</v>
      </c>
      <c r="P764" s="1" t="s">
        <v>2058</v>
      </c>
      <c r="Q764" s="7" t="str">
        <f t="shared" si="7"/>
        <v>equipment/1224.png</v>
      </c>
      <c r="R764" s="1">
        <v>0</v>
      </c>
    </row>
    <row r="765" spans="1:18" ht="14.25" thickBot="1">
      <c r="A765" s="1" t="s">
        <v>665</v>
      </c>
      <c r="B765" s="2">
        <v>0</v>
      </c>
      <c r="C765" s="1" t="s">
        <v>2653</v>
      </c>
      <c r="D765" s="1" t="s">
        <v>12</v>
      </c>
      <c r="E765" s="1">
        <v>5</v>
      </c>
      <c r="F765" s="1">
        <v>2</v>
      </c>
      <c r="G765" s="1">
        <v>65</v>
      </c>
      <c r="H765" s="10" t="s">
        <v>2121</v>
      </c>
      <c r="I765" s="1">
        <v>13600</v>
      </c>
      <c r="J765" s="1">
        <v>10</v>
      </c>
      <c r="K765" s="1">
        <v>0</v>
      </c>
      <c r="L765" s="1">
        <v>0</v>
      </c>
      <c r="M765" s="1" t="s">
        <v>1998</v>
      </c>
      <c r="N765" s="1" t="s">
        <v>725</v>
      </c>
      <c r="O765" s="1">
        <v>0</v>
      </c>
      <c r="P765" s="1" t="s">
        <v>2058</v>
      </c>
      <c r="Q765" s="7" t="str">
        <f t="shared" si="7"/>
        <v>equipment/1201.png</v>
      </c>
      <c r="R765" s="1">
        <v>0</v>
      </c>
    </row>
    <row r="766" spans="1:18" ht="14.25" thickBot="1">
      <c r="A766" s="1" t="s">
        <v>666</v>
      </c>
      <c r="B766" s="3">
        <v>1</v>
      </c>
      <c r="C766" s="9" t="s">
        <v>2654</v>
      </c>
      <c r="D766" s="1" t="s">
        <v>13</v>
      </c>
      <c r="E766" s="1">
        <v>6</v>
      </c>
      <c r="F766" s="1">
        <v>2</v>
      </c>
      <c r="G766" s="1">
        <v>65</v>
      </c>
      <c r="H766" s="10" t="s">
        <v>2121</v>
      </c>
      <c r="I766" s="1">
        <v>13000</v>
      </c>
      <c r="J766" s="1">
        <v>10</v>
      </c>
      <c r="K766" s="1">
        <v>0</v>
      </c>
      <c r="L766" s="1">
        <v>0</v>
      </c>
      <c r="M766" s="1" t="s">
        <v>2000</v>
      </c>
      <c r="N766" s="1" t="s">
        <v>725</v>
      </c>
      <c r="O766" s="1">
        <v>0</v>
      </c>
      <c r="P766" s="1" t="s">
        <v>2058</v>
      </c>
      <c r="Q766" s="7" t="str">
        <f t="shared" si="7"/>
        <v>equipment/2216.png</v>
      </c>
      <c r="R766" s="1">
        <v>0</v>
      </c>
    </row>
    <row r="767" spans="1:18" ht="14.25" thickBot="1">
      <c r="A767" s="1" t="s">
        <v>667</v>
      </c>
      <c r="B767" s="2">
        <v>0</v>
      </c>
      <c r="C767" s="9" t="s">
        <v>2094</v>
      </c>
      <c r="D767" s="1" t="s">
        <v>13</v>
      </c>
      <c r="E767" s="1">
        <v>6</v>
      </c>
      <c r="F767" s="1">
        <v>2</v>
      </c>
      <c r="G767" s="1">
        <v>65</v>
      </c>
      <c r="H767" s="10" t="s">
        <v>2121</v>
      </c>
      <c r="I767" s="1">
        <v>13600</v>
      </c>
      <c r="J767" s="1">
        <v>10</v>
      </c>
      <c r="K767" s="1">
        <v>0</v>
      </c>
      <c r="L767" s="1">
        <v>0</v>
      </c>
      <c r="M767" s="1" t="s">
        <v>2000</v>
      </c>
      <c r="N767" s="1" t="s">
        <v>725</v>
      </c>
      <c r="O767" s="1">
        <v>0</v>
      </c>
      <c r="P767" s="1" t="s">
        <v>2058</v>
      </c>
      <c r="Q767" s="7" t="str">
        <f t="shared" si="7"/>
        <v>equipment/2201.png</v>
      </c>
      <c r="R767" s="1">
        <v>0</v>
      </c>
    </row>
    <row r="768" spans="1:18" ht="14.25" thickBot="1">
      <c r="A768" s="1" t="s">
        <v>668</v>
      </c>
      <c r="B768" s="3">
        <v>1</v>
      </c>
      <c r="C768" s="9" t="s">
        <v>2655</v>
      </c>
      <c r="D768" s="1" t="s">
        <v>12</v>
      </c>
      <c r="E768" s="1">
        <v>5</v>
      </c>
      <c r="F768" s="1">
        <v>2</v>
      </c>
      <c r="G768" s="1">
        <v>65</v>
      </c>
      <c r="H768" s="10" t="s">
        <v>2122</v>
      </c>
      <c r="I768" s="1">
        <v>13000</v>
      </c>
      <c r="J768" s="1">
        <v>10</v>
      </c>
      <c r="K768" s="1">
        <v>0</v>
      </c>
      <c r="L768" s="1">
        <v>0</v>
      </c>
      <c r="M768" s="1" t="s">
        <v>2024</v>
      </c>
      <c r="N768" s="1" t="s">
        <v>725</v>
      </c>
      <c r="O768" s="1">
        <v>0</v>
      </c>
      <c r="P768" s="1" t="s">
        <v>2058</v>
      </c>
      <c r="Q768" s="7" t="str">
        <f t="shared" si="7"/>
        <v>equipment/1323.png</v>
      </c>
      <c r="R768" s="1">
        <v>0</v>
      </c>
    </row>
    <row r="769" spans="1:18" ht="14.25" thickBot="1">
      <c r="A769" s="1" t="s">
        <v>669</v>
      </c>
      <c r="B769" s="2">
        <v>0</v>
      </c>
      <c r="C769" s="9" t="s">
        <v>2497</v>
      </c>
      <c r="D769" s="1" t="s">
        <v>12</v>
      </c>
      <c r="E769" s="1">
        <v>5</v>
      </c>
      <c r="F769" s="1">
        <v>2</v>
      </c>
      <c r="G769" s="1">
        <v>65</v>
      </c>
      <c r="H769" s="10" t="s">
        <v>2122</v>
      </c>
      <c r="I769" s="1">
        <v>13600</v>
      </c>
      <c r="J769" s="1">
        <v>10</v>
      </c>
      <c r="K769" s="1">
        <v>0</v>
      </c>
      <c r="L769" s="1">
        <v>0</v>
      </c>
      <c r="M769" s="1" t="s">
        <v>1998</v>
      </c>
      <c r="N769" s="1" t="s">
        <v>725</v>
      </c>
      <c r="O769" s="1">
        <v>0</v>
      </c>
      <c r="P769" s="1" t="s">
        <v>2058</v>
      </c>
      <c r="Q769" s="7" t="str">
        <f t="shared" si="7"/>
        <v>equipment/1301.png</v>
      </c>
      <c r="R769" s="1">
        <v>0</v>
      </c>
    </row>
    <row r="770" spans="1:18" ht="14.25" thickBot="1">
      <c r="A770" s="1" t="s">
        <v>670</v>
      </c>
      <c r="B770" s="3">
        <v>1</v>
      </c>
      <c r="C770" s="9" t="s">
        <v>2656</v>
      </c>
      <c r="D770" s="1" t="s">
        <v>13</v>
      </c>
      <c r="E770" s="1">
        <v>6</v>
      </c>
      <c r="F770" s="1">
        <v>2</v>
      </c>
      <c r="G770" s="1">
        <v>65</v>
      </c>
      <c r="H770" s="10" t="s">
        <v>2122</v>
      </c>
      <c r="I770" s="1">
        <v>13000</v>
      </c>
      <c r="J770" s="1">
        <v>10</v>
      </c>
      <c r="K770" s="1">
        <v>0</v>
      </c>
      <c r="L770" s="1">
        <v>0</v>
      </c>
      <c r="M770" s="1" t="s">
        <v>2001</v>
      </c>
      <c r="N770" s="1" t="s">
        <v>725</v>
      </c>
      <c r="O770" s="1">
        <v>0</v>
      </c>
      <c r="P770" s="1" t="s">
        <v>2058</v>
      </c>
      <c r="Q770" s="7" t="str">
        <f t="shared" si="7"/>
        <v>equipment/2317.png</v>
      </c>
      <c r="R770" s="1">
        <v>0</v>
      </c>
    </row>
    <row r="771" spans="1:18" ht="14.25" thickBot="1">
      <c r="A771" s="1" t="s">
        <v>671</v>
      </c>
      <c r="B771" s="2">
        <v>0</v>
      </c>
      <c r="C771" s="9" t="s">
        <v>2095</v>
      </c>
      <c r="D771" s="1" t="s">
        <v>13</v>
      </c>
      <c r="E771" s="1">
        <v>6</v>
      </c>
      <c r="F771" s="1">
        <v>2</v>
      </c>
      <c r="G771" s="1">
        <v>65</v>
      </c>
      <c r="H771" s="10" t="s">
        <v>2122</v>
      </c>
      <c r="I771" s="1">
        <v>13600</v>
      </c>
      <c r="J771" s="1">
        <v>10</v>
      </c>
      <c r="K771" s="1">
        <v>0</v>
      </c>
      <c r="L771" s="1">
        <v>0</v>
      </c>
      <c r="M771" s="1" t="s">
        <v>2002</v>
      </c>
      <c r="N771" s="1" t="s">
        <v>725</v>
      </c>
      <c r="O771" s="1">
        <v>0</v>
      </c>
      <c r="P771" s="1" t="s">
        <v>2058</v>
      </c>
      <c r="Q771" s="7" t="str">
        <f t="shared" si="7"/>
        <v>equipment/2301.png</v>
      </c>
      <c r="R771" s="1">
        <v>0</v>
      </c>
    </row>
    <row r="772" spans="1:18" ht="14.25" thickBot="1">
      <c r="A772" s="1" t="s">
        <v>672</v>
      </c>
      <c r="B772" s="3">
        <v>1</v>
      </c>
      <c r="C772" s="1" t="s">
        <v>2657</v>
      </c>
      <c r="D772" s="1" t="s">
        <v>11</v>
      </c>
      <c r="E772" s="1">
        <v>4</v>
      </c>
      <c r="F772" s="1">
        <v>2</v>
      </c>
      <c r="G772" s="1">
        <v>65</v>
      </c>
      <c r="H772" s="10">
        <v>0</v>
      </c>
      <c r="I772" s="1">
        <v>13000</v>
      </c>
      <c r="J772" s="1">
        <v>10</v>
      </c>
      <c r="K772" s="1">
        <v>0</v>
      </c>
      <c r="L772" s="1">
        <v>0</v>
      </c>
      <c r="M772" s="1" t="s">
        <v>2003</v>
      </c>
      <c r="N772" s="1" t="s">
        <v>724</v>
      </c>
      <c r="O772" s="1">
        <v>0</v>
      </c>
      <c r="P772" s="1" t="s">
        <v>2058</v>
      </c>
      <c r="Q772" s="7" t="str">
        <f t="shared" si="7"/>
        <v>equipment/5017.png</v>
      </c>
      <c r="R772" s="1">
        <v>0</v>
      </c>
    </row>
    <row r="773" spans="1:18" ht="14.25" thickBot="1">
      <c r="A773" s="1" t="s">
        <v>673</v>
      </c>
      <c r="B773" s="2">
        <v>0</v>
      </c>
      <c r="C773" s="1" t="s">
        <v>2499</v>
      </c>
      <c r="D773" s="1" t="s">
        <v>11</v>
      </c>
      <c r="E773" s="1">
        <v>4</v>
      </c>
      <c r="F773" s="1">
        <v>2</v>
      </c>
      <c r="G773" s="1">
        <v>65</v>
      </c>
      <c r="H773" s="10">
        <v>0</v>
      </c>
      <c r="I773" s="1">
        <v>13600</v>
      </c>
      <c r="J773" s="1">
        <v>10</v>
      </c>
      <c r="K773" s="1">
        <v>0</v>
      </c>
      <c r="L773" s="1">
        <v>0</v>
      </c>
      <c r="M773" s="1" t="s">
        <v>2003</v>
      </c>
      <c r="N773" s="1" t="s">
        <v>724</v>
      </c>
      <c r="O773" s="1">
        <v>0</v>
      </c>
      <c r="P773" s="1" t="s">
        <v>2058</v>
      </c>
      <c r="Q773" s="7" t="str">
        <f t="shared" si="7"/>
        <v>equipment/5001.png</v>
      </c>
      <c r="R773" s="1">
        <v>0</v>
      </c>
    </row>
    <row r="774" spans="1:18" ht="14.25" thickBot="1">
      <c r="A774" s="1" t="s">
        <v>674</v>
      </c>
      <c r="B774" s="3">
        <v>1</v>
      </c>
      <c r="C774" s="1" t="s">
        <v>2658</v>
      </c>
      <c r="D774" s="1" t="s">
        <v>14</v>
      </c>
      <c r="E774" s="1">
        <v>7</v>
      </c>
      <c r="F774" s="1">
        <v>2</v>
      </c>
      <c r="G774" s="1">
        <v>65</v>
      </c>
      <c r="H774" s="10">
        <v>0</v>
      </c>
      <c r="I774" s="1">
        <v>13000</v>
      </c>
      <c r="J774" s="1">
        <v>10</v>
      </c>
      <c r="K774" s="1">
        <v>0</v>
      </c>
      <c r="L774" s="1">
        <v>0</v>
      </c>
      <c r="M774" s="1" t="s">
        <v>2004</v>
      </c>
      <c r="N774" s="1" t="s">
        <v>724</v>
      </c>
      <c r="O774" s="1">
        <v>0</v>
      </c>
      <c r="P774" s="1" t="s">
        <v>2058</v>
      </c>
      <c r="Q774" s="7" t="str">
        <f t="shared" si="7"/>
        <v>equipment/7017.png</v>
      </c>
      <c r="R774" s="1">
        <v>0</v>
      </c>
    </row>
    <row r="775" spans="1:18" ht="14.25" thickBot="1">
      <c r="A775" s="1" t="s">
        <v>675</v>
      </c>
      <c r="B775" s="2">
        <v>0</v>
      </c>
      <c r="C775" s="1" t="s">
        <v>2501</v>
      </c>
      <c r="D775" s="1" t="s">
        <v>14</v>
      </c>
      <c r="E775" s="1">
        <v>7</v>
      </c>
      <c r="F775" s="1">
        <v>2</v>
      </c>
      <c r="G775" s="1">
        <v>65</v>
      </c>
      <c r="H775" s="10">
        <v>0</v>
      </c>
      <c r="I775" s="1">
        <v>13600</v>
      </c>
      <c r="J775" s="1">
        <v>10</v>
      </c>
      <c r="K775" s="1">
        <v>0</v>
      </c>
      <c r="L775" s="1">
        <v>0</v>
      </c>
      <c r="M775" s="1" t="s">
        <v>2004</v>
      </c>
      <c r="N775" s="1" t="s">
        <v>724</v>
      </c>
      <c r="O775" s="1">
        <v>0</v>
      </c>
      <c r="P775" s="1" t="s">
        <v>2058</v>
      </c>
      <c r="Q775" s="7" t="str">
        <f t="shared" si="7"/>
        <v>equipment/7001.png</v>
      </c>
      <c r="R775" s="1">
        <v>0</v>
      </c>
    </row>
    <row r="776" spans="1:18" ht="14.25" thickBot="1">
      <c r="A776" s="1" t="s">
        <v>676</v>
      </c>
      <c r="B776" s="3">
        <v>1</v>
      </c>
      <c r="C776" s="1" t="s">
        <v>2659</v>
      </c>
      <c r="D776" s="1" t="s">
        <v>8</v>
      </c>
      <c r="E776" s="1">
        <v>1</v>
      </c>
      <c r="F776" s="1">
        <v>2</v>
      </c>
      <c r="G776" s="1">
        <v>70</v>
      </c>
      <c r="H776" s="10">
        <v>0</v>
      </c>
      <c r="I776" s="1">
        <v>14000</v>
      </c>
      <c r="J776" s="1">
        <v>10</v>
      </c>
      <c r="K776" s="1">
        <v>0</v>
      </c>
      <c r="L776" s="1">
        <v>0</v>
      </c>
      <c r="M776" s="1" t="s">
        <v>2477</v>
      </c>
      <c r="N776" s="1" t="s">
        <v>726</v>
      </c>
      <c r="O776" s="1">
        <v>0</v>
      </c>
      <c r="P776" s="1" t="s">
        <v>2059</v>
      </c>
      <c r="Q776" s="7" t="str">
        <f t="shared" si="7"/>
        <v>equipment/3014.png</v>
      </c>
      <c r="R776" s="1">
        <v>0</v>
      </c>
    </row>
    <row r="777" spans="1:18" ht="14.25" thickBot="1">
      <c r="A777" s="1" t="s">
        <v>677</v>
      </c>
      <c r="B777" s="3">
        <v>1</v>
      </c>
      <c r="C777" s="1" t="s">
        <v>2660</v>
      </c>
      <c r="D777" s="1" t="s">
        <v>9</v>
      </c>
      <c r="E777" s="1">
        <v>2</v>
      </c>
      <c r="F777" s="1">
        <v>2</v>
      </c>
      <c r="G777" s="1">
        <v>70</v>
      </c>
      <c r="H777" s="10">
        <v>0</v>
      </c>
      <c r="I777" s="1">
        <v>14000</v>
      </c>
      <c r="J777" s="1">
        <v>10</v>
      </c>
      <c r="K777" s="1">
        <v>0</v>
      </c>
      <c r="L777" s="1">
        <v>0</v>
      </c>
      <c r="M777" s="1" t="s">
        <v>2478</v>
      </c>
      <c r="N777" s="1" t="s">
        <v>726</v>
      </c>
      <c r="O777" s="1">
        <v>0</v>
      </c>
      <c r="P777" s="1" t="s">
        <v>2059</v>
      </c>
      <c r="Q777" s="7" t="str">
        <f t="shared" si="7"/>
        <v>equipment/14012.png</v>
      </c>
      <c r="R777" s="1">
        <v>0</v>
      </c>
    </row>
    <row r="778" spans="1:18" ht="14.25" thickBot="1">
      <c r="A778" s="1" t="s">
        <v>678</v>
      </c>
      <c r="B778" s="3">
        <v>1</v>
      </c>
      <c r="C778" s="1" t="s">
        <v>2661</v>
      </c>
      <c r="D778" s="1" t="s">
        <v>10</v>
      </c>
      <c r="E778" s="1">
        <v>3</v>
      </c>
      <c r="F778" s="1">
        <v>2</v>
      </c>
      <c r="G778" s="1">
        <v>70</v>
      </c>
      <c r="H778" s="10">
        <v>0</v>
      </c>
      <c r="I778" s="1">
        <v>14000</v>
      </c>
      <c r="J778" s="1">
        <v>10</v>
      </c>
      <c r="K778" s="1">
        <v>0</v>
      </c>
      <c r="L778" s="1">
        <v>0</v>
      </c>
      <c r="M778" s="1" t="s">
        <v>2479</v>
      </c>
      <c r="N778" s="1" t="s">
        <v>726</v>
      </c>
      <c r="O778" s="1">
        <v>0</v>
      </c>
      <c r="P778" s="1" t="s">
        <v>2059</v>
      </c>
      <c r="Q778" s="7" t="str">
        <f t="shared" si="7"/>
        <v>equipment/6013.png</v>
      </c>
      <c r="R778" s="1">
        <v>0</v>
      </c>
    </row>
    <row r="779" spans="1:18" ht="14.25" thickBot="1">
      <c r="A779" s="1" t="s">
        <v>679</v>
      </c>
      <c r="B779" s="3">
        <v>1</v>
      </c>
      <c r="C779" s="1" t="s">
        <v>2662</v>
      </c>
      <c r="D779" s="1" t="s">
        <v>15</v>
      </c>
      <c r="E779" s="1">
        <v>8</v>
      </c>
      <c r="F779" s="1">
        <v>2</v>
      </c>
      <c r="G779" s="1">
        <v>70</v>
      </c>
      <c r="H779" s="10">
        <v>0</v>
      </c>
      <c r="I779" s="1">
        <v>14000</v>
      </c>
      <c r="J779" s="1">
        <v>10</v>
      </c>
      <c r="K779" s="1">
        <v>0</v>
      </c>
      <c r="L779" s="1">
        <v>0</v>
      </c>
      <c r="M779" s="1" t="s">
        <v>2480</v>
      </c>
      <c r="N779" s="1" t="s">
        <v>726</v>
      </c>
      <c r="O779" s="1">
        <v>0</v>
      </c>
      <c r="P779" s="1" t="s">
        <v>2059</v>
      </c>
      <c r="Q779" s="7" t="str">
        <f t="shared" si="7"/>
        <v>equipment/8012.png</v>
      </c>
      <c r="R779" s="1">
        <v>0</v>
      </c>
    </row>
    <row r="780" spans="1:18" ht="14.25" thickBot="1">
      <c r="A780" s="1" t="s">
        <v>680</v>
      </c>
      <c r="B780" s="3">
        <v>1</v>
      </c>
      <c r="C780" s="1" t="s">
        <v>2663</v>
      </c>
      <c r="D780" s="1" t="s">
        <v>16</v>
      </c>
      <c r="E780" s="1">
        <v>9</v>
      </c>
      <c r="F780" s="1">
        <v>2</v>
      </c>
      <c r="G780" s="1">
        <v>70</v>
      </c>
      <c r="H780" s="10">
        <v>0</v>
      </c>
      <c r="I780" s="1">
        <v>14000</v>
      </c>
      <c r="J780" s="1">
        <v>10</v>
      </c>
      <c r="K780" s="1">
        <v>0</v>
      </c>
      <c r="L780" s="1">
        <v>0</v>
      </c>
      <c r="M780" s="1" t="s">
        <v>2481</v>
      </c>
      <c r="N780" s="1" t="s">
        <v>726</v>
      </c>
      <c r="O780" s="1">
        <v>0</v>
      </c>
      <c r="P780" s="1" t="s">
        <v>2059</v>
      </c>
      <c r="Q780" s="7" t="str">
        <f t="shared" si="7"/>
        <v>equipment/10013.png</v>
      </c>
      <c r="R780" s="1">
        <v>0</v>
      </c>
    </row>
    <row r="781" spans="1:18" ht="14.25" thickBot="1">
      <c r="A781" s="1" t="s">
        <v>681</v>
      </c>
      <c r="B781" s="3">
        <v>1</v>
      </c>
      <c r="C781" s="1" t="s">
        <v>2664</v>
      </c>
      <c r="D781" s="1" t="s">
        <v>17</v>
      </c>
      <c r="E781" s="1">
        <v>10</v>
      </c>
      <c r="F781" s="1">
        <v>2</v>
      </c>
      <c r="G781" s="1">
        <v>70</v>
      </c>
      <c r="H781" s="10">
        <v>0</v>
      </c>
      <c r="I781" s="1">
        <v>14000</v>
      </c>
      <c r="J781" s="1">
        <v>10</v>
      </c>
      <c r="K781" s="1">
        <v>0</v>
      </c>
      <c r="L781" s="1">
        <v>0</v>
      </c>
      <c r="M781" s="1" t="s">
        <v>2482</v>
      </c>
      <c r="N781" s="1" t="s">
        <v>726</v>
      </c>
      <c r="O781" s="1">
        <v>0</v>
      </c>
      <c r="P781" s="1" t="s">
        <v>2059</v>
      </c>
      <c r="Q781" s="7" t="str">
        <f t="shared" si="7"/>
        <v>equipment/12014.png</v>
      </c>
      <c r="R781" s="1">
        <v>0</v>
      </c>
    </row>
    <row r="782" spans="1:18" ht="14.25" thickBot="1">
      <c r="A782" s="1" t="s">
        <v>682</v>
      </c>
      <c r="B782" s="3">
        <v>1</v>
      </c>
      <c r="C782" s="9" t="s">
        <v>2650</v>
      </c>
      <c r="D782" s="1" t="s">
        <v>12</v>
      </c>
      <c r="E782" s="1">
        <v>5</v>
      </c>
      <c r="F782" s="1">
        <v>2</v>
      </c>
      <c r="G782" s="1">
        <v>70</v>
      </c>
      <c r="H782" s="10" t="s">
        <v>2120</v>
      </c>
      <c r="I782" s="1">
        <v>14000</v>
      </c>
      <c r="J782" s="1">
        <v>10</v>
      </c>
      <c r="K782" s="1">
        <v>0</v>
      </c>
      <c r="L782" s="1">
        <v>0</v>
      </c>
      <c r="M782" s="1" t="s">
        <v>2025</v>
      </c>
      <c r="N782" s="1" t="s">
        <v>727</v>
      </c>
      <c r="O782" s="1">
        <v>0</v>
      </c>
      <c r="P782" s="1" t="s">
        <v>2059</v>
      </c>
      <c r="Q782" s="7" t="str">
        <f t="shared" si="7"/>
        <v>equipment/1124.png</v>
      </c>
      <c r="R782" s="1">
        <v>0</v>
      </c>
    </row>
    <row r="783" spans="1:18" ht="14.25" thickBot="1">
      <c r="A783" s="1" t="s">
        <v>683</v>
      </c>
      <c r="B783" s="2">
        <v>0</v>
      </c>
      <c r="C783" s="9" t="s">
        <v>2665</v>
      </c>
      <c r="D783" s="1" t="s">
        <v>12</v>
      </c>
      <c r="E783" s="1">
        <v>5</v>
      </c>
      <c r="F783" s="1">
        <v>2</v>
      </c>
      <c r="G783" s="1">
        <v>70</v>
      </c>
      <c r="H783" s="10" t="s">
        <v>2120</v>
      </c>
      <c r="I783" s="1">
        <v>14600</v>
      </c>
      <c r="J783" s="1">
        <v>10</v>
      </c>
      <c r="K783" s="1">
        <v>0</v>
      </c>
      <c r="L783" s="1">
        <v>0</v>
      </c>
      <c r="M783" s="1" t="s">
        <v>2025</v>
      </c>
      <c r="N783" s="1" t="s">
        <v>727</v>
      </c>
      <c r="O783" s="1">
        <v>0</v>
      </c>
      <c r="P783" s="1" t="s">
        <v>2059</v>
      </c>
      <c r="Q783" s="7" t="str">
        <f t="shared" si="7"/>
        <v>equipment/1101.png</v>
      </c>
      <c r="R783" s="1">
        <v>0</v>
      </c>
    </row>
    <row r="784" spans="1:18" ht="14.25" thickBot="1">
      <c r="A784" s="1" t="s">
        <v>684</v>
      </c>
      <c r="B784" s="3">
        <v>1</v>
      </c>
      <c r="C784" s="9" t="s">
        <v>2666</v>
      </c>
      <c r="D784" s="1" t="s">
        <v>13</v>
      </c>
      <c r="E784" s="1">
        <v>6</v>
      </c>
      <c r="F784" s="1">
        <v>2</v>
      </c>
      <c r="G784" s="1">
        <v>70</v>
      </c>
      <c r="H784" s="10" t="s">
        <v>2120</v>
      </c>
      <c r="I784" s="1">
        <v>14000</v>
      </c>
      <c r="J784" s="1">
        <v>10</v>
      </c>
      <c r="K784" s="1">
        <v>0</v>
      </c>
      <c r="L784" s="1">
        <v>0</v>
      </c>
      <c r="M784" s="1" t="s">
        <v>2007</v>
      </c>
      <c r="N784" s="1" t="s">
        <v>727</v>
      </c>
      <c r="O784" s="1">
        <v>0</v>
      </c>
      <c r="P784" s="1" t="s">
        <v>2059</v>
      </c>
      <c r="Q784" s="7" t="str">
        <f t="shared" si="7"/>
        <v>equipment/2118.png</v>
      </c>
      <c r="R784" s="1">
        <v>0</v>
      </c>
    </row>
    <row r="785" spans="1:18" ht="14.25" thickBot="1">
      <c r="A785" s="1" t="s">
        <v>685</v>
      </c>
      <c r="B785" s="2">
        <v>0</v>
      </c>
      <c r="C785" s="9" t="s">
        <v>2667</v>
      </c>
      <c r="D785" s="1" t="s">
        <v>13</v>
      </c>
      <c r="E785" s="1">
        <v>6</v>
      </c>
      <c r="F785" s="1">
        <v>2</v>
      </c>
      <c r="G785" s="1">
        <v>70</v>
      </c>
      <c r="H785" s="10" t="s">
        <v>2120</v>
      </c>
      <c r="I785" s="1">
        <v>14600</v>
      </c>
      <c r="J785" s="1">
        <v>10</v>
      </c>
      <c r="K785" s="1">
        <v>0</v>
      </c>
      <c r="L785" s="1">
        <v>0</v>
      </c>
      <c r="M785" s="1" t="s">
        <v>2007</v>
      </c>
      <c r="N785" s="1" t="s">
        <v>727</v>
      </c>
      <c r="O785" s="1">
        <v>0</v>
      </c>
      <c r="P785" s="1" t="s">
        <v>2059</v>
      </c>
      <c r="Q785" s="7" t="str">
        <f t="shared" si="7"/>
        <v>equipment/2101.png</v>
      </c>
      <c r="R785" s="1">
        <v>0</v>
      </c>
    </row>
    <row r="786" spans="1:18" ht="14.25" thickBot="1">
      <c r="A786" s="1" t="s">
        <v>686</v>
      </c>
      <c r="B786" s="3">
        <v>1</v>
      </c>
      <c r="C786" s="1" t="s">
        <v>2653</v>
      </c>
      <c r="D786" s="1" t="s">
        <v>12</v>
      </c>
      <c r="E786" s="1">
        <v>5</v>
      </c>
      <c r="F786" s="1">
        <v>2</v>
      </c>
      <c r="G786" s="1">
        <v>70</v>
      </c>
      <c r="H786" s="10" t="s">
        <v>2121</v>
      </c>
      <c r="I786" s="1">
        <v>14000</v>
      </c>
      <c r="J786" s="1">
        <v>10</v>
      </c>
      <c r="K786" s="1">
        <v>0</v>
      </c>
      <c r="L786" s="1">
        <v>0</v>
      </c>
      <c r="M786" s="1" t="s">
        <v>2025</v>
      </c>
      <c r="N786" s="1" t="s">
        <v>727</v>
      </c>
      <c r="O786" s="1">
        <v>0</v>
      </c>
      <c r="P786" s="1" t="s">
        <v>2059</v>
      </c>
      <c r="Q786" s="7" t="str">
        <f t="shared" si="7"/>
        <v>equipment/1222.png</v>
      </c>
      <c r="R786" s="1">
        <v>0</v>
      </c>
    </row>
    <row r="787" spans="1:18" ht="14.25" thickBot="1">
      <c r="A787" s="1" t="s">
        <v>687</v>
      </c>
      <c r="B787" s="2">
        <v>0</v>
      </c>
      <c r="C787" s="1" t="s">
        <v>2668</v>
      </c>
      <c r="D787" s="1" t="s">
        <v>12</v>
      </c>
      <c r="E787" s="1">
        <v>5</v>
      </c>
      <c r="F787" s="1">
        <v>2</v>
      </c>
      <c r="G787" s="1">
        <v>70</v>
      </c>
      <c r="H787" s="10" t="s">
        <v>2121</v>
      </c>
      <c r="I787" s="1">
        <v>14600</v>
      </c>
      <c r="J787" s="1">
        <v>10</v>
      </c>
      <c r="K787" s="1">
        <v>0</v>
      </c>
      <c r="L787" s="1">
        <v>0</v>
      </c>
      <c r="M787" s="1" t="s">
        <v>2025</v>
      </c>
      <c r="N787" s="1" t="s">
        <v>727</v>
      </c>
      <c r="O787" s="1">
        <v>0</v>
      </c>
      <c r="P787" s="1" t="s">
        <v>2059</v>
      </c>
      <c r="Q787" s="7" t="str">
        <f t="shared" si="7"/>
        <v>equipment/1201.png</v>
      </c>
      <c r="R787" s="1">
        <v>0</v>
      </c>
    </row>
    <row r="788" spans="1:18" ht="14.25" thickBot="1">
      <c r="A788" s="1" t="s">
        <v>688</v>
      </c>
      <c r="B788" s="3">
        <v>1</v>
      </c>
      <c r="C788" s="9" t="s">
        <v>2669</v>
      </c>
      <c r="D788" s="1" t="s">
        <v>13</v>
      </c>
      <c r="E788" s="1">
        <v>6</v>
      </c>
      <c r="F788" s="1">
        <v>2</v>
      </c>
      <c r="G788" s="1">
        <v>70</v>
      </c>
      <c r="H788" s="10" t="s">
        <v>2121</v>
      </c>
      <c r="I788" s="1">
        <v>14000</v>
      </c>
      <c r="J788" s="1">
        <v>10</v>
      </c>
      <c r="K788" s="1">
        <v>0</v>
      </c>
      <c r="L788" s="1">
        <v>0</v>
      </c>
      <c r="M788" s="1" t="s">
        <v>2008</v>
      </c>
      <c r="N788" s="1" t="s">
        <v>727</v>
      </c>
      <c r="O788" s="1">
        <v>0</v>
      </c>
      <c r="P788" s="1" t="s">
        <v>2059</v>
      </c>
      <c r="Q788" s="7" t="str">
        <f t="shared" si="7"/>
        <v>equipment/2218.png</v>
      </c>
      <c r="R788" s="1">
        <v>0</v>
      </c>
    </row>
    <row r="789" spans="1:18" ht="14.25" thickBot="1">
      <c r="A789" s="1" t="s">
        <v>689</v>
      </c>
      <c r="B789" s="2">
        <v>0</v>
      </c>
      <c r="C789" s="9" t="s">
        <v>2094</v>
      </c>
      <c r="D789" s="1" t="s">
        <v>13</v>
      </c>
      <c r="E789" s="1">
        <v>6</v>
      </c>
      <c r="F789" s="1">
        <v>2</v>
      </c>
      <c r="G789" s="1">
        <v>70</v>
      </c>
      <c r="H789" s="10" t="s">
        <v>2121</v>
      </c>
      <c r="I789" s="1">
        <v>14600</v>
      </c>
      <c r="J789" s="1">
        <v>10</v>
      </c>
      <c r="K789" s="1">
        <v>0</v>
      </c>
      <c r="L789" s="1">
        <v>0</v>
      </c>
      <c r="M789" s="1" t="s">
        <v>2008</v>
      </c>
      <c r="N789" s="1" t="s">
        <v>727</v>
      </c>
      <c r="O789" s="1">
        <v>0</v>
      </c>
      <c r="P789" s="1" t="s">
        <v>2059</v>
      </c>
      <c r="Q789" s="7" t="str">
        <f t="shared" ref="Q789:Q852" si="8">Q327</f>
        <v>equipment/2201.png</v>
      </c>
      <c r="R789" s="1">
        <v>0</v>
      </c>
    </row>
    <row r="790" spans="1:18" ht="14.25" thickBot="1">
      <c r="A790" s="1" t="s">
        <v>690</v>
      </c>
      <c r="B790" s="3">
        <v>1</v>
      </c>
      <c r="C790" s="9" t="s">
        <v>2670</v>
      </c>
      <c r="D790" s="1" t="s">
        <v>12</v>
      </c>
      <c r="E790" s="1">
        <v>5</v>
      </c>
      <c r="F790" s="1">
        <v>2</v>
      </c>
      <c r="G790" s="1">
        <v>70</v>
      </c>
      <c r="H790" s="10" t="s">
        <v>2122</v>
      </c>
      <c r="I790" s="1">
        <v>14000</v>
      </c>
      <c r="J790" s="1">
        <v>10</v>
      </c>
      <c r="K790" s="1">
        <v>0</v>
      </c>
      <c r="L790" s="1">
        <v>0</v>
      </c>
      <c r="M790" s="1" t="s">
        <v>2025</v>
      </c>
      <c r="N790" s="1" t="s">
        <v>727</v>
      </c>
      <c r="O790" s="1">
        <v>0</v>
      </c>
      <c r="P790" s="1" t="s">
        <v>2059</v>
      </c>
      <c r="Q790" s="7" t="str">
        <f t="shared" si="8"/>
        <v>equipment/1324.png</v>
      </c>
      <c r="R790" s="1">
        <v>0</v>
      </c>
    </row>
    <row r="791" spans="1:18" ht="14.25" thickBot="1">
      <c r="A791" s="1" t="s">
        <v>691</v>
      </c>
      <c r="B791" s="2">
        <v>0</v>
      </c>
      <c r="C791" s="9" t="s">
        <v>2671</v>
      </c>
      <c r="D791" s="1" t="s">
        <v>12</v>
      </c>
      <c r="E791" s="1">
        <v>5</v>
      </c>
      <c r="F791" s="1">
        <v>2</v>
      </c>
      <c r="G791" s="1">
        <v>70</v>
      </c>
      <c r="H791" s="10" t="s">
        <v>2122</v>
      </c>
      <c r="I791" s="1">
        <v>14600</v>
      </c>
      <c r="J791" s="1">
        <v>10</v>
      </c>
      <c r="K791" s="1">
        <v>0</v>
      </c>
      <c r="L791" s="1">
        <v>0</v>
      </c>
      <c r="M791" s="1" t="s">
        <v>2025</v>
      </c>
      <c r="N791" s="1" t="s">
        <v>727</v>
      </c>
      <c r="O791" s="1">
        <v>0</v>
      </c>
      <c r="P791" s="1" t="s">
        <v>2059</v>
      </c>
      <c r="Q791" s="7" t="str">
        <f t="shared" si="8"/>
        <v>equipment/1301.png</v>
      </c>
      <c r="R791" s="1">
        <v>0</v>
      </c>
    </row>
    <row r="792" spans="1:18" ht="14.25" thickBot="1">
      <c r="A792" s="1" t="s">
        <v>692</v>
      </c>
      <c r="B792" s="3">
        <v>1</v>
      </c>
      <c r="C792" s="9" t="s">
        <v>2672</v>
      </c>
      <c r="D792" s="1" t="s">
        <v>13</v>
      </c>
      <c r="E792" s="1">
        <v>6</v>
      </c>
      <c r="F792" s="1">
        <v>2</v>
      </c>
      <c r="G792" s="1">
        <v>70</v>
      </c>
      <c r="H792" s="10" t="s">
        <v>2122</v>
      </c>
      <c r="I792" s="1">
        <v>14000</v>
      </c>
      <c r="J792" s="1">
        <v>10</v>
      </c>
      <c r="K792" s="1">
        <v>0</v>
      </c>
      <c r="L792" s="1">
        <v>0</v>
      </c>
      <c r="M792" s="1" t="s">
        <v>2009</v>
      </c>
      <c r="N792" s="1" t="s">
        <v>727</v>
      </c>
      <c r="O792" s="1">
        <v>0</v>
      </c>
      <c r="P792" s="1" t="s">
        <v>2059</v>
      </c>
      <c r="Q792" s="7" t="str">
        <f t="shared" si="8"/>
        <v>equipment/2318.png</v>
      </c>
      <c r="R792" s="1">
        <v>0</v>
      </c>
    </row>
    <row r="793" spans="1:18" ht="14.25" thickBot="1">
      <c r="A793" s="1" t="s">
        <v>693</v>
      </c>
      <c r="B793" s="2">
        <v>0</v>
      </c>
      <c r="C793" s="9" t="s">
        <v>2673</v>
      </c>
      <c r="D793" s="1" t="s">
        <v>13</v>
      </c>
      <c r="E793" s="1">
        <v>6</v>
      </c>
      <c r="F793" s="1">
        <v>2</v>
      </c>
      <c r="G793" s="1">
        <v>70</v>
      </c>
      <c r="H793" s="10" t="s">
        <v>2122</v>
      </c>
      <c r="I793" s="1">
        <v>14600</v>
      </c>
      <c r="J793" s="1">
        <v>10</v>
      </c>
      <c r="K793" s="1">
        <v>0</v>
      </c>
      <c r="L793" s="1">
        <v>0</v>
      </c>
      <c r="M793" s="1" t="s">
        <v>2009</v>
      </c>
      <c r="N793" s="1" t="s">
        <v>727</v>
      </c>
      <c r="O793" s="1">
        <v>0</v>
      </c>
      <c r="P793" s="1" t="s">
        <v>2059</v>
      </c>
      <c r="Q793" s="7" t="str">
        <f t="shared" si="8"/>
        <v>equipment/2301.png</v>
      </c>
      <c r="R793" s="1">
        <v>0</v>
      </c>
    </row>
    <row r="794" spans="1:18" ht="14.25" thickBot="1">
      <c r="A794" s="1" t="s">
        <v>694</v>
      </c>
      <c r="B794" s="3">
        <v>1</v>
      </c>
      <c r="C794" s="1" t="s">
        <v>2674</v>
      </c>
      <c r="D794" s="1" t="s">
        <v>11</v>
      </c>
      <c r="E794" s="1">
        <v>4</v>
      </c>
      <c r="F794" s="1">
        <v>2</v>
      </c>
      <c r="G794" s="1">
        <v>70</v>
      </c>
      <c r="H794" s="10">
        <v>0</v>
      </c>
      <c r="I794" s="1">
        <v>14000</v>
      </c>
      <c r="J794" s="1">
        <v>10</v>
      </c>
      <c r="K794" s="1">
        <v>0</v>
      </c>
      <c r="L794" s="1">
        <v>0</v>
      </c>
      <c r="M794" s="1" t="s">
        <v>2483</v>
      </c>
      <c r="N794" s="1" t="s">
        <v>726</v>
      </c>
      <c r="O794" s="1">
        <v>0</v>
      </c>
      <c r="P794" s="1" t="s">
        <v>2059</v>
      </c>
      <c r="Q794" s="7" t="str">
        <f t="shared" si="8"/>
        <v>equipment/5018.png</v>
      </c>
      <c r="R794" s="1">
        <v>0</v>
      </c>
    </row>
    <row r="795" spans="1:18" ht="14.25" thickBot="1">
      <c r="A795" s="1" t="s">
        <v>695</v>
      </c>
      <c r="B795" s="2">
        <v>0</v>
      </c>
      <c r="C795" s="1" t="s">
        <v>2675</v>
      </c>
      <c r="D795" s="1" t="s">
        <v>11</v>
      </c>
      <c r="E795" s="1">
        <v>4</v>
      </c>
      <c r="F795" s="1">
        <v>2</v>
      </c>
      <c r="G795" s="1">
        <v>70</v>
      </c>
      <c r="H795" s="10">
        <v>0</v>
      </c>
      <c r="I795" s="1">
        <v>14600</v>
      </c>
      <c r="J795" s="1">
        <v>10</v>
      </c>
      <c r="K795" s="1">
        <v>0</v>
      </c>
      <c r="L795" s="1">
        <v>0</v>
      </c>
      <c r="M795" s="1" t="s">
        <v>1811</v>
      </c>
      <c r="N795" s="1" t="s">
        <v>726</v>
      </c>
      <c r="O795" s="1">
        <v>0</v>
      </c>
      <c r="P795" s="1" t="s">
        <v>2059</v>
      </c>
      <c r="Q795" s="7" t="str">
        <f t="shared" si="8"/>
        <v>equipment/5001.png</v>
      </c>
      <c r="R795" s="1">
        <v>0</v>
      </c>
    </row>
    <row r="796" spans="1:18" ht="14.25" thickBot="1">
      <c r="A796" s="1" t="s">
        <v>696</v>
      </c>
      <c r="B796" s="3">
        <v>1</v>
      </c>
      <c r="C796" s="1" t="s">
        <v>2676</v>
      </c>
      <c r="D796" s="1" t="s">
        <v>14</v>
      </c>
      <c r="E796" s="1">
        <v>7</v>
      </c>
      <c r="F796" s="1">
        <v>2</v>
      </c>
      <c r="G796" s="1">
        <v>70</v>
      </c>
      <c r="H796" s="10">
        <v>0</v>
      </c>
      <c r="I796" s="1">
        <v>14000</v>
      </c>
      <c r="J796" s="1">
        <v>10</v>
      </c>
      <c r="K796" s="1">
        <v>0</v>
      </c>
      <c r="L796" s="1">
        <v>0</v>
      </c>
      <c r="M796" s="1" t="s">
        <v>2483</v>
      </c>
      <c r="N796" s="1" t="s">
        <v>726</v>
      </c>
      <c r="O796" s="1">
        <v>0</v>
      </c>
      <c r="P796" s="1" t="s">
        <v>2059</v>
      </c>
      <c r="Q796" s="7" t="str">
        <f t="shared" si="8"/>
        <v>equipment/7018.png</v>
      </c>
      <c r="R796" s="1">
        <v>0</v>
      </c>
    </row>
    <row r="797" spans="1:18" ht="14.25" thickBot="1">
      <c r="A797" s="1" t="s">
        <v>697</v>
      </c>
      <c r="B797" s="2">
        <v>0</v>
      </c>
      <c r="C797" s="1" t="s">
        <v>2677</v>
      </c>
      <c r="D797" s="1" t="s">
        <v>14</v>
      </c>
      <c r="E797" s="1">
        <v>7</v>
      </c>
      <c r="F797" s="1">
        <v>2</v>
      </c>
      <c r="G797" s="1">
        <v>70</v>
      </c>
      <c r="H797" s="10">
        <v>0</v>
      </c>
      <c r="I797" s="1">
        <v>14600</v>
      </c>
      <c r="J797" s="1">
        <v>10</v>
      </c>
      <c r="K797" s="1">
        <v>0</v>
      </c>
      <c r="L797" s="1">
        <v>0</v>
      </c>
      <c r="M797" s="1" t="s">
        <v>1811</v>
      </c>
      <c r="N797" s="1" t="s">
        <v>726</v>
      </c>
      <c r="O797" s="1">
        <v>0</v>
      </c>
      <c r="P797" s="1" t="s">
        <v>2059</v>
      </c>
      <c r="Q797" s="7" t="str">
        <f t="shared" si="8"/>
        <v>equipment/7001.png</v>
      </c>
      <c r="R797" s="1">
        <v>0</v>
      </c>
    </row>
    <row r="798" spans="1:18" ht="14.25" thickBot="1">
      <c r="A798" s="1">
        <v>20750010</v>
      </c>
      <c r="B798" s="3">
        <f>B336</f>
        <v>1</v>
      </c>
      <c r="C798" s="1" t="s">
        <v>2678</v>
      </c>
      <c r="D798" s="1" t="s">
        <v>8</v>
      </c>
      <c r="E798" s="1">
        <v>1</v>
      </c>
      <c r="F798" s="1">
        <v>2</v>
      </c>
      <c r="G798" s="1">
        <v>75</v>
      </c>
      <c r="H798" s="10">
        <v>0</v>
      </c>
      <c r="I798" s="1">
        <f>I336*2</f>
        <v>15200</v>
      </c>
      <c r="J798" s="1">
        <v>10</v>
      </c>
      <c r="K798" s="1">
        <v>0</v>
      </c>
      <c r="L798" s="1">
        <v>0</v>
      </c>
      <c r="M798" s="1" t="str">
        <f>M336</f>
        <v>106_2633_2633</v>
      </c>
      <c r="N798" s="1" t="s">
        <v>2416</v>
      </c>
      <c r="O798" s="1">
        <v>0</v>
      </c>
      <c r="P798" s="1" t="s">
        <v>2059</v>
      </c>
      <c r="Q798" s="7" t="str">
        <f t="shared" si="8"/>
        <v>equipment/3013.png</v>
      </c>
      <c r="R798" s="1">
        <v>0</v>
      </c>
    </row>
    <row r="799" spans="1:18" ht="14.25" thickBot="1">
      <c r="A799" s="1">
        <v>20750020</v>
      </c>
      <c r="B799" s="3">
        <f t="shared" ref="B799:B862" si="9">B337</f>
        <v>1</v>
      </c>
      <c r="C799" s="1" t="s">
        <v>2679</v>
      </c>
      <c r="D799" s="1" t="s">
        <v>9</v>
      </c>
      <c r="E799" s="1">
        <v>2</v>
      </c>
      <c r="F799" s="1">
        <v>2</v>
      </c>
      <c r="G799" s="1">
        <v>75</v>
      </c>
      <c r="H799" s="10">
        <v>0</v>
      </c>
      <c r="I799" s="1">
        <f t="shared" ref="I799:I862" si="10">I337*2</f>
        <v>15200</v>
      </c>
      <c r="J799" s="1">
        <v>10</v>
      </c>
      <c r="K799" s="1">
        <v>0</v>
      </c>
      <c r="L799" s="1">
        <v>0</v>
      </c>
      <c r="M799" s="1" t="str">
        <f t="shared" ref="M799:M862" si="11">M337</f>
        <v>102_1760_1760</v>
      </c>
      <c r="N799" s="1" t="s">
        <v>2416</v>
      </c>
      <c r="O799" s="1">
        <v>0</v>
      </c>
      <c r="P799" s="1" t="s">
        <v>2059</v>
      </c>
      <c r="Q799" s="7" t="str">
        <f t="shared" si="8"/>
        <v>equipment/14013.png</v>
      </c>
      <c r="R799" s="1">
        <v>0</v>
      </c>
    </row>
    <row r="800" spans="1:18" ht="14.25" thickBot="1">
      <c r="A800" s="1">
        <v>20750030</v>
      </c>
      <c r="B800" s="3">
        <f t="shared" si="9"/>
        <v>1</v>
      </c>
      <c r="C800" s="1" t="s">
        <v>2680</v>
      </c>
      <c r="D800" s="1" t="s">
        <v>10</v>
      </c>
      <c r="E800" s="1">
        <v>3</v>
      </c>
      <c r="F800" s="1">
        <v>2</v>
      </c>
      <c r="G800" s="1">
        <v>75</v>
      </c>
      <c r="H800" s="10">
        <v>0</v>
      </c>
      <c r="I800" s="1">
        <f t="shared" si="10"/>
        <v>15200</v>
      </c>
      <c r="J800" s="1">
        <v>10</v>
      </c>
      <c r="K800" s="1">
        <v>0</v>
      </c>
      <c r="L800" s="1">
        <v>0</v>
      </c>
      <c r="M800" s="1" t="str">
        <f t="shared" si="11"/>
        <v>101_21600_21600</v>
      </c>
      <c r="N800" s="1" t="s">
        <v>2416</v>
      </c>
      <c r="O800" s="1">
        <v>0</v>
      </c>
      <c r="P800" s="1" t="s">
        <v>2059</v>
      </c>
      <c r="Q800" s="7" t="str">
        <f t="shared" si="8"/>
        <v>equipment/6014.png</v>
      </c>
      <c r="R800" s="1">
        <v>0</v>
      </c>
    </row>
    <row r="801" spans="1:18" ht="14.25" thickBot="1">
      <c r="A801" s="1">
        <v>20750080</v>
      </c>
      <c r="B801" s="3">
        <f t="shared" si="9"/>
        <v>1</v>
      </c>
      <c r="C801" s="1" t="s">
        <v>2681</v>
      </c>
      <c r="D801" s="1" t="s">
        <v>15</v>
      </c>
      <c r="E801" s="1">
        <v>8</v>
      </c>
      <c r="F801" s="1">
        <v>2</v>
      </c>
      <c r="G801" s="1">
        <v>75</v>
      </c>
      <c r="H801" s="10">
        <v>0</v>
      </c>
      <c r="I801" s="1">
        <f t="shared" si="10"/>
        <v>15200</v>
      </c>
      <c r="J801" s="1">
        <v>10</v>
      </c>
      <c r="K801" s="1">
        <v>0</v>
      </c>
      <c r="L801" s="1">
        <v>0</v>
      </c>
      <c r="M801" s="1" t="str">
        <f t="shared" si="11"/>
        <v>110_515_515</v>
      </c>
      <c r="N801" s="1" t="s">
        <v>2416</v>
      </c>
      <c r="O801" s="1">
        <v>0</v>
      </c>
      <c r="P801" s="1" t="s">
        <v>2059</v>
      </c>
      <c r="Q801" s="7" t="str">
        <f t="shared" si="8"/>
        <v>equipment/8014.png</v>
      </c>
      <c r="R801" s="1">
        <v>0</v>
      </c>
    </row>
    <row r="802" spans="1:18" ht="14.25" thickBot="1">
      <c r="A802" s="1">
        <v>20750090</v>
      </c>
      <c r="B802" s="3">
        <f t="shared" si="9"/>
        <v>1</v>
      </c>
      <c r="C802" s="1" t="s">
        <v>2682</v>
      </c>
      <c r="D802" s="1" t="s">
        <v>16</v>
      </c>
      <c r="E802" s="1">
        <v>9</v>
      </c>
      <c r="F802" s="1">
        <v>2</v>
      </c>
      <c r="G802" s="1">
        <v>75</v>
      </c>
      <c r="H802" s="10">
        <v>0</v>
      </c>
      <c r="I802" s="1">
        <f t="shared" si="10"/>
        <v>15200</v>
      </c>
      <c r="J802" s="1">
        <v>10</v>
      </c>
      <c r="K802" s="1">
        <v>0</v>
      </c>
      <c r="L802" s="1">
        <v>0</v>
      </c>
      <c r="M802" s="1" t="str">
        <f t="shared" si="11"/>
        <v>108_4631_4631</v>
      </c>
      <c r="N802" s="1" t="s">
        <v>2416</v>
      </c>
      <c r="O802" s="1">
        <v>0</v>
      </c>
      <c r="P802" s="1" t="s">
        <v>2059</v>
      </c>
      <c r="Q802" s="7" t="str">
        <f t="shared" si="8"/>
        <v>equipment/10012.png</v>
      </c>
      <c r="R802" s="1">
        <v>0</v>
      </c>
    </row>
    <row r="803" spans="1:18" ht="14.25" thickBot="1">
      <c r="A803" s="1">
        <v>20750100</v>
      </c>
      <c r="B803" s="3">
        <f t="shared" si="9"/>
        <v>1</v>
      </c>
      <c r="C803" s="1" t="s">
        <v>2683</v>
      </c>
      <c r="D803" s="1" t="s">
        <v>17</v>
      </c>
      <c r="E803" s="1">
        <v>10</v>
      </c>
      <c r="F803" s="1">
        <v>2</v>
      </c>
      <c r="G803" s="1">
        <v>75</v>
      </c>
      <c r="H803" s="10">
        <v>0</v>
      </c>
      <c r="I803" s="1">
        <f t="shared" si="10"/>
        <v>15200</v>
      </c>
      <c r="J803" s="1">
        <v>10</v>
      </c>
      <c r="K803" s="1">
        <v>0</v>
      </c>
      <c r="L803" s="1">
        <v>0</v>
      </c>
      <c r="M803" s="1" t="str">
        <f t="shared" si="11"/>
        <v>107_2633_2633</v>
      </c>
      <c r="N803" s="1" t="s">
        <v>2416</v>
      </c>
      <c r="O803" s="1">
        <v>0</v>
      </c>
      <c r="P803" s="1" t="s">
        <v>2059</v>
      </c>
      <c r="Q803" s="7" t="str">
        <f t="shared" si="8"/>
        <v>equipment/12013.png</v>
      </c>
      <c r="R803" s="1">
        <v>0</v>
      </c>
    </row>
    <row r="804" spans="1:18" ht="14.25" thickBot="1">
      <c r="A804" s="1">
        <v>20751050</v>
      </c>
      <c r="B804" s="3">
        <f t="shared" si="9"/>
        <v>1</v>
      </c>
      <c r="C804" s="9" t="s">
        <v>2684</v>
      </c>
      <c r="D804" s="1" t="s">
        <v>12</v>
      </c>
      <c r="E804" s="1">
        <v>5</v>
      </c>
      <c r="F804" s="1">
        <v>2</v>
      </c>
      <c r="G804" s="1">
        <v>75</v>
      </c>
      <c r="H804" s="10" t="s">
        <v>2120</v>
      </c>
      <c r="I804" s="1">
        <f t="shared" si="10"/>
        <v>15200</v>
      </c>
      <c r="J804" s="1">
        <v>10</v>
      </c>
      <c r="K804" s="1">
        <v>0</v>
      </c>
      <c r="L804" s="1">
        <v>0</v>
      </c>
      <c r="M804" s="1" t="str">
        <f t="shared" si="11"/>
        <v>103_3811_3811,104_7622_7622</v>
      </c>
      <c r="N804" s="1" t="s">
        <v>2417</v>
      </c>
      <c r="O804" s="1">
        <v>0</v>
      </c>
      <c r="P804" s="1" t="s">
        <v>2059</v>
      </c>
      <c r="Q804" s="7" t="str">
        <f t="shared" si="8"/>
        <v>equipment/1126.png</v>
      </c>
      <c r="R804" s="1">
        <v>0</v>
      </c>
    </row>
    <row r="805" spans="1:18" ht="14.25" thickBot="1">
      <c r="A805" s="1">
        <v>20751051</v>
      </c>
      <c r="B805" s="3">
        <f t="shared" si="9"/>
        <v>1</v>
      </c>
      <c r="C805" s="9" t="s">
        <v>2685</v>
      </c>
      <c r="D805" s="1" t="s">
        <v>12</v>
      </c>
      <c r="E805" s="1">
        <v>5</v>
      </c>
      <c r="F805" s="1">
        <v>2</v>
      </c>
      <c r="G805" s="1">
        <v>75</v>
      </c>
      <c r="H805" s="10" t="s">
        <v>2120</v>
      </c>
      <c r="I805" s="1">
        <f t="shared" si="10"/>
        <v>15800</v>
      </c>
      <c r="J805" s="1">
        <v>10</v>
      </c>
      <c r="K805" s="1">
        <v>0</v>
      </c>
      <c r="L805" s="1">
        <v>0</v>
      </c>
      <c r="M805" s="1" t="str">
        <f t="shared" si="11"/>
        <v>103_4019_4019,104_8038_8038</v>
      </c>
      <c r="N805" s="1" t="s">
        <v>2417</v>
      </c>
      <c r="O805" s="1">
        <v>0</v>
      </c>
      <c r="P805" s="1" t="s">
        <v>2059</v>
      </c>
      <c r="Q805" s="7" t="str">
        <f t="shared" si="8"/>
        <v>equipment/1127.png</v>
      </c>
      <c r="R805" s="1">
        <v>0</v>
      </c>
    </row>
    <row r="806" spans="1:18" ht="14.25" thickBot="1">
      <c r="A806" s="1">
        <v>20751060</v>
      </c>
      <c r="B806" s="3">
        <f t="shared" si="9"/>
        <v>1</v>
      </c>
      <c r="C806" s="9" t="s">
        <v>2686</v>
      </c>
      <c r="D806" s="1" t="s">
        <v>13</v>
      </c>
      <c r="E806" s="1">
        <v>6</v>
      </c>
      <c r="F806" s="1">
        <v>2</v>
      </c>
      <c r="G806" s="1">
        <v>75</v>
      </c>
      <c r="H806" s="10" t="s">
        <v>2120</v>
      </c>
      <c r="I806" s="1">
        <f t="shared" si="10"/>
        <v>15200</v>
      </c>
      <c r="J806" s="1">
        <v>10</v>
      </c>
      <c r="K806" s="1">
        <v>0</v>
      </c>
      <c r="L806" s="1">
        <v>0</v>
      </c>
      <c r="M806" s="1" t="str">
        <f t="shared" si="11"/>
        <v>105_3945_3945</v>
      </c>
      <c r="N806" s="1" t="s">
        <v>2417</v>
      </c>
      <c r="O806" s="1">
        <v>0</v>
      </c>
      <c r="P806" s="1" t="s">
        <v>2059</v>
      </c>
      <c r="Q806" s="7" t="str">
        <f t="shared" si="8"/>
        <v>equipment/2121.png</v>
      </c>
      <c r="R806" s="1">
        <v>0</v>
      </c>
    </row>
    <row r="807" spans="1:18" ht="14.25" thickBot="1">
      <c r="A807" s="1">
        <v>20751061</v>
      </c>
      <c r="B807" s="3">
        <f t="shared" si="9"/>
        <v>1</v>
      </c>
      <c r="C807" s="9" t="s">
        <v>2687</v>
      </c>
      <c r="D807" s="1" t="s">
        <v>13</v>
      </c>
      <c r="E807" s="1">
        <v>6</v>
      </c>
      <c r="F807" s="1">
        <v>2</v>
      </c>
      <c r="G807" s="1">
        <v>75</v>
      </c>
      <c r="H807" s="10" t="s">
        <v>2120</v>
      </c>
      <c r="I807" s="1">
        <f t="shared" si="10"/>
        <v>15800</v>
      </c>
      <c r="J807" s="1">
        <v>10</v>
      </c>
      <c r="K807" s="1">
        <v>0</v>
      </c>
      <c r="L807" s="1">
        <v>0</v>
      </c>
      <c r="M807" s="1" t="str">
        <f t="shared" si="11"/>
        <v>105_4082_4082</v>
      </c>
      <c r="N807" s="1" t="s">
        <v>2417</v>
      </c>
      <c r="O807" s="1">
        <v>0</v>
      </c>
      <c r="P807" s="1" t="s">
        <v>2059</v>
      </c>
      <c r="Q807" s="7" t="str">
        <f t="shared" si="8"/>
        <v>equipment/2123.png</v>
      </c>
      <c r="R807" s="1">
        <v>0</v>
      </c>
    </row>
    <row r="808" spans="1:18" ht="14.25" thickBot="1">
      <c r="A808" s="1">
        <v>20752050</v>
      </c>
      <c r="B808" s="3">
        <f t="shared" si="9"/>
        <v>1</v>
      </c>
      <c r="C808" s="1" t="s">
        <v>2688</v>
      </c>
      <c r="D808" s="1" t="s">
        <v>12</v>
      </c>
      <c r="E808" s="1">
        <v>5</v>
      </c>
      <c r="F808" s="1">
        <v>2</v>
      </c>
      <c r="G808" s="1">
        <v>75</v>
      </c>
      <c r="H808" s="10" t="s">
        <v>2121</v>
      </c>
      <c r="I808" s="1">
        <f t="shared" si="10"/>
        <v>15200</v>
      </c>
      <c r="J808" s="1">
        <v>10</v>
      </c>
      <c r="K808" s="1">
        <v>0</v>
      </c>
      <c r="L808" s="1">
        <v>0</v>
      </c>
      <c r="M808" s="1" t="str">
        <f t="shared" si="11"/>
        <v>103_3811_3811,104_7622_7622</v>
      </c>
      <c r="N808" s="1" t="s">
        <v>2417</v>
      </c>
      <c r="O808" s="1">
        <v>0</v>
      </c>
      <c r="P808" s="1" t="s">
        <v>2059</v>
      </c>
      <c r="Q808" s="7" t="str">
        <f t="shared" si="8"/>
        <v>equipment/1225.png</v>
      </c>
      <c r="R808" s="1">
        <v>0</v>
      </c>
    </row>
    <row r="809" spans="1:18" ht="14.25" thickBot="1">
      <c r="A809" s="1">
        <v>20752051</v>
      </c>
      <c r="B809" s="3">
        <f t="shared" si="9"/>
        <v>1</v>
      </c>
      <c r="C809" s="1" t="s">
        <v>2689</v>
      </c>
      <c r="D809" s="1" t="s">
        <v>12</v>
      </c>
      <c r="E809" s="1">
        <v>5</v>
      </c>
      <c r="F809" s="1">
        <v>2</v>
      </c>
      <c r="G809" s="1">
        <v>75</v>
      </c>
      <c r="H809" s="10" t="s">
        <v>2121</v>
      </c>
      <c r="I809" s="1">
        <f t="shared" si="10"/>
        <v>15800</v>
      </c>
      <c r="J809" s="1">
        <v>10</v>
      </c>
      <c r="K809" s="1">
        <v>0</v>
      </c>
      <c r="L809" s="1">
        <v>0</v>
      </c>
      <c r="M809" s="1" t="str">
        <f t="shared" si="11"/>
        <v>103_4019_4019,104_8038_8038</v>
      </c>
      <c r="N809" s="1" t="s">
        <v>2417</v>
      </c>
      <c r="O809" s="1">
        <v>0</v>
      </c>
      <c r="P809" s="1" t="s">
        <v>2059</v>
      </c>
      <c r="Q809" s="7" t="str">
        <f t="shared" si="8"/>
        <v>equipment/1226.png</v>
      </c>
      <c r="R809" s="1">
        <v>0</v>
      </c>
    </row>
    <row r="810" spans="1:18" ht="14.25" thickBot="1">
      <c r="A810" s="1">
        <v>20752060</v>
      </c>
      <c r="B810" s="3">
        <f t="shared" si="9"/>
        <v>1</v>
      </c>
      <c r="C810" s="9" t="s">
        <v>2690</v>
      </c>
      <c r="D810" s="1" t="s">
        <v>13</v>
      </c>
      <c r="E810" s="1">
        <v>6</v>
      </c>
      <c r="F810" s="1">
        <v>2</v>
      </c>
      <c r="G810" s="1">
        <v>75</v>
      </c>
      <c r="H810" s="10" t="s">
        <v>2121</v>
      </c>
      <c r="I810" s="1">
        <f t="shared" si="10"/>
        <v>15200</v>
      </c>
      <c r="J810" s="1">
        <v>10</v>
      </c>
      <c r="K810" s="1">
        <v>0</v>
      </c>
      <c r="L810" s="1">
        <v>0</v>
      </c>
      <c r="M810" s="1" t="str">
        <f t="shared" si="11"/>
        <v>108_3945_3945</v>
      </c>
      <c r="N810" s="1" t="s">
        <v>2417</v>
      </c>
      <c r="O810" s="1">
        <v>0</v>
      </c>
      <c r="P810" s="1" t="s">
        <v>2059</v>
      </c>
      <c r="Q810" s="7" t="str">
        <f t="shared" si="8"/>
        <v>equipment/2219.png</v>
      </c>
      <c r="R810" s="1">
        <v>0</v>
      </c>
    </row>
    <row r="811" spans="1:18" ht="14.25" thickBot="1">
      <c r="A811" s="1">
        <v>20752061</v>
      </c>
      <c r="B811" s="3">
        <f t="shared" si="9"/>
        <v>1</v>
      </c>
      <c r="C811" s="9" t="s">
        <v>2691</v>
      </c>
      <c r="D811" s="1" t="s">
        <v>13</v>
      </c>
      <c r="E811" s="1">
        <v>6</v>
      </c>
      <c r="F811" s="1">
        <v>2</v>
      </c>
      <c r="G811" s="1">
        <v>75</v>
      </c>
      <c r="H811" s="10" t="s">
        <v>2121</v>
      </c>
      <c r="I811" s="1">
        <f t="shared" si="10"/>
        <v>15800</v>
      </c>
      <c r="J811" s="1">
        <v>10</v>
      </c>
      <c r="K811" s="1">
        <v>0</v>
      </c>
      <c r="L811" s="1">
        <v>0</v>
      </c>
      <c r="M811" s="1" t="str">
        <f t="shared" si="11"/>
        <v>108_4082_4082</v>
      </c>
      <c r="N811" s="1" t="s">
        <v>2417</v>
      </c>
      <c r="O811" s="1">
        <v>0</v>
      </c>
      <c r="P811" s="1" t="s">
        <v>2059</v>
      </c>
      <c r="Q811" s="7" t="str">
        <f t="shared" si="8"/>
        <v>equipment/2220.png</v>
      </c>
      <c r="R811" s="1">
        <v>0</v>
      </c>
    </row>
    <row r="812" spans="1:18" ht="14.25" thickBot="1">
      <c r="A812" s="1">
        <v>20753050</v>
      </c>
      <c r="B812" s="3">
        <f t="shared" si="9"/>
        <v>1</v>
      </c>
      <c r="C812" s="9" t="s">
        <v>2692</v>
      </c>
      <c r="D812" s="1" t="s">
        <v>12</v>
      </c>
      <c r="E812" s="1">
        <v>5</v>
      </c>
      <c r="F812" s="1">
        <v>2</v>
      </c>
      <c r="G812" s="1">
        <v>75</v>
      </c>
      <c r="H812" s="10" t="s">
        <v>2122</v>
      </c>
      <c r="I812" s="1">
        <f t="shared" si="10"/>
        <v>15200</v>
      </c>
      <c r="J812" s="1">
        <v>10</v>
      </c>
      <c r="K812" s="1">
        <v>0</v>
      </c>
      <c r="L812" s="1">
        <v>0</v>
      </c>
      <c r="M812" s="1" t="str">
        <f t="shared" si="11"/>
        <v>103_3811_3811,104_7622_7622</v>
      </c>
      <c r="N812" s="1" t="s">
        <v>2417</v>
      </c>
      <c r="O812" s="1">
        <v>0</v>
      </c>
      <c r="P812" s="1" t="s">
        <v>2059</v>
      </c>
      <c r="Q812" s="7" t="str">
        <f t="shared" si="8"/>
        <v>equipment/1326.png</v>
      </c>
      <c r="R812" s="1">
        <v>0</v>
      </c>
    </row>
    <row r="813" spans="1:18" ht="14.25" thickBot="1">
      <c r="A813" s="1">
        <v>20753051</v>
      </c>
      <c r="B813" s="3">
        <f t="shared" si="9"/>
        <v>1</v>
      </c>
      <c r="C813" s="9" t="s">
        <v>2693</v>
      </c>
      <c r="D813" s="1" t="s">
        <v>12</v>
      </c>
      <c r="E813" s="1">
        <v>5</v>
      </c>
      <c r="F813" s="1">
        <v>2</v>
      </c>
      <c r="G813" s="1">
        <v>75</v>
      </c>
      <c r="H813" s="10" t="s">
        <v>2122</v>
      </c>
      <c r="I813" s="1">
        <f t="shared" si="10"/>
        <v>15800</v>
      </c>
      <c r="J813" s="1">
        <v>10</v>
      </c>
      <c r="K813" s="1">
        <v>0</v>
      </c>
      <c r="L813" s="1">
        <v>0</v>
      </c>
      <c r="M813" s="1" t="str">
        <f t="shared" si="11"/>
        <v>103_4019_4019,104_8038_8038</v>
      </c>
      <c r="N813" s="1" t="s">
        <v>2417</v>
      </c>
      <c r="O813" s="1">
        <v>0</v>
      </c>
      <c r="P813" s="1" t="s">
        <v>2059</v>
      </c>
      <c r="Q813" s="7" t="str">
        <f t="shared" si="8"/>
        <v>equipment/1325.png</v>
      </c>
      <c r="R813" s="1">
        <v>0</v>
      </c>
    </row>
    <row r="814" spans="1:18" ht="14.25" thickBot="1">
      <c r="A814" s="1">
        <v>20753060</v>
      </c>
      <c r="B814" s="3">
        <f t="shared" si="9"/>
        <v>1</v>
      </c>
      <c r="C814" s="9" t="s">
        <v>2694</v>
      </c>
      <c r="D814" s="1" t="s">
        <v>13</v>
      </c>
      <c r="E814" s="1">
        <v>6</v>
      </c>
      <c r="F814" s="1">
        <v>2</v>
      </c>
      <c r="G814" s="1">
        <v>75</v>
      </c>
      <c r="H814" s="10" t="s">
        <v>2122</v>
      </c>
      <c r="I814" s="1">
        <f t="shared" si="10"/>
        <v>15200</v>
      </c>
      <c r="J814" s="1">
        <v>10</v>
      </c>
      <c r="K814" s="1">
        <v>0</v>
      </c>
      <c r="L814" s="1">
        <v>0</v>
      </c>
      <c r="M814" s="1" t="str">
        <f t="shared" si="11"/>
        <v>102_3350_3350</v>
      </c>
      <c r="N814" s="1" t="s">
        <v>2417</v>
      </c>
      <c r="O814" s="1">
        <v>0</v>
      </c>
      <c r="P814" s="1" t="s">
        <v>2059</v>
      </c>
      <c r="Q814" s="7" t="str">
        <f t="shared" si="8"/>
        <v>equipment/2319.png</v>
      </c>
      <c r="R814" s="1">
        <v>0</v>
      </c>
    </row>
    <row r="815" spans="1:18" ht="14.25" thickBot="1">
      <c r="A815" s="1">
        <v>20753061</v>
      </c>
      <c r="B815" s="3">
        <f t="shared" si="9"/>
        <v>1</v>
      </c>
      <c r="C815" s="9" t="s">
        <v>2695</v>
      </c>
      <c r="D815" s="1" t="s">
        <v>13</v>
      </c>
      <c r="E815" s="1">
        <v>6</v>
      </c>
      <c r="F815" s="1">
        <v>2</v>
      </c>
      <c r="G815" s="1">
        <v>75</v>
      </c>
      <c r="H815" s="10" t="s">
        <v>2122</v>
      </c>
      <c r="I815" s="1">
        <f t="shared" si="10"/>
        <v>15800</v>
      </c>
      <c r="J815" s="1">
        <v>10</v>
      </c>
      <c r="K815" s="1">
        <v>0</v>
      </c>
      <c r="L815" s="1">
        <v>0</v>
      </c>
      <c r="M815" s="1" t="str">
        <f t="shared" si="11"/>
        <v>102_3450_3450</v>
      </c>
      <c r="N815" s="1" t="s">
        <v>2417</v>
      </c>
      <c r="O815" s="1">
        <v>0</v>
      </c>
      <c r="P815" s="1" t="s">
        <v>2059</v>
      </c>
      <c r="Q815" s="7" t="str">
        <f t="shared" si="8"/>
        <v>equipment/2321.png</v>
      </c>
      <c r="R815" s="1">
        <v>0</v>
      </c>
    </row>
    <row r="816" spans="1:18" ht="14.25" thickBot="1">
      <c r="A816" s="1">
        <v>20750040</v>
      </c>
      <c r="B816" s="3">
        <f t="shared" si="9"/>
        <v>1</v>
      </c>
      <c r="C816" s="1" t="s">
        <v>2696</v>
      </c>
      <c r="D816" s="1" t="s">
        <v>11</v>
      </c>
      <c r="E816" s="1">
        <v>4</v>
      </c>
      <c r="F816" s="1">
        <v>2</v>
      </c>
      <c r="G816" s="1">
        <v>75</v>
      </c>
      <c r="H816" s="10">
        <v>0</v>
      </c>
      <c r="I816" s="1">
        <f t="shared" si="10"/>
        <v>15200</v>
      </c>
      <c r="J816" s="1">
        <v>10</v>
      </c>
      <c r="K816" s="1">
        <v>0</v>
      </c>
      <c r="L816" s="1">
        <v>0</v>
      </c>
      <c r="M816" s="1" t="str">
        <f t="shared" si="11"/>
        <v>105_2195_2195</v>
      </c>
      <c r="N816" s="1" t="s">
        <v>2416</v>
      </c>
      <c r="O816" s="1">
        <v>0</v>
      </c>
      <c r="P816" s="1" t="s">
        <v>2059</v>
      </c>
      <c r="Q816" s="7" t="str">
        <f t="shared" si="8"/>
        <v>equipment/5019.png</v>
      </c>
      <c r="R816" s="1">
        <v>0</v>
      </c>
    </row>
    <row r="817" spans="1:18" ht="14.25" thickBot="1">
      <c r="A817" s="1">
        <v>20750041</v>
      </c>
      <c r="B817" s="3">
        <f t="shared" si="9"/>
        <v>1</v>
      </c>
      <c r="C817" s="1" t="s">
        <v>2697</v>
      </c>
      <c r="D817" s="1" t="s">
        <v>11</v>
      </c>
      <c r="E817" s="1">
        <v>4</v>
      </c>
      <c r="F817" s="1">
        <v>2</v>
      </c>
      <c r="G817" s="1">
        <v>75</v>
      </c>
      <c r="H817" s="10">
        <v>0</v>
      </c>
      <c r="I817" s="1">
        <f t="shared" si="10"/>
        <v>15800</v>
      </c>
      <c r="J817" s="1">
        <v>10</v>
      </c>
      <c r="K817" s="1">
        <v>0</v>
      </c>
      <c r="L817" s="1">
        <v>0</v>
      </c>
      <c r="M817" s="1" t="str">
        <f t="shared" si="11"/>
        <v>105_2346_2346</v>
      </c>
      <c r="N817" s="1" t="s">
        <v>2416</v>
      </c>
      <c r="O817" s="1">
        <v>0</v>
      </c>
      <c r="P817" s="1" t="s">
        <v>2059</v>
      </c>
      <c r="Q817" s="7" t="str">
        <f t="shared" si="8"/>
        <v>equipment/5020.png</v>
      </c>
      <c r="R817" s="1">
        <v>0</v>
      </c>
    </row>
    <row r="818" spans="1:18" ht="14.25" thickBot="1">
      <c r="A818" s="1">
        <v>20750070</v>
      </c>
      <c r="B818" s="3">
        <f t="shared" si="9"/>
        <v>1</v>
      </c>
      <c r="C818" s="1" t="s">
        <v>2698</v>
      </c>
      <c r="D818" s="1" t="s">
        <v>14</v>
      </c>
      <c r="E818" s="1">
        <v>7</v>
      </c>
      <c r="F818" s="1">
        <v>2</v>
      </c>
      <c r="G818" s="1">
        <v>75</v>
      </c>
      <c r="H818" s="10">
        <v>0</v>
      </c>
      <c r="I818" s="1">
        <f t="shared" si="10"/>
        <v>15200</v>
      </c>
      <c r="J818" s="1">
        <v>10</v>
      </c>
      <c r="K818" s="1">
        <v>0</v>
      </c>
      <c r="L818" s="1">
        <v>0</v>
      </c>
      <c r="M818" s="1" t="str">
        <f t="shared" si="11"/>
        <v>105_2195_2195</v>
      </c>
      <c r="N818" s="1" t="s">
        <v>2416</v>
      </c>
      <c r="O818" s="1">
        <v>0</v>
      </c>
      <c r="P818" s="1" t="s">
        <v>2059</v>
      </c>
      <c r="Q818" s="7" t="str">
        <f t="shared" si="8"/>
        <v>equipment/7019.png</v>
      </c>
      <c r="R818" s="1">
        <v>0</v>
      </c>
    </row>
    <row r="819" spans="1:18" ht="14.25" thickBot="1">
      <c r="A819" s="1">
        <v>20750071</v>
      </c>
      <c r="B819" s="3">
        <f t="shared" si="9"/>
        <v>1</v>
      </c>
      <c r="C819" s="1" t="s">
        <v>2699</v>
      </c>
      <c r="D819" s="1" t="s">
        <v>14</v>
      </c>
      <c r="E819" s="1">
        <v>7</v>
      </c>
      <c r="F819" s="1">
        <v>2</v>
      </c>
      <c r="G819" s="1">
        <v>75</v>
      </c>
      <c r="H819" s="10">
        <v>0</v>
      </c>
      <c r="I819" s="1">
        <f t="shared" si="10"/>
        <v>15800</v>
      </c>
      <c r="J819" s="1">
        <v>10</v>
      </c>
      <c r="K819" s="1">
        <v>0</v>
      </c>
      <c r="L819" s="1">
        <v>0</v>
      </c>
      <c r="M819" s="1" t="str">
        <f t="shared" si="11"/>
        <v>105_2346_2346</v>
      </c>
      <c r="N819" s="1" t="s">
        <v>2416</v>
      </c>
      <c r="O819" s="1">
        <v>0</v>
      </c>
      <c r="P819" s="1" t="s">
        <v>2059</v>
      </c>
      <c r="Q819" s="7" t="str">
        <f t="shared" si="8"/>
        <v>equipment/7020.png</v>
      </c>
      <c r="R819" s="1">
        <v>0</v>
      </c>
    </row>
    <row r="820" spans="1:18" ht="14.25" thickBot="1">
      <c r="A820" s="1">
        <v>20800010</v>
      </c>
      <c r="B820" s="3">
        <f t="shared" si="9"/>
        <v>1</v>
      </c>
      <c r="C820" s="1" t="s">
        <v>2700</v>
      </c>
      <c r="D820" s="1" t="s">
        <v>8</v>
      </c>
      <c r="E820" s="1">
        <v>1</v>
      </c>
      <c r="F820" s="1">
        <v>2</v>
      </c>
      <c r="G820" s="1">
        <v>80</v>
      </c>
      <c r="H820" s="10">
        <v>0</v>
      </c>
      <c r="I820" s="1">
        <f t="shared" si="10"/>
        <v>16400</v>
      </c>
      <c r="J820" s="1">
        <v>10</v>
      </c>
      <c r="K820" s="1">
        <v>0</v>
      </c>
      <c r="L820" s="1">
        <v>0</v>
      </c>
      <c r="M820" s="1" t="str">
        <f t="shared" si="11"/>
        <v>106_3066_3066</v>
      </c>
      <c r="N820" s="1" t="s">
        <v>2418</v>
      </c>
      <c r="O820" s="1">
        <v>0</v>
      </c>
      <c r="P820" s="1" t="s">
        <v>2059</v>
      </c>
      <c r="Q820" s="7" t="str">
        <f t="shared" si="8"/>
        <v>equipment/3015.png</v>
      </c>
      <c r="R820" s="1">
        <v>0</v>
      </c>
    </row>
    <row r="821" spans="1:18" ht="14.25" thickBot="1">
      <c r="A821" s="1">
        <v>20800020</v>
      </c>
      <c r="B821" s="3">
        <f t="shared" si="9"/>
        <v>1</v>
      </c>
      <c r="C821" s="1" t="s">
        <v>2701</v>
      </c>
      <c r="D821" s="1" t="s">
        <v>9</v>
      </c>
      <c r="E821" s="1">
        <v>2</v>
      </c>
      <c r="F821" s="1">
        <v>2</v>
      </c>
      <c r="G821" s="1">
        <v>80</v>
      </c>
      <c r="H821" s="10">
        <v>0</v>
      </c>
      <c r="I821" s="1">
        <f t="shared" si="10"/>
        <v>16400</v>
      </c>
      <c r="J821" s="1">
        <v>10</v>
      </c>
      <c r="K821" s="1">
        <v>0</v>
      </c>
      <c r="L821" s="1">
        <v>0</v>
      </c>
      <c r="M821" s="1" t="str">
        <f t="shared" si="11"/>
        <v>102_1900_1900</v>
      </c>
      <c r="N821" s="1" t="s">
        <v>2418</v>
      </c>
      <c r="O821" s="1">
        <v>0</v>
      </c>
      <c r="P821" s="1" t="s">
        <v>2059</v>
      </c>
      <c r="Q821" s="7" t="str">
        <f t="shared" si="8"/>
        <v>equipment/14014.png</v>
      </c>
      <c r="R821" s="1">
        <v>0</v>
      </c>
    </row>
    <row r="822" spans="1:18" ht="14.25" thickBot="1">
      <c r="A822" s="1">
        <v>20800030</v>
      </c>
      <c r="B822" s="3">
        <f t="shared" si="9"/>
        <v>1</v>
      </c>
      <c r="C822" s="1" t="s">
        <v>2702</v>
      </c>
      <c r="D822" s="1" t="s">
        <v>10</v>
      </c>
      <c r="E822" s="1">
        <v>3</v>
      </c>
      <c r="F822" s="1">
        <v>2</v>
      </c>
      <c r="G822" s="1">
        <v>80</v>
      </c>
      <c r="H822" s="10">
        <v>0</v>
      </c>
      <c r="I822" s="1">
        <f t="shared" si="10"/>
        <v>16400</v>
      </c>
      <c r="J822" s="1">
        <v>10</v>
      </c>
      <c r="K822" s="1">
        <v>0</v>
      </c>
      <c r="L822" s="1">
        <v>0</v>
      </c>
      <c r="M822" s="1" t="str">
        <f t="shared" si="11"/>
        <v>101_24080_24080</v>
      </c>
      <c r="N822" s="1" t="s">
        <v>2418</v>
      </c>
      <c r="O822" s="1">
        <v>0</v>
      </c>
      <c r="P822" s="1" t="s">
        <v>2059</v>
      </c>
      <c r="Q822" s="7" t="str">
        <f t="shared" si="8"/>
        <v>equipment/6015.png</v>
      </c>
      <c r="R822" s="1">
        <v>0</v>
      </c>
    </row>
    <row r="823" spans="1:18" ht="14.25" thickBot="1">
      <c r="A823" s="1">
        <v>20800080</v>
      </c>
      <c r="B823" s="3">
        <f t="shared" si="9"/>
        <v>1</v>
      </c>
      <c r="C823" s="1" t="s">
        <v>2703</v>
      </c>
      <c r="D823" s="1" t="s">
        <v>15</v>
      </c>
      <c r="E823" s="1">
        <v>8</v>
      </c>
      <c r="F823" s="1">
        <v>2</v>
      </c>
      <c r="G823" s="1">
        <v>80</v>
      </c>
      <c r="H823" s="10">
        <v>0</v>
      </c>
      <c r="I823" s="1">
        <f t="shared" si="10"/>
        <v>16400</v>
      </c>
      <c r="J823" s="1">
        <v>10</v>
      </c>
      <c r="K823" s="1">
        <v>0</v>
      </c>
      <c r="L823" s="1">
        <v>0</v>
      </c>
      <c r="M823" s="1" t="str">
        <f t="shared" si="11"/>
        <v>110_568_568</v>
      </c>
      <c r="N823" s="1" t="s">
        <v>2418</v>
      </c>
      <c r="O823" s="1">
        <v>0</v>
      </c>
      <c r="P823" s="1" t="s">
        <v>2059</v>
      </c>
      <c r="Q823" s="7" t="str">
        <f t="shared" si="8"/>
        <v>equipment/8015.png</v>
      </c>
      <c r="R823" s="1">
        <v>0</v>
      </c>
    </row>
    <row r="824" spans="1:18" ht="14.25" thickBot="1">
      <c r="A824" s="1">
        <v>20800090</v>
      </c>
      <c r="B824" s="3">
        <f t="shared" si="9"/>
        <v>1</v>
      </c>
      <c r="C824" s="1" t="s">
        <v>2704</v>
      </c>
      <c r="D824" s="1" t="s">
        <v>16</v>
      </c>
      <c r="E824" s="1">
        <v>9</v>
      </c>
      <c r="F824" s="1">
        <v>2</v>
      </c>
      <c r="G824" s="1">
        <v>80</v>
      </c>
      <c r="H824" s="10">
        <v>0</v>
      </c>
      <c r="I824" s="1">
        <f t="shared" si="10"/>
        <v>16400</v>
      </c>
      <c r="J824" s="1">
        <v>10</v>
      </c>
      <c r="K824" s="1">
        <v>0</v>
      </c>
      <c r="L824" s="1">
        <v>0</v>
      </c>
      <c r="M824" s="1" t="str">
        <f t="shared" si="11"/>
        <v>108_5067_5067</v>
      </c>
      <c r="N824" s="1" t="s">
        <v>2418</v>
      </c>
      <c r="O824" s="1">
        <v>0</v>
      </c>
      <c r="P824" s="1" t="s">
        <v>2059</v>
      </c>
      <c r="Q824" s="7" t="str">
        <f t="shared" si="8"/>
        <v>equipment/10016.png</v>
      </c>
      <c r="R824" s="1">
        <v>0</v>
      </c>
    </row>
    <row r="825" spans="1:18" ht="14.25" thickBot="1">
      <c r="A825" s="1">
        <v>20800100</v>
      </c>
      <c r="B825" s="3">
        <f t="shared" si="9"/>
        <v>1</v>
      </c>
      <c r="C825" s="1" t="s">
        <v>2705</v>
      </c>
      <c r="D825" s="1" t="s">
        <v>17</v>
      </c>
      <c r="E825" s="1">
        <v>10</v>
      </c>
      <c r="F825" s="1">
        <v>2</v>
      </c>
      <c r="G825" s="1">
        <v>80</v>
      </c>
      <c r="H825" s="10">
        <v>0</v>
      </c>
      <c r="I825" s="1">
        <f t="shared" si="10"/>
        <v>16400</v>
      </c>
      <c r="J825" s="1">
        <v>10</v>
      </c>
      <c r="K825" s="1">
        <v>0</v>
      </c>
      <c r="L825" s="1">
        <v>0</v>
      </c>
      <c r="M825" s="1" t="str">
        <f t="shared" si="11"/>
        <v>107_3066_3066</v>
      </c>
      <c r="N825" s="1" t="s">
        <v>2418</v>
      </c>
      <c r="O825" s="1">
        <v>0</v>
      </c>
      <c r="P825" s="1" t="s">
        <v>2059</v>
      </c>
      <c r="Q825" s="7" t="str">
        <f t="shared" si="8"/>
        <v>equipment/12015.png</v>
      </c>
      <c r="R825" s="1">
        <v>0</v>
      </c>
    </row>
    <row r="826" spans="1:18" ht="14.25" thickBot="1">
      <c r="A826" s="1">
        <v>20801050</v>
      </c>
      <c r="B826" s="3">
        <f t="shared" si="9"/>
        <v>1</v>
      </c>
      <c r="C826" s="9" t="s">
        <v>2706</v>
      </c>
      <c r="D826" s="1" t="s">
        <v>12</v>
      </c>
      <c r="E826" s="1">
        <v>5</v>
      </c>
      <c r="F826" s="1">
        <v>2</v>
      </c>
      <c r="G826" s="1">
        <v>80</v>
      </c>
      <c r="H826" s="10" t="s">
        <v>2120</v>
      </c>
      <c r="I826" s="1">
        <f t="shared" si="10"/>
        <v>16400</v>
      </c>
      <c r="J826" s="1">
        <v>10</v>
      </c>
      <c r="K826" s="1">
        <v>0</v>
      </c>
      <c r="L826" s="1">
        <v>0</v>
      </c>
      <c r="M826" s="1" t="str">
        <f t="shared" si="11"/>
        <v>103_4331_4331,104_8662_8662</v>
      </c>
      <c r="N826" s="1" t="s">
        <v>2419</v>
      </c>
      <c r="O826" s="1">
        <v>0</v>
      </c>
      <c r="P826" s="1" t="s">
        <v>2059</v>
      </c>
      <c r="Q826" s="7" t="str">
        <f t="shared" si="8"/>
        <v>equipment/1130.png</v>
      </c>
      <c r="R826" s="1">
        <v>0</v>
      </c>
    </row>
    <row r="827" spans="1:18" ht="14.25" thickBot="1">
      <c r="A827" s="1">
        <v>20801051</v>
      </c>
      <c r="B827" s="3">
        <f t="shared" si="9"/>
        <v>1</v>
      </c>
      <c r="C827" s="9" t="s">
        <v>2707</v>
      </c>
      <c r="D827" s="1" t="s">
        <v>12</v>
      </c>
      <c r="E827" s="1">
        <v>5</v>
      </c>
      <c r="F827" s="1">
        <v>2</v>
      </c>
      <c r="G827" s="1">
        <v>80</v>
      </c>
      <c r="H827" s="10" t="s">
        <v>2120</v>
      </c>
      <c r="I827" s="1">
        <f t="shared" si="10"/>
        <v>17000</v>
      </c>
      <c r="J827" s="1">
        <v>10</v>
      </c>
      <c r="K827" s="1">
        <v>0</v>
      </c>
      <c r="L827" s="1">
        <v>0</v>
      </c>
      <c r="M827" s="1" t="str">
        <f t="shared" si="11"/>
        <v>103_4552_4552,104_9105_9105</v>
      </c>
      <c r="N827" s="1" t="s">
        <v>2419</v>
      </c>
      <c r="O827" s="1">
        <v>0</v>
      </c>
      <c r="P827" s="1" t="s">
        <v>2059</v>
      </c>
      <c r="Q827" s="7" t="str">
        <f t="shared" si="8"/>
        <v>equipment/1125.png</v>
      </c>
      <c r="R827" s="1">
        <v>0</v>
      </c>
    </row>
    <row r="828" spans="1:18" ht="14.25" thickBot="1">
      <c r="A828" s="1">
        <v>20801060</v>
      </c>
      <c r="B828" s="3">
        <f t="shared" si="9"/>
        <v>1</v>
      </c>
      <c r="C828" s="9" t="s">
        <v>2708</v>
      </c>
      <c r="D828" s="1" t="s">
        <v>13</v>
      </c>
      <c r="E828" s="1">
        <v>6</v>
      </c>
      <c r="F828" s="1">
        <v>2</v>
      </c>
      <c r="G828" s="1">
        <v>80</v>
      </c>
      <c r="H828" s="10" t="s">
        <v>2120</v>
      </c>
      <c r="I828" s="1">
        <f t="shared" si="10"/>
        <v>16400</v>
      </c>
      <c r="J828" s="1">
        <v>10</v>
      </c>
      <c r="K828" s="1">
        <v>0</v>
      </c>
      <c r="L828" s="1">
        <v>0</v>
      </c>
      <c r="M828" s="1" t="str">
        <f t="shared" si="11"/>
        <v>105_4288_4288</v>
      </c>
      <c r="N828" s="1" t="s">
        <v>2419</v>
      </c>
      <c r="O828" s="1">
        <v>0</v>
      </c>
      <c r="P828" s="1" t="s">
        <v>2059</v>
      </c>
      <c r="Q828" s="7" t="str">
        <f t="shared" si="8"/>
        <v>equipment/2122.png</v>
      </c>
      <c r="R828" s="1">
        <v>0</v>
      </c>
    </row>
    <row r="829" spans="1:18" ht="14.25" thickBot="1">
      <c r="A829" s="1">
        <v>20801061</v>
      </c>
      <c r="B829" s="3">
        <f t="shared" si="9"/>
        <v>1</v>
      </c>
      <c r="C829" s="9" t="s">
        <v>2709</v>
      </c>
      <c r="D829" s="1" t="s">
        <v>13</v>
      </c>
      <c r="E829" s="1">
        <v>6</v>
      </c>
      <c r="F829" s="1">
        <v>2</v>
      </c>
      <c r="G829" s="1">
        <v>80</v>
      </c>
      <c r="H829" s="10" t="s">
        <v>2120</v>
      </c>
      <c r="I829" s="1">
        <f t="shared" si="10"/>
        <v>17000</v>
      </c>
      <c r="J829" s="1">
        <v>10</v>
      </c>
      <c r="K829" s="1">
        <v>0</v>
      </c>
      <c r="L829" s="1">
        <v>0</v>
      </c>
      <c r="M829" s="1" t="str">
        <f t="shared" si="11"/>
        <v>105_4419_4419</v>
      </c>
      <c r="N829" s="1" t="s">
        <v>2419</v>
      </c>
      <c r="O829" s="1">
        <v>0</v>
      </c>
      <c r="P829" s="1" t="s">
        <v>2059</v>
      </c>
      <c r="Q829" s="7" t="str">
        <f t="shared" si="8"/>
        <v>equipment/2120.png</v>
      </c>
      <c r="R829" s="1">
        <v>0</v>
      </c>
    </row>
    <row r="830" spans="1:18" ht="14.25" thickBot="1">
      <c r="A830" s="1">
        <v>20802050</v>
      </c>
      <c r="B830" s="3">
        <f t="shared" si="9"/>
        <v>1</v>
      </c>
      <c r="C830" s="1" t="s">
        <v>2710</v>
      </c>
      <c r="D830" s="1" t="s">
        <v>12</v>
      </c>
      <c r="E830" s="1">
        <v>5</v>
      </c>
      <c r="F830" s="1">
        <v>2</v>
      </c>
      <c r="G830" s="1">
        <v>80</v>
      </c>
      <c r="H830" s="10" t="s">
        <v>2121</v>
      </c>
      <c r="I830" s="1">
        <f t="shared" si="10"/>
        <v>16400</v>
      </c>
      <c r="J830" s="1">
        <v>10</v>
      </c>
      <c r="K830" s="1">
        <v>0</v>
      </c>
      <c r="L830" s="1">
        <v>0</v>
      </c>
      <c r="M830" s="1" t="str">
        <f t="shared" si="11"/>
        <v>103_4331_4331,104_8662_8662</v>
      </c>
      <c r="N830" s="1" t="s">
        <v>2419</v>
      </c>
      <c r="O830" s="1">
        <v>0</v>
      </c>
      <c r="P830" s="1" t="s">
        <v>2059</v>
      </c>
      <c r="Q830" s="7" t="str">
        <f t="shared" si="8"/>
        <v>equipment/1227.png</v>
      </c>
      <c r="R830" s="1">
        <v>0</v>
      </c>
    </row>
    <row r="831" spans="1:18" ht="14.25" thickBot="1">
      <c r="A831" s="1">
        <v>20802051</v>
      </c>
      <c r="B831" s="3">
        <f t="shared" si="9"/>
        <v>1</v>
      </c>
      <c r="C831" s="1" t="s">
        <v>2711</v>
      </c>
      <c r="D831" s="1" t="s">
        <v>12</v>
      </c>
      <c r="E831" s="1">
        <v>5</v>
      </c>
      <c r="F831" s="1">
        <v>2</v>
      </c>
      <c r="G831" s="1">
        <v>80</v>
      </c>
      <c r="H831" s="10" t="s">
        <v>2121</v>
      </c>
      <c r="I831" s="1">
        <f t="shared" si="10"/>
        <v>17000</v>
      </c>
      <c r="J831" s="1">
        <v>10</v>
      </c>
      <c r="K831" s="1">
        <v>0</v>
      </c>
      <c r="L831" s="1">
        <v>0</v>
      </c>
      <c r="M831" s="1" t="str">
        <f t="shared" si="11"/>
        <v>103_4552_4552,104_9105_9105</v>
      </c>
      <c r="N831" s="1" t="s">
        <v>2419</v>
      </c>
      <c r="O831" s="1">
        <v>0</v>
      </c>
      <c r="P831" s="1" t="s">
        <v>2059</v>
      </c>
      <c r="Q831" s="7" t="str">
        <f t="shared" si="8"/>
        <v>equipment/1229.png</v>
      </c>
      <c r="R831" s="1">
        <v>0</v>
      </c>
    </row>
    <row r="832" spans="1:18" ht="14.25" thickBot="1">
      <c r="A832" s="1">
        <v>20802060</v>
      </c>
      <c r="B832" s="3">
        <f t="shared" si="9"/>
        <v>1</v>
      </c>
      <c r="C832" s="9" t="s">
        <v>2712</v>
      </c>
      <c r="D832" s="1" t="s">
        <v>13</v>
      </c>
      <c r="E832" s="1">
        <v>6</v>
      </c>
      <c r="F832" s="1">
        <v>2</v>
      </c>
      <c r="G832" s="1">
        <v>80</v>
      </c>
      <c r="H832" s="10" t="s">
        <v>2121</v>
      </c>
      <c r="I832" s="1">
        <f t="shared" si="10"/>
        <v>16400</v>
      </c>
      <c r="J832" s="1">
        <v>10</v>
      </c>
      <c r="K832" s="1">
        <v>0</v>
      </c>
      <c r="L832" s="1">
        <v>0</v>
      </c>
      <c r="M832" s="1" t="str">
        <f t="shared" si="11"/>
        <v>108_4288_4288</v>
      </c>
      <c r="N832" s="1" t="s">
        <v>2419</v>
      </c>
      <c r="O832" s="1">
        <v>0</v>
      </c>
      <c r="P832" s="1" t="s">
        <v>2059</v>
      </c>
      <c r="Q832" s="7" t="str">
        <f t="shared" si="8"/>
        <v>equipment/2222.png</v>
      </c>
      <c r="R832" s="1">
        <v>0</v>
      </c>
    </row>
    <row r="833" spans="1:18" ht="14.25" thickBot="1">
      <c r="A833" s="1">
        <v>20802061</v>
      </c>
      <c r="B833" s="3">
        <f t="shared" si="9"/>
        <v>1</v>
      </c>
      <c r="C833" s="9" t="s">
        <v>2713</v>
      </c>
      <c r="D833" s="1" t="s">
        <v>13</v>
      </c>
      <c r="E833" s="1">
        <v>6</v>
      </c>
      <c r="F833" s="1">
        <v>2</v>
      </c>
      <c r="G833" s="1">
        <v>80</v>
      </c>
      <c r="H833" s="10" t="s">
        <v>2121</v>
      </c>
      <c r="I833" s="1">
        <f t="shared" si="10"/>
        <v>17000</v>
      </c>
      <c r="J833" s="1">
        <v>10</v>
      </c>
      <c r="K833" s="1">
        <v>0</v>
      </c>
      <c r="L833" s="1">
        <v>0</v>
      </c>
      <c r="M833" s="1" t="str">
        <f t="shared" si="11"/>
        <v>108_4419_4419</v>
      </c>
      <c r="N833" s="1" t="s">
        <v>2419</v>
      </c>
      <c r="O833" s="1">
        <v>0</v>
      </c>
      <c r="P833" s="1" t="s">
        <v>2059</v>
      </c>
      <c r="Q833" s="7" t="str">
        <f t="shared" si="8"/>
        <v>equipment/2223.png</v>
      </c>
      <c r="R833" s="1">
        <v>0</v>
      </c>
    </row>
    <row r="834" spans="1:18" ht="14.25" thickBot="1">
      <c r="A834" s="1">
        <v>20803050</v>
      </c>
      <c r="B834" s="3">
        <f t="shared" si="9"/>
        <v>1</v>
      </c>
      <c r="C834" s="9" t="s">
        <v>2714</v>
      </c>
      <c r="D834" s="1" t="s">
        <v>12</v>
      </c>
      <c r="E834" s="1">
        <v>5</v>
      </c>
      <c r="F834" s="1">
        <v>2</v>
      </c>
      <c r="G834" s="1">
        <v>80</v>
      </c>
      <c r="H834" s="10" t="s">
        <v>2122</v>
      </c>
      <c r="I834" s="1">
        <f t="shared" si="10"/>
        <v>16400</v>
      </c>
      <c r="J834" s="1">
        <v>10</v>
      </c>
      <c r="K834" s="1">
        <v>0</v>
      </c>
      <c r="L834" s="1">
        <v>0</v>
      </c>
      <c r="M834" s="1" t="str">
        <f t="shared" si="11"/>
        <v>103_4331_4331,104_8662_8662</v>
      </c>
      <c r="N834" s="1" t="s">
        <v>2419</v>
      </c>
      <c r="O834" s="1">
        <v>0</v>
      </c>
      <c r="P834" s="1" t="s">
        <v>2059</v>
      </c>
      <c r="Q834" s="7" t="str">
        <f t="shared" si="8"/>
        <v>equipment/1327.png</v>
      </c>
      <c r="R834" s="1">
        <v>0</v>
      </c>
    </row>
    <row r="835" spans="1:18" ht="14.25" thickBot="1">
      <c r="A835" s="1">
        <v>20803051</v>
      </c>
      <c r="B835" s="3">
        <f t="shared" si="9"/>
        <v>1</v>
      </c>
      <c r="C835" s="9" t="s">
        <v>2715</v>
      </c>
      <c r="D835" s="1" t="s">
        <v>12</v>
      </c>
      <c r="E835" s="1">
        <v>5</v>
      </c>
      <c r="F835" s="1">
        <v>2</v>
      </c>
      <c r="G835" s="1">
        <v>80</v>
      </c>
      <c r="H835" s="10" t="s">
        <v>2122</v>
      </c>
      <c r="I835" s="1">
        <f t="shared" si="10"/>
        <v>17000</v>
      </c>
      <c r="J835" s="1">
        <v>10</v>
      </c>
      <c r="K835" s="1">
        <v>0</v>
      </c>
      <c r="L835" s="1">
        <v>0</v>
      </c>
      <c r="M835" s="1" t="str">
        <f t="shared" si="11"/>
        <v>103_4552_4552,104_9105_9105</v>
      </c>
      <c r="N835" s="1" t="s">
        <v>2419</v>
      </c>
      <c r="O835" s="1">
        <v>0</v>
      </c>
      <c r="P835" s="1" t="s">
        <v>2059</v>
      </c>
      <c r="Q835" s="7" t="str">
        <f t="shared" si="8"/>
        <v>equipment/1329.png</v>
      </c>
      <c r="R835" s="1">
        <v>0</v>
      </c>
    </row>
    <row r="836" spans="1:18" ht="14.25" thickBot="1">
      <c r="A836" s="1">
        <v>20803060</v>
      </c>
      <c r="B836" s="3">
        <f t="shared" si="9"/>
        <v>1</v>
      </c>
      <c r="C836" s="9" t="s">
        <v>2716</v>
      </c>
      <c r="D836" s="1" t="s">
        <v>13</v>
      </c>
      <c r="E836" s="1">
        <v>6</v>
      </c>
      <c r="F836" s="1">
        <v>2</v>
      </c>
      <c r="G836" s="1">
        <v>80</v>
      </c>
      <c r="H836" s="10" t="s">
        <v>2122</v>
      </c>
      <c r="I836" s="1">
        <f t="shared" si="10"/>
        <v>16400</v>
      </c>
      <c r="J836" s="1">
        <v>10</v>
      </c>
      <c r="K836" s="1">
        <v>0</v>
      </c>
      <c r="L836" s="1">
        <v>0</v>
      </c>
      <c r="M836" s="1" t="str">
        <f t="shared" si="11"/>
        <v>102_3610_3610</v>
      </c>
      <c r="N836" s="1" t="s">
        <v>2419</v>
      </c>
      <c r="O836" s="1">
        <v>0</v>
      </c>
      <c r="P836" s="1" t="s">
        <v>2059</v>
      </c>
      <c r="Q836" s="7" t="str">
        <f t="shared" si="8"/>
        <v>equipment/2320.png</v>
      </c>
      <c r="R836" s="1">
        <v>0</v>
      </c>
    </row>
    <row r="837" spans="1:18" ht="14.25" thickBot="1">
      <c r="A837" s="1">
        <v>20803061</v>
      </c>
      <c r="B837" s="3">
        <f t="shared" si="9"/>
        <v>1</v>
      </c>
      <c r="C837" s="9" t="s">
        <v>2717</v>
      </c>
      <c r="D837" s="1" t="s">
        <v>13</v>
      </c>
      <c r="E837" s="1">
        <v>6</v>
      </c>
      <c r="F837" s="1">
        <v>2</v>
      </c>
      <c r="G837" s="1">
        <v>80</v>
      </c>
      <c r="H837" s="10" t="s">
        <v>2122</v>
      </c>
      <c r="I837" s="1">
        <f t="shared" si="10"/>
        <v>17000</v>
      </c>
      <c r="J837" s="1">
        <v>10</v>
      </c>
      <c r="K837" s="1">
        <v>0</v>
      </c>
      <c r="L837" s="1">
        <v>0</v>
      </c>
      <c r="M837" s="1" t="str">
        <f t="shared" si="11"/>
        <v>102_3680_3680</v>
      </c>
      <c r="N837" s="1" t="s">
        <v>2419</v>
      </c>
      <c r="O837" s="1">
        <v>0</v>
      </c>
      <c r="P837" s="1" t="s">
        <v>2059</v>
      </c>
      <c r="Q837" s="7" t="str">
        <f t="shared" si="8"/>
        <v>equipment/2322.png</v>
      </c>
      <c r="R837" s="1">
        <v>0</v>
      </c>
    </row>
    <row r="838" spans="1:18" ht="14.25" thickBot="1">
      <c r="A838" s="1">
        <v>20800040</v>
      </c>
      <c r="B838" s="3">
        <f t="shared" si="9"/>
        <v>1</v>
      </c>
      <c r="C838" s="1" t="s">
        <v>2718</v>
      </c>
      <c r="D838" s="1" t="s">
        <v>11</v>
      </c>
      <c r="E838" s="1">
        <v>4</v>
      </c>
      <c r="F838" s="1">
        <v>2</v>
      </c>
      <c r="G838" s="1">
        <v>80</v>
      </c>
      <c r="H838" s="10">
        <v>0</v>
      </c>
      <c r="I838" s="1">
        <f t="shared" si="10"/>
        <v>16400</v>
      </c>
      <c r="J838" s="1">
        <v>10</v>
      </c>
      <c r="K838" s="1">
        <v>0</v>
      </c>
      <c r="L838" s="1">
        <v>0</v>
      </c>
      <c r="M838" s="1" t="str">
        <f t="shared" si="11"/>
        <v>105_2573_2573</v>
      </c>
      <c r="N838" s="1" t="s">
        <v>2418</v>
      </c>
      <c r="O838" s="1">
        <v>0</v>
      </c>
      <c r="P838" s="1" t="s">
        <v>2059</v>
      </c>
      <c r="Q838" s="7" t="str">
        <f t="shared" si="8"/>
        <v>equipment/5021.png</v>
      </c>
      <c r="R838" s="1">
        <v>0</v>
      </c>
    </row>
    <row r="839" spans="1:18" ht="14.25" thickBot="1">
      <c r="A839" s="1">
        <v>20800041</v>
      </c>
      <c r="B839" s="3">
        <f t="shared" si="9"/>
        <v>1</v>
      </c>
      <c r="C839" s="1" t="s">
        <v>2719</v>
      </c>
      <c r="D839" s="1" t="s">
        <v>11</v>
      </c>
      <c r="E839" s="1">
        <v>4</v>
      </c>
      <c r="F839" s="1">
        <v>2</v>
      </c>
      <c r="G839" s="1">
        <v>80</v>
      </c>
      <c r="H839" s="10">
        <v>0</v>
      </c>
      <c r="I839" s="1">
        <f t="shared" si="10"/>
        <v>17000</v>
      </c>
      <c r="J839" s="1">
        <v>10</v>
      </c>
      <c r="K839" s="1">
        <v>0</v>
      </c>
      <c r="L839" s="1">
        <v>0</v>
      </c>
      <c r="M839" s="1" t="str">
        <f t="shared" si="11"/>
        <v>105_2739_2739</v>
      </c>
      <c r="N839" s="1" t="s">
        <v>2418</v>
      </c>
      <c r="O839" s="1">
        <v>0</v>
      </c>
      <c r="P839" s="1" t="s">
        <v>2059</v>
      </c>
      <c r="Q839" s="7" t="str">
        <f t="shared" si="8"/>
        <v>equipment/5022.png</v>
      </c>
      <c r="R839" s="1">
        <v>0</v>
      </c>
    </row>
    <row r="840" spans="1:18" ht="14.25" thickBot="1">
      <c r="A840" s="1">
        <v>20800070</v>
      </c>
      <c r="B840" s="3">
        <f t="shared" si="9"/>
        <v>1</v>
      </c>
      <c r="C840" s="1" t="s">
        <v>2720</v>
      </c>
      <c r="D840" s="1" t="s">
        <v>14</v>
      </c>
      <c r="E840" s="1">
        <v>7</v>
      </c>
      <c r="F840" s="1">
        <v>2</v>
      </c>
      <c r="G840" s="1">
        <v>80</v>
      </c>
      <c r="H840" s="10">
        <v>0</v>
      </c>
      <c r="I840" s="1">
        <f t="shared" si="10"/>
        <v>16400</v>
      </c>
      <c r="J840" s="1">
        <v>10</v>
      </c>
      <c r="K840" s="1">
        <v>0</v>
      </c>
      <c r="L840" s="1">
        <v>0</v>
      </c>
      <c r="M840" s="1" t="str">
        <f t="shared" si="11"/>
        <v>105_2573_2573</v>
      </c>
      <c r="N840" s="1" t="s">
        <v>2418</v>
      </c>
      <c r="O840" s="1">
        <v>0</v>
      </c>
      <c r="P840" s="1" t="s">
        <v>2059</v>
      </c>
      <c r="Q840" s="7" t="str">
        <f t="shared" si="8"/>
        <v>equipment/7022.png</v>
      </c>
      <c r="R840" s="1">
        <v>0</v>
      </c>
    </row>
    <row r="841" spans="1:18" ht="14.25" thickBot="1">
      <c r="A841" s="1">
        <v>20800071</v>
      </c>
      <c r="B841" s="3">
        <f t="shared" si="9"/>
        <v>1</v>
      </c>
      <c r="C841" s="1" t="s">
        <v>2721</v>
      </c>
      <c r="D841" s="1" t="s">
        <v>14</v>
      </c>
      <c r="E841" s="1">
        <v>7</v>
      </c>
      <c r="F841" s="1">
        <v>2</v>
      </c>
      <c r="G841" s="1">
        <v>80</v>
      </c>
      <c r="H841" s="10">
        <v>0</v>
      </c>
      <c r="I841" s="1">
        <f t="shared" si="10"/>
        <v>17000</v>
      </c>
      <c r="J841" s="1">
        <v>10</v>
      </c>
      <c r="K841" s="1">
        <v>0</v>
      </c>
      <c r="L841" s="1">
        <v>0</v>
      </c>
      <c r="M841" s="1" t="str">
        <f t="shared" si="11"/>
        <v>105_2739_2739</v>
      </c>
      <c r="N841" s="1" t="s">
        <v>2418</v>
      </c>
      <c r="O841" s="1">
        <v>0</v>
      </c>
      <c r="P841" s="1" t="s">
        <v>2059</v>
      </c>
      <c r="Q841" s="7" t="str">
        <f t="shared" si="8"/>
        <v>equipment/7021.png</v>
      </c>
      <c r="R841" s="1">
        <v>0</v>
      </c>
    </row>
    <row r="842" spans="1:18" ht="14.25" thickBot="1">
      <c r="A842" s="1">
        <v>20850010</v>
      </c>
      <c r="B842" s="3">
        <f t="shared" si="9"/>
        <v>1</v>
      </c>
      <c r="C842" s="1" t="s">
        <v>2722</v>
      </c>
      <c r="D842" s="1" t="s">
        <v>8</v>
      </c>
      <c r="E842" s="1">
        <v>1</v>
      </c>
      <c r="F842" s="1">
        <v>2</v>
      </c>
      <c r="G842" s="1">
        <v>85</v>
      </c>
      <c r="H842" s="10">
        <v>0</v>
      </c>
      <c r="I842" s="1">
        <f t="shared" si="10"/>
        <v>17600</v>
      </c>
      <c r="J842" s="1">
        <v>10</v>
      </c>
      <c r="K842" s="1">
        <v>0</v>
      </c>
      <c r="L842" s="1">
        <v>0</v>
      </c>
      <c r="M842" s="1" t="str">
        <f t="shared" si="11"/>
        <v>106_3672_3672</v>
      </c>
      <c r="N842" s="1" t="s">
        <v>2420</v>
      </c>
      <c r="O842" s="1">
        <v>0</v>
      </c>
      <c r="P842" s="1" t="s">
        <v>2059</v>
      </c>
      <c r="Q842" s="7" t="str">
        <f t="shared" si="8"/>
        <v>equipment/3012.png</v>
      </c>
      <c r="R842" s="1">
        <v>0</v>
      </c>
    </row>
    <row r="843" spans="1:18" ht="14.25" thickBot="1">
      <c r="A843" s="1">
        <v>20850020</v>
      </c>
      <c r="B843" s="3">
        <f t="shared" si="9"/>
        <v>1</v>
      </c>
      <c r="C843" s="1" t="s">
        <v>2723</v>
      </c>
      <c r="D843" s="1" t="s">
        <v>9</v>
      </c>
      <c r="E843" s="1">
        <v>2</v>
      </c>
      <c r="F843" s="1">
        <v>2</v>
      </c>
      <c r="G843" s="1">
        <v>85</v>
      </c>
      <c r="H843" s="10">
        <v>0</v>
      </c>
      <c r="I843" s="1">
        <f t="shared" si="10"/>
        <v>17600</v>
      </c>
      <c r="J843" s="1">
        <v>10</v>
      </c>
      <c r="K843" s="1">
        <v>0</v>
      </c>
      <c r="L843" s="1">
        <v>0</v>
      </c>
      <c r="M843" s="1" t="str">
        <f t="shared" si="11"/>
        <v>102_2020_2020</v>
      </c>
      <c r="N843" s="1" t="s">
        <v>2420</v>
      </c>
      <c r="O843" s="1">
        <v>0</v>
      </c>
      <c r="P843" s="1" t="s">
        <v>2059</v>
      </c>
      <c r="Q843" s="7" t="str">
        <f t="shared" si="8"/>
        <v>equipment/14016.png</v>
      </c>
      <c r="R843" s="1">
        <v>0</v>
      </c>
    </row>
    <row r="844" spans="1:18" ht="14.25" thickBot="1">
      <c r="A844" s="1">
        <v>20850030</v>
      </c>
      <c r="B844" s="3">
        <f t="shared" si="9"/>
        <v>1</v>
      </c>
      <c r="C844" s="1" t="s">
        <v>2724</v>
      </c>
      <c r="D844" s="1" t="s">
        <v>10</v>
      </c>
      <c r="E844" s="1">
        <v>3</v>
      </c>
      <c r="F844" s="1">
        <v>2</v>
      </c>
      <c r="G844" s="1">
        <v>85</v>
      </c>
      <c r="H844" s="10">
        <v>0</v>
      </c>
      <c r="I844" s="1">
        <f t="shared" si="10"/>
        <v>17600</v>
      </c>
      <c r="J844" s="1">
        <v>10</v>
      </c>
      <c r="K844" s="1">
        <v>0</v>
      </c>
      <c r="L844" s="1">
        <v>0</v>
      </c>
      <c r="M844" s="1" t="str">
        <f t="shared" si="11"/>
        <v>101_27040_27040</v>
      </c>
      <c r="N844" s="1" t="s">
        <v>2420</v>
      </c>
      <c r="O844" s="1">
        <v>0</v>
      </c>
      <c r="P844" s="1" t="s">
        <v>2059</v>
      </c>
      <c r="Q844" s="7" t="str">
        <f t="shared" si="8"/>
        <v>equipment/6017.png</v>
      </c>
      <c r="R844" s="1">
        <v>0</v>
      </c>
    </row>
    <row r="845" spans="1:18" ht="14.25" thickBot="1">
      <c r="A845" s="1">
        <v>20850080</v>
      </c>
      <c r="B845" s="3">
        <f t="shared" si="9"/>
        <v>1</v>
      </c>
      <c r="C845" s="1" t="s">
        <v>2725</v>
      </c>
      <c r="D845" s="1" t="s">
        <v>15</v>
      </c>
      <c r="E845" s="1">
        <v>8</v>
      </c>
      <c r="F845" s="1">
        <v>2</v>
      </c>
      <c r="G845" s="1">
        <v>85</v>
      </c>
      <c r="H845" s="10">
        <v>0</v>
      </c>
      <c r="I845" s="1">
        <f t="shared" si="10"/>
        <v>17600</v>
      </c>
      <c r="J845" s="1">
        <v>10</v>
      </c>
      <c r="K845" s="1">
        <v>0</v>
      </c>
      <c r="L845" s="1">
        <v>0</v>
      </c>
      <c r="M845" s="1" t="str">
        <f t="shared" si="11"/>
        <v>110_661_661</v>
      </c>
      <c r="N845" s="1" t="s">
        <v>2420</v>
      </c>
      <c r="O845" s="1">
        <v>0</v>
      </c>
      <c r="P845" s="1" t="s">
        <v>2059</v>
      </c>
      <c r="Q845" s="7" t="str">
        <f t="shared" si="8"/>
        <v>equipment/8016.png</v>
      </c>
      <c r="R845" s="1">
        <v>0</v>
      </c>
    </row>
    <row r="846" spans="1:18" ht="14.25" thickBot="1">
      <c r="A846" s="1">
        <v>20850090</v>
      </c>
      <c r="B846" s="3">
        <f t="shared" si="9"/>
        <v>1</v>
      </c>
      <c r="C846" s="1" t="s">
        <v>2726</v>
      </c>
      <c r="D846" s="1" t="s">
        <v>16</v>
      </c>
      <c r="E846" s="1">
        <v>9</v>
      </c>
      <c r="F846" s="1">
        <v>2</v>
      </c>
      <c r="G846" s="1">
        <v>85</v>
      </c>
      <c r="H846" s="10">
        <v>0</v>
      </c>
      <c r="I846" s="1">
        <f t="shared" si="10"/>
        <v>17600</v>
      </c>
      <c r="J846" s="1">
        <v>10</v>
      </c>
      <c r="K846" s="1">
        <v>0</v>
      </c>
      <c r="L846" s="1">
        <v>0</v>
      </c>
      <c r="M846" s="1" t="str">
        <f t="shared" si="11"/>
        <v>108_5495_5495</v>
      </c>
      <c r="N846" s="1" t="s">
        <v>2420</v>
      </c>
      <c r="O846" s="1">
        <v>0</v>
      </c>
      <c r="P846" s="1" t="s">
        <v>2059</v>
      </c>
      <c r="Q846" s="7" t="str">
        <f t="shared" si="8"/>
        <v>equipment/10014.png</v>
      </c>
      <c r="R846" s="1">
        <v>0</v>
      </c>
    </row>
    <row r="847" spans="1:18" ht="14.25" thickBot="1">
      <c r="A847" s="1">
        <v>20850100</v>
      </c>
      <c r="B847" s="3">
        <f t="shared" si="9"/>
        <v>1</v>
      </c>
      <c r="C847" s="1" t="s">
        <v>2727</v>
      </c>
      <c r="D847" s="1" t="s">
        <v>17</v>
      </c>
      <c r="E847" s="1">
        <v>10</v>
      </c>
      <c r="F847" s="1">
        <v>2</v>
      </c>
      <c r="G847" s="1">
        <v>85</v>
      </c>
      <c r="H847" s="10">
        <v>0</v>
      </c>
      <c r="I847" s="1">
        <f t="shared" si="10"/>
        <v>17600</v>
      </c>
      <c r="J847" s="1">
        <v>10</v>
      </c>
      <c r="K847" s="1">
        <v>0</v>
      </c>
      <c r="L847" s="1">
        <v>0</v>
      </c>
      <c r="M847" s="1" t="str">
        <f t="shared" si="11"/>
        <v>107_3672_3672</v>
      </c>
      <c r="N847" s="1" t="s">
        <v>2420</v>
      </c>
      <c r="O847" s="1">
        <v>0</v>
      </c>
      <c r="P847" s="1" t="s">
        <v>2059</v>
      </c>
      <c r="Q847" s="7" t="str">
        <f t="shared" si="8"/>
        <v>equipment/12016.png</v>
      </c>
      <c r="R847" s="1">
        <v>0</v>
      </c>
    </row>
    <row r="848" spans="1:18" ht="14.25" thickBot="1">
      <c r="A848" s="1">
        <v>20851050</v>
      </c>
      <c r="B848" s="3">
        <f t="shared" si="9"/>
        <v>1</v>
      </c>
      <c r="C848" s="9" t="s">
        <v>2728</v>
      </c>
      <c r="D848" s="1" t="s">
        <v>12</v>
      </c>
      <c r="E848" s="1">
        <v>5</v>
      </c>
      <c r="F848" s="1">
        <v>2</v>
      </c>
      <c r="G848" s="1">
        <v>85</v>
      </c>
      <c r="H848" s="10" t="s">
        <v>2120</v>
      </c>
      <c r="I848" s="1">
        <f t="shared" si="10"/>
        <v>17600</v>
      </c>
      <c r="J848" s="1">
        <v>10</v>
      </c>
      <c r="K848" s="1">
        <v>0</v>
      </c>
      <c r="L848" s="1">
        <v>0</v>
      </c>
      <c r="M848" s="1" t="str">
        <f t="shared" si="11"/>
        <v>103_4884_4884,104_9769_9769</v>
      </c>
      <c r="N848" s="1" t="s">
        <v>2421</v>
      </c>
      <c r="O848" s="1">
        <v>0</v>
      </c>
      <c r="P848" s="1" t="s">
        <v>2059</v>
      </c>
      <c r="Q848" s="7" t="str">
        <f t="shared" si="8"/>
        <v>equipment/1128.png</v>
      </c>
      <c r="R848" s="1">
        <v>0</v>
      </c>
    </row>
    <row r="849" spans="1:18" ht="14.25" thickBot="1">
      <c r="A849" s="1">
        <v>20851051</v>
      </c>
      <c r="B849" s="3">
        <f t="shared" si="9"/>
        <v>0</v>
      </c>
      <c r="C849" s="9" t="s">
        <v>2729</v>
      </c>
      <c r="D849" s="1" t="s">
        <v>12</v>
      </c>
      <c r="E849" s="1">
        <v>5</v>
      </c>
      <c r="F849" s="1">
        <v>2</v>
      </c>
      <c r="G849" s="1">
        <v>85</v>
      </c>
      <c r="H849" s="10" t="s">
        <v>2120</v>
      </c>
      <c r="I849" s="1">
        <f t="shared" si="10"/>
        <v>18200</v>
      </c>
      <c r="J849" s="1">
        <v>10</v>
      </c>
      <c r="K849" s="1">
        <v>0</v>
      </c>
      <c r="L849" s="1">
        <v>0</v>
      </c>
      <c r="M849" s="1" t="str">
        <f t="shared" si="11"/>
        <v>103_5119_5119,104_10238_10238</v>
      </c>
      <c r="N849" s="1" t="s">
        <v>2421</v>
      </c>
      <c r="O849" s="1">
        <v>0</v>
      </c>
      <c r="P849" s="1" t="s">
        <v>2059</v>
      </c>
      <c r="Q849" s="7" t="str">
        <f t="shared" si="8"/>
        <v>equipment/1129.png</v>
      </c>
      <c r="R849" s="1">
        <v>0</v>
      </c>
    </row>
    <row r="850" spans="1:18" ht="14.25" thickBot="1">
      <c r="A850" s="1">
        <v>20851060</v>
      </c>
      <c r="B850" s="3">
        <f t="shared" si="9"/>
        <v>1</v>
      </c>
      <c r="C850" s="9" t="s">
        <v>2730</v>
      </c>
      <c r="D850" s="1" t="s">
        <v>13</v>
      </c>
      <c r="E850" s="1">
        <v>6</v>
      </c>
      <c r="F850" s="1">
        <v>2</v>
      </c>
      <c r="G850" s="1">
        <v>85</v>
      </c>
      <c r="H850" s="10" t="s">
        <v>2120</v>
      </c>
      <c r="I850" s="1">
        <f t="shared" si="10"/>
        <v>17600</v>
      </c>
      <c r="J850" s="1">
        <v>10</v>
      </c>
      <c r="K850" s="1">
        <v>0</v>
      </c>
      <c r="L850" s="1">
        <v>0</v>
      </c>
      <c r="M850" s="1" t="str">
        <f t="shared" si="11"/>
        <v>105_4616_4616</v>
      </c>
      <c r="N850" s="1" t="s">
        <v>2421</v>
      </c>
      <c r="O850" s="1">
        <v>0</v>
      </c>
      <c r="P850" s="1" t="s">
        <v>2059</v>
      </c>
      <c r="Q850" s="7" t="str">
        <f t="shared" si="8"/>
        <v>equipment/2124.png</v>
      </c>
      <c r="R850" s="1">
        <v>0</v>
      </c>
    </row>
    <row r="851" spans="1:18" ht="14.25" thickBot="1">
      <c r="A851" s="1">
        <v>20851061</v>
      </c>
      <c r="B851" s="3">
        <f t="shared" si="9"/>
        <v>0</v>
      </c>
      <c r="C851" s="9" t="s">
        <v>2731</v>
      </c>
      <c r="D851" s="1" t="s">
        <v>13</v>
      </c>
      <c r="E851" s="1">
        <v>6</v>
      </c>
      <c r="F851" s="1">
        <v>2</v>
      </c>
      <c r="G851" s="1">
        <v>85</v>
      </c>
      <c r="H851" s="10" t="s">
        <v>2120</v>
      </c>
      <c r="I851" s="1">
        <f t="shared" si="10"/>
        <v>18200</v>
      </c>
      <c r="J851" s="1">
        <v>10</v>
      </c>
      <c r="K851" s="1">
        <v>0</v>
      </c>
      <c r="L851" s="1">
        <v>0</v>
      </c>
      <c r="M851" s="1" t="str">
        <f t="shared" si="11"/>
        <v>105_4739_4739</v>
      </c>
      <c r="N851" s="1" t="s">
        <v>2421</v>
      </c>
      <c r="O851" s="1">
        <v>0</v>
      </c>
      <c r="P851" s="1" t="s">
        <v>2059</v>
      </c>
      <c r="Q851" s="7" t="str">
        <f t="shared" si="8"/>
        <v>equipment/2119.png</v>
      </c>
      <c r="R851" s="1">
        <v>0</v>
      </c>
    </row>
    <row r="852" spans="1:18" ht="14.25" thickBot="1">
      <c r="A852" s="1">
        <v>20852050</v>
      </c>
      <c r="B852" s="3">
        <f t="shared" si="9"/>
        <v>1</v>
      </c>
      <c r="C852" s="1" t="s">
        <v>2732</v>
      </c>
      <c r="D852" s="1" t="s">
        <v>12</v>
      </c>
      <c r="E852" s="1">
        <v>5</v>
      </c>
      <c r="F852" s="1">
        <v>2</v>
      </c>
      <c r="G852" s="1">
        <v>85</v>
      </c>
      <c r="H852" s="10" t="s">
        <v>2121</v>
      </c>
      <c r="I852" s="1">
        <f t="shared" si="10"/>
        <v>17600</v>
      </c>
      <c r="J852" s="1">
        <v>10</v>
      </c>
      <c r="K852" s="1">
        <v>0</v>
      </c>
      <c r="L852" s="1">
        <v>0</v>
      </c>
      <c r="M852" s="1" t="str">
        <f t="shared" si="11"/>
        <v>103_4884_4884,104_9769_9769</v>
      </c>
      <c r="N852" s="1" t="s">
        <v>2421</v>
      </c>
      <c r="O852" s="1">
        <v>0</v>
      </c>
      <c r="P852" s="1" t="s">
        <v>2059</v>
      </c>
      <c r="Q852" s="7" t="str">
        <f t="shared" si="8"/>
        <v>equipment/1228.png</v>
      </c>
      <c r="R852" s="1">
        <v>0</v>
      </c>
    </row>
    <row r="853" spans="1:18" ht="14.25" thickBot="1">
      <c r="A853" s="1">
        <v>20852051</v>
      </c>
      <c r="B853" s="3">
        <f t="shared" si="9"/>
        <v>0</v>
      </c>
      <c r="C853" s="1" t="s">
        <v>2733</v>
      </c>
      <c r="D853" s="1" t="s">
        <v>12</v>
      </c>
      <c r="E853" s="1">
        <v>5</v>
      </c>
      <c r="F853" s="1">
        <v>2</v>
      </c>
      <c r="G853" s="1">
        <v>85</v>
      </c>
      <c r="H853" s="10" t="s">
        <v>2121</v>
      </c>
      <c r="I853" s="1">
        <f t="shared" si="10"/>
        <v>18200</v>
      </c>
      <c r="J853" s="1">
        <v>10</v>
      </c>
      <c r="K853" s="1">
        <v>0</v>
      </c>
      <c r="L853" s="1">
        <v>0</v>
      </c>
      <c r="M853" s="1" t="str">
        <f t="shared" si="11"/>
        <v>103_5119_5119,104_10238_10238</v>
      </c>
      <c r="N853" s="1" t="s">
        <v>2421</v>
      </c>
      <c r="O853" s="1">
        <v>0</v>
      </c>
      <c r="P853" s="1" t="s">
        <v>2059</v>
      </c>
      <c r="Q853" s="7" t="str">
        <f t="shared" ref="Q853:Q916" si="12">Q391</f>
        <v>equipment/1230.png</v>
      </c>
      <c r="R853" s="1">
        <v>0</v>
      </c>
    </row>
    <row r="854" spans="1:18" ht="14.25" thickBot="1">
      <c r="A854" s="1">
        <v>20852060</v>
      </c>
      <c r="B854" s="3">
        <f t="shared" si="9"/>
        <v>1</v>
      </c>
      <c r="C854" s="9" t="s">
        <v>2734</v>
      </c>
      <c r="D854" s="1" t="s">
        <v>13</v>
      </c>
      <c r="E854" s="1">
        <v>6</v>
      </c>
      <c r="F854" s="1">
        <v>2</v>
      </c>
      <c r="G854" s="1">
        <v>85</v>
      </c>
      <c r="H854" s="10" t="s">
        <v>2121</v>
      </c>
      <c r="I854" s="1">
        <f t="shared" si="10"/>
        <v>17600</v>
      </c>
      <c r="J854" s="1">
        <v>10</v>
      </c>
      <c r="K854" s="1">
        <v>0</v>
      </c>
      <c r="L854" s="1">
        <v>0</v>
      </c>
      <c r="M854" s="1" t="str">
        <f t="shared" si="11"/>
        <v>108_4616_4616</v>
      </c>
      <c r="N854" s="1" t="s">
        <v>2421</v>
      </c>
      <c r="O854" s="1">
        <v>0</v>
      </c>
      <c r="P854" s="1" t="s">
        <v>2059</v>
      </c>
      <c r="Q854" s="7" t="str">
        <f t="shared" si="12"/>
        <v>equipment/2224.png</v>
      </c>
      <c r="R854" s="1">
        <v>0</v>
      </c>
    </row>
    <row r="855" spans="1:18" ht="14.25" thickBot="1">
      <c r="A855" s="1">
        <v>20852061</v>
      </c>
      <c r="B855" s="3">
        <f t="shared" si="9"/>
        <v>0</v>
      </c>
      <c r="C855" s="9" t="s">
        <v>2735</v>
      </c>
      <c r="D855" s="1" t="s">
        <v>13</v>
      </c>
      <c r="E855" s="1">
        <v>6</v>
      </c>
      <c r="F855" s="1">
        <v>2</v>
      </c>
      <c r="G855" s="1">
        <v>85</v>
      </c>
      <c r="H855" s="10" t="s">
        <v>2121</v>
      </c>
      <c r="I855" s="1">
        <f t="shared" si="10"/>
        <v>18200</v>
      </c>
      <c r="J855" s="1">
        <v>10</v>
      </c>
      <c r="K855" s="1">
        <v>0</v>
      </c>
      <c r="L855" s="1">
        <v>0</v>
      </c>
      <c r="M855" s="1" t="str">
        <f t="shared" si="11"/>
        <v>108_4739_4739</v>
      </c>
      <c r="N855" s="1" t="s">
        <v>2421</v>
      </c>
      <c r="O855" s="1">
        <v>0</v>
      </c>
      <c r="P855" s="1" t="s">
        <v>2059</v>
      </c>
      <c r="Q855" s="7" t="str">
        <f t="shared" si="12"/>
        <v>equipment/2221.png</v>
      </c>
      <c r="R855" s="1">
        <v>0</v>
      </c>
    </row>
    <row r="856" spans="1:18" ht="14.25" thickBot="1">
      <c r="A856" s="1">
        <v>20853050</v>
      </c>
      <c r="B856" s="3">
        <f t="shared" si="9"/>
        <v>1</v>
      </c>
      <c r="C856" s="9" t="s">
        <v>2736</v>
      </c>
      <c r="D856" s="1" t="s">
        <v>12</v>
      </c>
      <c r="E856" s="1">
        <v>5</v>
      </c>
      <c r="F856" s="1">
        <v>2</v>
      </c>
      <c r="G856" s="1">
        <v>85</v>
      </c>
      <c r="H856" s="10" t="s">
        <v>2122</v>
      </c>
      <c r="I856" s="1">
        <f t="shared" si="10"/>
        <v>17600</v>
      </c>
      <c r="J856" s="1">
        <v>10</v>
      </c>
      <c r="K856" s="1">
        <v>0</v>
      </c>
      <c r="L856" s="1">
        <v>0</v>
      </c>
      <c r="M856" s="1" t="str">
        <f t="shared" si="11"/>
        <v>103_4884_4884,104_9769_9769</v>
      </c>
      <c r="N856" s="1" t="s">
        <v>2421</v>
      </c>
      <c r="O856" s="1">
        <v>0</v>
      </c>
      <c r="P856" s="1" t="s">
        <v>2059</v>
      </c>
      <c r="Q856" s="7" t="str">
        <f t="shared" si="12"/>
        <v>equipment/1329.png</v>
      </c>
      <c r="R856" s="1">
        <v>0</v>
      </c>
    </row>
    <row r="857" spans="1:18" ht="14.25" thickBot="1">
      <c r="A857" s="1">
        <v>20853051</v>
      </c>
      <c r="B857" s="3">
        <f t="shared" si="9"/>
        <v>0</v>
      </c>
      <c r="C857" s="9" t="s">
        <v>2737</v>
      </c>
      <c r="D857" s="1" t="s">
        <v>12</v>
      </c>
      <c r="E857" s="1">
        <v>5</v>
      </c>
      <c r="F857" s="1">
        <v>2</v>
      </c>
      <c r="G857" s="1">
        <v>85</v>
      </c>
      <c r="H857" s="10" t="s">
        <v>2122</v>
      </c>
      <c r="I857" s="1">
        <f t="shared" si="10"/>
        <v>18200</v>
      </c>
      <c r="J857" s="1">
        <v>10</v>
      </c>
      <c r="K857" s="1">
        <v>0</v>
      </c>
      <c r="L857" s="1">
        <v>0</v>
      </c>
      <c r="M857" s="1" t="str">
        <f t="shared" si="11"/>
        <v>103_5119_5119,104_10238_10238</v>
      </c>
      <c r="N857" s="1" t="s">
        <v>2421</v>
      </c>
      <c r="O857" s="1">
        <v>0</v>
      </c>
      <c r="P857" s="1" t="s">
        <v>2059</v>
      </c>
      <c r="Q857" s="7" t="str">
        <f t="shared" si="12"/>
        <v>equipment/1331.png</v>
      </c>
      <c r="R857" s="1">
        <v>0</v>
      </c>
    </row>
    <row r="858" spans="1:18" ht="14.25" thickBot="1">
      <c r="A858" s="1">
        <v>20853060</v>
      </c>
      <c r="B858" s="3">
        <f t="shared" si="9"/>
        <v>1</v>
      </c>
      <c r="C858" s="9" t="s">
        <v>2738</v>
      </c>
      <c r="D858" s="1" t="s">
        <v>13</v>
      </c>
      <c r="E858" s="1">
        <v>6</v>
      </c>
      <c r="F858" s="1">
        <v>2</v>
      </c>
      <c r="G858" s="1">
        <v>85</v>
      </c>
      <c r="H858" s="10" t="s">
        <v>2122</v>
      </c>
      <c r="I858" s="1">
        <f t="shared" si="10"/>
        <v>17600</v>
      </c>
      <c r="J858" s="1">
        <v>10</v>
      </c>
      <c r="K858" s="1">
        <v>0</v>
      </c>
      <c r="L858" s="1">
        <v>0</v>
      </c>
      <c r="M858" s="1" t="str">
        <f t="shared" si="11"/>
        <v>102_3790_3790</v>
      </c>
      <c r="N858" s="1" t="s">
        <v>2421</v>
      </c>
      <c r="O858" s="1">
        <v>0</v>
      </c>
      <c r="P858" s="1" t="s">
        <v>2059</v>
      </c>
      <c r="Q858" s="7" t="str">
        <f t="shared" si="12"/>
        <v>equipment/102301.png</v>
      </c>
      <c r="R858" s="1">
        <v>0</v>
      </c>
    </row>
    <row r="859" spans="1:18" ht="14.25" thickBot="1">
      <c r="A859" s="1">
        <v>20853061</v>
      </c>
      <c r="B859" s="3">
        <f t="shared" si="9"/>
        <v>0</v>
      </c>
      <c r="C859" s="9" t="s">
        <v>2739</v>
      </c>
      <c r="D859" s="1" t="s">
        <v>13</v>
      </c>
      <c r="E859" s="1">
        <v>6</v>
      </c>
      <c r="F859" s="1">
        <v>2</v>
      </c>
      <c r="G859" s="1">
        <v>85</v>
      </c>
      <c r="H859" s="10" t="s">
        <v>2122</v>
      </c>
      <c r="I859" s="1">
        <f t="shared" si="10"/>
        <v>18200</v>
      </c>
      <c r="J859" s="1">
        <v>10</v>
      </c>
      <c r="K859" s="1">
        <v>0</v>
      </c>
      <c r="L859" s="1">
        <v>0</v>
      </c>
      <c r="M859" s="1" t="str">
        <f t="shared" si="11"/>
        <v>102_3890_3890</v>
      </c>
      <c r="N859" s="1" t="s">
        <v>2421</v>
      </c>
      <c r="O859" s="1">
        <v>0</v>
      </c>
      <c r="P859" s="1" t="s">
        <v>2059</v>
      </c>
      <c r="Q859" s="7" t="str">
        <f t="shared" si="12"/>
        <v>equipment/2323.png</v>
      </c>
      <c r="R859" s="1">
        <v>0</v>
      </c>
    </row>
    <row r="860" spans="1:18" ht="14.25" thickBot="1">
      <c r="A860" s="1">
        <v>20850040</v>
      </c>
      <c r="B860" s="3">
        <f t="shared" si="9"/>
        <v>1</v>
      </c>
      <c r="C860" s="1" t="s">
        <v>2740</v>
      </c>
      <c r="D860" s="1" t="s">
        <v>11</v>
      </c>
      <c r="E860" s="1">
        <v>4</v>
      </c>
      <c r="F860" s="1">
        <v>2</v>
      </c>
      <c r="G860" s="1">
        <v>85</v>
      </c>
      <c r="H860" s="10">
        <v>0</v>
      </c>
      <c r="I860" s="1">
        <f t="shared" si="10"/>
        <v>17600</v>
      </c>
      <c r="J860" s="1">
        <v>10</v>
      </c>
      <c r="K860" s="1">
        <v>0</v>
      </c>
      <c r="L860" s="1">
        <v>0</v>
      </c>
      <c r="M860" s="1" t="str">
        <f t="shared" si="11"/>
        <v>105_2989_2989</v>
      </c>
      <c r="N860" s="1" t="s">
        <v>2420</v>
      </c>
      <c r="O860" s="1">
        <v>0</v>
      </c>
      <c r="P860" s="1" t="s">
        <v>2059</v>
      </c>
      <c r="Q860" s="7" t="str">
        <f t="shared" si="12"/>
        <v>equipment/105001.png</v>
      </c>
      <c r="R860" s="1">
        <v>0</v>
      </c>
    </row>
    <row r="861" spans="1:18" ht="14.25" thickBot="1">
      <c r="A861" s="1">
        <v>20850041</v>
      </c>
      <c r="B861" s="3">
        <f t="shared" si="9"/>
        <v>0</v>
      </c>
      <c r="C861" s="1" t="s">
        <v>2741</v>
      </c>
      <c r="D861" s="1" t="s">
        <v>11</v>
      </c>
      <c r="E861" s="1">
        <v>4</v>
      </c>
      <c r="F861" s="1">
        <v>2</v>
      </c>
      <c r="G861" s="1">
        <v>85</v>
      </c>
      <c r="H861" s="10">
        <v>0</v>
      </c>
      <c r="I861" s="1">
        <f t="shared" si="10"/>
        <v>18200</v>
      </c>
      <c r="J861" s="1">
        <v>10</v>
      </c>
      <c r="K861" s="1">
        <v>0</v>
      </c>
      <c r="L861" s="1">
        <v>0</v>
      </c>
      <c r="M861" s="1" t="str">
        <f t="shared" si="11"/>
        <v>105_3172_3172</v>
      </c>
      <c r="N861" s="1" t="s">
        <v>2420</v>
      </c>
      <c r="O861" s="1">
        <v>0</v>
      </c>
      <c r="P861" s="1" t="s">
        <v>2059</v>
      </c>
      <c r="Q861" s="7" t="str">
        <f t="shared" si="12"/>
        <v>equipment/5023.png</v>
      </c>
      <c r="R861" s="1">
        <v>0</v>
      </c>
    </row>
    <row r="862" spans="1:18" ht="14.25" thickBot="1">
      <c r="A862" s="1">
        <v>20850070</v>
      </c>
      <c r="B862" s="3">
        <f t="shared" si="9"/>
        <v>1</v>
      </c>
      <c r="C862" s="1" t="s">
        <v>2742</v>
      </c>
      <c r="D862" s="1" t="s">
        <v>14</v>
      </c>
      <c r="E862" s="1">
        <v>7</v>
      </c>
      <c r="F862" s="1">
        <v>2</v>
      </c>
      <c r="G862" s="1">
        <v>85</v>
      </c>
      <c r="H862" s="10">
        <v>0</v>
      </c>
      <c r="I862" s="1">
        <f t="shared" si="10"/>
        <v>17600</v>
      </c>
      <c r="J862" s="1">
        <v>10</v>
      </c>
      <c r="K862" s="1">
        <v>0</v>
      </c>
      <c r="L862" s="1">
        <v>0</v>
      </c>
      <c r="M862" s="1" t="str">
        <f t="shared" si="11"/>
        <v>105_2989_2989</v>
      </c>
      <c r="N862" s="1" t="s">
        <v>2420</v>
      </c>
      <c r="O862" s="1">
        <v>0</v>
      </c>
      <c r="P862" s="1" t="s">
        <v>2059</v>
      </c>
      <c r="Q862" s="7" t="str">
        <f t="shared" si="12"/>
        <v>equipment/7023.png</v>
      </c>
      <c r="R862" s="1">
        <v>0</v>
      </c>
    </row>
    <row r="863" spans="1:18" ht="14.25" thickBot="1">
      <c r="A863" s="1">
        <v>20850071</v>
      </c>
      <c r="B863" s="3">
        <f t="shared" ref="B863:B926" si="13">B401</f>
        <v>0</v>
      </c>
      <c r="C863" s="1" t="s">
        <v>2743</v>
      </c>
      <c r="D863" s="1" t="s">
        <v>14</v>
      </c>
      <c r="E863" s="1">
        <v>7</v>
      </c>
      <c r="F863" s="1">
        <v>2</v>
      </c>
      <c r="G863" s="1">
        <v>85</v>
      </c>
      <c r="H863" s="10">
        <v>0</v>
      </c>
      <c r="I863" s="1">
        <f t="shared" ref="I863:I926" si="14">I401*2</f>
        <v>18200</v>
      </c>
      <c r="J863" s="1">
        <v>10</v>
      </c>
      <c r="K863" s="1">
        <v>0</v>
      </c>
      <c r="L863" s="1">
        <v>0</v>
      </c>
      <c r="M863" s="1" t="str">
        <f t="shared" ref="M863:M926" si="15">M401</f>
        <v>105_3172_3172</v>
      </c>
      <c r="N863" s="1" t="s">
        <v>2420</v>
      </c>
      <c r="O863" s="1">
        <v>0</v>
      </c>
      <c r="P863" s="1" t="s">
        <v>2059</v>
      </c>
      <c r="Q863" s="7" t="str">
        <f t="shared" si="12"/>
        <v>equipment/107001.png</v>
      </c>
      <c r="R863" s="1">
        <v>0</v>
      </c>
    </row>
    <row r="864" spans="1:18" ht="14.25" thickBot="1">
      <c r="A864" s="1">
        <v>20900010</v>
      </c>
      <c r="B864" s="3">
        <f t="shared" si="13"/>
        <v>1</v>
      </c>
      <c r="C864" s="1" t="s">
        <v>2744</v>
      </c>
      <c r="D864" s="1" t="s">
        <v>8</v>
      </c>
      <c r="E864" s="1">
        <v>1</v>
      </c>
      <c r="F864" s="1">
        <v>2</v>
      </c>
      <c r="G864" s="1">
        <v>90</v>
      </c>
      <c r="H864" s="10">
        <v>0</v>
      </c>
      <c r="I864" s="1">
        <f t="shared" si="14"/>
        <v>18800</v>
      </c>
      <c r="J864" s="1">
        <v>10</v>
      </c>
      <c r="K864" s="1">
        <v>0</v>
      </c>
      <c r="L864" s="1">
        <v>0</v>
      </c>
      <c r="M864" s="1" t="str">
        <f t="shared" si="15"/>
        <v>106_4428_4428</v>
      </c>
      <c r="N864" s="1" t="s">
        <v>2422</v>
      </c>
      <c r="O864" s="1">
        <v>0</v>
      </c>
      <c r="P864" s="1" t="s">
        <v>2059</v>
      </c>
      <c r="Q864" s="7" t="str">
        <f t="shared" si="12"/>
        <v>equipment/3017.png</v>
      </c>
      <c r="R864" s="1">
        <v>0</v>
      </c>
    </row>
    <row r="865" spans="1:18" ht="14.25" thickBot="1">
      <c r="A865" s="1">
        <v>20900020</v>
      </c>
      <c r="B865" s="3">
        <f t="shared" si="13"/>
        <v>1</v>
      </c>
      <c r="C865" s="1" t="s">
        <v>2745</v>
      </c>
      <c r="D865" s="1" t="s">
        <v>9</v>
      </c>
      <c r="E865" s="1">
        <v>2</v>
      </c>
      <c r="F865" s="1">
        <v>2</v>
      </c>
      <c r="G865" s="1">
        <v>90</v>
      </c>
      <c r="H865" s="10">
        <v>0</v>
      </c>
      <c r="I865" s="1">
        <f t="shared" si="14"/>
        <v>18800</v>
      </c>
      <c r="J865" s="1">
        <v>10</v>
      </c>
      <c r="K865" s="1">
        <v>0</v>
      </c>
      <c r="L865" s="1">
        <v>0</v>
      </c>
      <c r="M865" s="1" t="str">
        <f t="shared" si="15"/>
        <v>102_2150_2150</v>
      </c>
      <c r="N865" s="1" t="s">
        <v>2422</v>
      </c>
      <c r="O865" s="1">
        <v>0</v>
      </c>
      <c r="P865" s="1" t="s">
        <v>2059</v>
      </c>
      <c r="Q865" s="7" t="str">
        <f t="shared" si="12"/>
        <v>equipment/14015.png</v>
      </c>
      <c r="R865" s="1">
        <v>0</v>
      </c>
    </row>
    <row r="866" spans="1:18" ht="14.25" thickBot="1">
      <c r="A866" s="1">
        <v>20900030</v>
      </c>
      <c r="B866" s="3">
        <f t="shared" si="13"/>
        <v>1</v>
      </c>
      <c r="C866" s="1" t="s">
        <v>2746</v>
      </c>
      <c r="D866" s="1" t="s">
        <v>10</v>
      </c>
      <c r="E866" s="1">
        <v>3</v>
      </c>
      <c r="F866" s="1">
        <v>2</v>
      </c>
      <c r="G866" s="1">
        <v>90</v>
      </c>
      <c r="H866" s="10">
        <v>0</v>
      </c>
      <c r="I866" s="1">
        <f t="shared" si="14"/>
        <v>18800</v>
      </c>
      <c r="J866" s="1">
        <v>10</v>
      </c>
      <c r="K866" s="1">
        <v>0</v>
      </c>
      <c r="L866" s="1">
        <v>0</v>
      </c>
      <c r="M866" s="1" t="str">
        <f t="shared" si="15"/>
        <v>101_29800_29800</v>
      </c>
      <c r="N866" s="1" t="s">
        <v>2422</v>
      </c>
      <c r="O866" s="1">
        <v>0</v>
      </c>
      <c r="P866" s="1" t="s">
        <v>2059</v>
      </c>
      <c r="Q866" s="7" t="str">
        <f t="shared" si="12"/>
        <v>equipment/6016.png</v>
      </c>
      <c r="R866" s="1">
        <v>0</v>
      </c>
    </row>
    <row r="867" spans="1:18" ht="14.25" thickBot="1">
      <c r="A867" s="1">
        <v>20900080</v>
      </c>
      <c r="B867" s="3">
        <f t="shared" si="13"/>
        <v>1</v>
      </c>
      <c r="C867" s="1" t="s">
        <v>2747</v>
      </c>
      <c r="D867" s="1" t="s">
        <v>15</v>
      </c>
      <c r="E867" s="1">
        <v>8</v>
      </c>
      <c r="F867" s="1">
        <v>2</v>
      </c>
      <c r="G867" s="1">
        <v>90</v>
      </c>
      <c r="H867" s="10">
        <v>0</v>
      </c>
      <c r="I867" s="1">
        <f t="shared" si="14"/>
        <v>18800</v>
      </c>
      <c r="J867" s="1">
        <v>10</v>
      </c>
      <c r="K867" s="1">
        <v>0</v>
      </c>
      <c r="L867" s="1">
        <v>0</v>
      </c>
      <c r="M867" s="1" t="str">
        <f t="shared" si="15"/>
        <v>110_715_715</v>
      </c>
      <c r="N867" s="1" t="s">
        <v>2422</v>
      </c>
      <c r="O867" s="1">
        <v>0</v>
      </c>
      <c r="P867" s="1" t="s">
        <v>2059</v>
      </c>
      <c r="Q867" s="7" t="str">
        <f t="shared" si="12"/>
        <v>equipment/8017.png</v>
      </c>
      <c r="R867" s="1">
        <v>0</v>
      </c>
    </row>
    <row r="868" spans="1:18" ht="14.25" thickBot="1">
      <c r="A868" s="1">
        <v>20900090</v>
      </c>
      <c r="B868" s="3">
        <f t="shared" si="13"/>
        <v>1</v>
      </c>
      <c r="C868" s="1" t="s">
        <v>2748</v>
      </c>
      <c r="D868" s="1" t="s">
        <v>16</v>
      </c>
      <c r="E868" s="1">
        <v>9</v>
      </c>
      <c r="F868" s="1">
        <v>2</v>
      </c>
      <c r="G868" s="1">
        <v>90</v>
      </c>
      <c r="H868" s="10">
        <v>0</v>
      </c>
      <c r="I868" s="1">
        <f t="shared" si="14"/>
        <v>18800</v>
      </c>
      <c r="J868" s="1">
        <v>10</v>
      </c>
      <c r="K868" s="1">
        <v>0</v>
      </c>
      <c r="L868" s="1">
        <v>0</v>
      </c>
      <c r="M868" s="1" t="str">
        <f t="shared" si="15"/>
        <v>108_6155_6155</v>
      </c>
      <c r="N868" s="1" t="s">
        <v>2422</v>
      </c>
      <c r="O868" s="1">
        <v>0</v>
      </c>
      <c r="P868" s="1" t="s">
        <v>2059</v>
      </c>
      <c r="Q868" s="7" t="str">
        <f t="shared" si="12"/>
        <v>equipment/10017.png</v>
      </c>
      <c r="R868" s="1">
        <v>0</v>
      </c>
    </row>
    <row r="869" spans="1:18" ht="14.25" thickBot="1">
      <c r="A869" s="1">
        <v>20900100</v>
      </c>
      <c r="B869" s="3">
        <f t="shared" si="13"/>
        <v>1</v>
      </c>
      <c r="C869" s="1" t="s">
        <v>2749</v>
      </c>
      <c r="D869" s="1" t="s">
        <v>17</v>
      </c>
      <c r="E869" s="1">
        <v>10</v>
      </c>
      <c r="F869" s="1">
        <v>2</v>
      </c>
      <c r="G869" s="1">
        <v>90</v>
      </c>
      <c r="H869" s="10">
        <v>0</v>
      </c>
      <c r="I869" s="1">
        <f t="shared" si="14"/>
        <v>18800</v>
      </c>
      <c r="J869" s="1">
        <v>10</v>
      </c>
      <c r="K869" s="1">
        <v>0</v>
      </c>
      <c r="L869" s="1">
        <v>0</v>
      </c>
      <c r="M869" s="1" t="str">
        <f t="shared" si="15"/>
        <v>107_4428_4428</v>
      </c>
      <c r="N869" s="1" t="s">
        <v>2422</v>
      </c>
      <c r="O869" s="1">
        <v>0</v>
      </c>
      <c r="P869" s="1" t="s">
        <v>2059</v>
      </c>
      <c r="Q869" s="7" t="str">
        <f t="shared" si="12"/>
        <v>equipment/12017.png</v>
      </c>
      <c r="R869" s="1">
        <v>0</v>
      </c>
    </row>
    <row r="870" spans="1:18" ht="14.25" thickBot="1">
      <c r="A870" s="1">
        <v>20901050</v>
      </c>
      <c r="B870" s="3">
        <f t="shared" si="13"/>
        <v>1</v>
      </c>
      <c r="C870" s="9" t="s">
        <v>2751</v>
      </c>
      <c r="D870" s="1" t="s">
        <v>12</v>
      </c>
      <c r="E870" s="1">
        <v>5</v>
      </c>
      <c r="F870" s="1">
        <v>2</v>
      </c>
      <c r="G870" s="1">
        <v>90</v>
      </c>
      <c r="H870" s="10" t="s">
        <v>2120</v>
      </c>
      <c r="I870" s="1">
        <f t="shared" si="14"/>
        <v>18800</v>
      </c>
      <c r="J870" s="1">
        <v>10</v>
      </c>
      <c r="K870" s="1">
        <v>0</v>
      </c>
      <c r="L870" s="1">
        <v>0</v>
      </c>
      <c r="M870" s="1" t="str">
        <f t="shared" si="15"/>
        <v>103_5471_5471,104_10942_10942</v>
      </c>
      <c r="N870" s="1" t="s">
        <v>2423</v>
      </c>
      <c r="O870" s="1">
        <v>0</v>
      </c>
      <c r="P870" s="1" t="s">
        <v>2059</v>
      </c>
      <c r="Q870" s="7" t="str">
        <f t="shared" si="12"/>
        <v>equipment/101101.png</v>
      </c>
      <c r="R870" s="1">
        <v>0</v>
      </c>
    </row>
    <row r="871" spans="1:18" ht="14.25" thickBot="1">
      <c r="A871" s="1">
        <v>20901051</v>
      </c>
      <c r="B871" s="3">
        <f t="shared" si="13"/>
        <v>0</v>
      </c>
      <c r="C871" s="9" t="s">
        <v>2750</v>
      </c>
      <c r="D871" s="1" t="s">
        <v>12</v>
      </c>
      <c r="E871" s="1">
        <v>5</v>
      </c>
      <c r="F871" s="1">
        <v>2</v>
      </c>
      <c r="G871" s="1">
        <v>90</v>
      </c>
      <c r="H871" s="10" t="s">
        <v>2120</v>
      </c>
      <c r="I871" s="1">
        <f t="shared" si="14"/>
        <v>19400</v>
      </c>
      <c r="J871" s="1">
        <v>10</v>
      </c>
      <c r="K871" s="1">
        <v>0</v>
      </c>
      <c r="L871" s="1">
        <v>0</v>
      </c>
      <c r="M871" s="1" t="str">
        <f t="shared" si="15"/>
        <v>103_5719_5719,104_11438_11438</v>
      </c>
      <c r="N871" s="1" t="s">
        <v>2423</v>
      </c>
      <c r="O871" s="1">
        <v>0</v>
      </c>
      <c r="P871" s="1" t="s">
        <v>2059</v>
      </c>
      <c r="Q871" s="7" t="str">
        <f t="shared" si="12"/>
        <v>equipment/1131.png</v>
      </c>
      <c r="R871" s="1">
        <v>0</v>
      </c>
    </row>
    <row r="872" spans="1:18" ht="14.25" thickBot="1">
      <c r="A872" s="1">
        <v>20901060</v>
      </c>
      <c r="B872" s="3">
        <f t="shared" si="13"/>
        <v>1</v>
      </c>
      <c r="C872" s="9" t="s">
        <v>2752</v>
      </c>
      <c r="D872" s="1" t="s">
        <v>13</v>
      </c>
      <c r="E872" s="1">
        <v>6</v>
      </c>
      <c r="F872" s="1">
        <v>2</v>
      </c>
      <c r="G872" s="1">
        <v>90</v>
      </c>
      <c r="H872" s="10" t="s">
        <v>2120</v>
      </c>
      <c r="I872" s="1">
        <f t="shared" si="14"/>
        <v>18800</v>
      </c>
      <c r="J872" s="1">
        <v>10</v>
      </c>
      <c r="K872" s="1">
        <v>0</v>
      </c>
      <c r="L872" s="1">
        <v>0</v>
      </c>
      <c r="M872" s="1" t="str">
        <f t="shared" si="15"/>
        <v>105_4924_4924</v>
      </c>
      <c r="N872" s="1" t="s">
        <v>2423</v>
      </c>
      <c r="O872" s="1">
        <v>0</v>
      </c>
      <c r="P872" s="1" t="s">
        <v>2059</v>
      </c>
      <c r="Q872" s="7" t="str">
        <f t="shared" si="12"/>
        <v>equipment/2125.png</v>
      </c>
      <c r="R872" s="1">
        <v>0</v>
      </c>
    </row>
    <row r="873" spans="1:18" ht="14.25" thickBot="1">
      <c r="A873" s="1">
        <v>20901061</v>
      </c>
      <c r="B873" s="3">
        <f t="shared" si="13"/>
        <v>0</v>
      </c>
      <c r="C873" s="9" t="s">
        <v>2753</v>
      </c>
      <c r="D873" s="1" t="s">
        <v>13</v>
      </c>
      <c r="E873" s="1">
        <v>6</v>
      </c>
      <c r="F873" s="1">
        <v>2</v>
      </c>
      <c r="G873" s="1">
        <v>90</v>
      </c>
      <c r="H873" s="10" t="s">
        <v>2120</v>
      </c>
      <c r="I873" s="1">
        <f t="shared" si="14"/>
        <v>19400</v>
      </c>
      <c r="J873" s="1">
        <v>10</v>
      </c>
      <c r="K873" s="1">
        <v>0</v>
      </c>
      <c r="L873" s="1">
        <v>0</v>
      </c>
      <c r="M873" s="1" t="str">
        <f t="shared" si="15"/>
        <v>105_5147_5147</v>
      </c>
      <c r="N873" s="1" t="s">
        <v>2423</v>
      </c>
      <c r="O873" s="1">
        <v>0</v>
      </c>
      <c r="P873" s="1" t="s">
        <v>2059</v>
      </c>
      <c r="Q873" s="7" t="str">
        <f t="shared" si="12"/>
        <v>equipment/102101.png</v>
      </c>
      <c r="R873" s="1">
        <v>0</v>
      </c>
    </row>
    <row r="874" spans="1:18" ht="14.25" thickBot="1">
      <c r="A874" s="1">
        <v>20902050</v>
      </c>
      <c r="B874" s="3">
        <f t="shared" si="13"/>
        <v>1</v>
      </c>
      <c r="C874" s="1" t="s">
        <v>2754</v>
      </c>
      <c r="D874" s="1" t="s">
        <v>12</v>
      </c>
      <c r="E874" s="1">
        <v>5</v>
      </c>
      <c r="F874" s="1">
        <v>2</v>
      </c>
      <c r="G874" s="1">
        <v>90</v>
      </c>
      <c r="H874" s="10" t="s">
        <v>2121</v>
      </c>
      <c r="I874" s="1">
        <f t="shared" si="14"/>
        <v>18800</v>
      </c>
      <c r="J874" s="1">
        <v>10</v>
      </c>
      <c r="K874" s="1">
        <v>0</v>
      </c>
      <c r="L874" s="1">
        <v>0</v>
      </c>
      <c r="M874" s="1" t="str">
        <f t="shared" si="15"/>
        <v>103_5471_5471,104_10942_10942</v>
      </c>
      <c r="N874" s="1" t="s">
        <v>2423</v>
      </c>
      <c r="O874" s="1">
        <v>0</v>
      </c>
      <c r="P874" s="1" t="s">
        <v>2059</v>
      </c>
      <c r="Q874" s="7" t="str">
        <f t="shared" si="12"/>
        <v>equipment/1231.png</v>
      </c>
      <c r="R874" s="1">
        <v>0</v>
      </c>
    </row>
    <row r="875" spans="1:18" ht="14.25" thickBot="1">
      <c r="A875" s="1">
        <v>20902051</v>
      </c>
      <c r="B875" s="3">
        <f t="shared" si="13"/>
        <v>0</v>
      </c>
      <c r="C875" s="9" t="s">
        <v>2755</v>
      </c>
      <c r="D875" s="1" t="s">
        <v>12</v>
      </c>
      <c r="E875" s="1">
        <v>5</v>
      </c>
      <c r="F875" s="1">
        <v>2</v>
      </c>
      <c r="G875" s="1">
        <v>90</v>
      </c>
      <c r="H875" s="10" t="s">
        <v>2121</v>
      </c>
      <c r="I875" s="1">
        <f t="shared" si="14"/>
        <v>19400</v>
      </c>
      <c r="J875" s="1">
        <v>10</v>
      </c>
      <c r="K875" s="1">
        <v>0</v>
      </c>
      <c r="L875" s="1">
        <v>0</v>
      </c>
      <c r="M875" s="1" t="str">
        <f t="shared" si="15"/>
        <v>103_5719_5719,104_11438_11438</v>
      </c>
      <c r="N875" s="1" t="s">
        <v>2423</v>
      </c>
      <c r="O875" s="1">
        <v>0</v>
      </c>
      <c r="P875" s="1" t="s">
        <v>2059</v>
      </c>
      <c r="Q875" s="7" t="str">
        <f t="shared" si="12"/>
        <v>equipment/101201.png</v>
      </c>
      <c r="R875" s="1">
        <v>0</v>
      </c>
    </row>
    <row r="876" spans="1:18" ht="14.25" thickBot="1">
      <c r="A876" s="1">
        <v>20902060</v>
      </c>
      <c r="B876" s="3">
        <f t="shared" si="13"/>
        <v>1</v>
      </c>
      <c r="C876" s="9" t="s">
        <v>2756</v>
      </c>
      <c r="D876" s="1" t="s">
        <v>13</v>
      </c>
      <c r="E876" s="1">
        <v>6</v>
      </c>
      <c r="F876" s="1">
        <v>2</v>
      </c>
      <c r="G876" s="1">
        <v>90</v>
      </c>
      <c r="H876" s="10" t="s">
        <v>2121</v>
      </c>
      <c r="I876" s="1">
        <f t="shared" si="14"/>
        <v>18800</v>
      </c>
      <c r="J876" s="1">
        <v>10</v>
      </c>
      <c r="K876" s="1">
        <v>0</v>
      </c>
      <c r="L876" s="1">
        <v>0</v>
      </c>
      <c r="M876" s="1" t="str">
        <f t="shared" si="15"/>
        <v>108_4924_4924</v>
      </c>
      <c r="N876" s="1" t="s">
        <v>2423</v>
      </c>
      <c r="O876" s="1">
        <v>0</v>
      </c>
      <c r="P876" s="1" t="s">
        <v>2059</v>
      </c>
      <c r="Q876" s="7" t="str">
        <f t="shared" si="12"/>
        <v>equipment/2225.png</v>
      </c>
      <c r="R876" s="1">
        <v>0</v>
      </c>
    </row>
    <row r="877" spans="1:18" ht="14.25" thickBot="1">
      <c r="A877" s="1">
        <v>20902061</v>
      </c>
      <c r="B877" s="3">
        <f t="shared" si="13"/>
        <v>0</v>
      </c>
      <c r="C877" s="9" t="s">
        <v>2757</v>
      </c>
      <c r="D877" s="1" t="s">
        <v>13</v>
      </c>
      <c r="E877" s="1">
        <v>6</v>
      </c>
      <c r="F877" s="1">
        <v>2</v>
      </c>
      <c r="G877" s="1">
        <v>90</v>
      </c>
      <c r="H877" s="10" t="s">
        <v>2121</v>
      </c>
      <c r="I877" s="1">
        <f t="shared" si="14"/>
        <v>19400</v>
      </c>
      <c r="J877" s="1">
        <v>10</v>
      </c>
      <c r="K877" s="1">
        <v>0</v>
      </c>
      <c r="L877" s="1">
        <v>0</v>
      </c>
      <c r="M877" s="1" t="str">
        <f t="shared" si="15"/>
        <v>108_5147_5147</v>
      </c>
      <c r="N877" s="1" t="s">
        <v>2423</v>
      </c>
      <c r="O877" s="1">
        <v>0</v>
      </c>
      <c r="P877" s="1" t="s">
        <v>2059</v>
      </c>
      <c r="Q877" s="7" t="str">
        <f t="shared" si="12"/>
        <v>equipment/2217.png</v>
      </c>
      <c r="R877" s="1">
        <v>0</v>
      </c>
    </row>
    <row r="878" spans="1:18" ht="14.25" thickBot="1">
      <c r="A878" s="1">
        <v>20903050</v>
      </c>
      <c r="B878" s="3">
        <f t="shared" si="13"/>
        <v>1</v>
      </c>
      <c r="C878" s="9" t="s">
        <v>2758</v>
      </c>
      <c r="D878" s="1" t="s">
        <v>12</v>
      </c>
      <c r="E878" s="1">
        <v>5</v>
      </c>
      <c r="F878" s="1">
        <v>2</v>
      </c>
      <c r="G878" s="1">
        <v>90</v>
      </c>
      <c r="H878" s="10" t="s">
        <v>2122</v>
      </c>
      <c r="I878" s="1">
        <f t="shared" si="14"/>
        <v>18800</v>
      </c>
      <c r="J878" s="1">
        <v>10</v>
      </c>
      <c r="K878" s="1">
        <v>0</v>
      </c>
      <c r="L878" s="1">
        <v>0</v>
      </c>
      <c r="M878" s="1" t="str">
        <f t="shared" si="15"/>
        <v>103_5471_5471,104_10942_10942</v>
      </c>
      <c r="N878" s="1" t="s">
        <v>2423</v>
      </c>
      <c r="O878" s="1">
        <v>0</v>
      </c>
      <c r="P878" s="1" t="s">
        <v>2059</v>
      </c>
      <c r="Q878" s="7" t="str">
        <f t="shared" si="12"/>
        <v>equipment/1330.png</v>
      </c>
      <c r="R878" s="1">
        <v>0</v>
      </c>
    </row>
    <row r="879" spans="1:18" ht="14.25" thickBot="1">
      <c r="A879" s="1">
        <v>20903051</v>
      </c>
      <c r="B879" s="3">
        <f t="shared" si="13"/>
        <v>0</v>
      </c>
      <c r="C879" s="9" t="s">
        <v>2759</v>
      </c>
      <c r="D879" s="1" t="s">
        <v>12</v>
      </c>
      <c r="E879" s="1">
        <v>5</v>
      </c>
      <c r="F879" s="1">
        <v>2</v>
      </c>
      <c r="G879" s="1">
        <v>90</v>
      </c>
      <c r="H879" s="10" t="s">
        <v>2122</v>
      </c>
      <c r="I879" s="1">
        <f t="shared" si="14"/>
        <v>19400</v>
      </c>
      <c r="J879" s="1">
        <v>10</v>
      </c>
      <c r="K879" s="1">
        <v>0</v>
      </c>
      <c r="L879" s="1">
        <v>0</v>
      </c>
      <c r="M879" s="1" t="str">
        <f t="shared" si="15"/>
        <v>103_5719_5719,104_11438_11438</v>
      </c>
      <c r="N879" s="1" t="s">
        <v>2423</v>
      </c>
      <c r="O879" s="1">
        <v>0</v>
      </c>
      <c r="P879" s="1" t="s">
        <v>2059</v>
      </c>
      <c r="Q879" s="7" t="str">
        <f t="shared" si="12"/>
        <v>equipment/1328.png</v>
      </c>
      <c r="R879" s="1">
        <v>0</v>
      </c>
    </row>
    <row r="880" spans="1:18" ht="14.25" thickBot="1">
      <c r="A880" s="1">
        <v>20903060</v>
      </c>
      <c r="B880" s="3">
        <f t="shared" si="13"/>
        <v>1</v>
      </c>
      <c r="C880" s="9" t="s">
        <v>2760</v>
      </c>
      <c r="D880" s="1" t="s">
        <v>13</v>
      </c>
      <c r="E880" s="1">
        <v>6</v>
      </c>
      <c r="F880" s="1">
        <v>2</v>
      </c>
      <c r="G880" s="1">
        <v>90</v>
      </c>
      <c r="H880" s="10" t="s">
        <v>2122</v>
      </c>
      <c r="I880" s="1">
        <f t="shared" si="14"/>
        <v>18800</v>
      </c>
      <c r="J880" s="1">
        <v>10</v>
      </c>
      <c r="K880" s="1">
        <v>0</v>
      </c>
      <c r="L880" s="1">
        <v>0</v>
      </c>
      <c r="M880" s="1" t="str">
        <f t="shared" si="15"/>
        <v>102_4040_4040</v>
      </c>
      <c r="N880" s="1" t="s">
        <v>2423</v>
      </c>
      <c r="O880" s="1">
        <v>0</v>
      </c>
      <c r="P880" s="1" t="s">
        <v>2059</v>
      </c>
      <c r="Q880" s="7" t="str">
        <f t="shared" si="12"/>
        <v>equipment/2325.png</v>
      </c>
      <c r="R880" s="1">
        <v>0</v>
      </c>
    </row>
    <row r="881" spans="1:18" ht="14.25" thickBot="1">
      <c r="A881" s="1">
        <v>20903061</v>
      </c>
      <c r="B881" s="3">
        <f t="shared" si="13"/>
        <v>0</v>
      </c>
      <c r="C881" s="9" t="s">
        <v>2673</v>
      </c>
      <c r="D881" s="1" t="s">
        <v>13</v>
      </c>
      <c r="E881" s="1">
        <v>6</v>
      </c>
      <c r="F881" s="1">
        <v>2</v>
      </c>
      <c r="G881" s="1">
        <v>90</v>
      </c>
      <c r="H881" s="10" t="s">
        <v>2122</v>
      </c>
      <c r="I881" s="1">
        <f t="shared" si="14"/>
        <v>19400</v>
      </c>
      <c r="J881" s="1">
        <v>10</v>
      </c>
      <c r="K881" s="1">
        <v>0</v>
      </c>
      <c r="L881" s="1">
        <v>0</v>
      </c>
      <c r="M881" s="1" t="str">
        <f t="shared" si="15"/>
        <v>102_4140_4140</v>
      </c>
      <c r="N881" s="1" t="s">
        <v>2423</v>
      </c>
      <c r="O881" s="1">
        <v>0</v>
      </c>
      <c r="P881" s="1" t="s">
        <v>2059</v>
      </c>
      <c r="Q881" s="7" t="str">
        <f t="shared" si="12"/>
        <v>equipment/2324.png</v>
      </c>
      <c r="R881" s="1">
        <v>0</v>
      </c>
    </row>
    <row r="882" spans="1:18" ht="14.25" thickBot="1">
      <c r="A882" s="1">
        <v>20900040</v>
      </c>
      <c r="B882" s="3">
        <f t="shared" si="13"/>
        <v>1</v>
      </c>
      <c r="C882" s="1" t="s">
        <v>2761</v>
      </c>
      <c r="D882" s="1" t="s">
        <v>11</v>
      </c>
      <c r="E882" s="1">
        <v>4</v>
      </c>
      <c r="F882" s="1">
        <v>2</v>
      </c>
      <c r="G882" s="1">
        <v>90</v>
      </c>
      <c r="H882" s="10">
        <v>0</v>
      </c>
      <c r="I882" s="1">
        <f t="shared" si="14"/>
        <v>18800</v>
      </c>
      <c r="J882" s="1">
        <v>10</v>
      </c>
      <c r="K882" s="1">
        <v>0</v>
      </c>
      <c r="L882" s="1">
        <v>0</v>
      </c>
      <c r="M882" s="1" t="str">
        <f t="shared" si="15"/>
        <v>105_3447_3447</v>
      </c>
      <c r="N882" s="1" t="s">
        <v>2422</v>
      </c>
      <c r="O882" s="1">
        <v>0</v>
      </c>
      <c r="P882" s="1" t="s">
        <v>2059</v>
      </c>
      <c r="Q882" s="7" t="str">
        <f t="shared" si="12"/>
        <v>equipment/5024.png</v>
      </c>
      <c r="R882" s="1">
        <v>0</v>
      </c>
    </row>
    <row r="883" spans="1:18" ht="14.25" thickBot="1">
      <c r="A883" s="1">
        <v>20900041</v>
      </c>
      <c r="B883" s="3">
        <f t="shared" si="13"/>
        <v>0</v>
      </c>
      <c r="C883" s="1" t="s">
        <v>2762</v>
      </c>
      <c r="D883" s="1" t="s">
        <v>11</v>
      </c>
      <c r="E883" s="1">
        <v>4</v>
      </c>
      <c r="F883" s="1">
        <v>2</v>
      </c>
      <c r="G883" s="1">
        <v>90</v>
      </c>
      <c r="H883" s="10">
        <v>0</v>
      </c>
      <c r="I883" s="1">
        <f t="shared" si="14"/>
        <v>19400</v>
      </c>
      <c r="J883" s="1">
        <v>10</v>
      </c>
      <c r="K883" s="1">
        <v>0</v>
      </c>
      <c r="L883" s="1">
        <v>0</v>
      </c>
      <c r="M883" s="1" t="str">
        <f t="shared" si="15"/>
        <v>105_3603_3603</v>
      </c>
      <c r="N883" s="1" t="s">
        <v>2422</v>
      </c>
      <c r="O883" s="1">
        <v>0</v>
      </c>
      <c r="P883" s="1" t="s">
        <v>2059</v>
      </c>
      <c r="Q883" s="7" t="str">
        <f t="shared" si="12"/>
        <v>equipment/5001.png</v>
      </c>
      <c r="R883" s="1">
        <v>0</v>
      </c>
    </row>
    <row r="884" spans="1:18" ht="14.25" thickBot="1">
      <c r="A884" s="1">
        <v>20900070</v>
      </c>
      <c r="B884" s="3">
        <f t="shared" si="13"/>
        <v>1</v>
      </c>
      <c r="C884" s="1" t="s">
        <v>2763</v>
      </c>
      <c r="D884" s="1" t="s">
        <v>14</v>
      </c>
      <c r="E884" s="1">
        <v>7</v>
      </c>
      <c r="F884" s="1">
        <v>2</v>
      </c>
      <c r="G884" s="1">
        <v>90</v>
      </c>
      <c r="H884" s="10">
        <v>0</v>
      </c>
      <c r="I884" s="1">
        <f t="shared" si="14"/>
        <v>18800</v>
      </c>
      <c r="J884" s="1">
        <v>10</v>
      </c>
      <c r="K884" s="1">
        <v>0</v>
      </c>
      <c r="L884" s="1">
        <v>0</v>
      </c>
      <c r="M884" s="1" t="str">
        <f t="shared" si="15"/>
        <v>105_3447_3447</v>
      </c>
      <c r="N884" s="1" t="s">
        <v>2422</v>
      </c>
      <c r="O884" s="1">
        <v>0</v>
      </c>
      <c r="P884" s="1" t="s">
        <v>2059</v>
      </c>
      <c r="Q884" s="7" t="str">
        <f t="shared" si="12"/>
        <v>equipment/7016.png</v>
      </c>
      <c r="R884" s="1">
        <v>0</v>
      </c>
    </row>
    <row r="885" spans="1:18" ht="14.25" thickBot="1">
      <c r="A885" s="1">
        <v>20900071</v>
      </c>
      <c r="B885" s="3">
        <f t="shared" si="13"/>
        <v>0</v>
      </c>
      <c r="C885" s="1" t="s">
        <v>2764</v>
      </c>
      <c r="D885" s="1" t="s">
        <v>14</v>
      </c>
      <c r="E885" s="1">
        <v>7</v>
      </c>
      <c r="F885" s="1">
        <v>2</v>
      </c>
      <c r="G885" s="1">
        <v>90</v>
      </c>
      <c r="H885" s="10">
        <v>0</v>
      </c>
      <c r="I885" s="1">
        <f t="shared" si="14"/>
        <v>19400</v>
      </c>
      <c r="J885" s="1">
        <v>10</v>
      </c>
      <c r="K885" s="1">
        <v>0</v>
      </c>
      <c r="L885" s="1">
        <v>0</v>
      </c>
      <c r="M885" s="1" t="str">
        <f t="shared" si="15"/>
        <v>105_3603_3603</v>
      </c>
      <c r="N885" s="1" t="s">
        <v>2422</v>
      </c>
      <c r="O885" s="1">
        <v>0</v>
      </c>
      <c r="P885" s="1" t="s">
        <v>2059</v>
      </c>
      <c r="Q885" s="7" t="str">
        <f t="shared" si="12"/>
        <v>equipment/7001.png</v>
      </c>
      <c r="R885" s="1">
        <v>0</v>
      </c>
    </row>
    <row r="886" spans="1:18" ht="14.25" thickBot="1">
      <c r="A886" s="1">
        <v>20950010</v>
      </c>
      <c r="B886" s="3">
        <f t="shared" si="13"/>
        <v>1</v>
      </c>
      <c r="C886" s="1" t="s">
        <v>2765</v>
      </c>
      <c r="D886" s="1" t="s">
        <v>8</v>
      </c>
      <c r="E886" s="1">
        <v>1</v>
      </c>
      <c r="F886" s="1">
        <v>2</v>
      </c>
      <c r="G886" s="1">
        <v>95</v>
      </c>
      <c r="H886" s="10">
        <v>0</v>
      </c>
      <c r="I886" s="1">
        <f t="shared" si="14"/>
        <v>20000</v>
      </c>
      <c r="J886" s="1">
        <v>10</v>
      </c>
      <c r="K886" s="1">
        <v>0</v>
      </c>
      <c r="L886" s="1">
        <v>0</v>
      </c>
      <c r="M886" s="1" t="str">
        <f t="shared" si="15"/>
        <v>106_5346_5346</v>
      </c>
      <c r="N886" s="1" t="s">
        <v>2424</v>
      </c>
      <c r="O886" s="1">
        <v>0</v>
      </c>
      <c r="P886" s="1" t="s">
        <v>2059</v>
      </c>
      <c r="Q886" s="7" t="str">
        <f t="shared" si="12"/>
        <v>equipment/3001.png</v>
      </c>
      <c r="R886" s="1">
        <v>0</v>
      </c>
    </row>
    <row r="887" spans="1:18" ht="14.25" thickBot="1">
      <c r="A887" s="1">
        <v>20950020</v>
      </c>
      <c r="B887" s="3">
        <f t="shared" si="13"/>
        <v>1</v>
      </c>
      <c r="C887" s="1" t="s">
        <v>2766</v>
      </c>
      <c r="D887" s="1" t="s">
        <v>9</v>
      </c>
      <c r="E887" s="1">
        <v>2</v>
      </c>
      <c r="F887" s="1">
        <v>2</v>
      </c>
      <c r="G887" s="1">
        <v>95</v>
      </c>
      <c r="H887" s="10">
        <v>0</v>
      </c>
      <c r="I887" s="1">
        <f t="shared" si="14"/>
        <v>20000</v>
      </c>
      <c r="J887" s="1">
        <v>10</v>
      </c>
      <c r="K887" s="1">
        <v>0</v>
      </c>
      <c r="L887" s="1">
        <v>0</v>
      </c>
      <c r="M887" s="1" t="str">
        <f t="shared" si="15"/>
        <v>102_2240_2240</v>
      </c>
      <c r="N887" s="1" t="s">
        <v>2424</v>
      </c>
      <c r="O887" s="1">
        <v>0</v>
      </c>
      <c r="P887" s="1" t="s">
        <v>2059</v>
      </c>
      <c r="Q887" s="7" t="str">
        <f t="shared" si="12"/>
        <v>equipment/14001.png</v>
      </c>
      <c r="R887" s="1">
        <v>0</v>
      </c>
    </row>
    <row r="888" spans="1:18" ht="14.25" thickBot="1">
      <c r="A888" s="1">
        <v>20950030</v>
      </c>
      <c r="B888" s="3">
        <f t="shared" si="13"/>
        <v>1</v>
      </c>
      <c r="C888" s="1" t="s">
        <v>2767</v>
      </c>
      <c r="D888" s="1" t="s">
        <v>10</v>
      </c>
      <c r="E888" s="1">
        <v>3</v>
      </c>
      <c r="F888" s="1">
        <v>2</v>
      </c>
      <c r="G888" s="1">
        <v>95</v>
      </c>
      <c r="H888" s="10">
        <v>0</v>
      </c>
      <c r="I888" s="1">
        <f t="shared" si="14"/>
        <v>20000</v>
      </c>
      <c r="J888" s="1">
        <v>10</v>
      </c>
      <c r="K888" s="1">
        <v>0</v>
      </c>
      <c r="L888" s="1">
        <v>0</v>
      </c>
      <c r="M888" s="1" t="str">
        <f t="shared" si="15"/>
        <v>101_32760_32760</v>
      </c>
      <c r="N888" s="1" t="s">
        <v>2424</v>
      </c>
      <c r="O888" s="1">
        <v>0</v>
      </c>
      <c r="P888" s="1" t="s">
        <v>2059</v>
      </c>
      <c r="Q888" s="7" t="str">
        <f t="shared" si="12"/>
        <v>equipment/6001.png</v>
      </c>
      <c r="R888" s="1">
        <v>0</v>
      </c>
    </row>
    <row r="889" spans="1:18" ht="14.25" thickBot="1">
      <c r="A889" s="1">
        <v>20950080</v>
      </c>
      <c r="B889" s="3">
        <f t="shared" si="13"/>
        <v>1</v>
      </c>
      <c r="C889" s="1" t="s">
        <v>2768</v>
      </c>
      <c r="D889" s="1" t="s">
        <v>15</v>
      </c>
      <c r="E889" s="1">
        <v>8</v>
      </c>
      <c r="F889" s="1">
        <v>2</v>
      </c>
      <c r="G889" s="1">
        <v>95</v>
      </c>
      <c r="H889" s="10">
        <v>0</v>
      </c>
      <c r="I889" s="1">
        <f t="shared" si="14"/>
        <v>20000</v>
      </c>
      <c r="J889" s="1">
        <v>10</v>
      </c>
      <c r="K889" s="1">
        <v>0</v>
      </c>
      <c r="L889" s="1">
        <v>0</v>
      </c>
      <c r="M889" s="1" t="str">
        <f t="shared" si="15"/>
        <v>110_786_786</v>
      </c>
      <c r="N889" s="1" t="s">
        <v>2424</v>
      </c>
      <c r="O889" s="1">
        <v>0</v>
      </c>
      <c r="P889" s="1" t="s">
        <v>2059</v>
      </c>
      <c r="Q889" s="7" t="str">
        <f t="shared" si="12"/>
        <v>equipment/8001.png</v>
      </c>
      <c r="R889" s="1">
        <v>0</v>
      </c>
    </row>
    <row r="890" spans="1:18" ht="14.25" thickBot="1">
      <c r="A890" s="1">
        <v>20950090</v>
      </c>
      <c r="B890" s="3">
        <f t="shared" si="13"/>
        <v>1</v>
      </c>
      <c r="C890" s="1" t="s">
        <v>2769</v>
      </c>
      <c r="D890" s="1" t="s">
        <v>16</v>
      </c>
      <c r="E890" s="1">
        <v>9</v>
      </c>
      <c r="F890" s="1">
        <v>2</v>
      </c>
      <c r="G890" s="1">
        <v>95</v>
      </c>
      <c r="H890" s="10">
        <v>0</v>
      </c>
      <c r="I890" s="1">
        <f t="shared" si="14"/>
        <v>20000</v>
      </c>
      <c r="J890" s="1">
        <v>10</v>
      </c>
      <c r="K890" s="1">
        <v>0</v>
      </c>
      <c r="L890" s="1">
        <v>0</v>
      </c>
      <c r="M890" s="1" t="str">
        <f t="shared" si="15"/>
        <v>108_6853_6853</v>
      </c>
      <c r="N890" s="1" t="s">
        <v>2424</v>
      </c>
      <c r="O890" s="1">
        <v>0</v>
      </c>
      <c r="P890" s="1" t="s">
        <v>2059</v>
      </c>
      <c r="Q890" s="7" t="str">
        <f t="shared" si="12"/>
        <v>equipment/10001.png</v>
      </c>
      <c r="R890" s="1">
        <v>0</v>
      </c>
    </row>
    <row r="891" spans="1:18" ht="14.25" thickBot="1">
      <c r="A891" s="1">
        <v>20950100</v>
      </c>
      <c r="B891" s="3">
        <f t="shared" si="13"/>
        <v>1</v>
      </c>
      <c r="C891" s="1" t="s">
        <v>2770</v>
      </c>
      <c r="D891" s="1" t="s">
        <v>17</v>
      </c>
      <c r="E891" s="1">
        <v>10</v>
      </c>
      <c r="F891" s="1">
        <v>2</v>
      </c>
      <c r="G891" s="1">
        <v>95</v>
      </c>
      <c r="H891" s="10">
        <v>0</v>
      </c>
      <c r="I891" s="1">
        <f t="shared" si="14"/>
        <v>20000</v>
      </c>
      <c r="J891" s="1">
        <v>10</v>
      </c>
      <c r="K891" s="1">
        <v>0</v>
      </c>
      <c r="L891" s="1">
        <v>0</v>
      </c>
      <c r="M891" s="1" t="str">
        <f t="shared" si="15"/>
        <v>107_5346_5346</v>
      </c>
      <c r="N891" s="1" t="s">
        <v>2424</v>
      </c>
      <c r="O891" s="1">
        <v>0</v>
      </c>
      <c r="P891" s="1" t="s">
        <v>2059</v>
      </c>
      <c r="Q891" s="7" t="str">
        <f t="shared" si="12"/>
        <v>equipment/12001.png</v>
      </c>
      <c r="R891" s="1">
        <v>0</v>
      </c>
    </row>
    <row r="892" spans="1:18" ht="14.25" thickBot="1">
      <c r="A892" s="1">
        <v>20951050</v>
      </c>
      <c r="B892" s="3">
        <f t="shared" si="13"/>
        <v>1</v>
      </c>
      <c r="C892" s="9" t="s">
        <v>2771</v>
      </c>
      <c r="D892" s="1" t="s">
        <v>12</v>
      </c>
      <c r="E892" s="1">
        <v>5</v>
      </c>
      <c r="F892" s="1">
        <v>2</v>
      </c>
      <c r="G892" s="1">
        <v>95</v>
      </c>
      <c r="H892" s="10" t="s">
        <v>2120</v>
      </c>
      <c r="I892" s="1">
        <f t="shared" si="14"/>
        <v>20000</v>
      </c>
      <c r="J892" s="1">
        <v>10</v>
      </c>
      <c r="K892" s="1">
        <v>0</v>
      </c>
      <c r="L892" s="1">
        <v>0</v>
      </c>
      <c r="M892" s="1" t="str">
        <f t="shared" si="15"/>
        <v>103_6091_6091,104_12182_12182</v>
      </c>
      <c r="N892" s="1" t="s">
        <v>2425</v>
      </c>
      <c r="O892" s="1">
        <v>0</v>
      </c>
      <c r="P892" s="1" t="s">
        <v>2059</v>
      </c>
      <c r="Q892" s="7" t="str">
        <f t="shared" si="12"/>
        <v>equipment/1124.png</v>
      </c>
      <c r="R892" s="1">
        <v>0</v>
      </c>
    </row>
    <row r="893" spans="1:18" ht="14.25" thickBot="1">
      <c r="A893" s="1">
        <v>20951051</v>
      </c>
      <c r="B893" s="3">
        <f t="shared" si="13"/>
        <v>0</v>
      </c>
      <c r="C893" s="9" t="s">
        <v>2772</v>
      </c>
      <c r="D893" s="1" t="s">
        <v>12</v>
      </c>
      <c r="E893" s="1">
        <v>5</v>
      </c>
      <c r="F893" s="1">
        <v>2</v>
      </c>
      <c r="G893" s="1">
        <v>95</v>
      </c>
      <c r="H893" s="10" t="s">
        <v>2120</v>
      </c>
      <c r="I893" s="1">
        <f t="shared" si="14"/>
        <v>20600</v>
      </c>
      <c r="J893" s="1">
        <v>10</v>
      </c>
      <c r="K893" s="1">
        <v>0</v>
      </c>
      <c r="L893" s="1">
        <v>0</v>
      </c>
      <c r="M893" s="1" t="str">
        <f t="shared" si="15"/>
        <v>103_6352_6352,104_12705_12705</v>
      </c>
      <c r="N893" s="1" t="s">
        <v>2425</v>
      </c>
      <c r="O893" s="1">
        <v>0</v>
      </c>
      <c r="P893" s="1" t="s">
        <v>2059</v>
      </c>
      <c r="Q893" s="7" t="str">
        <f t="shared" si="12"/>
        <v>equipment/1101.png</v>
      </c>
      <c r="R893" s="1">
        <v>0</v>
      </c>
    </row>
    <row r="894" spans="1:18" ht="14.25" thickBot="1">
      <c r="A894" s="1">
        <v>20951060</v>
      </c>
      <c r="B894" s="3">
        <f t="shared" si="13"/>
        <v>1</v>
      </c>
      <c r="C894" s="9" t="s">
        <v>2773</v>
      </c>
      <c r="D894" s="1" t="s">
        <v>13</v>
      </c>
      <c r="E894" s="1">
        <v>6</v>
      </c>
      <c r="F894" s="1">
        <v>2</v>
      </c>
      <c r="G894" s="1">
        <v>95</v>
      </c>
      <c r="H894" s="10" t="s">
        <v>2120</v>
      </c>
      <c r="I894" s="1">
        <f t="shared" si="14"/>
        <v>20000</v>
      </c>
      <c r="J894" s="1">
        <v>10</v>
      </c>
      <c r="K894" s="1">
        <v>0</v>
      </c>
      <c r="L894" s="1">
        <v>0</v>
      </c>
      <c r="M894" s="1" t="str">
        <f t="shared" si="15"/>
        <v>105_5482_5482</v>
      </c>
      <c r="N894" s="1" t="s">
        <v>2425</v>
      </c>
      <c r="O894" s="1">
        <v>0</v>
      </c>
      <c r="P894" s="1" t="s">
        <v>2059</v>
      </c>
      <c r="Q894" s="7" t="str">
        <f t="shared" si="12"/>
        <v>equipment/2118.png</v>
      </c>
      <c r="R894" s="1">
        <v>0</v>
      </c>
    </row>
    <row r="895" spans="1:18" ht="14.25" thickBot="1">
      <c r="A895" s="1">
        <v>20951061</v>
      </c>
      <c r="B895" s="3">
        <f t="shared" si="13"/>
        <v>0</v>
      </c>
      <c r="C895" s="9" t="s">
        <v>2774</v>
      </c>
      <c r="D895" s="1" t="s">
        <v>13</v>
      </c>
      <c r="E895" s="1">
        <v>6</v>
      </c>
      <c r="F895" s="1">
        <v>2</v>
      </c>
      <c r="G895" s="1">
        <v>95</v>
      </c>
      <c r="H895" s="10" t="s">
        <v>2120</v>
      </c>
      <c r="I895" s="1">
        <f t="shared" si="14"/>
        <v>20600</v>
      </c>
      <c r="J895" s="1">
        <v>10</v>
      </c>
      <c r="K895" s="1">
        <v>0</v>
      </c>
      <c r="L895" s="1">
        <v>0</v>
      </c>
      <c r="M895" s="1" t="str">
        <f t="shared" si="15"/>
        <v>105_5717_5717</v>
      </c>
      <c r="N895" s="1" t="s">
        <v>2425</v>
      </c>
      <c r="O895" s="1">
        <v>0</v>
      </c>
      <c r="P895" s="1" t="s">
        <v>2059</v>
      </c>
      <c r="Q895" s="7" t="str">
        <f t="shared" si="12"/>
        <v>equipment/2101.png</v>
      </c>
      <c r="R895" s="1">
        <v>0</v>
      </c>
    </row>
    <row r="896" spans="1:18" ht="14.25" thickBot="1">
      <c r="A896" s="1">
        <v>20952050</v>
      </c>
      <c r="B896" s="3">
        <f t="shared" si="13"/>
        <v>1</v>
      </c>
      <c r="C896" s="1" t="s">
        <v>2775</v>
      </c>
      <c r="D896" s="1" t="s">
        <v>12</v>
      </c>
      <c r="E896" s="1">
        <v>5</v>
      </c>
      <c r="F896" s="1">
        <v>2</v>
      </c>
      <c r="G896" s="1">
        <v>95</v>
      </c>
      <c r="H896" s="10" t="s">
        <v>2121</v>
      </c>
      <c r="I896" s="1">
        <f t="shared" si="14"/>
        <v>20000</v>
      </c>
      <c r="J896" s="1">
        <v>10</v>
      </c>
      <c r="K896" s="1">
        <v>0</v>
      </c>
      <c r="L896" s="1">
        <v>0</v>
      </c>
      <c r="M896" s="1" t="str">
        <f t="shared" si="15"/>
        <v>103_6091_6091,104_12182_12182</v>
      </c>
      <c r="N896" s="1" t="s">
        <v>2425</v>
      </c>
      <c r="O896" s="1">
        <v>0</v>
      </c>
      <c r="P896" s="1" t="s">
        <v>2059</v>
      </c>
      <c r="Q896" s="7" t="str">
        <f t="shared" si="12"/>
        <v>equipment/1222.png</v>
      </c>
      <c r="R896" s="1">
        <v>0</v>
      </c>
    </row>
    <row r="897" spans="1:18" ht="14.25" thickBot="1">
      <c r="A897" s="1">
        <v>20952051</v>
      </c>
      <c r="B897" s="3">
        <f t="shared" si="13"/>
        <v>0</v>
      </c>
      <c r="C897" s="9" t="s">
        <v>2776</v>
      </c>
      <c r="D897" s="1" t="s">
        <v>12</v>
      </c>
      <c r="E897" s="1">
        <v>5</v>
      </c>
      <c r="F897" s="1">
        <v>2</v>
      </c>
      <c r="G897" s="1">
        <v>95</v>
      </c>
      <c r="H897" s="10" t="s">
        <v>2121</v>
      </c>
      <c r="I897" s="1">
        <f t="shared" si="14"/>
        <v>20600</v>
      </c>
      <c r="J897" s="1">
        <v>10</v>
      </c>
      <c r="K897" s="1">
        <v>0</v>
      </c>
      <c r="L897" s="1">
        <v>0</v>
      </c>
      <c r="M897" s="1" t="str">
        <f t="shared" si="15"/>
        <v>103_6352_6352,104_12705_12705</v>
      </c>
      <c r="N897" s="1" t="s">
        <v>2425</v>
      </c>
      <c r="O897" s="1">
        <v>0</v>
      </c>
      <c r="P897" s="1" t="s">
        <v>2059</v>
      </c>
      <c r="Q897" s="7" t="str">
        <f t="shared" si="12"/>
        <v>equipment/1201.png</v>
      </c>
      <c r="R897" s="1">
        <v>0</v>
      </c>
    </row>
    <row r="898" spans="1:18" ht="14.25" thickBot="1">
      <c r="A898" s="1">
        <v>20952060</v>
      </c>
      <c r="B898" s="3">
        <f t="shared" si="13"/>
        <v>1</v>
      </c>
      <c r="C898" s="9" t="s">
        <v>2777</v>
      </c>
      <c r="D898" s="1" t="s">
        <v>13</v>
      </c>
      <c r="E898" s="1">
        <v>6</v>
      </c>
      <c r="F898" s="1">
        <v>2</v>
      </c>
      <c r="G898" s="1">
        <v>95</v>
      </c>
      <c r="H898" s="10" t="s">
        <v>2121</v>
      </c>
      <c r="I898" s="1">
        <f t="shared" si="14"/>
        <v>20000</v>
      </c>
      <c r="J898" s="1">
        <v>10</v>
      </c>
      <c r="K898" s="1">
        <v>0</v>
      </c>
      <c r="L898" s="1">
        <v>0</v>
      </c>
      <c r="M898" s="1" t="str">
        <f t="shared" si="15"/>
        <v>108_5482_5482</v>
      </c>
      <c r="N898" s="1" t="s">
        <v>2425</v>
      </c>
      <c r="O898" s="1">
        <v>0</v>
      </c>
      <c r="P898" s="1" t="s">
        <v>2059</v>
      </c>
      <c r="Q898" s="7" t="str">
        <f t="shared" si="12"/>
        <v>equipment/2218.png</v>
      </c>
      <c r="R898" s="1">
        <v>0</v>
      </c>
    </row>
    <row r="899" spans="1:18" ht="14.25" thickBot="1">
      <c r="A899" s="1">
        <v>20952061</v>
      </c>
      <c r="B899" s="3">
        <f t="shared" si="13"/>
        <v>0</v>
      </c>
      <c r="C899" s="9" t="s">
        <v>2778</v>
      </c>
      <c r="D899" s="1" t="s">
        <v>13</v>
      </c>
      <c r="E899" s="1">
        <v>6</v>
      </c>
      <c r="F899" s="1">
        <v>2</v>
      </c>
      <c r="G899" s="1">
        <v>95</v>
      </c>
      <c r="H899" s="10" t="s">
        <v>2121</v>
      </c>
      <c r="I899" s="1">
        <f t="shared" si="14"/>
        <v>20600</v>
      </c>
      <c r="J899" s="1">
        <v>10</v>
      </c>
      <c r="K899" s="1">
        <v>0</v>
      </c>
      <c r="L899" s="1">
        <v>0</v>
      </c>
      <c r="M899" s="1" t="str">
        <f t="shared" si="15"/>
        <v>108_5717_5717</v>
      </c>
      <c r="N899" s="1" t="s">
        <v>2425</v>
      </c>
      <c r="O899" s="1">
        <v>0</v>
      </c>
      <c r="P899" s="1" t="s">
        <v>2059</v>
      </c>
      <c r="Q899" s="7" t="str">
        <f t="shared" si="12"/>
        <v>equipment/2201.png</v>
      </c>
      <c r="R899" s="1">
        <v>0</v>
      </c>
    </row>
    <row r="900" spans="1:18" ht="14.25" thickBot="1">
      <c r="A900" s="1">
        <v>20953050</v>
      </c>
      <c r="B900" s="3">
        <f t="shared" si="13"/>
        <v>1</v>
      </c>
      <c r="C900" s="9" t="s">
        <v>2779</v>
      </c>
      <c r="D900" s="1" t="s">
        <v>12</v>
      </c>
      <c r="E900" s="1">
        <v>5</v>
      </c>
      <c r="F900" s="1">
        <v>2</v>
      </c>
      <c r="G900" s="1">
        <v>95</v>
      </c>
      <c r="H900" s="10" t="s">
        <v>2122</v>
      </c>
      <c r="I900" s="1">
        <f t="shared" si="14"/>
        <v>20000</v>
      </c>
      <c r="J900" s="1">
        <v>10</v>
      </c>
      <c r="K900" s="1">
        <v>0</v>
      </c>
      <c r="L900" s="1">
        <v>0</v>
      </c>
      <c r="M900" s="1" t="str">
        <f t="shared" si="15"/>
        <v>103_6091_6091,104_12182_12182</v>
      </c>
      <c r="N900" s="1" t="s">
        <v>2425</v>
      </c>
      <c r="O900" s="1">
        <v>0</v>
      </c>
      <c r="P900" s="1" t="s">
        <v>2059</v>
      </c>
      <c r="Q900" s="7" t="str">
        <f t="shared" si="12"/>
        <v>equipment/1324.png</v>
      </c>
      <c r="R900" s="1">
        <v>0</v>
      </c>
    </row>
    <row r="901" spans="1:18" ht="14.25" thickBot="1">
      <c r="A901" s="1">
        <v>20953051</v>
      </c>
      <c r="B901" s="3">
        <f t="shared" si="13"/>
        <v>0</v>
      </c>
      <c r="C901" s="9" t="s">
        <v>2780</v>
      </c>
      <c r="D901" s="1" t="s">
        <v>12</v>
      </c>
      <c r="E901" s="1">
        <v>5</v>
      </c>
      <c r="F901" s="1">
        <v>2</v>
      </c>
      <c r="G901" s="1">
        <v>95</v>
      </c>
      <c r="H901" s="10" t="s">
        <v>2122</v>
      </c>
      <c r="I901" s="1">
        <f t="shared" si="14"/>
        <v>20600</v>
      </c>
      <c r="J901" s="1">
        <v>10</v>
      </c>
      <c r="K901" s="1">
        <v>0</v>
      </c>
      <c r="L901" s="1">
        <v>0</v>
      </c>
      <c r="M901" s="1" t="str">
        <f t="shared" si="15"/>
        <v>103_6352_6352,104_12705_12705</v>
      </c>
      <c r="N901" s="1" t="s">
        <v>2425</v>
      </c>
      <c r="O901" s="1">
        <v>0</v>
      </c>
      <c r="P901" s="1" t="s">
        <v>2059</v>
      </c>
      <c r="Q901" s="7" t="str">
        <f t="shared" si="12"/>
        <v>equipment/1301.png</v>
      </c>
      <c r="R901" s="1">
        <v>0</v>
      </c>
    </row>
    <row r="902" spans="1:18" ht="14.25" thickBot="1">
      <c r="A902" s="1">
        <v>20953060</v>
      </c>
      <c r="B902" s="3">
        <f t="shared" si="13"/>
        <v>1</v>
      </c>
      <c r="C902" s="9" t="s">
        <v>2781</v>
      </c>
      <c r="D902" s="1" t="s">
        <v>13</v>
      </c>
      <c r="E902" s="1">
        <v>6</v>
      </c>
      <c r="F902" s="1">
        <v>2</v>
      </c>
      <c r="G902" s="1">
        <v>95</v>
      </c>
      <c r="H902" s="10" t="s">
        <v>2122</v>
      </c>
      <c r="I902" s="1">
        <f t="shared" si="14"/>
        <v>20000</v>
      </c>
      <c r="J902" s="1">
        <v>10</v>
      </c>
      <c r="K902" s="1">
        <v>0</v>
      </c>
      <c r="L902" s="1">
        <v>0</v>
      </c>
      <c r="M902" s="1" t="str">
        <f t="shared" si="15"/>
        <v>102_4280_4280</v>
      </c>
      <c r="N902" s="1" t="s">
        <v>2425</v>
      </c>
      <c r="O902" s="1">
        <v>0</v>
      </c>
      <c r="P902" s="1" t="s">
        <v>2059</v>
      </c>
      <c r="Q902" s="7" t="str">
        <f t="shared" si="12"/>
        <v>equipment/2318.png</v>
      </c>
      <c r="R902" s="1">
        <v>0</v>
      </c>
    </row>
    <row r="903" spans="1:18" ht="14.25" thickBot="1">
      <c r="A903" s="1">
        <v>20953061</v>
      </c>
      <c r="B903" s="3">
        <f t="shared" si="13"/>
        <v>0</v>
      </c>
      <c r="C903" s="9" t="s">
        <v>2782</v>
      </c>
      <c r="D903" s="1" t="s">
        <v>13</v>
      </c>
      <c r="E903" s="1">
        <v>6</v>
      </c>
      <c r="F903" s="1">
        <v>2</v>
      </c>
      <c r="G903" s="1">
        <v>95</v>
      </c>
      <c r="H903" s="10" t="s">
        <v>2122</v>
      </c>
      <c r="I903" s="1">
        <f t="shared" si="14"/>
        <v>20600</v>
      </c>
      <c r="J903" s="1">
        <v>10</v>
      </c>
      <c r="K903" s="1">
        <v>0</v>
      </c>
      <c r="L903" s="1">
        <v>0</v>
      </c>
      <c r="M903" s="1" t="str">
        <f t="shared" si="15"/>
        <v>102_4390_4390</v>
      </c>
      <c r="N903" s="1" t="s">
        <v>2425</v>
      </c>
      <c r="O903" s="1">
        <v>0</v>
      </c>
      <c r="P903" s="1" t="s">
        <v>2059</v>
      </c>
      <c r="Q903" s="7" t="str">
        <f t="shared" si="12"/>
        <v>equipment/2301.png</v>
      </c>
      <c r="R903" s="1">
        <v>0</v>
      </c>
    </row>
    <row r="904" spans="1:18" ht="14.25" thickBot="1">
      <c r="A904" s="1">
        <v>20950040</v>
      </c>
      <c r="B904" s="3">
        <f t="shared" si="13"/>
        <v>1</v>
      </c>
      <c r="C904" s="1" t="s">
        <v>2783</v>
      </c>
      <c r="D904" s="1" t="s">
        <v>11</v>
      </c>
      <c r="E904" s="1">
        <v>4</v>
      </c>
      <c r="F904" s="1">
        <v>2</v>
      </c>
      <c r="G904" s="1">
        <v>95</v>
      </c>
      <c r="H904" s="10">
        <v>0</v>
      </c>
      <c r="I904" s="1">
        <f t="shared" si="14"/>
        <v>20000</v>
      </c>
      <c r="J904" s="1">
        <v>10</v>
      </c>
      <c r="K904" s="1">
        <v>0</v>
      </c>
      <c r="L904" s="1">
        <v>0</v>
      </c>
      <c r="M904" s="1" t="str">
        <f t="shared" si="15"/>
        <v>105_3837_3837</v>
      </c>
      <c r="N904" s="1" t="s">
        <v>2424</v>
      </c>
      <c r="O904" s="1">
        <v>0</v>
      </c>
      <c r="P904" s="1" t="s">
        <v>2059</v>
      </c>
      <c r="Q904" s="7" t="str">
        <f t="shared" si="12"/>
        <v>equipment/5001.png</v>
      </c>
      <c r="R904" s="1">
        <v>0</v>
      </c>
    </row>
    <row r="905" spans="1:18" ht="14.25" thickBot="1">
      <c r="A905" s="1">
        <v>20950041</v>
      </c>
      <c r="B905" s="3">
        <f t="shared" si="13"/>
        <v>0</v>
      </c>
      <c r="C905" s="1" t="s">
        <v>2784</v>
      </c>
      <c r="D905" s="1" t="s">
        <v>11</v>
      </c>
      <c r="E905" s="1">
        <v>4</v>
      </c>
      <c r="F905" s="1">
        <v>2</v>
      </c>
      <c r="G905" s="1">
        <v>95</v>
      </c>
      <c r="H905" s="10">
        <v>0</v>
      </c>
      <c r="I905" s="1">
        <f t="shared" si="14"/>
        <v>20600</v>
      </c>
      <c r="J905" s="1">
        <v>10</v>
      </c>
      <c r="K905" s="1">
        <v>0</v>
      </c>
      <c r="L905" s="1">
        <v>0</v>
      </c>
      <c r="M905" s="1" t="str">
        <f t="shared" si="15"/>
        <v>105_4002_4002</v>
      </c>
      <c r="N905" s="1" t="s">
        <v>2424</v>
      </c>
      <c r="O905" s="1">
        <v>0</v>
      </c>
      <c r="P905" s="1" t="s">
        <v>2059</v>
      </c>
      <c r="Q905" s="7" t="str">
        <f t="shared" si="12"/>
        <v>equipment/5001.png</v>
      </c>
      <c r="R905" s="1">
        <v>0</v>
      </c>
    </row>
    <row r="906" spans="1:18" ht="14.25" thickBot="1">
      <c r="A906" s="1">
        <v>20950070</v>
      </c>
      <c r="B906" s="3">
        <f t="shared" si="13"/>
        <v>1</v>
      </c>
      <c r="C906" s="1" t="s">
        <v>2785</v>
      </c>
      <c r="D906" s="1" t="s">
        <v>14</v>
      </c>
      <c r="E906" s="1">
        <v>7</v>
      </c>
      <c r="F906" s="1">
        <v>2</v>
      </c>
      <c r="G906" s="1">
        <v>95</v>
      </c>
      <c r="H906" s="10">
        <v>0</v>
      </c>
      <c r="I906" s="1">
        <f t="shared" si="14"/>
        <v>20000</v>
      </c>
      <c r="J906" s="1">
        <v>10</v>
      </c>
      <c r="K906" s="1">
        <v>0</v>
      </c>
      <c r="L906" s="1">
        <v>0</v>
      </c>
      <c r="M906" s="1" t="str">
        <f t="shared" si="15"/>
        <v>105_3837_3837</v>
      </c>
      <c r="N906" s="1" t="s">
        <v>2424</v>
      </c>
      <c r="O906" s="1">
        <v>0</v>
      </c>
      <c r="P906" s="1" t="s">
        <v>2059</v>
      </c>
      <c r="Q906" s="7" t="str">
        <f t="shared" si="12"/>
        <v>equipment/7001.png</v>
      </c>
      <c r="R906" s="1">
        <v>0</v>
      </c>
    </row>
    <row r="907" spans="1:18" ht="14.25" thickBot="1">
      <c r="A907" s="1">
        <v>20950071</v>
      </c>
      <c r="B907" s="3">
        <f t="shared" si="13"/>
        <v>0</v>
      </c>
      <c r="C907" s="1" t="s">
        <v>2677</v>
      </c>
      <c r="D907" s="1" t="s">
        <v>14</v>
      </c>
      <c r="E907" s="1">
        <v>7</v>
      </c>
      <c r="F907" s="1">
        <v>2</v>
      </c>
      <c r="G907" s="1">
        <v>95</v>
      </c>
      <c r="H907" s="10">
        <v>0</v>
      </c>
      <c r="I907" s="1">
        <f t="shared" si="14"/>
        <v>20600</v>
      </c>
      <c r="J907" s="1">
        <v>10</v>
      </c>
      <c r="K907" s="1">
        <v>0</v>
      </c>
      <c r="L907" s="1">
        <v>0</v>
      </c>
      <c r="M907" s="1" t="str">
        <f t="shared" si="15"/>
        <v>105_4002_4002</v>
      </c>
      <c r="N907" s="1" t="s">
        <v>2424</v>
      </c>
      <c r="O907" s="1">
        <v>0</v>
      </c>
      <c r="P907" s="1" t="s">
        <v>2059</v>
      </c>
      <c r="Q907" s="7" t="str">
        <f t="shared" si="12"/>
        <v>equipment/7001.png</v>
      </c>
      <c r="R907" s="1">
        <v>0</v>
      </c>
    </row>
    <row r="908" spans="1:18" ht="14.25" thickBot="1">
      <c r="A908" s="1">
        <v>21000010</v>
      </c>
      <c r="B908" s="3">
        <f t="shared" si="13"/>
        <v>0</v>
      </c>
      <c r="C908" s="1" t="s">
        <v>2786</v>
      </c>
      <c r="D908" s="1" t="s">
        <v>8</v>
      </c>
      <c r="E908" s="1">
        <v>1</v>
      </c>
      <c r="F908" s="1">
        <v>2</v>
      </c>
      <c r="G908" s="1">
        <v>100</v>
      </c>
      <c r="H908" s="10">
        <v>0</v>
      </c>
      <c r="I908" s="1">
        <f t="shared" si="14"/>
        <v>21200</v>
      </c>
      <c r="J908" s="1">
        <v>10</v>
      </c>
      <c r="K908" s="1">
        <v>0</v>
      </c>
      <c r="L908" s="1">
        <v>0</v>
      </c>
      <c r="M908" s="1" t="str">
        <f t="shared" si="15"/>
        <v>106_6460_6460</v>
      </c>
      <c r="N908" s="1" t="s">
        <v>2426</v>
      </c>
      <c r="O908" s="1">
        <v>0</v>
      </c>
      <c r="P908" s="1" t="s">
        <v>2059</v>
      </c>
      <c r="Q908" s="7" t="str">
        <f t="shared" si="12"/>
        <v>equipment/3001.png</v>
      </c>
      <c r="R908" s="1">
        <v>0</v>
      </c>
    </row>
    <row r="909" spans="1:18" ht="14.25" thickBot="1">
      <c r="A909" s="1">
        <v>21000020</v>
      </c>
      <c r="B909" s="3">
        <f t="shared" si="13"/>
        <v>0</v>
      </c>
      <c r="C909" s="1" t="s">
        <v>2787</v>
      </c>
      <c r="D909" s="1" t="s">
        <v>9</v>
      </c>
      <c r="E909" s="1">
        <v>2</v>
      </c>
      <c r="F909" s="1">
        <v>2</v>
      </c>
      <c r="G909" s="1">
        <v>100</v>
      </c>
      <c r="H909" s="10">
        <v>0</v>
      </c>
      <c r="I909" s="1">
        <f t="shared" si="14"/>
        <v>21200</v>
      </c>
      <c r="J909" s="1">
        <v>10</v>
      </c>
      <c r="K909" s="1">
        <v>0</v>
      </c>
      <c r="L909" s="1">
        <v>0</v>
      </c>
      <c r="M909" s="1" t="str">
        <f t="shared" si="15"/>
        <v>102_2360_2360</v>
      </c>
      <c r="N909" s="1" t="s">
        <v>2426</v>
      </c>
      <c r="O909" s="1">
        <v>0</v>
      </c>
      <c r="P909" s="1" t="s">
        <v>2059</v>
      </c>
      <c r="Q909" s="7" t="str">
        <f t="shared" si="12"/>
        <v>equipment/14001.png</v>
      </c>
      <c r="R909" s="1">
        <v>0</v>
      </c>
    </row>
    <row r="910" spans="1:18" ht="14.25" thickBot="1">
      <c r="A910" s="1">
        <v>21000030</v>
      </c>
      <c r="B910" s="3">
        <f t="shared" si="13"/>
        <v>0</v>
      </c>
      <c r="C910" s="1" t="s">
        <v>2788</v>
      </c>
      <c r="D910" s="1" t="s">
        <v>10</v>
      </c>
      <c r="E910" s="1">
        <v>3</v>
      </c>
      <c r="F910" s="1">
        <v>2</v>
      </c>
      <c r="G910" s="1">
        <v>100</v>
      </c>
      <c r="H910" s="10">
        <v>0</v>
      </c>
      <c r="I910" s="1">
        <f t="shared" si="14"/>
        <v>21200</v>
      </c>
      <c r="J910" s="1">
        <v>10</v>
      </c>
      <c r="K910" s="1">
        <v>0</v>
      </c>
      <c r="L910" s="1">
        <v>0</v>
      </c>
      <c r="M910" s="1" t="str">
        <f t="shared" si="15"/>
        <v>101_36120_36120</v>
      </c>
      <c r="N910" s="1" t="s">
        <v>2426</v>
      </c>
      <c r="O910" s="1">
        <v>0</v>
      </c>
      <c r="P910" s="1" t="s">
        <v>2059</v>
      </c>
      <c r="Q910" s="7" t="str">
        <f t="shared" si="12"/>
        <v>equipment/6001.png</v>
      </c>
      <c r="R910" s="1">
        <v>0</v>
      </c>
    </row>
    <row r="911" spans="1:18" ht="14.25" thickBot="1">
      <c r="A911" s="1">
        <v>21000080</v>
      </c>
      <c r="B911" s="3">
        <f t="shared" si="13"/>
        <v>0</v>
      </c>
      <c r="C911" s="1" t="s">
        <v>2789</v>
      </c>
      <c r="D911" s="1" t="s">
        <v>15</v>
      </c>
      <c r="E911" s="1">
        <v>8</v>
      </c>
      <c r="F911" s="1">
        <v>2</v>
      </c>
      <c r="G911" s="1">
        <v>100</v>
      </c>
      <c r="H911" s="10">
        <v>0</v>
      </c>
      <c r="I911" s="1">
        <f t="shared" si="14"/>
        <v>21200</v>
      </c>
      <c r="J911" s="1">
        <v>10</v>
      </c>
      <c r="K911" s="1">
        <v>0</v>
      </c>
      <c r="L911" s="1">
        <v>0</v>
      </c>
      <c r="M911" s="1" t="str">
        <f t="shared" si="15"/>
        <v>110_871_871</v>
      </c>
      <c r="N911" s="1" t="s">
        <v>2426</v>
      </c>
      <c r="O911" s="1">
        <v>0</v>
      </c>
      <c r="P911" s="1" t="s">
        <v>2059</v>
      </c>
      <c r="Q911" s="7" t="str">
        <f t="shared" si="12"/>
        <v>equipment/8001.png</v>
      </c>
      <c r="R911" s="1">
        <v>0</v>
      </c>
    </row>
    <row r="912" spans="1:18" ht="14.25" thickBot="1">
      <c r="A912" s="1">
        <v>21000090</v>
      </c>
      <c r="B912" s="3">
        <f t="shared" si="13"/>
        <v>0</v>
      </c>
      <c r="C912" s="1" t="s">
        <v>2790</v>
      </c>
      <c r="D912" s="1" t="s">
        <v>16</v>
      </c>
      <c r="E912" s="1">
        <v>9</v>
      </c>
      <c r="F912" s="1">
        <v>2</v>
      </c>
      <c r="G912" s="1">
        <v>100</v>
      </c>
      <c r="H912" s="10">
        <v>0</v>
      </c>
      <c r="I912" s="1">
        <f t="shared" si="14"/>
        <v>21200</v>
      </c>
      <c r="J912" s="1">
        <v>10</v>
      </c>
      <c r="K912" s="1">
        <v>0</v>
      </c>
      <c r="L912" s="1">
        <v>0</v>
      </c>
      <c r="M912" s="1" t="str">
        <f t="shared" si="15"/>
        <v>108_7588_7588</v>
      </c>
      <c r="N912" s="1" t="s">
        <v>2426</v>
      </c>
      <c r="O912" s="1">
        <v>0</v>
      </c>
      <c r="P912" s="1" t="s">
        <v>2059</v>
      </c>
      <c r="Q912" s="7" t="str">
        <f t="shared" si="12"/>
        <v>equipment/10001.png</v>
      </c>
      <c r="R912" s="1">
        <v>0</v>
      </c>
    </row>
    <row r="913" spans="1:18" ht="14.25" thickBot="1">
      <c r="A913" s="1">
        <v>21000100</v>
      </c>
      <c r="B913" s="3">
        <f t="shared" si="13"/>
        <v>0</v>
      </c>
      <c r="C913" s="1" t="s">
        <v>2791</v>
      </c>
      <c r="D913" s="1" t="s">
        <v>17</v>
      </c>
      <c r="E913" s="1">
        <v>10</v>
      </c>
      <c r="F913" s="1">
        <v>2</v>
      </c>
      <c r="G913" s="1">
        <v>100</v>
      </c>
      <c r="H913" s="10">
        <v>0</v>
      </c>
      <c r="I913" s="1">
        <f t="shared" si="14"/>
        <v>21200</v>
      </c>
      <c r="J913" s="1">
        <v>10</v>
      </c>
      <c r="K913" s="1">
        <v>0</v>
      </c>
      <c r="L913" s="1">
        <v>0</v>
      </c>
      <c r="M913" s="1" t="str">
        <f t="shared" si="15"/>
        <v>107_6460_6460</v>
      </c>
      <c r="N913" s="1" t="s">
        <v>2426</v>
      </c>
      <c r="O913" s="1">
        <v>0</v>
      </c>
      <c r="P913" s="1" t="s">
        <v>2059</v>
      </c>
      <c r="Q913" s="7" t="str">
        <f t="shared" si="12"/>
        <v>equipment/12001.png</v>
      </c>
      <c r="R913" s="1">
        <v>0</v>
      </c>
    </row>
    <row r="914" spans="1:18" ht="14.25" thickBot="1">
      <c r="A914" s="1">
        <v>21001050</v>
      </c>
      <c r="B914" s="3">
        <f t="shared" si="13"/>
        <v>0</v>
      </c>
      <c r="C914" s="9" t="s">
        <v>2792</v>
      </c>
      <c r="D914" s="1" t="s">
        <v>12</v>
      </c>
      <c r="E914" s="1">
        <v>5</v>
      </c>
      <c r="F914" s="1">
        <v>2</v>
      </c>
      <c r="G914" s="1">
        <v>100</v>
      </c>
      <c r="H914" s="10" t="s">
        <v>2120</v>
      </c>
      <c r="I914" s="1">
        <f t="shared" si="14"/>
        <v>21200</v>
      </c>
      <c r="J914" s="1">
        <v>10</v>
      </c>
      <c r="K914" s="1">
        <v>0</v>
      </c>
      <c r="L914" s="1">
        <v>0</v>
      </c>
      <c r="M914" s="1" t="str">
        <f t="shared" si="15"/>
        <v>103_6744_6744,104_13489_13489</v>
      </c>
      <c r="N914" s="1" t="s">
        <v>2427</v>
      </c>
      <c r="O914" s="1">
        <v>0</v>
      </c>
      <c r="P914" s="1" t="s">
        <v>2059</v>
      </c>
      <c r="Q914" s="7" t="str">
        <f t="shared" si="12"/>
        <v>equipment/1124.png</v>
      </c>
      <c r="R914" s="1">
        <v>0</v>
      </c>
    </row>
    <row r="915" spans="1:18" ht="14.25" thickBot="1">
      <c r="A915" s="1">
        <v>21001051</v>
      </c>
      <c r="B915" s="3">
        <f t="shared" si="13"/>
        <v>0</v>
      </c>
      <c r="C915" s="9" t="s">
        <v>2665</v>
      </c>
      <c r="D915" s="1" t="s">
        <v>12</v>
      </c>
      <c r="E915" s="1">
        <v>5</v>
      </c>
      <c r="F915" s="1">
        <v>2</v>
      </c>
      <c r="G915" s="1">
        <v>100</v>
      </c>
      <c r="H915" s="10" t="s">
        <v>2120</v>
      </c>
      <c r="I915" s="1">
        <f t="shared" si="14"/>
        <v>21800</v>
      </c>
      <c r="J915" s="1">
        <v>10</v>
      </c>
      <c r="K915" s="1">
        <v>0</v>
      </c>
      <c r="L915" s="1">
        <v>0</v>
      </c>
      <c r="M915" s="1" t="str">
        <f t="shared" si="15"/>
        <v>103_0_0</v>
      </c>
      <c r="N915" s="1" t="s">
        <v>2427</v>
      </c>
      <c r="O915" s="1">
        <v>0</v>
      </c>
      <c r="P915" s="1" t="s">
        <v>2059</v>
      </c>
      <c r="Q915" s="7" t="str">
        <f t="shared" si="12"/>
        <v>equipment/1101.png</v>
      </c>
      <c r="R915" s="1">
        <v>0</v>
      </c>
    </row>
    <row r="916" spans="1:18" ht="14.25" thickBot="1">
      <c r="A916" s="1">
        <v>21001060</v>
      </c>
      <c r="B916" s="3">
        <f t="shared" si="13"/>
        <v>0</v>
      </c>
      <c r="C916" s="9" t="s">
        <v>2793</v>
      </c>
      <c r="D916" s="1" t="s">
        <v>13</v>
      </c>
      <c r="E916" s="1">
        <v>6</v>
      </c>
      <c r="F916" s="1">
        <v>2</v>
      </c>
      <c r="G916" s="1">
        <v>100</v>
      </c>
      <c r="H916" s="10" t="s">
        <v>2120</v>
      </c>
      <c r="I916" s="1">
        <f t="shared" si="14"/>
        <v>21200</v>
      </c>
      <c r="J916" s="1">
        <v>10</v>
      </c>
      <c r="K916" s="1">
        <v>0</v>
      </c>
      <c r="L916" s="1">
        <v>0</v>
      </c>
      <c r="M916" s="1" t="str">
        <f t="shared" si="15"/>
        <v>105_6070_6070</v>
      </c>
      <c r="N916" s="1" t="s">
        <v>2427</v>
      </c>
      <c r="O916" s="1">
        <v>0</v>
      </c>
      <c r="P916" s="1" t="s">
        <v>2059</v>
      </c>
      <c r="Q916" s="7" t="str">
        <f t="shared" si="12"/>
        <v>equipment/2118.png</v>
      </c>
      <c r="R916" s="1">
        <v>0</v>
      </c>
    </row>
    <row r="917" spans="1:18" ht="14.25" thickBot="1">
      <c r="A917" s="1">
        <v>21001061</v>
      </c>
      <c r="B917" s="3">
        <f t="shared" si="13"/>
        <v>0</v>
      </c>
      <c r="C917" s="9" t="s">
        <v>2793</v>
      </c>
      <c r="D917" s="1" t="s">
        <v>13</v>
      </c>
      <c r="E917" s="1">
        <v>6</v>
      </c>
      <c r="F917" s="1">
        <v>2</v>
      </c>
      <c r="G917" s="1">
        <v>100</v>
      </c>
      <c r="H917" s="10" t="s">
        <v>2120</v>
      </c>
      <c r="I917" s="1">
        <f t="shared" si="14"/>
        <v>21800</v>
      </c>
      <c r="J917" s="1">
        <v>10</v>
      </c>
      <c r="K917" s="1">
        <v>0</v>
      </c>
      <c r="L917" s="1">
        <v>0</v>
      </c>
      <c r="M917" s="1" t="str">
        <f t="shared" si="15"/>
        <v>105_0_0</v>
      </c>
      <c r="N917" s="1" t="s">
        <v>2427</v>
      </c>
      <c r="O917" s="1">
        <v>0</v>
      </c>
      <c r="P917" s="1" t="s">
        <v>2059</v>
      </c>
      <c r="Q917" s="7" t="str">
        <f t="shared" ref="Q917:Q980" si="16">Q455</f>
        <v>equipment/2101.png</v>
      </c>
      <c r="R917" s="1">
        <v>0</v>
      </c>
    </row>
    <row r="918" spans="1:18" ht="14.25" thickBot="1">
      <c r="A918" s="1">
        <v>21002050</v>
      </c>
      <c r="B918" s="3">
        <f t="shared" si="13"/>
        <v>0</v>
      </c>
      <c r="C918" s="1" t="s">
        <v>2794</v>
      </c>
      <c r="D918" s="1" t="s">
        <v>12</v>
      </c>
      <c r="E918" s="1">
        <v>5</v>
      </c>
      <c r="F918" s="1">
        <v>2</v>
      </c>
      <c r="G918" s="1">
        <v>100</v>
      </c>
      <c r="H918" s="10" t="s">
        <v>2121</v>
      </c>
      <c r="I918" s="1">
        <f t="shared" si="14"/>
        <v>21200</v>
      </c>
      <c r="J918" s="1">
        <v>10</v>
      </c>
      <c r="K918" s="1">
        <v>0</v>
      </c>
      <c r="L918" s="1">
        <v>0</v>
      </c>
      <c r="M918" s="1" t="str">
        <f t="shared" si="15"/>
        <v>103_6744_6744,104_13489_13489</v>
      </c>
      <c r="N918" s="1" t="s">
        <v>2427</v>
      </c>
      <c r="O918" s="1">
        <v>0</v>
      </c>
      <c r="P918" s="1" t="s">
        <v>2059</v>
      </c>
      <c r="Q918" s="7" t="str">
        <f t="shared" si="16"/>
        <v>equipment/1222.png</v>
      </c>
      <c r="R918" s="1">
        <v>0</v>
      </c>
    </row>
    <row r="919" spans="1:18" ht="14.25" thickBot="1">
      <c r="A919" s="1">
        <v>21002051</v>
      </c>
      <c r="B919" s="3">
        <f t="shared" si="13"/>
        <v>0</v>
      </c>
      <c r="C919" s="1" t="s">
        <v>2668</v>
      </c>
      <c r="D919" s="1" t="s">
        <v>12</v>
      </c>
      <c r="E919" s="1">
        <v>5</v>
      </c>
      <c r="F919" s="1">
        <v>2</v>
      </c>
      <c r="G919" s="1">
        <v>100</v>
      </c>
      <c r="H919" s="10" t="s">
        <v>2121</v>
      </c>
      <c r="I919" s="1">
        <f t="shared" si="14"/>
        <v>21800</v>
      </c>
      <c r="J919" s="1">
        <v>10</v>
      </c>
      <c r="K919" s="1">
        <v>0</v>
      </c>
      <c r="L919" s="1">
        <v>0</v>
      </c>
      <c r="M919" s="1" t="str">
        <f t="shared" si="15"/>
        <v>103_0_0</v>
      </c>
      <c r="N919" s="1" t="s">
        <v>2427</v>
      </c>
      <c r="O919" s="1">
        <v>0</v>
      </c>
      <c r="P919" s="1" t="s">
        <v>2059</v>
      </c>
      <c r="Q919" s="7" t="str">
        <f t="shared" si="16"/>
        <v>equipment/1201.png</v>
      </c>
      <c r="R919" s="1">
        <v>0</v>
      </c>
    </row>
    <row r="920" spans="1:18" ht="14.25" thickBot="1">
      <c r="A920" s="1">
        <v>21002060</v>
      </c>
      <c r="B920" s="3">
        <f t="shared" si="13"/>
        <v>0</v>
      </c>
      <c r="C920" s="9" t="s">
        <v>2795</v>
      </c>
      <c r="D920" s="1" t="s">
        <v>13</v>
      </c>
      <c r="E920" s="1">
        <v>6</v>
      </c>
      <c r="F920" s="1">
        <v>2</v>
      </c>
      <c r="G920" s="1">
        <v>100</v>
      </c>
      <c r="H920" s="10" t="s">
        <v>2121</v>
      </c>
      <c r="I920" s="1">
        <f t="shared" si="14"/>
        <v>21200</v>
      </c>
      <c r="J920" s="1">
        <v>10</v>
      </c>
      <c r="K920" s="1">
        <v>0</v>
      </c>
      <c r="L920" s="1">
        <v>0</v>
      </c>
      <c r="M920" s="1" t="str">
        <f t="shared" si="15"/>
        <v>108_6070_6070</v>
      </c>
      <c r="N920" s="1" t="s">
        <v>2427</v>
      </c>
      <c r="O920" s="1">
        <v>0</v>
      </c>
      <c r="P920" s="1" t="s">
        <v>2059</v>
      </c>
      <c r="Q920" s="7" t="str">
        <f t="shared" si="16"/>
        <v>equipment/2218.png</v>
      </c>
      <c r="R920" s="1">
        <v>0</v>
      </c>
    </row>
    <row r="921" spans="1:18" ht="14.25" thickBot="1">
      <c r="A921" s="1">
        <v>21002061</v>
      </c>
      <c r="B921" s="3">
        <f t="shared" si="13"/>
        <v>0</v>
      </c>
      <c r="C921" s="9" t="s">
        <v>2795</v>
      </c>
      <c r="D921" s="1" t="s">
        <v>13</v>
      </c>
      <c r="E921" s="1">
        <v>6</v>
      </c>
      <c r="F921" s="1">
        <v>2</v>
      </c>
      <c r="G921" s="1">
        <v>100</v>
      </c>
      <c r="H921" s="10" t="s">
        <v>2121</v>
      </c>
      <c r="I921" s="1">
        <f t="shared" si="14"/>
        <v>21800</v>
      </c>
      <c r="J921" s="1">
        <v>10</v>
      </c>
      <c r="K921" s="1">
        <v>0</v>
      </c>
      <c r="L921" s="1">
        <v>0</v>
      </c>
      <c r="M921" s="1" t="str">
        <f t="shared" si="15"/>
        <v>108_0_0</v>
      </c>
      <c r="N921" s="1" t="s">
        <v>2427</v>
      </c>
      <c r="O921" s="1">
        <v>0</v>
      </c>
      <c r="P921" s="1" t="s">
        <v>2059</v>
      </c>
      <c r="Q921" s="7" t="str">
        <f t="shared" si="16"/>
        <v>equipment/2201.png</v>
      </c>
      <c r="R921" s="1">
        <v>0</v>
      </c>
    </row>
    <row r="922" spans="1:18" ht="14.25" thickBot="1">
      <c r="A922" s="1">
        <v>21003050</v>
      </c>
      <c r="B922" s="3">
        <f t="shared" si="13"/>
        <v>0</v>
      </c>
      <c r="C922" s="9" t="s">
        <v>2796</v>
      </c>
      <c r="D922" s="1" t="s">
        <v>12</v>
      </c>
      <c r="E922" s="1">
        <v>5</v>
      </c>
      <c r="F922" s="1">
        <v>2</v>
      </c>
      <c r="G922" s="1">
        <v>100</v>
      </c>
      <c r="H922" s="10" t="s">
        <v>2122</v>
      </c>
      <c r="I922" s="1">
        <f t="shared" si="14"/>
        <v>21200</v>
      </c>
      <c r="J922" s="1">
        <v>10</v>
      </c>
      <c r="K922" s="1">
        <v>0</v>
      </c>
      <c r="L922" s="1">
        <v>0</v>
      </c>
      <c r="M922" s="1" t="str">
        <f t="shared" si="15"/>
        <v>103_6744_6744,104_13489_13489</v>
      </c>
      <c r="N922" s="1" t="s">
        <v>2427</v>
      </c>
      <c r="O922" s="1">
        <v>0</v>
      </c>
      <c r="P922" s="1" t="s">
        <v>2059</v>
      </c>
      <c r="Q922" s="7" t="str">
        <f t="shared" si="16"/>
        <v>equipment/1324.png</v>
      </c>
      <c r="R922" s="1">
        <v>0</v>
      </c>
    </row>
    <row r="923" spans="1:18" ht="14.25" thickBot="1">
      <c r="A923" s="1">
        <v>21003051</v>
      </c>
      <c r="B923" s="3">
        <f t="shared" si="13"/>
        <v>0</v>
      </c>
      <c r="C923" s="9" t="s">
        <v>2797</v>
      </c>
      <c r="D923" s="1" t="s">
        <v>12</v>
      </c>
      <c r="E923" s="1">
        <v>5</v>
      </c>
      <c r="F923" s="1">
        <v>2</v>
      </c>
      <c r="G923" s="1">
        <v>100</v>
      </c>
      <c r="H923" s="10" t="s">
        <v>2122</v>
      </c>
      <c r="I923" s="1">
        <f t="shared" si="14"/>
        <v>21800</v>
      </c>
      <c r="J923" s="1">
        <v>10</v>
      </c>
      <c r="K923" s="1">
        <v>0</v>
      </c>
      <c r="L923" s="1">
        <v>0</v>
      </c>
      <c r="M923" s="1" t="str">
        <f t="shared" si="15"/>
        <v>103_0_0</v>
      </c>
      <c r="N923" s="1" t="s">
        <v>2427</v>
      </c>
      <c r="O923" s="1">
        <v>0</v>
      </c>
      <c r="P923" s="1" t="s">
        <v>2059</v>
      </c>
      <c r="Q923" s="7" t="str">
        <f t="shared" si="16"/>
        <v>equipment/1301.png</v>
      </c>
      <c r="R923" s="1">
        <v>0</v>
      </c>
    </row>
    <row r="924" spans="1:18" ht="14.25" thickBot="1">
      <c r="A924" s="1">
        <v>21003060</v>
      </c>
      <c r="B924" s="3">
        <f t="shared" si="13"/>
        <v>0</v>
      </c>
      <c r="C924" s="9" t="s">
        <v>2798</v>
      </c>
      <c r="D924" s="1" t="s">
        <v>13</v>
      </c>
      <c r="E924" s="1">
        <v>6</v>
      </c>
      <c r="F924" s="1">
        <v>2</v>
      </c>
      <c r="G924" s="1">
        <v>100</v>
      </c>
      <c r="H924" s="10" t="s">
        <v>2122</v>
      </c>
      <c r="I924" s="1">
        <f t="shared" si="14"/>
        <v>21200</v>
      </c>
      <c r="J924" s="1">
        <v>10</v>
      </c>
      <c r="K924" s="1">
        <v>0</v>
      </c>
      <c r="L924" s="1">
        <v>0</v>
      </c>
      <c r="M924" s="1" t="str">
        <f t="shared" si="15"/>
        <v>102_4560_4560</v>
      </c>
      <c r="N924" s="1" t="s">
        <v>2427</v>
      </c>
      <c r="O924" s="1">
        <v>0</v>
      </c>
      <c r="P924" s="1" t="s">
        <v>2059</v>
      </c>
      <c r="Q924" s="7" t="str">
        <f t="shared" si="16"/>
        <v>equipment/2318.png</v>
      </c>
      <c r="R924" s="1">
        <v>0</v>
      </c>
    </row>
    <row r="925" spans="1:18" ht="14.25" thickBot="1">
      <c r="A925" s="1">
        <v>21003061</v>
      </c>
      <c r="B925" s="3">
        <f t="shared" si="13"/>
        <v>0</v>
      </c>
      <c r="C925" s="9" t="s">
        <v>2799</v>
      </c>
      <c r="D925" s="1" t="s">
        <v>13</v>
      </c>
      <c r="E925" s="1">
        <v>6</v>
      </c>
      <c r="F925" s="1">
        <v>2</v>
      </c>
      <c r="G925" s="1">
        <v>100</v>
      </c>
      <c r="H925" s="10" t="s">
        <v>2122</v>
      </c>
      <c r="I925" s="1">
        <f t="shared" si="14"/>
        <v>21800</v>
      </c>
      <c r="J925" s="1">
        <v>10</v>
      </c>
      <c r="K925" s="1">
        <v>0</v>
      </c>
      <c r="L925" s="1">
        <v>0</v>
      </c>
      <c r="M925" s="1" t="str">
        <f t="shared" si="15"/>
        <v>102_0_0</v>
      </c>
      <c r="N925" s="1" t="s">
        <v>2427</v>
      </c>
      <c r="O925" s="1">
        <v>0</v>
      </c>
      <c r="P925" s="1" t="s">
        <v>2059</v>
      </c>
      <c r="Q925" s="7" t="str">
        <f t="shared" si="16"/>
        <v>equipment/2301.png</v>
      </c>
      <c r="R925" s="1">
        <v>0</v>
      </c>
    </row>
    <row r="926" spans="1:18" ht="14.25" thickBot="1">
      <c r="A926" s="1">
        <v>21000040</v>
      </c>
      <c r="B926" s="3">
        <f t="shared" si="13"/>
        <v>0</v>
      </c>
      <c r="C926" s="1" t="s">
        <v>2800</v>
      </c>
      <c r="D926" s="1" t="s">
        <v>11</v>
      </c>
      <c r="E926" s="1">
        <v>4</v>
      </c>
      <c r="F926" s="1">
        <v>2</v>
      </c>
      <c r="G926" s="1">
        <v>100</v>
      </c>
      <c r="H926" s="10">
        <v>0</v>
      </c>
      <c r="I926" s="1">
        <f t="shared" si="14"/>
        <v>21200</v>
      </c>
      <c r="J926" s="1">
        <v>10</v>
      </c>
      <c r="K926" s="1">
        <v>0</v>
      </c>
      <c r="L926" s="1">
        <v>0</v>
      </c>
      <c r="M926" s="1" t="str">
        <f t="shared" si="15"/>
        <v>105_4249_4249</v>
      </c>
      <c r="N926" s="1" t="s">
        <v>2426</v>
      </c>
      <c r="O926" s="1">
        <v>0</v>
      </c>
      <c r="P926" s="1" t="s">
        <v>2059</v>
      </c>
      <c r="Q926" s="7" t="str">
        <f t="shared" si="16"/>
        <v>equipment/5001.png</v>
      </c>
      <c r="R926" s="1">
        <v>0</v>
      </c>
    </row>
    <row r="927" spans="1:18" ht="14.25" thickBot="1">
      <c r="A927" s="1">
        <v>21000041</v>
      </c>
      <c r="B927" s="3">
        <f t="shared" ref="B927:B929" si="17">B465</f>
        <v>0</v>
      </c>
      <c r="C927" s="1" t="s">
        <v>2675</v>
      </c>
      <c r="D927" s="1" t="s">
        <v>11</v>
      </c>
      <c r="E927" s="1">
        <v>4</v>
      </c>
      <c r="F927" s="1">
        <v>2</v>
      </c>
      <c r="G927" s="1">
        <v>100</v>
      </c>
      <c r="H927" s="10">
        <v>0</v>
      </c>
      <c r="I927" s="1">
        <f t="shared" ref="I927:I929" si="18">I465*2</f>
        <v>21800</v>
      </c>
      <c r="J927" s="1">
        <v>10</v>
      </c>
      <c r="K927" s="1">
        <v>0</v>
      </c>
      <c r="L927" s="1">
        <v>0</v>
      </c>
      <c r="M927" s="1" t="str">
        <f t="shared" ref="M927:M928" si="19">M465</f>
        <v>105_0_0</v>
      </c>
      <c r="N927" s="1" t="s">
        <v>2426</v>
      </c>
      <c r="O927" s="1">
        <v>0</v>
      </c>
      <c r="P927" s="1" t="s">
        <v>2059</v>
      </c>
      <c r="Q927" s="7" t="str">
        <f t="shared" si="16"/>
        <v>equipment/5001.png</v>
      </c>
      <c r="R927" s="1">
        <v>0</v>
      </c>
    </row>
    <row r="928" spans="1:18" ht="14.25" thickBot="1">
      <c r="A928" s="1">
        <v>21000070</v>
      </c>
      <c r="B928" s="3">
        <f t="shared" si="17"/>
        <v>0</v>
      </c>
      <c r="C928" s="1" t="s">
        <v>2801</v>
      </c>
      <c r="D928" s="1" t="s">
        <v>14</v>
      </c>
      <c r="E928" s="1">
        <v>7</v>
      </c>
      <c r="F928" s="1">
        <v>2</v>
      </c>
      <c r="G928" s="1">
        <v>100</v>
      </c>
      <c r="H928" s="10">
        <v>0</v>
      </c>
      <c r="I928" s="1">
        <f t="shared" si="18"/>
        <v>21200</v>
      </c>
      <c r="J928" s="1">
        <v>10</v>
      </c>
      <c r="K928" s="1">
        <v>0</v>
      </c>
      <c r="L928" s="1">
        <v>0</v>
      </c>
      <c r="M928" s="1" t="str">
        <f t="shared" si="19"/>
        <v>105_4249_4249</v>
      </c>
      <c r="N928" s="1" t="s">
        <v>2426</v>
      </c>
      <c r="O928" s="1">
        <v>0</v>
      </c>
      <c r="P928" s="1" t="s">
        <v>2059</v>
      </c>
      <c r="Q928" s="7" t="str">
        <f t="shared" si="16"/>
        <v>equipment/7001.png</v>
      </c>
      <c r="R928" s="1">
        <v>0</v>
      </c>
    </row>
    <row r="929" spans="1:18" ht="14.25" thickBot="1">
      <c r="A929" s="1">
        <v>21000071</v>
      </c>
      <c r="B929" s="3">
        <f t="shared" si="17"/>
        <v>0</v>
      </c>
      <c r="C929" s="1" t="s">
        <v>2802</v>
      </c>
      <c r="D929" s="1" t="s">
        <v>14</v>
      </c>
      <c r="E929" s="1">
        <v>7</v>
      </c>
      <c r="F929" s="1">
        <v>2</v>
      </c>
      <c r="G929" s="1">
        <v>100</v>
      </c>
      <c r="H929" s="10">
        <v>0</v>
      </c>
      <c r="I929" s="1">
        <f t="shared" si="18"/>
        <v>21800</v>
      </c>
      <c r="J929" s="1">
        <v>10</v>
      </c>
      <c r="K929" s="1">
        <v>0</v>
      </c>
      <c r="L929" s="1">
        <v>0</v>
      </c>
      <c r="M929" s="1" t="str">
        <f>M467</f>
        <v>105_0_0</v>
      </c>
      <c r="N929" s="1" t="s">
        <v>2426</v>
      </c>
      <c r="O929" s="1">
        <v>0</v>
      </c>
      <c r="P929" s="1" t="s">
        <v>2059</v>
      </c>
      <c r="Q929" s="7" t="str">
        <f t="shared" si="16"/>
        <v>equipment/7001.png</v>
      </c>
      <c r="R929" s="1">
        <v>0</v>
      </c>
    </row>
    <row r="930" spans="1:18" ht="14.25" thickBot="1">
      <c r="A930" s="1" t="s">
        <v>728</v>
      </c>
      <c r="B930" s="2">
        <v>0</v>
      </c>
      <c r="C930" s="1" t="s">
        <v>2484</v>
      </c>
      <c r="D930" s="1" t="s">
        <v>8</v>
      </c>
      <c r="E930" s="1">
        <v>1</v>
      </c>
      <c r="F930" s="1">
        <v>3</v>
      </c>
      <c r="G930" s="1">
        <v>1</v>
      </c>
      <c r="H930" s="10">
        <v>0</v>
      </c>
      <c r="I930" s="1">
        <v>500</v>
      </c>
      <c r="J930" s="1">
        <v>20</v>
      </c>
      <c r="K930" s="1">
        <v>0</v>
      </c>
      <c r="L930" s="1">
        <v>0</v>
      </c>
      <c r="M930" s="1" t="s">
        <v>1797</v>
      </c>
      <c r="N930" s="1" t="s">
        <v>1058</v>
      </c>
      <c r="O930" s="1">
        <v>0</v>
      </c>
      <c r="P930" s="1" t="s">
        <v>2045</v>
      </c>
      <c r="Q930" s="7" t="str">
        <f t="shared" si="16"/>
        <v>equipment/3001.png</v>
      </c>
      <c r="R930" s="1">
        <v>0</v>
      </c>
    </row>
    <row r="931" spans="1:18" ht="14.25" thickBot="1">
      <c r="A931" s="1" t="s">
        <v>729</v>
      </c>
      <c r="B931" s="2">
        <v>0</v>
      </c>
      <c r="C931" s="1" t="s">
        <v>2485</v>
      </c>
      <c r="D931" s="1" t="s">
        <v>9</v>
      </c>
      <c r="E931" s="1">
        <v>2</v>
      </c>
      <c r="F931" s="1">
        <v>3</v>
      </c>
      <c r="G931" s="1">
        <v>1</v>
      </c>
      <c r="H931" s="10">
        <v>0</v>
      </c>
      <c r="I931" s="1">
        <v>500</v>
      </c>
      <c r="J931" s="1">
        <v>20</v>
      </c>
      <c r="K931" s="1">
        <v>0</v>
      </c>
      <c r="L931" s="1">
        <v>0</v>
      </c>
      <c r="M931" s="1" t="s">
        <v>1798</v>
      </c>
      <c r="N931" s="1" t="s">
        <v>1058</v>
      </c>
      <c r="O931" s="1">
        <v>0</v>
      </c>
      <c r="P931" s="1" t="s">
        <v>2045</v>
      </c>
      <c r="Q931" s="7" t="str">
        <f t="shared" si="16"/>
        <v>equipment/14001.png</v>
      </c>
      <c r="R931" s="1">
        <v>0</v>
      </c>
    </row>
    <row r="932" spans="1:18" ht="14.25" thickBot="1">
      <c r="A932" s="1" t="s">
        <v>730</v>
      </c>
      <c r="B932" s="2">
        <v>0</v>
      </c>
      <c r="C932" s="1" t="s">
        <v>2486</v>
      </c>
      <c r="D932" s="1" t="s">
        <v>10</v>
      </c>
      <c r="E932" s="1">
        <v>3</v>
      </c>
      <c r="F932" s="1">
        <v>3</v>
      </c>
      <c r="G932" s="1">
        <v>1</v>
      </c>
      <c r="H932" s="10">
        <v>0</v>
      </c>
      <c r="I932" s="1">
        <v>500</v>
      </c>
      <c r="J932" s="1">
        <v>20</v>
      </c>
      <c r="K932" s="1">
        <v>0</v>
      </c>
      <c r="L932" s="1">
        <v>0</v>
      </c>
      <c r="M932" s="1" t="s">
        <v>1799</v>
      </c>
      <c r="N932" s="1" t="s">
        <v>1058</v>
      </c>
      <c r="O932" s="1">
        <v>0</v>
      </c>
      <c r="P932" s="1" t="s">
        <v>2045</v>
      </c>
      <c r="Q932" s="7" t="str">
        <f t="shared" si="16"/>
        <v>equipment/6001.png</v>
      </c>
      <c r="R932" s="1">
        <v>0</v>
      </c>
    </row>
    <row r="933" spans="1:18" ht="14.25" thickBot="1">
      <c r="A933" s="1" t="s">
        <v>731</v>
      </c>
      <c r="B933" s="3">
        <v>1</v>
      </c>
      <c r="C933" s="1" t="s">
        <v>2487</v>
      </c>
      <c r="D933" s="1" t="s">
        <v>15</v>
      </c>
      <c r="E933" s="1">
        <v>8</v>
      </c>
      <c r="F933" s="1">
        <v>3</v>
      </c>
      <c r="G933" s="1">
        <v>1</v>
      </c>
      <c r="H933" s="10">
        <v>0</v>
      </c>
      <c r="I933" s="1">
        <v>500</v>
      </c>
      <c r="J933" s="1">
        <v>20</v>
      </c>
      <c r="K933" s="1">
        <v>0</v>
      </c>
      <c r="L933" s="1">
        <v>0</v>
      </c>
      <c r="M933" s="1" t="s">
        <v>1800</v>
      </c>
      <c r="N933" s="1" t="s">
        <v>1058</v>
      </c>
      <c r="O933" s="1">
        <v>0</v>
      </c>
      <c r="P933" s="1" t="s">
        <v>2045</v>
      </c>
      <c r="Q933" s="7" t="str">
        <f t="shared" si="16"/>
        <v>equipment/8001.png</v>
      </c>
      <c r="R933" s="1">
        <v>0</v>
      </c>
    </row>
    <row r="934" spans="1:18" ht="14.25" thickBot="1">
      <c r="A934" s="1" t="s">
        <v>732</v>
      </c>
      <c r="B934" s="3">
        <v>1</v>
      </c>
      <c r="C934" s="1" t="s">
        <v>2488</v>
      </c>
      <c r="D934" s="1" t="s">
        <v>16</v>
      </c>
      <c r="E934" s="1">
        <v>9</v>
      </c>
      <c r="F934" s="1">
        <v>3</v>
      </c>
      <c r="G934" s="1">
        <v>1</v>
      </c>
      <c r="H934" s="10">
        <v>0</v>
      </c>
      <c r="I934" s="1">
        <v>500</v>
      </c>
      <c r="J934" s="1">
        <v>20</v>
      </c>
      <c r="K934" s="1">
        <v>0</v>
      </c>
      <c r="L934" s="1">
        <v>0</v>
      </c>
      <c r="M934" s="1" t="s">
        <v>1801</v>
      </c>
      <c r="N934" s="1" t="s">
        <v>1058</v>
      </c>
      <c r="O934" s="1">
        <v>0</v>
      </c>
      <c r="P934" s="1" t="s">
        <v>2045</v>
      </c>
      <c r="Q934" s="7" t="str">
        <f t="shared" si="16"/>
        <v>equipment/10001.png</v>
      </c>
      <c r="R934" s="1">
        <v>0</v>
      </c>
    </row>
    <row r="935" spans="1:18" ht="14.25" thickBot="1">
      <c r="A935" s="1" t="s">
        <v>733</v>
      </c>
      <c r="B935" s="2">
        <v>0</v>
      </c>
      <c r="C935" s="1" t="s">
        <v>2489</v>
      </c>
      <c r="D935" s="1" t="s">
        <v>17</v>
      </c>
      <c r="E935" s="1">
        <v>10</v>
      </c>
      <c r="F935" s="1">
        <v>3</v>
      </c>
      <c r="G935" s="1">
        <v>1</v>
      </c>
      <c r="H935" s="10">
        <v>0</v>
      </c>
      <c r="I935" s="1">
        <v>500</v>
      </c>
      <c r="J935" s="1">
        <v>20</v>
      </c>
      <c r="K935" s="1">
        <v>0</v>
      </c>
      <c r="L935" s="1">
        <v>0</v>
      </c>
      <c r="M935" s="1" t="s">
        <v>1802</v>
      </c>
      <c r="N935" s="1" t="s">
        <v>1058</v>
      </c>
      <c r="O935" s="1">
        <v>0</v>
      </c>
      <c r="P935" s="1" t="s">
        <v>2045</v>
      </c>
      <c r="Q935" s="7" t="str">
        <f t="shared" si="16"/>
        <v>equipment/12001.png</v>
      </c>
      <c r="R935" s="1">
        <v>0</v>
      </c>
    </row>
    <row r="936" spans="1:18" ht="14.25" thickBot="1">
      <c r="A936" s="1" t="s">
        <v>734</v>
      </c>
      <c r="B936" s="3">
        <v>1</v>
      </c>
      <c r="C936" s="9" t="s">
        <v>2490</v>
      </c>
      <c r="D936" s="1" t="s">
        <v>12</v>
      </c>
      <c r="E936" s="1">
        <v>5</v>
      </c>
      <c r="F936" s="1">
        <v>3</v>
      </c>
      <c r="G936" s="1">
        <v>1</v>
      </c>
      <c r="H936" s="10" t="s">
        <v>2120</v>
      </c>
      <c r="I936" s="1">
        <v>500</v>
      </c>
      <c r="J936" s="1">
        <v>20</v>
      </c>
      <c r="K936" s="1">
        <v>0</v>
      </c>
      <c r="L936" s="1">
        <v>0</v>
      </c>
      <c r="M936" s="1" t="s">
        <v>2010</v>
      </c>
      <c r="N936" s="1" t="s">
        <v>1059</v>
      </c>
      <c r="O936" s="1">
        <v>0</v>
      </c>
      <c r="P936" s="1" t="s">
        <v>2045</v>
      </c>
      <c r="Q936" s="7" t="str">
        <f t="shared" si="16"/>
        <v>equipment/1101.png</v>
      </c>
      <c r="R936" s="1">
        <v>0</v>
      </c>
    </row>
    <row r="937" spans="1:18" ht="14.25" thickBot="1">
      <c r="A937" s="1" t="s">
        <v>735</v>
      </c>
      <c r="B937" s="3">
        <v>1</v>
      </c>
      <c r="C937" s="9" t="s">
        <v>2491</v>
      </c>
      <c r="D937" s="1" t="s">
        <v>12</v>
      </c>
      <c r="E937" s="1">
        <v>5</v>
      </c>
      <c r="F937" s="1">
        <v>3</v>
      </c>
      <c r="G937" s="1">
        <v>1</v>
      </c>
      <c r="H937" s="10" t="s">
        <v>2120</v>
      </c>
      <c r="I937" s="1">
        <v>2000</v>
      </c>
      <c r="J937" s="1">
        <v>20</v>
      </c>
      <c r="K937" s="1">
        <v>0</v>
      </c>
      <c r="L937" s="1">
        <v>0</v>
      </c>
      <c r="M937" s="1" t="s">
        <v>2011</v>
      </c>
      <c r="N937" s="1" t="s">
        <v>1059</v>
      </c>
      <c r="O937" s="1">
        <v>0</v>
      </c>
      <c r="P937" s="1" t="s">
        <v>2045</v>
      </c>
      <c r="Q937" s="7" t="str">
        <f t="shared" si="16"/>
        <v>equipment/1102.png</v>
      </c>
      <c r="R937" s="1">
        <v>0</v>
      </c>
    </row>
    <row r="938" spans="1:18" ht="14.25" thickBot="1">
      <c r="A938" s="1" t="s">
        <v>736</v>
      </c>
      <c r="B938" s="3">
        <v>1</v>
      </c>
      <c r="C938" s="9" t="s">
        <v>2492</v>
      </c>
      <c r="D938" s="1" t="s">
        <v>13</v>
      </c>
      <c r="E938" s="1">
        <v>6</v>
      </c>
      <c r="F938" s="1">
        <v>3</v>
      </c>
      <c r="G938" s="1">
        <v>1</v>
      </c>
      <c r="H938" s="10" t="s">
        <v>2120</v>
      </c>
      <c r="I938" s="1">
        <v>500</v>
      </c>
      <c r="J938" s="1">
        <v>20</v>
      </c>
      <c r="K938" s="1">
        <v>0</v>
      </c>
      <c r="L938" s="1">
        <v>0</v>
      </c>
      <c r="M938" s="1" t="s">
        <v>1803</v>
      </c>
      <c r="N938" s="1" t="s">
        <v>1059</v>
      </c>
      <c r="O938" s="1">
        <v>0</v>
      </c>
      <c r="P938" s="1" t="s">
        <v>2045</v>
      </c>
      <c r="Q938" s="7" t="str">
        <f t="shared" si="16"/>
        <v>equipment/2101.png</v>
      </c>
      <c r="R938" s="1">
        <v>0</v>
      </c>
    </row>
    <row r="939" spans="1:18" ht="14.25" thickBot="1">
      <c r="A939" s="1" t="s">
        <v>737</v>
      </c>
      <c r="B939" s="2">
        <v>0</v>
      </c>
      <c r="C939" s="9" t="s">
        <v>2061</v>
      </c>
      <c r="D939" s="1" t="s">
        <v>13</v>
      </c>
      <c r="E939" s="1">
        <v>6</v>
      </c>
      <c r="F939" s="1">
        <v>3</v>
      </c>
      <c r="G939" s="1">
        <v>1</v>
      </c>
      <c r="H939" s="10" t="s">
        <v>2120</v>
      </c>
      <c r="I939" s="1">
        <v>2000</v>
      </c>
      <c r="J939" s="1">
        <v>20</v>
      </c>
      <c r="K939" s="1">
        <v>0</v>
      </c>
      <c r="L939" s="1">
        <v>0</v>
      </c>
      <c r="M939" s="1" t="s">
        <v>1804</v>
      </c>
      <c r="N939" s="1" t="s">
        <v>1059</v>
      </c>
      <c r="O939" s="1">
        <v>0</v>
      </c>
      <c r="P939" s="1" t="s">
        <v>2045</v>
      </c>
      <c r="Q939" s="7" t="str">
        <f t="shared" si="16"/>
        <v>equipment/2101.png</v>
      </c>
      <c r="R939" s="1">
        <v>0</v>
      </c>
    </row>
    <row r="940" spans="1:18" ht="14.25" thickBot="1">
      <c r="A940" s="1" t="s">
        <v>738</v>
      </c>
      <c r="B940" s="3">
        <v>1</v>
      </c>
      <c r="C940" s="1" t="s">
        <v>2493</v>
      </c>
      <c r="D940" s="1" t="s">
        <v>12</v>
      </c>
      <c r="E940" s="1">
        <v>5</v>
      </c>
      <c r="F940" s="1">
        <v>3</v>
      </c>
      <c r="G940" s="1">
        <v>1</v>
      </c>
      <c r="H940" s="10" t="s">
        <v>2121</v>
      </c>
      <c r="I940" s="1">
        <v>500</v>
      </c>
      <c r="J940" s="1">
        <v>20</v>
      </c>
      <c r="K940" s="1">
        <v>0</v>
      </c>
      <c r="L940" s="1">
        <v>0</v>
      </c>
      <c r="M940" s="1" t="s">
        <v>2010</v>
      </c>
      <c r="N940" s="1" t="s">
        <v>1059</v>
      </c>
      <c r="O940" s="1">
        <v>0</v>
      </c>
      <c r="P940" s="1" t="s">
        <v>2045</v>
      </c>
      <c r="Q940" s="7" t="str">
        <f t="shared" si="16"/>
        <v>equipment/1201.png</v>
      </c>
      <c r="R940" s="1">
        <v>0</v>
      </c>
    </row>
    <row r="941" spans="1:18" ht="14.25" thickBot="1">
      <c r="A941" s="1" t="s">
        <v>739</v>
      </c>
      <c r="B941" s="3">
        <v>1</v>
      </c>
      <c r="C941" s="1" t="s">
        <v>2494</v>
      </c>
      <c r="D941" s="1" t="s">
        <v>12</v>
      </c>
      <c r="E941" s="1">
        <v>5</v>
      </c>
      <c r="F941" s="1">
        <v>3</v>
      </c>
      <c r="G941" s="1">
        <v>1</v>
      </c>
      <c r="H941" s="10" t="s">
        <v>2121</v>
      </c>
      <c r="I941" s="1">
        <v>2000</v>
      </c>
      <c r="J941" s="1">
        <v>20</v>
      </c>
      <c r="K941" s="1">
        <v>0</v>
      </c>
      <c r="L941" s="1">
        <v>0</v>
      </c>
      <c r="M941" s="1" t="s">
        <v>2011</v>
      </c>
      <c r="N941" s="1" t="s">
        <v>1059</v>
      </c>
      <c r="O941" s="1">
        <v>0</v>
      </c>
      <c r="P941" s="1" t="s">
        <v>2045</v>
      </c>
      <c r="Q941" s="7" t="str">
        <f t="shared" si="16"/>
        <v>equipment/1202.png</v>
      </c>
      <c r="R941" s="1">
        <v>0</v>
      </c>
    </row>
    <row r="942" spans="1:18" ht="14.25" thickBot="1">
      <c r="A942" s="1" t="s">
        <v>740</v>
      </c>
      <c r="B942" s="3">
        <v>1</v>
      </c>
      <c r="C942" s="9" t="s">
        <v>2495</v>
      </c>
      <c r="D942" s="1" t="s">
        <v>13</v>
      </c>
      <c r="E942" s="1">
        <v>6</v>
      </c>
      <c r="F942" s="1">
        <v>3</v>
      </c>
      <c r="G942" s="1">
        <v>1</v>
      </c>
      <c r="H942" s="10" t="s">
        <v>2121</v>
      </c>
      <c r="I942" s="1">
        <v>500</v>
      </c>
      <c r="J942" s="1">
        <v>20</v>
      </c>
      <c r="K942" s="1">
        <v>0</v>
      </c>
      <c r="L942" s="1">
        <v>0</v>
      </c>
      <c r="M942" s="1" t="s">
        <v>1805</v>
      </c>
      <c r="N942" s="1" t="s">
        <v>1059</v>
      </c>
      <c r="O942" s="1">
        <v>0</v>
      </c>
      <c r="P942" s="1" t="s">
        <v>2045</v>
      </c>
      <c r="Q942" s="7" t="str">
        <f t="shared" si="16"/>
        <v>equipment/2201.png</v>
      </c>
      <c r="R942" s="1">
        <v>0</v>
      </c>
    </row>
    <row r="943" spans="1:18" ht="14.25" thickBot="1">
      <c r="A943" s="1" t="s">
        <v>741</v>
      </c>
      <c r="B943" s="2">
        <v>0</v>
      </c>
      <c r="C943" s="9" t="s">
        <v>2094</v>
      </c>
      <c r="D943" s="1" t="s">
        <v>13</v>
      </c>
      <c r="E943" s="1">
        <v>6</v>
      </c>
      <c r="F943" s="1">
        <v>3</v>
      </c>
      <c r="G943" s="1">
        <v>1</v>
      </c>
      <c r="H943" s="10" t="s">
        <v>2121</v>
      </c>
      <c r="I943" s="1">
        <v>2000</v>
      </c>
      <c r="J943" s="1">
        <v>20</v>
      </c>
      <c r="K943" s="1">
        <v>0</v>
      </c>
      <c r="L943" s="1">
        <v>0</v>
      </c>
      <c r="M943" s="1" t="s">
        <v>1806</v>
      </c>
      <c r="N943" s="1" t="s">
        <v>1059</v>
      </c>
      <c r="O943" s="1">
        <v>0</v>
      </c>
      <c r="P943" s="1" t="s">
        <v>2045</v>
      </c>
      <c r="Q943" s="7" t="str">
        <f t="shared" si="16"/>
        <v>equipment/2201.png</v>
      </c>
      <c r="R943" s="1">
        <v>0</v>
      </c>
    </row>
    <row r="944" spans="1:18" ht="14.25" thickBot="1">
      <c r="A944" s="1" t="s">
        <v>742</v>
      </c>
      <c r="B944" s="3">
        <v>1</v>
      </c>
      <c r="C944" s="9" t="s">
        <v>2496</v>
      </c>
      <c r="D944" s="1" t="s">
        <v>12</v>
      </c>
      <c r="E944" s="1">
        <v>5</v>
      </c>
      <c r="F944" s="1">
        <v>3</v>
      </c>
      <c r="G944" s="1">
        <v>1</v>
      </c>
      <c r="H944" s="10" t="s">
        <v>2122</v>
      </c>
      <c r="I944" s="1">
        <v>500</v>
      </c>
      <c r="J944" s="1">
        <v>20</v>
      </c>
      <c r="K944" s="1">
        <v>0</v>
      </c>
      <c r="L944" s="1">
        <v>0</v>
      </c>
      <c r="M944" s="1" t="s">
        <v>2010</v>
      </c>
      <c r="N944" s="1" t="s">
        <v>1059</v>
      </c>
      <c r="O944" s="1">
        <v>0</v>
      </c>
      <c r="P944" s="1" t="s">
        <v>2045</v>
      </c>
      <c r="Q944" s="7" t="str">
        <f t="shared" si="16"/>
        <v>equipment/1301.png</v>
      </c>
      <c r="R944" s="1">
        <v>0</v>
      </c>
    </row>
    <row r="945" spans="1:18" ht="14.25" thickBot="1">
      <c r="A945" s="1" t="s">
        <v>743</v>
      </c>
      <c r="B945" s="3">
        <v>1</v>
      </c>
      <c r="C945" s="9" t="s">
        <v>2497</v>
      </c>
      <c r="D945" s="1" t="s">
        <v>12</v>
      </c>
      <c r="E945" s="1">
        <v>5</v>
      </c>
      <c r="F945" s="1">
        <v>3</v>
      </c>
      <c r="G945" s="1">
        <v>1</v>
      </c>
      <c r="H945" s="10" t="s">
        <v>2122</v>
      </c>
      <c r="I945" s="1">
        <v>2000</v>
      </c>
      <c r="J945" s="1">
        <v>20</v>
      </c>
      <c r="K945" s="1">
        <v>0</v>
      </c>
      <c r="L945" s="1">
        <v>0</v>
      </c>
      <c r="M945" s="1" t="s">
        <v>2011</v>
      </c>
      <c r="N945" s="1" t="s">
        <v>1059</v>
      </c>
      <c r="O945" s="1">
        <v>0</v>
      </c>
      <c r="P945" s="1" t="s">
        <v>2045</v>
      </c>
      <c r="Q945" s="7" t="str">
        <f t="shared" si="16"/>
        <v>equipment/1302.png</v>
      </c>
      <c r="R945" s="1">
        <v>0</v>
      </c>
    </row>
    <row r="946" spans="1:18" ht="14.25" thickBot="1">
      <c r="A946" s="1" t="s">
        <v>744</v>
      </c>
      <c r="B946" s="3">
        <v>1</v>
      </c>
      <c r="C946" s="9" t="s">
        <v>2498</v>
      </c>
      <c r="D946" s="1" t="s">
        <v>13</v>
      </c>
      <c r="E946" s="1">
        <v>6</v>
      </c>
      <c r="F946" s="1">
        <v>3</v>
      </c>
      <c r="G946" s="1">
        <v>1</v>
      </c>
      <c r="H946" s="10" t="s">
        <v>2122</v>
      </c>
      <c r="I946" s="1">
        <v>500</v>
      </c>
      <c r="J946" s="1">
        <v>20</v>
      </c>
      <c r="K946" s="1">
        <v>0</v>
      </c>
      <c r="L946" s="1">
        <v>0</v>
      </c>
      <c r="M946" s="1" t="s">
        <v>1807</v>
      </c>
      <c r="N946" s="1" t="s">
        <v>1059</v>
      </c>
      <c r="O946" s="1">
        <v>0</v>
      </c>
      <c r="P946" s="1" t="s">
        <v>2045</v>
      </c>
      <c r="Q946" s="7" t="str">
        <f t="shared" si="16"/>
        <v>equipment/2301.png</v>
      </c>
      <c r="R946" s="1">
        <v>0</v>
      </c>
    </row>
    <row r="947" spans="1:18" ht="14.25" thickBot="1">
      <c r="A947" s="1" t="s">
        <v>745</v>
      </c>
      <c r="B947" s="2">
        <v>0</v>
      </c>
      <c r="C947" s="9" t="s">
        <v>2095</v>
      </c>
      <c r="D947" s="1" t="s">
        <v>13</v>
      </c>
      <c r="E947" s="1">
        <v>6</v>
      </c>
      <c r="F947" s="1">
        <v>3</v>
      </c>
      <c r="G947" s="1">
        <v>1</v>
      </c>
      <c r="H947" s="10" t="s">
        <v>2122</v>
      </c>
      <c r="I947" s="1">
        <v>2000</v>
      </c>
      <c r="J947" s="1">
        <v>20</v>
      </c>
      <c r="K947" s="1">
        <v>0</v>
      </c>
      <c r="L947" s="1">
        <v>0</v>
      </c>
      <c r="M947" s="1" t="s">
        <v>1808</v>
      </c>
      <c r="N947" s="1" t="s">
        <v>1059</v>
      </c>
      <c r="O947" s="1">
        <v>0</v>
      </c>
      <c r="P947" s="1" t="s">
        <v>2045</v>
      </c>
      <c r="Q947" s="7" t="str">
        <f t="shared" si="16"/>
        <v>equipment/2301.png</v>
      </c>
      <c r="R947" s="1">
        <v>0</v>
      </c>
    </row>
    <row r="948" spans="1:18" ht="14.25" thickBot="1">
      <c r="A948" s="1" t="s">
        <v>746</v>
      </c>
      <c r="B948" s="3">
        <v>1</v>
      </c>
      <c r="C948" s="1" t="s">
        <v>2499</v>
      </c>
      <c r="D948" s="1" t="s">
        <v>11</v>
      </c>
      <c r="E948" s="1">
        <v>4</v>
      </c>
      <c r="F948" s="1">
        <v>3</v>
      </c>
      <c r="G948" s="1">
        <v>1</v>
      </c>
      <c r="H948" s="10">
        <v>0</v>
      </c>
      <c r="I948" s="1">
        <v>500</v>
      </c>
      <c r="J948" s="1">
        <v>20</v>
      </c>
      <c r="K948" s="1">
        <v>0</v>
      </c>
      <c r="L948" s="1">
        <v>0</v>
      </c>
      <c r="M948" s="1" t="s">
        <v>1809</v>
      </c>
      <c r="N948" s="1" t="s">
        <v>1058</v>
      </c>
      <c r="O948" s="1">
        <v>0</v>
      </c>
      <c r="P948" s="1" t="s">
        <v>2045</v>
      </c>
      <c r="Q948" s="7" t="str">
        <f t="shared" si="16"/>
        <v>equipment/5001.png</v>
      </c>
      <c r="R948" s="1">
        <v>0</v>
      </c>
    </row>
    <row r="949" spans="1:18" ht="14.25" thickBot="1">
      <c r="A949" s="1" t="s">
        <v>747</v>
      </c>
      <c r="B949" s="2">
        <v>0</v>
      </c>
      <c r="C949" s="1" t="s">
        <v>2499</v>
      </c>
      <c r="D949" s="1" t="s">
        <v>11</v>
      </c>
      <c r="E949" s="1">
        <v>4</v>
      </c>
      <c r="F949" s="1">
        <v>3</v>
      </c>
      <c r="G949" s="1">
        <v>1</v>
      </c>
      <c r="H949" s="10">
        <v>0</v>
      </c>
      <c r="I949" s="1">
        <v>2000</v>
      </c>
      <c r="J949" s="1">
        <v>20</v>
      </c>
      <c r="K949" s="1">
        <v>0</v>
      </c>
      <c r="L949" s="1">
        <v>0</v>
      </c>
      <c r="M949" s="1" t="s">
        <v>1810</v>
      </c>
      <c r="N949" s="1" t="s">
        <v>1058</v>
      </c>
      <c r="O949" s="1">
        <v>0</v>
      </c>
      <c r="P949" s="1" t="s">
        <v>2045</v>
      </c>
      <c r="Q949" s="7" t="str">
        <f t="shared" si="16"/>
        <v>equipment/5001.png</v>
      </c>
      <c r="R949" s="1">
        <v>0</v>
      </c>
    </row>
    <row r="950" spans="1:18" ht="14.25" thickBot="1">
      <c r="A950" s="1" t="s">
        <v>748</v>
      </c>
      <c r="B950" s="2">
        <v>0</v>
      </c>
      <c r="C950" s="1" t="s">
        <v>2500</v>
      </c>
      <c r="D950" s="1" t="s">
        <v>14</v>
      </c>
      <c r="E950" s="1">
        <v>7</v>
      </c>
      <c r="F950" s="1">
        <v>3</v>
      </c>
      <c r="G950" s="1">
        <v>1</v>
      </c>
      <c r="H950" s="10">
        <v>0</v>
      </c>
      <c r="I950" s="1">
        <v>500</v>
      </c>
      <c r="J950" s="1">
        <v>20</v>
      </c>
      <c r="K950" s="1">
        <v>0</v>
      </c>
      <c r="L950" s="1">
        <v>0</v>
      </c>
      <c r="M950" s="1" t="s">
        <v>1811</v>
      </c>
      <c r="N950" s="1" t="s">
        <v>1058</v>
      </c>
      <c r="O950" s="1">
        <v>0</v>
      </c>
      <c r="P950" s="1" t="s">
        <v>2045</v>
      </c>
      <c r="Q950" s="7" t="str">
        <f t="shared" si="16"/>
        <v>equipment/7001.png</v>
      </c>
      <c r="R950" s="1">
        <v>0</v>
      </c>
    </row>
    <row r="951" spans="1:18" ht="14.25" thickBot="1">
      <c r="A951" s="1" t="s">
        <v>749</v>
      </c>
      <c r="B951" s="2">
        <v>0</v>
      </c>
      <c r="C951" s="1" t="s">
        <v>2501</v>
      </c>
      <c r="D951" s="1" t="s">
        <v>14</v>
      </c>
      <c r="E951" s="1">
        <v>7</v>
      </c>
      <c r="F951" s="1">
        <v>3</v>
      </c>
      <c r="G951" s="1">
        <v>1</v>
      </c>
      <c r="H951" s="10">
        <v>0</v>
      </c>
      <c r="I951" s="1">
        <v>2000</v>
      </c>
      <c r="J951" s="1">
        <v>20</v>
      </c>
      <c r="K951" s="1">
        <v>0</v>
      </c>
      <c r="L951" s="1">
        <v>0</v>
      </c>
      <c r="M951" s="1" t="s">
        <v>1812</v>
      </c>
      <c r="N951" s="1" t="s">
        <v>1058</v>
      </c>
      <c r="O951" s="1">
        <v>0</v>
      </c>
      <c r="P951" s="1" t="s">
        <v>2045</v>
      </c>
      <c r="Q951" s="7" t="str">
        <f t="shared" si="16"/>
        <v>equipment/7001.png</v>
      </c>
      <c r="R951" s="1">
        <v>0</v>
      </c>
    </row>
    <row r="952" spans="1:18" ht="14.25" thickBot="1">
      <c r="A952" s="1" t="s">
        <v>750</v>
      </c>
      <c r="B952" s="3">
        <v>1</v>
      </c>
      <c r="C952" s="1" t="s">
        <v>2484</v>
      </c>
      <c r="D952" s="1" t="s">
        <v>8</v>
      </c>
      <c r="E952" s="1">
        <v>1</v>
      </c>
      <c r="F952" s="1">
        <v>3</v>
      </c>
      <c r="G952" s="1">
        <v>5</v>
      </c>
      <c r="H952" s="10">
        <v>0</v>
      </c>
      <c r="I952" s="1">
        <v>2500</v>
      </c>
      <c r="J952" s="1">
        <v>20</v>
      </c>
      <c r="K952" s="1">
        <v>0</v>
      </c>
      <c r="L952" s="1">
        <v>0</v>
      </c>
      <c r="M952" s="1" t="s">
        <v>1813</v>
      </c>
      <c r="N952" s="1" t="s">
        <v>1060</v>
      </c>
      <c r="O952" s="1">
        <v>0</v>
      </c>
      <c r="P952" s="1" t="s">
        <v>2046</v>
      </c>
      <c r="Q952" s="7" t="str">
        <f t="shared" si="16"/>
        <v>equipment/3001.png</v>
      </c>
      <c r="R952" s="1">
        <v>0</v>
      </c>
    </row>
    <row r="953" spans="1:18" ht="14.25" thickBot="1">
      <c r="A953" s="1" t="s">
        <v>751</v>
      </c>
      <c r="B953" s="3">
        <v>1</v>
      </c>
      <c r="C953" s="1" t="s">
        <v>2485</v>
      </c>
      <c r="D953" s="1" t="s">
        <v>9</v>
      </c>
      <c r="E953" s="1">
        <v>2</v>
      </c>
      <c r="F953" s="1">
        <v>3</v>
      </c>
      <c r="G953" s="1">
        <v>5</v>
      </c>
      <c r="H953" s="10">
        <v>0</v>
      </c>
      <c r="I953" s="1">
        <v>2500</v>
      </c>
      <c r="J953" s="1">
        <v>20</v>
      </c>
      <c r="K953" s="1">
        <v>0</v>
      </c>
      <c r="L953" s="1">
        <v>0</v>
      </c>
      <c r="M953" s="1" t="s">
        <v>1814</v>
      </c>
      <c r="N953" s="1" t="s">
        <v>1060</v>
      </c>
      <c r="O953" s="1">
        <v>0</v>
      </c>
      <c r="P953" s="1" t="s">
        <v>2046</v>
      </c>
      <c r="Q953" s="7" t="str">
        <f t="shared" si="16"/>
        <v>equipment/14001.png</v>
      </c>
      <c r="R953" s="1">
        <v>0</v>
      </c>
    </row>
    <row r="954" spans="1:18" ht="14.25" thickBot="1">
      <c r="A954" s="1" t="s">
        <v>752</v>
      </c>
      <c r="B954" s="3">
        <v>1</v>
      </c>
      <c r="C954" s="1" t="s">
        <v>2486</v>
      </c>
      <c r="D954" s="1" t="s">
        <v>10</v>
      </c>
      <c r="E954" s="1">
        <v>3</v>
      </c>
      <c r="F954" s="1">
        <v>3</v>
      </c>
      <c r="G954" s="1">
        <v>5</v>
      </c>
      <c r="H954" s="10">
        <v>0</v>
      </c>
      <c r="I954" s="1">
        <v>2500</v>
      </c>
      <c r="J954" s="1">
        <v>20</v>
      </c>
      <c r="K954" s="1">
        <v>0</v>
      </c>
      <c r="L954" s="1">
        <v>0</v>
      </c>
      <c r="M954" s="1" t="s">
        <v>1799</v>
      </c>
      <c r="N954" s="1" t="s">
        <v>1060</v>
      </c>
      <c r="O954" s="1">
        <v>0</v>
      </c>
      <c r="P954" s="1" t="s">
        <v>2046</v>
      </c>
      <c r="Q954" s="7" t="str">
        <f t="shared" si="16"/>
        <v>equipment/6001.png</v>
      </c>
      <c r="R954" s="1">
        <v>0</v>
      </c>
    </row>
    <row r="955" spans="1:18" ht="14.25" thickBot="1">
      <c r="A955" s="1" t="s">
        <v>753</v>
      </c>
      <c r="B955" s="2">
        <v>0</v>
      </c>
      <c r="C955" s="1" t="s">
        <v>2487</v>
      </c>
      <c r="D955" s="1" t="s">
        <v>15</v>
      </c>
      <c r="E955" s="1">
        <v>8</v>
      </c>
      <c r="F955" s="1">
        <v>3</v>
      </c>
      <c r="G955" s="1">
        <v>5</v>
      </c>
      <c r="H955" s="10">
        <v>0</v>
      </c>
      <c r="I955" s="1">
        <v>2500</v>
      </c>
      <c r="J955" s="1">
        <v>20</v>
      </c>
      <c r="K955" s="1">
        <v>0</v>
      </c>
      <c r="L955" s="1">
        <v>0</v>
      </c>
      <c r="M955" s="1" t="s">
        <v>1815</v>
      </c>
      <c r="N955" s="1" t="s">
        <v>1060</v>
      </c>
      <c r="O955" s="1">
        <v>0</v>
      </c>
      <c r="P955" s="1" t="s">
        <v>2046</v>
      </c>
      <c r="Q955" s="7" t="str">
        <f t="shared" si="16"/>
        <v>equipment/8001.png</v>
      </c>
      <c r="R955" s="1">
        <v>0</v>
      </c>
    </row>
    <row r="956" spans="1:18" ht="14.25" thickBot="1">
      <c r="A956" s="1" t="s">
        <v>754</v>
      </c>
      <c r="B956" s="2">
        <v>0</v>
      </c>
      <c r="C956" s="1" t="s">
        <v>2488</v>
      </c>
      <c r="D956" s="1" t="s">
        <v>16</v>
      </c>
      <c r="E956" s="1">
        <v>9</v>
      </c>
      <c r="F956" s="1">
        <v>3</v>
      </c>
      <c r="G956" s="1">
        <v>5</v>
      </c>
      <c r="H956" s="10">
        <v>0</v>
      </c>
      <c r="I956" s="1">
        <v>2500</v>
      </c>
      <c r="J956" s="1">
        <v>20</v>
      </c>
      <c r="K956" s="1">
        <v>0</v>
      </c>
      <c r="L956" s="1">
        <v>0</v>
      </c>
      <c r="M956" s="1" t="s">
        <v>1816</v>
      </c>
      <c r="N956" s="1" t="s">
        <v>1060</v>
      </c>
      <c r="O956" s="1">
        <v>0</v>
      </c>
      <c r="P956" s="1" t="s">
        <v>2046</v>
      </c>
      <c r="Q956" s="7" t="str">
        <f t="shared" si="16"/>
        <v>equipment/10001.png</v>
      </c>
      <c r="R956" s="1">
        <v>0</v>
      </c>
    </row>
    <row r="957" spans="1:18" ht="14.25" thickBot="1">
      <c r="A957" s="1" t="s">
        <v>755</v>
      </c>
      <c r="B957" s="3">
        <v>1</v>
      </c>
      <c r="C957" s="1" t="s">
        <v>2489</v>
      </c>
      <c r="D957" s="1" t="s">
        <v>17</v>
      </c>
      <c r="E957" s="1">
        <v>10</v>
      </c>
      <c r="F957" s="1">
        <v>3</v>
      </c>
      <c r="G957" s="1">
        <v>5</v>
      </c>
      <c r="H957" s="10">
        <v>0</v>
      </c>
      <c r="I957" s="1">
        <v>2500</v>
      </c>
      <c r="J957" s="1">
        <v>20</v>
      </c>
      <c r="K957" s="1">
        <v>0</v>
      </c>
      <c r="L957" s="1">
        <v>0</v>
      </c>
      <c r="M957" s="1" t="s">
        <v>1817</v>
      </c>
      <c r="N957" s="1" t="s">
        <v>1060</v>
      </c>
      <c r="O957" s="1">
        <v>0</v>
      </c>
      <c r="P957" s="1" t="s">
        <v>2046</v>
      </c>
      <c r="Q957" s="7" t="str">
        <f t="shared" si="16"/>
        <v>equipment/12001.png</v>
      </c>
      <c r="R957" s="1">
        <v>0</v>
      </c>
    </row>
    <row r="958" spans="1:18" ht="14.25" thickBot="1">
      <c r="A958" s="1" t="s">
        <v>756</v>
      </c>
      <c r="B958" s="3">
        <v>1</v>
      </c>
      <c r="C958" s="9" t="s">
        <v>2502</v>
      </c>
      <c r="D958" s="1" t="s">
        <v>12</v>
      </c>
      <c r="E958" s="1">
        <v>5</v>
      </c>
      <c r="F958" s="1">
        <v>3</v>
      </c>
      <c r="G958" s="1">
        <v>5</v>
      </c>
      <c r="H958" s="10" t="s">
        <v>2120</v>
      </c>
      <c r="I958" s="1">
        <v>2500</v>
      </c>
      <c r="J958" s="1">
        <v>20</v>
      </c>
      <c r="K958" s="1">
        <v>0</v>
      </c>
      <c r="L958" s="1">
        <v>0</v>
      </c>
      <c r="M958" s="1" t="s">
        <v>1818</v>
      </c>
      <c r="N958" s="1" t="s">
        <v>1061</v>
      </c>
      <c r="O958" s="1">
        <v>0</v>
      </c>
      <c r="P958" s="1" t="s">
        <v>2046</v>
      </c>
      <c r="Q958" s="7" t="str">
        <f t="shared" si="16"/>
        <v>equipment/1103.png</v>
      </c>
      <c r="R958" s="1">
        <v>0</v>
      </c>
    </row>
    <row r="959" spans="1:18" ht="14.25" thickBot="1">
      <c r="A959" s="1" t="s">
        <v>757</v>
      </c>
      <c r="B959" s="3">
        <v>1</v>
      </c>
      <c r="C959" s="9" t="s">
        <v>2503</v>
      </c>
      <c r="D959" s="1" t="s">
        <v>12</v>
      </c>
      <c r="E959" s="1">
        <v>5</v>
      </c>
      <c r="F959" s="1">
        <v>3</v>
      </c>
      <c r="G959" s="1">
        <v>5</v>
      </c>
      <c r="H959" s="10" t="s">
        <v>2120</v>
      </c>
      <c r="I959" s="1">
        <v>4000</v>
      </c>
      <c r="J959" s="1">
        <v>20</v>
      </c>
      <c r="K959" s="1">
        <v>0</v>
      </c>
      <c r="L959" s="1">
        <v>0</v>
      </c>
      <c r="M959" s="1" t="s">
        <v>2012</v>
      </c>
      <c r="N959" s="1" t="s">
        <v>1061</v>
      </c>
      <c r="O959" s="1">
        <v>0</v>
      </c>
      <c r="P959" s="1" t="s">
        <v>2046</v>
      </c>
      <c r="Q959" s="7" t="str">
        <f t="shared" si="16"/>
        <v>equipment/1104.png</v>
      </c>
      <c r="R959" s="1">
        <v>0</v>
      </c>
    </row>
    <row r="960" spans="1:18" ht="14.25" thickBot="1">
      <c r="A960" s="1" t="s">
        <v>758</v>
      </c>
      <c r="B960" s="3">
        <v>1</v>
      </c>
      <c r="C960" s="9" t="s">
        <v>2061</v>
      </c>
      <c r="D960" s="1" t="s">
        <v>13</v>
      </c>
      <c r="E960" s="1">
        <v>6</v>
      </c>
      <c r="F960" s="1">
        <v>3</v>
      </c>
      <c r="G960" s="1">
        <v>5</v>
      </c>
      <c r="H960" s="10" t="s">
        <v>2120</v>
      </c>
      <c r="I960" s="1">
        <v>2500</v>
      </c>
      <c r="J960" s="1">
        <v>20</v>
      </c>
      <c r="K960" s="1">
        <v>0</v>
      </c>
      <c r="L960" s="1">
        <v>0</v>
      </c>
      <c r="M960" s="1" t="s">
        <v>1819</v>
      </c>
      <c r="N960" s="1" t="s">
        <v>1061</v>
      </c>
      <c r="O960" s="1">
        <v>0</v>
      </c>
      <c r="P960" s="1" t="s">
        <v>2046</v>
      </c>
      <c r="Q960" s="7" t="str">
        <f t="shared" si="16"/>
        <v>equipment/2102.png</v>
      </c>
      <c r="R960" s="1">
        <v>0</v>
      </c>
    </row>
    <row r="961" spans="1:18" ht="14.25" thickBot="1">
      <c r="A961" s="1" t="s">
        <v>759</v>
      </c>
      <c r="B961" s="2">
        <v>0</v>
      </c>
      <c r="C961" s="9" t="s">
        <v>2061</v>
      </c>
      <c r="D961" s="1" t="s">
        <v>13</v>
      </c>
      <c r="E961" s="1">
        <v>6</v>
      </c>
      <c r="F961" s="1">
        <v>3</v>
      </c>
      <c r="G961" s="1">
        <v>5</v>
      </c>
      <c r="H961" s="10" t="s">
        <v>2120</v>
      </c>
      <c r="I961" s="1">
        <v>4000</v>
      </c>
      <c r="J961" s="1">
        <v>20</v>
      </c>
      <c r="K961" s="1">
        <v>0</v>
      </c>
      <c r="L961" s="1">
        <v>0</v>
      </c>
      <c r="M961" s="1" t="s">
        <v>1820</v>
      </c>
      <c r="N961" s="1" t="s">
        <v>1061</v>
      </c>
      <c r="O961" s="1">
        <v>0</v>
      </c>
      <c r="P961" s="1" t="s">
        <v>2046</v>
      </c>
      <c r="Q961" s="7" t="str">
        <f t="shared" si="16"/>
        <v>equipment/2101.png</v>
      </c>
      <c r="R961" s="1">
        <v>0</v>
      </c>
    </row>
    <row r="962" spans="1:18" ht="14.25" thickBot="1">
      <c r="A962" s="1" t="s">
        <v>760</v>
      </c>
      <c r="B962" s="3">
        <v>1</v>
      </c>
      <c r="C962" s="1" t="s">
        <v>2504</v>
      </c>
      <c r="D962" s="1" t="s">
        <v>12</v>
      </c>
      <c r="E962" s="1">
        <v>5</v>
      </c>
      <c r="F962" s="1">
        <v>3</v>
      </c>
      <c r="G962" s="1">
        <v>5</v>
      </c>
      <c r="H962" s="10" t="s">
        <v>2121</v>
      </c>
      <c r="I962" s="1">
        <v>2500</v>
      </c>
      <c r="J962" s="1">
        <v>20</v>
      </c>
      <c r="K962" s="1">
        <v>0</v>
      </c>
      <c r="L962" s="1">
        <v>0</v>
      </c>
      <c r="M962" s="1" t="s">
        <v>1818</v>
      </c>
      <c r="N962" s="1" t="s">
        <v>1061</v>
      </c>
      <c r="O962" s="1">
        <v>0</v>
      </c>
      <c r="P962" s="1" t="s">
        <v>2046</v>
      </c>
      <c r="Q962" s="7" t="str">
        <f t="shared" si="16"/>
        <v>equipment/1204.png</v>
      </c>
      <c r="R962" s="1">
        <v>0</v>
      </c>
    </row>
    <row r="963" spans="1:18" ht="14.25" thickBot="1">
      <c r="A963" s="1" t="s">
        <v>761</v>
      </c>
      <c r="B963" s="3">
        <v>1</v>
      </c>
      <c r="C963" s="1" t="s">
        <v>2505</v>
      </c>
      <c r="D963" s="1" t="s">
        <v>12</v>
      </c>
      <c r="E963" s="1">
        <v>5</v>
      </c>
      <c r="F963" s="1">
        <v>3</v>
      </c>
      <c r="G963" s="1">
        <v>5</v>
      </c>
      <c r="H963" s="10" t="s">
        <v>2121</v>
      </c>
      <c r="I963" s="1">
        <v>4000</v>
      </c>
      <c r="J963" s="1">
        <v>20</v>
      </c>
      <c r="K963" s="1">
        <v>0</v>
      </c>
      <c r="L963" s="1">
        <v>0</v>
      </c>
      <c r="M963" s="1" t="s">
        <v>2012</v>
      </c>
      <c r="N963" s="1" t="s">
        <v>1061</v>
      </c>
      <c r="O963" s="1">
        <v>0</v>
      </c>
      <c r="P963" s="1" t="s">
        <v>2046</v>
      </c>
      <c r="Q963" s="7" t="str">
        <f t="shared" si="16"/>
        <v>equipment/1203.png</v>
      </c>
      <c r="R963" s="1">
        <v>0</v>
      </c>
    </row>
    <row r="964" spans="1:18" ht="14.25" thickBot="1">
      <c r="A964" s="1" t="s">
        <v>762</v>
      </c>
      <c r="B964" s="3">
        <v>1</v>
      </c>
      <c r="C964" s="9" t="s">
        <v>2094</v>
      </c>
      <c r="D964" s="1" t="s">
        <v>13</v>
      </c>
      <c r="E964" s="1">
        <v>6</v>
      </c>
      <c r="F964" s="1">
        <v>3</v>
      </c>
      <c r="G964" s="1">
        <v>5</v>
      </c>
      <c r="H964" s="10" t="s">
        <v>2121</v>
      </c>
      <c r="I964" s="1">
        <v>2500</v>
      </c>
      <c r="J964" s="1">
        <v>20</v>
      </c>
      <c r="K964" s="1">
        <v>0</v>
      </c>
      <c r="L964" s="1">
        <v>0</v>
      </c>
      <c r="M964" s="1" t="s">
        <v>1821</v>
      </c>
      <c r="N964" s="1" t="s">
        <v>1061</v>
      </c>
      <c r="O964" s="1">
        <v>0</v>
      </c>
      <c r="P964" s="1" t="s">
        <v>2046</v>
      </c>
      <c r="Q964" s="7" t="str">
        <f t="shared" si="16"/>
        <v>equipment/2202.png</v>
      </c>
      <c r="R964" s="1">
        <v>0</v>
      </c>
    </row>
    <row r="965" spans="1:18" ht="14.25" thickBot="1">
      <c r="A965" s="1" t="s">
        <v>763</v>
      </c>
      <c r="B965" s="2">
        <v>0</v>
      </c>
      <c r="C965" s="9" t="s">
        <v>2094</v>
      </c>
      <c r="D965" s="1" t="s">
        <v>13</v>
      </c>
      <c r="E965" s="1">
        <v>6</v>
      </c>
      <c r="F965" s="1">
        <v>3</v>
      </c>
      <c r="G965" s="1">
        <v>5</v>
      </c>
      <c r="H965" s="10" t="s">
        <v>2121</v>
      </c>
      <c r="I965" s="1">
        <v>4000</v>
      </c>
      <c r="J965" s="1">
        <v>20</v>
      </c>
      <c r="K965" s="1">
        <v>0</v>
      </c>
      <c r="L965" s="1">
        <v>0</v>
      </c>
      <c r="M965" s="1" t="s">
        <v>1822</v>
      </c>
      <c r="N965" s="1" t="s">
        <v>1061</v>
      </c>
      <c r="O965" s="1">
        <v>0</v>
      </c>
      <c r="P965" s="1" t="s">
        <v>2046</v>
      </c>
      <c r="Q965" s="7" t="str">
        <f t="shared" si="16"/>
        <v>equipment/2201.png</v>
      </c>
      <c r="R965" s="1">
        <v>0</v>
      </c>
    </row>
    <row r="966" spans="1:18" ht="14.25" thickBot="1">
      <c r="A966" s="1" t="s">
        <v>764</v>
      </c>
      <c r="B966" s="3">
        <v>1</v>
      </c>
      <c r="C966" s="9" t="s">
        <v>2506</v>
      </c>
      <c r="D966" s="1" t="s">
        <v>12</v>
      </c>
      <c r="E966" s="1">
        <v>5</v>
      </c>
      <c r="F966" s="1">
        <v>3</v>
      </c>
      <c r="G966" s="1">
        <v>5</v>
      </c>
      <c r="H966" s="10" t="s">
        <v>2122</v>
      </c>
      <c r="I966" s="1">
        <v>2500</v>
      </c>
      <c r="J966" s="1">
        <v>20</v>
      </c>
      <c r="K966" s="1">
        <v>0</v>
      </c>
      <c r="L966" s="1">
        <v>0</v>
      </c>
      <c r="M966" s="1" t="s">
        <v>1818</v>
      </c>
      <c r="N966" s="1" t="s">
        <v>1061</v>
      </c>
      <c r="O966" s="1">
        <v>0</v>
      </c>
      <c r="P966" s="1" t="s">
        <v>2046</v>
      </c>
      <c r="Q966" s="7" t="str">
        <f t="shared" si="16"/>
        <v>equipment/1303.png</v>
      </c>
      <c r="R966" s="1">
        <v>0</v>
      </c>
    </row>
    <row r="967" spans="1:18" ht="14.25" thickBot="1">
      <c r="A967" s="1" t="s">
        <v>765</v>
      </c>
      <c r="B967" s="3">
        <v>1</v>
      </c>
      <c r="C967" s="9" t="s">
        <v>2507</v>
      </c>
      <c r="D967" s="1" t="s">
        <v>12</v>
      </c>
      <c r="E967" s="1">
        <v>5</v>
      </c>
      <c r="F967" s="1">
        <v>3</v>
      </c>
      <c r="G967" s="1">
        <v>5</v>
      </c>
      <c r="H967" s="10" t="s">
        <v>2122</v>
      </c>
      <c r="I967" s="1">
        <v>4000</v>
      </c>
      <c r="J967" s="1">
        <v>20</v>
      </c>
      <c r="K967" s="1">
        <v>0</v>
      </c>
      <c r="L967" s="1">
        <v>0</v>
      </c>
      <c r="M967" s="1" t="s">
        <v>2012</v>
      </c>
      <c r="N967" s="1" t="s">
        <v>1061</v>
      </c>
      <c r="O967" s="1">
        <v>0</v>
      </c>
      <c r="P967" s="1" t="s">
        <v>2046</v>
      </c>
      <c r="Q967" s="7" t="str">
        <f t="shared" si="16"/>
        <v>equipment/1304.png</v>
      </c>
      <c r="R967" s="1">
        <v>0</v>
      </c>
    </row>
    <row r="968" spans="1:18" ht="14.25" thickBot="1">
      <c r="A968" s="1" t="s">
        <v>766</v>
      </c>
      <c r="B968" s="3">
        <v>1</v>
      </c>
      <c r="C968" s="9" t="s">
        <v>2095</v>
      </c>
      <c r="D968" s="1" t="s">
        <v>13</v>
      </c>
      <c r="E968" s="1">
        <v>6</v>
      </c>
      <c r="F968" s="1">
        <v>3</v>
      </c>
      <c r="G968" s="1">
        <v>5</v>
      </c>
      <c r="H968" s="10" t="s">
        <v>2122</v>
      </c>
      <c r="I968" s="1">
        <v>2500</v>
      </c>
      <c r="J968" s="1">
        <v>20</v>
      </c>
      <c r="K968" s="1">
        <v>0</v>
      </c>
      <c r="L968" s="1">
        <v>0</v>
      </c>
      <c r="M968" s="1" t="s">
        <v>1823</v>
      </c>
      <c r="N968" s="1" t="s">
        <v>1061</v>
      </c>
      <c r="O968" s="1">
        <v>0</v>
      </c>
      <c r="P968" s="1" t="s">
        <v>2046</v>
      </c>
      <c r="Q968" s="7" t="str">
        <f t="shared" si="16"/>
        <v>equipment/2302.png</v>
      </c>
      <c r="R968" s="1">
        <v>0</v>
      </c>
    </row>
    <row r="969" spans="1:18" ht="14.25" thickBot="1">
      <c r="A969" s="1" t="s">
        <v>767</v>
      </c>
      <c r="B969" s="2">
        <v>0</v>
      </c>
      <c r="C969" s="9" t="s">
        <v>2095</v>
      </c>
      <c r="D969" s="1" t="s">
        <v>13</v>
      </c>
      <c r="E969" s="1">
        <v>6</v>
      </c>
      <c r="F969" s="1">
        <v>3</v>
      </c>
      <c r="G969" s="1">
        <v>5</v>
      </c>
      <c r="H969" s="10" t="s">
        <v>2122</v>
      </c>
      <c r="I969" s="1">
        <v>4000</v>
      </c>
      <c r="J969" s="1">
        <v>20</v>
      </c>
      <c r="K969" s="1">
        <v>0</v>
      </c>
      <c r="L969" s="1">
        <v>0</v>
      </c>
      <c r="M969" s="1" t="s">
        <v>1824</v>
      </c>
      <c r="N969" s="1" t="s">
        <v>1061</v>
      </c>
      <c r="O969" s="1">
        <v>0</v>
      </c>
      <c r="P969" s="1" t="s">
        <v>2046</v>
      </c>
      <c r="Q969" s="7" t="str">
        <f t="shared" si="16"/>
        <v>equipment/2301.png</v>
      </c>
      <c r="R969" s="1">
        <v>0</v>
      </c>
    </row>
    <row r="970" spans="1:18" ht="14.25" thickBot="1">
      <c r="A970" s="1" t="s">
        <v>768</v>
      </c>
      <c r="B970" s="3">
        <v>1</v>
      </c>
      <c r="C970" s="1" t="s">
        <v>2508</v>
      </c>
      <c r="D970" s="1" t="s">
        <v>11</v>
      </c>
      <c r="E970" s="1">
        <v>4</v>
      </c>
      <c r="F970" s="1">
        <v>3</v>
      </c>
      <c r="G970" s="1">
        <v>5</v>
      </c>
      <c r="H970" s="10">
        <v>0</v>
      </c>
      <c r="I970" s="1">
        <v>2500</v>
      </c>
      <c r="J970" s="1">
        <v>20</v>
      </c>
      <c r="K970" s="1">
        <v>0</v>
      </c>
      <c r="L970" s="1">
        <v>0</v>
      </c>
      <c r="M970" s="1" t="s">
        <v>1825</v>
      </c>
      <c r="N970" s="1" t="s">
        <v>1060</v>
      </c>
      <c r="O970" s="1">
        <v>0</v>
      </c>
      <c r="P970" s="1" t="s">
        <v>2046</v>
      </c>
      <c r="Q970" s="7" t="str">
        <f t="shared" si="16"/>
        <v>equipment/5002.png</v>
      </c>
      <c r="R970" s="1">
        <v>0</v>
      </c>
    </row>
    <row r="971" spans="1:18" ht="14.25" thickBot="1">
      <c r="A971" s="1" t="s">
        <v>769</v>
      </c>
      <c r="B971" s="3">
        <v>1</v>
      </c>
      <c r="C971" s="1" t="s">
        <v>2509</v>
      </c>
      <c r="D971" s="1" t="s">
        <v>11</v>
      </c>
      <c r="E971" s="1">
        <v>4</v>
      </c>
      <c r="F971" s="1">
        <v>3</v>
      </c>
      <c r="G971" s="1">
        <v>5</v>
      </c>
      <c r="H971" s="10">
        <v>0</v>
      </c>
      <c r="I971" s="1">
        <v>4000</v>
      </c>
      <c r="J971" s="1">
        <v>20</v>
      </c>
      <c r="K971" s="1">
        <v>0</v>
      </c>
      <c r="L971" s="1">
        <v>0</v>
      </c>
      <c r="M971" s="1" t="s">
        <v>1826</v>
      </c>
      <c r="N971" s="1" t="s">
        <v>1060</v>
      </c>
      <c r="O971" s="1">
        <v>0</v>
      </c>
      <c r="P971" s="1" t="s">
        <v>2046</v>
      </c>
      <c r="Q971" s="7" t="str">
        <f t="shared" si="16"/>
        <v>equipment/5003.png</v>
      </c>
      <c r="R971" s="1">
        <v>0</v>
      </c>
    </row>
    <row r="972" spans="1:18" ht="14.25" thickBot="1">
      <c r="A972" s="1" t="s">
        <v>770</v>
      </c>
      <c r="B972" s="3">
        <v>1</v>
      </c>
      <c r="C972" s="1" t="s">
        <v>2500</v>
      </c>
      <c r="D972" s="1" t="s">
        <v>14</v>
      </c>
      <c r="E972" s="1">
        <v>7</v>
      </c>
      <c r="F972" s="1">
        <v>3</v>
      </c>
      <c r="G972" s="1">
        <v>5</v>
      </c>
      <c r="H972" s="10">
        <v>0</v>
      </c>
      <c r="I972" s="1">
        <v>2500</v>
      </c>
      <c r="J972" s="1">
        <v>20</v>
      </c>
      <c r="K972" s="1">
        <v>0</v>
      </c>
      <c r="L972" s="1">
        <v>0</v>
      </c>
      <c r="M972" s="1" t="s">
        <v>1809</v>
      </c>
      <c r="N972" s="1" t="s">
        <v>1060</v>
      </c>
      <c r="O972" s="1">
        <v>0</v>
      </c>
      <c r="P972" s="1" t="s">
        <v>2046</v>
      </c>
      <c r="Q972" s="7" t="str">
        <f t="shared" si="16"/>
        <v>equipment/7001.png</v>
      </c>
      <c r="R972" s="1">
        <v>0</v>
      </c>
    </row>
    <row r="973" spans="1:18" ht="14.25" thickBot="1">
      <c r="A973" s="1" t="s">
        <v>771</v>
      </c>
      <c r="B973" s="3">
        <v>1</v>
      </c>
      <c r="C973" s="1" t="s">
        <v>2501</v>
      </c>
      <c r="D973" s="1" t="s">
        <v>14</v>
      </c>
      <c r="E973" s="1">
        <v>7</v>
      </c>
      <c r="F973" s="1">
        <v>3</v>
      </c>
      <c r="G973" s="1">
        <v>5</v>
      </c>
      <c r="H973" s="10">
        <v>0</v>
      </c>
      <c r="I973" s="1">
        <v>4000</v>
      </c>
      <c r="J973" s="1">
        <v>20</v>
      </c>
      <c r="K973" s="1">
        <v>0</v>
      </c>
      <c r="L973" s="1">
        <v>0</v>
      </c>
      <c r="M973" s="1" t="s">
        <v>1827</v>
      </c>
      <c r="N973" s="1" t="s">
        <v>1060</v>
      </c>
      <c r="O973" s="1">
        <v>0</v>
      </c>
      <c r="P973" s="1" t="s">
        <v>2046</v>
      </c>
      <c r="Q973" s="7" t="str">
        <f t="shared" si="16"/>
        <v>equipment/7002.png</v>
      </c>
      <c r="R973" s="1">
        <v>0</v>
      </c>
    </row>
    <row r="974" spans="1:18" ht="14.25" thickBot="1">
      <c r="A974" s="1" t="s">
        <v>772</v>
      </c>
      <c r="B974" s="3">
        <v>1</v>
      </c>
      <c r="C974" s="1" t="s">
        <v>2510</v>
      </c>
      <c r="D974" s="1" t="s">
        <v>8</v>
      </c>
      <c r="E974" s="1">
        <v>1</v>
      </c>
      <c r="F974" s="1">
        <v>3</v>
      </c>
      <c r="G974" s="1">
        <v>10</v>
      </c>
      <c r="H974" s="10">
        <v>0</v>
      </c>
      <c r="I974" s="1">
        <v>5000</v>
      </c>
      <c r="J974" s="1">
        <v>20</v>
      </c>
      <c r="K974" s="1">
        <v>0</v>
      </c>
      <c r="L974" s="1">
        <v>7500</v>
      </c>
      <c r="M974" s="1" t="s">
        <v>1828</v>
      </c>
      <c r="N974" s="1" t="s">
        <v>1062</v>
      </c>
      <c r="O974" s="1">
        <v>0</v>
      </c>
      <c r="P974" s="1" t="s">
        <v>2047</v>
      </c>
      <c r="Q974" s="7" t="str">
        <f t="shared" si="16"/>
        <v>equipment/3002.png</v>
      </c>
      <c r="R974" s="1">
        <v>0</v>
      </c>
    </row>
    <row r="975" spans="1:18" ht="14.25" thickBot="1">
      <c r="A975" s="1" t="s">
        <v>773</v>
      </c>
      <c r="B975" s="3">
        <v>1</v>
      </c>
      <c r="C975" s="1" t="s">
        <v>2511</v>
      </c>
      <c r="D975" s="1" t="s">
        <v>9</v>
      </c>
      <c r="E975" s="1">
        <v>2</v>
      </c>
      <c r="F975" s="1">
        <v>3</v>
      </c>
      <c r="G975" s="1">
        <v>10</v>
      </c>
      <c r="H975" s="10">
        <v>0</v>
      </c>
      <c r="I975" s="1">
        <v>5000</v>
      </c>
      <c r="J975" s="1">
        <v>20</v>
      </c>
      <c r="K975" s="1">
        <v>0</v>
      </c>
      <c r="L975" s="1">
        <v>7500</v>
      </c>
      <c r="M975" s="1" t="s">
        <v>1829</v>
      </c>
      <c r="N975" s="1" t="s">
        <v>1062</v>
      </c>
      <c r="O975" s="1">
        <v>0</v>
      </c>
      <c r="P975" s="1" t="s">
        <v>2047</v>
      </c>
      <c r="Q975" s="7" t="str">
        <f t="shared" si="16"/>
        <v>equipment/14002.png</v>
      </c>
      <c r="R975" s="1">
        <v>0</v>
      </c>
    </row>
    <row r="976" spans="1:18" ht="14.25" thickBot="1">
      <c r="A976" s="1" t="s">
        <v>774</v>
      </c>
      <c r="B976" s="3">
        <v>1</v>
      </c>
      <c r="C976" s="1" t="s">
        <v>2512</v>
      </c>
      <c r="D976" s="1" t="s">
        <v>10</v>
      </c>
      <c r="E976" s="1">
        <v>3</v>
      </c>
      <c r="F976" s="1">
        <v>3</v>
      </c>
      <c r="G976" s="1">
        <v>10</v>
      </c>
      <c r="H976" s="10">
        <v>0</v>
      </c>
      <c r="I976" s="1">
        <v>5000</v>
      </c>
      <c r="J976" s="1">
        <v>20</v>
      </c>
      <c r="K976" s="1">
        <v>0</v>
      </c>
      <c r="L976" s="1">
        <v>7500</v>
      </c>
      <c r="M976" s="1" t="s">
        <v>1830</v>
      </c>
      <c r="N976" s="1" t="s">
        <v>1062</v>
      </c>
      <c r="O976" s="1">
        <v>0</v>
      </c>
      <c r="P976" s="1" t="s">
        <v>2047</v>
      </c>
      <c r="Q976" s="7" t="str">
        <f t="shared" si="16"/>
        <v>equipment/6002.png</v>
      </c>
      <c r="R976" s="1">
        <v>0</v>
      </c>
    </row>
    <row r="977" spans="1:18" ht="14.25" thickBot="1">
      <c r="A977" s="1" t="s">
        <v>775</v>
      </c>
      <c r="B977" s="3">
        <v>1</v>
      </c>
      <c r="C977" s="1" t="s">
        <v>2067</v>
      </c>
      <c r="D977" s="1" t="s">
        <v>15</v>
      </c>
      <c r="E977" s="1">
        <v>8</v>
      </c>
      <c r="F977" s="1">
        <v>3</v>
      </c>
      <c r="G977" s="1">
        <v>10</v>
      </c>
      <c r="H977" s="10">
        <v>0</v>
      </c>
      <c r="I977" s="1">
        <v>5000</v>
      </c>
      <c r="J977" s="1">
        <v>20</v>
      </c>
      <c r="K977" s="1">
        <v>0</v>
      </c>
      <c r="L977" s="1">
        <v>7500</v>
      </c>
      <c r="M977" s="1" t="s">
        <v>1831</v>
      </c>
      <c r="N977" s="1" t="s">
        <v>1062</v>
      </c>
      <c r="O977" s="1">
        <v>0</v>
      </c>
      <c r="P977" s="1" t="s">
        <v>2047</v>
      </c>
      <c r="Q977" s="7" t="str">
        <f t="shared" si="16"/>
        <v>equipment/8002.png</v>
      </c>
      <c r="R977" s="1">
        <v>0</v>
      </c>
    </row>
    <row r="978" spans="1:18" ht="14.25" thickBot="1">
      <c r="A978" s="1" t="s">
        <v>776</v>
      </c>
      <c r="B978" s="3">
        <v>1</v>
      </c>
      <c r="C978" s="1" t="s">
        <v>2071</v>
      </c>
      <c r="D978" s="1" t="s">
        <v>16</v>
      </c>
      <c r="E978" s="1">
        <v>9</v>
      </c>
      <c r="F978" s="1">
        <v>3</v>
      </c>
      <c r="G978" s="1">
        <v>10</v>
      </c>
      <c r="H978" s="10">
        <v>0</v>
      </c>
      <c r="I978" s="1">
        <v>5000</v>
      </c>
      <c r="J978" s="1">
        <v>20</v>
      </c>
      <c r="K978" s="1">
        <v>0</v>
      </c>
      <c r="L978" s="1">
        <v>7500</v>
      </c>
      <c r="M978" s="1" t="s">
        <v>1832</v>
      </c>
      <c r="N978" s="1" t="s">
        <v>1062</v>
      </c>
      <c r="O978" s="1">
        <v>0</v>
      </c>
      <c r="P978" s="1" t="s">
        <v>2047</v>
      </c>
      <c r="Q978" s="7" t="str">
        <f t="shared" si="16"/>
        <v>equipment/10002.png</v>
      </c>
      <c r="R978" s="1">
        <v>0</v>
      </c>
    </row>
    <row r="979" spans="1:18" ht="14.25" thickBot="1">
      <c r="A979" s="1" t="s">
        <v>777</v>
      </c>
      <c r="B979" s="2">
        <v>0</v>
      </c>
      <c r="C979" s="1" t="s">
        <v>2489</v>
      </c>
      <c r="D979" s="1" t="s">
        <v>17</v>
      </c>
      <c r="E979" s="1">
        <v>10</v>
      </c>
      <c r="F979" s="1">
        <v>3</v>
      </c>
      <c r="G979" s="1">
        <v>10</v>
      </c>
      <c r="H979" s="10">
        <v>0</v>
      </c>
      <c r="I979" s="1">
        <v>5000</v>
      </c>
      <c r="J979" s="1">
        <v>20</v>
      </c>
      <c r="K979" s="1">
        <v>0</v>
      </c>
      <c r="L979" s="1">
        <v>7500</v>
      </c>
      <c r="M979" s="1" t="s">
        <v>1817</v>
      </c>
      <c r="N979" s="1" t="s">
        <v>1062</v>
      </c>
      <c r="O979" s="1">
        <v>0</v>
      </c>
      <c r="P979" s="1" t="s">
        <v>2047</v>
      </c>
      <c r="Q979" s="7" t="str">
        <f t="shared" si="16"/>
        <v>equipment/12001.png</v>
      </c>
      <c r="R979" s="1">
        <v>0</v>
      </c>
    </row>
    <row r="980" spans="1:18" ht="14.25" thickBot="1">
      <c r="A980" s="1" t="s">
        <v>778</v>
      </c>
      <c r="B980" s="3">
        <v>1</v>
      </c>
      <c r="C980" s="9" t="s">
        <v>2513</v>
      </c>
      <c r="D980" s="1" t="s">
        <v>12</v>
      </c>
      <c r="E980" s="1">
        <v>5</v>
      </c>
      <c r="F980" s="1">
        <v>3</v>
      </c>
      <c r="G980" s="1">
        <v>10</v>
      </c>
      <c r="H980" s="10" t="s">
        <v>2120</v>
      </c>
      <c r="I980" s="1">
        <v>5000</v>
      </c>
      <c r="J980" s="1">
        <v>20</v>
      </c>
      <c r="K980" s="1">
        <v>0</v>
      </c>
      <c r="L980" s="1">
        <v>7500</v>
      </c>
      <c r="M980" s="1" t="s">
        <v>1833</v>
      </c>
      <c r="N980" s="1" t="s">
        <v>1063</v>
      </c>
      <c r="O980" s="1">
        <v>0</v>
      </c>
      <c r="P980" s="1" t="s">
        <v>2047</v>
      </c>
      <c r="Q980" s="7" t="str">
        <f t="shared" si="16"/>
        <v>equipment/1105.png</v>
      </c>
      <c r="R980" s="1">
        <v>0</v>
      </c>
    </row>
    <row r="981" spans="1:18" ht="14.25" thickBot="1">
      <c r="A981" s="1" t="s">
        <v>779</v>
      </c>
      <c r="B981" s="3">
        <v>1</v>
      </c>
      <c r="C981" s="9" t="s">
        <v>2514</v>
      </c>
      <c r="D981" s="1" t="s">
        <v>12</v>
      </c>
      <c r="E981" s="1">
        <v>5</v>
      </c>
      <c r="F981" s="1">
        <v>3</v>
      </c>
      <c r="G981" s="1">
        <v>10</v>
      </c>
      <c r="H981" s="10" t="s">
        <v>2120</v>
      </c>
      <c r="I981" s="1">
        <v>6500</v>
      </c>
      <c r="J981" s="1">
        <v>20</v>
      </c>
      <c r="K981" s="1">
        <v>0</v>
      </c>
      <c r="L981" s="1">
        <v>10000</v>
      </c>
      <c r="M981" s="1" t="s">
        <v>1834</v>
      </c>
      <c r="N981" s="1" t="s">
        <v>1063</v>
      </c>
      <c r="O981" s="1">
        <v>0</v>
      </c>
      <c r="P981" s="1" t="s">
        <v>2047</v>
      </c>
      <c r="Q981" s="7" t="str">
        <f t="shared" ref="Q981:Q1044" si="20">Q519</f>
        <v>equipment/1106.png</v>
      </c>
      <c r="R981" s="1">
        <v>0</v>
      </c>
    </row>
    <row r="982" spans="1:18" ht="14.25" thickBot="1">
      <c r="A982" s="1" t="s">
        <v>780</v>
      </c>
      <c r="B982" s="3">
        <v>1</v>
      </c>
      <c r="C982" s="9" t="s">
        <v>2515</v>
      </c>
      <c r="D982" s="1" t="s">
        <v>13</v>
      </c>
      <c r="E982" s="1">
        <v>6</v>
      </c>
      <c r="F982" s="1">
        <v>3</v>
      </c>
      <c r="G982" s="1">
        <v>10</v>
      </c>
      <c r="H982" s="10" t="s">
        <v>2120</v>
      </c>
      <c r="I982" s="1">
        <v>5000</v>
      </c>
      <c r="J982" s="1">
        <v>20</v>
      </c>
      <c r="K982" s="1">
        <v>0</v>
      </c>
      <c r="L982" s="1">
        <v>7500</v>
      </c>
      <c r="M982" s="1" t="s">
        <v>1835</v>
      </c>
      <c r="N982" s="1" t="s">
        <v>1063</v>
      </c>
      <c r="O982" s="1">
        <v>0</v>
      </c>
      <c r="P982" s="1" t="s">
        <v>2047</v>
      </c>
      <c r="Q982" s="7" t="str">
        <f t="shared" si="20"/>
        <v>equipment/2103.png</v>
      </c>
      <c r="R982" s="1">
        <v>0</v>
      </c>
    </row>
    <row r="983" spans="1:18" ht="14.25" thickBot="1">
      <c r="A983" s="1" t="s">
        <v>781</v>
      </c>
      <c r="B983" s="2">
        <v>0</v>
      </c>
      <c r="C983" s="9" t="s">
        <v>2061</v>
      </c>
      <c r="D983" s="1" t="s">
        <v>13</v>
      </c>
      <c r="E983" s="1">
        <v>6</v>
      </c>
      <c r="F983" s="1">
        <v>3</v>
      </c>
      <c r="G983" s="1">
        <v>10</v>
      </c>
      <c r="H983" s="10" t="s">
        <v>2120</v>
      </c>
      <c r="I983" s="1">
        <v>6500</v>
      </c>
      <c r="J983" s="1">
        <v>20</v>
      </c>
      <c r="K983" s="1">
        <v>0</v>
      </c>
      <c r="L983" s="1">
        <v>10000</v>
      </c>
      <c r="M983" s="1" t="s">
        <v>1836</v>
      </c>
      <c r="N983" s="1" t="s">
        <v>1063</v>
      </c>
      <c r="O983" s="1">
        <v>0</v>
      </c>
      <c r="P983" s="1" t="s">
        <v>2047</v>
      </c>
      <c r="Q983" s="7" t="str">
        <f t="shared" si="20"/>
        <v>equipment/2101.png</v>
      </c>
      <c r="R983" s="1">
        <v>0</v>
      </c>
    </row>
    <row r="984" spans="1:18" ht="14.25" thickBot="1">
      <c r="A984" s="1" t="s">
        <v>782</v>
      </c>
      <c r="B984" s="3">
        <v>1</v>
      </c>
      <c r="C984" s="1" t="s">
        <v>2096</v>
      </c>
      <c r="D984" s="1" t="s">
        <v>12</v>
      </c>
      <c r="E984" s="1">
        <v>5</v>
      </c>
      <c r="F984" s="1">
        <v>3</v>
      </c>
      <c r="G984" s="1">
        <v>10</v>
      </c>
      <c r="H984" s="10" t="s">
        <v>2121</v>
      </c>
      <c r="I984" s="1">
        <v>5000</v>
      </c>
      <c r="J984" s="1">
        <v>20</v>
      </c>
      <c r="K984" s="1">
        <v>0</v>
      </c>
      <c r="L984" s="1">
        <v>7500</v>
      </c>
      <c r="M984" s="1" t="s">
        <v>1833</v>
      </c>
      <c r="N984" s="1" t="s">
        <v>1063</v>
      </c>
      <c r="O984" s="1">
        <v>0</v>
      </c>
      <c r="P984" s="1" t="s">
        <v>2047</v>
      </c>
      <c r="Q984" s="7" t="str">
        <f t="shared" si="20"/>
        <v>equipment/1205.png</v>
      </c>
      <c r="R984" s="1">
        <v>0</v>
      </c>
    </row>
    <row r="985" spans="1:18" ht="14.25" thickBot="1">
      <c r="A985" s="1" t="s">
        <v>783</v>
      </c>
      <c r="B985" s="3">
        <v>1</v>
      </c>
      <c r="C985" s="1" t="s">
        <v>2097</v>
      </c>
      <c r="D985" s="1" t="s">
        <v>12</v>
      </c>
      <c r="E985" s="1">
        <v>5</v>
      </c>
      <c r="F985" s="1">
        <v>3</v>
      </c>
      <c r="G985" s="1">
        <v>10</v>
      </c>
      <c r="H985" s="10" t="s">
        <v>2121</v>
      </c>
      <c r="I985" s="1">
        <v>6500</v>
      </c>
      <c r="J985" s="1">
        <v>20</v>
      </c>
      <c r="K985" s="1">
        <v>0</v>
      </c>
      <c r="L985" s="1">
        <v>10000</v>
      </c>
      <c r="M985" s="1" t="s">
        <v>1834</v>
      </c>
      <c r="N985" s="1" t="s">
        <v>1063</v>
      </c>
      <c r="O985" s="1">
        <v>0</v>
      </c>
      <c r="P985" s="1" t="s">
        <v>2047</v>
      </c>
      <c r="Q985" s="7" t="str">
        <f t="shared" si="20"/>
        <v>equipment/1206.png</v>
      </c>
      <c r="R985" s="1">
        <v>0</v>
      </c>
    </row>
    <row r="986" spans="1:18" ht="14.25" thickBot="1">
      <c r="A986" s="1" t="s">
        <v>784</v>
      </c>
      <c r="B986" s="3">
        <v>1</v>
      </c>
      <c r="C986" s="9" t="s">
        <v>2098</v>
      </c>
      <c r="D986" s="1" t="s">
        <v>13</v>
      </c>
      <c r="E986" s="1">
        <v>6</v>
      </c>
      <c r="F986" s="1">
        <v>3</v>
      </c>
      <c r="G986" s="1">
        <v>10</v>
      </c>
      <c r="H986" s="10" t="s">
        <v>2121</v>
      </c>
      <c r="I986" s="1">
        <v>5000</v>
      </c>
      <c r="J986" s="1">
        <v>20</v>
      </c>
      <c r="K986" s="1">
        <v>0</v>
      </c>
      <c r="L986" s="1">
        <v>7500</v>
      </c>
      <c r="M986" s="1" t="s">
        <v>1837</v>
      </c>
      <c r="N986" s="1" t="s">
        <v>1063</v>
      </c>
      <c r="O986" s="1">
        <v>0</v>
      </c>
      <c r="P986" s="1" t="s">
        <v>2047</v>
      </c>
      <c r="Q986" s="7" t="str">
        <f t="shared" si="20"/>
        <v>equipment/2203.png</v>
      </c>
      <c r="R986" s="1">
        <v>0</v>
      </c>
    </row>
    <row r="987" spans="1:18" ht="14.25" thickBot="1">
      <c r="A987" s="1" t="s">
        <v>785</v>
      </c>
      <c r="B987" s="2">
        <v>0</v>
      </c>
      <c r="C987" s="9" t="s">
        <v>2094</v>
      </c>
      <c r="D987" s="1" t="s">
        <v>13</v>
      </c>
      <c r="E987" s="1">
        <v>6</v>
      </c>
      <c r="F987" s="1">
        <v>3</v>
      </c>
      <c r="G987" s="1">
        <v>10</v>
      </c>
      <c r="H987" s="10" t="s">
        <v>2121</v>
      </c>
      <c r="I987" s="1">
        <v>6500</v>
      </c>
      <c r="J987" s="1">
        <v>20</v>
      </c>
      <c r="K987" s="1">
        <v>0</v>
      </c>
      <c r="L987" s="1">
        <v>10000</v>
      </c>
      <c r="M987" s="1" t="s">
        <v>1838</v>
      </c>
      <c r="N987" s="1" t="s">
        <v>1063</v>
      </c>
      <c r="O987" s="1">
        <v>0</v>
      </c>
      <c r="P987" s="1" t="s">
        <v>2047</v>
      </c>
      <c r="Q987" s="7" t="str">
        <f t="shared" si="20"/>
        <v>equipment/2201.png</v>
      </c>
      <c r="R987" s="1">
        <v>0</v>
      </c>
    </row>
    <row r="988" spans="1:18" ht="14.25" thickBot="1">
      <c r="A988" s="1" t="s">
        <v>786</v>
      </c>
      <c r="B988" s="3">
        <v>1</v>
      </c>
      <c r="C988" s="9" t="s">
        <v>2516</v>
      </c>
      <c r="D988" s="1" t="s">
        <v>12</v>
      </c>
      <c r="E988" s="1">
        <v>5</v>
      </c>
      <c r="F988" s="1">
        <v>3</v>
      </c>
      <c r="G988" s="1">
        <v>10</v>
      </c>
      <c r="H988" s="10" t="s">
        <v>2122</v>
      </c>
      <c r="I988" s="1">
        <v>5000</v>
      </c>
      <c r="J988" s="1">
        <v>20</v>
      </c>
      <c r="K988" s="1">
        <v>0</v>
      </c>
      <c r="L988" s="1">
        <v>7500</v>
      </c>
      <c r="M988" s="1" t="s">
        <v>1833</v>
      </c>
      <c r="N988" s="1" t="s">
        <v>1063</v>
      </c>
      <c r="O988" s="1">
        <v>0</v>
      </c>
      <c r="P988" s="1" t="s">
        <v>2047</v>
      </c>
      <c r="Q988" s="7" t="str">
        <f t="shared" si="20"/>
        <v>equipment/1305.png</v>
      </c>
      <c r="R988" s="1">
        <v>0</v>
      </c>
    </row>
    <row r="989" spans="1:18" ht="14.25" thickBot="1">
      <c r="A989" s="1" t="s">
        <v>787</v>
      </c>
      <c r="B989" s="3">
        <v>1</v>
      </c>
      <c r="C989" s="9" t="s">
        <v>2099</v>
      </c>
      <c r="D989" s="1" t="s">
        <v>12</v>
      </c>
      <c r="E989" s="1">
        <v>5</v>
      </c>
      <c r="F989" s="1">
        <v>3</v>
      </c>
      <c r="G989" s="1">
        <v>10</v>
      </c>
      <c r="H989" s="10" t="s">
        <v>2122</v>
      </c>
      <c r="I989" s="1">
        <v>6500</v>
      </c>
      <c r="J989" s="1">
        <v>20</v>
      </c>
      <c r="K989" s="1">
        <v>0</v>
      </c>
      <c r="L989" s="1">
        <v>10000</v>
      </c>
      <c r="M989" s="1" t="s">
        <v>1834</v>
      </c>
      <c r="N989" s="1" t="s">
        <v>1063</v>
      </c>
      <c r="O989" s="1">
        <v>0</v>
      </c>
      <c r="P989" s="1" t="s">
        <v>2047</v>
      </c>
      <c r="Q989" s="7" t="str">
        <f t="shared" si="20"/>
        <v>equipment/1306.png</v>
      </c>
      <c r="R989" s="1">
        <v>0</v>
      </c>
    </row>
    <row r="990" spans="1:18" ht="14.25" thickBot="1">
      <c r="A990" s="1" t="s">
        <v>788</v>
      </c>
      <c r="B990" s="3">
        <v>1</v>
      </c>
      <c r="C990" s="9" t="s">
        <v>2517</v>
      </c>
      <c r="D990" s="1" t="s">
        <v>13</v>
      </c>
      <c r="E990" s="1">
        <v>6</v>
      </c>
      <c r="F990" s="1">
        <v>3</v>
      </c>
      <c r="G990" s="1">
        <v>10</v>
      </c>
      <c r="H990" s="10" t="s">
        <v>2122</v>
      </c>
      <c r="I990" s="1">
        <v>5000</v>
      </c>
      <c r="J990" s="1">
        <v>20</v>
      </c>
      <c r="K990" s="1">
        <v>0</v>
      </c>
      <c r="L990" s="1">
        <v>7500</v>
      </c>
      <c r="M990" s="1" t="s">
        <v>1839</v>
      </c>
      <c r="N990" s="1" t="s">
        <v>1063</v>
      </c>
      <c r="O990" s="1">
        <v>0</v>
      </c>
      <c r="P990" s="1" t="s">
        <v>2047</v>
      </c>
      <c r="Q990" s="7" t="str">
        <f t="shared" si="20"/>
        <v>equipment/2303.png</v>
      </c>
      <c r="R990" s="1">
        <v>0</v>
      </c>
    </row>
    <row r="991" spans="1:18" ht="14.25" thickBot="1">
      <c r="A991" s="1" t="s">
        <v>789</v>
      </c>
      <c r="B991" s="2">
        <v>0</v>
      </c>
      <c r="C991" s="9" t="s">
        <v>2095</v>
      </c>
      <c r="D991" s="1" t="s">
        <v>13</v>
      </c>
      <c r="E991" s="1">
        <v>6</v>
      </c>
      <c r="F991" s="1">
        <v>3</v>
      </c>
      <c r="G991" s="1">
        <v>10</v>
      </c>
      <c r="H991" s="10" t="s">
        <v>2122</v>
      </c>
      <c r="I991" s="1">
        <v>6500</v>
      </c>
      <c r="J991" s="1">
        <v>20</v>
      </c>
      <c r="K991" s="1">
        <v>0</v>
      </c>
      <c r="L991" s="1">
        <v>10000</v>
      </c>
      <c r="M991" s="1" t="s">
        <v>1840</v>
      </c>
      <c r="N991" s="1" t="s">
        <v>1063</v>
      </c>
      <c r="O991" s="1">
        <v>0</v>
      </c>
      <c r="P991" s="1" t="s">
        <v>2047</v>
      </c>
      <c r="Q991" s="7" t="str">
        <f t="shared" si="20"/>
        <v>equipment/2301.png</v>
      </c>
      <c r="R991" s="1">
        <v>0</v>
      </c>
    </row>
    <row r="992" spans="1:18" ht="14.25" thickBot="1">
      <c r="A992" s="1" t="s">
        <v>790</v>
      </c>
      <c r="B992" s="3">
        <v>1</v>
      </c>
      <c r="C992" s="1" t="s">
        <v>2079</v>
      </c>
      <c r="D992" s="1" t="s">
        <v>11</v>
      </c>
      <c r="E992" s="1">
        <v>4</v>
      </c>
      <c r="F992" s="1">
        <v>3</v>
      </c>
      <c r="G992" s="1">
        <v>10</v>
      </c>
      <c r="H992" s="10">
        <v>0</v>
      </c>
      <c r="I992" s="1">
        <v>5000</v>
      </c>
      <c r="J992" s="1">
        <v>20</v>
      </c>
      <c r="K992" s="1">
        <v>0</v>
      </c>
      <c r="L992" s="1">
        <v>7500</v>
      </c>
      <c r="M992" s="1" t="s">
        <v>1841</v>
      </c>
      <c r="N992" s="1" t="s">
        <v>1062</v>
      </c>
      <c r="O992" s="1">
        <v>0</v>
      </c>
      <c r="P992" s="1" t="s">
        <v>2047</v>
      </c>
      <c r="Q992" s="7" t="str">
        <f t="shared" si="20"/>
        <v>equipment/5003.png</v>
      </c>
      <c r="R992" s="1">
        <v>0</v>
      </c>
    </row>
    <row r="993" spans="1:18" ht="14.25" thickBot="1">
      <c r="A993" s="1" t="s">
        <v>791</v>
      </c>
      <c r="B993" s="2">
        <v>0</v>
      </c>
      <c r="C993" s="1" t="s">
        <v>2499</v>
      </c>
      <c r="D993" s="1" t="s">
        <v>11</v>
      </c>
      <c r="E993" s="1">
        <v>4</v>
      </c>
      <c r="F993" s="1">
        <v>3</v>
      </c>
      <c r="G993" s="1">
        <v>10</v>
      </c>
      <c r="H993" s="10">
        <v>0</v>
      </c>
      <c r="I993" s="1">
        <v>6500</v>
      </c>
      <c r="J993" s="1">
        <v>20</v>
      </c>
      <c r="K993" s="1">
        <v>0</v>
      </c>
      <c r="L993" s="1">
        <v>10000</v>
      </c>
      <c r="M993" s="1" t="s">
        <v>1842</v>
      </c>
      <c r="N993" s="1" t="s">
        <v>1062</v>
      </c>
      <c r="O993" s="1">
        <v>0</v>
      </c>
      <c r="P993" s="1" t="s">
        <v>2047</v>
      </c>
      <c r="Q993" s="7" t="str">
        <f t="shared" si="20"/>
        <v>equipment/5001.png</v>
      </c>
      <c r="R993" s="1">
        <v>0</v>
      </c>
    </row>
    <row r="994" spans="1:18" ht="14.25" thickBot="1">
      <c r="A994" s="1" t="s">
        <v>792</v>
      </c>
      <c r="B994" s="3">
        <v>1</v>
      </c>
      <c r="C994" s="1" t="s">
        <v>2087</v>
      </c>
      <c r="D994" s="1" t="s">
        <v>14</v>
      </c>
      <c r="E994" s="1">
        <v>7</v>
      </c>
      <c r="F994" s="1">
        <v>3</v>
      </c>
      <c r="G994" s="1">
        <v>10</v>
      </c>
      <c r="H994" s="10">
        <v>0</v>
      </c>
      <c r="I994" s="1">
        <v>5000</v>
      </c>
      <c r="J994" s="1">
        <v>20</v>
      </c>
      <c r="K994" s="1">
        <v>0</v>
      </c>
      <c r="L994" s="1">
        <v>7500</v>
      </c>
      <c r="M994" s="1" t="s">
        <v>1841</v>
      </c>
      <c r="N994" s="1" t="s">
        <v>1062</v>
      </c>
      <c r="O994" s="1">
        <v>0</v>
      </c>
      <c r="P994" s="1" t="s">
        <v>2047</v>
      </c>
      <c r="Q994" s="7" t="str">
        <f t="shared" si="20"/>
        <v>equipment/7003.png</v>
      </c>
      <c r="R994" s="1">
        <v>0</v>
      </c>
    </row>
    <row r="995" spans="1:18" ht="14.25" thickBot="1">
      <c r="A995" s="1" t="s">
        <v>793</v>
      </c>
      <c r="B995" s="2">
        <v>0</v>
      </c>
      <c r="C995" s="1" t="s">
        <v>2501</v>
      </c>
      <c r="D995" s="1" t="s">
        <v>14</v>
      </c>
      <c r="E995" s="1">
        <v>7</v>
      </c>
      <c r="F995" s="1">
        <v>3</v>
      </c>
      <c r="G995" s="1">
        <v>10</v>
      </c>
      <c r="H995" s="10">
        <v>0</v>
      </c>
      <c r="I995" s="1">
        <v>6500</v>
      </c>
      <c r="J995" s="1">
        <v>20</v>
      </c>
      <c r="K995" s="1">
        <v>0</v>
      </c>
      <c r="L995" s="1">
        <v>10000</v>
      </c>
      <c r="M995" s="1" t="s">
        <v>1842</v>
      </c>
      <c r="N995" s="1" t="s">
        <v>1062</v>
      </c>
      <c r="O995" s="1">
        <v>0</v>
      </c>
      <c r="P995" s="1" t="s">
        <v>2047</v>
      </c>
      <c r="Q995" s="7" t="str">
        <f t="shared" si="20"/>
        <v>equipment/7001.png</v>
      </c>
      <c r="R995" s="1">
        <v>0</v>
      </c>
    </row>
    <row r="996" spans="1:18" ht="14.25" thickBot="1">
      <c r="A996" s="1" t="s">
        <v>794</v>
      </c>
      <c r="B996" s="2">
        <v>0</v>
      </c>
      <c r="C996" s="1" t="s">
        <v>2484</v>
      </c>
      <c r="D996" s="1" t="s">
        <v>8</v>
      </c>
      <c r="E996" s="1">
        <v>1</v>
      </c>
      <c r="F996" s="1">
        <v>3</v>
      </c>
      <c r="G996" s="1">
        <v>15</v>
      </c>
      <c r="H996" s="10">
        <v>0</v>
      </c>
      <c r="I996" s="1">
        <v>7500</v>
      </c>
      <c r="J996" s="1">
        <v>20</v>
      </c>
      <c r="K996" s="1">
        <v>0</v>
      </c>
      <c r="L996" s="1">
        <v>10000</v>
      </c>
      <c r="M996" s="1" t="s">
        <v>1828</v>
      </c>
      <c r="N996" s="1" t="s">
        <v>1064</v>
      </c>
      <c r="O996" s="1">
        <v>0</v>
      </c>
      <c r="P996" s="1" t="s">
        <v>2048</v>
      </c>
      <c r="Q996" s="7" t="str">
        <f t="shared" si="20"/>
        <v>equipment/3001.png</v>
      </c>
      <c r="R996" s="1">
        <v>0</v>
      </c>
    </row>
    <row r="997" spans="1:18" ht="14.25" thickBot="1">
      <c r="A997" s="1" t="s">
        <v>795</v>
      </c>
      <c r="B997" s="2">
        <v>0</v>
      </c>
      <c r="C997" s="1" t="s">
        <v>2485</v>
      </c>
      <c r="D997" s="1" t="s">
        <v>9</v>
      </c>
      <c r="E997" s="1">
        <v>2</v>
      </c>
      <c r="F997" s="1">
        <v>3</v>
      </c>
      <c r="G997" s="1">
        <v>15</v>
      </c>
      <c r="H997" s="10">
        <v>0</v>
      </c>
      <c r="I997" s="1">
        <v>7500</v>
      </c>
      <c r="J997" s="1">
        <v>20</v>
      </c>
      <c r="K997" s="1">
        <v>0</v>
      </c>
      <c r="L997" s="1">
        <v>10000</v>
      </c>
      <c r="M997" s="1" t="s">
        <v>1843</v>
      </c>
      <c r="N997" s="1" t="s">
        <v>1064</v>
      </c>
      <c r="O997" s="1">
        <v>0</v>
      </c>
      <c r="P997" s="1" t="s">
        <v>2048</v>
      </c>
      <c r="Q997" s="7" t="str">
        <f t="shared" si="20"/>
        <v>equipment/14001.png</v>
      </c>
      <c r="R997" s="1">
        <v>0</v>
      </c>
    </row>
    <row r="998" spans="1:18" ht="14.25" thickBot="1">
      <c r="A998" s="1" t="s">
        <v>796</v>
      </c>
      <c r="B998" s="3">
        <v>1</v>
      </c>
      <c r="C998" s="1" t="s">
        <v>2518</v>
      </c>
      <c r="D998" s="1" t="s">
        <v>10</v>
      </c>
      <c r="E998" s="1">
        <v>3</v>
      </c>
      <c r="F998" s="1">
        <v>3</v>
      </c>
      <c r="G998" s="1">
        <v>15</v>
      </c>
      <c r="H998" s="10">
        <v>0</v>
      </c>
      <c r="I998" s="1">
        <v>7500</v>
      </c>
      <c r="J998" s="1">
        <v>20</v>
      </c>
      <c r="K998" s="1">
        <v>0</v>
      </c>
      <c r="L998" s="1">
        <v>10000</v>
      </c>
      <c r="M998" s="1" t="s">
        <v>1844</v>
      </c>
      <c r="N998" s="1" t="s">
        <v>1064</v>
      </c>
      <c r="O998" s="1">
        <v>0</v>
      </c>
      <c r="P998" s="1" t="s">
        <v>2048</v>
      </c>
      <c r="Q998" s="7" t="str">
        <f t="shared" si="20"/>
        <v>equipment/6003.png</v>
      </c>
      <c r="R998" s="1">
        <v>0</v>
      </c>
    </row>
    <row r="999" spans="1:18" ht="14.25" thickBot="1">
      <c r="A999" s="1" t="s">
        <v>797</v>
      </c>
      <c r="B999" s="3">
        <v>1</v>
      </c>
      <c r="C999" s="1" t="s">
        <v>2068</v>
      </c>
      <c r="D999" s="1" t="s">
        <v>15</v>
      </c>
      <c r="E999" s="1">
        <v>8</v>
      </c>
      <c r="F999" s="1">
        <v>3</v>
      </c>
      <c r="G999" s="1">
        <v>15</v>
      </c>
      <c r="H999" s="10">
        <v>0</v>
      </c>
      <c r="I999" s="1">
        <v>7500</v>
      </c>
      <c r="J999" s="1">
        <v>20</v>
      </c>
      <c r="K999" s="1">
        <v>0</v>
      </c>
      <c r="L999" s="1">
        <v>10000</v>
      </c>
      <c r="M999" s="1" t="s">
        <v>1845</v>
      </c>
      <c r="N999" s="1" t="s">
        <v>1064</v>
      </c>
      <c r="O999" s="1">
        <v>0</v>
      </c>
      <c r="P999" s="1" t="s">
        <v>2048</v>
      </c>
      <c r="Q999" s="7" t="str">
        <f t="shared" si="20"/>
        <v>equipment/8003.png</v>
      </c>
      <c r="R999" s="1">
        <v>0</v>
      </c>
    </row>
    <row r="1000" spans="1:18" ht="14.25" thickBot="1">
      <c r="A1000" s="1" t="s">
        <v>798</v>
      </c>
      <c r="B1000" s="3">
        <v>1</v>
      </c>
      <c r="C1000" s="1" t="s">
        <v>2072</v>
      </c>
      <c r="D1000" s="1" t="s">
        <v>16</v>
      </c>
      <c r="E1000" s="1">
        <v>9</v>
      </c>
      <c r="F1000" s="1">
        <v>3</v>
      </c>
      <c r="G1000" s="1">
        <v>15</v>
      </c>
      <c r="H1000" s="10">
        <v>0</v>
      </c>
      <c r="I1000" s="1">
        <v>7500</v>
      </c>
      <c r="J1000" s="1">
        <v>20</v>
      </c>
      <c r="K1000" s="1">
        <v>0</v>
      </c>
      <c r="L1000" s="1">
        <v>10000</v>
      </c>
      <c r="M1000" s="1" t="s">
        <v>1846</v>
      </c>
      <c r="N1000" s="1" t="s">
        <v>1064</v>
      </c>
      <c r="O1000" s="1">
        <v>0</v>
      </c>
      <c r="P1000" s="1" t="s">
        <v>2048</v>
      </c>
      <c r="Q1000" s="7" t="str">
        <f t="shared" si="20"/>
        <v>equipment/10003.png</v>
      </c>
      <c r="R1000" s="1">
        <v>0</v>
      </c>
    </row>
    <row r="1001" spans="1:18" ht="14.25" thickBot="1">
      <c r="A1001" s="1" t="s">
        <v>799</v>
      </c>
      <c r="B1001" s="3">
        <v>1</v>
      </c>
      <c r="C1001" s="1" t="s">
        <v>2076</v>
      </c>
      <c r="D1001" s="1" t="s">
        <v>17</v>
      </c>
      <c r="E1001" s="1">
        <v>10</v>
      </c>
      <c r="F1001" s="1">
        <v>3</v>
      </c>
      <c r="G1001" s="1">
        <v>15</v>
      </c>
      <c r="H1001" s="10">
        <v>0</v>
      </c>
      <c r="I1001" s="1">
        <v>7500</v>
      </c>
      <c r="J1001" s="1">
        <v>20</v>
      </c>
      <c r="K1001" s="1">
        <v>0</v>
      </c>
      <c r="L1001" s="1">
        <v>10000</v>
      </c>
      <c r="M1001" s="1" t="s">
        <v>1847</v>
      </c>
      <c r="N1001" s="1" t="s">
        <v>1064</v>
      </c>
      <c r="O1001" s="1">
        <v>0</v>
      </c>
      <c r="P1001" s="1" t="s">
        <v>2048</v>
      </c>
      <c r="Q1001" s="7" t="str">
        <f t="shared" si="20"/>
        <v>equipment/12002.png</v>
      </c>
      <c r="R1001" s="1">
        <v>0</v>
      </c>
    </row>
    <row r="1002" spans="1:18" ht="14.25" thickBot="1">
      <c r="A1002" s="1" t="s">
        <v>800</v>
      </c>
      <c r="B1002" s="3">
        <v>1</v>
      </c>
      <c r="C1002" s="9" t="s">
        <v>2519</v>
      </c>
      <c r="D1002" s="1" t="s">
        <v>12</v>
      </c>
      <c r="E1002" s="1">
        <v>5</v>
      </c>
      <c r="F1002" s="1">
        <v>3</v>
      </c>
      <c r="G1002" s="1">
        <v>15</v>
      </c>
      <c r="H1002" s="10" t="s">
        <v>2120</v>
      </c>
      <c r="I1002" s="1">
        <v>7500</v>
      </c>
      <c r="J1002" s="1">
        <v>20</v>
      </c>
      <c r="K1002" s="1">
        <v>0</v>
      </c>
      <c r="L1002" s="1">
        <v>10000</v>
      </c>
      <c r="M1002" s="1" t="s">
        <v>1848</v>
      </c>
      <c r="N1002" s="1" t="s">
        <v>1065</v>
      </c>
      <c r="O1002" s="1">
        <v>0</v>
      </c>
      <c r="P1002" s="1" t="s">
        <v>2048</v>
      </c>
      <c r="Q1002" s="7" t="str">
        <f t="shared" si="20"/>
        <v>equipment/1108.png</v>
      </c>
      <c r="R1002" s="1">
        <v>0</v>
      </c>
    </row>
    <row r="1003" spans="1:18" ht="14.25" thickBot="1">
      <c r="A1003" s="1" t="s">
        <v>801</v>
      </c>
      <c r="B1003" s="3">
        <v>1</v>
      </c>
      <c r="C1003" s="9" t="s">
        <v>2520</v>
      </c>
      <c r="D1003" s="1" t="s">
        <v>12</v>
      </c>
      <c r="E1003" s="1">
        <v>5</v>
      </c>
      <c r="F1003" s="1">
        <v>3</v>
      </c>
      <c r="G1003" s="1">
        <v>15</v>
      </c>
      <c r="H1003" s="10" t="s">
        <v>2120</v>
      </c>
      <c r="I1003" s="1">
        <v>9000</v>
      </c>
      <c r="J1003" s="1">
        <v>20</v>
      </c>
      <c r="K1003" s="1">
        <v>0</v>
      </c>
      <c r="L1003" s="1">
        <v>12500</v>
      </c>
      <c r="M1003" s="1" t="s">
        <v>2013</v>
      </c>
      <c r="N1003" s="1" t="s">
        <v>1065</v>
      </c>
      <c r="O1003" s="1">
        <v>0</v>
      </c>
      <c r="P1003" s="1" t="s">
        <v>2048</v>
      </c>
      <c r="Q1003" s="7" t="str">
        <f t="shared" si="20"/>
        <v>equipment/1107.png</v>
      </c>
      <c r="R1003" s="1">
        <v>0</v>
      </c>
    </row>
    <row r="1004" spans="1:18" ht="14.25" thickBot="1">
      <c r="A1004" s="1" t="s">
        <v>802</v>
      </c>
      <c r="B1004" s="3">
        <v>1</v>
      </c>
      <c r="C1004" s="9" t="s">
        <v>2093</v>
      </c>
      <c r="D1004" s="1" t="s">
        <v>13</v>
      </c>
      <c r="E1004" s="1">
        <v>6</v>
      </c>
      <c r="F1004" s="1">
        <v>3</v>
      </c>
      <c r="G1004" s="1">
        <v>15</v>
      </c>
      <c r="H1004" s="10" t="s">
        <v>2120</v>
      </c>
      <c r="I1004" s="1">
        <v>7500</v>
      </c>
      <c r="J1004" s="1">
        <v>20</v>
      </c>
      <c r="K1004" s="1">
        <v>0</v>
      </c>
      <c r="L1004" s="1">
        <v>10000</v>
      </c>
      <c r="M1004" s="1" t="s">
        <v>1849</v>
      </c>
      <c r="N1004" s="1" t="s">
        <v>1065</v>
      </c>
      <c r="O1004" s="1">
        <v>0</v>
      </c>
      <c r="P1004" s="1" t="s">
        <v>2048</v>
      </c>
      <c r="Q1004" s="7" t="str">
        <f t="shared" si="20"/>
        <v>equipment/2105.png</v>
      </c>
      <c r="R1004" s="1">
        <v>0</v>
      </c>
    </row>
    <row r="1005" spans="1:18" ht="14.25" thickBot="1">
      <c r="A1005" s="1" t="s">
        <v>803</v>
      </c>
      <c r="B1005" s="2">
        <v>0</v>
      </c>
      <c r="C1005" s="9" t="s">
        <v>2061</v>
      </c>
      <c r="D1005" s="1" t="s">
        <v>13</v>
      </c>
      <c r="E1005" s="1">
        <v>6</v>
      </c>
      <c r="F1005" s="1">
        <v>3</v>
      </c>
      <c r="G1005" s="1">
        <v>15</v>
      </c>
      <c r="H1005" s="10" t="s">
        <v>2120</v>
      </c>
      <c r="I1005" s="1">
        <v>9000</v>
      </c>
      <c r="J1005" s="1">
        <v>20</v>
      </c>
      <c r="K1005" s="1">
        <v>0</v>
      </c>
      <c r="L1005" s="1">
        <v>12500</v>
      </c>
      <c r="M1005" s="1" t="s">
        <v>1850</v>
      </c>
      <c r="N1005" s="1" t="s">
        <v>1065</v>
      </c>
      <c r="O1005" s="1">
        <v>0</v>
      </c>
      <c r="P1005" s="1" t="s">
        <v>2048</v>
      </c>
      <c r="Q1005" s="7" t="str">
        <f t="shared" si="20"/>
        <v>equipment/2101.png</v>
      </c>
      <c r="R1005" s="1">
        <v>0</v>
      </c>
    </row>
    <row r="1006" spans="1:18" ht="14.25" thickBot="1">
      <c r="A1006" s="1" t="s">
        <v>804</v>
      </c>
      <c r="B1006" s="3">
        <v>1</v>
      </c>
      <c r="C1006" s="1" t="s">
        <v>2521</v>
      </c>
      <c r="D1006" s="1" t="s">
        <v>12</v>
      </c>
      <c r="E1006" s="1">
        <v>5</v>
      </c>
      <c r="F1006" s="1">
        <v>3</v>
      </c>
      <c r="G1006" s="1">
        <v>15</v>
      </c>
      <c r="H1006" s="10" t="s">
        <v>2121</v>
      </c>
      <c r="I1006" s="1">
        <v>7500</v>
      </c>
      <c r="J1006" s="1">
        <v>20</v>
      </c>
      <c r="K1006" s="1">
        <v>0</v>
      </c>
      <c r="L1006" s="1">
        <v>10000</v>
      </c>
      <c r="M1006" s="1" t="s">
        <v>1848</v>
      </c>
      <c r="N1006" s="1" t="s">
        <v>1065</v>
      </c>
      <c r="O1006" s="1">
        <v>0</v>
      </c>
      <c r="P1006" s="1" t="s">
        <v>2048</v>
      </c>
      <c r="Q1006" s="7" t="str">
        <f t="shared" si="20"/>
        <v>equipment/1207.png</v>
      </c>
      <c r="R1006" s="1">
        <v>0</v>
      </c>
    </row>
    <row r="1007" spans="1:18" ht="14.25" thickBot="1">
      <c r="A1007" s="1" t="s">
        <v>805</v>
      </c>
      <c r="B1007" s="3">
        <v>1</v>
      </c>
      <c r="C1007" s="1" t="s">
        <v>2100</v>
      </c>
      <c r="D1007" s="1" t="s">
        <v>12</v>
      </c>
      <c r="E1007" s="1">
        <v>5</v>
      </c>
      <c r="F1007" s="1">
        <v>3</v>
      </c>
      <c r="G1007" s="1">
        <v>15</v>
      </c>
      <c r="H1007" s="10" t="s">
        <v>2121</v>
      </c>
      <c r="I1007" s="1">
        <v>9000</v>
      </c>
      <c r="J1007" s="1">
        <v>20</v>
      </c>
      <c r="K1007" s="1">
        <v>0</v>
      </c>
      <c r="L1007" s="1">
        <v>12500</v>
      </c>
      <c r="M1007" s="1" t="s">
        <v>2013</v>
      </c>
      <c r="N1007" s="1" t="s">
        <v>1065</v>
      </c>
      <c r="O1007" s="1">
        <v>0</v>
      </c>
      <c r="P1007" s="1" t="s">
        <v>2048</v>
      </c>
      <c r="Q1007" s="7" t="str">
        <f t="shared" si="20"/>
        <v>equipment/1208.png</v>
      </c>
      <c r="R1007" s="1">
        <v>0</v>
      </c>
    </row>
    <row r="1008" spans="1:18" ht="14.25" thickBot="1">
      <c r="A1008" s="1" t="s">
        <v>806</v>
      </c>
      <c r="B1008" s="3">
        <v>1</v>
      </c>
      <c r="C1008" s="9" t="s">
        <v>2101</v>
      </c>
      <c r="D1008" s="1" t="s">
        <v>13</v>
      </c>
      <c r="E1008" s="1">
        <v>6</v>
      </c>
      <c r="F1008" s="1">
        <v>3</v>
      </c>
      <c r="G1008" s="1">
        <v>15</v>
      </c>
      <c r="H1008" s="10" t="s">
        <v>2121</v>
      </c>
      <c r="I1008" s="1">
        <v>7500</v>
      </c>
      <c r="J1008" s="1">
        <v>20</v>
      </c>
      <c r="K1008" s="1">
        <v>0</v>
      </c>
      <c r="L1008" s="1">
        <v>10000</v>
      </c>
      <c r="M1008" s="1" t="s">
        <v>1851</v>
      </c>
      <c r="N1008" s="1" t="s">
        <v>1065</v>
      </c>
      <c r="O1008" s="1">
        <v>0</v>
      </c>
      <c r="P1008" s="1" t="s">
        <v>2048</v>
      </c>
      <c r="Q1008" s="7" t="str">
        <f t="shared" si="20"/>
        <v>equipment/2204.png</v>
      </c>
      <c r="R1008" s="1">
        <v>0</v>
      </c>
    </row>
    <row r="1009" spans="1:18" ht="14.25" thickBot="1">
      <c r="A1009" s="1" t="s">
        <v>807</v>
      </c>
      <c r="B1009" s="2">
        <v>0</v>
      </c>
      <c r="C1009" s="9" t="s">
        <v>2094</v>
      </c>
      <c r="D1009" s="1" t="s">
        <v>13</v>
      </c>
      <c r="E1009" s="1">
        <v>6</v>
      </c>
      <c r="F1009" s="1">
        <v>3</v>
      </c>
      <c r="G1009" s="1">
        <v>15</v>
      </c>
      <c r="H1009" s="10" t="s">
        <v>2121</v>
      </c>
      <c r="I1009" s="1">
        <v>9000</v>
      </c>
      <c r="J1009" s="1">
        <v>20</v>
      </c>
      <c r="K1009" s="1">
        <v>0</v>
      </c>
      <c r="L1009" s="1">
        <v>12500</v>
      </c>
      <c r="M1009" s="1" t="s">
        <v>1852</v>
      </c>
      <c r="N1009" s="1" t="s">
        <v>1065</v>
      </c>
      <c r="O1009" s="1">
        <v>0</v>
      </c>
      <c r="P1009" s="1" t="s">
        <v>2048</v>
      </c>
      <c r="Q1009" s="7" t="str">
        <f t="shared" si="20"/>
        <v>equipment/2201.png</v>
      </c>
      <c r="R1009" s="1">
        <v>0</v>
      </c>
    </row>
    <row r="1010" spans="1:18" ht="14.25" thickBot="1">
      <c r="A1010" s="1" t="s">
        <v>808</v>
      </c>
      <c r="B1010" s="3">
        <v>1</v>
      </c>
      <c r="C1010" s="9" t="s">
        <v>2102</v>
      </c>
      <c r="D1010" s="1" t="s">
        <v>12</v>
      </c>
      <c r="E1010" s="1">
        <v>5</v>
      </c>
      <c r="F1010" s="1">
        <v>3</v>
      </c>
      <c r="G1010" s="1">
        <v>15</v>
      </c>
      <c r="H1010" s="10" t="s">
        <v>2122</v>
      </c>
      <c r="I1010" s="1">
        <v>7500</v>
      </c>
      <c r="J1010" s="1">
        <v>20</v>
      </c>
      <c r="K1010" s="1">
        <v>0</v>
      </c>
      <c r="L1010" s="1">
        <v>10000</v>
      </c>
      <c r="M1010" s="1" t="s">
        <v>1848</v>
      </c>
      <c r="N1010" s="1" t="s">
        <v>1065</v>
      </c>
      <c r="O1010" s="1">
        <v>0</v>
      </c>
      <c r="P1010" s="1" t="s">
        <v>2048</v>
      </c>
      <c r="Q1010" s="7" t="str">
        <f t="shared" si="20"/>
        <v>equipment/1307.png</v>
      </c>
      <c r="R1010" s="1">
        <v>0</v>
      </c>
    </row>
    <row r="1011" spans="1:18" ht="14.25" thickBot="1">
      <c r="A1011" s="1" t="s">
        <v>809</v>
      </c>
      <c r="B1011" s="3">
        <v>1</v>
      </c>
      <c r="C1011" s="9" t="s">
        <v>2103</v>
      </c>
      <c r="D1011" s="1" t="s">
        <v>12</v>
      </c>
      <c r="E1011" s="1">
        <v>5</v>
      </c>
      <c r="F1011" s="1">
        <v>3</v>
      </c>
      <c r="G1011" s="1">
        <v>15</v>
      </c>
      <c r="H1011" s="10" t="s">
        <v>2122</v>
      </c>
      <c r="I1011" s="1">
        <v>9000</v>
      </c>
      <c r="J1011" s="1">
        <v>20</v>
      </c>
      <c r="K1011" s="1">
        <v>0</v>
      </c>
      <c r="L1011" s="1">
        <v>12500</v>
      </c>
      <c r="M1011" s="1" t="s">
        <v>2013</v>
      </c>
      <c r="N1011" s="1" t="s">
        <v>1065</v>
      </c>
      <c r="O1011" s="1">
        <v>0</v>
      </c>
      <c r="P1011" s="1" t="s">
        <v>2048</v>
      </c>
      <c r="Q1011" s="7" t="str">
        <f t="shared" si="20"/>
        <v>equipment/1308.png</v>
      </c>
      <c r="R1011" s="1">
        <v>0</v>
      </c>
    </row>
    <row r="1012" spans="1:18" ht="14.25" thickBot="1">
      <c r="A1012" s="1" t="s">
        <v>810</v>
      </c>
      <c r="B1012" s="3">
        <v>1</v>
      </c>
      <c r="C1012" s="9" t="s">
        <v>2522</v>
      </c>
      <c r="D1012" s="1" t="s">
        <v>13</v>
      </c>
      <c r="E1012" s="1">
        <v>6</v>
      </c>
      <c r="F1012" s="1">
        <v>3</v>
      </c>
      <c r="G1012" s="1">
        <v>15</v>
      </c>
      <c r="H1012" s="10" t="s">
        <v>2122</v>
      </c>
      <c r="I1012" s="1">
        <v>7500</v>
      </c>
      <c r="J1012" s="1">
        <v>20</v>
      </c>
      <c r="K1012" s="1">
        <v>0</v>
      </c>
      <c r="L1012" s="1">
        <v>10000</v>
      </c>
      <c r="M1012" s="1" t="s">
        <v>1853</v>
      </c>
      <c r="N1012" s="1" t="s">
        <v>1065</v>
      </c>
      <c r="O1012" s="1">
        <v>0</v>
      </c>
      <c r="P1012" s="1" t="s">
        <v>2048</v>
      </c>
      <c r="Q1012" s="7" t="str">
        <f t="shared" si="20"/>
        <v>equipment/2304.png</v>
      </c>
      <c r="R1012" s="1">
        <v>0</v>
      </c>
    </row>
    <row r="1013" spans="1:18" ht="14.25" thickBot="1">
      <c r="A1013" s="1" t="s">
        <v>811</v>
      </c>
      <c r="B1013" s="2">
        <v>0</v>
      </c>
      <c r="C1013" s="9" t="s">
        <v>2095</v>
      </c>
      <c r="D1013" s="1" t="s">
        <v>13</v>
      </c>
      <c r="E1013" s="1">
        <v>6</v>
      </c>
      <c r="F1013" s="1">
        <v>3</v>
      </c>
      <c r="G1013" s="1">
        <v>15</v>
      </c>
      <c r="H1013" s="10" t="s">
        <v>2122</v>
      </c>
      <c r="I1013" s="1">
        <v>9000</v>
      </c>
      <c r="J1013" s="1">
        <v>20</v>
      </c>
      <c r="K1013" s="1">
        <v>0</v>
      </c>
      <c r="L1013" s="1">
        <v>12500</v>
      </c>
      <c r="M1013" s="1" t="s">
        <v>1854</v>
      </c>
      <c r="N1013" s="1" t="s">
        <v>1065</v>
      </c>
      <c r="O1013" s="1">
        <v>0</v>
      </c>
      <c r="P1013" s="1" t="s">
        <v>2048</v>
      </c>
      <c r="Q1013" s="7" t="str">
        <f t="shared" si="20"/>
        <v>equipment/2301.png</v>
      </c>
      <c r="R1013" s="1">
        <v>0</v>
      </c>
    </row>
    <row r="1014" spans="1:18" ht="14.25" thickBot="1">
      <c r="A1014" s="1" t="s">
        <v>812</v>
      </c>
      <c r="B1014" s="3">
        <v>1</v>
      </c>
      <c r="C1014" s="1" t="s">
        <v>2080</v>
      </c>
      <c r="D1014" s="1" t="s">
        <v>11</v>
      </c>
      <c r="E1014" s="1">
        <v>4</v>
      </c>
      <c r="F1014" s="1">
        <v>3</v>
      </c>
      <c r="G1014" s="1">
        <v>15</v>
      </c>
      <c r="H1014" s="10">
        <v>0</v>
      </c>
      <c r="I1014" s="1">
        <v>7500</v>
      </c>
      <c r="J1014" s="1">
        <v>20</v>
      </c>
      <c r="K1014" s="1">
        <v>0</v>
      </c>
      <c r="L1014" s="1">
        <v>10000</v>
      </c>
      <c r="M1014" s="1" t="s">
        <v>1855</v>
      </c>
      <c r="N1014" s="1" t="s">
        <v>1064</v>
      </c>
      <c r="O1014" s="1">
        <v>0</v>
      </c>
      <c r="P1014" s="1" t="s">
        <v>2048</v>
      </c>
      <c r="Q1014" s="7" t="str">
        <f t="shared" si="20"/>
        <v>equipment/5005.png</v>
      </c>
      <c r="R1014" s="1">
        <v>0</v>
      </c>
    </row>
    <row r="1015" spans="1:18" ht="14.25" thickBot="1">
      <c r="A1015" s="1" t="s">
        <v>813</v>
      </c>
      <c r="B1015" s="2">
        <v>0</v>
      </c>
      <c r="C1015" s="1" t="s">
        <v>2499</v>
      </c>
      <c r="D1015" s="1" t="s">
        <v>11</v>
      </c>
      <c r="E1015" s="1">
        <v>4</v>
      </c>
      <c r="F1015" s="1">
        <v>3</v>
      </c>
      <c r="G1015" s="1">
        <v>15</v>
      </c>
      <c r="H1015" s="10">
        <v>0</v>
      </c>
      <c r="I1015" s="1">
        <v>9000</v>
      </c>
      <c r="J1015" s="1">
        <v>20</v>
      </c>
      <c r="K1015" s="1">
        <v>0</v>
      </c>
      <c r="L1015" s="1">
        <v>12500</v>
      </c>
      <c r="M1015" s="1" t="s">
        <v>1856</v>
      </c>
      <c r="N1015" s="1" t="s">
        <v>1064</v>
      </c>
      <c r="O1015" s="1">
        <v>0</v>
      </c>
      <c r="P1015" s="1" t="s">
        <v>2048</v>
      </c>
      <c r="Q1015" s="7" t="str">
        <f t="shared" si="20"/>
        <v>equipment/5001.png</v>
      </c>
      <c r="R1015" s="1">
        <v>0</v>
      </c>
    </row>
    <row r="1016" spans="1:18" ht="14.25" thickBot="1">
      <c r="A1016" s="1" t="s">
        <v>814</v>
      </c>
      <c r="B1016" s="3">
        <v>1</v>
      </c>
      <c r="C1016" s="1" t="s">
        <v>2088</v>
      </c>
      <c r="D1016" s="1" t="s">
        <v>14</v>
      </c>
      <c r="E1016" s="1">
        <v>7</v>
      </c>
      <c r="F1016" s="1">
        <v>3</v>
      </c>
      <c r="G1016" s="1">
        <v>15</v>
      </c>
      <c r="H1016" s="10">
        <v>0</v>
      </c>
      <c r="I1016" s="1">
        <v>7500</v>
      </c>
      <c r="J1016" s="1">
        <v>20</v>
      </c>
      <c r="K1016" s="1">
        <v>0</v>
      </c>
      <c r="L1016" s="1">
        <v>10000</v>
      </c>
      <c r="M1016" s="1" t="s">
        <v>1855</v>
      </c>
      <c r="N1016" s="1" t="s">
        <v>1064</v>
      </c>
      <c r="O1016" s="1">
        <v>0</v>
      </c>
      <c r="P1016" s="1" t="s">
        <v>2048</v>
      </c>
      <c r="Q1016" s="7" t="str">
        <f t="shared" si="20"/>
        <v>equipment/7003.png</v>
      </c>
      <c r="R1016" s="1">
        <v>0</v>
      </c>
    </row>
    <row r="1017" spans="1:18" ht="14.25" thickBot="1">
      <c r="A1017" s="1" t="s">
        <v>815</v>
      </c>
      <c r="B1017" s="2">
        <v>0</v>
      </c>
      <c r="C1017" s="1" t="s">
        <v>2501</v>
      </c>
      <c r="D1017" s="1" t="s">
        <v>14</v>
      </c>
      <c r="E1017" s="1">
        <v>7</v>
      </c>
      <c r="F1017" s="1">
        <v>3</v>
      </c>
      <c r="G1017" s="1">
        <v>15</v>
      </c>
      <c r="H1017" s="10">
        <v>0</v>
      </c>
      <c r="I1017" s="1">
        <v>9000</v>
      </c>
      <c r="J1017" s="1">
        <v>20</v>
      </c>
      <c r="K1017" s="1">
        <v>0</v>
      </c>
      <c r="L1017" s="1">
        <v>12500</v>
      </c>
      <c r="M1017" s="1" t="s">
        <v>1857</v>
      </c>
      <c r="N1017" s="1" t="s">
        <v>1064</v>
      </c>
      <c r="O1017" s="1">
        <v>0</v>
      </c>
      <c r="P1017" s="1" t="s">
        <v>2048</v>
      </c>
      <c r="Q1017" s="7" t="str">
        <f t="shared" si="20"/>
        <v>equipment/7001.png</v>
      </c>
      <c r="R1017" s="1">
        <v>0</v>
      </c>
    </row>
    <row r="1018" spans="1:18" ht="14.25" thickBot="1">
      <c r="A1018" s="1" t="s">
        <v>816</v>
      </c>
      <c r="B1018" s="3">
        <v>1</v>
      </c>
      <c r="C1018" s="1" t="s">
        <v>2523</v>
      </c>
      <c r="D1018" s="1" t="s">
        <v>8</v>
      </c>
      <c r="E1018" s="1">
        <v>1</v>
      </c>
      <c r="F1018" s="1">
        <v>3</v>
      </c>
      <c r="G1018" s="1">
        <v>20</v>
      </c>
      <c r="H1018" s="10">
        <v>0</v>
      </c>
      <c r="I1018" s="1">
        <v>10000</v>
      </c>
      <c r="J1018" s="1">
        <v>20</v>
      </c>
      <c r="K1018" s="1">
        <v>0</v>
      </c>
      <c r="L1018" s="1">
        <v>12500</v>
      </c>
      <c r="M1018" s="1" t="s">
        <v>1858</v>
      </c>
      <c r="N1018" s="1" t="s">
        <v>1065</v>
      </c>
      <c r="O1018" s="1">
        <v>0</v>
      </c>
      <c r="P1018" s="1" t="s">
        <v>2049</v>
      </c>
      <c r="Q1018" s="7" t="str">
        <f t="shared" si="20"/>
        <v>equipment/3003.png</v>
      </c>
      <c r="R1018" s="1">
        <v>0</v>
      </c>
    </row>
    <row r="1019" spans="1:18" ht="14.25" thickBot="1">
      <c r="A1019" s="1" t="s">
        <v>817</v>
      </c>
      <c r="B1019" s="3">
        <v>1</v>
      </c>
      <c r="C1019" s="1" t="s">
        <v>2524</v>
      </c>
      <c r="D1019" s="1" t="s">
        <v>9</v>
      </c>
      <c r="E1019" s="1">
        <v>2</v>
      </c>
      <c r="F1019" s="1">
        <v>3</v>
      </c>
      <c r="G1019" s="1">
        <v>20</v>
      </c>
      <c r="H1019" s="10">
        <v>0</v>
      </c>
      <c r="I1019" s="1">
        <v>10000</v>
      </c>
      <c r="J1019" s="1">
        <v>20</v>
      </c>
      <c r="K1019" s="1">
        <v>0</v>
      </c>
      <c r="L1019" s="1">
        <v>12500</v>
      </c>
      <c r="M1019" s="1" t="s">
        <v>1839</v>
      </c>
      <c r="N1019" s="1" t="s">
        <v>1065</v>
      </c>
      <c r="O1019" s="1">
        <v>0</v>
      </c>
      <c r="P1019" s="1" t="s">
        <v>2049</v>
      </c>
      <c r="Q1019" s="7" t="str">
        <f t="shared" si="20"/>
        <v>equipment/14003.png</v>
      </c>
      <c r="R1019" s="1">
        <v>0</v>
      </c>
    </row>
    <row r="1020" spans="1:18" ht="14.25" thickBot="1">
      <c r="A1020" s="1" t="s">
        <v>818</v>
      </c>
      <c r="B1020" s="3">
        <v>1</v>
      </c>
      <c r="C1020" s="1" t="s">
        <v>2867</v>
      </c>
      <c r="D1020" s="1" t="s">
        <v>10</v>
      </c>
      <c r="E1020" s="1">
        <v>3</v>
      </c>
      <c r="F1020" s="1">
        <v>3</v>
      </c>
      <c r="G1020" s="1">
        <v>20</v>
      </c>
      <c r="H1020" s="10">
        <v>0</v>
      </c>
      <c r="I1020" s="1">
        <v>10000</v>
      </c>
      <c r="J1020" s="1">
        <v>20</v>
      </c>
      <c r="K1020" s="1">
        <v>0</v>
      </c>
      <c r="L1020" s="1">
        <v>12500</v>
      </c>
      <c r="M1020" s="1" t="s">
        <v>1859</v>
      </c>
      <c r="N1020" s="1" t="s">
        <v>1065</v>
      </c>
      <c r="O1020" s="1">
        <v>0</v>
      </c>
      <c r="P1020" s="1" t="s">
        <v>2049</v>
      </c>
      <c r="Q1020" s="7" t="str">
        <f t="shared" si="20"/>
        <v>equipment/6004.png</v>
      </c>
      <c r="R1020" s="1">
        <v>0</v>
      </c>
    </row>
    <row r="1021" spans="1:18" ht="14.25" thickBot="1">
      <c r="A1021" s="1" t="s">
        <v>819</v>
      </c>
      <c r="B1021" s="2">
        <v>1</v>
      </c>
      <c r="C1021" s="1" t="s">
        <v>2525</v>
      </c>
      <c r="D1021" s="1" t="s">
        <v>15</v>
      </c>
      <c r="E1021" s="1">
        <v>8</v>
      </c>
      <c r="F1021" s="1">
        <v>3</v>
      </c>
      <c r="G1021" s="1">
        <v>20</v>
      </c>
      <c r="H1021" s="10">
        <v>0</v>
      </c>
      <c r="I1021" s="1">
        <v>10000</v>
      </c>
      <c r="J1021" s="1">
        <v>20</v>
      </c>
      <c r="K1021" s="1">
        <v>0</v>
      </c>
      <c r="L1021" s="1">
        <v>12500</v>
      </c>
      <c r="M1021" s="1" t="s">
        <v>2471</v>
      </c>
      <c r="N1021" s="1" t="s">
        <v>1065</v>
      </c>
      <c r="O1021" s="1">
        <v>0</v>
      </c>
      <c r="P1021" s="1" t="s">
        <v>2049</v>
      </c>
      <c r="Q1021" s="7" t="str">
        <f t="shared" si="20"/>
        <v>equipment/8003.png</v>
      </c>
      <c r="R1021" s="1">
        <v>0</v>
      </c>
    </row>
    <row r="1022" spans="1:18" ht="14.25" thickBot="1">
      <c r="A1022" s="1" t="s">
        <v>820</v>
      </c>
      <c r="B1022" s="3">
        <v>1</v>
      </c>
      <c r="C1022" s="1" t="s">
        <v>2526</v>
      </c>
      <c r="D1022" s="1" t="s">
        <v>16</v>
      </c>
      <c r="E1022" s="1">
        <v>9</v>
      </c>
      <c r="F1022" s="1">
        <v>3</v>
      </c>
      <c r="G1022" s="1">
        <v>20</v>
      </c>
      <c r="H1022" s="10">
        <v>0</v>
      </c>
      <c r="I1022" s="1">
        <v>10000</v>
      </c>
      <c r="J1022" s="1">
        <v>20</v>
      </c>
      <c r="K1022" s="1">
        <v>0</v>
      </c>
      <c r="L1022" s="1">
        <v>12500</v>
      </c>
      <c r="M1022" s="1" t="s">
        <v>1861</v>
      </c>
      <c r="N1022" s="1" t="s">
        <v>1065</v>
      </c>
      <c r="O1022" s="1">
        <v>0</v>
      </c>
      <c r="P1022" s="1" t="s">
        <v>2049</v>
      </c>
      <c r="Q1022" s="7" t="str">
        <f t="shared" si="20"/>
        <v>equipment/10004.png</v>
      </c>
      <c r="R1022" s="1">
        <v>0</v>
      </c>
    </row>
    <row r="1023" spans="1:18" ht="14.25" thickBot="1">
      <c r="A1023" s="1" t="s">
        <v>821</v>
      </c>
      <c r="B1023" s="3">
        <v>1</v>
      </c>
      <c r="C1023" s="1" t="s">
        <v>2527</v>
      </c>
      <c r="D1023" s="1" t="s">
        <v>17</v>
      </c>
      <c r="E1023" s="1">
        <v>10</v>
      </c>
      <c r="F1023" s="1">
        <v>3</v>
      </c>
      <c r="G1023" s="1">
        <v>20</v>
      </c>
      <c r="H1023" s="10">
        <v>0</v>
      </c>
      <c r="I1023" s="1">
        <v>10000</v>
      </c>
      <c r="J1023" s="1">
        <v>20</v>
      </c>
      <c r="K1023" s="1">
        <v>0</v>
      </c>
      <c r="L1023" s="1">
        <v>12500</v>
      </c>
      <c r="M1023" s="1" t="s">
        <v>1862</v>
      </c>
      <c r="N1023" s="1" t="s">
        <v>1065</v>
      </c>
      <c r="O1023" s="1">
        <v>0</v>
      </c>
      <c r="P1023" s="1" t="s">
        <v>2049</v>
      </c>
      <c r="Q1023" s="7" t="str">
        <f t="shared" si="20"/>
        <v>equipment/12003.png</v>
      </c>
      <c r="R1023" s="1">
        <v>0</v>
      </c>
    </row>
    <row r="1024" spans="1:18" ht="14.25" thickBot="1">
      <c r="A1024" s="1" t="s">
        <v>822</v>
      </c>
      <c r="B1024" s="3">
        <v>1</v>
      </c>
      <c r="C1024" s="9" t="s">
        <v>2104</v>
      </c>
      <c r="D1024" s="1" t="s">
        <v>12</v>
      </c>
      <c r="E1024" s="1">
        <v>5</v>
      </c>
      <c r="F1024" s="1">
        <v>3</v>
      </c>
      <c r="G1024" s="1">
        <v>20</v>
      </c>
      <c r="H1024" s="10" t="s">
        <v>2120</v>
      </c>
      <c r="I1024" s="1">
        <v>10000</v>
      </c>
      <c r="J1024" s="1">
        <v>20</v>
      </c>
      <c r="K1024" s="1">
        <v>0</v>
      </c>
      <c r="L1024" s="1">
        <v>12500</v>
      </c>
      <c r="M1024" s="1" t="s">
        <v>2014</v>
      </c>
      <c r="N1024" s="1" t="s">
        <v>1066</v>
      </c>
      <c r="O1024" s="1">
        <v>0</v>
      </c>
      <c r="P1024" s="1" t="s">
        <v>2049</v>
      </c>
      <c r="Q1024" s="7" t="str">
        <f t="shared" si="20"/>
        <v>equipment/1109.png</v>
      </c>
      <c r="R1024" s="1">
        <v>0</v>
      </c>
    </row>
    <row r="1025" spans="1:18" ht="14.25" thickBot="1">
      <c r="A1025" s="1" t="s">
        <v>823</v>
      </c>
      <c r="B1025" s="2">
        <v>0</v>
      </c>
      <c r="C1025" s="9" t="s">
        <v>2491</v>
      </c>
      <c r="D1025" s="1" t="s">
        <v>12</v>
      </c>
      <c r="E1025" s="1">
        <v>5</v>
      </c>
      <c r="F1025" s="1">
        <v>3</v>
      </c>
      <c r="G1025" s="1">
        <v>20</v>
      </c>
      <c r="H1025" s="10" t="s">
        <v>2120</v>
      </c>
      <c r="I1025" s="1">
        <v>11500</v>
      </c>
      <c r="J1025" s="1">
        <v>20</v>
      </c>
      <c r="K1025" s="1">
        <v>0</v>
      </c>
      <c r="L1025" s="1">
        <v>15000</v>
      </c>
      <c r="M1025" s="1" t="s">
        <v>2015</v>
      </c>
      <c r="N1025" s="1" t="s">
        <v>1066</v>
      </c>
      <c r="O1025" s="1">
        <v>0</v>
      </c>
      <c r="P1025" s="1" t="s">
        <v>2049</v>
      </c>
      <c r="Q1025" s="7" t="str">
        <f t="shared" si="20"/>
        <v>equipment/1101.png</v>
      </c>
      <c r="R1025" s="1">
        <v>0</v>
      </c>
    </row>
    <row r="1026" spans="1:18" ht="14.25" thickBot="1">
      <c r="A1026" s="1" t="s">
        <v>824</v>
      </c>
      <c r="B1026" s="3">
        <v>1</v>
      </c>
      <c r="C1026" s="9" t="s">
        <v>2528</v>
      </c>
      <c r="D1026" s="1" t="s">
        <v>13</v>
      </c>
      <c r="E1026" s="1">
        <v>6</v>
      </c>
      <c r="F1026" s="1">
        <v>3</v>
      </c>
      <c r="G1026" s="1">
        <v>20</v>
      </c>
      <c r="H1026" s="10" t="s">
        <v>2120</v>
      </c>
      <c r="I1026" s="1">
        <v>10000</v>
      </c>
      <c r="J1026" s="1">
        <v>20</v>
      </c>
      <c r="K1026" s="1">
        <v>0</v>
      </c>
      <c r="L1026" s="1">
        <v>12500</v>
      </c>
      <c r="M1026" s="1" t="s">
        <v>1863</v>
      </c>
      <c r="N1026" s="1" t="s">
        <v>1066</v>
      </c>
      <c r="O1026" s="1">
        <v>0</v>
      </c>
      <c r="P1026" s="1" t="s">
        <v>2049</v>
      </c>
      <c r="Q1026" s="7" t="str">
        <f t="shared" si="20"/>
        <v>equipment/2104.png</v>
      </c>
      <c r="R1026" s="1">
        <v>0</v>
      </c>
    </row>
    <row r="1027" spans="1:18" ht="14.25" thickBot="1">
      <c r="A1027" s="1" t="s">
        <v>825</v>
      </c>
      <c r="B1027" s="2">
        <v>0</v>
      </c>
      <c r="C1027" s="9" t="s">
        <v>2061</v>
      </c>
      <c r="D1027" s="1" t="s">
        <v>13</v>
      </c>
      <c r="E1027" s="1">
        <v>6</v>
      </c>
      <c r="F1027" s="1">
        <v>3</v>
      </c>
      <c r="G1027" s="1">
        <v>20</v>
      </c>
      <c r="H1027" s="10" t="s">
        <v>2120</v>
      </c>
      <c r="I1027" s="1">
        <v>11500</v>
      </c>
      <c r="J1027" s="1">
        <v>20</v>
      </c>
      <c r="K1027" s="1">
        <v>0</v>
      </c>
      <c r="L1027" s="1">
        <v>15000</v>
      </c>
      <c r="M1027" s="1" t="s">
        <v>1864</v>
      </c>
      <c r="N1027" s="1" t="s">
        <v>1066</v>
      </c>
      <c r="O1027" s="1">
        <v>0</v>
      </c>
      <c r="P1027" s="1" t="s">
        <v>2049</v>
      </c>
      <c r="Q1027" s="7" t="str">
        <f t="shared" si="20"/>
        <v>equipment/2101.png</v>
      </c>
      <c r="R1027" s="1">
        <v>0</v>
      </c>
    </row>
    <row r="1028" spans="1:18" ht="14.25" thickBot="1">
      <c r="A1028" s="1" t="s">
        <v>826</v>
      </c>
      <c r="B1028" s="3">
        <v>1</v>
      </c>
      <c r="C1028" s="1" t="s">
        <v>2105</v>
      </c>
      <c r="D1028" s="1" t="s">
        <v>12</v>
      </c>
      <c r="E1028" s="1">
        <v>5</v>
      </c>
      <c r="F1028" s="1">
        <v>3</v>
      </c>
      <c r="G1028" s="1">
        <v>20</v>
      </c>
      <c r="H1028" s="10" t="s">
        <v>2121</v>
      </c>
      <c r="I1028" s="1">
        <v>10000</v>
      </c>
      <c r="J1028" s="1">
        <v>20</v>
      </c>
      <c r="K1028" s="1">
        <v>0</v>
      </c>
      <c r="L1028" s="1">
        <v>12500</v>
      </c>
      <c r="M1028" s="1" t="s">
        <v>2014</v>
      </c>
      <c r="N1028" s="1" t="s">
        <v>1066</v>
      </c>
      <c r="O1028" s="1">
        <v>0</v>
      </c>
      <c r="P1028" s="1" t="s">
        <v>2049</v>
      </c>
      <c r="Q1028" s="7" t="str">
        <f t="shared" si="20"/>
        <v>equipment/1209.png</v>
      </c>
      <c r="R1028" s="1">
        <v>0</v>
      </c>
    </row>
    <row r="1029" spans="1:18" ht="14.25" thickBot="1">
      <c r="A1029" s="1" t="s">
        <v>827</v>
      </c>
      <c r="B1029" s="2">
        <v>0</v>
      </c>
      <c r="C1029" s="1" t="s">
        <v>2494</v>
      </c>
      <c r="D1029" s="1" t="s">
        <v>12</v>
      </c>
      <c r="E1029" s="1">
        <v>5</v>
      </c>
      <c r="F1029" s="1">
        <v>3</v>
      </c>
      <c r="G1029" s="1">
        <v>20</v>
      </c>
      <c r="H1029" s="10" t="s">
        <v>2121</v>
      </c>
      <c r="I1029" s="1">
        <v>11500</v>
      </c>
      <c r="J1029" s="1">
        <v>20</v>
      </c>
      <c r="K1029" s="1">
        <v>0</v>
      </c>
      <c r="L1029" s="1">
        <v>15000</v>
      </c>
      <c r="M1029" s="1" t="s">
        <v>2015</v>
      </c>
      <c r="N1029" s="1" t="s">
        <v>1066</v>
      </c>
      <c r="O1029" s="1">
        <v>0</v>
      </c>
      <c r="P1029" s="1" t="s">
        <v>2049</v>
      </c>
      <c r="Q1029" s="7" t="str">
        <f t="shared" si="20"/>
        <v>equipment/1201.png</v>
      </c>
      <c r="R1029" s="1">
        <v>0</v>
      </c>
    </row>
    <row r="1030" spans="1:18" ht="14.25" thickBot="1">
      <c r="A1030" s="1" t="s">
        <v>828</v>
      </c>
      <c r="B1030" s="3">
        <v>1</v>
      </c>
      <c r="C1030" s="9" t="s">
        <v>2106</v>
      </c>
      <c r="D1030" s="1" t="s">
        <v>13</v>
      </c>
      <c r="E1030" s="1">
        <v>6</v>
      </c>
      <c r="F1030" s="1">
        <v>3</v>
      </c>
      <c r="G1030" s="1">
        <v>20</v>
      </c>
      <c r="H1030" s="10" t="s">
        <v>2121</v>
      </c>
      <c r="I1030" s="1">
        <v>10000</v>
      </c>
      <c r="J1030" s="1">
        <v>20</v>
      </c>
      <c r="K1030" s="1">
        <v>0</v>
      </c>
      <c r="L1030" s="1">
        <v>12500</v>
      </c>
      <c r="M1030" s="1" t="s">
        <v>1865</v>
      </c>
      <c r="N1030" s="1" t="s">
        <v>1066</v>
      </c>
      <c r="O1030" s="1">
        <v>0</v>
      </c>
      <c r="P1030" s="1" t="s">
        <v>2049</v>
      </c>
      <c r="Q1030" s="7" t="str">
        <f t="shared" si="20"/>
        <v>equipment/2205.png</v>
      </c>
      <c r="R1030" s="1">
        <v>0</v>
      </c>
    </row>
    <row r="1031" spans="1:18" ht="14.25" thickBot="1">
      <c r="A1031" s="1" t="s">
        <v>829</v>
      </c>
      <c r="B1031" s="2">
        <v>0</v>
      </c>
      <c r="C1031" s="9" t="s">
        <v>2094</v>
      </c>
      <c r="D1031" s="1" t="s">
        <v>13</v>
      </c>
      <c r="E1031" s="1">
        <v>6</v>
      </c>
      <c r="F1031" s="1">
        <v>3</v>
      </c>
      <c r="G1031" s="1">
        <v>20</v>
      </c>
      <c r="H1031" s="10" t="s">
        <v>2121</v>
      </c>
      <c r="I1031" s="1">
        <v>11500</v>
      </c>
      <c r="J1031" s="1">
        <v>20</v>
      </c>
      <c r="K1031" s="1">
        <v>0</v>
      </c>
      <c r="L1031" s="1">
        <v>15000</v>
      </c>
      <c r="M1031" s="1" t="s">
        <v>1866</v>
      </c>
      <c r="N1031" s="1" t="s">
        <v>1066</v>
      </c>
      <c r="O1031" s="1">
        <v>0</v>
      </c>
      <c r="P1031" s="1" t="s">
        <v>2049</v>
      </c>
      <c r="Q1031" s="7" t="str">
        <f t="shared" si="20"/>
        <v>equipment/2201.png</v>
      </c>
      <c r="R1031" s="1">
        <v>0</v>
      </c>
    </row>
    <row r="1032" spans="1:18" ht="14.25" thickBot="1">
      <c r="A1032" s="1" t="s">
        <v>830</v>
      </c>
      <c r="B1032" s="3">
        <v>1</v>
      </c>
      <c r="C1032" s="9" t="s">
        <v>2107</v>
      </c>
      <c r="D1032" s="1" t="s">
        <v>12</v>
      </c>
      <c r="E1032" s="1">
        <v>5</v>
      </c>
      <c r="F1032" s="1">
        <v>3</v>
      </c>
      <c r="G1032" s="1">
        <v>20</v>
      </c>
      <c r="H1032" s="10" t="s">
        <v>2122</v>
      </c>
      <c r="I1032" s="1">
        <v>10000</v>
      </c>
      <c r="J1032" s="1">
        <v>20</v>
      </c>
      <c r="K1032" s="1">
        <v>0</v>
      </c>
      <c r="L1032" s="1">
        <v>12500</v>
      </c>
      <c r="M1032" s="1" t="s">
        <v>2014</v>
      </c>
      <c r="N1032" s="1" t="s">
        <v>1066</v>
      </c>
      <c r="O1032" s="1">
        <v>0</v>
      </c>
      <c r="P1032" s="1" t="s">
        <v>2049</v>
      </c>
      <c r="Q1032" s="7" t="str">
        <f t="shared" si="20"/>
        <v>equipment/1309.png</v>
      </c>
      <c r="R1032" s="1">
        <v>0</v>
      </c>
    </row>
    <row r="1033" spans="1:18" ht="14.25" thickBot="1">
      <c r="A1033" s="1" t="s">
        <v>831</v>
      </c>
      <c r="B1033" s="3">
        <v>1</v>
      </c>
      <c r="C1033" s="9" t="s">
        <v>2529</v>
      </c>
      <c r="D1033" s="1" t="s">
        <v>12</v>
      </c>
      <c r="E1033" s="1">
        <v>5</v>
      </c>
      <c r="F1033" s="1">
        <v>3</v>
      </c>
      <c r="G1033" s="1">
        <v>20</v>
      </c>
      <c r="H1033" s="10" t="s">
        <v>2122</v>
      </c>
      <c r="I1033" s="1">
        <v>11500</v>
      </c>
      <c r="J1033" s="1">
        <v>20</v>
      </c>
      <c r="K1033" s="1">
        <v>0</v>
      </c>
      <c r="L1033" s="1">
        <v>15000</v>
      </c>
      <c r="M1033" s="1" t="s">
        <v>2015</v>
      </c>
      <c r="N1033" s="1" t="s">
        <v>1066</v>
      </c>
      <c r="O1033" s="1">
        <v>0</v>
      </c>
      <c r="P1033" s="1" t="s">
        <v>2049</v>
      </c>
      <c r="Q1033" s="7" t="str">
        <f t="shared" si="20"/>
        <v>equipment/1310.png</v>
      </c>
      <c r="R1033" s="1">
        <v>0</v>
      </c>
    </row>
    <row r="1034" spans="1:18" ht="14.25" thickBot="1">
      <c r="A1034" s="1" t="s">
        <v>832</v>
      </c>
      <c r="B1034" s="3">
        <v>1</v>
      </c>
      <c r="C1034" s="9" t="s">
        <v>2530</v>
      </c>
      <c r="D1034" s="1" t="s">
        <v>13</v>
      </c>
      <c r="E1034" s="1">
        <v>6</v>
      </c>
      <c r="F1034" s="1">
        <v>3</v>
      </c>
      <c r="G1034" s="1">
        <v>20</v>
      </c>
      <c r="H1034" s="10" t="s">
        <v>2122</v>
      </c>
      <c r="I1034" s="1">
        <v>10000</v>
      </c>
      <c r="J1034" s="1">
        <v>20</v>
      </c>
      <c r="K1034" s="1">
        <v>0</v>
      </c>
      <c r="L1034" s="1">
        <v>12500</v>
      </c>
      <c r="M1034" s="1" t="s">
        <v>1867</v>
      </c>
      <c r="N1034" s="1" t="s">
        <v>1066</v>
      </c>
      <c r="O1034" s="1">
        <v>0</v>
      </c>
      <c r="P1034" s="1" t="s">
        <v>2049</v>
      </c>
      <c r="Q1034" s="7" t="str">
        <f t="shared" si="20"/>
        <v>equipment/2305.png</v>
      </c>
      <c r="R1034" s="1">
        <v>0</v>
      </c>
    </row>
    <row r="1035" spans="1:18" ht="14.25" thickBot="1">
      <c r="A1035" s="1" t="s">
        <v>833</v>
      </c>
      <c r="B1035" s="2">
        <v>0</v>
      </c>
      <c r="C1035" s="9" t="s">
        <v>2095</v>
      </c>
      <c r="D1035" s="1" t="s">
        <v>13</v>
      </c>
      <c r="E1035" s="1">
        <v>6</v>
      </c>
      <c r="F1035" s="1">
        <v>3</v>
      </c>
      <c r="G1035" s="1">
        <v>20</v>
      </c>
      <c r="H1035" s="10" t="s">
        <v>2122</v>
      </c>
      <c r="I1035" s="1">
        <v>11500</v>
      </c>
      <c r="J1035" s="1">
        <v>20</v>
      </c>
      <c r="K1035" s="1">
        <v>0</v>
      </c>
      <c r="L1035" s="1">
        <v>15000</v>
      </c>
      <c r="M1035" s="1" t="s">
        <v>1868</v>
      </c>
      <c r="N1035" s="1" t="s">
        <v>1066</v>
      </c>
      <c r="O1035" s="1">
        <v>0</v>
      </c>
      <c r="P1035" s="1" t="s">
        <v>2049</v>
      </c>
      <c r="Q1035" s="7" t="str">
        <f t="shared" si="20"/>
        <v>equipment/2301.png</v>
      </c>
      <c r="R1035" s="1">
        <v>0</v>
      </c>
    </row>
    <row r="1036" spans="1:18" ht="14.25" thickBot="1">
      <c r="A1036" s="1" t="s">
        <v>834</v>
      </c>
      <c r="B1036" s="3">
        <v>1</v>
      </c>
      <c r="C1036" s="1" t="s">
        <v>2081</v>
      </c>
      <c r="D1036" s="1" t="s">
        <v>11</v>
      </c>
      <c r="E1036" s="1">
        <v>4</v>
      </c>
      <c r="F1036" s="1">
        <v>3</v>
      </c>
      <c r="G1036" s="1">
        <v>20</v>
      </c>
      <c r="H1036" s="10">
        <v>0</v>
      </c>
      <c r="I1036" s="1">
        <v>10000</v>
      </c>
      <c r="J1036" s="1">
        <v>20</v>
      </c>
      <c r="K1036" s="1">
        <v>0</v>
      </c>
      <c r="L1036" s="1">
        <v>12500</v>
      </c>
      <c r="M1036" s="1" t="s">
        <v>1869</v>
      </c>
      <c r="N1036" s="1" t="s">
        <v>1065</v>
      </c>
      <c r="O1036" s="1">
        <v>0</v>
      </c>
      <c r="P1036" s="1" t="s">
        <v>2049</v>
      </c>
      <c r="Q1036" s="7" t="str">
        <f t="shared" si="20"/>
        <v>equipment/5004.png</v>
      </c>
      <c r="R1036" s="1">
        <v>0</v>
      </c>
    </row>
    <row r="1037" spans="1:18" ht="14.25" thickBot="1">
      <c r="A1037" s="1" t="s">
        <v>835</v>
      </c>
      <c r="B1037" s="3">
        <v>1</v>
      </c>
      <c r="C1037" s="1" t="s">
        <v>2082</v>
      </c>
      <c r="D1037" s="1" t="s">
        <v>11</v>
      </c>
      <c r="E1037" s="1">
        <v>4</v>
      </c>
      <c r="F1037" s="1">
        <v>3</v>
      </c>
      <c r="G1037" s="1">
        <v>20</v>
      </c>
      <c r="H1037" s="10">
        <v>0</v>
      </c>
      <c r="I1037" s="1">
        <v>11500</v>
      </c>
      <c r="J1037" s="1">
        <v>20</v>
      </c>
      <c r="K1037" s="1">
        <v>0</v>
      </c>
      <c r="L1037" s="1">
        <v>15000</v>
      </c>
      <c r="M1037" s="1" t="s">
        <v>1870</v>
      </c>
      <c r="N1037" s="1" t="s">
        <v>1065</v>
      </c>
      <c r="O1037" s="1">
        <v>0</v>
      </c>
      <c r="P1037" s="1" t="s">
        <v>2049</v>
      </c>
      <c r="Q1037" s="7" t="str">
        <f t="shared" si="20"/>
        <v>equipment/5006.png</v>
      </c>
      <c r="R1037" s="1">
        <v>0</v>
      </c>
    </row>
    <row r="1038" spans="1:18" ht="14.25" thickBot="1">
      <c r="A1038" s="1" t="s">
        <v>836</v>
      </c>
      <c r="B1038" s="3">
        <v>1</v>
      </c>
      <c r="C1038" s="1" t="s">
        <v>2531</v>
      </c>
      <c r="D1038" s="1" t="s">
        <v>14</v>
      </c>
      <c r="E1038" s="1">
        <v>7</v>
      </c>
      <c r="F1038" s="1">
        <v>3</v>
      </c>
      <c r="G1038" s="1">
        <v>20</v>
      </c>
      <c r="H1038" s="10">
        <v>0</v>
      </c>
      <c r="I1038" s="1">
        <v>10000</v>
      </c>
      <c r="J1038" s="1">
        <v>20</v>
      </c>
      <c r="K1038" s="1">
        <v>0</v>
      </c>
      <c r="L1038" s="1">
        <v>12500</v>
      </c>
      <c r="M1038" s="1" t="s">
        <v>1871</v>
      </c>
      <c r="N1038" s="1" t="s">
        <v>1065</v>
      </c>
      <c r="O1038" s="1">
        <v>0</v>
      </c>
      <c r="P1038" s="1" t="s">
        <v>2049</v>
      </c>
      <c r="Q1038" s="7" t="str">
        <f t="shared" si="20"/>
        <v>equipment/7005.png</v>
      </c>
      <c r="R1038" s="1">
        <v>0</v>
      </c>
    </row>
    <row r="1039" spans="1:18" ht="14.25" thickBot="1">
      <c r="A1039" s="1" t="s">
        <v>837</v>
      </c>
      <c r="B1039" s="3">
        <v>1</v>
      </c>
      <c r="C1039" s="1" t="s">
        <v>2532</v>
      </c>
      <c r="D1039" s="1" t="s">
        <v>14</v>
      </c>
      <c r="E1039" s="1">
        <v>7</v>
      </c>
      <c r="F1039" s="1">
        <v>3</v>
      </c>
      <c r="G1039" s="1">
        <v>20</v>
      </c>
      <c r="H1039" s="10">
        <v>0</v>
      </c>
      <c r="I1039" s="1">
        <v>11500</v>
      </c>
      <c r="J1039" s="1">
        <v>20</v>
      </c>
      <c r="K1039" s="1">
        <v>0</v>
      </c>
      <c r="L1039" s="1">
        <v>15000</v>
      </c>
      <c r="M1039" s="1" t="s">
        <v>1872</v>
      </c>
      <c r="N1039" s="1" t="s">
        <v>1065</v>
      </c>
      <c r="O1039" s="1">
        <v>0</v>
      </c>
      <c r="P1039" s="1" t="s">
        <v>2049</v>
      </c>
      <c r="Q1039" s="7" t="str">
        <f t="shared" si="20"/>
        <v>equipment/7004.png</v>
      </c>
      <c r="R1039" s="1">
        <v>0</v>
      </c>
    </row>
    <row r="1040" spans="1:18" ht="14.25" thickBot="1">
      <c r="A1040" s="1" t="s">
        <v>838</v>
      </c>
      <c r="B1040" s="3">
        <v>1</v>
      </c>
      <c r="C1040" s="1" t="s">
        <v>2062</v>
      </c>
      <c r="D1040" s="1" t="s">
        <v>8</v>
      </c>
      <c r="E1040" s="1">
        <v>1</v>
      </c>
      <c r="F1040" s="1">
        <v>3</v>
      </c>
      <c r="G1040" s="1">
        <v>25</v>
      </c>
      <c r="H1040" s="10">
        <v>0</v>
      </c>
      <c r="I1040" s="1">
        <v>12500</v>
      </c>
      <c r="J1040" s="1">
        <v>20</v>
      </c>
      <c r="K1040" s="1">
        <v>0</v>
      </c>
      <c r="L1040" s="1">
        <v>15000</v>
      </c>
      <c r="M1040" s="1" t="s">
        <v>1873</v>
      </c>
      <c r="N1040" s="1" t="s">
        <v>1067</v>
      </c>
      <c r="O1040" s="1">
        <v>0</v>
      </c>
      <c r="P1040" s="1" t="s">
        <v>2050</v>
      </c>
      <c r="Q1040" s="7" t="str">
        <f t="shared" si="20"/>
        <v>equipment/3005.png</v>
      </c>
      <c r="R1040" s="1">
        <v>0</v>
      </c>
    </row>
    <row r="1041" spans="1:18" ht="14.25" thickBot="1">
      <c r="A1041" s="1" t="s">
        <v>839</v>
      </c>
      <c r="B1041" s="3">
        <v>1</v>
      </c>
      <c r="C1041" s="1" t="s">
        <v>2334</v>
      </c>
      <c r="D1041" s="1" t="s">
        <v>9</v>
      </c>
      <c r="E1041" s="1">
        <v>2</v>
      </c>
      <c r="F1041" s="1">
        <v>3</v>
      </c>
      <c r="G1041" s="1">
        <v>25</v>
      </c>
      <c r="H1041" s="10">
        <v>0</v>
      </c>
      <c r="I1041" s="1">
        <v>12500</v>
      </c>
      <c r="J1041" s="1">
        <v>20</v>
      </c>
      <c r="K1041" s="1">
        <v>0</v>
      </c>
      <c r="L1041" s="1">
        <v>15000</v>
      </c>
      <c r="M1041" s="1" t="s">
        <v>1874</v>
      </c>
      <c r="N1041" s="1" t="s">
        <v>1067</v>
      </c>
      <c r="O1041" s="1">
        <v>0</v>
      </c>
      <c r="P1041" s="1" t="s">
        <v>2050</v>
      </c>
      <c r="Q1041" s="7" t="str">
        <f t="shared" si="20"/>
        <v>equipment/14004.png</v>
      </c>
      <c r="R1041" s="1">
        <v>0</v>
      </c>
    </row>
    <row r="1042" spans="1:18" ht="14.25" thickBot="1">
      <c r="A1042" s="1" t="s">
        <v>840</v>
      </c>
      <c r="B1042" s="3">
        <v>1</v>
      </c>
      <c r="C1042" s="1" t="s">
        <v>2533</v>
      </c>
      <c r="D1042" s="1" t="s">
        <v>10</v>
      </c>
      <c r="E1042" s="1">
        <v>3</v>
      </c>
      <c r="F1042" s="1">
        <v>3</v>
      </c>
      <c r="G1042" s="1">
        <v>25</v>
      </c>
      <c r="H1042" s="10">
        <v>0</v>
      </c>
      <c r="I1042" s="1">
        <v>12500</v>
      </c>
      <c r="J1042" s="1">
        <v>20</v>
      </c>
      <c r="K1042" s="1">
        <v>0</v>
      </c>
      <c r="L1042" s="1">
        <v>15000</v>
      </c>
      <c r="M1042" s="1" t="s">
        <v>1875</v>
      </c>
      <c r="N1042" s="1" t="s">
        <v>1067</v>
      </c>
      <c r="O1042" s="1">
        <v>0</v>
      </c>
      <c r="P1042" s="1" t="s">
        <v>2050</v>
      </c>
      <c r="Q1042" s="7" t="str">
        <f t="shared" si="20"/>
        <v>equipment/6005.png</v>
      </c>
      <c r="R1042" s="1">
        <v>0</v>
      </c>
    </row>
    <row r="1043" spans="1:18" ht="14.25" thickBot="1">
      <c r="A1043" s="1" t="s">
        <v>841</v>
      </c>
      <c r="B1043" s="3">
        <v>1</v>
      </c>
      <c r="C1043" s="1" t="s">
        <v>2534</v>
      </c>
      <c r="D1043" s="1" t="s">
        <v>15</v>
      </c>
      <c r="E1043" s="1">
        <v>8</v>
      </c>
      <c r="F1043" s="1">
        <v>3</v>
      </c>
      <c r="G1043" s="1">
        <v>25</v>
      </c>
      <c r="H1043" s="10">
        <v>0</v>
      </c>
      <c r="I1043" s="1">
        <v>12500</v>
      </c>
      <c r="J1043" s="1">
        <v>20</v>
      </c>
      <c r="K1043" s="1">
        <v>0</v>
      </c>
      <c r="L1043" s="1">
        <v>15000</v>
      </c>
      <c r="M1043" s="1" t="s">
        <v>1860</v>
      </c>
      <c r="N1043" s="1" t="s">
        <v>1067</v>
      </c>
      <c r="O1043" s="1">
        <v>0</v>
      </c>
      <c r="P1043" s="1" t="s">
        <v>2050</v>
      </c>
      <c r="Q1043" s="7" t="str">
        <f t="shared" si="20"/>
        <v>equipment/8004.png</v>
      </c>
      <c r="R1043" s="1">
        <v>0</v>
      </c>
    </row>
    <row r="1044" spans="1:18" ht="14.25" thickBot="1">
      <c r="A1044" s="1" t="s">
        <v>842</v>
      </c>
      <c r="B1044" s="2">
        <v>1</v>
      </c>
      <c r="C1044" s="1" t="s">
        <v>2535</v>
      </c>
      <c r="D1044" s="1" t="s">
        <v>16</v>
      </c>
      <c r="E1044" s="1">
        <v>9</v>
      </c>
      <c r="F1044" s="1">
        <v>3</v>
      </c>
      <c r="G1044" s="1">
        <v>25</v>
      </c>
      <c r="H1044" s="10">
        <v>0</v>
      </c>
      <c r="I1044" s="1">
        <v>12500</v>
      </c>
      <c r="J1044" s="1">
        <v>20</v>
      </c>
      <c r="K1044" s="1">
        <v>0</v>
      </c>
      <c r="L1044" s="1">
        <v>15000</v>
      </c>
      <c r="M1044" s="1" t="s">
        <v>1876</v>
      </c>
      <c r="N1044" s="1" t="s">
        <v>1067</v>
      </c>
      <c r="O1044" s="1">
        <v>0</v>
      </c>
      <c r="P1044" s="1" t="s">
        <v>2050</v>
      </c>
      <c r="Q1044" s="7" t="str">
        <f t="shared" si="20"/>
        <v>equipment/10003.png</v>
      </c>
      <c r="R1044" s="1">
        <v>0</v>
      </c>
    </row>
    <row r="1045" spans="1:18" ht="14.25" thickBot="1">
      <c r="A1045" s="1" t="s">
        <v>843</v>
      </c>
      <c r="B1045" s="3">
        <v>1</v>
      </c>
      <c r="C1045" s="1" t="s">
        <v>2077</v>
      </c>
      <c r="D1045" s="1" t="s">
        <v>17</v>
      </c>
      <c r="E1045" s="1">
        <v>10</v>
      </c>
      <c r="F1045" s="1">
        <v>3</v>
      </c>
      <c r="G1045" s="1">
        <v>25</v>
      </c>
      <c r="H1045" s="10">
        <v>0</v>
      </c>
      <c r="I1045" s="1">
        <v>12500</v>
      </c>
      <c r="J1045" s="1">
        <v>20</v>
      </c>
      <c r="K1045" s="1">
        <v>0</v>
      </c>
      <c r="L1045" s="1">
        <v>15000</v>
      </c>
      <c r="M1045" s="1" t="s">
        <v>1877</v>
      </c>
      <c r="N1045" s="1" t="s">
        <v>1067</v>
      </c>
      <c r="O1045" s="1">
        <v>0</v>
      </c>
      <c r="P1045" s="1" t="s">
        <v>2050</v>
      </c>
      <c r="Q1045" s="7" t="str">
        <f t="shared" ref="Q1045:Q1108" si="21">Q583</f>
        <v>equipment/12004.png</v>
      </c>
      <c r="R1045" s="1">
        <v>0</v>
      </c>
    </row>
    <row r="1046" spans="1:18" ht="14.25" thickBot="1">
      <c r="A1046" s="1" t="s">
        <v>844</v>
      </c>
      <c r="B1046" s="3">
        <v>1</v>
      </c>
      <c r="C1046" s="9" t="s">
        <v>2536</v>
      </c>
      <c r="D1046" s="1" t="s">
        <v>12</v>
      </c>
      <c r="E1046" s="1">
        <v>5</v>
      </c>
      <c r="F1046" s="1">
        <v>3</v>
      </c>
      <c r="G1046" s="1">
        <v>25</v>
      </c>
      <c r="H1046" s="10" t="s">
        <v>2120</v>
      </c>
      <c r="I1046" s="1">
        <v>12500</v>
      </c>
      <c r="J1046" s="1">
        <v>20</v>
      </c>
      <c r="K1046" s="1">
        <v>0</v>
      </c>
      <c r="L1046" s="1">
        <v>15000</v>
      </c>
      <c r="M1046" s="1" t="s">
        <v>1878</v>
      </c>
      <c r="N1046" s="1" t="s">
        <v>1068</v>
      </c>
      <c r="O1046" s="1">
        <v>0</v>
      </c>
      <c r="P1046" s="1" t="s">
        <v>2050</v>
      </c>
      <c r="Q1046" s="7" t="str">
        <f t="shared" si="21"/>
        <v>equipment/1110.png</v>
      </c>
      <c r="R1046" s="1">
        <v>0</v>
      </c>
    </row>
    <row r="1047" spans="1:18" ht="14.25" thickBot="1">
      <c r="A1047" s="1" t="s">
        <v>845</v>
      </c>
      <c r="B1047" s="3">
        <v>1</v>
      </c>
      <c r="C1047" s="9" t="s">
        <v>2537</v>
      </c>
      <c r="D1047" s="1" t="s">
        <v>12</v>
      </c>
      <c r="E1047" s="1">
        <v>5</v>
      </c>
      <c r="F1047" s="1">
        <v>3</v>
      </c>
      <c r="G1047" s="1">
        <v>25</v>
      </c>
      <c r="H1047" s="10" t="s">
        <v>2120</v>
      </c>
      <c r="I1047" s="1">
        <v>14000</v>
      </c>
      <c r="J1047" s="1">
        <v>20</v>
      </c>
      <c r="K1047" s="1">
        <v>0</v>
      </c>
      <c r="L1047" s="1">
        <v>17500</v>
      </c>
      <c r="M1047" s="1" t="s">
        <v>2016</v>
      </c>
      <c r="N1047" s="1" t="s">
        <v>1068</v>
      </c>
      <c r="O1047" s="1">
        <v>0</v>
      </c>
      <c r="P1047" s="1" t="s">
        <v>2050</v>
      </c>
      <c r="Q1047" s="7" t="str">
        <f t="shared" si="21"/>
        <v>equipment/1111.png</v>
      </c>
      <c r="R1047" s="1">
        <v>0</v>
      </c>
    </row>
    <row r="1048" spans="1:18" ht="14.25" thickBot="1">
      <c r="A1048" s="1" t="s">
        <v>846</v>
      </c>
      <c r="B1048" s="3">
        <v>1</v>
      </c>
      <c r="C1048" s="9" t="s">
        <v>2538</v>
      </c>
      <c r="D1048" s="1" t="s">
        <v>13</v>
      </c>
      <c r="E1048" s="1">
        <v>6</v>
      </c>
      <c r="F1048" s="1">
        <v>3</v>
      </c>
      <c r="G1048" s="1">
        <v>25</v>
      </c>
      <c r="H1048" s="10" t="s">
        <v>2120</v>
      </c>
      <c r="I1048" s="1">
        <v>12500</v>
      </c>
      <c r="J1048" s="1">
        <v>20</v>
      </c>
      <c r="K1048" s="1">
        <v>0</v>
      </c>
      <c r="L1048" s="1">
        <v>15000</v>
      </c>
      <c r="M1048" s="1" t="s">
        <v>1879</v>
      </c>
      <c r="N1048" s="1" t="s">
        <v>1068</v>
      </c>
      <c r="O1048" s="1">
        <v>0</v>
      </c>
      <c r="P1048" s="1" t="s">
        <v>2050</v>
      </c>
      <c r="Q1048" s="7" t="str">
        <f t="shared" si="21"/>
        <v>equipment/2106.png</v>
      </c>
      <c r="R1048" s="1">
        <v>0</v>
      </c>
    </row>
    <row r="1049" spans="1:18" ht="14.25" thickBot="1">
      <c r="A1049" s="1" t="s">
        <v>847</v>
      </c>
      <c r="B1049" s="2">
        <v>0</v>
      </c>
      <c r="C1049" s="9" t="s">
        <v>2061</v>
      </c>
      <c r="D1049" s="1" t="s">
        <v>13</v>
      </c>
      <c r="E1049" s="1">
        <v>6</v>
      </c>
      <c r="F1049" s="1">
        <v>3</v>
      </c>
      <c r="G1049" s="1">
        <v>25</v>
      </c>
      <c r="H1049" s="10" t="s">
        <v>2120</v>
      </c>
      <c r="I1049" s="1">
        <v>14000</v>
      </c>
      <c r="J1049" s="1">
        <v>20</v>
      </c>
      <c r="K1049" s="1">
        <v>0</v>
      </c>
      <c r="L1049" s="1">
        <v>17500</v>
      </c>
      <c r="M1049" s="1" t="s">
        <v>1880</v>
      </c>
      <c r="N1049" s="1" t="s">
        <v>1068</v>
      </c>
      <c r="O1049" s="1">
        <v>0</v>
      </c>
      <c r="P1049" s="1" t="s">
        <v>2050</v>
      </c>
      <c r="Q1049" s="7" t="str">
        <f t="shared" si="21"/>
        <v>equipment/2101.png</v>
      </c>
      <c r="R1049" s="1">
        <v>0</v>
      </c>
    </row>
    <row r="1050" spans="1:18" ht="14.25" thickBot="1">
      <c r="A1050" s="1" t="s">
        <v>848</v>
      </c>
      <c r="B1050" s="3">
        <v>1</v>
      </c>
      <c r="C1050" s="1" t="s">
        <v>2108</v>
      </c>
      <c r="D1050" s="1" t="s">
        <v>12</v>
      </c>
      <c r="E1050" s="1">
        <v>5</v>
      </c>
      <c r="F1050" s="1">
        <v>3</v>
      </c>
      <c r="G1050" s="1">
        <v>25</v>
      </c>
      <c r="H1050" s="10" t="s">
        <v>2121</v>
      </c>
      <c r="I1050" s="1">
        <v>12500</v>
      </c>
      <c r="J1050" s="1">
        <v>20</v>
      </c>
      <c r="K1050" s="1">
        <v>0</v>
      </c>
      <c r="L1050" s="1">
        <v>15000</v>
      </c>
      <c r="M1050" s="1" t="s">
        <v>1878</v>
      </c>
      <c r="N1050" s="1" t="s">
        <v>1068</v>
      </c>
      <c r="O1050" s="1">
        <v>0</v>
      </c>
      <c r="P1050" s="1" t="s">
        <v>2050</v>
      </c>
      <c r="Q1050" s="7" t="str">
        <f t="shared" si="21"/>
        <v>equipment/1210.png</v>
      </c>
      <c r="R1050" s="1">
        <v>0</v>
      </c>
    </row>
    <row r="1051" spans="1:18" ht="14.25" thickBot="1">
      <c r="A1051" s="1" t="s">
        <v>849</v>
      </c>
      <c r="B1051" s="3">
        <v>1</v>
      </c>
      <c r="C1051" s="1" t="s">
        <v>2539</v>
      </c>
      <c r="D1051" s="1" t="s">
        <v>12</v>
      </c>
      <c r="E1051" s="1">
        <v>5</v>
      </c>
      <c r="F1051" s="1">
        <v>3</v>
      </c>
      <c r="G1051" s="1">
        <v>25</v>
      </c>
      <c r="H1051" s="10" t="s">
        <v>2121</v>
      </c>
      <c r="I1051" s="1">
        <v>14000</v>
      </c>
      <c r="J1051" s="1">
        <v>20</v>
      </c>
      <c r="K1051" s="1">
        <v>0</v>
      </c>
      <c r="L1051" s="1">
        <v>17500</v>
      </c>
      <c r="M1051" s="1" t="s">
        <v>2016</v>
      </c>
      <c r="N1051" s="1" t="s">
        <v>1068</v>
      </c>
      <c r="O1051" s="1">
        <v>0</v>
      </c>
      <c r="P1051" s="1" t="s">
        <v>2050</v>
      </c>
      <c r="Q1051" s="7" t="str">
        <f t="shared" si="21"/>
        <v>equipment/1215.png</v>
      </c>
      <c r="R1051" s="1">
        <v>0</v>
      </c>
    </row>
    <row r="1052" spans="1:18" ht="14.25" thickBot="1">
      <c r="A1052" s="1" t="s">
        <v>850</v>
      </c>
      <c r="B1052" s="3">
        <v>1</v>
      </c>
      <c r="C1052" s="9" t="s">
        <v>2109</v>
      </c>
      <c r="D1052" s="1" t="s">
        <v>13</v>
      </c>
      <c r="E1052" s="1">
        <v>6</v>
      </c>
      <c r="F1052" s="1">
        <v>3</v>
      </c>
      <c r="G1052" s="1">
        <v>25</v>
      </c>
      <c r="H1052" s="10" t="s">
        <v>2121</v>
      </c>
      <c r="I1052" s="1">
        <v>12500</v>
      </c>
      <c r="J1052" s="1">
        <v>20</v>
      </c>
      <c r="K1052" s="1">
        <v>0</v>
      </c>
      <c r="L1052" s="1">
        <v>15000</v>
      </c>
      <c r="M1052" s="1" t="s">
        <v>1881</v>
      </c>
      <c r="N1052" s="1" t="s">
        <v>1068</v>
      </c>
      <c r="O1052" s="1">
        <v>0</v>
      </c>
      <c r="P1052" s="1" t="s">
        <v>2050</v>
      </c>
      <c r="Q1052" s="7" t="str">
        <f t="shared" si="21"/>
        <v>equipment/2206.png</v>
      </c>
      <c r="R1052" s="1">
        <v>0</v>
      </c>
    </row>
    <row r="1053" spans="1:18" ht="14.25" thickBot="1">
      <c r="A1053" s="1" t="s">
        <v>851</v>
      </c>
      <c r="B1053" s="2">
        <v>0</v>
      </c>
      <c r="C1053" s="9" t="s">
        <v>2094</v>
      </c>
      <c r="D1053" s="1" t="s">
        <v>13</v>
      </c>
      <c r="E1053" s="1">
        <v>6</v>
      </c>
      <c r="F1053" s="1">
        <v>3</v>
      </c>
      <c r="G1053" s="1">
        <v>25</v>
      </c>
      <c r="H1053" s="10" t="s">
        <v>2121</v>
      </c>
      <c r="I1053" s="1">
        <v>14000</v>
      </c>
      <c r="J1053" s="1">
        <v>20</v>
      </c>
      <c r="K1053" s="1">
        <v>0</v>
      </c>
      <c r="L1053" s="1">
        <v>17500</v>
      </c>
      <c r="M1053" s="1" t="s">
        <v>1882</v>
      </c>
      <c r="N1053" s="1" t="s">
        <v>1068</v>
      </c>
      <c r="O1053" s="1">
        <v>0</v>
      </c>
      <c r="P1053" s="1" t="s">
        <v>2050</v>
      </c>
      <c r="Q1053" s="7" t="str">
        <f t="shared" si="21"/>
        <v>equipment/2201.png</v>
      </c>
      <c r="R1053" s="1">
        <v>0</v>
      </c>
    </row>
    <row r="1054" spans="1:18" ht="14.25" thickBot="1">
      <c r="A1054" s="1" t="s">
        <v>852</v>
      </c>
      <c r="B1054" s="3">
        <v>1</v>
      </c>
      <c r="C1054" s="9" t="s">
        <v>2540</v>
      </c>
      <c r="D1054" s="1" t="s">
        <v>12</v>
      </c>
      <c r="E1054" s="1">
        <v>5</v>
      </c>
      <c r="F1054" s="1">
        <v>3</v>
      </c>
      <c r="G1054" s="1">
        <v>25</v>
      </c>
      <c r="H1054" s="10" t="s">
        <v>2122</v>
      </c>
      <c r="I1054" s="1">
        <v>12500</v>
      </c>
      <c r="J1054" s="1">
        <v>20</v>
      </c>
      <c r="K1054" s="1">
        <v>0</v>
      </c>
      <c r="L1054" s="1">
        <v>15000</v>
      </c>
      <c r="M1054" s="1" t="s">
        <v>1878</v>
      </c>
      <c r="N1054" s="1" t="s">
        <v>1068</v>
      </c>
      <c r="O1054" s="1">
        <v>0</v>
      </c>
      <c r="P1054" s="1" t="s">
        <v>2050</v>
      </c>
      <c r="Q1054" s="7" t="str">
        <f t="shared" si="21"/>
        <v>equipment/1311.png</v>
      </c>
      <c r="R1054" s="1">
        <v>0</v>
      </c>
    </row>
    <row r="1055" spans="1:18" ht="14.25" thickBot="1">
      <c r="A1055" s="1" t="s">
        <v>853</v>
      </c>
      <c r="B1055" s="2">
        <v>0</v>
      </c>
      <c r="C1055" s="9" t="s">
        <v>2541</v>
      </c>
      <c r="D1055" s="1" t="s">
        <v>12</v>
      </c>
      <c r="E1055" s="1">
        <v>5</v>
      </c>
      <c r="F1055" s="1">
        <v>3</v>
      </c>
      <c r="G1055" s="1">
        <v>25</v>
      </c>
      <c r="H1055" s="10" t="s">
        <v>2122</v>
      </c>
      <c r="I1055" s="1">
        <v>14000</v>
      </c>
      <c r="J1055" s="1">
        <v>20</v>
      </c>
      <c r="K1055" s="1">
        <v>0</v>
      </c>
      <c r="L1055" s="1">
        <v>17500</v>
      </c>
      <c r="M1055" s="1" t="s">
        <v>2016</v>
      </c>
      <c r="N1055" s="1" t="s">
        <v>1068</v>
      </c>
      <c r="O1055" s="1">
        <v>0</v>
      </c>
      <c r="P1055" s="1" t="s">
        <v>2050</v>
      </c>
      <c r="Q1055" s="7" t="str">
        <f t="shared" si="21"/>
        <v>equipment/1312.png</v>
      </c>
      <c r="R1055" s="1">
        <v>0</v>
      </c>
    </row>
    <row r="1056" spans="1:18" ht="14.25" thickBot="1">
      <c r="A1056" s="1" t="s">
        <v>854</v>
      </c>
      <c r="B1056" s="3">
        <v>1</v>
      </c>
      <c r="C1056" s="9" t="s">
        <v>2542</v>
      </c>
      <c r="D1056" s="1" t="s">
        <v>13</v>
      </c>
      <c r="E1056" s="1">
        <v>6</v>
      </c>
      <c r="F1056" s="1">
        <v>3</v>
      </c>
      <c r="G1056" s="1">
        <v>25</v>
      </c>
      <c r="H1056" s="10" t="s">
        <v>2122</v>
      </c>
      <c r="I1056" s="1">
        <v>12500</v>
      </c>
      <c r="J1056" s="1">
        <v>20</v>
      </c>
      <c r="K1056" s="1">
        <v>0</v>
      </c>
      <c r="L1056" s="1">
        <v>15000</v>
      </c>
      <c r="M1056" s="1" t="s">
        <v>1883</v>
      </c>
      <c r="N1056" s="1" t="s">
        <v>1068</v>
      </c>
      <c r="O1056" s="1">
        <v>0</v>
      </c>
      <c r="P1056" s="1" t="s">
        <v>2050</v>
      </c>
      <c r="Q1056" s="7" t="str">
        <f t="shared" si="21"/>
        <v>equipment/2306.png</v>
      </c>
      <c r="R1056" s="1">
        <v>0</v>
      </c>
    </row>
    <row r="1057" spans="1:18" ht="14.25" thickBot="1">
      <c r="A1057" s="1" t="s">
        <v>855</v>
      </c>
      <c r="B1057" s="2">
        <v>0</v>
      </c>
      <c r="C1057" s="9" t="s">
        <v>2095</v>
      </c>
      <c r="D1057" s="1" t="s">
        <v>13</v>
      </c>
      <c r="E1057" s="1">
        <v>6</v>
      </c>
      <c r="F1057" s="1">
        <v>3</v>
      </c>
      <c r="G1057" s="1">
        <v>25</v>
      </c>
      <c r="H1057" s="10" t="s">
        <v>2122</v>
      </c>
      <c r="I1057" s="1">
        <v>14000</v>
      </c>
      <c r="J1057" s="1">
        <v>20</v>
      </c>
      <c r="K1057" s="1">
        <v>0</v>
      </c>
      <c r="L1057" s="1">
        <v>17500</v>
      </c>
      <c r="M1057" s="1" t="s">
        <v>1884</v>
      </c>
      <c r="N1057" s="1" t="s">
        <v>1068</v>
      </c>
      <c r="O1057" s="1">
        <v>0</v>
      </c>
      <c r="P1057" s="1" t="s">
        <v>2050</v>
      </c>
      <c r="Q1057" s="7" t="str">
        <f t="shared" si="21"/>
        <v>equipment/2301.png</v>
      </c>
      <c r="R1057" s="1">
        <v>0</v>
      </c>
    </row>
    <row r="1058" spans="1:18" ht="14.25" thickBot="1">
      <c r="A1058" s="1" t="s">
        <v>856</v>
      </c>
      <c r="B1058" s="3">
        <v>1</v>
      </c>
      <c r="C1058" s="1" t="s">
        <v>2083</v>
      </c>
      <c r="D1058" s="1" t="s">
        <v>11</v>
      </c>
      <c r="E1058" s="1">
        <v>4</v>
      </c>
      <c r="F1058" s="1">
        <v>3</v>
      </c>
      <c r="G1058" s="1">
        <v>25</v>
      </c>
      <c r="H1058" s="10">
        <v>0</v>
      </c>
      <c r="I1058" s="1">
        <v>12500</v>
      </c>
      <c r="J1058" s="1">
        <v>20</v>
      </c>
      <c r="K1058" s="1">
        <v>0</v>
      </c>
      <c r="L1058" s="1">
        <v>15000</v>
      </c>
      <c r="M1058" s="1" t="s">
        <v>1885</v>
      </c>
      <c r="N1058" s="1" t="s">
        <v>1067</v>
      </c>
      <c r="O1058" s="1">
        <v>0</v>
      </c>
      <c r="P1058" s="1" t="s">
        <v>2050</v>
      </c>
      <c r="Q1058" s="7" t="str">
        <f t="shared" si="21"/>
        <v>equipment/5007.png</v>
      </c>
      <c r="R1058" s="1">
        <v>0</v>
      </c>
    </row>
    <row r="1059" spans="1:18" ht="14.25" thickBot="1">
      <c r="A1059" s="1" t="s">
        <v>857</v>
      </c>
      <c r="B1059" s="2">
        <v>0</v>
      </c>
      <c r="C1059" s="1" t="s">
        <v>2499</v>
      </c>
      <c r="D1059" s="1" t="s">
        <v>11</v>
      </c>
      <c r="E1059" s="1">
        <v>4</v>
      </c>
      <c r="F1059" s="1">
        <v>3</v>
      </c>
      <c r="G1059" s="1">
        <v>25</v>
      </c>
      <c r="H1059" s="10">
        <v>0</v>
      </c>
      <c r="I1059" s="1">
        <v>14000</v>
      </c>
      <c r="J1059" s="1">
        <v>20</v>
      </c>
      <c r="K1059" s="1">
        <v>0</v>
      </c>
      <c r="L1059" s="1">
        <v>17500</v>
      </c>
      <c r="M1059" s="1" t="s">
        <v>1886</v>
      </c>
      <c r="N1059" s="1" t="s">
        <v>1067</v>
      </c>
      <c r="O1059" s="1">
        <v>0</v>
      </c>
      <c r="P1059" s="1" t="s">
        <v>2050</v>
      </c>
      <c r="Q1059" s="7" t="str">
        <f t="shared" si="21"/>
        <v>equipment/5001.png</v>
      </c>
      <c r="R1059" s="1">
        <v>0</v>
      </c>
    </row>
    <row r="1060" spans="1:18" ht="14.25" thickBot="1">
      <c r="A1060" s="1" t="s">
        <v>858</v>
      </c>
      <c r="B1060" s="3">
        <v>1</v>
      </c>
      <c r="C1060" s="1" t="s">
        <v>2089</v>
      </c>
      <c r="D1060" s="1" t="s">
        <v>14</v>
      </c>
      <c r="E1060" s="1">
        <v>7</v>
      </c>
      <c r="F1060" s="1">
        <v>3</v>
      </c>
      <c r="G1060" s="1">
        <v>25</v>
      </c>
      <c r="H1060" s="10">
        <v>0</v>
      </c>
      <c r="I1060" s="1">
        <v>12500</v>
      </c>
      <c r="J1060" s="1">
        <v>20</v>
      </c>
      <c r="K1060" s="1">
        <v>0</v>
      </c>
      <c r="L1060" s="1">
        <v>15000</v>
      </c>
      <c r="M1060" s="1" t="s">
        <v>1887</v>
      </c>
      <c r="N1060" s="1" t="s">
        <v>1067</v>
      </c>
      <c r="O1060" s="1">
        <v>0</v>
      </c>
      <c r="P1060" s="1" t="s">
        <v>2050</v>
      </c>
      <c r="Q1060" s="7" t="str">
        <f t="shared" si="21"/>
        <v>equipment/7006.png</v>
      </c>
      <c r="R1060" s="1">
        <v>0</v>
      </c>
    </row>
    <row r="1061" spans="1:18" ht="14.25" thickBot="1">
      <c r="A1061" s="1" t="s">
        <v>859</v>
      </c>
      <c r="B1061" s="2">
        <v>0</v>
      </c>
      <c r="C1061" s="1" t="s">
        <v>2501</v>
      </c>
      <c r="D1061" s="1" t="s">
        <v>14</v>
      </c>
      <c r="E1061" s="1">
        <v>7</v>
      </c>
      <c r="F1061" s="1">
        <v>3</v>
      </c>
      <c r="G1061" s="1">
        <v>25</v>
      </c>
      <c r="H1061" s="10">
        <v>0</v>
      </c>
      <c r="I1061" s="1">
        <v>14000</v>
      </c>
      <c r="J1061" s="1">
        <v>20</v>
      </c>
      <c r="K1061" s="1">
        <v>0</v>
      </c>
      <c r="L1061" s="1">
        <v>17500</v>
      </c>
      <c r="M1061" s="1" t="s">
        <v>1888</v>
      </c>
      <c r="N1061" s="1" t="s">
        <v>1067</v>
      </c>
      <c r="O1061" s="1">
        <v>0</v>
      </c>
      <c r="P1061" s="1" t="s">
        <v>2050</v>
      </c>
      <c r="Q1061" s="7" t="str">
        <f t="shared" si="21"/>
        <v>equipment/7001.png</v>
      </c>
      <c r="R1061" s="1">
        <v>0</v>
      </c>
    </row>
    <row r="1062" spans="1:18" ht="14.25" thickBot="1">
      <c r="A1062" s="1" t="s">
        <v>860</v>
      </c>
      <c r="B1062" s="3">
        <v>1</v>
      </c>
      <c r="C1062" s="1" t="s">
        <v>2063</v>
      </c>
      <c r="D1062" s="1" t="s">
        <v>8</v>
      </c>
      <c r="E1062" s="1">
        <v>1</v>
      </c>
      <c r="F1062" s="1">
        <v>3</v>
      </c>
      <c r="G1062" s="1">
        <v>30</v>
      </c>
      <c r="H1062" s="10">
        <v>0</v>
      </c>
      <c r="I1062" s="1">
        <v>15000</v>
      </c>
      <c r="J1062" s="1">
        <v>20</v>
      </c>
      <c r="K1062" s="1">
        <v>0</v>
      </c>
      <c r="L1062" s="1">
        <v>17500</v>
      </c>
      <c r="M1062" s="1" t="s">
        <v>1889</v>
      </c>
      <c r="N1062" s="1" t="s">
        <v>1069</v>
      </c>
      <c r="O1062" s="1">
        <v>0</v>
      </c>
      <c r="P1062" s="1" t="s">
        <v>2051</v>
      </c>
      <c r="Q1062" s="7" t="str">
        <f t="shared" si="21"/>
        <v>equipment/3004.png</v>
      </c>
      <c r="R1062" s="1">
        <v>0</v>
      </c>
    </row>
    <row r="1063" spans="1:18" ht="14.25" thickBot="1">
      <c r="A1063" s="1" t="s">
        <v>861</v>
      </c>
      <c r="B1063" s="3">
        <v>1</v>
      </c>
      <c r="C1063" s="1" t="s">
        <v>2543</v>
      </c>
      <c r="D1063" s="1" t="s">
        <v>9</v>
      </c>
      <c r="E1063" s="1">
        <v>2</v>
      </c>
      <c r="F1063" s="1">
        <v>3</v>
      </c>
      <c r="G1063" s="1">
        <v>30</v>
      </c>
      <c r="H1063" s="10">
        <v>0</v>
      </c>
      <c r="I1063" s="1">
        <v>15000</v>
      </c>
      <c r="J1063" s="1">
        <v>20</v>
      </c>
      <c r="K1063" s="1">
        <v>0</v>
      </c>
      <c r="L1063" s="1">
        <v>17500</v>
      </c>
      <c r="M1063" s="1" t="s">
        <v>1890</v>
      </c>
      <c r="N1063" s="1" t="s">
        <v>1069</v>
      </c>
      <c r="O1063" s="1">
        <v>0</v>
      </c>
      <c r="P1063" s="1" t="s">
        <v>2051</v>
      </c>
      <c r="Q1063" s="7" t="str">
        <f t="shared" si="21"/>
        <v>equipment/14005.png</v>
      </c>
      <c r="R1063" s="1">
        <v>0</v>
      </c>
    </row>
    <row r="1064" spans="1:18" ht="14.25" thickBot="1">
      <c r="A1064" s="1" t="s">
        <v>862</v>
      </c>
      <c r="B1064" s="2">
        <v>1</v>
      </c>
      <c r="C1064" s="1" t="s">
        <v>2544</v>
      </c>
      <c r="D1064" s="1" t="s">
        <v>10</v>
      </c>
      <c r="E1064" s="1">
        <v>3</v>
      </c>
      <c r="F1064" s="1">
        <v>3</v>
      </c>
      <c r="G1064" s="1">
        <v>30</v>
      </c>
      <c r="H1064" s="10">
        <v>0</v>
      </c>
      <c r="I1064" s="1">
        <v>15000</v>
      </c>
      <c r="J1064" s="1">
        <v>20</v>
      </c>
      <c r="K1064" s="1">
        <v>0</v>
      </c>
      <c r="L1064" s="1">
        <v>17500</v>
      </c>
      <c r="M1064" s="1" t="s">
        <v>2473</v>
      </c>
      <c r="N1064" s="1" t="s">
        <v>1069</v>
      </c>
      <c r="O1064" s="1">
        <v>0</v>
      </c>
      <c r="P1064" s="1" t="s">
        <v>2051</v>
      </c>
      <c r="Q1064" s="7" t="str">
        <f t="shared" si="21"/>
        <v>equipment/6002.png</v>
      </c>
      <c r="R1064" s="1">
        <v>0</v>
      </c>
    </row>
    <row r="1065" spans="1:18" ht="14.25" thickBot="1">
      <c r="A1065" s="1" t="s">
        <v>863</v>
      </c>
      <c r="B1065" s="3">
        <v>1</v>
      </c>
      <c r="C1065" s="1" t="s">
        <v>2069</v>
      </c>
      <c r="D1065" s="1" t="s">
        <v>15</v>
      </c>
      <c r="E1065" s="1">
        <v>8</v>
      </c>
      <c r="F1065" s="1">
        <v>3</v>
      </c>
      <c r="G1065" s="1">
        <v>30</v>
      </c>
      <c r="H1065" s="10">
        <v>0</v>
      </c>
      <c r="I1065" s="1">
        <v>15000</v>
      </c>
      <c r="J1065" s="1">
        <v>20</v>
      </c>
      <c r="K1065" s="1">
        <v>0</v>
      </c>
      <c r="L1065" s="1">
        <v>17500</v>
      </c>
      <c r="M1065" s="1" t="s">
        <v>1891</v>
      </c>
      <c r="N1065" s="1" t="s">
        <v>1069</v>
      </c>
      <c r="O1065" s="1">
        <v>0</v>
      </c>
      <c r="P1065" s="1" t="s">
        <v>2051</v>
      </c>
      <c r="Q1065" s="7" t="str">
        <f t="shared" si="21"/>
        <v>equipment/8005.png</v>
      </c>
      <c r="R1065" s="1">
        <v>0</v>
      </c>
    </row>
    <row r="1066" spans="1:18" ht="14.25" thickBot="1">
      <c r="A1066" s="1" t="s">
        <v>864</v>
      </c>
      <c r="B1066" s="3">
        <v>1</v>
      </c>
      <c r="C1066" s="1" t="s">
        <v>2073</v>
      </c>
      <c r="D1066" s="1" t="s">
        <v>16</v>
      </c>
      <c r="E1066" s="1">
        <v>9</v>
      </c>
      <c r="F1066" s="1">
        <v>3</v>
      </c>
      <c r="G1066" s="1">
        <v>30</v>
      </c>
      <c r="H1066" s="10">
        <v>0</v>
      </c>
      <c r="I1066" s="1">
        <v>15000</v>
      </c>
      <c r="J1066" s="1">
        <v>20</v>
      </c>
      <c r="K1066" s="1">
        <v>0</v>
      </c>
      <c r="L1066" s="1">
        <v>17500</v>
      </c>
      <c r="M1066" s="1" t="s">
        <v>1892</v>
      </c>
      <c r="N1066" s="1" t="s">
        <v>1069</v>
      </c>
      <c r="O1066" s="1">
        <v>0</v>
      </c>
      <c r="P1066" s="1" t="s">
        <v>2051</v>
      </c>
      <c r="Q1066" s="7" t="str">
        <f t="shared" si="21"/>
        <v>equipment/10005.png</v>
      </c>
      <c r="R1066" s="1">
        <v>0</v>
      </c>
    </row>
    <row r="1067" spans="1:18" ht="14.25" thickBot="1">
      <c r="A1067" s="1" t="s">
        <v>865</v>
      </c>
      <c r="B1067" s="3">
        <v>1</v>
      </c>
      <c r="C1067" s="1" t="s">
        <v>2078</v>
      </c>
      <c r="D1067" s="1" t="s">
        <v>17</v>
      </c>
      <c r="E1067" s="1">
        <v>10</v>
      </c>
      <c r="F1067" s="1">
        <v>3</v>
      </c>
      <c r="G1067" s="1">
        <v>30</v>
      </c>
      <c r="H1067" s="10">
        <v>0</v>
      </c>
      <c r="I1067" s="1">
        <v>15000</v>
      </c>
      <c r="J1067" s="1">
        <v>20</v>
      </c>
      <c r="K1067" s="1">
        <v>0</v>
      </c>
      <c r="L1067" s="1">
        <v>17500</v>
      </c>
      <c r="M1067" s="1" t="s">
        <v>1893</v>
      </c>
      <c r="N1067" s="1" t="s">
        <v>1069</v>
      </c>
      <c r="O1067" s="1">
        <v>0</v>
      </c>
      <c r="P1067" s="1" t="s">
        <v>2051</v>
      </c>
      <c r="Q1067" s="7" t="str">
        <f t="shared" si="21"/>
        <v>equipment/12005.png</v>
      </c>
      <c r="R1067" s="1">
        <v>0</v>
      </c>
    </row>
    <row r="1068" spans="1:18" ht="14.25" thickBot="1">
      <c r="A1068" s="1" t="s">
        <v>866</v>
      </c>
      <c r="B1068" s="3">
        <v>1</v>
      </c>
      <c r="C1068" s="9" t="s">
        <v>2545</v>
      </c>
      <c r="D1068" s="1" t="s">
        <v>12</v>
      </c>
      <c r="E1068" s="1">
        <v>5</v>
      </c>
      <c r="F1068" s="1">
        <v>3</v>
      </c>
      <c r="G1068" s="1">
        <v>30</v>
      </c>
      <c r="H1068" s="10" t="s">
        <v>2120</v>
      </c>
      <c r="I1068" s="1">
        <v>15000</v>
      </c>
      <c r="J1068" s="1">
        <v>20</v>
      </c>
      <c r="K1068" s="1">
        <v>0</v>
      </c>
      <c r="L1068" s="1">
        <v>17500</v>
      </c>
      <c r="M1068" s="1" t="s">
        <v>1894</v>
      </c>
      <c r="N1068" s="1" t="s">
        <v>1070</v>
      </c>
      <c r="O1068" s="1">
        <v>0</v>
      </c>
      <c r="P1068" s="1" t="s">
        <v>2051</v>
      </c>
      <c r="Q1068" s="7" t="str">
        <f t="shared" si="21"/>
        <v>equipment/1112.png</v>
      </c>
      <c r="R1068" s="1">
        <v>0</v>
      </c>
    </row>
    <row r="1069" spans="1:18" ht="14.25" thickBot="1">
      <c r="A1069" s="1" t="s">
        <v>867</v>
      </c>
      <c r="B1069" s="3">
        <v>1</v>
      </c>
      <c r="C1069" s="9" t="s">
        <v>2110</v>
      </c>
      <c r="D1069" s="1" t="s">
        <v>12</v>
      </c>
      <c r="E1069" s="1">
        <v>5</v>
      </c>
      <c r="F1069" s="1">
        <v>3</v>
      </c>
      <c r="G1069" s="1">
        <v>30</v>
      </c>
      <c r="H1069" s="10" t="s">
        <v>2120</v>
      </c>
      <c r="I1069" s="1">
        <v>16500</v>
      </c>
      <c r="J1069" s="1">
        <v>20</v>
      </c>
      <c r="K1069" s="1">
        <v>0</v>
      </c>
      <c r="L1069" s="1">
        <v>20000</v>
      </c>
      <c r="M1069" s="1" t="s">
        <v>2017</v>
      </c>
      <c r="N1069" s="1" t="s">
        <v>1070</v>
      </c>
      <c r="O1069" s="1">
        <v>0</v>
      </c>
      <c r="P1069" s="1" t="s">
        <v>2051</v>
      </c>
      <c r="Q1069" s="7" t="str">
        <f t="shared" si="21"/>
        <v>equipment/1113.png</v>
      </c>
      <c r="R1069" s="1">
        <v>0</v>
      </c>
    </row>
    <row r="1070" spans="1:18" ht="14.25" thickBot="1">
      <c r="A1070" s="1" t="s">
        <v>868</v>
      </c>
      <c r="B1070" s="3">
        <v>1</v>
      </c>
      <c r="C1070" s="9" t="s">
        <v>2111</v>
      </c>
      <c r="D1070" s="1" t="s">
        <v>13</v>
      </c>
      <c r="E1070" s="1">
        <v>6</v>
      </c>
      <c r="F1070" s="1">
        <v>3</v>
      </c>
      <c r="G1070" s="1">
        <v>30</v>
      </c>
      <c r="H1070" s="10" t="s">
        <v>2120</v>
      </c>
      <c r="I1070" s="1">
        <v>15000</v>
      </c>
      <c r="J1070" s="1">
        <v>20</v>
      </c>
      <c r="K1070" s="1">
        <v>0</v>
      </c>
      <c r="L1070" s="1">
        <v>17500</v>
      </c>
      <c r="M1070" s="1" t="s">
        <v>1895</v>
      </c>
      <c r="N1070" s="1" t="s">
        <v>1070</v>
      </c>
      <c r="O1070" s="1">
        <v>0</v>
      </c>
      <c r="P1070" s="1" t="s">
        <v>2051</v>
      </c>
      <c r="Q1070" s="7" t="str">
        <f t="shared" si="21"/>
        <v>equipment/2107.png</v>
      </c>
      <c r="R1070" s="1">
        <v>0</v>
      </c>
    </row>
    <row r="1071" spans="1:18" ht="14.25" thickBot="1">
      <c r="A1071" s="1" t="s">
        <v>869</v>
      </c>
      <c r="B1071" s="2">
        <v>0</v>
      </c>
      <c r="C1071" s="9" t="s">
        <v>2112</v>
      </c>
      <c r="D1071" s="1" t="s">
        <v>13</v>
      </c>
      <c r="E1071" s="1">
        <v>6</v>
      </c>
      <c r="F1071" s="1">
        <v>3</v>
      </c>
      <c r="G1071" s="1">
        <v>30</v>
      </c>
      <c r="H1071" s="10" t="s">
        <v>2120</v>
      </c>
      <c r="I1071" s="1">
        <v>16500</v>
      </c>
      <c r="J1071" s="1">
        <v>20</v>
      </c>
      <c r="K1071" s="1">
        <v>0</v>
      </c>
      <c r="L1071" s="1">
        <v>20000</v>
      </c>
      <c r="M1071" s="1" t="s">
        <v>1896</v>
      </c>
      <c r="N1071" s="1" t="s">
        <v>1070</v>
      </c>
      <c r="O1071" s="1">
        <v>0</v>
      </c>
      <c r="P1071" s="1" t="s">
        <v>2051</v>
      </c>
      <c r="Q1071" s="7" t="str">
        <f t="shared" si="21"/>
        <v>equipment/2108.png</v>
      </c>
      <c r="R1071" s="1">
        <v>0</v>
      </c>
    </row>
    <row r="1072" spans="1:18" ht="14.25" thickBot="1">
      <c r="A1072" s="1" t="s">
        <v>870</v>
      </c>
      <c r="B1072" s="3">
        <v>1</v>
      </c>
      <c r="C1072" s="1" t="s">
        <v>2114</v>
      </c>
      <c r="D1072" s="1" t="s">
        <v>12</v>
      </c>
      <c r="E1072" s="1">
        <v>5</v>
      </c>
      <c r="F1072" s="1">
        <v>3</v>
      </c>
      <c r="G1072" s="1">
        <v>30</v>
      </c>
      <c r="H1072" s="10" t="s">
        <v>2121</v>
      </c>
      <c r="I1072" s="1">
        <v>15000</v>
      </c>
      <c r="J1072" s="1">
        <v>20</v>
      </c>
      <c r="K1072" s="1">
        <v>0</v>
      </c>
      <c r="L1072" s="1">
        <v>17500</v>
      </c>
      <c r="M1072" s="1" t="s">
        <v>1894</v>
      </c>
      <c r="N1072" s="1" t="s">
        <v>1070</v>
      </c>
      <c r="O1072" s="1">
        <v>0</v>
      </c>
      <c r="P1072" s="1" t="s">
        <v>2051</v>
      </c>
      <c r="Q1072" s="7" t="str">
        <f t="shared" si="21"/>
        <v>equipment/1211.png</v>
      </c>
      <c r="R1072" s="1">
        <v>0</v>
      </c>
    </row>
    <row r="1073" spans="1:18" ht="14.25" thickBot="1">
      <c r="A1073" s="1" t="s">
        <v>871</v>
      </c>
      <c r="B1073" s="3">
        <v>1</v>
      </c>
      <c r="C1073" s="1" t="s">
        <v>2113</v>
      </c>
      <c r="D1073" s="1" t="s">
        <v>12</v>
      </c>
      <c r="E1073" s="1">
        <v>5</v>
      </c>
      <c r="F1073" s="1">
        <v>3</v>
      </c>
      <c r="G1073" s="1">
        <v>30</v>
      </c>
      <c r="H1073" s="10" t="s">
        <v>2121</v>
      </c>
      <c r="I1073" s="1">
        <v>16500</v>
      </c>
      <c r="J1073" s="1">
        <v>20</v>
      </c>
      <c r="K1073" s="1">
        <v>0</v>
      </c>
      <c r="L1073" s="1">
        <v>20000</v>
      </c>
      <c r="M1073" s="1" t="s">
        <v>2017</v>
      </c>
      <c r="N1073" s="1" t="s">
        <v>1070</v>
      </c>
      <c r="O1073" s="1">
        <v>0</v>
      </c>
      <c r="P1073" s="1" t="s">
        <v>2051</v>
      </c>
      <c r="Q1073" s="7" t="str">
        <f t="shared" si="21"/>
        <v>equipment/1212.png</v>
      </c>
      <c r="R1073" s="1">
        <v>0</v>
      </c>
    </row>
    <row r="1074" spans="1:18" ht="14.25" thickBot="1">
      <c r="A1074" s="1" t="s">
        <v>872</v>
      </c>
      <c r="B1074" s="3">
        <v>1</v>
      </c>
      <c r="C1074" s="9" t="s">
        <v>2115</v>
      </c>
      <c r="D1074" s="1" t="s">
        <v>13</v>
      </c>
      <c r="E1074" s="1">
        <v>6</v>
      </c>
      <c r="F1074" s="1">
        <v>3</v>
      </c>
      <c r="G1074" s="1">
        <v>30</v>
      </c>
      <c r="H1074" s="10" t="s">
        <v>2121</v>
      </c>
      <c r="I1074" s="1">
        <v>15000</v>
      </c>
      <c r="J1074" s="1">
        <v>20</v>
      </c>
      <c r="K1074" s="1">
        <v>0</v>
      </c>
      <c r="L1074" s="1">
        <v>17500</v>
      </c>
      <c r="M1074" s="1" t="s">
        <v>1897</v>
      </c>
      <c r="N1074" s="1" t="s">
        <v>1070</v>
      </c>
      <c r="O1074" s="1">
        <v>0</v>
      </c>
      <c r="P1074" s="1" t="s">
        <v>2051</v>
      </c>
      <c r="Q1074" s="7" t="str">
        <f t="shared" si="21"/>
        <v>equipment/2207.png</v>
      </c>
      <c r="R1074" s="1">
        <v>0</v>
      </c>
    </row>
    <row r="1075" spans="1:18" ht="14.25" thickBot="1">
      <c r="A1075" s="1" t="s">
        <v>873</v>
      </c>
      <c r="B1075" s="2">
        <v>0</v>
      </c>
      <c r="C1075" s="9" t="s">
        <v>2116</v>
      </c>
      <c r="D1075" s="1" t="s">
        <v>13</v>
      </c>
      <c r="E1075" s="1">
        <v>6</v>
      </c>
      <c r="F1075" s="1">
        <v>3</v>
      </c>
      <c r="G1075" s="1">
        <v>30</v>
      </c>
      <c r="H1075" s="10" t="s">
        <v>2121</v>
      </c>
      <c r="I1075" s="1">
        <v>16500</v>
      </c>
      <c r="J1075" s="1">
        <v>20</v>
      </c>
      <c r="K1075" s="1">
        <v>0</v>
      </c>
      <c r="L1075" s="1">
        <v>20000</v>
      </c>
      <c r="M1075" s="1" t="s">
        <v>1898</v>
      </c>
      <c r="N1075" s="1" t="s">
        <v>1070</v>
      </c>
      <c r="O1075" s="1">
        <v>0</v>
      </c>
      <c r="P1075" s="1" t="s">
        <v>2051</v>
      </c>
      <c r="Q1075" s="7" t="str">
        <f t="shared" si="21"/>
        <v>equipment/2208.png</v>
      </c>
      <c r="R1075" s="1">
        <v>0</v>
      </c>
    </row>
    <row r="1076" spans="1:18" ht="14.25" thickBot="1">
      <c r="A1076" s="1" t="s">
        <v>874</v>
      </c>
      <c r="B1076" s="3">
        <v>1</v>
      </c>
      <c r="C1076" s="9" t="s">
        <v>2541</v>
      </c>
      <c r="D1076" s="1" t="s">
        <v>12</v>
      </c>
      <c r="E1076" s="1">
        <v>5</v>
      </c>
      <c r="F1076" s="1">
        <v>3</v>
      </c>
      <c r="G1076" s="1">
        <v>30</v>
      </c>
      <c r="H1076" s="10" t="s">
        <v>2122</v>
      </c>
      <c r="I1076" s="1">
        <v>15000</v>
      </c>
      <c r="J1076" s="1">
        <v>20</v>
      </c>
      <c r="K1076" s="1">
        <v>0</v>
      </c>
      <c r="L1076" s="1">
        <v>17500</v>
      </c>
      <c r="M1076" s="1" t="s">
        <v>1894</v>
      </c>
      <c r="N1076" s="1" t="s">
        <v>1070</v>
      </c>
      <c r="O1076" s="1">
        <v>0</v>
      </c>
      <c r="P1076" s="1" t="s">
        <v>2051</v>
      </c>
      <c r="Q1076" s="7" t="str">
        <f t="shared" si="21"/>
        <v>equipment/1312.png</v>
      </c>
      <c r="R1076" s="1">
        <v>0</v>
      </c>
    </row>
    <row r="1077" spans="1:18" ht="14.25" thickBot="1">
      <c r="A1077" s="1" t="s">
        <v>875</v>
      </c>
      <c r="B1077" s="3">
        <v>1</v>
      </c>
      <c r="C1077" s="9" t="s">
        <v>2546</v>
      </c>
      <c r="D1077" s="1" t="s">
        <v>12</v>
      </c>
      <c r="E1077" s="1">
        <v>5</v>
      </c>
      <c r="F1077" s="1">
        <v>3</v>
      </c>
      <c r="G1077" s="1">
        <v>30</v>
      </c>
      <c r="H1077" s="10" t="s">
        <v>2122</v>
      </c>
      <c r="I1077" s="1">
        <v>16500</v>
      </c>
      <c r="J1077" s="1">
        <v>20</v>
      </c>
      <c r="K1077" s="1">
        <v>0</v>
      </c>
      <c r="L1077" s="1">
        <v>20000</v>
      </c>
      <c r="M1077" s="1" t="s">
        <v>2017</v>
      </c>
      <c r="N1077" s="1" t="s">
        <v>1070</v>
      </c>
      <c r="O1077" s="1">
        <v>0</v>
      </c>
      <c r="P1077" s="1" t="s">
        <v>2051</v>
      </c>
      <c r="Q1077" s="7" t="str">
        <f t="shared" si="21"/>
        <v>equipment/1313.png</v>
      </c>
      <c r="R1077" s="1">
        <v>0</v>
      </c>
    </row>
    <row r="1078" spans="1:18" ht="14.25" thickBot="1">
      <c r="A1078" s="1" t="s">
        <v>876</v>
      </c>
      <c r="B1078" s="3">
        <v>1</v>
      </c>
      <c r="C1078" s="9" t="s">
        <v>2547</v>
      </c>
      <c r="D1078" s="1" t="s">
        <v>13</v>
      </c>
      <c r="E1078" s="1">
        <v>6</v>
      </c>
      <c r="F1078" s="1">
        <v>3</v>
      </c>
      <c r="G1078" s="1">
        <v>30</v>
      </c>
      <c r="H1078" s="10" t="s">
        <v>2122</v>
      </c>
      <c r="I1078" s="1">
        <v>15000</v>
      </c>
      <c r="J1078" s="1">
        <v>20</v>
      </c>
      <c r="K1078" s="1">
        <v>0</v>
      </c>
      <c r="L1078" s="1">
        <v>17500</v>
      </c>
      <c r="M1078" s="1" t="s">
        <v>1899</v>
      </c>
      <c r="N1078" s="1" t="s">
        <v>1070</v>
      </c>
      <c r="O1078" s="1">
        <v>0</v>
      </c>
      <c r="P1078" s="1" t="s">
        <v>2051</v>
      </c>
      <c r="Q1078" s="7" t="str">
        <f t="shared" si="21"/>
        <v>equipment/2307.png</v>
      </c>
      <c r="R1078" s="1">
        <v>0</v>
      </c>
    </row>
    <row r="1079" spans="1:18" ht="14.25" thickBot="1">
      <c r="A1079" s="1" t="s">
        <v>877</v>
      </c>
      <c r="B1079" s="2">
        <v>0</v>
      </c>
      <c r="C1079" s="9" t="s">
        <v>2548</v>
      </c>
      <c r="D1079" s="1" t="s">
        <v>13</v>
      </c>
      <c r="E1079" s="1">
        <v>6</v>
      </c>
      <c r="F1079" s="1">
        <v>3</v>
      </c>
      <c r="G1079" s="1">
        <v>30</v>
      </c>
      <c r="H1079" s="10" t="s">
        <v>2122</v>
      </c>
      <c r="I1079" s="1">
        <v>16500</v>
      </c>
      <c r="J1079" s="1">
        <v>20</v>
      </c>
      <c r="K1079" s="1">
        <v>0</v>
      </c>
      <c r="L1079" s="1">
        <v>20000</v>
      </c>
      <c r="M1079" s="1" t="s">
        <v>1900</v>
      </c>
      <c r="N1079" s="1" t="s">
        <v>1070</v>
      </c>
      <c r="O1079" s="1">
        <v>0</v>
      </c>
      <c r="P1079" s="1" t="s">
        <v>2051</v>
      </c>
      <c r="Q1079" s="7" t="str">
        <f t="shared" si="21"/>
        <v>equipment/2308.png</v>
      </c>
      <c r="R1079" s="1">
        <v>0</v>
      </c>
    </row>
    <row r="1080" spans="1:18" ht="14.25" thickBot="1">
      <c r="A1080" s="1" t="s">
        <v>878</v>
      </c>
      <c r="B1080" s="3">
        <v>1</v>
      </c>
      <c r="C1080" s="1" t="s">
        <v>2084</v>
      </c>
      <c r="D1080" s="1" t="s">
        <v>11</v>
      </c>
      <c r="E1080" s="1">
        <v>4</v>
      </c>
      <c r="F1080" s="1">
        <v>3</v>
      </c>
      <c r="G1080" s="1">
        <v>30</v>
      </c>
      <c r="H1080" s="10">
        <v>0</v>
      </c>
      <c r="I1080" s="1">
        <v>15000</v>
      </c>
      <c r="J1080" s="1">
        <v>20</v>
      </c>
      <c r="K1080" s="1">
        <v>0</v>
      </c>
      <c r="L1080" s="1">
        <v>17500</v>
      </c>
      <c r="M1080" s="1" t="s">
        <v>1901</v>
      </c>
      <c r="N1080" s="1" t="s">
        <v>1069</v>
      </c>
      <c r="O1080" s="1">
        <v>0</v>
      </c>
      <c r="P1080" s="1" t="s">
        <v>2051</v>
      </c>
      <c r="Q1080" s="7" t="str">
        <f t="shared" si="21"/>
        <v>equipment/5008.png</v>
      </c>
      <c r="R1080" s="1">
        <v>0</v>
      </c>
    </row>
    <row r="1081" spans="1:18" ht="14.25" thickBot="1">
      <c r="A1081" s="1" t="s">
        <v>879</v>
      </c>
      <c r="B1081" s="3">
        <v>1</v>
      </c>
      <c r="C1081" s="1" t="s">
        <v>2549</v>
      </c>
      <c r="D1081" s="1" t="s">
        <v>11</v>
      </c>
      <c r="E1081" s="1">
        <v>4</v>
      </c>
      <c r="F1081" s="1">
        <v>3</v>
      </c>
      <c r="G1081" s="1">
        <v>30</v>
      </c>
      <c r="H1081" s="10">
        <v>0</v>
      </c>
      <c r="I1081" s="1">
        <v>16500</v>
      </c>
      <c r="J1081" s="1">
        <v>20</v>
      </c>
      <c r="K1081" s="1">
        <v>0</v>
      </c>
      <c r="L1081" s="1">
        <v>20000</v>
      </c>
      <c r="M1081" s="1" t="s">
        <v>1902</v>
      </c>
      <c r="N1081" s="1" t="s">
        <v>1069</v>
      </c>
      <c r="O1081" s="1">
        <v>0</v>
      </c>
      <c r="P1081" s="1" t="s">
        <v>2051</v>
      </c>
      <c r="Q1081" s="7" t="str">
        <f t="shared" si="21"/>
        <v>equipment/5009.png</v>
      </c>
      <c r="R1081" s="1">
        <v>0</v>
      </c>
    </row>
    <row r="1082" spans="1:18" ht="14.25" thickBot="1">
      <c r="A1082" s="1" t="s">
        <v>880</v>
      </c>
      <c r="B1082" s="3">
        <v>1</v>
      </c>
      <c r="C1082" s="1" t="s">
        <v>2090</v>
      </c>
      <c r="D1082" s="1" t="s">
        <v>14</v>
      </c>
      <c r="E1082" s="1">
        <v>7</v>
      </c>
      <c r="F1082" s="1">
        <v>3</v>
      </c>
      <c r="G1082" s="1">
        <v>30</v>
      </c>
      <c r="H1082" s="10">
        <v>0</v>
      </c>
      <c r="I1082" s="1">
        <v>15000</v>
      </c>
      <c r="J1082" s="1">
        <v>20</v>
      </c>
      <c r="K1082" s="1">
        <v>0</v>
      </c>
      <c r="L1082" s="1">
        <v>17500</v>
      </c>
      <c r="M1082" s="1" t="s">
        <v>1901</v>
      </c>
      <c r="N1082" s="1" t="s">
        <v>1069</v>
      </c>
      <c r="O1082" s="1">
        <v>0</v>
      </c>
      <c r="P1082" s="1" t="s">
        <v>2051</v>
      </c>
      <c r="Q1082" s="7" t="str">
        <f t="shared" si="21"/>
        <v>equipment/7007.png</v>
      </c>
      <c r="R1082" s="1">
        <v>0</v>
      </c>
    </row>
    <row r="1083" spans="1:18" ht="14.25" thickBot="1">
      <c r="A1083" s="1" t="s">
        <v>881</v>
      </c>
      <c r="B1083" s="3">
        <v>1</v>
      </c>
      <c r="C1083" s="1" t="s">
        <v>2550</v>
      </c>
      <c r="D1083" s="1" t="s">
        <v>14</v>
      </c>
      <c r="E1083" s="1">
        <v>7</v>
      </c>
      <c r="F1083" s="1">
        <v>3</v>
      </c>
      <c r="G1083" s="1">
        <v>30</v>
      </c>
      <c r="H1083" s="10">
        <v>0</v>
      </c>
      <c r="I1083" s="1">
        <v>16500</v>
      </c>
      <c r="J1083" s="1">
        <v>20</v>
      </c>
      <c r="K1083" s="1">
        <v>0</v>
      </c>
      <c r="L1083" s="1">
        <v>20000</v>
      </c>
      <c r="M1083" s="1" t="s">
        <v>1902</v>
      </c>
      <c r="N1083" s="1" t="s">
        <v>1069</v>
      </c>
      <c r="O1083" s="1">
        <v>0</v>
      </c>
      <c r="P1083" s="1" t="s">
        <v>2051</v>
      </c>
      <c r="Q1083" s="7" t="str">
        <f t="shared" si="21"/>
        <v>equipment/7008.png</v>
      </c>
      <c r="R1083" s="1">
        <v>0</v>
      </c>
    </row>
    <row r="1084" spans="1:18" ht="14.25" thickBot="1">
      <c r="A1084" s="1" t="s">
        <v>882</v>
      </c>
      <c r="B1084" s="3">
        <v>1</v>
      </c>
      <c r="C1084" s="1" t="s">
        <v>2064</v>
      </c>
      <c r="D1084" s="1" t="s">
        <v>8</v>
      </c>
      <c r="E1084" s="1">
        <v>1</v>
      </c>
      <c r="F1084" s="1">
        <v>3</v>
      </c>
      <c r="G1084" s="1">
        <v>35</v>
      </c>
      <c r="H1084" s="10">
        <v>0</v>
      </c>
      <c r="I1084" s="1">
        <v>17500</v>
      </c>
      <c r="J1084" s="1">
        <v>20</v>
      </c>
      <c r="K1084" s="1">
        <v>0</v>
      </c>
      <c r="L1084" s="1">
        <v>20000</v>
      </c>
      <c r="M1084" s="1" t="s">
        <v>1903</v>
      </c>
      <c r="N1084" s="1" t="s">
        <v>1071</v>
      </c>
      <c r="O1084" s="1">
        <v>0</v>
      </c>
      <c r="P1084" s="1" t="s">
        <v>2052</v>
      </c>
      <c r="Q1084" s="7" t="str">
        <f t="shared" si="21"/>
        <v>equipment/3006.png</v>
      </c>
      <c r="R1084" s="1">
        <v>0</v>
      </c>
    </row>
    <row r="1085" spans="1:18" ht="14.25" thickBot="1">
      <c r="A1085" s="1" t="s">
        <v>883</v>
      </c>
      <c r="B1085" s="3">
        <v>1</v>
      </c>
      <c r="C1085" s="1" t="s">
        <v>2551</v>
      </c>
      <c r="D1085" s="1" t="s">
        <v>9</v>
      </c>
      <c r="E1085" s="1">
        <v>2</v>
      </c>
      <c r="F1085" s="1">
        <v>3</v>
      </c>
      <c r="G1085" s="1">
        <v>35</v>
      </c>
      <c r="H1085" s="10">
        <v>0</v>
      </c>
      <c r="I1085" s="1">
        <v>17500</v>
      </c>
      <c r="J1085" s="1">
        <v>20</v>
      </c>
      <c r="K1085" s="1">
        <v>0</v>
      </c>
      <c r="L1085" s="1">
        <v>20000</v>
      </c>
      <c r="M1085" s="1" t="s">
        <v>1904</v>
      </c>
      <c r="N1085" s="1" t="s">
        <v>1071</v>
      </c>
      <c r="O1085" s="1">
        <v>0</v>
      </c>
      <c r="P1085" s="1" t="s">
        <v>2052</v>
      </c>
      <c r="Q1085" s="7" t="str">
        <f t="shared" si="21"/>
        <v>equipment/14006.png</v>
      </c>
      <c r="R1085" s="1">
        <v>0</v>
      </c>
    </row>
    <row r="1086" spans="1:18" ht="14.25" thickBot="1">
      <c r="A1086" s="1" t="s">
        <v>884</v>
      </c>
      <c r="B1086" s="3">
        <v>1</v>
      </c>
      <c r="C1086" s="1" t="s">
        <v>2552</v>
      </c>
      <c r="D1086" s="1" t="s">
        <v>10</v>
      </c>
      <c r="E1086" s="1">
        <v>3</v>
      </c>
      <c r="F1086" s="1">
        <v>3</v>
      </c>
      <c r="G1086" s="1">
        <v>35</v>
      </c>
      <c r="H1086" s="10">
        <v>0</v>
      </c>
      <c r="I1086" s="1">
        <v>17500</v>
      </c>
      <c r="J1086" s="1">
        <v>20</v>
      </c>
      <c r="K1086" s="1">
        <v>0</v>
      </c>
      <c r="L1086" s="1">
        <v>20000</v>
      </c>
      <c r="M1086" s="1" t="s">
        <v>1905</v>
      </c>
      <c r="N1086" s="1" t="s">
        <v>1071</v>
      </c>
      <c r="O1086" s="1">
        <v>0</v>
      </c>
      <c r="P1086" s="1" t="s">
        <v>2052</v>
      </c>
      <c r="Q1086" s="7" t="str">
        <f t="shared" si="21"/>
        <v>equipment/6006.png</v>
      </c>
      <c r="R1086" s="1">
        <v>0</v>
      </c>
    </row>
    <row r="1087" spans="1:18" ht="14.25" thickBot="1">
      <c r="A1087" s="1" t="s">
        <v>885</v>
      </c>
      <c r="B1087" s="3">
        <v>1</v>
      </c>
      <c r="C1087" s="1" t="s">
        <v>2553</v>
      </c>
      <c r="D1087" s="1" t="s">
        <v>15</v>
      </c>
      <c r="E1087" s="1">
        <v>8</v>
      </c>
      <c r="F1087" s="1">
        <v>3</v>
      </c>
      <c r="G1087" s="1">
        <v>35</v>
      </c>
      <c r="H1087" s="10">
        <v>0</v>
      </c>
      <c r="I1087" s="1">
        <v>17500</v>
      </c>
      <c r="J1087" s="1">
        <v>20</v>
      </c>
      <c r="K1087" s="1">
        <v>0</v>
      </c>
      <c r="L1087" s="1">
        <v>20000</v>
      </c>
      <c r="M1087" s="1" t="s">
        <v>1906</v>
      </c>
      <c r="N1087" s="1" t="s">
        <v>1071</v>
      </c>
      <c r="O1087" s="1">
        <v>0</v>
      </c>
      <c r="P1087" s="1" t="s">
        <v>2052</v>
      </c>
      <c r="Q1087" s="7" t="str">
        <f t="shared" si="21"/>
        <v>equipment/8006.png</v>
      </c>
      <c r="R1087" s="1">
        <v>0</v>
      </c>
    </row>
    <row r="1088" spans="1:18" ht="14.25" thickBot="1">
      <c r="A1088" s="1" t="s">
        <v>886</v>
      </c>
      <c r="B1088" s="3">
        <v>1</v>
      </c>
      <c r="C1088" s="1" t="s">
        <v>2074</v>
      </c>
      <c r="D1088" s="1" t="s">
        <v>16</v>
      </c>
      <c r="E1088" s="1">
        <v>9</v>
      </c>
      <c r="F1088" s="1">
        <v>3</v>
      </c>
      <c r="G1088" s="1">
        <v>35</v>
      </c>
      <c r="H1088" s="10">
        <v>0</v>
      </c>
      <c r="I1088" s="1">
        <v>17500</v>
      </c>
      <c r="J1088" s="1">
        <v>20</v>
      </c>
      <c r="K1088" s="1">
        <v>0</v>
      </c>
      <c r="L1088" s="1">
        <v>20000</v>
      </c>
      <c r="M1088" s="1" t="s">
        <v>1907</v>
      </c>
      <c r="N1088" s="1" t="s">
        <v>1071</v>
      </c>
      <c r="O1088" s="1">
        <v>0</v>
      </c>
      <c r="P1088" s="1" t="s">
        <v>2052</v>
      </c>
      <c r="Q1088" s="7" t="str">
        <f t="shared" si="21"/>
        <v>equipment/10006.png</v>
      </c>
      <c r="R1088" s="1">
        <v>0</v>
      </c>
    </row>
    <row r="1089" spans="1:18" ht="14.25" thickBot="1">
      <c r="A1089" s="1" t="s">
        <v>887</v>
      </c>
      <c r="B1089" s="3">
        <v>1</v>
      </c>
      <c r="C1089" s="1" t="s">
        <v>2333</v>
      </c>
      <c r="D1089" s="1" t="s">
        <v>17</v>
      </c>
      <c r="E1089" s="1">
        <v>10</v>
      </c>
      <c r="F1089" s="1">
        <v>3</v>
      </c>
      <c r="G1089" s="1">
        <v>35</v>
      </c>
      <c r="H1089" s="10">
        <v>0</v>
      </c>
      <c r="I1089" s="1">
        <v>17500</v>
      </c>
      <c r="J1089" s="1">
        <v>20</v>
      </c>
      <c r="K1089" s="1">
        <v>0</v>
      </c>
      <c r="L1089" s="1">
        <v>20000</v>
      </c>
      <c r="M1089" s="1" t="s">
        <v>1908</v>
      </c>
      <c r="N1089" s="1" t="s">
        <v>1071</v>
      </c>
      <c r="O1089" s="1">
        <v>0</v>
      </c>
      <c r="P1089" s="1" t="s">
        <v>2052</v>
      </c>
      <c r="Q1089" s="7" t="str">
        <f t="shared" si="21"/>
        <v>equipment/12006.png</v>
      </c>
      <c r="R1089" s="1">
        <v>0</v>
      </c>
    </row>
    <row r="1090" spans="1:18" ht="14.25" thickBot="1">
      <c r="A1090" s="1" t="s">
        <v>888</v>
      </c>
      <c r="B1090" s="3">
        <v>1</v>
      </c>
      <c r="C1090" s="9" t="s">
        <v>2117</v>
      </c>
      <c r="D1090" s="1" t="s">
        <v>12</v>
      </c>
      <c r="E1090" s="1">
        <v>5</v>
      </c>
      <c r="F1090" s="1">
        <v>3</v>
      </c>
      <c r="G1090" s="1">
        <v>35</v>
      </c>
      <c r="H1090" s="10" t="s">
        <v>2120</v>
      </c>
      <c r="I1090" s="1">
        <v>17500</v>
      </c>
      <c r="J1090" s="1">
        <v>20</v>
      </c>
      <c r="K1090" s="1">
        <v>0</v>
      </c>
      <c r="L1090" s="1">
        <v>20000</v>
      </c>
      <c r="M1090" s="1" t="s">
        <v>1909</v>
      </c>
      <c r="N1090" s="1" t="s">
        <v>1072</v>
      </c>
      <c r="O1090" s="1">
        <v>0</v>
      </c>
      <c r="P1090" s="1" t="s">
        <v>2052</v>
      </c>
      <c r="Q1090" s="7" t="str">
        <f t="shared" si="21"/>
        <v>equipment/1114.png</v>
      </c>
      <c r="R1090" s="1">
        <v>0</v>
      </c>
    </row>
    <row r="1091" spans="1:18" ht="14.25" thickBot="1">
      <c r="A1091" s="1" t="s">
        <v>889</v>
      </c>
      <c r="B1091" s="2">
        <v>0</v>
      </c>
      <c r="C1091" s="9" t="s">
        <v>2491</v>
      </c>
      <c r="D1091" s="1" t="s">
        <v>12</v>
      </c>
      <c r="E1091" s="1">
        <v>5</v>
      </c>
      <c r="F1091" s="1">
        <v>3</v>
      </c>
      <c r="G1091" s="1">
        <v>35</v>
      </c>
      <c r="H1091" s="10" t="s">
        <v>2120</v>
      </c>
      <c r="I1091" s="1">
        <v>19000</v>
      </c>
      <c r="J1091" s="1">
        <v>20</v>
      </c>
      <c r="K1091" s="1">
        <v>0</v>
      </c>
      <c r="L1091" s="1">
        <v>22500</v>
      </c>
      <c r="M1091" s="1" t="s">
        <v>2018</v>
      </c>
      <c r="N1091" s="1" t="s">
        <v>1072</v>
      </c>
      <c r="O1091" s="1">
        <v>0</v>
      </c>
      <c r="P1091" s="1" t="s">
        <v>2052</v>
      </c>
      <c r="Q1091" s="7" t="str">
        <f t="shared" si="21"/>
        <v>equipment/1101.png</v>
      </c>
      <c r="R1091" s="1">
        <v>0</v>
      </c>
    </row>
    <row r="1092" spans="1:18" ht="14.25" thickBot="1">
      <c r="A1092" s="1" t="s">
        <v>890</v>
      </c>
      <c r="B1092" s="3">
        <v>1</v>
      </c>
      <c r="C1092" s="9" t="s">
        <v>2118</v>
      </c>
      <c r="D1092" s="1" t="s">
        <v>13</v>
      </c>
      <c r="E1092" s="1">
        <v>6</v>
      </c>
      <c r="F1092" s="1">
        <v>3</v>
      </c>
      <c r="G1092" s="1">
        <v>35</v>
      </c>
      <c r="H1092" s="10" t="s">
        <v>2120</v>
      </c>
      <c r="I1092" s="1">
        <v>17500</v>
      </c>
      <c r="J1092" s="1">
        <v>20</v>
      </c>
      <c r="K1092" s="1">
        <v>0</v>
      </c>
      <c r="L1092" s="1">
        <v>20000</v>
      </c>
      <c r="M1092" s="1" t="s">
        <v>1910</v>
      </c>
      <c r="N1092" s="1" t="s">
        <v>1072</v>
      </c>
      <c r="O1092" s="1">
        <v>0</v>
      </c>
      <c r="P1092" s="1" t="s">
        <v>2052</v>
      </c>
      <c r="Q1092" s="7" t="str">
        <f t="shared" si="21"/>
        <v>equipment/2108.png</v>
      </c>
      <c r="R1092" s="1">
        <v>0</v>
      </c>
    </row>
    <row r="1093" spans="1:18" ht="14.25" thickBot="1">
      <c r="A1093" s="1" t="s">
        <v>891</v>
      </c>
      <c r="B1093" s="3">
        <v>1</v>
      </c>
      <c r="C1093" s="9" t="s">
        <v>2554</v>
      </c>
      <c r="D1093" s="1" t="s">
        <v>13</v>
      </c>
      <c r="E1093" s="1">
        <v>6</v>
      </c>
      <c r="F1093" s="1">
        <v>3</v>
      </c>
      <c r="G1093" s="1">
        <v>35</v>
      </c>
      <c r="H1093" s="10" t="s">
        <v>2120</v>
      </c>
      <c r="I1093" s="1">
        <v>19000</v>
      </c>
      <c r="J1093" s="1">
        <v>20</v>
      </c>
      <c r="K1093" s="1">
        <v>0</v>
      </c>
      <c r="L1093" s="1">
        <v>22500</v>
      </c>
      <c r="M1093" s="1" t="s">
        <v>1911</v>
      </c>
      <c r="N1093" s="1" t="s">
        <v>1072</v>
      </c>
      <c r="O1093" s="1">
        <v>0</v>
      </c>
      <c r="P1093" s="1" t="s">
        <v>2052</v>
      </c>
      <c r="Q1093" s="7" t="str">
        <f t="shared" si="21"/>
        <v>equipment/2117.png</v>
      </c>
      <c r="R1093" s="1">
        <v>0</v>
      </c>
    </row>
    <row r="1094" spans="1:18" ht="14.25" thickBot="1">
      <c r="A1094" s="1" t="s">
        <v>892</v>
      </c>
      <c r="B1094" s="3">
        <v>1</v>
      </c>
      <c r="C1094" s="1" t="s">
        <v>2119</v>
      </c>
      <c r="D1094" s="1" t="s">
        <v>12</v>
      </c>
      <c r="E1094" s="1">
        <v>5</v>
      </c>
      <c r="F1094" s="1">
        <v>3</v>
      </c>
      <c r="G1094" s="1">
        <v>35</v>
      </c>
      <c r="H1094" s="10" t="s">
        <v>2121</v>
      </c>
      <c r="I1094" s="1">
        <v>17500</v>
      </c>
      <c r="J1094" s="1">
        <v>20</v>
      </c>
      <c r="K1094" s="1">
        <v>0</v>
      </c>
      <c r="L1094" s="1">
        <v>20000</v>
      </c>
      <c r="M1094" s="1" t="s">
        <v>1909</v>
      </c>
      <c r="N1094" s="1" t="s">
        <v>1072</v>
      </c>
      <c r="O1094" s="1">
        <v>0</v>
      </c>
      <c r="P1094" s="1" t="s">
        <v>2052</v>
      </c>
      <c r="Q1094" s="7" t="str">
        <f t="shared" si="21"/>
        <v>equipment/1213.png</v>
      </c>
      <c r="R1094" s="1">
        <v>0</v>
      </c>
    </row>
    <row r="1095" spans="1:18" ht="14.25" thickBot="1">
      <c r="A1095" s="1" t="s">
        <v>893</v>
      </c>
      <c r="B1095" s="2">
        <v>0</v>
      </c>
      <c r="C1095" s="1" t="s">
        <v>2494</v>
      </c>
      <c r="D1095" s="1" t="s">
        <v>12</v>
      </c>
      <c r="E1095" s="1">
        <v>5</v>
      </c>
      <c r="F1095" s="1">
        <v>3</v>
      </c>
      <c r="G1095" s="1">
        <v>35</v>
      </c>
      <c r="H1095" s="10" t="s">
        <v>2121</v>
      </c>
      <c r="I1095" s="1">
        <v>19000</v>
      </c>
      <c r="J1095" s="1">
        <v>20</v>
      </c>
      <c r="K1095" s="1">
        <v>0</v>
      </c>
      <c r="L1095" s="1">
        <v>22500</v>
      </c>
      <c r="M1095" s="1" t="s">
        <v>2018</v>
      </c>
      <c r="N1095" s="1" t="s">
        <v>1072</v>
      </c>
      <c r="O1095" s="1">
        <v>0</v>
      </c>
      <c r="P1095" s="1" t="s">
        <v>2052</v>
      </c>
      <c r="Q1095" s="7" t="str">
        <f t="shared" si="21"/>
        <v>equipment/1201.png</v>
      </c>
      <c r="R1095" s="1">
        <v>0</v>
      </c>
    </row>
    <row r="1096" spans="1:18" ht="14.25" thickBot="1">
      <c r="A1096" s="1" t="s">
        <v>894</v>
      </c>
      <c r="B1096" s="3">
        <v>1</v>
      </c>
      <c r="C1096" s="9" t="s">
        <v>2555</v>
      </c>
      <c r="D1096" s="1" t="s">
        <v>13</v>
      </c>
      <c r="E1096" s="1">
        <v>6</v>
      </c>
      <c r="F1096" s="1">
        <v>3</v>
      </c>
      <c r="G1096" s="1">
        <v>35</v>
      </c>
      <c r="H1096" s="10" t="s">
        <v>2121</v>
      </c>
      <c r="I1096" s="1">
        <v>17500</v>
      </c>
      <c r="J1096" s="1">
        <v>20</v>
      </c>
      <c r="K1096" s="1">
        <v>0</v>
      </c>
      <c r="L1096" s="1">
        <v>20000</v>
      </c>
      <c r="M1096" s="1" t="s">
        <v>1912</v>
      </c>
      <c r="N1096" s="1" t="s">
        <v>1072</v>
      </c>
      <c r="O1096" s="1">
        <v>0</v>
      </c>
      <c r="P1096" s="1" t="s">
        <v>2052</v>
      </c>
      <c r="Q1096" s="7" t="str">
        <f t="shared" si="21"/>
        <v>equipment/2208.png</v>
      </c>
      <c r="R1096" s="1">
        <v>0</v>
      </c>
    </row>
    <row r="1097" spans="1:18" ht="14.25" thickBot="1">
      <c r="A1097" s="1" t="s">
        <v>895</v>
      </c>
      <c r="B1097" s="3">
        <v>1</v>
      </c>
      <c r="C1097" s="9" t="s">
        <v>2556</v>
      </c>
      <c r="D1097" s="1" t="s">
        <v>13</v>
      </c>
      <c r="E1097" s="1">
        <v>6</v>
      </c>
      <c r="F1097" s="1">
        <v>3</v>
      </c>
      <c r="G1097" s="1">
        <v>35</v>
      </c>
      <c r="H1097" s="10" t="s">
        <v>2121</v>
      </c>
      <c r="I1097" s="1">
        <v>19000</v>
      </c>
      <c r="J1097" s="1">
        <v>20</v>
      </c>
      <c r="K1097" s="1">
        <v>0</v>
      </c>
      <c r="L1097" s="1">
        <v>22500</v>
      </c>
      <c r="M1097" s="1" t="s">
        <v>1913</v>
      </c>
      <c r="N1097" s="1" t="s">
        <v>1072</v>
      </c>
      <c r="O1097" s="1">
        <v>0</v>
      </c>
      <c r="P1097" s="1" t="s">
        <v>2052</v>
      </c>
      <c r="Q1097" s="7" t="str">
        <f t="shared" si="21"/>
        <v>equipment/2201.png</v>
      </c>
      <c r="R1097" s="1">
        <v>0</v>
      </c>
    </row>
    <row r="1098" spans="1:18" ht="14.25" thickBot="1">
      <c r="A1098" s="1" t="s">
        <v>896</v>
      </c>
      <c r="B1098" s="3">
        <v>1</v>
      </c>
      <c r="C1098" s="9" t="s">
        <v>2557</v>
      </c>
      <c r="D1098" s="1" t="s">
        <v>12</v>
      </c>
      <c r="E1098" s="1">
        <v>5</v>
      </c>
      <c r="F1098" s="1">
        <v>3</v>
      </c>
      <c r="G1098" s="1">
        <v>35</v>
      </c>
      <c r="H1098" s="10" t="s">
        <v>2122</v>
      </c>
      <c r="I1098" s="1">
        <v>17500</v>
      </c>
      <c r="J1098" s="1">
        <v>20</v>
      </c>
      <c r="K1098" s="1">
        <v>0</v>
      </c>
      <c r="L1098" s="1">
        <v>20000</v>
      </c>
      <c r="M1098" s="1" t="s">
        <v>1909</v>
      </c>
      <c r="N1098" s="1" t="s">
        <v>1072</v>
      </c>
      <c r="O1098" s="1">
        <v>0</v>
      </c>
      <c r="P1098" s="1" t="s">
        <v>2052</v>
      </c>
      <c r="Q1098" s="7" t="str">
        <f t="shared" si="21"/>
        <v>equipment/1314.png</v>
      </c>
      <c r="R1098" s="1">
        <v>0</v>
      </c>
    </row>
    <row r="1099" spans="1:18" ht="14.25" thickBot="1">
      <c r="A1099" s="1" t="s">
        <v>897</v>
      </c>
      <c r="B1099" s="2">
        <v>0</v>
      </c>
      <c r="C1099" s="9" t="s">
        <v>2497</v>
      </c>
      <c r="D1099" s="1" t="s">
        <v>12</v>
      </c>
      <c r="E1099" s="1">
        <v>5</v>
      </c>
      <c r="F1099" s="1">
        <v>3</v>
      </c>
      <c r="G1099" s="1">
        <v>35</v>
      </c>
      <c r="H1099" s="10" t="s">
        <v>2122</v>
      </c>
      <c r="I1099" s="1">
        <v>19000</v>
      </c>
      <c r="J1099" s="1">
        <v>20</v>
      </c>
      <c r="K1099" s="1">
        <v>0</v>
      </c>
      <c r="L1099" s="1">
        <v>22500</v>
      </c>
      <c r="M1099" s="1" t="s">
        <v>2018</v>
      </c>
      <c r="N1099" s="1" t="s">
        <v>1072</v>
      </c>
      <c r="O1099" s="1">
        <v>0</v>
      </c>
      <c r="P1099" s="1" t="s">
        <v>2052</v>
      </c>
      <c r="Q1099" s="7" t="str">
        <f t="shared" si="21"/>
        <v>equipment/1301.png</v>
      </c>
      <c r="R1099" s="1">
        <v>0</v>
      </c>
    </row>
    <row r="1100" spans="1:18" ht="14.25" thickBot="1">
      <c r="A1100" s="1" t="s">
        <v>898</v>
      </c>
      <c r="B1100" s="3">
        <v>1</v>
      </c>
      <c r="C1100" s="9" t="s">
        <v>2558</v>
      </c>
      <c r="D1100" s="1" t="s">
        <v>13</v>
      </c>
      <c r="E1100" s="1">
        <v>6</v>
      </c>
      <c r="F1100" s="1">
        <v>3</v>
      </c>
      <c r="G1100" s="1">
        <v>35</v>
      </c>
      <c r="H1100" s="10" t="s">
        <v>2122</v>
      </c>
      <c r="I1100" s="1">
        <v>17500</v>
      </c>
      <c r="J1100" s="1">
        <v>20</v>
      </c>
      <c r="K1100" s="1">
        <v>0</v>
      </c>
      <c r="L1100" s="1">
        <v>20000</v>
      </c>
      <c r="M1100" s="1" t="s">
        <v>1914</v>
      </c>
      <c r="N1100" s="1" t="s">
        <v>1072</v>
      </c>
      <c r="O1100" s="1">
        <v>0</v>
      </c>
      <c r="P1100" s="1" t="s">
        <v>2052</v>
      </c>
      <c r="Q1100" s="7" t="str">
        <f t="shared" si="21"/>
        <v>equipment/2308.png</v>
      </c>
      <c r="R1100" s="1">
        <v>0</v>
      </c>
    </row>
    <row r="1101" spans="1:18" ht="14.25" thickBot="1">
      <c r="A1101" s="1" t="s">
        <v>899</v>
      </c>
      <c r="B1101" s="3">
        <v>1</v>
      </c>
      <c r="C1101" s="9" t="s">
        <v>2559</v>
      </c>
      <c r="D1101" s="1" t="s">
        <v>13</v>
      </c>
      <c r="E1101" s="1">
        <v>6</v>
      </c>
      <c r="F1101" s="1">
        <v>3</v>
      </c>
      <c r="G1101" s="1">
        <v>35</v>
      </c>
      <c r="H1101" s="10" t="s">
        <v>2122</v>
      </c>
      <c r="I1101" s="1">
        <v>19000</v>
      </c>
      <c r="J1101" s="1">
        <v>20</v>
      </c>
      <c r="K1101" s="1">
        <v>0</v>
      </c>
      <c r="L1101" s="1">
        <v>22500</v>
      </c>
      <c r="M1101" s="1" t="s">
        <v>1915</v>
      </c>
      <c r="N1101" s="1" t="s">
        <v>1072</v>
      </c>
      <c r="O1101" s="1">
        <v>0</v>
      </c>
      <c r="P1101" s="1" t="s">
        <v>2052</v>
      </c>
      <c r="Q1101" s="7" t="str">
        <f t="shared" si="21"/>
        <v>equipment/2314.png</v>
      </c>
      <c r="R1101" s="1">
        <v>0</v>
      </c>
    </row>
    <row r="1102" spans="1:18" ht="14.25" thickBot="1">
      <c r="A1102" s="1" t="s">
        <v>900</v>
      </c>
      <c r="B1102" s="3">
        <v>1</v>
      </c>
      <c r="C1102" s="1" t="s">
        <v>2085</v>
      </c>
      <c r="D1102" s="1" t="s">
        <v>11</v>
      </c>
      <c r="E1102" s="1">
        <v>4</v>
      </c>
      <c r="F1102" s="1">
        <v>3</v>
      </c>
      <c r="G1102" s="1">
        <v>35</v>
      </c>
      <c r="H1102" s="10">
        <v>0</v>
      </c>
      <c r="I1102" s="1">
        <v>17500</v>
      </c>
      <c r="J1102" s="1">
        <v>20</v>
      </c>
      <c r="K1102" s="1">
        <v>0</v>
      </c>
      <c r="L1102" s="1">
        <v>20000</v>
      </c>
      <c r="M1102" s="1" t="s">
        <v>1916</v>
      </c>
      <c r="N1102" s="1" t="s">
        <v>1071</v>
      </c>
      <c r="O1102" s="1">
        <v>0</v>
      </c>
      <c r="P1102" s="1" t="s">
        <v>2052</v>
      </c>
      <c r="Q1102" s="7" t="str">
        <f t="shared" si="21"/>
        <v>equipment/5011.png</v>
      </c>
      <c r="R1102" s="1">
        <v>0</v>
      </c>
    </row>
    <row r="1103" spans="1:18" ht="14.25" thickBot="1">
      <c r="A1103" s="1" t="s">
        <v>901</v>
      </c>
      <c r="B1103" s="3">
        <v>1</v>
      </c>
      <c r="C1103" s="1" t="s">
        <v>2560</v>
      </c>
      <c r="D1103" s="1" t="s">
        <v>11</v>
      </c>
      <c r="E1103" s="1">
        <v>4</v>
      </c>
      <c r="F1103" s="1">
        <v>3</v>
      </c>
      <c r="G1103" s="1">
        <v>35</v>
      </c>
      <c r="H1103" s="10">
        <v>0</v>
      </c>
      <c r="I1103" s="1">
        <v>19000</v>
      </c>
      <c r="J1103" s="1">
        <v>20</v>
      </c>
      <c r="K1103" s="1">
        <v>0</v>
      </c>
      <c r="L1103" s="1">
        <v>22500</v>
      </c>
      <c r="M1103" s="1" t="s">
        <v>1917</v>
      </c>
      <c r="N1103" s="1" t="s">
        <v>1071</v>
      </c>
      <c r="O1103" s="1">
        <v>0</v>
      </c>
      <c r="P1103" s="1" t="s">
        <v>2052</v>
      </c>
      <c r="Q1103" s="7" t="str">
        <f t="shared" si="21"/>
        <v>equipment/5001.png</v>
      </c>
      <c r="R1103" s="1">
        <v>0</v>
      </c>
    </row>
    <row r="1104" spans="1:18" ht="14.25" thickBot="1">
      <c r="A1104" s="1" t="s">
        <v>902</v>
      </c>
      <c r="B1104" s="3">
        <v>1</v>
      </c>
      <c r="C1104" s="1" t="s">
        <v>2561</v>
      </c>
      <c r="D1104" s="1" t="s">
        <v>14</v>
      </c>
      <c r="E1104" s="1">
        <v>7</v>
      </c>
      <c r="F1104" s="1">
        <v>3</v>
      </c>
      <c r="G1104" s="1">
        <v>35</v>
      </c>
      <c r="H1104" s="10">
        <v>0</v>
      </c>
      <c r="I1104" s="1">
        <v>17500</v>
      </c>
      <c r="J1104" s="1">
        <v>20</v>
      </c>
      <c r="K1104" s="1">
        <v>0</v>
      </c>
      <c r="L1104" s="1">
        <v>20000</v>
      </c>
      <c r="M1104" s="1" t="s">
        <v>1916</v>
      </c>
      <c r="N1104" s="1" t="s">
        <v>1071</v>
      </c>
      <c r="O1104" s="1">
        <v>0</v>
      </c>
      <c r="P1104" s="1" t="s">
        <v>2052</v>
      </c>
      <c r="Q1104" s="7" t="str">
        <f t="shared" si="21"/>
        <v>equipment/7008.png</v>
      </c>
      <c r="R1104" s="1">
        <v>0</v>
      </c>
    </row>
    <row r="1105" spans="1:18" ht="14.25" thickBot="1">
      <c r="A1105" s="1" t="s">
        <v>903</v>
      </c>
      <c r="B1105" s="2">
        <v>0</v>
      </c>
      <c r="C1105" s="1" t="s">
        <v>2501</v>
      </c>
      <c r="D1105" s="1" t="s">
        <v>14</v>
      </c>
      <c r="E1105" s="1">
        <v>7</v>
      </c>
      <c r="F1105" s="1">
        <v>3</v>
      </c>
      <c r="G1105" s="1">
        <v>35</v>
      </c>
      <c r="H1105" s="10">
        <v>0</v>
      </c>
      <c r="I1105" s="1">
        <v>19000</v>
      </c>
      <c r="J1105" s="1">
        <v>20</v>
      </c>
      <c r="K1105" s="1">
        <v>0</v>
      </c>
      <c r="L1105" s="1">
        <v>22500</v>
      </c>
      <c r="M1105" s="1" t="s">
        <v>1918</v>
      </c>
      <c r="N1105" s="1" t="s">
        <v>1071</v>
      </c>
      <c r="O1105" s="1">
        <v>0</v>
      </c>
      <c r="P1105" s="1" t="s">
        <v>2052</v>
      </c>
      <c r="Q1105" s="7" t="str">
        <f t="shared" si="21"/>
        <v>equipment/7001.png</v>
      </c>
      <c r="R1105" s="1">
        <v>0</v>
      </c>
    </row>
    <row r="1106" spans="1:18" ht="14.25" thickBot="1">
      <c r="A1106" s="1" t="s">
        <v>904</v>
      </c>
      <c r="B1106" s="3">
        <v>1</v>
      </c>
      <c r="C1106" s="1" t="s">
        <v>2065</v>
      </c>
      <c r="D1106" s="1" t="s">
        <v>8</v>
      </c>
      <c r="E1106" s="1">
        <v>1</v>
      </c>
      <c r="F1106" s="1">
        <v>3</v>
      </c>
      <c r="G1106" s="1">
        <v>40</v>
      </c>
      <c r="H1106" s="10">
        <v>0</v>
      </c>
      <c r="I1106" s="1">
        <v>20000</v>
      </c>
      <c r="J1106" s="1">
        <v>20</v>
      </c>
      <c r="K1106" s="1">
        <v>0</v>
      </c>
      <c r="L1106" s="1">
        <v>22500</v>
      </c>
      <c r="M1106" s="1" t="s">
        <v>1919</v>
      </c>
      <c r="N1106" s="1" t="s">
        <v>1073</v>
      </c>
      <c r="O1106" s="1">
        <v>0</v>
      </c>
      <c r="P1106" s="1" t="s">
        <v>2053</v>
      </c>
      <c r="Q1106" s="7" t="str">
        <f t="shared" si="21"/>
        <v>equipment/3007.png</v>
      </c>
      <c r="R1106" s="1">
        <v>0</v>
      </c>
    </row>
    <row r="1107" spans="1:18" ht="14.25" thickBot="1">
      <c r="A1107" s="1" t="s">
        <v>905</v>
      </c>
      <c r="B1107" s="3">
        <v>1</v>
      </c>
      <c r="C1107" s="1" t="s">
        <v>2562</v>
      </c>
      <c r="D1107" s="1" t="s">
        <v>9</v>
      </c>
      <c r="E1107" s="1">
        <v>2</v>
      </c>
      <c r="F1107" s="1">
        <v>3</v>
      </c>
      <c r="G1107" s="1">
        <v>40</v>
      </c>
      <c r="H1107" s="10">
        <v>0</v>
      </c>
      <c r="I1107" s="1">
        <v>20000</v>
      </c>
      <c r="J1107" s="1">
        <v>20</v>
      </c>
      <c r="K1107" s="1">
        <v>0</v>
      </c>
      <c r="L1107" s="1">
        <v>22500</v>
      </c>
      <c r="M1107" s="1" t="s">
        <v>1920</v>
      </c>
      <c r="N1107" s="1" t="s">
        <v>1073</v>
      </c>
      <c r="O1107" s="1">
        <v>0</v>
      </c>
      <c r="P1107" s="1" t="s">
        <v>2053</v>
      </c>
      <c r="Q1107" s="7" t="str">
        <f t="shared" si="21"/>
        <v>equipment/14007.png</v>
      </c>
      <c r="R1107" s="1">
        <v>0</v>
      </c>
    </row>
    <row r="1108" spans="1:18" ht="14.25" thickBot="1">
      <c r="A1108" s="1" t="s">
        <v>906</v>
      </c>
      <c r="B1108" s="3">
        <v>1</v>
      </c>
      <c r="C1108" s="1" t="s">
        <v>2563</v>
      </c>
      <c r="D1108" s="1" t="s">
        <v>10</v>
      </c>
      <c r="E1108" s="1">
        <v>3</v>
      </c>
      <c r="F1108" s="1">
        <v>3</v>
      </c>
      <c r="G1108" s="1">
        <v>40</v>
      </c>
      <c r="H1108" s="10">
        <v>0</v>
      </c>
      <c r="I1108" s="1">
        <v>20000</v>
      </c>
      <c r="J1108" s="1">
        <v>20</v>
      </c>
      <c r="K1108" s="1">
        <v>0</v>
      </c>
      <c r="L1108" s="1">
        <v>22500</v>
      </c>
      <c r="M1108" s="1" t="s">
        <v>1921</v>
      </c>
      <c r="N1108" s="1" t="s">
        <v>1073</v>
      </c>
      <c r="O1108" s="1">
        <v>0</v>
      </c>
      <c r="P1108" s="1" t="s">
        <v>2053</v>
      </c>
      <c r="Q1108" s="7" t="str">
        <f t="shared" si="21"/>
        <v>equipment/6007.png</v>
      </c>
      <c r="R1108" s="1">
        <v>0</v>
      </c>
    </row>
    <row r="1109" spans="1:18" ht="14.25" thickBot="1">
      <c r="A1109" s="1" t="s">
        <v>907</v>
      </c>
      <c r="B1109" s="3">
        <v>1</v>
      </c>
      <c r="C1109" s="1" t="s">
        <v>2564</v>
      </c>
      <c r="D1109" s="1" t="s">
        <v>15</v>
      </c>
      <c r="E1109" s="1">
        <v>8</v>
      </c>
      <c r="F1109" s="1">
        <v>3</v>
      </c>
      <c r="G1109" s="1">
        <v>40</v>
      </c>
      <c r="H1109" s="10">
        <v>0</v>
      </c>
      <c r="I1109" s="1">
        <v>20000</v>
      </c>
      <c r="J1109" s="1">
        <v>20</v>
      </c>
      <c r="K1109" s="1">
        <v>0</v>
      </c>
      <c r="L1109" s="1">
        <v>22500</v>
      </c>
      <c r="M1109" s="1" t="s">
        <v>1922</v>
      </c>
      <c r="N1109" s="1" t="s">
        <v>1073</v>
      </c>
      <c r="O1109" s="1">
        <v>0</v>
      </c>
      <c r="P1109" s="1" t="s">
        <v>2053</v>
      </c>
      <c r="Q1109" s="7" t="str">
        <f t="shared" ref="Q1109:Q1172" si="22">Q647</f>
        <v>equipment/8007.png</v>
      </c>
      <c r="R1109" s="1">
        <v>0</v>
      </c>
    </row>
    <row r="1110" spans="1:18" ht="14.25" thickBot="1">
      <c r="A1110" s="1" t="s">
        <v>908</v>
      </c>
      <c r="B1110" s="3">
        <v>1</v>
      </c>
      <c r="C1110" s="1" t="s">
        <v>2565</v>
      </c>
      <c r="D1110" s="1" t="s">
        <v>16</v>
      </c>
      <c r="E1110" s="1">
        <v>9</v>
      </c>
      <c r="F1110" s="1">
        <v>3</v>
      </c>
      <c r="G1110" s="1">
        <v>40</v>
      </c>
      <c r="H1110" s="10">
        <v>0</v>
      </c>
      <c r="I1110" s="1">
        <v>20000</v>
      </c>
      <c r="J1110" s="1">
        <v>20</v>
      </c>
      <c r="K1110" s="1">
        <v>0</v>
      </c>
      <c r="L1110" s="1">
        <v>22500</v>
      </c>
      <c r="M1110" s="1" t="s">
        <v>1923</v>
      </c>
      <c r="N1110" s="1" t="s">
        <v>1073</v>
      </c>
      <c r="O1110" s="1">
        <v>0</v>
      </c>
      <c r="P1110" s="1" t="s">
        <v>2053</v>
      </c>
      <c r="Q1110" s="7" t="str">
        <f t="shared" si="22"/>
        <v>equipment/10007.png</v>
      </c>
      <c r="R1110" s="1">
        <v>0</v>
      </c>
    </row>
    <row r="1111" spans="1:18" ht="14.25" thickBot="1">
      <c r="A1111" s="1" t="s">
        <v>909</v>
      </c>
      <c r="B1111" s="2">
        <v>1</v>
      </c>
      <c r="C1111" s="1" t="s">
        <v>2566</v>
      </c>
      <c r="D1111" s="1" t="s">
        <v>17</v>
      </c>
      <c r="E1111" s="1">
        <v>10</v>
      </c>
      <c r="F1111" s="1">
        <v>3</v>
      </c>
      <c r="G1111" s="1">
        <v>40</v>
      </c>
      <c r="H1111" s="10">
        <v>0</v>
      </c>
      <c r="I1111" s="1">
        <v>20000</v>
      </c>
      <c r="J1111" s="1">
        <v>20</v>
      </c>
      <c r="K1111" s="1">
        <v>0</v>
      </c>
      <c r="L1111" s="1">
        <v>22500</v>
      </c>
      <c r="M1111" s="1" t="s">
        <v>1908</v>
      </c>
      <c r="N1111" s="1" t="s">
        <v>1073</v>
      </c>
      <c r="O1111" s="1">
        <v>0</v>
      </c>
      <c r="P1111" s="1" t="s">
        <v>2053</v>
      </c>
      <c r="Q1111" s="7" t="str">
        <f t="shared" si="22"/>
        <v>equipment/12012.png</v>
      </c>
      <c r="R1111" s="1">
        <v>0</v>
      </c>
    </row>
    <row r="1112" spans="1:18" ht="14.25" thickBot="1">
      <c r="A1112" s="1" t="s">
        <v>910</v>
      </c>
      <c r="B1112" s="3">
        <v>1</v>
      </c>
      <c r="C1112" s="9" t="s">
        <v>2567</v>
      </c>
      <c r="D1112" s="1" t="s">
        <v>12</v>
      </c>
      <c r="E1112" s="1">
        <v>5</v>
      </c>
      <c r="F1112" s="1">
        <v>3</v>
      </c>
      <c r="G1112" s="1">
        <v>40</v>
      </c>
      <c r="H1112" s="10" t="s">
        <v>2120</v>
      </c>
      <c r="I1112" s="1">
        <v>20000</v>
      </c>
      <c r="J1112" s="1">
        <v>20</v>
      </c>
      <c r="K1112" s="1">
        <v>0</v>
      </c>
      <c r="L1112" s="1">
        <v>22500</v>
      </c>
      <c r="M1112" s="1" t="s">
        <v>1924</v>
      </c>
      <c r="N1112" s="1" t="s">
        <v>1074</v>
      </c>
      <c r="O1112" s="1">
        <v>0</v>
      </c>
      <c r="P1112" s="1" t="s">
        <v>2053</v>
      </c>
      <c r="Q1112" s="7" t="str">
        <f t="shared" si="22"/>
        <v>equipment/1115.png</v>
      </c>
      <c r="R1112" s="1">
        <v>0</v>
      </c>
    </row>
    <row r="1113" spans="1:18" ht="14.25" thickBot="1">
      <c r="A1113" s="1" t="s">
        <v>911</v>
      </c>
      <c r="B1113" s="3">
        <v>1</v>
      </c>
      <c r="C1113" s="9" t="s">
        <v>2568</v>
      </c>
      <c r="D1113" s="1" t="s">
        <v>12</v>
      </c>
      <c r="E1113" s="1">
        <v>5</v>
      </c>
      <c r="F1113" s="1">
        <v>3</v>
      </c>
      <c r="G1113" s="1">
        <v>40</v>
      </c>
      <c r="H1113" s="10" t="s">
        <v>2120</v>
      </c>
      <c r="I1113" s="1">
        <v>21500</v>
      </c>
      <c r="J1113" s="1">
        <v>20</v>
      </c>
      <c r="K1113" s="1">
        <v>0</v>
      </c>
      <c r="L1113" s="1">
        <v>25000</v>
      </c>
      <c r="M1113" s="1" t="s">
        <v>2019</v>
      </c>
      <c r="N1113" s="1" t="s">
        <v>1074</v>
      </c>
      <c r="O1113" s="1">
        <v>0</v>
      </c>
      <c r="P1113" s="1" t="s">
        <v>2053</v>
      </c>
      <c r="Q1113" s="7" t="str">
        <f t="shared" si="22"/>
        <v>equipment/1116.png</v>
      </c>
      <c r="R1113" s="1">
        <v>0</v>
      </c>
    </row>
    <row r="1114" spans="1:18" ht="14.25" thickBot="1">
      <c r="A1114" s="1" t="s">
        <v>912</v>
      </c>
      <c r="B1114" s="3">
        <v>1</v>
      </c>
      <c r="C1114" s="9" t="s">
        <v>2569</v>
      </c>
      <c r="D1114" s="1" t="s">
        <v>13</v>
      </c>
      <c r="E1114" s="1">
        <v>6</v>
      </c>
      <c r="F1114" s="1">
        <v>3</v>
      </c>
      <c r="G1114" s="1">
        <v>40</v>
      </c>
      <c r="H1114" s="10" t="s">
        <v>2120</v>
      </c>
      <c r="I1114" s="1">
        <v>20000</v>
      </c>
      <c r="J1114" s="1">
        <v>20</v>
      </c>
      <c r="K1114" s="1">
        <v>0</v>
      </c>
      <c r="L1114" s="1">
        <v>22500</v>
      </c>
      <c r="M1114" s="1" t="s">
        <v>1925</v>
      </c>
      <c r="N1114" s="1" t="s">
        <v>1074</v>
      </c>
      <c r="O1114" s="1">
        <v>0</v>
      </c>
      <c r="P1114" s="1" t="s">
        <v>2053</v>
      </c>
      <c r="Q1114" s="7" t="str">
        <f t="shared" si="22"/>
        <v>equipment/2109.png</v>
      </c>
      <c r="R1114" s="1">
        <v>0</v>
      </c>
    </row>
    <row r="1115" spans="1:18" ht="14.25" thickBot="1">
      <c r="A1115" s="1" t="s">
        <v>913</v>
      </c>
      <c r="B1115" s="2">
        <v>0</v>
      </c>
      <c r="C1115" s="9" t="s">
        <v>2061</v>
      </c>
      <c r="D1115" s="1" t="s">
        <v>13</v>
      </c>
      <c r="E1115" s="1">
        <v>6</v>
      </c>
      <c r="F1115" s="1">
        <v>3</v>
      </c>
      <c r="G1115" s="1">
        <v>40</v>
      </c>
      <c r="H1115" s="10" t="s">
        <v>2120</v>
      </c>
      <c r="I1115" s="1">
        <v>21500</v>
      </c>
      <c r="J1115" s="1">
        <v>20</v>
      </c>
      <c r="K1115" s="1">
        <v>0</v>
      </c>
      <c r="L1115" s="1">
        <v>25000</v>
      </c>
      <c r="M1115" s="1" t="s">
        <v>1926</v>
      </c>
      <c r="N1115" s="1" t="s">
        <v>1074</v>
      </c>
      <c r="O1115" s="1">
        <v>0</v>
      </c>
      <c r="P1115" s="1" t="s">
        <v>2053</v>
      </c>
      <c r="Q1115" s="7" t="str">
        <f t="shared" si="22"/>
        <v>equipment/2101.png</v>
      </c>
      <c r="R1115" s="1">
        <v>0</v>
      </c>
    </row>
    <row r="1116" spans="1:18" ht="14.25" thickBot="1">
      <c r="A1116" s="1" t="s">
        <v>914</v>
      </c>
      <c r="B1116" s="3">
        <v>1</v>
      </c>
      <c r="C1116" s="1" t="s">
        <v>2570</v>
      </c>
      <c r="D1116" s="1" t="s">
        <v>12</v>
      </c>
      <c r="E1116" s="1">
        <v>5</v>
      </c>
      <c r="F1116" s="1">
        <v>3</v>
      </c>
      <c r="G1116" s="1">
        <v>40</v>
      </c>
      <c r="H1116" s="10" t="s">
        <v>2121</v>
      </c>
      <c r="I1116" s="1">
        <v>20000</v>
      </c>
      <c r="J1116" s="1">
        <v>20</v>
      </c>
      <c r="K1116" s="1">
        <v>0</v>
      </c>
      <c r="L1116" s="1">
        <v>22500</v>
      </c>
      <c r="M1116" s="1" t="s">
        <v>1924</v>
      </c>
      <c r="N1116" s="1" t="s">
        <v>1074</v>
      </c>
      <c r="O1116" s="1">
        <v>0</v>
      </c>
      <c r="P1116" s="1" t="s">
        <v>2053</v>
      </c>
      <c r="Q1116" s="7" t="str">
        <f t="shared" si="22"/>
        <v>equipment/1216.png</v>
      </c>
      <c r="R1116" s="1">
        <v>0</v>
      </c>
    </row>
    <row r="1117" spans="1:18" ht="14.25" thickBot="1">
      <c r="A1117" s="1" t="s">
        <v>915</v>
      </c>
      <c r="B1117" s="3">
        <v>1</v>
      </c>
      <c r="C1117" s="1" t="s">
        <v>2571</v>
      </c>
      <c r="D1117" s="1" t="s">
        <v>12</v>
      </c>
      <c r="E1117" s="1">
        <v>5</v>
      </c>
      <c r="F1117" s="1">
        <v>3</v>
      </c>
      <c r="G1117" s="1">
        <v>40</v>
      </c>
      <c r="H1117" s="10" t="s">
        <v>2121</v>
      </c>
      <c r="I1117" s="1">
        <v>21500</v>
      </c>
      <c r="J1117" s="1">
        <v>20</v>
      </c>
      <c r="K1117" s="1">
        <v>0</v>
      </c>
      <c r="L1117" s="1">
        <v>25000</v>
      </c>
      <c r="M1117" s="1" t="s">
        <v>2019</v>
      </c>
      <c r="N1117" s="1" t="s">
        <v>1074</v>
      </c>
      <c r="O1117" s="1">
        <v>0</v>
      </c>
      <c r="P1117" s="1" t="s">
        <v>2053</v>
      </c>
      <c r="Q1117" s="7" t="str">
        <f t="shared" si="22"/>
        <v>equipment/1214.png</v>
      </c>
      <c r="R1117" s="1">
        <v>0</v>
      </c>
    </row>
    <row r="1118" spans="1:18" ht="14.25" thickBot="1">
      <c r="A1118" s="1" t="s">
        <v>916</v>
      </c>
      <c r="B1118" s="3">
        <v>1</v>
      </c>
      <c r="C1118" s="9" t="s">
        <v>2572</v>
      </c>
      <c r="D1118" s="1" t="s">
        <v>13</v>
      </c>
      <c r="E1118" s="1">
        <v>6</v>
      </c>
      <c r="F1118" s="1">
        <v>3</v>
      </c>
      <c r="G1118" s="1">
        <v>40</v>
      </c>
      <c r="H1118" s="10" t="s">
        <v>2121</v>
      </c>
      <c r="I1118" s="1">
        <v>20000</v>
      </c>
      <c r="J1118" s="1">
        <v>20</v>
      </c>
      <c r="K1118" s="1">
        <v>0</v>
      </c>
      <c r="L1118" s="1">
        <v>22500</v>
      </c>
      <c r="M1118" s="1" t="s">
        <v>1923</v>
      </c>
      <c r="N1118" s="1" t="s">
        <v>1074</v>
      </c>
      <c r="O1118" s="1">
        <v>0</v>
      </c>
      <c r="P1118" s="1" t="s">
        <v>2053</v>
      </c>
      <c r="Q1118" s="7" t="str">
        <f t="shared" si="22"/>
        <v>equipment/2209.png</v>
      </c>
      <c r="R1118" s="1">
        <v>0</v>
      </c>
    </row>
    <row r="1119" spans="1:18" ht="14.25" thickBot="1">
      <c r="A1119" s="1" t="s">
        <v>917</v>
      </c>
      <c r="B1119" s="2">
        <v>0</v>
      </c>
      <c r="C1119" s="9" t="s">
        <v>2094</v>
      </c>
      <c r="D1119" s="1" t="s">
        <v>13</v>
      </c>
      <c r="E1119" s="1">
        <v>6</v>
      </c>
      <c r="F1119" s="1">
        <v>3</v>
      </c>
      <c r="G1119" s="1">
        <v>40</v>
      </c>
      <c r="H1119" s="10" t="s">
        <v>2121</v>
      </c>
      <c r="I1119" s="1">
        <v>21500</v>
      </c>
      <c r="J1119" s="1">
        <v>20</v>
      </c>
      <c r="K1119" s="1">
        <v>0</v>
      </c>
      <c r="L1119" s="1">
        <v>25000</v>
      </c>
      <c r="M1119" s="1" t="s">
        <v>1927</v>
      </c>
      <c r="N1119" s="1" t="s">
        <v>1074</v>
      </c>
      <c r="O1119" s="1">
        <v>0</v>
      </c>
      <c r="P1119" s="1" t="s">
        <v>2053</v>
      </c>
      <c r="Q1119" s="7" t="str">
        <f t="shared" si="22"/>
        <v>equipment/2201.png</v>
      </c>
      <c r="R1119" s="1">
        <v>0</v>
      </c>
    </row>
    <row r="1120" spans="1:18" ht="14.25" thickBot="1">
      <c r="A1120" s="1" t="s">
        <v>918</v>
      </c>
      <c r="B1120" s="3">
        <v>1</v>
      </c>
      <c r="C1120" s="9" t="s">
        <v>2573</v>
      </c>
      <c r="D1120" s="1" t="s">
        <v>12</v>
      </c>
      <c r="E1120" s="1">
        <v>5</v>
      </c>
      <c r="F1120" s="1">
        <v>3</v>
      </c>
      <c r="G1120" s="1">
        <v>40</v>
      </c>
      <c r="H1120" s="10" t="s">
        <v>2122</v>
      </c>
      <c r="I1120" s="1">
        <v>20000</v>
      </c>
      <c r="J1120" s="1">
        <v>20</v>
      </c>
      <c r="K1120" s="1">
        <v>0</v>
      </c>
      <c r="L1120" s="1">
        <v>22500</v>
      </c>
      <c r="M1120" s="1" t="s">
        <v>1924</v>
      </c>
      <c r="N1120" s="1" t="s">
        <v>1074</v>
      </c>
      <c r="O1120" s="1">
        <v>0</v>
      </c>
      <c r="P1120" s="1" t="s">
        <v>2053</v>
      </c>
      <c r="Q1120" s="7" t="str">
        <f t="shared" si="22"/>
        <v>equipment/1317.png</v>
      </c>
      <c r="R1120" s="1">
        <v>0</v>
      </c>
    </row>
    <row r="1121" spans="1:18" ht="14.25" thickBot="1">
      <c r="A1121" s="1" t="s">
        <v>919</v>
      </c>
      <c r="B1121" s="3">
        <v>1</v>
      </c>
      <c r="C1121" s="9" t="s">
        <v>2574</v>
      </c>
      <c r="D1121" s="1" t="s">
        <v>12</v>
      </c>
      <c r="E1121" s="1">
        <v>5</v>
      </c>
      <c r="F1121" s="1">
        <v>3</v>
      </c>
      <c r="G1121" s="1">
        <v>40</v>
      </c>
      <c r="H1121" s="10" t="s">
        <v>2122</v>
      </c>
      <c r="I1121" s="1">
        <v>21500</v>
      </c>
      <c r="J1121" s="1">
        <v>20</v>
      </c>
      <c r="K1121" s="1">
        <v>0</v>
      </c>
      <c r="L1121" s="1">
        <v>25000</v>
      </c>
      <c r="M1121" s="1" t="s">
        <v>2019</v>
      </c>
      <c r="N1121" s="1" t="s">
        <v>1074</v>
      </c>
      <c r="O1121" s="1">
        <v>0</v>
      </c>
      <c r="P1121" s="1" t="s">
        <v>2053</v>
      </c>
      <c r="Q1121" s="7" t="str">
        <f t="shared" si="22"/>
        <v>equipment/1315.png</v>
      </c>
      <c r="R1121" s="1">
        <v>0</v>
      </c>
    </row>
    <row r="1122" spans="1:18" ht="14.25" thickBot="1">
      <c r="A1122" s="1" t="s">
        <v>920</v>
      </c>
      <c r="B1122" s="3">
        <v>1</v>
      </c>
      <c r="C1122" s="9" t="s">
        <v>2575</v>
      </c>
      <c r="D1122" s="1" t="s">
        <v>13</v>
      </c>
      <c r="E1122" s="1">
        <v>6</v>
      </c>
      <c r="F1122" s="1">
        <v>3</v>
      </c>
      <c r="G1122" s="1">
        <v>40</v>
      </c>
      <c r="H1122" s="10" t="s">
        <v>2122</v>
      </c>
      <c r="I1122" s="1">
        <v>20000</v>
      </c>
      <c r="J1122" s="1">
        <v>20</v>
      </c>
      <c r="K1122" s="1">
        <v>0</v>
      </c>
      <c r="L1122" s="1">
        <v>22500</v>
      </c>
      <c r="M1122" s="1" t="s">
        <v>1928</v>
      </c>
      <c r="N1122" s="1" t="s">
        <v>1074</v>
      </c>
      <c r="O1122" s="1">
        <v>0</v>
      </c>
      <c r="P1122" s="1" t="s">
        <v>2053</v>
      </c>
      <c r="Q1122" s="7" t="str">
        <f t="shared" si="22"/>
        <v>equipment/2309.png</v>
      </c>
      <c r="R1122" s="1">
        <v>0</v>
      </c>
    </row>
    <row r="1123" spans="1:18" ht="14.25" thickBot="1">
      <c r="A1123" s="1" t="s">
        <v>921</v>
      </c>
      <c r="B1123" s="2">
        <v>0</v>
      </c>
      <c r="C1123" s="9" t="s">
        <v>2095</v>
      </c>
      <c r="D1123" s="1" t="s">
        <v>13</v>
      </c>
      <c r="E1123" s="1">
        <v>6</v>
      </c>
      <c r="F1123" s="1">
        <v>3</v>
      </c>
      <c r="G1123" s="1">
        <v>40</v>
      </c>
      <c r="H1123" s="10" t="s">
        <v>2122</v>
      </c>
      <c r="I1123" s="1">
        <v>21500</v>
      </c>
      <c r="J1123" s="1">
        <v>20</v>
      </c>
      <c r="K1123" s="1">
        <v>0</v>
      </c>
      <c r="L1123" s="1">
        <v>25000</v>
      </c>
      <c r="M1123" s="1" t="s">
        <v>1929</v>
      </c>
      <c r="N1123" s="1" t="s">
        <v>1074</v>
      </c>
      <c r="O1123" s="1">
        <v>0</v>
      </c>
      <c r="P1123" s="1" t="s">
        <v>2053</v>
      </c>
      <c r="Q1123" s="7" t="str">
        <f t="shared" si="22"/>
        <v>equipment/2301.png</v>
      </c>
      <c r="R1123" s="1">
        <v>0</v>
      </c>
    </row>
    <row r="1124" spans="1:18" ht="14.25" thickBot="1">
      <c r="A1124" s="1" t="s">
        <v>922</v>
      </c>
      <c r="B1124" s="3">
        <v>1</v>
      </c>
      <c r="C1124" s="1" t="s">
        <v>2086</v>
      </c>
      <c r="D1124" s="1" t="s">
        <v>11</v>
      </c>
      <c r="E1124" s="1">
        <v>4</v>
      </c>
      <c r="F1124" s="1">
        <v>3</v>
      </c>
      <c r="G1124" s="1">
        <v>40</v>
      </c>
      <c r="H1124" s="10">
        <v>0</v>
      </c>
      <c r="I1124" s="1">
        <v>20000</v>
      </c>
      <c r="J1124" s="1">
        <v>20</v>
      </c>
      <c r="K1124" s="1">
        <v>0</v>
      </c>
      <c r="L1124" s="1">
        <v>22500</v>
      </c>
      <c r="M1124" s="1" t="s">
        <v>1930</v>
      </c>
      <c r="N1124" s="1" t="s">
        <v>1073</v>
      </c>
      <c r="O1124" s="1">
        <v>0</v>
      </c>
      <c r="P1124" s="1" t="s">
        <v>2053</v>
      </c>
      <c r="Q1124" s="7" t="str">
        <f t="shared" si="22"/>
        <v>equipment/5012.png</v>
      </c>
      <c r="R1124" s="1">
        <v>0</v>
      </c>
    </row>
    <row r="1125" spans="1:18" ht="14.25" thickBot="1">
      <c r="A1125" s="1" t="s">
        <v>923</v>
      </c>
      <c r="B1125" s="2">
        <v>0</v>
      </c>
      <c r="C1125" s="1" t="s">
        <v>2499</v>
      </c>
      <c r="D1125" s="1" t="s">
        <v>11</v>
      </c>
      <c r="E1125" s="1">
        <v>4</v>
      </c>
      <c r="F1125" s="1">
        <v>3</v>
      </c>
      <c r="G1125" s="1">
        <v>40</v>
      </c>
      <c r="H1125" s="10">
        <v>0</v>
      </c>
      <c r="I1125" s="1">
        <v>21500</v>
      </c>
      <c r="J1125" s="1">
        <v>20</v>
      </c>
      <c r="K1125" s="1">
        <v>0</v>
      </c>
      <c r="L1125" s="1">
        <v>25000</v>
      </c>
      <c r="M1125" s="1" t="s">
        <v>1931</v>
      </c>
      <c r="N1125" s="1" t="s">
        <v>1073</v>
      </c>
      <c r="O1125" s="1">
        <v>0</v>
      </c>
      <c r="P1125" s="1" t="s">
        <v>2053</v>
      </c>
      <c r="Q1125" s="7" t="str">
        <f t="shared" si="22"/>
        <v>equipment/5001.png</v>
      </c>
      <c r="R1125" s="1">
        <v>0</v>
      </c>
    </row>
    <row r="1126" spans="1:18" ht="14.25" thickBot="1">
      <c r="A1126" s="1" t="s">
        <v>924</v>
      </c>
      <c r="B1126" s="3">
        <v>1</v>
      </c>
      <c r="C1126" s="1" t="s">
        <v>2091</v>
      </c>
      <c r="D1126" s="1" t="s">
        <v>14</v>
      </c>
      <c r="E1126" s="1">
        <v>7</v>
      </c>
      <c r="F1126" s="1">
        <v>3</v>
      </c>
      <c r="G1126" s="1">
        <v>40</v>
      </c>
      <c r="H1126" s="10">
        <v>0</v>
      </c>
      <c r="I1126" s="1">
        <v>20000</v>
      </c>
      <c r="J1126" s="1">
        <v>20</v>
      </c>
      <c r="K1126" s="1">
        <v>0</v>
      </c>
      <c r="L1126" s="1">
        <v>22500</v>
      </c>
      <c r="M1126" s="1" t="s">
        <v>1932</v>
      </c>
      <c r="N1126" s="1" t="s">
        <v>1073</v>
      </c>
      <c r="O1126" s="1">
        <v>0</v>
      </c>
      <c r="P1126" s="1" t="s">
        <v>2053</v>
      </c>
      <c r="Q1126" s="7" t="str">
        <f t="shared" si="22"/>
        <v>equipment/7009.png</v>
      </c>
      <c r="R1126" s="1">
        <v>0</v>
      </c>
    </row>
    <row r="1127" spans="1:18" ht="14.25" thickBot="1">
      <c r="A1127" s="1" t="s">
        <v>925</v>
      </c>
      <c r="B1127" s="2">
        <v>0</v>
      </c>
      <c r="C1127" s="1" t="s">
        <v>2501</v>
      </c>
      <c r="D1127" s="1" t="s">
        <v>14</v>
      </c>
      <c r="E1127" s="1">
        <v>7</v>
      </c>
      <c r="F1127" s="1">
        <v>3</v>
      </c>
      <c r="G1127" s="1">
        <v>40</v>
      </c>
      <c r="H1127" s="10">
        <v>0</v>
      </c>
      <c r="I1127" s="1">
        <v>21500</v>
      </c>
      <c r="J1127" s="1">
        <v>20</v>
      </c>
      <c r="K1127" s="1">
        <v>0</v>
      </c>
      <c r="L1127" s="1">
        <v>25000</v>
      </c>
      <c r="M1127" s="1" t="s">
        <v>1933</v>
      </c>
      <c r="N1127" s="1" t="s">
        <v>1073</v>
      </c>
      <c r="O1127" s="1">
        <v>0</v>
      </c>
      <c r="P1127" s="1" t="s">
        <v>2053</v>
      </c>
      <c r="Q1127" s="7" t="str">
        <f t="shared" si="22"/>
        <v>equipment/7001.png</v>
      </c>
      <c r="R1127" s="1">
        <v>0</v>
      </c>
    </row>
    <row r="1128" spans="1:18" ht="14.25" thickBot="1">
      <c r="A1128" s="1" t="s">
        <v>926</v>
      </c>
      <c r="B1128" s="2">
        <v>1</v>
      </c>
      <c r="C1128" s="1" t="s">
        <v>2576</v>
      </c>
      <c r="D1128" s="1" t="s">
        <v>8</v>
      </c>
      <c r="E1128" s="1">
        <v>1</v>
      </c>
      <c r="F1128" s="1">
        <v>3</v>
      </c>
      <c r="G1128" s="1">
        <v>45</v>
      </c>
      <c r="H1128" s="10">
        <v>0</v>
      </c>
      <c r="I1128" s="1">
        <v>22500</v>
      </c>
      <c r="J1128" s="1">
        <v>20</v>
      </c>
      <c r="K1128" s="1">
        <v>0</v>
      </c>
      <c r="L1128" s="1">
        <v>25000</v>
      </c>
      <c r="M1128" s="1" t="s">
        <v>1919</v>
      </c>
      <c r="N1128" s="1" t="s">
        <v>1075</v>
      </c>
      <c r="O1128" s="1">
        <v>0</v>
      </c>
      <c r="P1128" s="1" t="s">
        <v>2054</v>
      </c>
      <c r="Q1128" s="7" t="str">
        <f t="shared" si="22"/>
        <v>equipment/3003.png</v>
      </c>
      <c r="R1128" s="1">
        <v>0</v>
      </c>
    </row>
    <row r="1129" spans="1:18" ht="14.25" thickBot="1">
      <c r="A1129" s="1" t="s">
        <v>927</v>
      </c>
      <c r="B1129" s="2">
        <v>1</v>
      </c>
      <c r="C1129" s="1" t="s">
        <v>2577</v>
      </c>
      <c r="D1129" s="1" t="s">
        <v>9</v>
      </c>
      <c r="E1129" s="1">
        <v>2</v>
      </c>
      <c r="F1129" s="1">
        <v>3</v>
      </c>
      <c r="G1129" s="1">
        <v>45</v>
      </c>
      <c r="H1129" s="10">
        <v>0</v>
      </c>
      <c r="I1129" s="1">
        <v>22500</v>
      </c>
      <c r="J1129" s="1">
        <v>20</v>
      </c>
      <c r="K1129" s="1">
        <v>0</v>
      </c>
      <c r="L1129" s="1">
        <v>25000</v>
      </c>
      <c r="M1129" s="1" t="s">
        <v>1920</v>
      </c>
      <c r="N1129" s="1" t="s">
        <v>1075</v>
      </c>
      <c r="O1129" s="1">
        <v>0</v>
      </c>
      <c r="P1129" s="1" t="s">
        <v>2054</v>
      </c>
      <c r="Q1129" s="7" t="str">
        <f t="shared" si="22"/>
        <v>equipment/14001.png</v>
      </c>
      <c r="R1129" s="1">
        <v>0</v>
      </c>
    </row>
    <row r="1130" spans="1:18" ht="14.25" thickBot="1">
      <c r="A1130" s="1" t="s">
        <v>928</v>
      </c>
      <c r="B1130" s="3">
        <v>1</v>
      </c>
      <c r="C1130" s="1" t="s">
        <v>2578</v>
      </c>
      <c r="D1130" s="1" t="s">
        <v>10</v>
      </c>
      <c r="E1130" s="1">
        <v>3</v>
      </c>
      <c r="F1130" s="1">
        <v>3</v>
      </c>
      <c r="G1130" s="1">
        <v>45</v>
      </c>
      <c r="H1130" s="10">
        <v>0</v>
      </c>
      <c r="I1130" s="1">
        <v>22500</v>
      </c>
      <c r="J1130" s="1">
        <v>20</v>
      </c>
      <c r="K1130" s="1">
        <v>0</v>
      </c>
      <c r="L1130" s="1">
        <v>25000</v>
      </c>
      <c r="M1130" s="1" t="s">
        <v>1934</v>
      </c>
      <c r="N1130" s="1" t="s">
        <v>1075</v>
      </c>
      <c r="O1130" s="1">
        <v>0</v>
      </c>
      <c r="P1130" s="1" t="s">
        <v>2054</v>
      </c>
      <c r="Q1130" s="7" t="str">
        <f t="shared" si="22"/>
        <v>equipment/6008.png</v>
      </c>
      <c r="R1130" s="1">
        <v>0</v>
      </c>
    </row>
    <row r="1131" spans="1:18" ht="14.25" thickBot="1">
      <c r="A1131" s="1" t="s">
        <v>929</v>
      </c>
      <c r="B1131" s="3">
        <v>1</v>
      </c>
      <c r="C1131" s="1" t="s">
        <v>2070</v>
      </c>
      <c r="D1131" s="1" t="s">
        <v>15</v>
      </c>
      <c r="E1131" s="1">
        <v>8</v>
      </c>
      <c r="F1131" s="1">
        <v>3</v>
      </c>
      <c r="G1131" s="1">
        <v>45</v>
      </c>
      <c r="H1131" s="10">
        <v>0</v>
      </c>
      <c r="I1131" s="1">
        <v>22500</v>
      </c>
      <c r="J1131" s="1">
        <v>20</v>
      </c>
      <c r="K1131" s="1">
        <v>0</v>
      </c>
      <c r="L1131" s="1">
        <v>25000</v>
      </c>
      <c r="M1131" s="1" t="s">
        <v>1935</v>
      </c>
      <c r="N1131" s="1" t="s">
        <v>1075</v>
      </c>
      <c r="O1131" s="1">
        <v>0</v>
      </c>
      <c r="P1131" s="1" t="s">
        <v>2054</v>
      </c>
      <c r="Q1131" s="7" t="str">
        <f t="shared" si="22"/>
        <v>equipment/8008.png</v>
      </c>
      <c r="R1131" s="1">
        <v>0</v>
      </c>
    </row>
    <row r="1132" spans="1:18" ht="14.25" thickBot="1">
      <c r="A1132" s="1" t="s">
        <v>930</v>
      </c>
      <c r="B1132" s="3">
        <v>1</v>
      </c>
      <c r="C1132" s="1" t="s">
        <v>2579</v>
      </c>
      <c r="D1132" s="1" t="s">
        <v>16</v>
      </c>
      <c r="E1132" s="1">
        <v>9</v>
      </c>
      <c r="F1132" s="1">
        <v>3</v>
      </c>
      <c r="G1132" s="1">
        <v>45</v>
      </c>
      <c r="H1132" s="10">
        <v>0</v>
      </c>
      <c r="I1132" s="1">
        <v>22500</v>
      </c>
      <c r="J1132" s="1">
        <v>20</v>
      </c>
      <c r="K1132" s="1">
        <v>0</v>
      </c>
      <c r="L1132" s="1">
        <v>25000</v>
      </c>
      <c r="M1132" s="1" t="s">
        <v>1936</v>
      </c>
      <c r="N1132" s="1" t="s">
        <v>1075</v>
      </c>
      <c r="O1132" s="1">
        <v>0</v>
      </c>
      <c r="P1132" s="1" t="s">
        <v>2054</v>
      </c>
      <c r="Q1132" s="7" t="str">
        <f t="shared" si="22"/>
        <v>equipment/10008.png</v>
      </c>
      <c r="R1132" s="1">
        <v>0</v>
      </c>
    </row>
    <row r="1133" spans="1:18" ht="14.25" thickBot="1">
      <c r="A1133" s="1" t="s">
        <v>931</v>
      </c>
      <c r="B1133" s="3">
        <v>1</v>
      </c>
      <c r="C1133" s="1" t="s">
        <v>2580</v>
      </c>
      <c r="D1133" s="1" t="s">
        <v>17</v>
      </c>
      <c r="E1133" s="1">
        <v>10</v>
      </c>
      <c r="F1133" s="1">
        <v>3</v>
      </c>
      <c r="G1133" s="1">
        <v>45</v>
      </c>
      <c r="H1133" s="10">
        <v>0</v>
      </c>
      <c r="I1133" s="1">
        <v>22500</v>
      </c>
      <c r="J1133" s="1">
        <v>20</v>
      </c>
      <c r="K1133" s="1">
        <v>0</v>
      </c>
      <c r="L1133" s="1">
        <v>25000</v>
      </c>
      <c r="M1133" s="1" t="s">
        <v>1937</v>
      </c>
      <c r="N1133" s="1" t="s">
        <v>1075</v>
      </c>
      <c r="O1133" s="1">
        <v>0</v>
      </c>
      <c r="P1133" s="1" t="s">
        <v>2054</v>
      </c>
      <c r="Q1133" s="7" t="str">
        <f t="shared" si="22"/>
        <v>equipment/12007.png</v>
      </c>
      <c r="R1133" s="1">
        <v>0</v>
      </c>
    </row>
    <row r="1134" spans="1:18" ht="14.25" thickBot="1">
      <c r="A1134" s="1" t="s">
        <v>932</v>
      </c>
      <c r="B1134" s="3">
        <v>1</v>
      </c>
      <c r="C1134" s="9" t="s">
        <v>2581</v>
      </c>
      <c r="D1134" s="1" t="s">
        <v>12</v>
      </c>
      <c r="E1134" s="1">
        <v>5</v>
      </c>
      <c r="F1134" s="1">
        <v>3</v>
      </c>
      <c r="G1134" s="1">
        <v>45</v>
      </c>
      <c r="H1134" s="10" t="s">
        <v>2120</v>
      </c>
      <c r="I1134" s="1">
        <v>22500</v>
      </c>
      <c r="J1134" s="1">
        <v>20</v>
      </c>
      <c r="K1134" s="1">
        <v>0</v>
      </c>
      <c r="L1134" s="1">
        <v>25000</v>
      </c>
      <c r="M1134" s="1" t="s">
        <v>2020</v>
      </c>
      <c r="N1134" s="1" t="s">
        <v>1076</v>
      </c>
      <c r="O1134" s="1">
        <v>0</v>
      </c>
      <c r="P1134" s="1" t="s">
        <v>2054</v>
      </c>
      <c r="Q1134" s="7" t="str">
        <f t="shared" si="22"/>
        <v>equipment/1117.png</v>
      </c>
      <c r="R1134" s="1">
        <v>0</v>
      </c>
    </row>
    <row r="1135" spans="1:18" ht="14.25" thickBot="1">
      <c r="A1135" s="1" t="s">
        <v>933</v>
      </c>
      <c r="B1135" s="2">
        <v>0</v>
      </c>
      <c r="C1135" s="9" t="s">
        <v>2491</v>
      </c>
      <c r="D1135" s="1" t="s">
        <v>12</v>
      </c>
      <c r="E1135" s="1">
        <v>5</v>
      </c>
      <c r="F1135" s="1">
        <v>3</v>
      </c>
      <c r="G1135" s="1">
        <v>45</v>
      </c>
      <c r="H1135" s="10" t="s">
        <v>2120</v>
      </c>
      <c r="I1135" s="1">
        <v>24000</v>
      </c>
      <c r="J1135" s="1">
        <v>20</v>
      </c>
      <c r="K1135" s="1">
        <v>0</v>
      </c>
      <c r="L1135" s="1">
        <v>27500</v>
      </c>
      <c r="M1135" s="1" t="s">
        <v>2021</v>
      </c>
      <c r="N1135" s="1" t="s">
        <v>1076</v>
      </c>
      <c r="O1135" s="1">
        <v>0</v>
      </c>
      <c r="P1135" s="1" t="s">
        <v>2054</v>
      </c>
      <c r="Q1135" s="7" t="str">
        <f t="shared" si="22"/>
        <v>equipment/1101.png</v>
      </c>
      <c r="R1135" s="1">
        <v>0</v>
      </c>
    </row>
    <row r="1136" spans="1:18" ht="14.25" thickBot="1">
      <c r="A1136" s="1" t="s">
        <v>934</v>
      </c>
      <c r="B1136" s="3">
        <v>1</v>
      </c>
      <c r="C1136" s="9" t="s">
        <v>2582</v>
      </c>
      <c r="D1136" s="1" t="s">
        <v>13</v>
      </c>
      <c r="E1136" s="1">
        <v>6</v>
      </c>
      <c r="F1136" s="1">
        <v>3</v>
      </c>
      <c r="G1136" s="1">
        <v>45</v>
      </c>
      <c r="H1136" s="10" t="s">
        <v>2120</v>
      </c>
      <c r="I1136" s="1">
        <v>22500</v>
      </c>
      <c r="J1136" s="1">
        <v>20</v>
      </c>
      <c r="K1136" s="1">
        <v>0</v>
      </c>
      <c r="L1136" s="1">
        <v>25000</v>
      </c>
      <c r="M1136" s="1" t="s">
        <v>1938</v>
      </c>
      <c r="N1136" s="1" t="s">
        <v>1076</v>
      </c>
      <c r="O1136" s="1">
        <v>0</v>
      </c>
      <c r="P1136" s="1" t="s">
        <v>2054</v>
      </c>
      <c r="Q1136" s="7" t="str">
        <f t="shared" si="22"/>
        <v>equipment/2110.png</v>
      </c>
      <c r="R1136" s="1">
        <v>0</v>
      </c>
    </row>
    <row r="1137" spans="1:18" ht="14.25" thickBot="1">
      <c r="A1137" s="1" t="s">
        <v>935</v>
      </c>
      <c r="B1137" s="2">
        <v>0</v>
      </c>
      <c r="C1137" s="9" t="s">
        <v>2061</v>
      </c>
      <c r="D1137" s="1" t="s">
        <v>13</v>
      </c>
      <c r="E1137" s="1">
        <v>6</v>
      </c>
      <c r="F1137" s="1">
        <v>3</v>
      </c>
      <c r="G1137" s="1">
        <v>45</v>
      </c>
      <c r="H1137" s="10" t="s">
        <v>2120</v>
      </c>
      <c r="I1137" s="1">
        <v>24000</v>
      </c>
      <c r="J1137" s="1">
        <v>20</v>
      </c>
      <c r="K1137" s="1">
        <v>0</v>
      </c>
      <c r="L1137" s="1">
        <v>27500</v>
      </c>
      <c r="M1137" s="1" t="s">
        <v>1939</v>
      </c>
      <c r="N1137" s="1" t="s">
        <v>1076</v>
      </c>
      <c r="O1137" s="1">
        <v>0</v>
      </c>
      <c r="P1137" s="1" t="s">
        <v>2054</v>
      </c>
      <c r="Q1137" s="7" t="str">
        <f t="shared" si="22"/>
        <v>equipment/2101.png</v>
      </c>
      <c r="R1137" s="1">
        <v>0</v>
      </c>
    </row>
    <row r="1138" spans="1:18" ht="14.25" thickBot="1">
      <c r="A1138" s="1" t="s">
        <v>936</v>
      </c>
      <c r="B1138" s="3">
        <v>1</v>
      </c>
      <c r="C1138" s="1" t="s">
        <v>2583</v>
      </c>
      <c r="D1138" s="1" t="s">
        <v>12</v>
      </c>
      <c r="E1138" s="1">
        <v>5</v>
      </c>
      <c r="F1138" s="1">
        <v>3</v>
      </c>
      <c r="G1138" s="1">
        <v>45</v>
      </c>
      <c r="H1138" s="10" t="s">
        <v>2121</v>
      </c>
      <c r="I1138" s="1">
        <v>22500</v>
      </c>
      <c r="J1138" s="1">
        <v>20</v>
      </c>
      <c r="K1138" s="1">
        <v>0</v>
      </c>
      <c r="L1138" s="1">
        <v>25000</v>
      </c>
      <c r="M1138" s="1" t="s">
        <v>2020</v>
      </c>
      <c r="N1138" s="1" t="s">
        <v>1076</v>
      </c>
      <c r="O1138" s="1">
        <v>0</v>
      </c>
      <c r="P1138" s="1" t="s">
        <v>2054</v>
      </c>
      <c r="Q1138" s="7" t="str">
        <f t="shared" si="22"/>
        <v>equipment/1217.png</v>
      </c>
      <c r="R1138" s="1">
        <v>0</v>
      </c>
    </row>
    <row r="1139" spans="1:18" ht="14.25" thickBot="1">
      <c r="A1139" s="1" t="s">
        <v>937</v>
      </c>
      <c r="B1139" s="2">
        <v>0</v>
      </c>
      <c r="C1139" s="1" t="s">
        <v>2494</v>
      </c>
      <c r="D1139" s="1" t="s">
        <v>12</v>
      </c>
      <c r="E1139" s="1">
        <v>5</v>
      </c>
      <c r="F1139" s="1">
        <v>3</v>
      </c>
      <c r="G1139" s="1">
        <v>45</v>
      </c>
      <c r="H1139" s="10" t="s">
        <v>2121</v>
      </c>
      <c r="I1139" s="1">
        <v>24000</v>
      </c>
      <c r="J1139" s="1">
        <v>20</v>
      </c>
      <c r="K1139" s="1">
        <v>0</v>
      </c>
      <c r="L1139" s="1">
        <v>27500</v>
      </c>
      <c r="M1139" s="1" t="s">
        <v>2021</v>
      </c>
      <c r="N1139" s="1" t="s">
        <v>1076</v>
      </c>
      <c r="O1139" s="1">
        <v>0</v>
      </c>
      <c r="P1139" s="1" t="s">
        <v>2054</v>
      </c>
      <c r="Q1139" s="7" t="str">
        <f t="shared" si="22"/>
        <v>equipment/1201.png</v>
      </c>
      <c r="R1139" s="1">
        <v>0</v>
      </c>
    </row>
    <row r="1140" spans="1:18" ht="14.25" thickBot="1">
      <c r="A1140" s="1" t="s">
        <v>938</v>
      </c>
      <c r="B1140" s="3">
        <v>1</v>
      </c>
      <c r="C1140" s="9" t="s">
        <v>2584</v>
      </c>
      <c r="D1140" s="1" t="s">
        <v>13</v>
      </c>
      <c r="E1140" s="1">
        <v>6</v>
      </c>
      <c r="F1140" s="1">
        <v>3</v>
      </c>
      <c r="G1140" s="1">
        <v>45</v>
      </c>
      <c r="H1140" s="10" t="s">
        <v>2121</v>
      </c>
      <c r="I1140" s="1">
        <v>22500</v>
      </c>
      <c r="J1140" s="1">
        <v>20</v>
      </c>
      <c r="K1140" s="1">
        <v>0</v>
      </c>
      <c r="L1140" s="1">
        <v>25000</v>
      </c>
      <c r="M1140" s="1" t="s">
        <v>1940</v>
      </c>
      <c r="N1140" s="1" t="s">
        <v>1076</v>
      </c>
      <c r="O1140" s="1">
        <v>0</v>
      </c>
      <c r="P1140" s="1" t="s">
        <v>2054</v>
      </c>
      <c r="Q1140" s="7" t="str">
        <f t="shared" si="22"/>
        <v>equipment/2211.png</v>
      </c>
      <c r="R1140" s="1">
        <v>0</v>
      </c>
    </row>
    <row r="1141" spans="1:18" ht="14.25" thickBot="1">
      <c r="A1141" s="1" t="s">
        <v>939</v>
      </c>
      <c r="B1141" s="2">
        <v>0</v>
      </c>
      <c r="C1141" s="9" t="s">
        <v>2094</v>
      </c>
      <c r="D1141" s="1" t="s">
        <v>13</v>
      </c>
      <c r="E1141" s="1">
        <v>6</v>
      </c>
      <c r="F1141" s="1">
        <v>3</v>
      </c>
      <c r="G1141" s="1">
        <v>45</v>
      </c>
      <c r="H1141" s="10" t="s">
        <v>2121</v>
      </c>
      <c r="I1141" s="1">
        <v>24000</v>
      </c>
      <c r="J1141" s="1">
        <v>20</v>
      </c>
      <c r="K1141" s="1">
        <v>0</v>
      </c>
      <c r="L1141" s="1">
        <v>27500</v>
      </c>
      <c r="M1141" s="1" t="s">
        <v>1941</v>
      </c>
      <c r="N1141" s="1" t="s">
        <v>1076</v>
      </c>
      <c r="O1141" s="1">
        <v>0</v>
      </c>
      <c r="P1141" s="1" t="s">
        <v>2054</v>
      </c>
      <c r="Q1141" s="7" t="str">
        <f t="shared" si="22"/>
        <v>equipment/2201.png</v>
      </c>
      <c r="R1141" s="1">
        <v>0</v>
      </c>
    </row>
    <row r="1142" spans="1:18" ht="14.25" thickBot="1">
      <c r="A1142" s="1" t="s">
        <v>940</v>
      </c>
      <c r="B1142" s="3">
        <v>1</v>
      </c>
      <c r="C1142" s="9" t="s">
        <v>2585</v>
      </c>
      <c r="D1142" s="1" t="s">
        <v>12</v>
      </c>
      <c r="E1142" s="1">
        <v>5</v>
      </c>
      <c r="F1142" s="1">
        <v>3</v>
      </c>
      <c r="G1142" s="1">
        <v>45</v>
      </c>
      <c r="H1142" s="10" t="s">
        <v>2122</v>
      </c>
      <c r="I1142" s="1">
        <v>22500</v>
      </c>
      <c r="J1142" s="1">
        <v>20</v>
      </c>
      <c r="K1142" s="1">
        <v>0</v>
      </c>
      <c r="L1142" s="1">
        <v>25000</v>
      </c>
      <c r="M1142" s="1" t="s">
        <v>2020</v>
      </c>
      <c r="N1142" s="1" t="s">
        <v>1076</v>
      </c>
      <c r="O1142" s="1">
        <v>0</v>
      </c>
      <c r="P1142" s="1" t="s">
        <v>2054</v>
      </c>
      <c r="Q1142" s="7" t="str">
        <f t="shared" si="22"/>
        <v>equipment/1316.png</v>
      </c>
      <c r="R1142" s="1">
        <v>0</v>
      </c>
    </row>
    <row r="1143" spans="1:18" ht="14.25" thickBot="1">
      <c r="A1143" s="1" t="s">
        <v>941</v>
      </c>
      <c r="B1143" s="3">
        <v>1</v>
      </c>
      <c r="C1143" s="9" t="s">
        <v>2586</v>
      </c>
      <c r="D1143" s="1" t="s">
        <v>12</v>
      </c>
      <c r="E1143" s="1">
        <v>5</v>
      </c>
      <c r="F1143" s="1">
        <v>3</v>
      </c>
      <c r="G1143" s="1">
        <v>45</v>
      </c>
      <c r="H1143" s="10" t="s">
        <v>2122</v>
      </c>
      <c r="I1143" s="1">
        <v>24000</v>
      </c>
      <c r="J1143" s="1">
        <v>20</v>
      </c>
      <c r="K1143" s="1">
        <v>0</v>
      </c>
      <c r="L1143" s="1">
        <v>27500</v>
      </c>
      <c r="M1143" s="1" t="s">
        <v>2021</v>
      </c>
      <c r="N1143" s="1" t="s">
        <v>1076</v>
      </c>
      <c r="O1143" s="1">
        <v>0</v>
      </c>
      <c r="P1143" s="1" t="s">
        <v>2054</v>
      </c>
      <c r="Q1143" s="7" t="str">
        <f t="shared" si="22"/>
        <v>equipment/1318.png</v>
      </c>
      <c r="R1143" s="1">
        <v>0</v>
      </c>
    </row>
    <row r="1144" spans="1:18" ht="14.25" thickBot="1">
      <c r="A1144" s="1" t="s">
        <v>942</v>
      </c>
      <c r="B1144" s="3">
        <v>1</v>
      </c>
      <c r="C1144" s="9" t="s">
        <v>2587</v>
      </c>
      <c r="D1144" s="1" t="s">
        <v>13</v>
      </c>
      <c r="E1144" s="1">
        <v>6</v>
      </c>
      <c r="F1144" s="1">
        <v>3</v>
      </c>
      <c r="G1144" s="1">
        <v>45</v>
      </c>
      <c r="H1144" s="10" t="s">
        <v>2122</v>
      </c>
      <c r="I1144" s="1">
        <v>22500</v>
      </c>
      <c r="J1144" s="1">
        <v>20</v>
      </c>
      <c r="K1144" s="1">
        <v>0</v>
      </c>
      <c r="L1144" s="1">
        <v>25000</v>
      </c>
      <c r="M1144" s="1" t="s">
        <v>1942</v>
      </c>
      <c r="N1144" s="1" t="s">
        <v>1076</v>
      </c>
      <c r="O1144" s="1">
        <v>0</v>
      </c>
      <c r="P1144" s="1" t="s">
        <v>2054</v>
      </c>
      <c r="Q1144" s="7" t="str">
        <f t="shared" si="22"/>
        <v>equipment/2310.png</v>
      </c>
      <c r="R1144" s="1">
        <v>0</v>
      </c>
    </row>
    <row r="1145" spans="1:18" ht="14.25" thickBot="1">
      <c r="A1145" s="1" t="s">
        <v>943</v>
      </c>
      <c r="B1145" s="2">
        <v>0</v>
      </c>
      <c r="C1145" s="9" t="s">
        <v>2095</v>
      </c>
      <c r="D1145" s="1" t="s">
        <v>13</v>
      </c>
      <c r="E1145" s="1">
        <v>6</v>
      </c>
      <c r="F1145" s="1">
        <v>3</v>
      </c>
      <c r="G1145" s="1">
        <v>45</v>
      </c>
      <c r="H1145" s="10" t="s">
        <v>2122</v>
      </c>
      <c r="I1145" s="1">
        <v>24000</v>
      </c>
      <c r="J1145" s="1">
        <v>20</v>
      </c>
      <c r="K1145" s="1">
        <v>0</v>
      </c>
      <c r="L1145" s="1">
        <v>27500</v>
      </c>
      <c r="M1145" s="1" t="s">
        <v>1943</v>
      </c>
      <c r="N1145" s="1" t="s">
        <v>1076</v>
      </c>
      <c r="O1145" s="1">
        <v>0</v>
      </c>
      <c r="P1145" s="1" t="s">
        <v>2054</v>
      </c>
      <c r="Q1145" s="7" t="str">
        <f t="shared" si="22"/>
        <v>equipment/2301.png</v>
      </c>
      <c r="R1145" s="1">
        <v>0</v>
      </c>
    </row>
    <row r="1146" spans="1:18" ht="14.25" thickBot="1">
      <c r="A1146" s="1" t="s">
        <v>944</v>
      </c>
      <c r="B1146" s="3">
        <v>1</v>
      </c>
      <c r="C1146" s="1" t="s">
        <v>2588</v>
      </c>
      <c r="D1146" s="1" t="s">
        <v>11</v>
      </c>
      <c r="E1146" s="1">
        <v>4</v>
      </c>
      <c r="F1146" s="1">
        <v>3</v>
      </c>
      <c r="G1146" s="1">
        <v>45</v>
      </c>
      <c r="H1146" s="10">
        <v>0</v>
      </c>
      <c r="I1146" s="1">
        <v>22500</v>
      </c>
      <c r="J1146" s="1">
        <v>20</v>
      </c>
      <c r="K1146" s="1">
        <v>0</v>
      </c>
      <c r="L1146" s="1">
        <v>25000</v>
      </c>
      <c r="M1146" s="1" t="s">
        <v>1944</v>
      </c>
      <c r="N1146" s="1" t="s">
        <v>1075</v>
      </c>
      <c r="O1146" s="1">
        <v>0</v>
      </c>
      <c r="P1146" s="1" t="s">
        <v>2054</v>
      </c>
      <c r="Q1146" s="7" t="str">
        <f t="shared" si="22"/>
        <v>equipment/5013.png</v>
      </c>
      <c r="R1146" s="1">
        <v>0</v>
      </c>
    </row>
    <row r="1147" spans="1:18" ht="14.25" thickBot="1">
      <c r="A1147" s="1" t="s">
        <v>945</v>
      </c>
      <c r="B1147" s="3">
        <v>1</v>
      </c>
      <c r="C1147" s="1" t="s">
        <v>2589</v>
      </c>
      <c r="D1147" s="1" t="s">
        <v>11</v>
      </c>
      <c r="E1147" s="1">
        <v>4</v>
      </c>
      <c r="F1147" s="1">
        <v>3</v>
      </c>
      <c r="G1147" s="1">
        <v>45</v>
      </c>
      <c r="H1147" s="10">
        <v>0</v>
      </c>
      <c r="I1147" s="1">
        <v>24000</v>
      </c>
      <c r="J1147" s="1">
        <v>20</v>
      </c>
      <c r="K1147" s="1">
        <v>0</v>
      </c>
      <c r="L1147" s="1">
        <v>27500</v>
      </c>
      <c r="M1147" s="1" t="s">
        <v>1945</v>
      </c>
      <c r="N1147" s="1" t="s">
        <v>1075</v>
      </c>
      <c r="O1147" s="1">
        <v>0</v>
      </c>
      <c r="P1147" s="1" t="s">
        <v>2054</v>
      </c>
      <c r="Q1147" s="7" t="str">
        <f t="shared" si="22"/>
        <v>equipment/5014.png</v>
      </c>
      <c r="R1147" s="1">
        <v>0</v>
      </c>
    </row>
    <row r="1148" spans="1:18" ht="14.25" thickBot="1">
      <c r="A1148" s="1" t="s">
        <v>946</v>
      </c>
      <c r="B1148" s="3">
        <v>1</v>
      </c>
      <c r="C1148" s="1" t="s">
        <v>2092</v>
      </c>
      <c r="D1148" s="1" t="s">
        <v>14</v>
      </c>
      <c r="E1148" s="1">
        <v>7</v>
      </c>
      <c r="F1148" s="1">
        <v>3</v>
      </c>
      <c r="G1148" s="1">
        <v>45</v>
      </c>
      <c r="H1148" s="10">
        <v>0</v>
      </c>
      <c r="I1148" s="1">
        <v>22500</v>
      </c>
      <c r="J1148" s="1">
        <v>20</v>
      </c>
      <c r="K1148" s="1">
        <v>0</v>
      </c>
      <c r="L1148" s="1">
        <v>25000</v>
      </c>
      <c r="M1148" s="1" t="s">
        <v>1930</v>
      </c>
      <c r="N1148" s="1" t="s">
        <v>1075</v>
      </c>
      <c r="O1148" s="1">
        <v>0</v>
      </c>
      <c r="P1148" s="1" t="s">
        <v>2054</v>
      </c>
      <c r="Q1148" s="7" t="str">
        <f t="shared" si="22"/>
        <v>equipment/7011.png</v>
      </c>
      <c r="R1148" s="1">
        <v>0</v>
      </c>
    </row>
    <row r="1149" spans="1:18" ht="14.25" thickBot="1">
      <c r="A1149" s="1" t="s">
        <v>947</v>
      </c>
      <c r="B1149" s="3">
        <v>1</v>
      </c>
      <c r="C1149" s="1" t="s">
        <v>2590</v>
      </c>
      <c r="D1149" s="1" t="s">
        <v>14</v>
      </c>
      <c r="E1149" s="1">
        <v>7</v>
      </c>
      <c r="F1149" s="1">
        <v>3</v>
      </c>
      <c r="G1149" s="1">
        <v>45</v>
      </c>
      <c r="H1149" s="10">
        <v>0</v>
      </c>
      <c r="I1149" s="1">
        <v>24000</v>
      </c>
      <c r="J1149" s="1">
        <v>20</v>
      </c>
      <c r="K1149" s="1">
        <v>0</v>
      </c>
      <c r="L1149" s="1">
        <v>27500</v>
      </c>
      <c r="M1149" s="1" t="s">
        <v>1931</v>
      </c>
      <c r="N1149" s="1" t="s">
        <v>1075</v>
      </c>
      <c r="O1149" s="1">
        <v>0</v>
      </c>
      <c r="P1149" s="1" t="s">
        <v>2054</v>
      </c>
      <c r="Q1149" s="7" t="str">
        <f t="shared" si="22"/>
        <v>equipment/7010.png</v>
      </c>
      <c r="R1149" s="1">
        <v>0</v>
      </c>
    </row>
    <row r="1150" spans="1:18" ht="14.25" thickBot="1">
      <c r="A1150" s="1" t="s">
        <v>948</v>
      </c>
      <c r="B1150" s="3">
        <v>1</v>
      </c>
      <c r="C1150" s="1" t="s">
        <v>2591</v>
      </c>
      <c r="D1150" s="1" t="s">
        <v>8</v>
      </c>
      <c r="E1150" s="1">
        <v>1</v>
      </c>
      <c r="F1150" s="1">
        <v>3</v>
      </c>
      <c r="G1150" s="1">
        <v>50</v>
      </c>
      <c r="H1150" s="10">
        <v>0</v>
      </c>
      <c r="I1150" s="1">
        <v>25000</v>
      </c>
      <c r="J1150" s="1">
        <v>20</v>
      </c>
      <c r="K1150" s="1">
        <v>0</v>
      </c>
      <c r="L1150" s="1">
        <v>27500</v>
      </c>
      <c r="M1150" s="1" t="s">
        <v>1946</v>
      </c>
      <c r="N1150" s="1" t="s">
        <v>1077</v>
      </c>
      <c r="O1150" s="1">
        <v>0</v>
      </c>
      <c r="P1150" s="1" t="s">
        <v>2055</v>
      </c>
      <c r="Q1150" s="7" t="str">
        <f t="shared" si="22"/>
        <v>equipment/3008.png</v>
      </c>
      <c r="R1150" s="1">
        <v>0</v>
      </c>
    </row>
    <row r="1151" spans="1:18" ht="14.25" thickBot="1">
      <c r="A1151" s="1" t="s">
        <v>949</v>
      </c>
      <c r="B1151" s="3">
        <v>1</v>
      </c>
      <c r="C1151" s="1" t="s">
        <v>2592</v>
      </c>
      <c r="D1151" s="1" t="s">
        <v>9</v>
      </c>
      <c r="E1151" s="1">
        <v>2</v>
      </c>
      <c r="F1151" s="1">
        <v>3</v>
      </c>
      <c r="G1151" s="1">
        <v>50</v>
      </c>
      <c r="H1151" s="10">
        <v>0</v>
      </c>
      <c r="I1151" s="1">
        <v>25000</v>
      </c>
      <c r="J1151" s="1">
        <v>20</v>
      </c>
      <c r="K1151" s="1">
        <v>0</v>
      </c>
      <c r="L1151" s="1">
        <v>27500</v>
      </c>
      <c r="M1151" s="1" t="s">
        <v>1947</v>
      </c>
      <c r="N1151" s="1" t="s">
        <v>1077</v>
      </c>
      <c r="O1151" s="1">
        <v>0</v>
      </c>
      <c r="P1151" s="1" t="s">
        <v>2055</v>
      </c>
      <c r="Q1151" s="7" t="str">
        <f t="shared" si="22"/>
        <v>equipment/14008.png</v>
      </c>
      <c r="R1151" s="1">
        <v>0</v>
      </c>
    </row>
    <row r="1152" spans="1:18" ht="14.25" thickBot="1">
      <c r="A1152" s="1" t="s">
        <v>950</v>
      </c>
      <c r="B1152" s="3">
        <v>1</v>
      </c>
      <c r="C1152" s="1" t="s">
        <v>2593</v>
      </c>
      <c r="D1152" s="1" t="s">
        <v>10</v>
      </c>
      <c r="E1152" s="1">
        <v>3</v>
      </c>
      <c r="F1152" s="1">
        <v>3</v>
      </c>
      <c r="G1152" s="1">
        <v>50</v>
      </c>
      <c r="H1152" s="10">
        <v>0</v>
      </c>
      <c r="I1152" s="1">
        <v>25000</v>
      </c>
      <c r="J1152" s="1">
        <v>20</v>
      </c>
      <c r="K1152" s="1">
        <v>0</v>
      </c>
      <c r="L1152" s="1">
        <v>27500</v>
      </c>
      <c r="M1152" s="1" t="s">
        <v>1948</v>
      </c>
      <c r="N1152" s="1" t="s">
        <v>1077</v>
      </c>
      <c r="O1152" s="1">
        <v>0</v>
      </c>
      <c r="P1152" s="1" t="s">
        <v>2055</v>
      </c>
      <c r="Q1152" s="7" t="str">
        <f t="shared" si="22"/>
        <v>equipment/6009.png</v>
      </c>
      <c r="R1152" s="1">
        <v>0</v>
      </c>
    </row>
    <row r="1153" spans="1:18" ht="14.25" thickBot="1">
      <c r="A1153" s="1" t="s">
        <v>951</v>
      </c>
      <c r="B1153" s="2">
        <v>1</v>
      </c>
      <c r="C1153" s="1" t="s">
        <v>2594</v>
      </c>
      <c r="D1153" s="1" t="s">
        <v>15</v>
      </c>
      <c r="E1153" s="1">
        <v>8</v>
      </c>
      <c r="F1153" s="1">
        <v>3</v>
      </c>
      <c r="G1153" s="1">
        <v>50</v>
      </c>
      <c r="H1153" s="10">
        <v>0</v>
      </c>
      <c r="I1153" s="1">
        <v>25000</v>
      </c>
      <c r="J1153" s="1">
        <v>20</v>
      </c>
      <c r="K1153" s="1">
        <v>0</v>
      </c>
      <c r="L1153" s="1">
        <v>27500</v>
      </c>
      <c r="M1153" s="1" t="s">
        <v>1949</v>
      </c>
      <c r="N1153" s="1" t="s">
        <v>1077</v>
      </c>
      <c r="O1153" s="1">
        <v>0</v>
      </c>
      <c r="P1153" s="1" t="s">
        <v>2055</v>
      </c>
      <c r="Q1153" s="7" t="str">
        <f t="shared" si="22"/>
        <v>equipment/8004.png</v>
      </c>
      <c r="R1153" s="1">
        <v>0</v>
      </c>
    </row>
    <row r="1154" spans="1:18" ht="14.25" thickBot="1">
      <c r="A1154" s="1" t="s">
        <v>952</v>
      </c>
      <c r="B1154" s="3">
        <v>1</v>
      </c>
      <c r="C1154" s="1" t="s">
        <v>2075</v>
      </c>
      <c r="D1154" s="1" t="s">
        <v>16</v>
      </c>
      <c r="E1154" s="1">
        <v>9</v>
      </c>
      <c r="F1154" s="1">
        <v>3</v>
      </c>
      <c r="G1154" s="1">
        <v>50</v>
      </c>
      <c r="H1154" s="10">
        <v>0</v>
      </c>
      <c r="I1154" s="1">
        <v>25000</v>
      </c>
      <c r="J1154" s="1">
        <v>20</v>
      </c>
      <c r="K1154" s="1">
        <v>0</v>
      </c>
      <c r="L1154" s="1">
        <v>27500</v>
      </c>
      <c r="M1154" s="1" t="s">
        <v>1950</v>
      </c>
      <c r="N1154" s="1" t="s">
        <v>1077</v>
      </c>
      <c r="O1154" s="1">
        <v>0</v>
      </c>
      <c r="P1154" s="1" t="s">
        <v>2055</v>
      </c>
      <c r="Q1154" s="7" t="str">
        <f t="shared" si="22"/>
        <v>equipment/10009.png</v>
      </c>
      <c r="R1154" s="1">
        <v>0</v>
      </c>
    </row>
    <row r="1155" spans="1:18" ht="14.25" thickBot="1">
      <c r="A1155" s="1" t="s">
        <v>953</v>
      </c>
      <c r="B1155" s="3">
        <v>1</v>
      </c>
      <c r="C1155" s="1" t="s">
        <v>2595</v>
      </c>
      <c r="D1155" s="1" t="s">
        <v>17</v>
      </c>
      <c r="E1155" s="1">
        <v>10</v>
      </c>
      <c r="F1155" s="1">
        <v>3</v>
      </c>
      <c r="G1155" s="1">
        <v>50</v>
      </c>
      <c r="H1155" s="10">
        <v>0</v>
      </c>
      <c r="I1155" s="1">
        <v>25000</v>
      </c>
      <c r="J1155" s="1">
        <v>20</v>
      </c>
      <c r="K1155" s="1">
        <v>0</v>
      </c>
      <c r="L1155" s="1">
        <v>27500</v>
      </c>
      <c r="M1155" s="1" t="s">
        <v>1951</v>
      </c>
      <c r="N1155" s="1" t="s">
        <v>1077</v>
      </c>
      <c r="O1155" s="1">
        <v>0</v>
      </c>
      <c r="P1155" s="1" t="s">
        <v>2055</v>
      </c>
      <c r="Q1155" s="7" t="str">
        <f t="shared" si="22"/>
        <v>equipment/12008.png</v>
      </c>
      <c r="R1155" s="1">
        <v>0</v>
      </c>
    </row>
    <row r="1156" spans="1:18" ht="14.25" thickBot="1">
      <c r="A1156" s="1" t="s">
        <v>954</v>
      </c>
      <c r="B1156" s="3">
        <v>1</v>
      </c>
      <c r="C1156" s="9" t="s">
        <v>2596</v>
      </c>
      <c r="D1156" s="1" t="s">
        <v>12</v>
      </c>
      <c r="E1156" s="1">
        <v>5</v>
      </c>
      <c r="F1156" s="1">
        <v>3</v>
      </c>
      <c r="G1156" s="1">
        <v>50</v>
      </c>
      <c r="H1156" s="10" t="s">
        <v>2120</v>
      </c>
      <c r="I1156" s="1">
        <v>25000</v>
      </c>
      <c r="J1156" s="1">
        <v>20</v>
      </c>
      <c r="K1156" s="1">
        <v>0</v>
      </c>
      <c r="L1156" s="1">
        <v>27500</v>
      </c>
      <c r="M1156" s="1" t="s">
        <v>1952</v>
      </c>
      <c r="N1156" s="1" t="s">
        <v>1078</v>
      </c>
      <c r="O1156" s="1">
        <v>0</v>
      </c>
      <c r="P1156" s="1" t="s">
        <v>2055</v>
      </c>
      <c r="Q1156" s="7" t="str">
        <f t="shared" si="22"/>
        <v>equipment/1119.png</v>
      </c>
      <c r="R1156" s="1">
        <v>0</v>
      </c>
    </row>
    <row r="1157" spans="1:18" ht="14.25" thickBot="1">
      <c r="A1157" s="1" t="s">
        <v>955</v>
      </c>
      <c r="B1157" s="3">
        <v>1</v>
      </c>
      <c r="C1157" s="9" t="s">
        <v>2597</v>
      </c>
      <c r="D1157" s="1" t="s">
        <v>12</v>
      </c>
      <c r="E1157" s="1">
        <v>5</v>
      </c>
      <c r="F1157" s="1">
        <v>3</v>
      </c>
      <c r="G1157" s="1">
        <v>50</v>
      </c>
      <c r="H1157" s="10" t="s">
        <v>2120</v>
      </c>
      <c r="I1157" s="1">
        <v>26500</v>
      </c>
      <c r="J1157" s="1">
        <v>20</v>
      </c>
      <c r="K1157" s="1">
        <v>0</v>
      </c>
      <c r="L1157" s="1">
        <v>30000</v>
      </c>
      <c r="M1157" s="1" t="s">
        <v>1953</v>
      </c>
      <c r="N1157" s="1" t="s">
        <v>1078</v>
      </c>
      <c r="O1157" s="1">
        <v>0</v>
      </c>
      <c r="P1157" s="1" t="s">
        <v>2055</v>
      </c>
      <c r="Q1157" s="7" t="str">
        <f t="shared" si="22"/>
        <v>equipment/1120.png</v>
      </c>
      <c r="R1157" s="1">
        <v>0</v>
      </c>
    </row>
    <row r="1158" spans="1:18" ht="14.25" thickBot="1">
      <c r="A1158" s="1" t="s">
        <v>956</v>
      </c>
      <c r="B1158" s="3">
        <v>1</v>
      </c>
      <c r="C1158" s="9" t="s">
        <v>2598</v>
      </c>
      <c r="D1158" s="1" t="s">
        <v>13</v>
      </c>
      <c r="E1158" s="1">
        <v>6</v>
      </c>
      <c r="F1158" s="1">
        <v>3</v>
      </c>
      <c r="G1158" s="1">
        <v>50</v>
      </c>
      <c r="H1158" s="10" t="s">
        <v>2120</v>
      </c>
      <c r="I1158" s="1">
        <v>25000</v>
      </c>
      <c r="J1158" s="1">
        <v>20</v>
      </c>
      <c r="K1158" s="1">
        <v>0</v>
      </c>
      <c r="L1158" s="1">
        <v>27500</v>
      </c>
      <c r="M1158" s="1" t="s">
        <v>1954</v>
      </c>
      <c r="N1158" s="1" t="s">
        <v>1078</v>
      </c>
      <c r="O1158" s="1">
        <v>0</v>
      </c>
      <c r="P1158" s="1" t="s">
        <v>2055</v>
      </c>
      <c r="Q1158" s="7" t="str">
        <f t="shared" si="22"/>
        <v>equipment/2111.png</v>
      </c>
      <c r="R1158" s="1">
        <v>0</v>
      </c>
    </row>
    <row r="1159" spans="1:18" ht="14.25" thickBot="1">
      <c r="A1159" s="1" t="s">
        <v>957</v>
      </c>
      <c r="B1159" s="3">
        <v>1</v>
      </c>
      <c r="C1159" s="9" t="s">
        <v>2599</v>
      </c>
      <c r="D1159" s="1" t="s">
        <v>13</v>
      </c>
      <c r="E1159" s="1">
        <v>6</v>
      </c>
      <c r="F1159" s="1">
        <v>3</v>
      </c>
      <c r="G1159" s="1">
        <v>50</v>
      </c>
      <c r="H1159" s="10" t="s">
        <v>2120</v>
      </c>
      <c r="I1159" s="1">
        <v>26500</v>
      </c>
      <c r="J1159" s="1">
        <v>20</v>
      </c>
      <c r="K1159" s="1">
        <v>0</v>
      </c>
      <c r="L1159" s="1">
        <v>30000</v>
      </c>
      <c r="M1159" s="1" t="s">
        <v>1955</v>
      </c>
      <c r="N1159" s="1" t="s">
        <v>1078</v>
      </c>
      <c r="O1159" s="1">
        <v>0</v>
      </c>
      <c r="P1159" s="1" t="s">
        <v>2055</v>
      </c>
      <c r="Q1159" s="7" t="str">
        <f t="shared" si="22"/>
        <v>equipment/2112.png</v>
      </c>
      <c r="R1159" s="1">
        <v>0</v>
      </c>
    </row>
    <row r="1160" spans="1:18" ht="14.25" thickBot="1">
      <c r="A1160" s="1" t="s">
        <v>958</v>
      </c>
      <c r="B1160" s="3">
        <v>1</v>
      </c>
      <c r="C1160" s="1" t="s">
        <v>2600</v>
      </c>
      <c r="D1160" s="1" t="s">
        <v>12</v>
      </c>
      <c r="E1160" s="1">
        <v>5</v>
      </c>
      <c r="F1160" s="1">
        <v>3</v>
      </c>
      <c r="G1160" s="1">
        <v>50</v>
      </c>
      <c r="H1160" s="10" t="s">
        <v>2121</v>
      </c>
      <c r="I1160" s="1">
        <v>25000</v>
      </c>
      <c r="J1160" s="1">
        <v>20</v>
      </c>
      <c r="K1160" s="1">
        <v>0</v>
      </c>
      <c r="L1160" s="1">
        <v>27500</v>
      </c>
      <c r="M1160" s="1" t="s">
        <v>1952</v>
      </c>
      <c r="N1160" s="1" t="s">
        <v>1078</v>
      </c>
      <c r="O1160" s="1">
        <v>0</v>
      </c>
      <c r="P1160" s="1" t="s">
        <v>2055</v>
      </c>
      <c r="Q1160" s="7" t="str">
        <f t="shared" si="22"/>
        <v>equipment/1218.png</v>
      </c>
      <c r="R1160" s="1">
        <v>0</v>
      </c>
    </row>
    <row r="1161" spans="1:18" ht="14.25" thickBot="1">
      <c r="A1161" s="1" t="s">
        <v>959</v>
      </c>
      <c r="B1161" s="3">
        <v>1</v>
      </c>
      <c r="C1161" s="1" t="s">
        <v>2601</v>
      </c>
      <c r="D1161" s="1" t="s">
        <v>12</v>
      </c>
      <c r="E1161" s="1">
        <v>5</v>
      </c>
      <c r="F1161" s="1">
        <v>3</v>
      </c>
      <c r="G1161" s="1">
        <v>50</v>
      </c>
      <c r="H1161" s="10" t="s">
        <v>2121</v>
      </c>
      <c r="I1161" s="1">
        <v>26500</v>
      </c>
      <c r="J1161" s="1">
        <v>20</v>
      </c>
      <c r="K1161" s="1">
        <v>0</v>
      </c>
      <c r="L1161" s="1">
        <v>30000</v>
      </c>
      <c r="M1161" s="1" t="s">
        <v>1953</v>
      </c>
      <c r="N1161" s="1" t="s">
        <v>1078</v>
      </c>
      <c r="O1161" s="1">
        <v>0</v>
      </c>
      <c r="P1161" s="1" t="s">
        <v>2055</v>
      </c>
      <c r="Q1161" s="7" t="str">
        <f t="shared" si="22"/>
        <v>equipment/1221.png</v>
      </c>
      <c r="R1161" s="1">
        <v>0</v>
      </c>
    </row>
    <row r="1162" spans="1:18" ht="14.25" thickBot="1">
      <c r="A1162" s="1" t="s">
        <v>960</v>
      </c>
      <c r="B1162" s="3">
        <v>1</v>
      </c>
      <c r="C1162" s="9" t="s">
        <v>2602</v>
      </c>
      <c r="D1162" s="1" t="s">
        <v>13</v>
      </c>
      <c r="E1162" s="1">
        <v>6</v>
      </c>
      <c r="F1162" s="1">
        <v>3</v>
      </c>
      <c r="G1162" s="1">
        <v>50</v>
      </c>
      <c r="H1162" s="10" t="s">
        <v>2121</v>
      </c>
      <c r="I1162" s="1">
        <v>25000</v>
      </c>
      <c r="J1162" s="1">
        <v>20</v>
      </c>
      <c r="K1162" s="1">
        <v>0</v>
      </c>
      <c r="L1162" s="1">
        <v>27500</v>
      </c>
      <c r="M1162" s="1" t="s">
        <v>1956</v>
      </c>
      <c r="N1162" s="1" t="s">
        <v>1078</v>
      </c>
      <c r="O1162" s="1">
        <v>0</v>
      </c>
      <c r="P1162" s="1" t="s">
        <v>2055</v>
      </c>
      <c r="Q1162" s="7" t="str">
        <f t="shared" si="22"/>
        <v>equipment/2210.png</v>
      </c>
      <c r="R1162" s="1">
        <v>0</v>
      </c>
    </row>
    <row r="1163" spans="1:18" ht="14.25" thickBot="1">
      <c r="A1163" s="1" t="s">
        <v>961</v>
      </c>
      <c r="B1163" s="3">
        <v>1</v>
      </c>
      <c r="C1163" s="9" t="s">
        <v>2603</v>
      </c>
      <c r="D1163" s="1" t="s">
        <v>13</v>
      </c>
      <c r="E1163" s="1">
        <v>6</v>
      </c>
      <c r="F1163" s="1">
        <v>3</v>
      </c>
      <c r="G1163" s="1">
        <v>50</v>
      </c>
      <c r="H1163" s="10" t="s">
        <v>2121</v>
      </c>
      <c r="I1163" s="1">
        <v>26500</v>
      </c>
      <c r="J1163" s="1">
        <v>20</v>
      </c>
      <c r="K1163" s="1">
        <v>0</v>
      </c>
      <c r="L1163" s="1">
        <v>30000</v>
      </c>
      <c r="M1163" s="1" t="s">
        <v>1957</v>
      </c>
      <c r="N1163" s="1" t="s">
        <v>1078</v>
      </c>
      <c r="O1163" s="1">
        <v>0</v>
      </c>
      <c r="P1163" s="1" t="s">
        <v>2055</v>
      </c>
      <c r="Q1163" s="7" t="str">
        <f t="shared" si="22"/>
        <v>equipment/2212.png</v>
      </c>
      <c r="R1163" s="1">
        <v>0</v>
      </c>
    </row>
    <row r="1164" spans="1:18" ht="14.25" thickBot="1">
      <c r="A1164" s="1" t="s">
        <v>962</v>
      </c>
      <c r="B1164" s="3">
        <v>1</v>
      </c>
      <c r="C1164" s="9" t="s">
        <v>2604</v>
      </c>
      <c r="D1164" s="1" t="s">
        <v>12</v>
      </c>
      <c r="E1164" s="1">
        <v>5</v>
      </c>
      <c r="F1164" s="1">
        <v>3</v>
      </c>
      <c r="G1164" s="1">
        <v>50</v>
      </c>
      <c r="H1164" s="10" t="s">
        <v>2122</v>
      </c>
      <c r="I1164" s="1">
        <v>25000</v>
      </c>
      <c r="J1164" s="1">
        <v>20</v>
      </c>
      <c r="K1164" s="1">
        <v>0</v>
      </c>
      <c r="L1164" s="1">
        <v>27500</v>
      </c>
      <c r="M1164" s="1" t="s">
        <v>1952</v>
      </c>
      <c r="N1164" s="1" t="s">
        <v>1078</v>
      </c>
      <c r="O1164" s="1">
        <v>0</v>
      </c>
      <c r="P1164" s="1" t="s">
        <v>2055</v>
      </c>
      <c r="Q1164" s="7" t="str">
        <f t="shared" si="22"/>
        <v>equipment/1319.png</v>
      </c>
      <c r="R1164" s="1">
        <v>0</v>
      </c>
    </row>
    <row r="1165" spans="1:18" ht="14.25" thickBot="1">
      <c r="A1165" s="1" t="s">
        <v>963</v>
      </c>
      <c r="B1165" s="3">
        <v>1</v>
      </c>
      <c r="C1165" s="9" t="s">
        <v>2605</v>
      </c>
      <c r="D1165" s="1" t="s">
        <v>12</v>
      </c>
      <c r="E1165" s="1">
        <v>5</v>
      </c>
      <c r="F1165" s="1">
        <v>3</v>
      </c>
      <c r="G1165" s="1">
        <v>50</v>
      </c>
      <c r="H1165" s="10" t="s">
        <v>2122</v>
      </c>
      <c r="I1165" s="1">
        <v>26500</v>
      </c>
      <c r="J1165" s="1">
        <v>20</v>
      </c>
      <c r="K1165" s="1">
        <v>0</v>
      </c>
      <c r="L1165" s="1">
        <v>30000</v>
      </c>
      <c r="M1165" s="1" t="s">
        <v>1953</v>
      </c>
      <c r="N1165" s="1" t="s">
        <v>1078</v>
      </c>
      <c r="O1165" s="1">
        <v>0</v>
      </c>
      <c r="P1165" s="1" t="s">
        <v>2055</v>
      </c>
      <c r="Q1165" s="7" t="str">
        <f t="shared" si="22"/>
        <v>equipment/1320.png</v>
      </c>
      <c r="R1165" s="1">
        <v>0</v>
      </c>
    </row>
    <row r="1166" spans="1:18" ht="14.25" thickBot="1">
      <c r="A1166" s="1" t="s">
        <v>964</v>
      </c>
      <c r="B1166" s="3">
        <v>1</v>
      </c>
      <c r="C1166" s="9" t="s">
        <v>2606</v>
      </c>
      <c r="D1166" s="1" t="s">
        <v>13</v>
      </c>
      <c r="E1166" s="1">
        <v>6</v>
      </c>
      <c r="F1166" s="1">
        <v>3</v>
      </c>
      <c r="G1166" s="1">
        <v>50</v>
      </c>
      <c r="H1166" s="10" t="s">
        <v>2122</v>
      </c>
      <c r="I1166" s="1">
        <v>25000</v>
      </c>
      <c r="J1166" s="1">
        <v>20</v>
      </c>
      <c r="K1166" s="1">
        <v>0</v>
      </c>
      <c r="L1166" s="1">
        <v>27500</v>
      </c>
      <c r="M1166" s="1" t="s">
        <v>1958</v>
      </c>
      <c r="N1166" s="1" t="s">
        <v>1078</v>
      </c>
      <c r="O1166" s="1">
        <v>0</v>
      </c>
      <c r="P1166" s="1" t="s">
        <v>2055</v>
      </c>
      <c r="Q1166" s="7" t="str">
        <f t="shared" si="22"/>
        <v>equipment/2311.png</v>
      </c>
      <c r="R1166" s="1">
        <v>0</v>
      </c>
    </row>
    <row r="1167" spans="1:18" ht="14.25" thickBot="1">
      <c r="A1167" s="1" t="s">
        <v>965</v>
      </c>
      <c r="B1167" s="3">
        <v>1</v>
      </c>
      <c r="C1167" s="9" t="s">
        <v>2607</v>
      </c>
      <c r="D1167" s="1" t="s">
        <v>13</v>
      </c>
      <c r="E1167" s="1">
        <v>6</v>
      </c>
      <c r="F1167" s="1">
        <v>3</v>
      </c>
      <c r="G1167" s="1">
        <v>50</v>
      </c>
      <c r="H1167" s="10" t="s">
        <v>2122</v>
      </c>
      <c r="I1167" s="1">
        <v>26500</v>
      </c>
      <c r="J1167" s="1">
        <v>20</v>
      </c>
      <c r="K1167" s="1">
        <v>0</v>
      </c>
      <c r="L1167" s="1">
        <v>30000</v>
      </c>
      <c r="M1167" s="1" t="s">
        <v>1959</v>
      </c>
      <c r="N1167" s="1" t="s">
        <v>1078</v>
      </c>
      <c r="O1167" s="1">
        <v>0</v>
      </c>
      <c r="P1167" s="1" t="s">
        <v>2055</v>
      </c>
      <c r="Q1167" s="7" t="str">
        <f t="shared" si="22"/>
        <v>equipment/2312.png</v>
      </c>
      <c r="R1167" s="1">
        <v>0</v>
      </c>
    </row>
    <row r="1168" spans="1:18" ht="14.25" thickBot="1">
      <c r="A1168" s="1" t="s">
        <v>966</v>
      </c>
      <c r="B1168" s="2">
        <v>1</v>
      </c>
      <c r="C1168" s="1" t="s">
        <v>2608</v>
      </c>
      <c r="D1168" s="1" t="s">
        <v>11</v>
      </c>
      <c r="E1168" s="1">
        <v>4</v>
      </c>
      <c r="F1168" s="1">
        <v>3</v>
      </c>
      <c r="G1168" s="1">
        <v>50</v>
      </c>
      <c r="H1168" s="10">
        <v>0</v>
      </c>
      <c r="I1168" s="1">
        <v>25000</v>
      </c>
      <c r="J1168" s="1">
        <v>20</v>
      </c>
      <c r="K1168" s="1">
        <v>0</v>
      </c>
      <c r="L1168" s="1">
        <v>27500</v>
      </c>
      <c r="M1168" s="1" t="s">
        <v>1960</v>
      </c>
      <c r="N1168" s="1" t="s">
        <v>1077</v>
      </c>
      <c r="O1168" s="1">
        <v>0</v>
      </c>
      <c r="P1168" s="1" t="s">
        <v>2055</v>
      </c>
      <c r="Q1168" s="7" t="str">
        <f t="shared" si="22"/>
        <v>equipment/5003.png</v>
      </c>
      <c r="R1168" s="1">
        <v>0</v>
      </c>
    </row>
    <row r="1169" spans="1:18" ht="14.25" thickBot="1">
      <c r="A1169" s="1" t="s">
        <v>967</v>
      </c>
      <c r="B1169" s="2">
        <v>0</v>
      </c>
      <c r="C1169" s="1" t="s">
        <v>2499</v>
      </c>
      <c r="D1169" s="1" t="s">
        <v>11</v>
      </c>
      <c r="E1169" s="1">
        <v>4</v>
      </c>
      <c r="F1169" s="1">
        <v>3</v>
      </c>
      <c r="G1169" s="1">
        <v>50</v>
      </c>
      <c r="H1169" s="10">
        <v>0</v>
      </c>
      <c r="I1169" s="1">
        <v>26500</v>
      </c>
      <c r="J1169" s="1">
        <v>20</v>
      </c>
      <c r="K1169" s="1">
        <v>0</v>
      </c>
      <c r="L1169" s="1">
        <v>30000</v>
      </c>
      <c r="M1169" s="1" t="s">
        <v>1961</v>
      </c>
      <c r="N1169" s="1" t="s">
        <v>1077</v>
      </c>
      <c r="O1169" s="1">
        <v>0</v>
      </c>
      <c r="P1169" s="1" t="s">
        <v>2055</v>
      </c>
      <c r="Q1169" s="7" t="str">
        <f t="shared" si="22"/>
        <v>equipment/5001.png</v>
      </c>
      <c r="R1169" s="1">
        <v>0</v>
      </c>
    </row>
    <row r="1170" spans="1:18" ht="14.25" thickBot="1">
      <c r="A1170" s="1" t="s">
        <v>968</v>
      </c>
      <c r="B1170" s="3">
        <v>1</v>
      </c>
      <c r="C1170" s="1" t="s">
        <v>2609</v>
      </c>
      <c r="D1170" s="1" t="s">
        <v>14</v>
      </c>
      <c r="E1170" s="1">
        <v>7</v>
      </c>
      <c r="F1170" s="1">
        <v>3</v>
      </c>
      <c r="G1170" s="1">
        <v>50</v>
      </c>
      <c r="H1170" s="10">
        <v>0</v>
      </c>
      <c r="I1170" s="1">
        <v>25000</v>
      </c>
      <c r="J1170" s="1">
        <v>20</v>
      </c>
      <c r="K1170" s="1">
        <v>0</v>
      </c>
      <c r="L1170" s="1">
        <v>27500</v>
      </c>
      <c r="M1170" s="1" t="s">
        <v>1944</v>
      </c>
      <c r="N1170" s="1" t="s">
        <v>1077</v>
      </c>
      <c r="O1170" s="1">
        <v>0</v>
      </c>
      <c r="P1170" s="1" t="s">
        <v>2055</v>
      </c>
      <c r="Q1170" s="7" t="str">
        <f t="shared" si="22"/>
        <v>equipment/7012.png</v>
      </c>
      <c r="R1170" s="1">
        <v>0</v>
      </c>
    </row>
    <row r="1171" spans="1:18" ht="14.25" thickBot="1">
      <c r="A1171" s="1" t="s">
        <v>969</v>
      </c>
      <c r="B1171" s="2">
        <v>0</v>
      </c>
      <c r="C1171" s="1" t="s">
        <v>2501</v>
      </c>
      <c r="D1171" s="1" t="s">
        <v>14</v>
      </c>
      <c r="E1171" s="1">
        <v>7</v>
      </c>
      <c r="F1171" s="1">
        <v>3</v>
      </c>
      <c r="G1171" s="1">
        <v>50</v>
      </c>
      <c r="H1171" s="10">
        <v>0</v>
      </c>
      <c r="I1171" s="1">
        <v>26500</v>
      </c>
      <c r="J1171" s="1">
        <v>20</v>
      </c>
      <c r="K1171" s="1">
        <v>0</v>
      </c>
      <c r="L1171" s="1">
        <v>30000</v>
      </c>
      <c r="M1171" s="1" t="s">
        <v>1945</v>
      </c>
      <c r="N1171" s="1" t="s">
        <v>1077</v>
      </c>
      <c r="O1171" s="1">
        <v>0</v>
      </c>
      <c r="P1171" s="1" t="s">
        <v>2055</v>
      </c>
      <c r="Q1171" s="7" t="str">
        <f t="shared" si="22"/>
        <v>equipment/7001.png</v>
      </c>
      <c r="R1171" s="1">
        <v>0</v>
      </c>
    </row>
    <row r="1172" spans="1:18" ht="14.25" thickBot="1">
      <c r="A1172" s="1" t="s">
        <v>970</v>
      </c>
      <c r="B1172" s="3">
        <v>1</v>
      </c>
      <c r="C1172" s="1" t="s">
        <v>2610</v>
      </c>
      <c r="D1172" s="1" t="s">
        <v>8</v>
      </c>
      <c r="E1172" s="1">
        <v>1</v>
      </c>
      <c r="F1172" s="1">
        <v>3</v>
      </c>
      <c r="G1172" s="1">
        <v>55</v>
      </c>
      <c r="H1172" s="10">
        <v>0</v>
      </c>
      <c r="I1172" s="1">
        <v>27500</v>
      </c>
      <c r="J1172" s="1">
        <v>20</v>
      </c>
      <c r="K1172" s="1">
        <v>0</v>
      </c>
      <c r="L1172" s="1">
        <v>30000</v>
      </c>
      <c r="M1172" s="1" t="s">
        <v>1962</v>
      </c>
      <c r="N1172" s="1" t="s">
        <v>1079</v>
      </c>
      <c r="O1172" s="1">
        <v>0</v>
      </c>
      <c r="P1172" s="1" t="s">
        <v>2056</v>
      </c>
      <c r="Q1172" s="7" t="str">
        <f t="shared" si="22"/>
        <v>equipment/3009.png</v>
      </c>
      <c r="R1172" s="1">
        <v>0</v>
      </c>
    </row>
    <row r="1173" spans="1:18" ht="14.25" thickBot="1">
      <c r="A1173" s="1" t="s">
        <v>971</v>
      </c>
      <c r="B1173" s="3">
        <v>1</v>
      </c>
      <c r="C1173" s="1" t="s">
        <v>2611</v>
      </c>
      <c r="D1173" s="1" t="s">
        <v>9</v>
      </c>
      <c r="E1173" s="1">
        <v>2</v>
      </c>
      <c r="F1173" s="1">
        <v>3</v>
      </c>
      <c r="G1173" s="1">
        <v>55</v>
      </c>
      <c r="H1173" s="10">
        <v>0</v>
      </c>
      <c r="I1173" s="1">
        <v>27500</v>
      </c>
      <c r="J1173" s="1">
        <v>20</v>
      </c>
      <c r="K1173" s="1">
        <v>0</v>
      </c>
      <c r="L1173" s="1">
        <v>30000</v>
      </c>
      <c r="M1173" s="1" t="s">
        <v>1963</v>
      </c>
      <c r="N1173" s="1" t="s">
        <v>1079</v>
      </c>
      <c r="O1173" s="1">
        <v>0</v>
      </c>
      <c r="P1173" s="1" t="s">
        <v>2056</v>
      </c>
      <c r="Q1173" s="7" t="str">
        <f t="shared" ref="Q1173:Q1236" si="23">Q711</f>
        <v>equipment/14009.png</v>
      </c>
      <c r="R1173" s="1">
        <v>0</v>
      </c>
    </row>
    <row r="1174" spans="1:18" ht="14.25" thickBot="1">
      <c r="A1174" s="1" t="s">
        <v>972</v>
      </c>
      <c r="B1174" s="2">
        <v>1</v>
      </c>
      <c r="C1174" s="1" t="s">
        <v>2612</v>
      </c>
      <c r="D1174" s="1" t="s">
        <v>10</v>
      </c>
      <c r="E1174" s="1">
        <v>3</v>
      </c>
      <c r="F1174" s="1">
        <v>3</v>
      </c>
      <c r="G1174" s="1">
        <v>55</v>
      </c>
      <c r="H1174" s="10">
        <v>0</v>
      </c>
      <c r="I1174" s="1">
        <v>27500</v>
      </c>
      <c r="J1174" s="1">
        <v>20</v>
      </c>
      <c r="K1174" s="1">
        <v>0</v>
      </c>
      <c r="L1174" s="1">
        <v>30000</v>
      </c>
      <c r="M1174" s="1" t="s">
        <v>2475</v>
      </c>
      <c r="N1174" s="1" t="s">
        <v>1079</v>
      </c>
      <c r="O1174" s="1">
        <v>0</v>
      </c>
      <c r="P1174" s="1" t="s">
        <v>2056</v>
      </c>
      <c r="Q1174" s="7" t="str">
        <f t="shared" si="23"/>
        <v>equipment/6004.png</v>
      </c>
      <c r="R1174" s="1">
        <v>0</v>
      </c>
    </row>
    <row r="1175" spans="1:18" ht="14.25" thickBot="1">
      <c r="A1175" s="1" t="s">
        <v>973</v>
      </c>
      <c r="B1175" s="3">
        <v>1</v>
      </c>
      <c r="C1175" s="1" t="s">
        <v>2613</v>
      </c>
      <c r="D1175" s="1" t="s">
        <v>15</v>
      </c>
      <c r="E1175" s="1">
        <v>8</v>
      </c>
      <c r="F1175" s="1">
        <v>3</v>
      </c>
      <c r="G1175" s="1">
        <v>55</v>
      </c>
      <c r="H1175" s="10">
        <v>0</v>
      </c>
      <c r="I1175" s="1">
        <v>27500</v>
      </c>
      <c r="J1175" s="1">
        <v>20</v>
      </c>
      <c r="K1175" s="1">
        <v>0</v>
      </c>
      <c r="L1175" s="1">
        <v>30000</v>
      </c>
      <c r="M1175" s="1" t="s">
        <v>1965</v>
      </c>
      <c r="N1175" s="1" t="s">
        <v>1079</v>
      </c>
      <c r="O1175" s="1">
        <v>0</v>
      </c>
      <c r="P1175" s="1" t="s">
        <v>2056</v>
      </c>
      <c r="Q1175" s="7" t="str">
        <f t="shared" si="23"/>
        <v>equipment/8009.png</v>
      </c>
      <c r="R1175" s="1">
        <v>0</v>
      </c>
    </row>
    <row r="1176" spans="1:18" ht="14.25" thickBot="1">
      <c r="A1176" s="1" t="s">
        <v>974</v>
      </c>
      <c r="B1176" s="2">
        <v>0</v>
      </c>
      <c r="C1176" s="1" t="s">
        <v>2488</v>
      </c>
      <c r="D1176" s="1" t="s">
        <v>16</v>
      </c>
      <c r="E1176" s="1">
        <v>9</v>
      </c>
      <c r="F1176" s="1">
        <v>3</v>
      </c>
      <c r="G1176" s="1">
        <v>55</v>
      </c>
      <c r="H1176" s="10">
        <v>0</v>
      </c>
      <c r="I1176" s="1">
        <v>27500</v>
      </c>
      <c r="J1176" s="1">
        <v>20</v>
      </c>
      <c r="K1176" s="1">
        <v>0</v>
      </c>
      <c r="L1176" s="1">
        <v>30000</v>
      </c>
      <c r="M1176" s="1" t="s">
        <v>1950</v>
      </c>
      <c r="N1176" s="1" t="s">
        <v>1079</v>
      </c>
      <c r="O1176" s="1">
        <v>0</v>
      </c>
      <c r="P1176" s="1" t="s">
        <v>2056</v>
      </c>
      <c r="Q1176" s="7" t="str">
        <f t="shared" si="23"/>
        <v>equipment/10006.png</v>
      </c>
      <c r="R1176" s="1">
        <v>0</v>
      </c>
    </row>
    <row r="1177" spans="1:18" ht="14.25" thickBot="1">
      <c r="A1177" s="1" t="s">
        <v>975</v>
      </c>
      <c r="B1177" s="3">
        <v>1</v>
      </c>
      <c r="C1177" s="1" t="s">
        <v>2614</v>
      </c>
      <c r="D1177" s="1" t="s">
        <v>17</v>
      </c>
      <c r="E1177" s="1">
        <v>10</v>
      </c>
      <c r="F1177" s="1">
        <v>3</v>
      </c>
      <c r="G1177" s="1">
        <v>55</v>
      </c>
      <c r="H1177" s="10">
        <v>0</v>
      </c>
      <c r="I1177" s="1">
        <v>27500</v>
      </c>
      <c r="J1177" s="1">
        <v>20</v>
      </c>
      <c r="K1177" s="1">
        <v>0</v>
      </c>
      <c r="L1177" s="1">
        <v>30000</v>
      </c>
      <c r="M1177" s="1" t="s">
        <v>1966</v>
      </c>
      <c r="N1177" s="1" t="s">
        <v>1079</v>
      </c>
      <c r="O1177" s="1">
        <v>0</v>
      </c>
      <c r="P1177" s="1" t="s">
        <v>2056</v>
      </c>
      <c r="Q1177" s="7" t="str">
        <f t="shared" si="23"/>
        <v>equipment/12009.png</v>
      </c>
      <c r="R1177" s="1">
        <v>0</v>
      </c>
    </row>
    <row r="1178" spans="1:18" ht="14.25" thickBot="1">
      <c r="A1178" s="1" t="s">
        <v>976</v>
      </c>
      <c r="B1178" s="3">
        <v>1</v>
      </c>
      <c r="C1178" s="9" t="s">
        <v>2615</v>
      </c>
      <c r="D1178" s="1" t="s">
        <v>12</v>
      </c>
      <c r="E1178" s="1">
        <v>5</v>
      </c>
      <c r="F1178" s="1">
        <v>3</v>
      </c>
      <c r="G1178" s="1">
        <v>55</v>
      </c>
      <c r="H1178" s="10" t="s">
        <v>2120</v>
      </c>
      <c r="I1178" s="1">
        <v>27500</v>
      </c>
      <c r="J1178" s="1">
        <v>20</v>
      </c>
      <c r="K1178" s="1">
        <v>0</v>
      </c>
      <c r="L1178" s="1">
        <v>30000</v>
      </c>
      <c r="M1178" s="1" t="s">
        <v>2022</v>
      </c>
      <c r="N1178" s="1" t="s">
        <v>1080</v>
      </c>
      <c r="O1178" s="1">
        <v>0</v>
      </c>
      <c r="P1178" s="1" t="s">
        <v>2056</v>
      </c>
      <c r="Q1178" s="7" t="str">
        <f t="shared" si="23"/>
        <v>equipment/1121.png</v>
      </c>
      <c r="R1178" s="1">
        <v>0</v>
      </c>
    </row>
    <row r="1179" spans="1:18" ht="14.25" thickBot="1">
      <c r="A1179" s="1" t="s">
        <v>977</v>
      </c>
      <c r="B1179" s="2">
        <v>0</v>
      </c>
      <c r="C1179" s="9" t="s">
        <v>2491</v>
      </c>
      <c r="D1179" s="1" t="s">
        <v>12</v>
      </c>
      <c r="E1179" s="1">
        <v>5</v>
      </c>
      <c r="F1179" s="1">
        <v>3</v>
      </c>
      <c r="G1179" s="1">
        <v>55</v>
      </c>
      <c r="H1179" s="10" t="s">
        <v>2120</v>
      </c>
      <c r="I1179" s="1">
        <v>29000</v>
      </c>
      <c r="J1179" s="1">
        <v>20</v>
      </c>
      <c r="K1179" s="1">
        <v>0</v>
      </c>
      <c r="L1179" s="1">
        <v>32500</v>
      </c>
      <c r="M1179" s="1" t="s">
        <v>2023</v>
      </c>
      <c r="N1179" s="1" t="s">
        <v>1080</v>
      </c>
      <c r="O1179" s="1">
        <v>0</v>
      </c>
      <c r="P1179" s="1" t="s">
        <v>2056</v>
      </c>
      <c r="Q1179" s="7" t="str">
        <f t="shared" si="23"/>
        <v>equipment/1101.png</v>
      </c>
      <c r="R1179" s="1">
        <v>0</v>
      </c>
    </row>
    <row r="1180" spans="1:18" ht="14.25" thickBot="1">
      <c r="A1180" s="1" t="s">
        <v>978</v>
      </c>
      <c r="B1180" s="3">
        <v>1</v>
      </c>
      <c r="C1180" s="9" t="s">
        <v>2616</v>
      </c>
      <c r="D1180" s="1" t="s">
        <v>13</v>
      </c>
      <c r="E1180" s="1">
        <v>6</v>
      </c>
      <c r="F1180" s="1">
        <v>3</v>
      </c>
      <c r="G1180" s="1">
        <v>55</v>
      </c>
      <c r="H1180" s="10" t="s">
        <v>2120</v>
      </c>
      <c r="I1180" s="1">
        <v>27500</v>
      </c>
      <c r="J1180" s="1">
        <v>20</v>
      </c>
      <c r="K1180" s="1">
        <v>0</v>
      </c>
      <c r="L1180" s="1">
        <v>30000</v>
      </c>
      <c r="M1180" s="1" t="s">
        <v>1967</v>
      </c>
      <c r="N1180" s="1" t="s">
        <v>1080</v>
      </c>
      <c r="O1180" s="1">
        <v>0</v>
      </c>
      <c r="P1180" s="1" t="s">
        <v>2056</v>
      </c>
      <c r="Q1180" s="7" t="str">
        <f t="shared" si="23"/>
        <v>equipment/2113.png</v>
      </c>
      <c r="R1180" s="1">
        <v>0</v>
      </c>
    </row>
    <row r="1181" spans="1:18" ht="14.25" thickBot="1">
      <c r="A1181" s="1" t="s">
        <v>979</v>
      </c>
      <c r="B1181" s="3">
        <v>1</v>
      </c>
      <c r="C1181" s="9" t="s">
        <v>2617</v>
      </c>
      <c r="D1181" s="1" t="s">
        <v>13</v>
      </c>
      <c r="E1181" s="1">
        <v>6</v>
      </c>
      <c r="F1181" s="1">
        <v>3</v>
      </c>
      <c r="G1181" s="1">
        <v>55</v>
      </c>
      <c r="H1181" s="10" t="s">
        <v>2120</v>
      </c>
      <c r="I1181" s="1">
        <v>29000</v>
      </c>
      <c r="J1181" s="1">
        <v>20</v>
      </c>
      <c r="K1181" s="1">
        <v>0</v>
      </c>
      <c r="L1181" s="1">
        <v>32500</v>
      </c>
      <c r="M1181" s="1" t="s">
        <v>1968</v>
      </c>
      <c r="N1181" s="1" t="s">
        <v>1080</v>
      </c>
      <c r="O1181" s="1">
        <v>0</v>
      </c>
      <c r="P1181" s="1" t="s">
        <v>2056</v>
      </c>
      <c r="Q1181" s="7" t="str">
        <f t="shared" si="23"/>
        <v>equipment/2114.png</v>
      </c>
      <c r="R1181" s="1">
        <v>0</v>
      </c>
    </row>
    <row r="1182" spans="1:18" ht="14.25" thickBot="1">
      <c r="A1182" s="1" t="s">
        <v>980</v>
      </c>
      <c r="B1182" s="3">
        <v>1</v>
      </c>
      <c r="C1182" s="1" t="s">
        <v>2618</v>
      </c>
      <c r="D1182" s="1" t="s">
        <v>12</v>
      </c>
      <c r="E1182" s="1">
        <v>5</v>
      </c>
      <c r="F1182" s="1">
        <v>3</v>
      </c>
      <c r="G1182" s="1">
        <v>55</v>
      </c>
      <c r="H1182" s="10" t="s">
        <v>2121</v>
      </c>
      <c r="I1182" s="1">
        <v>27500</v>
      </c>
      <c r="J1182" s="1">
        <v>20</v>
      </c>
      <c r="K1182" s="1">
        <v>0</v>
      </c>
      <c r="L1182" s="1">
        <v>30000</v>
      </c>
      <c r="M1182" s="1" t="s">
        <v>2022</v>
      </c>
      <c r="N1182" s="1" t="s">
        <v>1080</v>
      </c>
      <c r="O1182" s="1">
        <v>0</v>
      </c>
      <c r="P1182" s="1" t="s">
        <v>2056</v>
      </c>
      <c r="Q1182" s="7" t="str">
        <f t="shared" si="23"/>
        <v>equipment/1219.png</v>
      </c>
      <c r="R1182" s="1">
        <v>0</v>
      </c>
    </row>
    <row r="1183" spans="1:18" ht="14.25" thickBot="1">
      <c r="A1183" s="1" t="s">
        <v>981</v>
      </c>
      <c r="B1183" s="2">
        <v>0</v>
      </c>
      <c r="C1183" s="1" t="s">
        <v>2494</v>
      </c>
      <c r="D1183" s="1" t="s">
        <v>12</v>
      </c>
      <c r="E1183" s="1">
        <v>5</v>
      </c>
      <c r="F1183" s="1">
        <v>3</v>
      </c>
      <c r="G1183" s="1">
        <v>55</v>
      </c>
      <c r="H1183" s="10" t="s">
        <v>2121</v>
      </c>
      <c r="I1183" s="1">
        <v>29000</v>
      </c>
      <c r="J1183" s="1">
        <v>20</v>
      </c>
      <c r="K1183" s="1">
        <v>0</v>
      </c>
      <c r="L1183" s="1">
        <v>32500</v>
      </c>
      <c r="M1183" s="1" t="s">
        <v>2023</v>
      </c>
      <c r="N1183" s="1" t="s">
        <v>1080</v>
      </c>
      <c r="O1183" s="1">
        <v>0</v>
      </c>
      <c r="P1183" s="1" t="s">
        <v>2056</v>
      </c>
      <c r="Q1183" s="7" t="str">
        <f t="shared" si="23"/>
        <v>equipment/1201.png</v>
      </c>
      <c r="R1183" s="1">
        <v>0</v>
      </c>
    </row>
    <row r="1184" spans="1:18" ht="14.25" thickBot="1">
      <c r="A1184" s="1" t="s">
        <v>982</v>
      </c>
      <c r="B1184" s="3">
        <v>1</v>
      </c>
      <c r="C1184" s="9" t="s">
        <v>2619</v>
      </c>
      <c r="D1184" s="1" t="s">
        <v>13</v>
      </c>
      <c r="E1184" s="1">
        <v>6</v>
      </c>
      <c r="F1184" s="1">
        <v>3</v>
      </c>
      <c r="G1184" s="1">
        <v>55</v>
      </c>
      <c r="H1184" s="10" t="s">
        <v>2121</v>
      </c>
      <c r="I1184" s="1">
        <v>27500</v>
      </c>
      <c r="J1184" s="1">
        <v>20</v>
      </c>
      <c r="K1184" s="1">
        <v>0</v>
      </c>
      <c r="L1184" s="1">
        <v>30000</v>
      </c>
      <c r="M1184" s="1" t="s">
        <v>1969</v>
      </c>
      <c r="N1184" s="1" t="s">
        <v>1080</v>
      </c>
      <c r="O1184" s="1">
        <v>0</v>
      </c>
      <c r="P1184" s="1" t="s">
        <v>2056</v>
      </c>
      <c r="Q1184" s="7" t="str">
        <f t="shared" si="23"/>
        <v>equipment/2213.png</v>
      </c>
      <c r="R1184" s="1">
        <v>0</v>
      </c>
    </row>
    <row r="1185" spans="1:18" ht="14.25" thickBot="1">
      <c r="A1185" s="1" t="s">
        <v>983</v>
      </c>
      <c r="B1185" s="3">
        <v>1</v>
      </c>
      <c r="C1185" s="9" t="s">
        <v>2620</v>
      </c>
      <c r="D1185" s="1" t="s">
        <v>13</v>
      </c>
      <c r="E1185" s="1">
        <v>6</v>
      </c>
      <c r="F1185" s="1">
        <v>3</v>
      </c>
      <c r="G1185" s="1">
        <v>55</v>
      </c>
      <c r="H1185" s="10" t="s">
        <v>2121</v>
      </c>
      <c r="I1185" s="1">
        <v>29000</v>
      </c>
      <c r="J1185" s="1">
        <v>20</v>
      </c>
      <c r="K1185" s="1">
        <v>0</v>
      </c>
      <c r="L1185" s="1">
        <v>32500</v>
      </c>
      <c r="M1185" s="1" t="s">
        <v>1970</v>
      </c>
      <c r="N1185" s="1" t="s">
        <v>1080</v>
      </c>
      <c r="O1185" s="1">
        <v>0</v>
      </c>
      <c r="P1185" s="1" t="s">
        <v>2056</v>
      </c>
      <c r="Q1185" s="7" t="str">
        <f t="shared" si="23"/>
        <v>equipment/2214.png</v>
      </c>
      <c r="R1185" s="1">
        <v>0</v>
      </c>
    </row>
    <row r="1186" spans="1:18" ht="14.25" thickBot="1">
      <c r="A1186" s="1" t="s">
        <v>984</v>
      </c>
      <c r="B1186" s="3">
        <v>1</v>
      </c>
      <c r="C1186" s="9" t="s">
        <v>2621</v>
      </c>
      <c r="D1186" s="1" t="s">
        <v>12</v>
      </c>
      <c r="E1186" s="1">
        <v>5</v>
      </c>
      <c r="F1186" s="1">
        <v>3</v>
      </c>
      <c r="G1186" s="1">
        <v>55</v>
      </c>
      <c r="H1186" s="10" t="s">
        <v>2122</v>
      </c>
      <c r="I1186" s="1">
        <v>27500</v>
      </c>
      <c r="J1186" s="1">
        <v>20</v>
      </c>
      <c r="K1186" s="1">
        <v>0</v>
      </c>
      <c r="L1186" s="1">
        <v>30000</v>
      </c>
      <c r="M1186" s="1" t="s">
        <v>2022</v>
      </c>
      <c r="N1186" s="1" t="s">
        <v>1080</v>
      </c>
      <c r="O1186" s="1">
        <v>0</v>
      </c>
      <c r="P1186" s="1" t="s">
        <v>2056</v>
      </c>
      <c r="Q1186" s="7" t="str">
        <f t="shared" si="23"/>
        <v>equipment/1321.png</v>
      </c>
      <c r="R1186" s="1">
        <v>0</v>
      </c>
    </row>
    <row r="1187" spans="1:18" ht="14.25" thickBot="1">
      <c r="A1187" s="1" t="s">
        <v>985</v>
      </c>
      <c r="B1187" s="2">
        <v>0</v>
      </c>
      <c r="C1187" s="9" t="s">
        <v>2497</v>
      </c>
      <c r="D1187" s="1" t="s">
        <v>12</v>
      </c>
      <c r="E1187" s="1">
        <v>5</v>
      </c>
      <c r="F1187" s="1">
        <v>3</v>
      </c>
      <c r="G1187" s="1">
        <v>55</v>
      </c>
      <c r="H1187" s="10" t="s">
        <v>2122</v>
      </c>
      <c r="I1187" s="1">
        <v>29000</v>
      </c>
      <c r="J1187" s="1">
        <v>20</v>
      </c>
      <c r="K1187" s="1">
        <v>0</v>
      </c>
      <c r="L1187" s="1">
        <v>32500</v>
      </c>
      <c r="M1187" s="1" t="s">
        <v>2023</v>
      </c>
      <c r="N1187" s="1" t="s">
        <v>1080</v>
      </c>
      <c r="O1187" s="1">
        <v>0</v>
      </c>
      <c r="P1187" s="1" t="s">
        <v>2056</v>
      </c>
      <c r="Q1187" s="7" t="str">
        <f t="shared" si="23"/>
        <v>equipment/1301.png</v>
      </c>
      <c r="R1187" s="1">
        <v>0</v>
      </c>
    </row>
    <row r="1188" spans="1:18" ht="14.25" thickBot="1">
      <c r="A1188" s="1" t="s">
        <v>986</v>
      </c>
      <c r="B1188" s="3">
        <v>1</v>
      </c>
      <c r="C1188" s="9" t="s">
        <v>2622</v>
      </c>
      <c r="D1188" s="1" t="s">
        <v>13</v>
      </c>
      <c r="E1188" s="1">
        <v>6</v>
      </c>
      <c r="F1188" s="1">
        <v>3</v>
      </c>
      <c r="G1188" s="1">
        <v>55</v>
      </c>
      <c r="H1188" s="10" t="s">
        <v>2122</v>
      </c>
      <c r="I1188" s="1">
        <v>27500</v>
      </c>
      <c r="J1188" s="1">
        <v>20</v>
      </c>
      <c r="K1188" s="1">
        <v>0</v>
      </c>
      <c r="L1188" s="1">
        <v>30000</v>
      </c>
      <c r="M1188" s="1" t="s">
        <v>1971</v>
      </c>
      <c r="N1188" s="1" t="s">
        <v>1080</v>
      </c>
      <c r="O1188" s="1">
        <v>0</v>
      </c>
      <c r="P1188" s="1" t="s">
        <v>2056</v>
      </c>
      <c r="Q1188" s="7" t="str">
        <f t="shared" si="23"/>
        <v>equipment/2313.png</v>
      </c>
      <c r="R1188" s="1">
        <v>0</v>
      </c>
    </row>
    <row r="1189" spans="1:18" ht="14.25" thickBot="1">
      <c r="A1189" s="1" t="s">
        <v>987</v>
      </c>
      <c r="B1189" s="3">
        <v>1</v>
      </c>
      <c r="C1189" s="9" t="s">
        <v>2623</v>
      </c>
      <c r="D1189" s="1" t="s">
        <v>13</v>
      </c>
      <c r="E1189" s="1">
        <v>6</v>
      </c>
      <c r="F1189" s="1">
        <v>3</v>
      </c>
      <c r="G1189" s="1">
        <v>55</v>
      </c>
      <c r="H1189" s="10" t="s">
        <v>2122</v>
      </c>
      <c r="I1189" s="1">
        <v>29000</v>
      </c>
      <c r="J1189" s="1">
        <v>20</v>
      </c>
      <c r="K1189" s="1">
        <v>0</v>
      </c>
      <c r="L1189" s="1">
        <v>32500</v>
      </c>
      <c r="M1189" s="1" t="s">
        <v>1972</v>
      </c>
      <c r="N1189" s="1" t="s">
        <v>1080</v>
      </c>
      <c r="O1189" s="1">
        <v>0</v>
      </c>
      <c r="P1189" s="1" t="s">
        <v>2056</v>
      </c>
      <c r="Q1189" s="7" t="str">
        <f t="shared" si="23"/>
        <v>equipment/2316.png</v>
      </c>
      <c r="R1189" s="1">
        <v>0</v>
      </c>
    </row>
    <row r="1190" spans="1:18" ht="14.25" thickBot="1">
      <c r="A1190" s="1" t="s">
        <v>988</v>
      </c>
      <c r="B1190" s="3">
        <v>1</v>
      </c>
      <c r="C1190" s="1" t="s">
        <v>2624</v>
      </c>
      <c r="D1190" s="1" t="s">
        <v>11</v>
      </c>
      <c r="E1190" s="1">
        <v>4</v>
      </c>
      <c r="F1190" s="1">
        <v>3</v>
      </c>
      <c r="G1190" s="1">
        <v>55</v>
      </c>
      <c r="H1190" s="10">
        <v>0</v>
      </c>
      <c r="I1190" s="1">
        <v>27500</v>
      </c>
      <c r="J1190" s="1">
        <v>20</v>
      </c>
      <c r="K1190" s="1">
        <v>0</v>
      </c>
      <c r="L1190" s="1">
        <v>30000</v>
      </c>
      <c r="M1190" s="1" t="s">
        <v>1973</v>
      </c>
      <c r="N1190" s="1" t="s">
        <v>1079</v>
      </c>
      <c r="O1190" s="1">
        <v>0</v>
      </c>
      <c r="P1190" s="1" t="s">
        <v>2056</v>
      </c>
      <c r="Q1190" s="7" t="str">
        <f t="shared" si="23"/>
        <v>equipment/5015.png</v>
      </c>
      <c r="R1190" s="1">
        <v>0</v>
      </c>
    </row>
    <row r="1191" spans="1:18" ht="14.25" thickBot="1">
      <c r="A1191" s="1" t="s">
        <v>989</v>
      </c>
      <c r="B1191" s="2">
        <v>0</v>
      </c>
      <c r="C1191" s="1" t="s">
        <v>2499</v>
      </c>
      <c r="D1191" s="1" t="s">
        <v>11</v>
      </c>
      <c r="E1191" s="1">
        <v>4</v>
      </c>
      <c r="F1191" s="1">
        <v>3</v>
      </c>
      <c r="G1191" s="1">
        <v>55</v>
      </c>
      <c r="H1191" s="10">
        <v>0</v>
      </c>
      <c r="I1191" s="1">
        <v>29000</v>
      </c>
      <c r="J1191" s="1">
        <v>20</v>
      </c>
      <c r="K1191" s="1">
        <v>0</v>
      </c>
      <c r="L1191" s="1">
        <v>32500</v>
      </c>
      <c r="M1191" s="1" t="s">
        <v>1974</v>
      </c>
      <c r="N1191" s="1" t="s">
        <v>1079</v>
      </c>
      <c r="O1191" s="1">
        <v>0</v>
      </c>
      <c r="P1191" s="1" t="s">
        <v>2056</v>
      </c>
      <c r="Q1191" s="7" t="str">
        <f t="shared" si="23"/>
        <v>equipment/5001.png</v>
      </c>
      <c r="R1191" s="1">
        <v>0</v>
      </c>
    </row>
    <row r="1192" spans="1:18" ht="14.25" thickBot="1">
      <c r="A1192" s="1" t="s">
        <v>990</v>
      </c>
      <c r="B1192" s="3">
        <v>1</v>
      </c>
      <c r="C1192" s="1" t="s">
        <v>2625</v>
      </c>
      <c r="D1192" s="1" t="s">
        <v>14</v>
      </c>
      <c r="E1192" s="1">
        <v>7</v>
      </c>
      <c r="F1192" s="1">
        <v>3</v>
      </c>
      <c r="G1192" s="1">
        <v>55</v>
      </c>
      <c r="H1192" s="10">
        <v>0</v>
      </c>
      <c r="I1192" s="1">
        <v>27500</v>
      </c>
      <c r="J1192" s="1">
        <v>20</v>
      </c>
      <c r="K1192" s="1">
        <v>0</v>
      </c>
      <c r="L1192" s="1">
        <v>30000</v>
      </c>
      <c r="M1192" s="1" t="s">
        <v>1960</v>
      </c>
      <c r="N1192" s="1" t="s">
        <v>1079</v>
      </c>
      <c r="O1192" s="1">
        <v>0</v>
      </c>
      <c r="P1192" s="1" t="s">
        <v>2056</v>
      </c>
      <c r="Q1192" s="7" t="str">
        <f t="shared" si="23"/>
        <v>equipment/7013.png</v>
      </c>
      <c r="R1192" s="1">
        <v>0</v>
      </c>
    </row>
    <row r="1193" spans="1:18" ht="14.25" thickBot="1">
      <c r="A1193" s="1" t="s">
        <v>991</v>
      </c>
      <c r="B1193" s="2">
        <v>0</v>
      </c>
      <c r="C1193" s="1" t="s">
        <v>2501</v>
      </c>
      <c r="D1193" s="1" t="s">
        <v>14</v>
      </c>
      <c r="E1193" s="1">
        <v>7</v>
      </c>
      <c r="F1193" s="1">
        <v>3</v>
      </c>
      <c r="G1193" s="1">
        <v>55</v>
      </c>
      <c r="H1193" s="10">
        <v>0</v>
      </c>
      <c r="I1193" s="1">
        <v>29000</v>
      </c>
      <c r="J1193" s="1">
        <v>20</v>
      </c>
      <c r="K1193" s="1">
        <v>0</v>
      </c>
      <c r="L1193" s="1">
        <v>32500</v>
      </c>
      <c r="M1193" s="1" t="s">
        <v>1961</v>
      </c>
      <c r="N1193" s="1" t="s">
        <v>1079</v>
      </c>
      <c r="O1193" s="1">
        <v>0</v>
      </c>
      <c r="P1193" s="1" t="s">
        <v>2056</v>
      </c>
      <c r="Q1193" s="7" t="str">
        <f t="shared" si="23"/>
        <v>equipment/7001.png</v>
      </c>
      <c r="R1193" s="1">
        <v>0</v>
      </c>
    </row>
    <row r="1194" spans="1:18" ht="14.25" thickBot="1">
      <c r="A1194" s="1" t="s">
        <v>992</v>
      </c>
      <c r="B1194" s="3">
        <v>1</v>
      </c>
      <c r="C1194" s="1" t="s">
        <v>2626</v>
      </c>
      <c r="D1194" s="1" t="s">
        <v>8</v>
      </c>
      <c r="E1194" s="1">
        <v>1</v>
      </c>
      <c r="F1194" s="1">
        <v>3</v>
      </c>
      <c r="G1194" s="1">
        <v>60</v>
      </c>
      <c r="H1194" s="10">
        <v>0</v>
      </c>
      <c r="I1194" s="1">
        <v>30000</v>
      </c>
      <c r="J1194" s="1">
        <v>20</v>
      </c>
      <c r="K1194" s="1">
        <v>0</v>
      </c>
      <c r="L1194" s="1">
        <v>32500</v>
      </c>
      <c r="M1194" s="1" t="s">
        <v>1975</v>
      </c>
      <c r="N1194" s="1" t="s">
        <v>1081</v>
      </c>
      <c r="O1194" s="1">
        <v>0</v>
      </c>
      <c r="P1194" s="1" t="s">
        <v>2057</v>
      </c>
      <c r="Q1194" s="7" t="str">
        <f t="shared" si="23"/>
        <v>equipment/3010.png</v>
      </c>
      <c r="R1194" s="1">
        <v>0</v>
      </c>
    </row>
    <row r="1195" spans="1:18" ht="14.25" thickBot="1">
      <c r="A1195" s="1" t="s">
        <v>993</v>
      </c>
      <c r="B1195" s="3">
        <v>1</v>
      </c>
      <c r="C1195" s="1" t="s">
        <v>2627</v>
      </c>
      <c r="D1195" s="1" t="s">
        <v>9</v>
      </c>
      <c r="E1195" s="1">
        <v>2</v>
      </c>
      <c r="F1195" s="1">
        <v>3</v>
      </c>
      <c r="G1195" s="1">
        <v>60</v>
      </c>
      <c r="H1195" s="10">
        <v>0</v>
      </c>
      <c r="I1195" s="1">
        <v>30000</v>
      </c>
      <c r="J1195" s="1">
        <v>20</v>
      </c>
      <c r="K1195" s="1">
        <v>0</v>
      </c>
      <c r="L1195" s="1">
        <v>32500</v>
      </c>
      <c r="M1195" s="1" t="s">
        <v>1976</v>
      </c>
      <c r="N1195" s="1" t="s">
        <v>1081</v>
      </c>
      <c r="O1195" s="1">
        <v>0</v>
      </c>
      <c r="P1195" s="1" t="s">
        <v>2057</v>
      </c>
      <c r="Q1195" s="7" t="str">
        <f t="shared" si="23"/>
        <v>equipment/14010.png</v>
      </c>
      <c r="R1195" s="1">
        <v>0</v>
      </c>
    </row>
    <row r="1196" spans="1:18" ht="14.25" thickBot="1">
      <c r="A1196" s="1" t="s">
        <v>994</v>
      </c>
      <c r="B1196" s="3">
        <v>1</v>
      </c>
      <c r="C1196" s="1" t="s">
        <v>2628</v>
      </c>
      <c r="D1196" s="1" t="s">
        <v>10</v>
      </c>
      <c r="E1196" s="1">
        <v>3</v>
      </c>
      <c r="F1196" s="1">
        <v>3</v>
      </c>
      <c r="G1196" s="1">
        <v>60</v>
      </c>
      <c r="H1196" s="10">
        <v>0</v>
      </c>
      <c r="I1196" s="1">
        <v>30000</v>
      </c>
      <c r="J1196" s="1">
        <v>20</v>
      </c>
      <c r="K1196" s="1">
        <v>0</v>
      </c>
      <c r="L1196" s="1">
        <v>32500</v>
      </c>
      <c r="M1196" s="1" t="s">
        <v>1964</v>
      </c>
      <c r="N1196" s="1" t="s">
        <v>1081</v>
      </c>
      <c r="O1196" s="1">
        <v>0</v>
      </c>
      <c r="P1196" s="1" t="s">
        <v>2057</v>
      </c>
      <c r="Q1196" s="7" t="str">
        <f t="shared" si="23"/>
        <v>equipment/6010.png</v>
      </c>
      <c r="R1196" s="1">
        <v>0</v>
      </c>
    </row>
    <row r="1197" spans="1:18" ht="14.25" thickBot="1">
      <c r="A1197" s="1" t="s">
        <v>995</v>
      </c>
      <c r="B1197" s="3">
        <v>1</v>
      </c>
      <c r="C1197" s="1" t="s">
        <v>2629</v>
      </c>
      <c r="D1197" s="1" t="s">
        <v>15</v>
      </c>
      <c r="E1197" s="1">
        <v>8</v>
      </c>
      <c r="F1197" s="1">
        <v>3</v>
      </c>
      <c r="G1197" s="1">
        <v>60</v>
      </c>
      <c r="H1197" s="10">
        <v>0</v>
      </c>
      <c r="I1197" s="1">
        <v>30000</v>
      </c>
      <c r="J1197" s="1">
        <v>20</v>
      </c>
      <c r="K1197" s="1">
        <v>0</v>
      </c>
      <c r="L1197" s="1">
        <v>32500</v>
      </c>
      <c r="M1197" s="1" t="s">
        <v>1977</v>
      </c>
      <c r="N1197" s="1" t="s">
        <v>1081</v>
      </c>
      <c r="O1197" s="1">
        <v>0</v>
      </c>
      <c r="P1197" s="1" t="s">
        <v>2057</v>
      </c>
      <c r="Q1197" s="7" t="str">
        <f t="shared" si="23"/>
        <v>equipment/8010.png</v>
      </c>
      <c r="R1197" s="1">
        <v>0</v>
      </c>
    </row>
    <row r="1198" spans="1:18" ht="14.25" thickBot="1">
      <c r="A1198" s="1" t="s">
        <v>996</v>
      </c>
      <c r="B1198" s="3">
        <v>1</v>
      </c>
      <c r="C1198" s="1" t="s">
        <v>2630</v>
      </c>
      <c r="D1198" s="1" t="s">
        <v>16</v>
      </c>
      <c r="E1198" s="1">
        <v>9</v>
      </c>
      <c r="F1198" s="1">
        <v>3</v>
      </c>
      <c r="G1198" s="1">
        <v>60</v>
      </c>
      <c r="H1198" s="10">
        <v>0</v>
      </c>
      <c r="I1198" s="1">
        <v>30000</v>
      </c>
      <c r="J1198" s="1">
        <v>20</v>
      </c>
      <c r="K1198" s="1">
        <v>0</v>
      </c>
      <c r="L1198" s="1">
        <v>32500</v>
      </c>
      <c r="M1198" s="1" t="s">
        <v>1978</v>
      </c>
      <c r="N1198" s="1" t="s">
        <v>1081</v>
      </c>
      <c r="O1198" s="1">
        <v>0</v>
      </c>
      <c r="P1198" s="1" t="s">
        <v>2057</v>
      </c>
      <c r="Q1198" s="7" t="str">
        <f t="shared" si="23"/>
        <v>equipment/10010.png</v>
      </c>
      <c r="R1198" s="1">
        <v>0</v>
      </c>
    </row>
    <row r="1199" spans="1:18" ht="14.25" thickBot="1">
      <c r="A1199" s="1" t="s">
        <v>997</v>
      </c>
      <c r="B1199" s="3">
        <v>1</v>
      </c>
      <c r="C1199" s="1" t="s">
        <v>2631</v>
      </c>
      <c r="D1199" s="1" t="s">
        <v>17</v>
      </c>
      <c r="E1199" s="1">
        <v>10</v>
      </c>
      <c r="F1199" s="1">
        <v>3</v>
      </c>
      <c r="G1199" s="1">
        <v>60</v>
      </c>
      <c r="H1199" s="10">
        <v>0</v>
      </c>
      <c r="I1199" s="1">
        <v>30000</v>
      </c>
      <c r="J1199" s="1">
        <v>20</v>
      </c>
      <c r="K1199" s="1">
        <v>0</v>
      </c>
      <c r="L1199" s="1">
        <v>32500</v>
      </c>
      <c r="M1199" s="1" t="s">
        <v>1979</v>
      </c>
      <c r="N1199" s="1" t="s">
        <v>1081</v>
      </c>
      <c r="O1199" s="1">
        <v>0</v>
      </c>
      <c r="P1199" s="1" t="s">
        <v>2057</v>
      </c>
      <c r="Q1199" s="7" t="str">
        <f t="shared" si="23"/>
        <v>equipment/12010.png</v>
      </c>
      <c r="R1199" s="1">
        <v>0</v>
      </c>
    </row>
    <row r="1200" spans="1:18" ht="14.25" thickBot="1">
      <c r="A1200" s="1" t="s">
        <v>998</v>
      </c>
      <c r="B1200" s="3">
        <v>1</v>
      </c>
      <c r="C1200" s="9" t="s">
        <v>2632</v>
      </c>
      <c r="D1200" s="1" t="s">
        <v>12</v>
      </c>
      <c r="E1200" s="1">
        <v>5</v>
      </c>
      <c r="F1200" s="1">
        <v>3</v>
      </c>
      <c r="G1200" s="1">
        <v>60</v>
      </c>
      <c r="H1200" s="10" t="s">
        <v>2120</v>
      </c>
      <c r="I1200" s="1">
        <v>30000</v>
      </c>
      <c r="J1200" s="1">
        <v>20</v>
      </c>
      <c r="K1200" s="1">
        <v>0</v>
      </c>
      <c r="L1200" s="1">
        <v>32500</v>
      </c>
      <c r="M1200" s="1" t="s">
        <v>1980</v>
      </c>
      <c r="N1200" s="1" t="s">
        <v>1082</v>
      </c>
      <c r="O1200" s="1">
        <v>0</v>
      </c>
      <c r="P1200" s="1" t="s">
        <v>2057</v>
      </c>
      <c r="Q1200" s="7" t="str">
        <f t="shared" si="23"/>
        <v>equipment/1118.png</v>
      </c>
      <c r="R1200" s="1">
        <v>0</v>
      </c>
    </row>
    <row r="1201" spans="1:18" ht="14.25" thickBot="1">
      <c r="A1201" s="1" t="s">
        <v>999</v>
      </c>
      <c r="B1201" s="3">
        <v>1</v>
      </c>
      <c r="C1201" s="9" t="s">
        <v>2633</v>
      </c>
      <c r="D1201" s="1" t="s">
        <v>12</v>
      </c>
      <c r="E1201" s="1">
        <v>5</v>
      </c>
      <c r="F1201" s="1">
        <v>3</v>
      </c>
      <c r="G1201" s="1">
        <v>60</v>
      </c>
      <c r="H1201" s="10" t="s">
        <v>2120</v>
      </c>
      <c r="I1201" s="1">
        <v>31500</v>
      </c>
      <c r="J1201" s="1">
        <v>20</v>
      </c>
      <c r="K1201" s="1">
        <v>0</v>
      </c>
      <c r="L1201" s="1">
        <v>35000</v>
      </c>
      <c r="M1201" s="1" t="s">
        <v>1981</v>
      </c>
      <c r="N1201" s="1" t="s">
        <v>1082</v>
      </c>
      <c r="O1201" s="1">
        <v>0</v>
      </c>
      <c r="P1201" s="1" t="s">
        <v>2057</v>
      </c>
      <c r="Q1201" s="7" t="str">
        <f t="shared" si="23"/>
        <v>equipment/1122.png</v>
      </c>
      <c r="R1201" s="1">
        <v>0</v>
      </c>
    </row>
    <row r="1202" spans="1:18" ht="14.25" thickBot="1">
      <c r="A1202" s="1" t="s">
        <v>1000</v>
      </c>
      <c r="B1202" s="3">
        <v>1</v>
      </c>
      <c r="C1202" s="9" t="s">
        <v>2634</v>
      </c>
      <c r="D1202" s="1" t="s">
        <v>13</v>
      </c>
      <c r="E1202" s="1">
        <v>6</v>
      </c>
      <c r="F1202" s="1">
        <v>3</v>
      </c>
      <c r="G1202" s="1">
        <v>60</v>
      </c>
      <c r="H1202" s="10" t="s">
        <v>2120</v>
      </c>
      <c r="I1202" s="1">
        <v>30000</v>
      </c>
      <c r="J1202" s="1">
        <v>20</v>
      </c>
      <c r="K1202" s="1">
        <v>0</v>
      </c>
      <c r="L1202" s="1">
        <v>32500</v>
      </c>
      <c r="M1202" s="1" t="s">
        <v>1982</v>
      </c>
      <c r="N1202" s="1" t="s">
        <v>1082</v>
      </c>
      <c r="O1202" s="1">
        <v>0</v>
      </c>
      <c r="P1202" s="1" t="s">
        <v>2057</v>
      </c>
      <c r="Q1202" s="7" t="str">
        <f t="shared" si="23"/>
        <v>equipment/2115.png</v>
      </c>
      <c r="R1202" s="1">
        <v>0</v>
      </c>
    </row>
    <row r="1203" spans="1:18" ht="14.25" thickBot="1">
      <c r="A1203" s="1" t="s">
        <v>1001</v>
      </c>
      <c r="B1203" s="2">
        <v>0</v>
      </c>
      <c r="C1203" s="9" t="s">
        <v>2061</v>
      </c>
      <c r="D1203" s="1" t="s">
        <v>13</v>
      </c>
      <c r="E1203" s="1">
        <v>6</v>
      </c>
      <c r="F1203" s="1">
        <v>3</v>
      </c>
      <c r="G1203" s="1">
        <v>60</v>
      </c>
      <c r="H1203" s="10" t="s">
        <v>2120</v>
      </c>
      <c r="I1203" s="1">
        <v>31500</v>
      </c>
      <c r="J1203" s="1">
        <v>20</v>
      </c>
      <c r="K1203" s="1">
        <v>0</v>
      </c>
      <c r="L1203" s="1">
        <v>35000</v>
      </c>
      <c r="M1203" s="1" t="s">
        <v>1983</v>
      </c>
      <c r="N1203" s="1" t="s">
        <v>1082</v>
      </c>
      <c r="O1203" s="1">
        <v>0</v>
      </c>
      <c r="P1203" s="1" t="s">
        <v>2057</v>
      </c>
      <c r="Q1203" s="7" t="str">
        <f t="shared" si="23"/>
        <v>equipment/2101.png</v>
      </c>
      <c r="R1203" s="1">
        <v>0</v>
      </c>
    </row>
    <row r="1204" spans="1:18" ht="14.25" thickBot="1">
      <c r="A1204" s="1" t="s">
        <v>1002</v>
      </c>
      <c r="B1204" s="3">
        <v>1</v>
      </c>
      <c r="C1204" s="1" t="s">
        <v>2635</v>
      </c>
      <c r="D1204" s="1" t="s">
        <v>12</v>
      </c>
      <c r="E1204" s="1">
        <v>5</v>
      </c>
      <c r="F1204" s="1">
        <v>3</v>
      </c>
      <c r="G1204" s="1">
        <v>60</v>
      </c>
      <c r="H1204" s="10" t="s">
        <v>2121</v>
      </c>
      <c r="I1204" s="1">
        <v>30000</v>
      </c>
      <c r="J1204" s="1">
        <v>20</v>
      </c>
      <c r="K1204" s="1">
        <v>0</v>
      </c>
      <c r="L1204" s="1">
        <v>32500</v>
      </c>
      <c r="M1204" s="1" t="s">
        <v>1980</v>
      </c>
      <c r="N1204" s="1" t="s">
        <v>1082</v>
      </c>
      <c r="O1204" s="1">
        <v>0</v>
      </c>
      <c r="P1204" s="1" t="s">
        <v>2057</v>
      </c>
      <c r="Q1204" s="7" t="str">
        <f t="shared" si="23"/>
        <v>equipment/1220.png</v>
      </c>
      <c r="R1204" s="1">
        <v>0</v>
      </c>
    </row>
    <row r="1205" spans="1:18" ht="14.25" thickBot="1">
      <c r="A1205" s="1" t="s">
        <v>1003</v>
      </c>
      <c r="B1205" s="2">
        <v>0</v>
      </c>
      <c r="C1205" s="1" t="s">
        <v>2494</v>
      </c>
      <c r="D1205" s="1" t="s">
        <v>12</v>
      </c>
      <c r="E1205" s="1">
        <v>5</v>
      </c>
      <c r="F1205" s="1">
        <v>3</v>
      </c>
      <c r="G1205" s="1">
        <v>60</v>
      </c>
      <c r="H1205" s="10" t="s">
        <v>2121</v>
      </c>
      <c r="I1205" s="1">
        <v>31500</v>
      </c>
      <c r="J1205" s="1">
        <v>20</v>
      </c>
      <c r="K1205" s="1">
        <v>0</v>
      </c>
      <c r="L1205" s="1">
        <v>35000</v>
      </c>
      <c r="M1205" s="1" t="s">
        <v>1981</v>
      </c>
      <c r="N1205" s="1" t="s">
        <v>1082</v>
      </c>
      <c r="O1205" s="1">
        <v>0</v>
      </c>
      <c r="P1205" s="1" t="s">
        <v>2057</v>
      </c>
      <c r="Q1205" s="7" t="str">
        <f t="shared" si="23"/>
        <v>equipment/1201.png</v>
      </c>
      <c r="R1205" s="1">
        <v>0</v>
      </c>
    </row>
    <row r="1206" spans="1:18" ht="14.25" thickBot="1">
      <c r="A1206" s="1" t="s">
        <v>1004</v>
      </c>
      <c r="B1206" s="3">
        <v>1</v>
      </c>
      <c r="C1206" s="9" t="s">
        <v>2636</v>
      </c>
      <c r="D1206" s="1" t="s">
        <v>13</v>
      </c>
      <c r="E1206" s="1">
        <v>6</v>
      </c>
      <c r="F1206" s="1">
        <v>3</v>
      </c>
      <c r="G1206" s="1">
        <v>60</v>
      </c>
      <c r="H1206" s="10" t="s">
        <v>2121</v>
      </c>
      <c r="I1206" s="1">
        <v>30000</v>
      </c>
      <c r="J1206" s="1">
        <v>20</v>
      </c>
      <c r="K1206" s="1">
        <v>0</v>
      </c>
      <c r="L1206" s="1">
        <v>32500</v>
      </c>
      <c r="M1206" s="1" t="s">
        <v>1984</v>
      </c>
      <c r="N1206" s="1" t="s">
        <v>1082</v>
      </c>
      <c r="O1206" s="1">
        <v>0</v>
      </c>
      <c r="P1206" s="1" t="s">
        <v>2057</v>
      </c>
      <c r="Q1206" s="7" t="str">
        <f t="shared" si="23"/>
        <v>equipment/2215.png</v>
      </c>
      <c r="R1206" s="1">
        <v>0</v>
      </c>
    </row>
    <row r="1207" spans="1:18" ht="14.25" thickBot="1">
      <c r="A1207" s="1" t="s">
        <v>1005</v>
      </c>
      <c r="B1207" s="2">
        <v>0</v>
      </c>
      <c r="C1207" s="9" t="s">
        <v>2094</v>
      </c>
      <c r="D1207" s="1" t="s">
        <v>13</v>
      </c>
      <c r="E1207" s="1">
        <v>6</v>
      </c>
      <c r="F1207" s="1">
        <v>3</v>
      </c>
      <c r="G1207" s="1">
        <v>60</v>
      </c>
      <c r="H1207" s="10" t="s">
        <v>2121</v>
      </c>
      <c r="I1207" s="1">
        <v>31500</v>
      </c>
      <c r="J1207" s="1">
        <v>20</v>
      </c>
      <c r="K1207" s="1">
        <v>0</v>
      </c>
      <c r="L1207" s="1">
        <v>35000</v>
      </c>
      <c r="M1207" s="1" t="s">
        <v>1985</v>
      </c>
      <c r="N1207" s="1" t="s">
        <v>1082</v>
      </c>
      <c r="O1207" s="1">
        <v>0</v>
      </c>
      <c r="P1207" s="1" t="s">
        <v>2057</v>
      </c>
      <c r="Q1207" s="7" t="str">
        <f t="shared" si="23"/>
        <v>equipment/2201.png</v>
      </c>
      <c r="R1207" s="1">
        <v>0</v>
      </c>
    </row>
    <row r="1208" spans="1:18" ht="14.25" thickBot="1">
      <c r="A1208" s="1" t="s">
        <v>1006</v>
      </c>
      <c r="B1208" s="3">
        <v>1</v>
      </c>
      <c r="C1208" s="9" t="s">
        <v>2637</v>
      </c>
      <c r="D1208" s="1" t="s">
        <v>12</v>
      </c>
      <c r="E1208" s="1">
        <v>5</v>
      </c>
      <c r="F1208" s="1">
        <v>3</v>
      </c>
      <c r="G1208" s="1">
        <v>60</v>
      </c>
      <c r="H1208" s="10" t="s">
        <v>2122</v>
      </c>
      <c r="I1208" s="1">
        <v>30000</v>
      </c>
      <c r="J1208" s="1">
        <v>20</v>
      </c>
      <c r="K1208" s="1">
        <v>0</v>
      </c>
      <c r="L1208" s="1">
        <v>32500</v>
      </c>
      <c r="M1208" s="1" t="s">
        <v>1980</v>
      </c>
      <c r="N1208" s="1" t="s">
        <v>1082</v>
      </c>
      <c r="O1208" s="1">
        <v>0</v>
      </c>
      <c r="P1208" s="1" t="s">
        <v>2057</v>
      </c>
      <c r="Q1208" s="7" t="str">
        <f t="shared" si="23"/>
        <v>equipment/1322.png</v>
      </c>
      <c r="R1208" s="1">
        <v>0</v>
      </c>
    </row>
    <row r="1209" spans="1:18" ht="14.25" thickBot="1">
      <c r="A1209" s="1" t="s">
        <v>1007</v>
      </c>
      <c r="B1209" s="2">
        <v>0</v>
      </c>
      <c r="C1209" s="9" t="s">
        <v>2638</v>
      </c>
      <c r="D1209" s="1" t="s">
        <v>12</v>
      </c>
      <c r="E1209" s="1">
        <v>5</v>
      </c>
      <c r="F1209" s="1">
        <v>3</v>
      </c>
      <c r="G1209" s="1">
        <v>60</v>
      </c>
      <c r="H1209" s="10" t="s">
        <v>2122</v>
      </c>
      <c r="I1209" s="1">
        <v>31500</v>
      </c>
      <c r="J1209" s="1">
        <v>20</v>
      </c>
      <c r="K1209" s="1">
        <v>0</v>
      </c>
      <c r="L1209" s="1">
        <v>35000</v>
      </c>
      <c r="M1209" s="1" t="s">
        <v>1981</v>
      </c>
      <c r="N1209" s="1" t="s">
        <v>1082</v>
      </c>
      <c r="O1209" s="1">
        <v>0</v>
      </c>
      <c r="P1209" s="1" t="s">
        <v>2057</v>
      </c>
      <c r="Q1209" s="7" t="str">
        <f t="shared" si="23"/>
        <v>equipment/1301.png</v>
      </c>
      <c r="R1209" s="1">
        <v>0</v>
      </c>
    </row>
    <row r="1210" spans="1:18" ht="14.25" thickBot="1">
      <c r="A1210" s="1" t="s">
        <v>1008</v>
      </c>
      <c r="B1210" s="3">
        <v>1</v>
      </c>
      <c r="C1210" s="9" t="s">
        <v>2639</v>
      </c>
      <c r="D1210" s="1" t="s">
        <v>13</v>
      </c>
      <c r="E1210" s="1">
        <v>6</v>
      </c>
      <c r="F1210" s="1">
        <v>3</v>
      </c>
      <c r="G1210" s="1">
        <v>60</v>
      </c>
      <c r="H1210" s="10" t="s">
        <v>2122</v>
      </c>
      <c r="I1210" s="1">
        <v>30000</v>
      </c>
      <c r="J1210" s="1">
        <v>20</v>
      </c>
      <c r="K1210" s="1">
        <v>0</v>
      </c>
      <c r="L1210" s="1">
        <v>32500</v>
      </c>
      <c r="M1210" s="1" t="s">
        <v>1986</v>
      </c>
      <c r="N1210" s="1" t="s">
        <v>1082</v>
      </c>
      <c r="O1210" s="1">
        <v>0</v>
      </c>
      <c r="P1210" s="1" t="s">
        <v>2057</v>
      </c>
      <c r="Q1210" s="7" t="str">
        <f t="shared" si="23"/>
        <v>equipment/2315.png</v>
      </c>
      <c r="R1210" s="1">
        <v>0</v>
      </c>
    </row>
    <row r="1211" spans="1:18" ht="14.25" thickBot="1">
      <c r="A1211" s="1" t="s">
        <v>1009</v>
      </c>
      <c r="B1211" s="2">
        <v>0</v>
      </c>
      <c r="C1211" s="9" t="s">
        <v>2095</v>
      </c>
      <c r="D1211" s="1" t="s">
        <v>13</v>
      </c>
      <c r="E1211" s="1">
        <v>6</v>
      </c>
      <c r="F1211" s="1">
        <v>3</v>
      </c>
      <c r="G1211" s="1">
        <v>60</v>
      </c>
      <c r="H1211" s="10" t="s">
        <v>2122</v>
      </c>
      <c r="I1211" s="1">
        <v>31500</v>
      </c>
      <c r="J1211" s="1">
        <v>20</v>
      </c>
      <c r="K1211" s="1">
        <v>0</v>
      </c>
      <c r="L1211" s="1">
        <v>35000</v>
      </c>
      <c r="M1211" s="1" t="s">
        <v>1987</v>
      </c>
      <c r="N1211" s="1" t="s">
        <v>1082</v>
      </c>
      <c r="O1211" s="1">
        <v>0</v>
      </c>
      <c r="P1211" s="1" t="s">
        <v>2057</v>
      </c>
      <c r="Q1211" s="7" t="str">
        <f t="shared" si="23"/>
        <v>equipment/2301.png</v>
      </c>
      <c r="R1211" s="1">
        <v>0</v>
      </c>
    </row>
    <row r="1212" spans="1:18" ht="14.25" thickBot="1">
      <c r="A1212" s="1" t="s">
        <v>1010</v>
      </c>
      <c r="B1212" s="3">
        <v>1</v>
      </c>
      <c r="C1212" s="1" t="s">
        <v>2640</v>
      </c>
      <c r="D1212" s="1" t="s">
        <v>11</v>
      </c>
      <c r="E1212" s="1">
        <v>4</v>
      </c>
      <c r="F1212" s="1">
        <v>3</v>
      </c>
      <c r="G1212" s="1">
        <v>60</v>
      </c>
      <c r="H1212" s="10">
        <v>0</v>
      </c>
      <c r="I1212" s="1">
        <v>30000</v>
      </c>
      <c r="J1212" s="1">
        <v>20</v>
      </c>
      <c r="K1212" s="1">
        <v>0</v>
      </c>
      <c r="L1212" s="1">
        <v>32500</v>
      </c>
      <c r="M1212" s="1" t="s">
        <v>1988</v>
      </c>
      <c r="N1212" s="1" t="s">
        <v>1081</v>
      </c>
      <c r="O1212" s="1">
        <v>0</v>
      </c>
      <c r="P1212" s="1" t="s">
        <v>2057</v>
      </c>
      <c r="Q1212" s="7" t="str">
        <f t="shared" si="23"/>
        <v>equipment/5016.png</v>
      </c>
      <c r="R1212" s="1">
        <v>0</v>
      </c>
    </row>
    <row r="1213" spans="1:18" ht="14.25" thickBot="1">
      <c r="A1213" s="1" t="s">
        <v>1011</v>
      </c>
      <c r="B1213" s="2">
        <v>0</v>
      </c>
      <c r="C1213" s="1" t="s">
        <v>2641</v>
      </c>
      <c r="D1213" s="1" t="s">
        <v>11</v>
      </c>
      <c r="E1213" s="1">
        <v>4</v>
      </c>
      <c r="F1213" s="1">
        <v>3</v>
      </c>
      <c r="G1213" s="1">
        <v>60</v>
      </c>
      <c r="H1213" s="10">
        <v>0</v>
      </c>
      <c r="I1213" s="1">
        <v>31500</v>
      </c>
      <c r="J1213" s="1">
        <v>20</v>
      </c>
      <c r="K1213" s="1">
        <v>0</v>
      </c>
      <c r="L1213" s="1">
        <v>35000</v>
      </c>
      <c r="M1213" s="1" t="s">
        <v>1989</v>
      </c>
      <c r="N1213" s="1" t="s">
        <v>1081</v>
      </c>
      <c r="O1213" s="1">
        <v>0</v>
      </c>
      <c r="P1213" s="1" t="s">
        <v>2057</v>
      </c>
      <c r="Q1213" s="7" t="str">
        <f t="shared" si="23"/>
        <v>equipment/5001.png</v>
      </c>
      <c r="R1213" s="1">
        <v>0</v>
      </c>
    </row>
    <row r="1214" spans="1:18" ht="14.25" thickBot="1">
      <c r="A1214" s="1" t="s">
        <v>1012</v>
      </c>
      <c r="B1214" s="3">
        <v>1</v>
      </c>
      <c r="C1214" s="1" t="s">
        <v>2642</v>
      </c>
      <c r="D1214" s="1" t="s">
        <v>14</v>
      </c>
      <c r="E1214" s="1">
        <v>7</v>
      </c>
      <c r="F1214" s="1">
        <v>3</v>
      </c>
      <c r="G1214" s="1">
        <v>60</v>
      </c>
      <c r="H1214" s="10">
        <v>0</v>
      </c>
      <c r="I1214" s="1">
        <v>30000</v>
      </c>
      <c r="J1214" s="1">
        <v>20</v>
      </c>
      <c r="K1214" s="1">
        <v>0</v>
      </c>
      <c r="L1214" s="1">
        <v>32500</v>
      </c>
      <c r="M1214" s="1" t="s">
        <v>1990</v>
      </c>
      <c r="N1214" s="1" t="s">
        <v>1081</v>
      </c>
      <c r="O1214" s="1">
        <v>0</v>
      </c>
      <c r="P1214" s="1" t="s">
        <v>2057</v>
      </c>
      <c r="Q1214" s="7" t="str">
        <f t="shared" si="23"/>
        <v>equipment/7014.png</v>
      </c>
      <c r="R1214" s="1">
        <v>0</v>
      </c>
    </row>
    <row r="1215" spans="1:18" ht="14.25" thickBot="1">
      <c r="A1215" s="1" t="s">
        <v>1013</v>
      </c>
      <c r="B1215" s="3">
        <v>1</v>
      </c>
      <c r="C1215" s="1" t="s">
        <v>2643</v>
      </c>
      <c r="D1215" s="1" t="s">
        <v>14</v>
      </c>
      <c r="E1215" s="1">
        <v>7</v>
      </c>
      <c r="F1215" s="1">
        <v>3</v>
      </c>
      <c r="G1215" s="1">
        <v>60</v>
      </c>
      <c r="H1215" s="10">
        <v>0</v>
      </c>
      <c r="I1215" s="1">
        <v>31500</v>
      </c>
      <c r="J1215" s="1">
        <v>20</v>
      </c>
      <c r="K1215" s="1">
        <v>0</v>
      </c>
      <c r="L1215" s="1">
        <v>35000</v>
      </c>
      <c r="M1215" s="1" t="s">
        <v>1991</v>
      </c>
      <c r="N1215" s="1" t="s">
        <v>1081</v>
      </c>
      <c r="O1215" s="1">
        <v>0</v>
      </c>
      <c r="P1215" s="1" t="s">
        <v>2057</v>
      </c>
      <c r="Q1215" s="7" t="str">
        <f t="shared" si="23"/>
        <v>equipment/7015.png</v>
      </c>
      <c r="R1215" s="1">
        <v>0</v>
      </c>
    </row>
    <row r="1216" spans="1:18" ht="14.25" thickBot="1">
      <c r="A1216" s="1" t="s">
        <v>1014</v>
      </c>
      <c r="B1216" s="3">
        <v>1</v>
      </c>
      <c r="C1216" s="1" t="s">
        <v>2066</v>
      </c>
      <c r="D1216" s="1" t="s">
        <v>8</v>
      </c>
      <c r="E1216" s="1">
        <v>1</v>
      </c>
      <c r="F1216" s="1">
        <v>3</v>
      </c>
      <c r="G1216" s="1">
        <v>65</v>
      </c>
      <c r="H1216" s="10">
        <v>0</v>
      </c>
      <c r="I1216" s="1">
        <v>32500</v>
      </c>
      <c r="J1216" s="1">
        <v>20</v>
      </c>
      <c r="K1216" s="1">
        <v>0</v>
      </c>
      <c r="L1216" s="1">
        <v>35000</v>
      </c>
      <c r="M1216" s="1" t="s">
        <v>1992</v>
      </c>
      <c r="N1216" s="1" t="s">
        <v>1083</v>
      </c>
      <c r="O1216" s="1">
        <v>0</v>
      </c>
      <c r="P1216" s="1" t="s">
        <v>2058</v>
      </c>
      <c r="Q1216" s="7" t="str">
        <f t="shared" si="23"/>
        <v>equipment/3011.png</v>
      </c>
      <c r="R1216" s="1">
        <v>0</v>
      </c>
    </row>
    <row r="1217" spans="1:18" ht="14.25" thickBot="1">
      <c r="A1217" s="1" t="s">
        <v>1015</v>
      </c>
      <c r="B1217" s="3">
        <v>1</v>
      </c>
      <c r="C1217" s="1" t="s">
        <v>2644</v>
      </c>
      <c r="D1217" s="1" t="s">
        <v>9</v>
      </c>
      <c r="E1217" s="1">
        <v>2</v>
      </c>
      <c r="F1217" s="1">
        <v>3</v>
      </c>
      <c r="G1217" s="1">
        <v>65</v>
      </c>
      <c r="H1217" s="10">
        <v>0</v>
      </c>
      <c r="I1217" s="1">
        <v>32500</v>
      </c>
      <c r="J1217" s="1">
        <v>20</v>
      </c>
      <c r="K1217" s="1">
        <v>0</v>
      </c>
      <c r="L1217" s="1">
        <v>35000</v>
      </c>
      <c r="M1217" s="1" t="s">
        <v>1993</v>
      </c>
      <c r="N1217" s="1" t="s">
        <v>1083</v>
      </c>
      <c r="O1217" s="1">
        <v>0</v>
      </c>
      <c r="P1217" s="1" t="s">
        <v>2058</v>
      </c>
      <c r="Q1217" s="7" t="str">
        <f t="shared" si="23"/>
        <v>equipment/14011.png</v>
      </c>
      <c r="R1217" s="1">
        <v>0</v>
      </c>
    </row>
    <row r="1218" spans="1:18" ht="14.25" thickBot="1">
      <c r="A1218" s="1" t="s">
        <v>1016</v>
      </c>
      <c r="B1218" s="3">
        <v>1</v>
      </c>
      <c r="C1218" s="1" t="s">
        <v>2645</v>
      </c>
      <c r="D1218" s="1" t="s">
        <v>10</v>
      </c>
      <c r="E1218" s="1">
        <v>3</v>
      </c>
      <c r="F1218" s="1">
        <v>3</v>
      </c>
      <c r="G1218" s="1">
        <v>65</v>
      </c>
      <c r="H1218" s="10">
        <v>0</v>
      </c>
      <c r="I1218" s="1">
        <v>32500</v>
      </c>
      <c r="J1218" s="1">
        <v>20</v>
      </c>
      <c r="K1218" s="1">
        <v>0</v>
      </c>
      <c r="L1218" s="1">
        <v>35000</v>
      </c>
      <c r="M1218" s="1" t="s">
        <v>1994</v>
      </c>
      <c r="N1218" s="1" t="s">
        <v>1083</v>
      </c>
      <c r="O1218" s="1">
        <v>0</v>
      </c>
      <c r="P1218" s="1" t="s">
        <v>2058</v>
      </c>
      <c r="Q1218" s="7" t="str">
        <f t="shared" si="23"/>
        <v>equipment/6011.png</v>
      </c>
      <c r="R1218" s="1">
        <v>0</v>
      </c>
    </row>
    <row r="1219" spans="1:18" ht="14.25" thickBot="1">
      <c r="A1219" s="1" t="s">
        <v>1017</v>
      </c>
      <c r="B1219" s="3">
        <v>1</v>
      </c>
      <c r="C1219" s="1" t="s">
        <v>2646</v>
      </c>
      <c r="D1219" s="1" t="s">
        <v>15</v>
      </c>
      <c r="E1219" s="1">
        <v>8</v>
      </c>
      <c r="F1219" s="1">
        <v>3</v>
      </c>
      <c r="G1219" s="1">
        <v>65</v>
      </c>
      <c r="H1219" s="10">
        <v>0</v>
      </c>
      <c r="I1219" s="1">
        <v>32500</v>
      </c>
      <c r="J1219" s="1">
        <v>20</v>
      </c>
      <c r="K1219" s="1">
        <v>0</v>
      </c>
      <c r="L1219" s="1">
        <v>35000</v>
      </c>
      <c r="M1219" s="1" t="s">
        <v>1995</v>
      </c>
      <c r="N1219" s="1" t="s">
        <v>1083</v>
      </c>
      <c r="O1219" s="1">
        <v>0</v>
      </c>
      <c r="P1219" s="1" t="s">
        <v>2058</v>
      </c>
      <c r="Q1219" s="7" t="str">
        <f t="shared" si="23"/>
        <v>equipment/8011.png</v>
      </c>
      <c r="R1219" s="1">
        <v>0</v>
      </c>
    </row>
    <row r="1220" spans="1:18" ht="14.25" thickBot="1">
      <c r="A1220" s="1" t="s">
        <v>1018</v>
      </c>
      <c r="B1220" s="3">
        <v>1</v>
      </c>
      <c r="C1220" s="1" t="s">
        <v>2647</v>
      </c>
      <c r="D1220" s="1" t="s">
        <v>16</v>
      </c>
      <c r="E1220" s="1">
        <v>9</v>
      </c>
      <c r="F1220" s="1">
        <v>3</v>
      </c>
      <c r="G1220" s="1">
        <v>65</v>
      </c>
      <c r="H1220" s="10">
        <v>0</v>
      </c>
      <c r="I1220" s="1">
        <v>32500</v>
      </c>
      <c r="J1220" s="1">
        <v>20</v>
      </c>
      <c r="K1220" s="1">
        <v>0</v>
      </c>
      <c r="L1220" s="1">
        <v>35000</v>
      </c>
      <c r="M1220" s="1" t="s">
        <v>1996</v>
      </c>
      <c r="N1220" s="1" t="s">
        <v>1083</v>
      </c>
      <c r="O1220" s="1">
        <v>0</v>
      </c>
      <c r="P1220" s="1" t="s">
        <v>2058</v>
      </c>
      <c r="Q1220" s="7" t="str">
        <f t="shared" si="23"/>
        <v>equipment/10011.png</v>
      </c>
      <c r="R1220" s="1">
        <v>0</v>
      </c>
    </row>
    <row r="1221" spans="1:18" ht="14.25" thickBot="1">
      <c r="A1221" s="1" t="s">
        <v>1019</v>
      </c>
      <c r="B1221" s="3">
        <v>1</v>
      </c>
      <c r="C1221" s="1" t="s">
        <v>2648</v>
      </c>
      <c r="D1221" s="1" t="s">
        <v>17</v>
      </c>
      <c r="E1221" s="1">
        <v>10</v>
      </c>
      <c r="F1221" s="1">
        <v>3</v>
      </c>
      <c r="G1221" s="1">
        <v>65</v>
      </c>
      <c r="H1221" s="10">
        <v>0</v>
      </c>
      <c r="I1221" s="1">
        <v>32500</v>
      </c>
      <c r="J1221" s="1">
        <v>20</v>
      </c>
      <c r="K1221" s="1">
        <v>0</v>
      </c>
      <c r="L1221" s="1">
        <v>35000</v>
      </c>
      <c r="M1221" s="1" t="s">
        <v>1997</v>
      </c>
      <c r="N1221" s="1" t="s">
        <v>1083</v>
      </c>
      <c r="O1221" s="1">
        <v>0</v>
      </c>
      <c r="P1221" s="1" t="s">
        <v>2058</v>
      </c>
      <c r="Q1221" s="7" t="str">
        <f t="shared" si="23"/>
        <v>equipment/12011.png</v>
      </c>
      <c r="R1221" s="1">
        <v>0</v>
      </c>
    </row>
    <row r="1222" spans="1:18" ht="14.25" thickBot="1">
      <c r="A1222" s="1" t="s">
        <v>1020</v>
      </c>
      <c r="B1222" s="3">
        <v>1</v>
      </c>
      <c r="C1222" s="9" t="s">
        <v>2649</v>
      </c>
      <c r="D1222" s="1" t="s">
        <v>12</v>
      </c>
      <c r="E1222" s="1">
        <v>5</v>
      </c>
      <c r="F1222" s="1">
        <v>3</v>
      </c>
      <c r="G1222" s="1">
        <v>65</v>
      </c>
      <c r="H1222" s="10" t="s">
        <v>2120</v>
      </c>
      <c r="I1222" s="1">
        <v>32500</v>
      </c>
      <c r="J1222" s="1">
        <v>20</v>
      </c>
      <c r="K1222" s="1">
        <v>0</v>
      </c>
      <c r="L1222" s="1">
        <v>35000</v>
      </c>
      <c r="M1222" s="1" t="s">
        <v>2024</v>
      </c>
      <c r="N1222" s="1" t="s">
        <v>1084</v>
      </c>
      <c r="O1222" s="1">
        <v>0</v>
      </c>
      <c r="P1222" s="1" t="s">
        <v>2058</v>
      </c>
      <c r="Q1222" s="7" t="str">
        <f t="shared" si="23"/>
        <v>equipment/1123.png</v>
      </c>
      <c r="R1222" s="1">
        <v>0</v>
      </c>
    </row>
    <row r="1223" spans="1:18" ht="14.25" thickBot="1">
      <c r="A1223" s="1" t="s">
        <v>1021</v>
      </c>
      <c r="B1223" s="2">
        <v>0</v>
      </c>
      <c r="C1223" s="9" t="s">
        <v>2650</v>
      </c>
      <c r="D1223" s="1" t="s">
        <v>12</v>
      </c>
      <c r="E1223" s="1">
        <v>5</v>
      </c>
      <c r="F1223" s="1">
        <v>3</v>
      </c>
      <c r="G1223" s="1">
        <v>65</v>
      </c>
      <c r="H1223" s="10" t="s">
        <v>2120</v>
      </c>
      <c r="I1223" s="1">
        <v>34000</v>
      </c>
      <c r="J1223" s="1">
        <v>20</v>
      </c>
      <c r="K1223" s="1">
        <v>0</v>
      </c>
      <c r="L1223" s="1">
        <v>37500</v>
      </c>
      <c r="M1223" s="1" t="s">
        <v>1998</v>
      </c>
      <c r="N1223" s="1" t="s">
        <v>1084</v>
      </c>
      <c r="O1223" s="1">
        <v>0</v>
      </c>
      <c r="P1223" s="1" t="s">
        <v>2058</v>
      </c>
      <c r="Q1223" s="7" t="str">
        <f t="shared" si="23"/>
        <v>equipment/1101.png</v>
      </c>
      <c r="R1223" s="1">
        <v>0</v>
      </c>
    </row>
    <row r="1224" spans="1:18" ht="14.25" thickBot="1">
      <c r="A1224" s="1" t="s">
        <v>1022</v>
      </c>
      <c r="B1224" s="3">
        <v>1</v>
      </c>
      <c r="C1224" s="9" t="s">
        <v>2651</v>
      </c>
      <c r="D1224" s="1" t="s">
        <v>13</v>
      </c>
      <c r="E1224" s="1">
        <v>6</v>
      </c>
      <c r="F1224" s="1">
        <v>3</v>
      </c>
      <c r="G1224" s="1">
        <v>65</v>
      </c>
      <c r="H1224" s="10" t="s">
        <v>2120</v>
      </c>
      <c r="I1224" s="1">
        <v>32500</v>
      </c>
      <c r="J1224" s="1">
        <v>20</v>
      </c>
      <c r="K1224" s="1">
        <v>0</v>
      </c>
      <c r="L1224" s="1">
        <v>35000</v>
      </c>
      <c r="M1224" s="1" t="s">
        <v>1999</v>
      </c>
      <c r="N1224" s="1" t="s">
        <v>1084</v>
      </c>
      <c r="O1224" s="1">
        <v>0</v>
      </c>
      <c r="P1224" s="1" t="s">
        <v>2058</v>
      </c>
      <c r="Q1224" s="7" t="str">
        <f t="shared" si="23"/>
        <v>equipment/2116.png</v>
      </c>
      <c r="R1224" s="1">
        <v>0</v>
      </c>
    </row>
    <row r="1225" spans="1:18" ht="14.25" thickBot="1">
      <c r="A1225" s="1" t="s">
        <v>1023</v>
      </c>
      <c r="B1225" s="2">
        <v>0</v>
      </c>
      <c r="C1225" s="9" t="s">
        <v>2061</v>
      </c>
      <c r="D1225" s="1" t="s">
        <v>13</v>
      </c>
      <c r="E1225" s="1">
        <v>6</v>
      </c>
      <c r="F1225" s="1">
        <v>3</v>
      </c>
      <c r="G1225" s="1">
        <v>65</v>
      </c>
      <c r="H1225" s="10" t="s">
        <v>2120</v>
      </c>
      <c r="I1225" s="1">
        <v>34000</v>
      </c>
      <c r="J1225" s="1">
        <v>20</v>
      </c>
      <c r="K1225" s="1">
        <v>0</v>
      </c>
      <c r="L1225" s="1">
        <v>37500</v>
      </c>
      <c r="M1225" s="1" t="s">
        <v>1999</v>
      </c>
      <c r="N1225" s="1" t="s">
        <v>1084</v>
      </c>
      <c r="O1225" s="1">
        <v>0</v>
      </c>
      <c r="P1225" s="1" t="s">
        <v>2058</v>
      </c>
      <c r="Q1225" s="7" t="str">
        <f t="shared" si="23"/>
        <v>equipment/2101.png</v>
      </c>
      <c r="R1225" s="1">
        <v>0</v>
      </c>
    </row>
    <row r="1226" spans="1:18" ht="14.25" thickBot="1">
      <c r="A1226" s="1" t="s">
        <v>1024</v>
      </c>
      <c r="B1226" s="3">
        <v>1</v>
      </c>
      <c r="C1226" s="1" t="s">
        <v>2652</v>
      </c>
      <c r="D1226" s="1" t="s">
        <v>12</v>
      </c>
      <c r="E1226" s="1">
        <v>5</v>
      </c>
      <c r="F1226" s="1">
        <v>3</v>
      </c>
      <c r="G1226" s="1">
        <v>65</v>
      </c>
      <c r="H1226" s="10" t="s">
        <v>2121</v>
      </c>
      <c r="I1226" s="1">
        <v>32500</v>
      </c>
      <c r="J1226" s="1">
        <v>20</v>
      </c>
      <c r="K1226" s="1">
        <v>0</v>
      </c>
      <c r="L1226" s="1">
        <v>35000</v>
      </c>
      <c r="M1226" s="1" t="s">
        <v>2024</v>
      </c>
      <c r="N1226" s="1" t="s">
        <v>1084</v>
      </c>
      <c r="O1226" s="1">
        <v>0</v>
      </c>
      <c r="P1226" s="1" t="s">
        <v>2058</v>
      </c>
      <c r="Q1226" s="7" t="str">
        <f t="shared" si="23"/>
        <v>equipment/1224.png</v>
      </c>
      <c r="R1226" s="1">
        <v>0</v>
      </c>
    </row>
    <row r="1227" spans="1:18" ht="14.25" thickBot="1">
      <c r="A1227" s="1" t="s">
        <v>1025</v>
      </c>
      <c r="B1227" s="2">
        <v>0</v>
      </c>
      <c r="C1227" s="1" t="s">
        <v>2653</v>
      </c>
      <c r="D1227" s="1" t="s">
        <v>12</v>
      </c>
      <c r="E1227" s="1">
        <v>5</v>
      </c>
      <c r="F1227" s="1">
        <v>3</v>
      </c>
      <c r="G1227" s="1">
        <v>65</v>
      </c>
      <c r="H1227" s="10" t="s">
        <v>2121</v>
      </c>
      <c r="I1227" s="1">
        <v>34000</v>
      </c>
      <c r="J1227" s="1">
        <v>20</v>
      </c>
      <c r="K1227" s="1">
        <v>0</v>
      </c>
      <c r="L1227" s="1">
        <v>37500</v>
      </c>
      <c r="M1227" s="1" t="s">
        <v>1998</v>
      </c>
      <c r="N1227" s="1" t="s">
        <v>1084</v>
      </c>
      <c r="O1227" s="1">
        <v>0</v>
      </c>
      <c r="P1227" s="1" t="s">
        <v>2058</v>
      </c>
      <c r="Q1227" s="7" t="str">
        <f t="shared" si="23"/>
        <v>equipment/1201.png</v>
      </c>
      <c r="R1227" s="1">
        <v>0</v>
      </c>
    </row>
    <row r="1228" spans="1:18" ht="14.25" thickBot="1">
      <c r="A1228" s="1" t="s">
        <v>1026</v>
      </c>
      <c r="B1228" s="3">
        <v>1</v>
      </c>
      <c r="C1228" s="9" t="s">
        <v>2654</v>
      </c>
      <c r="D1228" s="1" t="s">
        <v>13</v>
      </c>
      <c r="E1228" s="1">
        <v>6</v>
      </c>
      <c r="F1228" s="1">
        <v>3</v>
      </c>
      <c r="G1228" s="1">
        <v>65</v>
      </c>
      <c r="H1228" s="10" t="s">
        <v>2121</v>
      </c>
      <c r="I1228" s="1">
        <v>32500</v>
      </c>
      <c r="J1228" s="1">
        <v>20</v>
      </c>
      <c r="K1228" s="1">
        <v>0</v>
      </c>
      <c r="L1228" s="1">
        <v>35000</v>
      </c>
      <c r="M1228" s="1" t="s">
        <v>2000</v>
      </c>
      <c r="N1228" s="1" t="s">
        <v>1084</v>
      </c>
      <c r="O1228" s="1">
        <v>0</v>
      </c>
      <c r="P1228" s="1" t="s">
        <v>2058</v>
      </c>
      <c r="Q1228" s="7" t="str">
        <f t="shared" si="23"/>
        <v>equipment/2216.png</v>
      </c>
      <c r="R1228" s="1">
        <v>0</v>
      </c>
    </row>
    <row r="1229" spans="1:18" ht="14.25" thickBot="1">
      <c r="A1229" s="1" t="s">
        <v>1027</v>
      </c>
      <c r="B1229" s="2">
        <v>0</v>
      </c>
      <c r="C1229" s="9" t="s">
        <v>2094</v>
      </c>
      <c r="D1229" s="1" t="s">
        <v>13</v>
      </c>
      <c r="E1229" s="1">
        <v>6</v>
      </c>
      <c r="F1229" s="1">
        <v>3</v>
      </c>
      <c r="G1229" s="1">
        <v>65</v>
      </c>
      <c r="H1229" s="10" t="s">
        <v>2121</v>
      </c>
      <c r="I1229" s="1">
        <v>34000</v>
      </c>
      <c r="J1229" s="1">
        <v>20</v>
      </c>
      <c r="K1229" s="1">
        <v>0</v>
      </c>
      <c r="L1229" s="1">
        <v>37500</v>
      </c>
      <c r="M1229" s="1" t="s">
        <v>2000</v>
      </c>
      <c r="N1229" s="1" t="s">
        <v>1084</v>
      </c>
      <c r="O1229" s="1">
        <v>0</v>
      </c>
      <c r="P1229" s="1" t="s">
        <v>2058</v>
      </c>
      <c r="Q1229" s="7" t="str">
        <f t="shared" si="23"/>
        <v>equipment/2201.png</v>
      </c>
      <c r="R1229" s="1">
        <v>0</v>
      </c>
    </row>
    <row r="1230" spans="1:18" ht="14.25" thickBot="1">
      <c r="A1230" s="1" t="s">
        <v>1028</v>
      </c>
      <c r="B1230" s="3">
        <v>1</v>
      </c>
      <c r="C1230" s="9" t="s">
        <v>2655</v>
      </c>
      <c r="D1230" s="1" t="s">
        <v>12</v>
      </c>
      <c r="E1230" s="1">
        <v>5</v>
      </c>
      <c r="F1230" s="1">
        <v>3</v>
      </c>
      <c r="G1230" s="1">
        <v>65</v>
      </c>
      <c r="H1230" s="10" t="s">
        <v>2122</v>
      </c>
      <c r="I1230" s="1">
        <v>32500</v>
      </c>
      <c r="J1230" s="1">
        <v>20</v>
      </c>
      <c r="K1230" s="1">
        <v>0</v>
      </c>
      <c r="L1230" s="1">
        <v>35000</v>
      </c>
      <c r="M1230" s="1" t="s">
        <v>2024</v>
      </c>
      <c r="N1230" s="1" t="s">
        <v>1084</v>
      </c>
      <c r="O1230" s="1">
        <v>0</v>
      </c>
      <c r="P1230" s="1" t="s">
        <v>2058</v>
      </c>
      <c r="Q1230" s="7" t="str">
        <f t="shared" si="23"/>
        <v>equipment/1323.png</v>
      </c>
      <c r="R1230" s="1">
        <v>0</v>
      </c>
    </row>
    <row r="1231" spans="1:18" ht="14.25" thickBot="1">
      <c r="A1231" s="1" t="s">
        <v>1029</v>
      </c>
      <c r="B1231" s="2">
        <v>0</v>
      </c>
      <c r="C1231" s="9" t="s">
        <v>2497</v>
      </c>
      <c r="D1231" s="1" t="s">
        <v>12</v>
      </c>
      <c r="E1231" s="1">
        <v>5</v>
      </c>
      <c r="F1231" s="1">
        <v>3</v>
      </c>
      <c r="G1231" s="1">
        <v>65</v>
      </c>
      <c r="H1231" s="10" t="s">
        <v>2122</v>
      </c>
      <c r="I1231" s="1">
        <v>34000</v>
      </c>
      <c r="J1231" s="1">
        <v>20</v>
      </c>
      <c r="K1231" s="1">
        <v>0</v>
      </c>
      <c r="L1231" s="1">
        <v>37500</v>
      </c>
      <c r="M1231" s="1" t="s">
        <v>1998</v>
      </c>
      <c r="N1231" s="1" t="s">
        <v>1084</v>
      </c>
      <c r="O1231" s="1">
        <v>0</v>
      </c>
      <c r="P1231" s="1" t="s">
        <v>2058</v>
      </c>
      <c r="Q1231" s="7" t="str">
        <f t="shared" si="23"/>
        <v>equipment/1301.png</v>
      </c>
      <c r="R1231" s="1">
        <v>0</v>
      </c>
    </row>
    <row r="1232" spans="1:18" ht="14.25" thickBot="1">
      <c r="A1232" s="1" t="s">
        <v>1030</v>
      </c>
      <c r="B1232" s="3">
        <v>1</v>
      </c>
      <c r="C1232" s="9" t="s">
        <v>2656</v>
      </c>
      <c r="D1232" s="1" t="s">
        <v>13</v>
      </c>
      <c r="E1232" s="1">
        <v>6</v>
      </c>
      <c r="F1232" s="1">
        <v>3</v>
      </c>
      <c r="G1232" s="1">
        <v>65</v>
      </c>
      <c r="H1232" s="10" t="s">
        <v>2122</v>
      </c>
      <c r="I1232" s="1">
        <v>32500</v>
      </c>
      <c r="J1232" s="1">
        <v>20</v>
      </c>
      <c r="K1232" s="1">
        <v>0</v>
      </c>
      <c r="L1232" s="1">
        <v>35000</v>
      </c>
      <c r="M1232" s="1" t="s">
        <v>2001</v>
      </c>
      <c r="N1232" s="1" t="s">
        <v>1084</v>
      </c>
      <c r="O1232" s="1">
        <v>0</v>
      </c>
      <c r="P1232" s="1" t="s">
        <v>2058</v>
      </c>
      <c r="Q1232" s="7" t="str">
        <f t="shared" si="23"/>
        <v>equipment/2317.png</v>
      </c>
      <c r="R1232" s="1">
        <v>0</v>
      </c>
    </row>
    <row r="1233" spans="1:18" ht="14.25" thickBot="1">
      <c r="A1233" s="1" t="s">
        <v>1031</v>
      </c>
      <c r="B1233" s="2">
        <v>0</v>
      </c>
      <c r="C1233" s="9" t="s">
        <v>2095</v>
      </c>
      <c r="D1233" s="1" t="s">
        <v>13</v>
      </c>
      <c r="E1233" s="1">
        <v>6</v>
      </c>
      <c r="F1233" s="1">
        <v>3</v>
      </c>
      <c r="G1233" s="1">
        <v>65</v>
      </c>
      <c r="H1233" s="10" t="s">
        <v>2122</v>
      </c>
      <c r="I1233" s="1">
        <v>34000</v>
      </c>
      <c r="J1233" s="1">
        <v>20</v>
      </c>
      <c r="K1233" s="1">
        <v>0</v>
      </c>
      <c r="L1233" s="1">
        <v>37500</v>
      </c>
      <c r="M1233" s="1" t="s">
        <v>2002</v>
      </c>
      <c r="N1233" s="1" t="s">
        <v>1084</v>
      </c>
      <c r="O1233" s="1">
        <v>0</v>
      </c>
      <c r="P1233" s="1" t="s">
        <v>2058</v>
      </c>
      <c r="Q1233" s="7" t="str">
        <f t="shared" si="23"/>
        <v>equipment/2301.png</v>
      </c>
      <c r="R1233" s="1">
        <v>0</v>
      </c>
    </row>
    <row r="1234" spans="1:18" ht="14.25" thickBot="1">
      <c r="A1234" s="1" t="s">
        <v>1032</v>
      </c>
      <c r="B1234" s="3">
        <v>1</v>
      </c>
      <c r="C1234" s="1" t="s">
        <v>2657</v>
      </c>
      <c r="D1234" s="1" t="s">
        <v>11</v>
      </c>
      <c r="E1234" s="1">
        <v>4</v>
      </c>
      <c r="F1234" s="1">
        <v>3</v>
      </c>
      <c r="G1234" s="1">
        <v>65</v>
      </c>
      <c r="H1234" s="10">
        <v>0</v>
      </c>
      <c r="I1234" s="1">
        <v>32500</v>
      </c>
      <c r="J1234" s="1">
        <v>20</v>
      </c>
      <c r="K1234" s="1">
        <v>0</v>
      </c>
      <c r="L1234" s="1">
        <v>35000</v>
      </c>
      <c r="M1234" s="1" t="s">
        <v>2003</v>
      </c>
      <c r="N1234" s="1" t="s">
        <v>1083</v>
      </c>
      <c r="O1234" s="1">
        <v>0</v>
      </c>
      <c r="P1234" s="1" t="s">
        <v>2058</v>
      </c>
      <c r="Q1234" s="7" t="str">
        <f t="shared" si="23"/>
        <v>equipment/5017.png</v>
      </c>
      <c r="R1234" s="1">
        <v>0</v>
      </c>
    </row>
    <row r="1235" spans="1:18" ht="14.25" thickBot="1">
      <c r="A1235" s="1" t="s">
        <v>1033</v>
      </c>
      <c r="B1235" s="2">
        <v>0</v>
      </c>
      <c r="C1235" s="1" t="s">
        <v>2499</v>
      </c>
      <c r="D1235" s="1" t="s">
        <v>11</v>
      </c>
      <c r="E1235" s="1">
        <v>4</v>
      </c>
      <c r="F1235" s="1">
        <v>3</v>
      </c>
      <c r="G1235" s="1">
        <v>65</v>
      </c>
      <c r="H1235" s="10">
        <v>0</v>
      </c>
      <c r="I1235" s="1">
        <v>34000</v>
      </c>
      <c r="J1235" s="1">
        <v>20</v>
      </c>
      <c r="K1235" s="1">
        <v>0</v>
      </c>
      <c r="L1235" s="1">
        <v>37500</v>
      </c>
      <c r="M1235" s="1" t="s">
        <v>2003</v>
      </c>
      <c r="N1235" s="1" t="s">
        <v>1083</v>
      </c>
      <c r="O1235" s="1">
        <v>0</v>
      </c>
      <c r="P1235" s="1" t="s">
        <v>2058</v>
      </c>
      <c r="Q1235" s="7" t="str">
        <f t="shared" si="23"/>
        <v>equipment/5001.png</v>
      </c>
      <c r="R1235" s="1">
        <v>0</v>
      </c>
    </row>
    <row r="1236" spans="1:18" ht="14.25" thickBot="1">
      <c r="A1236" s="1" t="s">
        <v>1034</v>
      </c>
      <c r="B1236" s="3">
        <v>1</v>
      </c>
      <c r="C1236" s="1" t="s">
        <v>2658</v>
      </c>
      <c r="D1236" s="1" t="s">
        <v>14</v>
      </c>
      <c r="E1236" s="1">
        <v>7</v>
      </c>
      <c r="F1236" s="1">
        <v>3</v>
      </c>
      <c r="G1236" s="1">
        <v>65</v>
      </c>
      <c r="H1236" s="10">
        <v>0</v>
      </c>
      <c r="I1236" s="1">
        <v>32500</v>
      </c>
      <c r="J1236" s="1">
        <v>20</v>
      </c>
      <c r="K1236" s="1">
        <v>0</v>
      </c>
      <c r="L1236" s="1">
        <v>35000</v>
      </c>
      <c r="M1236" s="1" t="s">
        <v>2004</v>
      </c>
      <c r="N1236" s="1" t="s">
        <v>1083</v>
      </c>
      <c r="O1236" s="1">
        <v>0</v>
      </c>
      <c r="P1236" s="1" t="s">
        <v>2058</v>
      </c>
      <c r="Q1236" s="7" t="str">
        <f t="shared" si="23"/>
        <v>equipment/7017.png</v>
      </c>
      <c r="R1236" s="1">
        <v>0</v>
      </c>
    </row>
    <row r="1237" spans="1:18" ht="14.25" thickBot="1">
      <c r="A1237" s="1" t="s">
        <v>1035</v>
      </c>
      <c r="B1237" s="2">
        <v>0</v>
      </c>
      <c r="C1237" s="1" t="s">
        <v>2501</v>
      </c>
      <c r="D1237" s="1" t="s">
        <v>14</v>
      </c>
      <c r="E1237" s="1">
        <v>7</v>
      </c>
      <c r="F1237" s="1">
        <v>3</v>
      </c>
      <c r="G1237" s="1">
        <v>65</v>
      </c>
      <c r="H1237" s="10">
        <v>0</v>
      </c>
      <c r="I1237" s="1">
        <v>34000</v>
      </c>
      <c r="J1237" s="1">
        <v>20</v>
      </c>
      <c r="K1237" s="1">
        <v>0</v>
      </c>
      <c r="L1237" s="1">
        <v>37500</v>
      </c>
      <c r="M1237" s="1" t="s">
        <v>2004</v>
      </c>
      <c r="N1237" s="1" t="s">
        <v>1083</v>
      </c>
      <c r="O1237" s="1">
        <v>0</v>
      </c>
      <c r="P1237" s="1" t="s">
        <v>2058</v>
      </c>
      <c r="Q1237" s="7" t="str">
        <f t="shared" ref="Q1237:Q1300" si="24">Q775</f>
        <v>equipment/7001.png</v>
      </c>
      <c r="R1237" s="1">
        <v>0</v>
      </c>
    </row>
    <row r="1238" spans="1:18" ht="14.25" thickBot="1">
      <c r="A1238" s="1" t="s">
        <v>1036</v>
      </c>
      <c r="B1238" s="3">
        <v>1</v>
      </c>
      <c r="C1238" s="1" t="s">
        <v>2659</v>
      </c>
      <c r="D1238" s="1" t="s">
        <v>8</v>
      </c>
      <c r="E1238" s="1">
        <v>1</v>
      </c>
      <c r="F1238" s="1">
        <v>3</v>
      </c>
      <c r="G1238" s="1">
        <v>70</v>
      </c>
      <c r="H1238" s="10">
        <v>0</v>
      </c>
      <c r="I1238" s="1">
        <v>35000</v>
      </c>
      <c r="J1238" s="1">
        <v>20</v>
      </c>
      <c r="K1238" s="1">
        <v>0</v>
      </c>
      <c r="L1238" s="1">
        <v>37500</v>
      </c>
      <c r="M1238" s="1" t="s">
        <v>2477</v>
      </c>
      <c r="N1238" s="1" t="s">
        <v>1085</v>
      </c>
      <c r="O1238" s="1">
        <v>0</v>
      </c>
      <c r="P1238" s="1" t="s">
        <v>2059</v>
      </c>
      <c r="Q1238" s="7" t="str">
        <f t="shared" si="24"/>
        <v>equipment/3014.png</v>
      </c>
      <c r="R1238" s="1">
        <v>0</v>
      </c>
    </row>
    <row r="1239" spans="1:18" ht="14.25" thickBot="1">
      <c r="A1239" s="1" t="s">
        <v>1037</v>
      </c>
      <c r="B1239" s="3">
        <v>1</v>
      </c>
      <c r="C1239" s="1" t="s">
        <v>2660</v>
      </c>
      <c r="D1239" s="1" t="s">
        <v>9</v>
      </c>
      <c r="E1239" s="1">
        <v>2</v>
      </c>
      <c r="F1239" s="1">
        <v>3</v>
      </c>
      <c r="G1239" s="1">
        <v>70</v>
      </c>
      <c r="H1239" s="10">
        <v>0</v>
      </c>
      <c r="I1239" s="1">
        <v>35000</v>
      </c>
      <c r="J1239" s="1">
        <v>20</v>
      </c>
      <c r="K1239" s="1">
        <v>0</v>
      </c>
      <c r="L1239" s="1">
        <v>37500</v>
      </c>
      <c r="M1239" s="1" t="s">
        <v>2478</v>
      </c>
      <c r="N1239" s="1" t="s">
        <v>1085</v>
      </c>
      <c r="O1239" s="1">
        <v>0</v>
      </c>
      <c r="P1239" s="1" t="s">
        <v>2059</v>
      </c>
      <c r="Q1239" s="7" t="str">
        <f t="shared" si="24"/>
        <v>equipment/14012.png</v>
      </c>
      <c r="R1239" s="1">
        <v>0</v>
      </c>
    </row>
    <row r="1240" spans="1:18" ht="14.25" thickBot="1">
      <c r="A1240" s="1" t="s">
        <v>1038</v>
      </c>
      <c r="B1240" s="3">
        <v>1</v>
      </c>
      <c r="C1240" s="1" t="s">
        <v>2661</v>
      </c>
      <c r="D1240" s="1" t="s">
        <v>10</v>
      </c>
      <c r="E1240" s="1">
        <v>3</v>
      </c>
      <c r="F1240" s="1">
        <v>3</v>
      </c>
      <c r="G1240" s="1">
        <v>70</v>
      </c>
      <c r="H1240" s="10">
        <v>0</v>
      </c>
      <c r="I1240" s="1">
        <v>35000</v>
      </c>
      <c r="J1240" s="1">
        <v>20</v>
      </c>
      <c r="K1240" s="1">
        <v>0</v>
      </c>
      <c r="L1240" s="1">
        <v>37500</v>
      </c>
      <c r="M1240" s="1" t="s">
        <v>2479</v>
      </c>
      <c r="N1240" s="1" t="s">
        <v>1085</v>
      </c>
      <c r="O1240" s="1">
        <v>0</v>
      </c>
      <c r="P1240" s="1" t="s">
        <v>2059</v>
      </c>
      <c r="Q1240" s="7" t="str">
        <f t="shared" si="24"/>
        <v>equipment/6013.png</v>
      </c>
      <c r="R1240" s="1">
        <v>0</v>
      </c>
    </row>
    <row r="1241" spans="1:18" ht="14.25" thickBot="1">
      <c r="A1241" s="1" t="s">
        <v>1039</v>
      </c>
      <c r="B1241" s="3">
        <v>1</v>
      </c>
      <c r="C1241" s="1" t="s">
        <v>2662</v>
      </c>
      <c r="D1241" s="1" t="s">
        <v>15</v>
      </c>
      <c r="E1241" s="1">
        <v>8</v>
      </c>
      <c r="F1241" s="1">
        <v>3</v>
      </c>
      <c r="G1241" s="1">
        <v>70</v>
      </c>
      <c r="H1241" s="10">
        <v>0</v>
      </c>
      <c r="I1241" s="1">
        <v>35000</v>
      </c>
      <c r="J1241" s="1">
        <v>20</v>
      </c>
      <c r="K1241" s="1">
        <v>0</v>
      </c>
      <c r="L1241" s="1">
        <v>37500</v>
      </c>
      <c r="M1241" s="1" t="s">
        <v>2480</v>
      </c>
      <c r="N1241" s="1" t="s">
        <v>1085</v>
      </c>
      <c r="O1241" s="1">
        <v>0</v>
      </c>
      <c r="P1241" s="1" t="s">
        <v>2059</v>
      </c>
      <c r="Q1241" s="7" t="str">
        <f t="shared" si="24"/>
        <v>equipment/8012.png</v>
      </c>
      <c r="R1241" s="1">
        <v>0</v>
      </c>
    </row>
    <row r="1242" spans="1:18" ht="14.25" thickBot="1">
      <c r="A1242" s="1" t="s">
        <v>1040</v>
      </c>
      <c r="B1242" s="3">
        <v>1</v>
      </c>
      <c r="C1242" s="1" t="s">
        <v>2663</v>
      </c>
      <c r="D1242" s="1" t="s">
        <v>16</v>
      </c>
      <c r="E1242" s="1">
        <v>9</v>
      </c>
      <c r="F1242" s="1">
        <v>3</v>
      </c>
      <c r="G1242" s="1">
        <v>70</v>
      </c>
      <c r="H1242" s="10">
        <v>0</v>
      </c>
      <c r="I1242" s="1">
        <v>35000</v>
      </c>
      <c r="J1242" s="1">
        <v>20</v>
      </c>
      <c r="K1242" s="1">
        <v>0</v>
      </c>
      <c r="L1242" s="1">
        <v>37500</v>
      </c>
      <c r="M1242" s="1" t="s">
        <v>2481</v>
      </c>
      <c r="N1242" s="1" t="s">
        <v>1085</v>
      </c>
      <c r="O1242" s="1">
        <v>0</v>
      </c>
      <c r="P1242" s="1" t="s">
        <v>2059</v>
      </c>
      <c r="Q1242" s="7" t="str">
        <f t="shared" si="24"/>
        <v>equipment/10013.png</v>
      </c>
      <c r="R1242" s="1">
        <v>0</v>
      </c>
    </row>
    <row r="1243" spans="1:18" ht="14.25" thickBot="1">
      <c r="A1243" s="1" t="s">
        <v>1041</v>
      </c>
      <c r="B1243" s="3">
        <v>1</v>
      </c>
      <c r="C1243" s="1" t="s">
        <v>2664</v>
      </c>
      <c r="D1243" s="1" t="s">
        <v>17</v>
      </c>
      <c r="E1243" s="1">
        <v>10</v>
      </c>
      <c r="F1243" s="1">
        <v>3</v>
      </c>
      <c r="G1243" s="1">
        <v>70</v>
      </c>
      <c r="H1243" s="10">
        <v>0</v>
      </c>
      <c r="I1243" s="1">
        <v>35000</v>
      </c>
      <c r="J1243" s="1">
        <v>20</v>
      </c>
      <c r="K1243" s="1">
        <v>0</v>
      </c>
      <c r="L1243" s="1">
        <v>37500</v>
      </c>
      <c r="M1243" s="1" t="s">
        <v>2482</v>
      </c>
      <c r="N1243" s="1" t="s">
        <v>1085</v>
      </c>
      <c r="O1243" s="1">
        <v>0</v>
      </c>
      <c r="P1243" s="1" t="s">
        <v>2059</v>
      </c>
      <c r="Q1243" s="7" t="str">
        <f t="shared" si="24"/>
        <v>equipment/12014.png</v>
      </c>
      <c r="R1243" s="1">
        <v>0</v>
      </c>
    </row>
    <row r="1244" spans="1:18" ht="14.25" thickBot="1">
      <c r="A1244" s="1" t="s">
        <v>1042</v>
      </c>
      <c r="B1244" s="3">
        <v>1</v>
      </c>
      <c r="C1244" s="9" t="s">
        <v>2650</v>
      </c>
      <c r="D1244" s="1" t="s">
        <v>12</v>
      </c>
      <c r="E1244" s="1">
        <v>5</v>
      </c>
      <c r="F1244" s="1">
        <v>3</v>
      </c>
      <c r="G1244" s="1">
        <v>70</v>
      </c>
      <c r="H1244" s="10" t="s">
        <v>2120</v>
      </c>
      <c r="I1244" s="1">
        <v>35000</v>
      </c>
      <c r="J1244" s="1">
        <v>20</v>
      </c>
      <c r="K1244" s="1">
        <v>0</v>
      </c>
      <c r="L1244" s="1">
        <v>37500</v>
      </c>
      <c r="M1244" s="1" t="s">
        <v>2025</v>
      </c>
      <c r="N1244" s="1" t="s">
        <v>1086</v>
      </c>
      <c r="O1244" s="1">
        <v>0</v>
      </c>
      <c r="P1244" s="1" t="s">
        <v>2059</v>
      </c>
      <c r="Q1244" s="7" t="str">
        <f t="shared" si="24"/>
        <v>equipment/1124.png</v>
      </c>
      <c r="R1244" s="1">
        <v>0</v>
      </c>
    </row>
    <row r="1245" spans="1:18" ht="14.25" thickBot="1">
      <c r="A1245" s="1" t="s">
        <v>1043</v>
      </c>
      <c r="B1245" s="2">
        <v>0</v>
      </c>
      <c r="C1245" s="9" t="s">
        <v>2665</v>
      </c>
      <c r="D1245" s="1" t="s">
        <v>12</v>
      </c>
      <c r="E1245" s="1">
        <v>5</v>
      </c>
      <c r="F1245" s="1">
        <v>3</v>
      </c>
      <c r="G1245" s="1">
        <v>70</v>
      </c>
      <c r="H1245" s="10" t="s">
        <v>2120</v>
      </c>
      <c r="I1245" s="1">
        <v>36500</v>
      </c>
      <c r="J1245" s="1">
        <v>20</v>
      </c>
      <c r="K1245" s="1">
        <v>0</v>
      </c>
      <c r="L1245" s="1">
        <v>40000</v>
      </c>
      <c r="M1245" s="1" t="s">
        <v>2025</v>
      </c>
      <c r="N1245" s="1" t="s">
        <v>1086</v>
      </c>
      <c r="O1245" s="1">
        <v>0</v>
      </c>
      <c r="P1245" s="1" t="s">
        <v>2059</v>
      </c>
      <c r="Q1245" s="7" t="str">
        <f t="shared" si="24"/>
        <v>equipment/1101.png</v>
      </c>
      <c r="R1245" s="1">
        <v>0</v>
      </c>
    </row>
    <row r="1246" spans="1:18" ht="14.25" thickBot="1">
      <c r="A1246" s="1" t="s">
        <v>1044</v>
      </c>
      <c r="B1246" s="3">
        <v>1</v>
      </c>
      <c r="C1246" s="9" t="s">
        <v>2666</v>
      </c>
      <c r="D1246" s="1" t="s">
        <v>13</v>
      </c>
      <c r="E1246" s="1">
        <v>6</v>
      </c>
      <c r="F1246" s="1">
        <v>3</v>
      </c>
      <c r="G1246" s="1">
        <v>70</v>
      </c>
      <c r="H1246" s="10" t="s">
        <v>2120</v>
      </c>
      <c r="I1246" s="1">
        <v>35000</v>
      </c>
      <c r="J1246" s="1">
        <v>20</v>
      </c>
      <c r="K1246" s="1">
        <v>0</v>
      </c>
      <c r="L1246" s="1">
        <v>37500</v>
      </c>
      <c r="M1246" s="1" t="s">
        <v>2007</v>
      </c>
      <c r="N1246" s="1" t="s">
        <v>1086</v>
      </c>
      <c r="O1246" s="1">
        <v>0</v>
      </c>
      <c r="P1246" s="1" t="s">
        <v>2059</v>
      </c>
      <c r="Q1246" s="7" t="str">
        <f t="shared" si="24"/>
        <v>equipment/2118.png</v>
      </c>
      <c r="R1246" s="1">
        <v>0</v>
      </c>
    </row>
    <row r="1247" spans="1:18" ht="14.25" thickBot="1">
      <c r="A1247" s="1" t="s">
        <v>1045</v>
      </c>
      <c r="B1247" s="2">
        <v>0</v>
      </c>
      <c r="C1247" s="9" t="s">
        <v>2667</v>
      </c>
      <c r="D1247" s="1" t="s">
        <v>13</v>
      </c>
      <c r="E1247" s="1">
        <v>6</v>
      </c>
      <c r="F1247" s="1">
        <v>3</v>
      </c>
      <c r="G1247" s="1">
        <v>70</v>
      </c>
      <c r="H1247" s="10" t="s">
        <v>2120</v>
      </c>
      <c r="I1247" s="1">
        <v>36500</v>
      </c>
      <c r="J1247" s="1">
        <v>20</v>
      </c>
      <c r="K1247" s="1">
        <v>0</v>
      </c>
      <c r="L1247" s="1">
        <v>40000</v>
      </c>
      <c r="M1247" s="1" t="s">
        <v>2007</v>
      </c>
      <c r="N1247" s="1" t="s">
        <v>1086</v>
      </c>
      <c r="O1247" s="1">
        <v>0</v>
      </c>
      <c r="P1247" s="1" t="s">
        <v>2059</v>
      </c>
      <c r="Q1247" s="7" t="str">
        <f t="shared" si="24"/>
        <v>equipment/2101.png</v>
      </c>
      <c r="R1247" s="1">
        <v>0</v>
      </c>
    </row>
    <row r="1248" spans="1:18" ht="14.25" thickBot="1">
      <c r="A1248" s="1" t="s">
        <v>1046</v>
      </c>
      <c r="B1248" s="3">
        <v>1</v>
      </c>
      <c r="C1248" s="1" t="s">
        <v>2653</v>
      </c>
      <c r="D1248" s="1" t="s">
        <v>12</v>
      </c>
      <c r="E1248" s="1">
        <v>5</v>
      </c>
      <c r="F1248" s="1">
        <v>3</v>
      </c>
      <c r="G1248" s="1">
        <v>70</v>
      </c>
      <c r="H1248" s="10" t="s">
        <v>2121</v>
      </c>
      <c r="I1248" s="1">
        <v>35000</v>
      </c>
      <c r="J1248" s="1">
        <v>20</v>
      </c>
      <c r="K1248" s="1">
        <v>0</v>
      </c>
      <c r="L1248" s="1">
        <v>37500</v>
      </c>
      <c r="M1248" s="1" t="s">
        <v>2025</v>
      </c>
      <c r="N1248" s="1" t="s">
        <v>1086</v>
      </c>
      <c r="O1248" s="1">
        <v>0</v>
      </c>
      <c r="P1248" s="1" t="s">
        <v>2059</v>
      </c>
      <c r="Q1248" s="7" t="str">
        <f t="shared" si="24"/>
        <v>equipment/1222.png</v>
      </c>
      <c r="R1248" s="1">
        <v>0</v>
      </c>
    </row>
    <row r="1249" spans="1:18" ht="14.25" thickBot="1">
      <c r="A1249" s="1" t="s">
        <v>1047</v>
      </c>
      <c r="B1249" s="2">
        <v>0</v>
      </c>
      <c r="C1249" s="1" t="s">
        <v>2668</v>
      </c>
      <c r="D1249" s="1" t="s">
        <v>12</v>
      </c>
      <c r="E1249" s="1">
        <v>5</v>
      </c>
      <c r="F1249" s="1">
        <v>3</v>
      </c>
      <c r="G1249" s="1">
        <v>70</v>
      </c>
      <c r="H1249" s="10" t="s">
        <v>2121</v>
      </c>
      <c r="I1249" s="1">
        <v>36500</v>
      </c>
      <c r="J1249" s="1">
        <v>20</v>
      </c>
      <c r="K1249" s="1">
        <v>0</v>
      </c>
      <c r="L1249" s="1">
        <v>40000</v>
      </c>
      <c r="M1249" s="1" t="s">
        <v>2025</v>
      </c>
      <c r="N1249" s="1" t="s">
        <v>1086</v>
      </c>
      <c r="O1249" s="1">
        <v>0</v>
      </c>
      <c r="P1249" s="1" t="s">
        <v>2059</v>
      </c>
      <c r="Q1249" s="7" t="str">
        <f t="shared" si="24"/>
        <v>equipment/1201.png</v>
      </c>
      <c r="R1249" s="1">
        <v>0</v>
      </c>
    </row>
    <row r="1250" spans="1:18" ht="14.25" thickBot="1">
      <c r="A1250" s="1" t="s">
        <v>1048</v>
      </c>
      <c r="B1250" s="3">
        <v>1</v>
      </c>
      <c r="C1250" s="9" t="s">
        <v>2669</v>
      </c>
      <c r="D1250" s="1" t="s">
        <v>13</v>
      </c>
      <c r="E1250" s="1">
        <v>6</v>
      </c>
      <c r="F1250" s="1">
        <v>3</v>
      </c>
      <c r="G1250" s="1">
        <v>70</v>
      </c>
      <c r="H1250" s="10" t="s">
        <v>2121</v>
      </c>
      <c r="I1250" s="1">
        <v>35000</v>
      </c>
      <c r="J1250" s="1">
        <v>20</v>
      </c>
      <c r="K1250" s="1">
        <v>0</v>
      </c>
      <c r="L1250" s="1">
        <v>37500</v>
      </c>
      <c r="M1250" s="1" t="s">
        <v>2008</v>
      </c>
      <c r="N1250" s="1" t="s">
        <v>1086</v>
      </c>
      <c r="O1250" s="1">
        <v>0</v>
      </c>
      <c r="P1250" s="1" t="s">
        <v>2059</v>
      </c>
      <c r="Q1250" s="7" t="str">
        <f t="shared" si="24"/>
        <v>equipment/2218.png</v>
      </c>
      <c r="R1250" s="1">
        <v>0</v>
      </c>
    </row>
    <row r="1251" spans="1:18" ht="14.25" thickBot="1">
      <c r="A1251" s="1" t="s">
        <v>1049</v>
      </c>
      <c r="B1251" s="2">
        <v>0</v>
      </c>
      <c r="C1251" s="9" t="s">
        <v>2094</v>
      </c>
      <c r="D1251" s="1" t="s">
        <v>13</v>
      </c>
      <c r="E1251" s="1">
        <v>6</v>
      </c>
      <c r="F1251" s="1">
        <v>3</v>
      </c>
      <c r="G1251" s="1">
        <v>70</v>
      </c>
      <c r="H1251" s="10" t="s">
        <v>2121</v>
      </c>
      <c r="I1251" s="1">
        <v>36500</v>
      </c>
      <c r="J1251" s="1">
        <v>20</v>
      </c>
      <c r="K1251" s="1">
        <v>0</v>
      </c>
      <c r="L1251" s="1">
        <v>40000</v>
      </c>
      <c r="M1251" s="1" t="s">
        <v>2008</v>
      </c>
      <c r="N1251" s="1" t="s">
        <v>1086</v>
      </c>
      <c r="O1251" s="1">
        <v>0</v>
      </c>
      <c r="P1251" s="1" t="s">
        <v>2059</v>
      </c>
      <c r="Q1251" s="7" t="str">
        <f t="shared" si="24"/>
        <v>equipment/2201.png</v>
      </c>
      <c r="R1251" s="1">
        <v>0</v>
      </c>
    </row>
    <row r="1252" spans="1:18" ht="14.25" thickBot="1">
      <c r="A1252" s="1" t="s">
        <v>1050</v>
      </c>
      <c r="B1252" s="3">
        <v>1</v>
      </c>
      <c r="C1252" s="9" t="s">
        <v>2670</v>
      </c>
      <c r="D1252" s="1" t="s">
        <v>12</v>
      </c>
      <c r="E1252" s="1">
        <v>5</v>
      </c>
      <c r="F1252" s="1">
        <v>3</v>
      </c>
      <c r="G1252" s="1">
        <v>70</v>
      </c>
      <c r="H1252" s="10" t="s">
        <v>2122</v>
      </c>
      <c r="I1252" s="1">
        <v>35000</v>
      </c>
      <c r="J1252" s="1">
        <v>20</v>
      </c>
      <c r="K1252" s="1">
        <v>0</v>
      </c>
      <c r="L1252" s="1">
        <v>37500</v>
      </c>
      <c r="M1252" s="1" t="s">
        <v>2025</v>
      </c>
      <c r="N1252" s="1" t="s">
        <v>1086</v>
      </c>
      <c r="O1252" s="1">
        <v>0</v>
      </c>
      <c r="P1252" s="1" t="s">
        <v>2059</v>
      </c>
      <c r="Q1252" s="7" t="str">
        <f t="shared" si="24"/>
        <v>equipment/1324.png</v>
      </c>
      <c r="R1252" s="1">
        <v>0</v>
      </c>
    </row>
    <row r="1253" spans="1:18" ht="14.25" thickBot="1">
      <c r="A1253" s="1" t="s">
        <v>1051</v>
      </c>
      <c r="B1253" s="2">
        <v>0</v>
      </c>
      <c r="C1253" s="9" t="s">
        <v>2671</v>
      </c>
      <c r="D1253" s="1" t="s">
        <v>12</v>
      </c>
      <c r="E1253" s="1">
        <v>5</v>
      </c>
      <c r="F1253" s="1">
        <v>3</v>
      </c>
      <c r="G1253" s="1">
        <v>70</v>
      </c>
      <c r="H1253" s="10" t="s">
        <v>2122</v>
      </c>
      <c r="I1253" s="1">
        <v>36500</v>
      </c>
      <c r="J1253" s="1">
        <v>20</v>
      </c>
      <c r="K1253" s="1">
        <v>0</v>
      </c>
      <c r="L1253" s="1">
        <v>40000</v>
      </c>
      <c r="M1253" s="1" t="s">
        <v>2025</v>
      </c>
      <c r="N1253" s="1" t="s">
        <v>1086</v>
      </c>
      <c r="O1253" s="1">
        <v>0</v>
      </c>
      <c r="P1253" s="1" t="s">
        <v>2059</v>
      </c>
      <c r="Q1253" s="7" t="str">
        <f t="shared" si="24"/>
        <v>equipment/1301.png</v>
      </c>
      <c r="R1253" s="1">
        <v>0</v>
      </c>
    </row>
    <row r="1254" spans="1:18" ht="14.25" thickBot="1">
      <c r="A1254" s="1" t="s">
        <v>1052</v>
      </c>
      <c r="B1254" s="3">
        <v>1</v>
      </c>
      <c r="C1254" s="9" t="s">
        <v>2672</v>
      </c>
      <c r="D1254" s="1" t="s">
        <v>13</v>
      </c>
      <c r="E1254" s="1">
        <v>6</v>
      </c>
      <c r="F1254" s="1">
        <v>3</v>
      </c>
      <c r="G1254" s="1">
        <v>70</v>
      </c>
      <c r="H1254" s="10" t="s">
        <v>2122</v>
      </c>
      <c r="I1254" s="1">
        <v>35000</v>
      </c>
      <c r="J1254" s="1">
        <v>20</v>
      </c>
      <c r="K1254" s="1">
        <v>0</v>
      </c>
      <c r="L1254" s="1">
        <v>37500</v>
      </c>
      <c r="M1254" s="1" t="s">
        <v>2009</v>
      </c>
      <c r="N1254" s="1" t="s">
        <v>1086</v>
      </c>
      <c r="O1254" s="1">
        <v>0</v>
      </c>
      <c r="P1254" s="1" t="s">
        <v>2059</v>
      </c>
      <c r="Q1254" s="7" t="str">
        <f t="shared" si="24"/>
        <v>equipment/2318.png</v>
      </c>
      <c r="R1254" s="1">
        <v>0</v>
      </c>
    </row>
    <row r="1255" spans="1:18" ht="14.25" thickBot="1">
      <c r="A1255" s="1" t="s">
        <v>1053</v>
      </c>
      <c r="B1255" s="2">
        <v>0</v>
      </c>
      <c r="C1255" s="9" t="s">
        <v>2673</v>
      </c>
      <c r="D1255" s="1" t="s">
        <v>13</v>
      </c>
      <c r="E1255" s="1">
        <v>6</v>
      </c>
      <c r="F1255" s="1">
        <v>3</v>
      </c>
      <c r="G1255" s="1">
        <v>70</v>
      </c>
      <c r="H1255" s="10" t="s">
        <v>2122</v>
      </c>
      <c r="I1255" s="1">
        <v>36500</v>
      </c>
      <c r="J1255" s="1">
        <v>20</v>
      </c>
      <c r="K1255" s="1">
        <v>0</v>
      </c>
      <c r="L1255" s="1">
        <v>40000</v>
      </c>
      <c r="M1255" s="1" t="s">
        <v>2009</v>
      </c>
      <c r="N1255" s="1" t="s">
        <v>1086</v>
      </c>
      <c r="O1255" s="1">
        <v>0</v>
      </c>
      <c r="P1255" s="1" t="s">
        <v>2059</v>
      </c>
      <c r="Q1255" s="7" t="str">
        <f t="shared" si="24"/>
        <v>equipment/2301.png</v>
      </c>
      <c r="R1255" s="1">
        <v>0</v>
      </c>
    </row>
    <row r="1256" spans="1:18" ht="14.25" thickBot="1">
      <c r="A1256" s="1" t="s">
        <v>1054</v>
      </c>
      <c r="B1256" s="3">
        <v>1</v>
      </c>
      <c r="C1256" s="1" t="s">
        <v>2674</v>
      </c>
      <c r="D1256" s="1" t="s">
        <v>11</v>
      </c>
      <c r="E1256" s="1">
        <v>4</v>
      </c>
      <c r="F1256" s="1">
        <v>3</v>
      </c>
      <c r="G1256" s="1">
        <v>70</v>
      </c>
      <c r="H1256" s="10">
        <v>0</v>
      </c>
      <c r="I1256" s="1">
        <v>35000</v>
      </c>
      <c r="J1256" s="1">
        <v>20</v>
      </c>
      <c r="K1256" s="1">
        <v>0</v>
      </c>
      <c r="L1256" s="1">
        <v>37500</v>
      </c>
      <c r="M1256" s="1" t="s">
        <v>2483</v>
      </c>
      <c r="N1256" s="1" t="s">
        <v>1085</v>
      </c>
      <c r="O1256" s="1">
        <v>0</v>
      </c>
      <c r="P1256" s="1" t="s">
        <v>2059</v>
      </c>
      <c r="Q1256" s="7" t="str">
        <f t="shared" si="24"/>
        <v>equipment/5018.png</v>
      </c>
      <c r="R1256" s="1">
        <v>0</v>
      </c>
    </row>
    <row r="1257" spans="1:18" ht="14.25" thickBot="1">
      <c r="A1257" s="1" t="s">
        <v>1055</v>
      </c>
      <c r="B1257" s="2">
        <v>0</v>
      </c>
      <c r="C1257" s="1" t="s">
        <v>2675</v>
      </c>
      <c r="D1257" s="1" t="s">
        <v>11</v>
      </c>
      <c r="E1257" s="1">
        <v>4</v>
      </c>
      <c r="F1257" s="1">
        <v>3</v>
      </c>
      <c r="G1257" s="1">
        <v>70</v>
      </c>
      <c r="H1257" s="10">
        <v>0</v>
      </c>
      <c r="I1257" s="1">
        <v>36500</v>
      </c>
      <c r="J1257" s="1">
        <v>20</v>
      </c>
      <c r="K1257" s="1">
        <v>0</v>
      </c>
      <c r="L1257" s="1">
        <v>40000</v>
      </c>
      <c r="M1257" s="1" t="s">
        <v>1811</v>
      </c>
      <c r="N1257" s="1" t="s">
        <v>1085</v>
      </c>
      <c r="O1257" s="1">
        <v>0</v>
      </c>
      <c r="P1257" s="1" t="s">
        <v>2059</v>
      </c>
      <c r="Q1257" s="7" t="str">
        <f t="shared" si="24"/>
        <v>equipment/5001.png</v>
      </c>
      <c r="R1257" s="1">
        <v>0</v>
      </c>
    </row>
    <row r="1258" spans="1:18" ht="14.25" thickBot="1">
      <c r="A1258" s="1" t="s">
        <v>1056</v>
      </c>
      <c r="B1258" s="3">
        <v>1</v>
      </c>
      <c r="C1258" s="1" t="s">
        <v>2676</v>
      </c>
      <c r="D1258" s="1" t="s">
        <v>14</v>
      </c>
      <c r="E1258" s="1">
        <v>7</v>
      </c>
      <c r="F1258" s="1">
        <v>3</v>
      </c>
      <c r="G1258" s="1">
        <v>70</v>
      </c>
      <c r="H1258" s="10">
        <v>0</v>
      </c>
      <c r="I1258" s="1">
        <v>35000</v>
      </c>
      <c r="J1258" s="1">
        <v>20</v>
      </c>
      <c r="K1258" s="1">
        <v>0</v>
      </c>
      <c r="L1258" s="1">
        <v>37500</v>
      </c>
      <c r="M1258" s="1" t="s">
        <v>2483</v>
      </c>
      <c r="N1258" s="1" t="s">
        <v>1085</v>
      </c>
      <c r="O1258" s="1">
        <v>0</v>
      </c>
      <c r="P1258" s="1" t="s">
        <v>2059</v>
      </c>
      <c r="Q1258" s="7" t="str">
        <f t="shared" si="24"/>
        <v>equipment/7018.png</v>
      </c>
      <c r="R1258" s="1">
        <v>0</v>
      </c>
    </row>
    <row r="1259" spans="1:18" ht="14.25" thickBot="1">
      <c r="A1259" s="1" t="s">
        <v>1057</v>
      </c>
      <c r="B1259" s="2">
        <v>0</v>
      </c>
      <c r="C1259" s="1" t="s">
        <v>2677</v>
      </c>
      <c r="D1259" s="1" t="s">
        <v>14</v>
      </c>
      <c r="E1259" s="1">
        <v>7</v>
      </c>
      <c r="F1259" s="1">
        <v>3</v>
      </c>
      <c r="G1259" s="1">
        <v>70</v>
      </c>
      <c r="H1259" s="10">
        <v>0</v>
      </c>
      <c r="I1259" s="1">
        <v>36500</v>
      </c>
      <c r="J1259" s="1">
        <v>20</v>
      </c>
      <c r="K1259" s="1">
        <v>0</v>
      </c>
      <c r="L1259" s="1">
        <v>40000</v>
      </c>
      <c r="M1259" s="1" t="s">
        <v>1811</v>
      </c>
      <c r="N1259" s="1" t="s">
        <v>1085</v>
      </c>
      <c r="O1259" s="1">
        <v>0</v>
      </c>
      <c r="P1259" s="1" t="s">
        <v>2059</v>
      </c>
      <c r="Q1259" s="7" t="str">
        <f t="shared" si="24"/>
        <v>equipment/7001.png</v>
      </c>
      <c r="R1259" s="1">
        <v>0</v>
      </c>
    </row>
    <row r="1260" spans="1:18" ht="14.25" thickBot="1">
      <c r="A1260" s="1">
        <v>30750010</v>
      </c>
      <c r="B1260" s="3">
        <f>B798</f>
        <v>1</v>
      </c>
      <c r="C1260" s="1" t="s">
        <v>2678</v>
      </c>
      <c r="D1260" s="1" t="s">
        <v>8</v>
      </c>
      <c r="E1260" s="1">
        <v>1</v>
      </c>
      <c r="F1260" s="1">
        <v>3</v>
      </c>
      <c r="G1260" s="1">
        <v>75</v>
      </c>
      <c r="H1260" s="10">
        <v>0</v>
      </c>
      <c r="I1260" s="1">
        <f>I336*5</f>
        <v>38000</v>
      </c>
      <c r="J1260" s="1">
        <v>20</v>
      </c>
      <c r="K1260" s="1">
        <v>0</v>
      </c>
      <c r="L1260" s="1">
        <f>L1238+2500</f>
        <v>40000</v>
      </c>
      <c r="M1260" s="1" t="str">
        <f>M798</f>
        <v>106_2633_2633</v>
      </c>
      <c r="N1260" s="1" t="s">
        <v>2428</v>
      </c>
      <c r="O1260" s="1">
        <v>0</v>
      </c>
      <c r="P1260" s="1" t="s">
        <v>2059</v>
      </c>
      <c r="Q1260" s="7" t="str">
        <f t="shared" si="24"/>
        <v>equipment/3013.png</v>
      </c>
      <c r="R1260" s="1">
        <v>0</v>
      </c>
    </row>
    <row r="1261" spans="1:18" ht="14.25" thickBot="1">
      <c r="A1261" s="1">
        <v>30750020</v>
      </c>
      <c r="B1261" s="3">
        <f t="shared" ref="B1261:B1324" si="25">B799</f>
        <v>1</v>
      </c>
      <c r="C1261" s="1" t="s">
        <v>2679</v>
      </c>
      <c r="D1261" s="1" t="s">
        <v>9</v>
      </c>
      <c r="E1261" s="1">
        <v>2</v>
      </c>
      <c r="F1261" s="1">
        <v>3</v>
      </c>
      <c r="G1261" s="1">
        <v>75</v>
      </c>
      <c r="H1261" s="10">
        <v>0</v>
      </c>
      <c r="I1261" s="1">
        <f t="shared" ref="I1261:I1324" si="26">I337*5</f>
        <v>38000</v>
      </c>
      <c r="J1261" s="1">
        <v>20</v>
      </c>
      <c r="K1261" s="1">
        <v>0</v>
      </c>
      <c r="L1261" s="1">
        <f t="shared" ref="L1261:L1324" si="27">L1239+2500</f>
        <v>40000</v>
      </c>
      <c r="M1261" s="1" t="str">
        <f t="shared" ref="M1261:M1324" si="28">M799</f>
        <v>102_1760_1760</v>
      </c>
      <c r="N1261" s="1" t="s">
        <v>2428</v>
      </c>
      <c r="O1261" s="1">
        <v>0</v>
      </c>
      <c r="P1261" s="1" t="s">
        <v>2059</v>
      </c>
      <c r="Q1261" s="7" t="str">
        <f t="shared" si="24"/>
        <v>equipment/14013.png</v>
      </c>
      <c r="R1261" s="1">
        <v>0</v>
      </c>
    </row>
    <row r="1262" spans="1:18" ht="14.25" thickBot="1">
      <c r="A1262" s="1">
        <v>30750030</v>
      </c>
      <c r="B1262" s="3">
        <f t="shared" si="25"/>
        <v>1</v>
      </c>
      <c r="C1262" s="1" t="s">
        <v>2680</v>
      </c>
      <c r="D1262" s="1" t="s">
        <v>10</v>
      </c>
      <c r="E1262" s="1">
        <v>3</v>
      </c>
      <c r="F1262" s="1">
        <v>3</v>
      </c>
      <c r="G1262" s="1">
        <v>75</v>
      </c>
      <c r="H1262" s="10">
        <v>0</v>
      </c>
      <c r="I1262" s="1">
        <f t="shared" si="26"/>
        <v>38000</v>
      </c>
      <c r="J1262" s="1">
        <v>20</v>
      </c>
      <c r="K1262" s="1">
        <v>0</v>
      </c>
      <c r="L1262" s="1">
        <f t="shared" si="27"/>
        <v>40000</v>
      </c>
      <c r="M1262" s="1" t="str">
        <f t="shared" si="28"/>
        <v>101_21600_21600</v>
      </c>
      <c r="N1262" s="1" t="s">
        <v>2428</v>
      </c>
      <c r="O1262" s="1">
        <v>0</v>
      </c>
      <c r="P1262" s="1" t="s">
        <v>2059</v>
      </c>
      <c r="Q1262" s="7" t="str">
        <f t="shared" si="24"/>
        <v>equipment/6014.png</v>
      </c>
      <c r="R1262" s="1">
        <v>0</v>
      </c>
    </row>
    <row r="1263" spans="1:18" ht="14.25" thickBot="1">
      <c r="A1263" s="1">
        <v>30750080</v>
      </c>
      <c r="B1263" s="3">
        <f t="shared" si="25"/>
        <v>1</v>
      </c>
      <c r="C1263" s="1" t="s">
        <v>2681</v>
      </c>
      <c r="D1263" s="1" t="s">
        <v>15</v>
      </c>
      <c r="E1263" s="1">
        <v>8</v>
      </c>
      <c r="F1263" s="1">
        <v>3</v>
      </c>
      <c r="G1263" s="1">
        <v>75</v>
      </c>
      <c r="H1263" s="10">
        <v>0</v>
      </c>
      <c r="I1263" s="1">
        <f t="shared" si="26"/>
        <v>38000</v>
      </c>
      <c r="J1263" s="1">
        <v>20</v>
      </c>
      <c r="K1263" s="1">
        <v>0</v>
      </c>
      <c r="L1263" s="1">
        <f t="shared" si="27"/>
        <v>40000</v>
      </c>
      <c r="M1263" s="1" t="str">
        <f t="shared" si="28"/>
        <v>110_515_515</v>
      </c>
      <c r="N1263" s="1" t="s">
        <v>2428</v>
      </c>
      <c r="O1263" s="1">
        <v>0</v>
      </c>
      <c r="P1263" s="1" t="s">
        <v>2059</v>
      </c>
      <c r="Q1263" s="7" t="str">
        <f t="shared" si="24"/>
        <v>equipment/8014.png</v>
      </c>
      <c r="R1263" s="1">
        <v>0</v>
      </c>
    </row>
    <row r="1264" spans="1:18" ht="14.25" thickBot="1">
      <c r="A1264" s="1">
        <v>30750090</v>
      </c>
      <c r="B1264" s="3">
        <f t="shared" si="25"/>
        <v>1</v>
      </c>
      <c r="C1264" s="1" t="s">
        <v>2682</v>
      </c>
      <c r="D1264" s="1" t="s">
        <v>16</v>
      </c>
      <c r="E1264" s="1">
        <v>9</v>
      </c>
      <c r="F1264" s="1">
        <v>3</v>
      </c>
      <c r="G1264" s="1">
        <v>75</v>
      </c>
      <c r="H1264" s="10">
        <v>0</v>
      </c>
      <c r="I1264" s="1">
        <f t="shared" si="26"/>
        <v>38000</v>
      </c>
      <c r="J1264" s="1">
        <v>20</v>
      </c>
      <c r="K1264" s="1">
        <v>0</v>
      </c>
      <c r="L1264" s="1">
        <f t="shared" si="27"/>
        <v>40000</v>
      </c>
      <c r="M1264" s="1" t="str">
        <f t="shared" si="28"/>
        <v>108_4631_4631</v>
      </c>
      <c r="N1264" s="1" t="s">
        <v>2428</v>
      </c>
      <c r="O1264" s="1">
        <v>0</v>
      </c>
      <c r="P1264" s="1" t="s">
        <v>2059</v>
      </c>
      <c r="Q1264" s="7" t="str">
        <f t="shared" si="24"/>
        <v>equipment/10012.png</v>
      </c>
      <c r="R1264" s="1">
        <v>0</v>
      </c>
    </row>
    <row r="1265" spans="1:18" ht="14.25" thickBot="1">
      <c r="A1265" s="1">
        <v>30750100</v>
      </c>
      <c r="B1265" s="3">
        <f t="shared" si="25"/>
        <v>1</v>
      </c>
      <c r="C1265" s="1" t="s">
        <v>2683</v>
      </c>
      <c r="D1265" s="1" t="s">
        <v>17</v>
      </c>
      <c r="E1265" s="1">
        <v>10</v>
      </c>
      <c r="F1265" s="1">
        <v>3</v>
      </c>
      <c r="G1265" s="1">
        <v>75</v>
      </c>
      <c r="H1265" s="10">
        <v>0</v>
      </c>
      <c r="I1265" s="1">
        <f t="shared" si="26"/>
        <v>38000</v>
      </c>
      <c r="J1265" s="1">
        <v>20</v>
      </c>
      <c r="K1265" s="1">
        <v>0</v>
      </c>
      <c r="L1265" s="1">
        <f t="shared" si="27"/>
        <v>40000</v>
      </c>
      <c r="M1265" s="1" t="str">
        <f t="shared" si="28"/>
        <v>107_2633_2633</v>
      </c>
      <c r="N1265" s="1" t="s">
        <v>2428</v>
      </c>
      <c r="O1265" s="1">
        <v>0</v>
      </c>
      <c r="P1265" s="1" t="s">
        <v>2059</v>
      </c>
      <c r="Q1265" s="7" t="str">
        <f t="shared" si="24"/>
        <v>equipment/12013.png</v>
      </c>
      <c r="R1265" s="1">
        <v>0</v>
      </c>
    </row>
    <row r="1266" spans="1:18" ht="14.25" thickBot="1">
      <c r="A1266" s="1">
        <v>30751050</v>
      </c>
      <c r="B1266" s="3">
        <f t="shared" si="25"/>
        <v>1</v>
      </c>
      <c r="C1266" s="9" t="s">
        <v>2684</v>
      </c>
      <c r="D1266" s="1" t="s">
        <v>12</v>
      </c>
      <c r="E1266" s="1">
        <v>5</v>
      </c>
      <c r="F1266" s="1">
        <v>3</v>
      </c>
      <c r="G1266" s="1">
        <v>75</v>
      </c>
      <c r="H1266" s="10" t="s">
        <v>2120</v>
      </c>
      <c r="I1266" s="1">
        <f t="shared" si="26"/>
        <v>38000</v>
      </c>
      <c r="J1266" s="1">
        <v>20</v>
      </c>
      <c r="K1266" s="1">
        <v>0</v>
      </c>
      <c r="L1266" s="1">
        <f t="shared" si="27"/>
        <v>40000</v>
      </c>
      <c r="M1266" s="1" t="str">
        <f t="shared" si="28"/>
        <v>103_3811_3811,104_7622_7622</v>
      </c>
      <c r="N1266" s="1" t="s">
        <v>2429</v>
      </c>
      <c r="O1266" s="1">
        <v>0</v>
      </c>
      <c r="P1266" s="1" t="s">
        <v>2059</v>
      </c>
      <c r="Q1266" s="7" t="str">
        <f t="shared" si="24"/>
        <v>equipment/1126.png</v>
      </c>
      <c r="R1266" s="1">
        <v>0</v>
      </c>
    </row>
    <row r="1267" spans="1:18" ht="14.25" thickBot="1">
      <c r="A1267" s="1">
        <v>30751051</v>
      </c>
      <c r="B1267" s="3">
        <f t="shared" si="25"/>
        <v>1</v>
      </c>
      <c r="C1267" s="9" t="s">
        <v>2685</v>
      </c>
      <c r="D1267" s="1" t="s">
        <v>12</v>
      </c>
      <c r="E1267" s="1">
        <v>5</v>
      </c>
      <c r="F1267" s="1">
        <v>3</v>
      </c>
      <c r="G1267" s="1">
        <v>75</v>
      </c>
      <c r="H1267" s="10" t="s">
        <v>2120</v>
      </c>
      <c r="I1267" s="1">
        <f t="shared" si="26"/>
        <v>39500</v>
      </c>
      <c r="J1267" s="1">
        <v>20</v>
      </c>
      <c r="K1267" s="1">
        <v>0</v>
      </c>
      <c r="L1267" s="1">
        <f t="shared" si="27"/>
        <v>42500</v>
      </c>
      <c r="M1267" s="1" t="str">
        <f t="shared" si="28"/>
        <v>103_4019_4019,104_8038_8038</v>
      </c>
      <c r="N1267" s="1" t="s">
        <v>2429</v>
      </c>
      <c r="O1267" s="1">
        <v>0</v>
      </c>
      <c r="P1267" s="1" t="s">
        <v>2059</v>
      </c>
      <c r="Q1267" s="7" t="str">
        <f t="shared" si="24"/>
        <v>equipment/1127.png</v>
      </c>
      <c r="R1267" s="1">
        <v>0</v>
      </c>
    </row>
    <row r="1268" spans="1:18" ht="14.25" thickBot="1">
      <c r="A1268" s="1">
        <v>30751060</v>
      </c>
      <c r="B1268" s="3">
        <f t="shared" si="25"/>
        <v>1</v>
      </c>
      <c r="C1268" s="9" t="s">
        <v>2686</v>
      </c>
      <c r="D1268" s="1" t="s">
        <v>13</v>
      </c>
      <c r="E1268" s="1">
        <v>6</v>
      </c>
      <c r="F1268" s="1">
        <v>3</v>
      </c>
      <c r="G1268" s="1">
        <v>75</v>
      </c>
      <c r="H1268" s="10" t="s">
        <v>2120</v>
      </c>
      <c r="I1268" s="1">
        <f t="shared" si="26"/>
        <v>38000</v>
      </c>
      <c r="J1268" s="1">
        <v>20</v>
      </c>
      <c r="K1268" s="1">
        <v>0</v>
      </c>
      <c r="L1268" s="1">
        <f t="shared" si="27"/>
        <v>40000</v>
      </c>
      <c r="M1268" s="1" t="str">
        <f t="shared" si="28"/>
        <v>105_3945_3945</v>
      </c>
      <c r="N1268" s="1" t="s">
        <v>2429</v>
      </c>
      <c r="O1268" s="1">
        <v>0</v>
      </c>
      <c r="P1268" s="1" t="s">
        <v>2059</v>
      </c>
      <c r="Q1268" s="7" t="str">
        <f t="shared" si="24"/>
        <v>equipment/2121.png</v>
      </c>
      <c r="R1268" s="1">
        <v>0</v>
      </c>
    </row>
    <row r="1269" spans="1:18" ht="14.25" thickBot="1">
      <c r="A1269" s="1">
        <v>30751061</v>
      </c>
      <c r="B1269" s="3">
        <f t="shared" si="25"/>
        <v>1</v>
      </c>
      <c r="C1269" s="9" t="s">
        <v>2687</v>
      </c>
      <c r="D1269" s="1" t="s">
        <v>13</v>
      </c>
      <c r="E1269" s="1">
        <v>6</v>
      </c>
      <c r="F1269" s="1">
        <v>3</v>
      </c>
      <c r="G1269" s="1">
        <v>75</v>
      </c>
      <c r="H1269" s="10" t="s">
        <v>2120</v>
      </c>
      <c r="I1269" s="1">
        <f t="shared" si="26"/>
        <v>39500</v>
      </c>
      <c r="J1269" s="1">
        <v>20</v>
      </c>
      <c r="K1269" s="1">
        <v>0</v>
      </c>
      <c r="L1269" s="1">
        <f t="shared" si="27"/>
        <v>42500</v>
      </c>
      <c r="M1269" s="1" t="str">
        <f t="shared" si="28"/>
        <v>105_4082_4082</v>
      </c>
      <c r="N1269" s="1" t="s">
        <v>2429</v>
      </c>
      <c r="O1269" s="1">
        <v>0</v>
      </c>
      <c r="P1269" s="1" t="s">
        <v>2059</v>
      </c>
      <c r="Q1269" s="7" t="str">
        <f t="shared" si="24"/>
        <v>equipment/2123.png</v>
      </c>
      <c r="R1269" s="1">
        <v>0</v>
      </c>
    </row>
    <row r="1270" spans="1:18" ht="14.25" thickBot="1">
      <c r="A1270" s="1">
        <v>30752050</v>
      </c>
      <c r="B1270" s="3">
        <f t="shared" si="25"/>
        <v>1</v>
      </c>
      <c r="C1270" s="1" t="s">
        <v>2688</v>
      </c>
      <c r="D1270" s="1" t="s">
        <v>12</v>
      </c>
      <c r="E1270" s="1">
        <v>5</v>
      </c>
      <c r="F1270" s="1">
        <v>3</v>
      </c>
      <c r="G1270" s="1">
        <v>75</v>
      </c>
      <c r="H1270" s="10" t="s">
        <v>2121</v>
      </c>
      <c r="I1270" s="1">
        <f t="shared" si="26"/>
        <v>38000</v>
      </c>
      <c r="J1270" s="1">
        <v>20</v>
      </c>
      <c r="K1270" s="1">
        <v>0</v>
      </c>
      <c r="L1270" s="1">
        <f t="shared" si="27"/>
        <v>40000</v>
      </c>
      <c r="M1270" s="1" t="str">
        <f t="shared" si="28"/>
        <v>103_3811_3811,104_7622_7622</v>
      </c>
      <c r="N1270" s="1" t="s">
        <v>2429</v>
      </c>
      <c r="O1270" s="1">
        <v>0</v>
      </c>
      <c r="P1270" s="1" t="s">
        <v>2059</v>
      </c>
      <c r="Q1270" s="7" t="str">
        <f t="shared" si="24"/>
        <v>equipment/1225.png</v>
      </c>
      <c r="R1270" s="1">
        <v>0</v>
      </c>
    </row>
    <row r="1271" spans="1:18" ht="14.25" thickBot="1">
      <c r="A1271" s="1">
        <v>30752051</v>
      </c>
      <c r="B1271" s="3">
        <f t="shared" si="25"/>
        <v>1</v>
      </c>
      <c r="C1271" s="1" t="s">
        <v>2689</v>
      </c>
      <c r="D1271" s="1" t="s">
        <v>12</v>
      </c>
      <c r="E1271" s="1">
        <v>5</v>
      </c>
      <c r="F1271" s="1">
        <v>3</v>
      </c>
      <c r="G1271" s="1">
        <v>75</v>
      </c>
      <c r="H1271" s="10" t="s">
        <v>2121</v>
      </c>
      <c r="I1271" s="1">
        <f t="shared" si="26"/>
        <v>39500</v>
      </c>
      <c r="J1271" s="1">
        <v>20</v>
      </c>
      <c r="K1271" s="1">
        <v>0</v>
      </c>
      <c r="L1271" s="1">
        <f t="shared" si="27"/>
        <v>42500</v>
      </c>
      <c r="M1271" s="1" t="str">
        <f t="shared" si="28"/>
        <v>103_4019_4019,104_8038_8038</v>
      </c>
      <c r="N1271" s="1" t="s">
        <v>2429</v>
      </c>
      <c r="O1271" s="1">
        <v>0</v>
      </c>
      <c r="P1271" s="1" t="s">
        <v>2059</v>
      </c>
      <c r="Q1271" s="7" t="str">
        <f t="shared" si="24"/>
        <v>equipment/1226.png</v>
      </c>
      <c r="R1271" s="1">
        <v>0</v>
      </c>
    </row>
    <row r="1272" spans="1:18" ht="14.25" thickBot="1">
      <c r="A1272" s="1">
        <v>30752060</v>
      </c>
      <c r="B1272" s="3">
        <f t="shared" si="25"/>
        <v>1</v>
      </c>
      <c r="C1272" s="9" t="s">
        <v>2690</v>
      </c>
      <c r="D1272" s="1" t="s">
        <v>13</v>
      </c>
      <c r="E1272" s="1">
        <v>6</v>
      </c>
      <c r="F1272" s="1">
        <v>3</v>
      </c>
      <c r="G1272" s="1">
        <v>75</v>
      </c>
      <c r="H1272" s="10" t="s">
        <v>2121</v>
      </c>
      <c r="I1272" s="1">
        <f t="shared" si="26"/>
        <v>38000</v>
      </c>
      <c r="J1272" s="1">
        <v>20</v>
      </c>
      <c r="K1272" s="1">
        <v>0</v>
      </c>
      <c r="L1272" s="1">
        <f t="shared" si="27"/>
        <v>40000</v>
      </c>
      <c r="M1272" s="1" t="str">
        <f t="shared" si="28"/>
        <v>108_3945_3945</v>
      </c>
      <c r="N1272" s="1" t="s">
        <v>2429</v>
      </c>
      <c r="O1272" s="1">
        <v>0</v>
      </c>
      <c r="P1272" s="1" t="s">
        <v>2059</v>
      </c>
      <c r="Q1272" s="7" t="str">
        <f t="shared" si="24"/>
        <v>equipment/2219.png</v>
      </c>
      <c r="R1272" s="1">
        <v>0</v>
      </c>
    </row>
    <row r="1273" spans="1:18" ht="14.25" thickBot="1">
      <c r="A1273" s="1">
        <v>30752061</v>
      </c>
      <c r="B1273" s="3">
        <f t="shared" si="25"/>
        <v>1</v>
      </c>
      <c r="C1273" s="9" t="s">
        <v>2691</v>
      </c>
      <c r="D1273" s="1" t="s">
        <v>13</v>
      </c>
      <c r="E1273" s="1">
        <v>6</v>
      </c>
      <c r="F1273" s="1">
        <v>3</v>
      </c>
      <c r="G1273" s="1">
        <v>75</v>
      </c>
      <c r="H1273" s="10" t="s">
        <v>2121</v>
      </c>
      <c r="I1273" s="1">
        <f t="shared" si="26"/>
        <v>39500</v>
      </c>
      <c r="J1273" s="1">
        <v>20</v>
      </c>
      <c r="K1273" s="1">
        <v>0</v>
      </c>
      <c r="L1273" s="1">
        <f t="shared" si="27"/>
        <v>42500</v>
      </c>
      <c r="M1273" s="1" t="str">
        <f t="shared" si="28"/>
        <v>108_4082_4082</v>
      </c>
      <c r="N1273" s="1" t="s">
        <v>2429</v>
      </c>
      <c r="O1273" s="1">
        <v>0</v>
      </c>
      <c r="P1273" s="1" t="s">
        <v>2059</v>
      </c>
      <c r="Q1273" s="7" t="str">
        <f t="shared" si="24"/>
        <v>equipment/2220.png</v>
      </c>
      <c r="R1273" s="1">
        <v>0</v>
      </c>
    </row>
    <row r="1274" spans="1:18" ht="14.25" thickBot="1">
      <c r="A1274" s="1">
        <v>30753050</v>
      </c>
      <c r="B1274" s="3">
        <f t="shared" si="25"/>
        <v>1</v>
      </c>
      <c r="C1274" s="9" t="s">
        <v>2692</v>
      </c>
      <c r="D1274" s="1" t="s">
        <v>12</v>
      </c>
      <c r="E1274" s="1">
        <v>5</v>
      </c>
      <c r="F1274" s="1">
        <v>3</v>
      </c>
      <c r="G1274" s="1">
        <v>75</v>
      </c>
      <c r="H1274" s="10" t="s">
        <v>2122</v>
      </c>
      <c r="I1274" s="1">
        <f t="shared" si="26"/>
        <v>38000</v>
      </c>
      <c r="J1274" s="1">
        <v>20</v>
      </c>
      <c r="K1274" s="1">
        <v>0</v>
      </c>
      <c r="L1274" s="1">
        <f t="shared" si="27"/>
        <v>40000</v>
      </c>
      <c r="M1274" s="1" t="str">
        <f t="shared" si="28"/>
        <v>103_3811_3811,104_7622_7622</v>
      </c>
      <c r="N1274" s="1" t="s">
        <v>2429</v>
      </c>
      <c r="O1274" s="1">
        <v>0</v>
      </c>
      <c r="P1274" s="1" t="s">
        <v>2059</v>
      </c>
      <c r="Q1274" s="7" t="str">
        <f t="shared" si="24"/>
        <v>equipment/1326.png</v>
      </c>
      <c r="R1274" s="1">
        <v>0</v>
      </c>
    </row>
    <row r="1275" spans="1:18" ht="14.25" thickBot="1">
      <c r="A1275" s="1">
        <v>30753051</v>
      </c>
      <c r="B1275" s="3">
        <f t="shared" si="25"/>
        <v>1</v>
      </c>
      <c r="C1275" s="9" t="s">
        <v>2693</v>
      </c>
      <c r="D1275" s="1" t="s">
        <v>12</v>
      </c>
      <c r="E1275" s="1">
        <v>5</v>
      </c>
      <c r="F1275" s="1">
        <v>3</v>
      </c>
      <c r="G1275" s="1">
        <v>75</v>
      </c>
      <c r="H1275" s="10" t="s">
        <v>2122</v>
      </c>
      <c r="I1275" s="1">
        <f t="shared" si="26"/>
        <v>39500</v>
      </c>
      <c r="J1275" s="1">
        <v>20</v>
      </c>
      <c r="K1275" s="1">
        <v>0</v>
      </c>
      <c r="L1275" s="1">
        <f t="shared" si="27"/>
        <v>42500</v>
      </c>
      <c r="M1275" s="1" t="str">
        <f t="shared" si="28"/>
        <v>103_4019_4019,104_8038_8038</v>
      </c>
      <c r="N1275" s="1" t="s">
        <v>2429</v>
      </c>
      <c r="O1275" s="1">
        <v>0</v>
      </c>
      <c r="P1275" s="1" t="s">
        <v>2059</v>
      </c>
      <c r="Q1275" s="7" t="str">
        <f t="shared" si="24"/>
        <v>equipment/1325.png</v>
      </c>
      <c r="R1275" s="1">
        <v>0</v>
      </c>
    </row>
    <row r="1276" spans="1:18" ht="14.25" thickBot="1">
      <c r="A1276" s="1">
        <v>30753060</v>
      </c>
      <c r="B1276" s="3">
        <f t="shared" si="25"/>
        <v>1</v>
      </c>
      <c r="C1276" s="9" t="s">
        <v>2694</v>
      </c>
      <c r="D1276" s="1" t="s">
        <v>13</v>
      </c>
      <c r="E1276" s="1">
        <v>6</v>
      </c>
      <c r="F1276" s="1">
        <v>3</v>
      </c>
      <c r="G1276" s="1">
        <v>75</v>
      </c>
      <c r="H1276" s="10" t="s">
        <v>2122</v>
      </c>
      <c r="I1276" s="1">
        <f t="shared" si="26"/>
        <v>38000</v>
      </c>
      <c r="J1276" s="1">
        <v>20</v>
      </c>
      <c r="K1276" s="1">
        <v>0</v>
      </c>
      <c r="L1276" s="1">
        <f t="shared" si="27"/>
        <v>40000</v>
      </c>
      <c r="M1276" s="1" t="str">
        <f t="shared" si="28"/>
        <v>102_3350_3350</v>
      </c>
      <c r="N1276" s="1" t="s">
        <v>2429</v>
      </c>
      <c r="O1276" s="1">
        <v>0</v>
      </c>
      <c r="P1276" s="1" t="s">
        <v>2059</v>
      </c>
      <c r="Q1276" s="7" t="str">
        <f t="shared" si="24"/>
        <v>equipment/2319.png</v>
      </c>
      <c r="R1276" s="1">
        <v>0</v>
      </c>
    </row>
    <row r="1277" spans="1:18" ht="14.25" thickBot="1">
      <c r="A1277" s="1">
        <v>30753061</v>
      </c>
      <c r="B1277" s="3">
        <f t="shared" si="25"/>
        <v>1</v>
      </c>
      <c r="C1277" s="9" t="s">
        <v>2695</v>
      </c>
      <c r="D1277" s="1" t="s">
        <v>13</v>
      </c>
      <c r="E1277" s="1">
        <v>6</v>
      </c>
      <c r="F1277" s="1">
        <v>3</v>
      </c>
      <c r="G1277" s="1">
        <v>75</v>
      </c>
      <c r="H1277" s="10" t="s">
        <v>2122</v>
      </c>
      <c r="I1277" s="1">
        <f t="shared" si="26"/>
        <v>39500</v>
      </c>
      <c r="J1277" s="1">
        <v>20</v>
      </c>
      <c r="K1277" s="1">
        <v>0</v>
      </c>
      <c r="L1277" s="1">
        <f t="shared" si="27"/>
        <v>42500</v>
      </c>
      <c r="M1277" s="1" t="str">
        <f t="shared" si="28"/>
        <v>102_3450_3450</v>
      </c>
      <c r="N1277" s="1" t="s">
        <v>2429</v>
      </c>
      <c r="O1277" s="1">
        <v>0</v>
      </c>
      <c r="P1277" s="1" t="s">
        <v>2059</v>
      </c>
      <c r="Q1277" s="7" t="str">
        <f t="shared" si="24"/>
        <v>equipment/2321.png</v>
      </c>
      <c r="R1277" s="1">
        <v>0</v>
      </c>
    </row>
    <row r="1278" spans="1:18" ht="14.25" thickBot="1">
      <c r="A1278" s="1">
        <v>30750040</v>
      </c>
      <c r="B1278" s="3">
        <f t="shared" si="25"/>
        <v>1</v>
      </c>
      <c r="C1278" s="1" t="s">
        <v>2696</v>
      </c>
      <c r="D1278" s="1" t="s">
        <v>11</v>
      </c>
      <c r="E1278" s="1">
        <v>4</v>
      </c>
      <c r="F1278" s="1">
        <v>3</v>
      </c>
      <c r="G1278" s="1">
        <v>75</v>
      </c>
      <c r="H1278" s="10">
        <v>0</v>
      </c>
      <c r="I1278" s="1">
        <f t="shared" si="26"/>
        <v>38000</v>
      </c>
      <c r="J1278" s="1">
        <v>20</v>
      </c>
      <c r="K1278" s="1">
        <v>0</v>
      </c>
      <c r="L1278" s="1">
        <f t="shared" si="27"/>
        <v>40000</v>
      </c>
      <c r="M1278" s="1" t="str">
        <f t="shared" si="28"/>
        <v>105_2195_2195</v>
      </c>
      <c r="N1278" s="1" t="s">
        <v>2428</v>
      </c>
      <c r="O1278" s="1">
        <v>0</v>
      </c>
      <c r="P1278" s="1" t="s">
        <v>2059</v>
      </c>
      <c r="Q1278" s="7" t="str">
        <f t="shared" si="24"/>
        <v>equipment/5019.png</v>
      </c>
      <c r="R1278" s="1">
        <v>0</v>
      </c>
    </row>
    <row r="1279" spans="1:18" ht="14.25" thickBot="1">
      <c r="A1279" s="1">
        <v>30750041</v>
      </c>
      <c r="B1279" s="3">
        <f t="shared" si="25"/>
        <v>1</v>
      </c>
      <c r="C1279" s="1" t="s">
        <v>2697</v>
      </c>
      <c r="D1279" s="1" t="s">
        <v>11</v>
      </c>
      <c r="E1279" s="1">
        <v>4</v>
      </c>
      <c r="F1279" s="1">
        <v>3</v>
      </c>
      <c r="G1279" s="1">
        <v>75</v>
      </c>
      <c r="H1279" s="10">
        <v>0</v>
      </c>
      <c r="I1279" s="1">
        <f t="shared" si="26"/>
        <v>39500</v>
      </c>
      <c r="J1279" s="1">
        <v>20</v>
      </c>
      <c r="K1279" s="1">
        <v>0</v>
      </c>
      <c r="L1279" s="1">
        <f t="shared" si="27"/>
        <v>42500</v>
      </c>
      <c r="M1279" s="1" t="str">
        <f t="shared" si="28"/>
        <v>105_2346_2346</v>
      </c>
      <c r="N1279" s="1" t="s">
        <v>2428</v>
      </c>
      <c r="O1279" s="1">
        <v>0</v>
      </c>
      <c r="P1279" s="1" t="s">
        <v>2059</v>
      </c>
      <c r="Q1279" s="7" t="str">
        <f t="shared" si="24"/>
        <v>equipment/5020.png</v>
      </c>
      <c r="R1279" s="1">
        <v>0</v>
      </c>
    </row>
    <row r="1280" spans="1:18" ht="14.25" thickBot="1">
      <c r="A1280" s="1">
        <v>30750070</v>
      </c>
      <c r="B1280" s="3">
        <f t="shared" si="25"/>
        <v>1</v>
      </c>
      <c r="C1280" s="1" t="s">
        <v>2698</v>
      </c>
      <c r="D1280" s="1" t="s">
        <v>14</v>
      </c>
      <c r="E1280" s="1">
        <v>7</v>
      </c>
      <c r="F1280" s="1">
        <v>3</v>
      </c>
      <c r="G1280" s="1">
        <v>75</v>
      </c>
      <c r="H1280" s="10">
        <v>0</v>
      </c>
      <c r="I1280" s="1">
        <f t="shared" si="26"/>
        <v>38000</v>
      </c>
      <c r="J1280" s="1">
        <v>20</v>
      </c>
      <c r="K1280" s="1">
        <v>0</v>
      </c>
      <c r="L1280" s="1">
        <f t="shared" si="27"/>
        <v>40000</v>
      </c>
      <c r="M1280" s="1" t="str">
        <f t="shared" si="28"/>
        <v>105_2195_2195</v>
      </c>
      <c r="N1280" s="1" t="s">
        <v>2428</v>
      </c>
      <c r="O1280" s="1">
        <v>0</v>
      </c>
      <c r="P1280" s="1" t="s">
        <v>2059</v>
      </c>
      <c r="Q1280" s="7" t="str">
        <f t="shared" si="24"/>
        <v>equipment/7019.png</v>
      </c>
      <c r="R1280" s="1">
        <v>0</v>
      </c>
    </row>
    <row r="1281" spans="1:18" ht="14.25" thickBot="1">
      <c r="A1281" s="1">
        <v>30750071</v>
      </c>
      <c r="B1281" s="3">
        <f t="shared" si="25"/>
        <v>1</v>
      </c>
      <c r="C1281" s="1" t="s">
        <v>2699</v>
      </c>
      <c r="D1281" s="1" t="s">
        <v>14</v>
      </c>
      <c r="E1281" s="1">
        <v>7</v>
      </c>
      <c r="F1281" s="1">
        <v>3</v>
      </c>
      <c r="G1281" s="1">
        <v>75</v>
      </c>
      <c r="H1281" s="10">
        <v>0</v>
      </c>
      <c r="I1281" s="1">
        <f t="shared" si="26"/>
        <v>39500</v>
      </c>
      <c r="J1281" s="1">
        <v>20</v>
      </c>
      <c r="K1281" s="1">
        <v>0</v>
      </c>
      <c r="L1281" s="1">
        <f t="shared" si="27"/>
        <v>42500</v>
      </c>
      <c r="M1281" s="1" t="str">
        <f t="shared" si="28"/>
        <v>105_2346_2346</v>
      </c>
      <c r="N1281" s="1" t="s">
        <v>2428</v>
      </c>
      <c r="O1281" s="1">
        <v>0</v>
      </c>
      <c r="P1281" s="1" t="s">
        <v>2059</v>
      </c>
      <c r="Q1281" s="7" t="str">
        <f t="shared" si="24"/>
        <v>equipment/7020.png</v>
      </c>
      <c r="R1281" s="1">
        <v>0</v>
      </c>
    </row>
    <row r="1282" spans="1:18" ht="14.25" thickBot="1">
      <c r="A1282" s="1">
        <v>30800010</v>
      </c>
      <c r="B1282" s="3">
        <f t="shared" si="25"/>
        <v>1</v>
      </c>
      <c r="C1282" s="1" t="s">
        <v>2700</v>
      </c>
      <c r="D1282" s="1" t="s">
        <v>8</v>
      </c>
      <c r="E1282" s="1">
        <v>1</v>
      </c>
      <c r="F1282" s="1">
        <v>3</v>
      </c>
      <c r="G1282" s="1">
        <v>80</v>
      </c>
      <c r="H1282" s="10">
        <v>0</v>
      </c>
      <c r="I1282" s="1">
        <f t="shared" si="26"/>
        <v>41000</v>
      </c>
      <c r="J1282" s="1">
        <v>20</v>
      </c>
      <c r="K1282" s="1">
        <v>0</v>
      </c>
      <c r="L1282" s="1">
        <f t="shared" si="27"/>
        <v>42500</v>
      </c>
      <c r="M1282" s="1" t="str">
        <f t="shared" si="28"/>
        <v>106_3066_3066</v>
      </c>
      <c r="N1282" s="1" t="s">
        <v>2430</v>
      </c>
      <c r="O1282" s="1">
        <v>0</v>
      </c>
      <c r="P1282" s="1" t="s">
        <v>2059</v>
      </c>
      <c r="Q1282" s="7" t="str">
        <f t="shared" si="24"/>
        <v>equipment/3015.png</v>
      </c>
      <c r="R1282" s="1">
        <v>0</v>
      </c>
    </row>
    <row r="1283" spans="1:18" ht="14.25" thickBot="1">
      <c r="A1283" s="1">
        <v>30800020</v>
      </c>
      <c r="B1283" s="3">
        <f t="shared" si="25"/>
        <v>1</v>
      </c>
      <c r="C1283" s="1" t="s">
        <v>2701</v>
      </c>
      <c r="D1283" s="1" t="s">
        <v>9</v>
      </c>
      <c r="E1283" s="1">
        <v>2</v>
      </c>
      <c r="F1283" s="1">
        <v>3</v>
      </c>
      <c r="G1283" s="1">
        <v>80</v>
      </c>
      <c r="H1283" s="10">
        <v>0</v>
      </c>
      <c r="I1283" s="1">
        <f t="shared" si="26"/>
        <v>41000</v>
      </c>
      <c r="J1283" s="1">
        <v>20</v>
      </c>
      <c r="K1283" s="1">
        <v>0</v>
      </c>
      <c r="L1283" s="1">
        <f t="shared" si="27"/>
        <v>42500</v>
      </c>
      <c r="M1283" s="1" t="str">
        <f t="shared" si="28"/>
        <v>102_1900_1900</v>
      </c>
      <c r="N1283" s="1" t="s">
        <v>2430</v>
      </c>
      <c r="O1283" s="1">
        <v>0</v>
      </c>
      <c r="P1283" s="1" t="s">
        <v>2059</v>
      </c>
      <c r="Q1283" s="7" t="str">
        <f t="shared" si="24"/>
        <v>equipment/14014.png</v>
      </c>
      <c r="R1283" s="1">
        <v>0</v>
      </c>
    </row>
    <row r="1284" spans="1:18" ht="14.25" thickBot="1">
      <c r="A1284" s="1">
        <v>30800030</v>
      </c>
      <c r="B1284" s="3">
        <f t="shared" si="25"/>
        <v>1</v>
      </c>
      <c r="C1284" s="1" t="s">
        <v>2702</v>
      </c>
      <c r="D1284" s="1" t="s">
        <v>10</v>
      </c>
      <c r="E1284" s="1">
        <v>3</v>
      </c>
      <c r="F1284" s="1">
        <v>3</v>
      </c>
      <c r="G1284" s="1">
        <v>80</v>
      </c>
      <c r="H1284" s="10">
        <v>0</v>
      </c>
      <c r="I1284" s="1">
        <f t="shared" si="26"/>
        <v>41000</v>
      </c>
      <c r="J1284" s="1">
        <v>20</v>
      </c>
      <c r="K1284" s="1">
        <v>0</v>
      </c>
      <c r="L1284" s="1">
        <f t="shared" si="27"/>
        <v>42500</v>
      </c>
      <c r="M1284" s="1" t="str">
        <f t="shared" si="28"/>
        <v>101_24080_24080</v>
      </c>
      <c r="N1284" s="1" t="s">
        <v>2430</v>
      </c>
      <c r="O1284" s="1">
        <v>0</v>
      </c>
      <c r="P1284" s="1" t="s">
        <v>2059</v>
      </c>
      <c r="Q1284" s="7" t="str">
        <f t="shared" si="24"/>
        <v>equipment/6015.png</v>
      </c>
      <c r="R1284" s="1">
        <v>0</v>
      </c>
    </row>
    <row r="1285" spans="1:18" ht="14.25" thickBot="1">
      <c r="A1285" s="1">
        <v>30800080</v>
      </c>
      <c r="B1285" s="3">
        <f t="shared" si="25"/>
        <v>1</v>
      </c>
      <c r="C1285" s="1" t="s">
        <v>2703</v>
      </c>
      <c r="D1285" s="1" t="s">
        <v>15</v>
      </c>
      <c r="E1285" s="1">
        <v>8</v>
      </c>
      <c r="F1285" s="1">
        <v>3</v>
      </c>
      <c r="G1285" s="1">
        <v>80</v>
      </c>
      <c r="H1285" s="10">
        <v>0</v>
      </c>
      <c r="I1285" s="1">
        <f t="shared" si="26"/>
        <v>41000</v>
      </c>
      <c r="J1285" s="1">
        <v>20</v>
      </c>
      <c r="K1285" s="1">
        <v>0</v>
      </c>
      <c r="L1285" s="1">
        <f t="shared" si="27"/>
        <v>42500</v>
      </c>
      <c r="M1285" s="1" t="str">
        <f t="shared" si="28"/>
        <v>110_568_568</v>
      </c>
      <c r="N1285" s="1" t="s">
        <v>2430</v>
      </c>
      <c r="O1285" s="1">
        <v>0</v>
      </c>
      <c r="P1285" s="1" t="s">
        <v>2059</v>
      </c>
      <c r="Q1285" s="7" t="str">
        <f t="shared" si="24"/>
        <v>equipment/8015.png</v>
      </c>
      <c r="R1285" s="1">
        <v>0</v>
      </c>
    </row>
    <row r="1286" spans="1:18" ht="14.25" thickBot="1">
      <c r="A1286" s="1">
        <v>30800090</v>
      </c>
      <c r="B1286" s="3">
        <f t="shared" si="25"/>
        <v>1</v>
      </c>
      <c r="C1286" s="1" t="s">
        <v>2704</v>
      </c>
      <c r="D1286" s="1" t="s">
        <v>16</v>
      </c>
      <c r="E1286" s="1">
        <v>9</v>
      </c>
      <c r="F1286" s="1">
        <v>3</v>
      </c>
      <c r="G1286" s="1">
        <v>80</v>
      </c>
      <c r="H1286" s="10">
        <v>0</v>
      </c>
      <c r="I1286" s="1">
        <f t="shared" si="26"/>
        <v>41000</v>
      </c>
      <c r="J1286" s="1">
        <v>20</v>
      </c>
      <c r="K1286" s="1">
        <v>0</v>
      </c>
      <c r="L1286" s="1">
        <f t="shared" si="27"/>
        <v>42500</v>
      </c>
      <c r="M1286" s="1" t="str">
        <f t="shared" si="28"/>
        <v>108_5067_5067</v>
      </c>
      <c r="N1286" s="1" t="s">
        <v>2430</v>
      </c>
      <c r="O1286" s="1">
        <v>0</v>
      </c>
      <c r="P1286" s="1" t="s">
        <v>2059</v>
      </c>
      <c r="Q1286" s="7" t="str">
        <f t="shared" si="24"/>
        <v>equipment/10016.png</v>
      </c>
      <c r="R1286" s="1">
        <v>0</v>
      </c>
    </row>
    <row r="1287" spans="1:18" ht="14.25" thickBot="1">
      <c r="A1287" s="1">
        <v>30800100</v>
      </c>
      <c r="B1287" s="3">
        <f t="shared" si="25"/>
        <v>1</v>
      </c>
      <c r="C1287" s="1" t="s">
        <v>2705</v>
      </c>
      <c r="D1287" s="1" t="s">
        <v>17</v>
      </c>
      <c r="E1287" s="1">
        <v>10</v>
      </c>
      <c r="F1287" s="1">
        <v>3</v>
      </c>
      <c r="G1287" s="1">
        <v>80</v>
      </c>
      <c r="H1287" s="10">
        <v>0</v>
      </c>
      <c r="I1287" s="1">
        <f t="shared" si="26"/>
        <v>41000</v>
      </c>
      <c r="J1287" s="1">
        <v>20</v>
      </c>
      <c r="K1287" s="1">
        <v>0</v>
      </c>
      <c r="L1287" s="1">
        <f t="shared" si="27"/>
        <v>42500</v>
      </c>
      <c r="M1287" s="1" t="str">
        <f t="shared" si="28"/>
        <v>107_3066_3066</v>
      </c>
      <c r="N1287" s="1" t="s">
        <v>2430</v>
      </c>
      <c r="O1287" s="1">
        <v>0</v>
      </c>
      <c r="P1287" s="1" t="s">
        <v>2059</v>
      </c>
      <c r="Q1287" s="7" t="str">
        <f t="shared" si="24"/>
        <v>equipment/12015.png</v>
      </c>
      <c r="R1287" s="1">
        <v>0</v>
      </c>
    </row>
    <row r="1288" spans="1:18" ht="14.25" thickBot="1">
      <c r="A1288" s="1">
        <v>30801050</v>
      </c>
      <c r="B1288" s="3">
        <f t="shared" si="25"/>
        <v>1</v>
      </c>
      <c r="C1288" s="9" t="s">
        <v>2706</v>
      </c>
      <c r="D1288" s="1" t="s">
        <v>12</v>
      </c>
      <c r="E1288" s="1">
        <v>5</v>
      </c>
      <c r="F1288" s="1">
        <v>3</v>
      </c>
      <c r="G1288" s="1">
        <v>80</v>
      </c>
      <c r="H1288" s="10" t="s">
        <v>2120</v>
      </c>
      <c r="I1288" s="1">
        <f t="shared" si="26"/>
        <v>41000</v>
      </c>
      <c r="J1288" s="1">
        <v>20</v>
      </c>
      <c r="K1288" s="1">
        <v>0</v>
      </c>
      <c r="L1288" s="1">
        <f t="shared" si="27"/>
        <v>42500</v>
      </c>
      <c r="M1288" s="1" t="str">
        <f t="shared" si="28"/>
        <v>103_4331_4331,104_8662_8662</v>
      </c>
      <c r="N1288" s="1" t="s">
        <v>2431</v>
      </c>
      <c r="O1288" s="1">
        <v>0</v>
      </c>
      <c r="P1288" s="1" t="s">
        <v>2059</v>
      </c>
      <c r="Q1288" s="7" t="str">
        <f t="shared" si="24"/>
        <v>equipment/1130.png</v>
      </c>
      <c r="R1288" s="1">
        <v>0</v>
      </c>
    </row>
    <row r="1289" spans="1:18" ht="14.25" thickBot="1">
      <c r="A1289" s="1">
        <v>30801051</v>
      </c>
      <c r="B1289" s="3">
        <f t="shared" si="25"/>
        <v>1</v>
      </c>
      <c r="C1289" s="9" t="s">
        <v>2707</v>
      </c>
      <c r="D1289" s="1" t="s">
        <v>12</v>
      </c>
      <c r="E1289" s="1">
        <v>5</v>
      </c>
      <c r="F1289" s="1">
        <v>3</v>
      </c>
      <c r="G1289" s="1">
        <v>80</v>
      </c>
      <c r="H1289" s="10" t="s">
        <v>2120</v>
      </c>
      <c r="I1289" s="1">
        <f t="shared" si="26"/>
        <v>42500</v>
      </c>
      <c r="J1289" s="1">
        <v>20</v>
      </c>
      <c r="K1289" s="1">
        <v>0</v>
      </c>
      <c r="L1289" s="1">
        <f t="shared" si="27"/>
        <v>45000</v>
      </c>
      <c r="M1289" s="1" t="str">
        <f t="shared" si="28"/>
        <v>103_4552_4552,104_9105_9105</v>
      </c>
      <c r="N1289" s="1" t="s">
        <v>2431</v>
      </c>
      <c r="O1289" s="1">
        <v>0</v>
      </c>
      <c r="P1289" s="1" t="s">
        <v>2059</v>
      </c>
      <c r="Q1289" s="7" t="str">
        <f t="shared" si="24"/>
        <v>equipment/1125.png</v>
      </c>
      <c r="R1289" s="1">
        <v>0</v>
      </c>
    </row>
    <row r="1290" spans="1:18" ht="14.25" thickBot="1">
      <c r="A1290" s="1">
        <v>30801060</v>
      </c>
      <c r="B1290" s="3">
        <f t="shared" si="25"/>
        <v>1</v>
      </c>
      <c r="C1290" s="9" t="s">
        <v>2708</v>
      </c>
      <c r="D1290" s="1" t="s">
        <v>13</v>
      </c>
      <c r="E1290" s="1">
        <v>6</v>
      </c>
      <c r="F1290" s="1">
        <v>3</v>
      </c>
      <c r="G1290" s="1">
        <v>80</v>
      </c>
      <c r="H1290" s="10" t="s">
        <v>2120</v>
      </c>
      <c r="I1290" s="1">
        <f t="shared" si="26"/>
        <v>41000</v>
      </c>
      <c r="J1290" s="1">
        <v>20</v>
      </c>
      <c r="K1290" s="1">
        <v>0</v>
      </c>
      <c r="L1290" s="1">
        <f t="shared" si="27"/>
        <v>42500</v>
      </c>
      <c r="M1290" s="1" t="str">
        <f t="shared" si="28"/>
        <v>105_4288_4288</v>
      </c>
      <c r="N1290" s="1" t="s">
        <v>2431</v>
      </c>
      <c r="O1290" s="1">
        <v>0</v>
      </c>
      <c r="P1290" s="1" t="s">
        <v>2059</v>
      </c>
      <c r="Q1290" s="7" t="str">
        <f t="shared" si="24"/>
        <v>equipment/2122.png</v>
      </c>
      <c r="R1290" s="1">
        <v>0</v>
      </c>
    </row>
    <row r="1291" spans="1:18" ht="14.25" thickBot="1">
      <c r="A1291" s="1">
        <v>30801061</v>
      </c>
      <c r="B1291" s="3">
        <f t="shared" si="25"/>
        <v>1</v>
      </c>
      <c r="C1291" s="9" t="s">
        <v>2709</v>
      </c>
      <c r="D1291" s="1" t="s">
        <v>13</v>
      </c>
      <c r="E1291" s="1">
        <v>6</v>
      </c>
      <c r="F1291" s="1">
        <v>3</v>
      </c>
      <c r="G1291" s="1">
        <v>80</v>
      </c>
      <c r="H1291" s="10" t="s">
        <v>2120</v>
      </c>
      <c r="I1291" s="1">
        <f t="shared" si="26"/>
        <v>42500</v>
      </c>
      <c r="J1291" s="1">
        <v>20</v>
      </c>
      <c r="K1291" s="1">
        <v>0</v>
      </c>
      <c r="L1291" s="1">
        <f t="shared" si="27"/>
        <v>45000</v>
      </c>
      <c r="M1291" s="1" t="str">
        <f t="shared" si="28"/>
        <v>105_4419_4419</v>
      </c>
      <c r="N1291" s="1" t="s">
        <v>2431</v>
      </c>
      <c r="O1291" s="1">
        <v>0</v>
      </c>
      <c r="P1291" s="1" t="s">
        <v>2059</v>
      </c>
      <c r="Q1291" s="7" t="str">
        <f t="shared" si="24"/>
        <v>equipment/2120.png</v>
      </c>
      <c r="R1291" s="1">
        <v>0</v>
      </c>
    </row>
    <row r="1292" spans="1:18" ht="14.25" thickBot="1">
      <c r="A1292" s="1">
        <v>30802050</v>
      </c>
      <c r="B1292" s="3">
        <f t="shared" si="25"/>
        <v>1</v>
      </c>
      <c r="C1292" s="1" t="s">
        <v>2710</v>
      </c>
      <c r="D1292" s="1" t="s">
        <v>12</v>
      </c>
      <c r="E1292" s="1">
        <v>5</v>
      </c>
      <c r="F1292" s="1">
        <v>3</v>
      </c>
      <c r="G1292" s="1">
        <v>80</v>
      </c>
      <c r="H1292" s="10" t="s">
        <v>2121</v>
      </c>
      <c r="I1292" s="1">
        <f t="shared" si="26"/>
        <v>41000</v>
      </c>
      <c r="J1292" s="1">
        <v>20</v>
      </c>
      <c r="K1292" s="1">
        <v>0</v>
      </c>
      <c r="L1292" s="1">
        <f t="shared" si="27"/>
        <v>42500</v>
      </c>
      <c r="M1292" s="1" t="str">
        <f t="shared" si="28"/>
        <v>103_4331_4331,104_8662_8662</v>
      </c>
      <c r="N1292" s="1" t="s">
        <v>2431</v>
      </c>
      <c r="O1292" s="1">
        <v>0</v>
      </c>
      <c r="P1292" s="1" t="s">
        <v>2059</v>
      </c>
      <c r="Q1292" s="7" t="str">
        <f t="shared" si="24"/>
        <v>equipment/1227.png</v>
      </c>
      <c r="R1292" s="1">
        <v>0</v>
      </c>
    </row>
    <row r="1293" spans="1:18" ht="14.25" thickBot="1">
      <c r="A1293" s="1">
        <v>30802051</v>
      </c>
      <c r="B1293" s="3">
        <f t="shared" si="25"/>
        <v>1</v>
      </c>
      <c r="C1293" s="1" t="s">
        <v>2711</v>
      </c>
      <c r="D1293" s="1" t="s">
        <v>12</v>
      </c>
      <c r="E1293" s="1">
        <v>5</v>
      </c>
      <c r="F1293" s="1">
        <v>3</v>
      </c>
      <c r="G1293" s="1">
        <v>80</v>
      </c>
      <c r="H1293" s="10" t="s">
        <v>2121</v>
      </c>
      <c r="I1293" s="1">
        <f t="shared" si="26"/>
        <v>42500</v>
      </c>
      <c r="J1293" s="1">
        <v>20</v>
      </c>
      <c r="K1293" s="1">
        <v>0</v>
      </c>
      <c r="L1293" s="1">
        <f t="shared" si="27"/>
        <v>45000</v>
      </c>
      <c r="M1293" s="1" t="str">
        <f t="shared" si="28"/>
        <v>103_4552_4552,104_9105_9105</v>
      </c>
      <c r="N1293" s="1" t="s">
        <v>2431</v>
      </c>
      <c r="O1293" s="1">
        <v>0</v>
      </c>
      <c r="P1293" s="1" t="s">
        <v>2059</v>
      </c>
      <c r="Q1293" s="7" t="str">
        <f t="shared" si="24"/>
        <v>equipment/1229.png</v>
      </c>
      <c r="R1293" s="1">
        <v>0</v>
      </c>
    </row>
    <row r="1294" spans="1:18" ht="14.25" thickBot="1">
      <c r="A1294" s="1">
        <v>30802060</v>
      </c>
      <c r="B1294" s="3">
        <f t="shared" si="25"/>
        <v>1</v>
      </c>
      <c r="C1294" s="9" t="s">
        <v>2712</v>
      </c>
      <c r="D1294" s="1" t="s">
        <v>13</v>
      </c>
      <c r="E1294" s="1">
        <v>6</v>
      </c>
      <c r="F1294" s="1">
        <v>3</v>
      </c>
      <c r="G1294" s="1">
        <v>80</v>
      </c>
      <c r="H1294" s="10" t="s">
        <v>2121</v>
      </c>
      <c r="I1294" s="1">
        <f t="shared" si="26"/>
        <v>41000</v>
      </c>
      <c r="J1294" s="1">
        <v>20</v>
      </c>
      <c r="K1294" s="1">
        <v>0</v>
      </c>
      <c r="L1294" s="1">
        <f t="shared" si="27"/>
        <v>42500</v>
      </c>
      <c r="M1294" s="1" t="str">
        <f t="shared" si="28"/>
        <v>108_4288_4288</v>
      </c>
      <c r="N1294" s="1" t="s">
        <v>2431</v>
      </c>
      <c r="O1294" s="1">
        <v>0</v>
      </c>
      <c r="P1294" s="1" t="s">
        <v>2059</v>
      </c>
      <c r="Q1294" s="7" t="str">
        <f t="shared" si="24"/>
        <v>equipment/2222.png</v>
      </c>
      <c r="R1294" s="1">
        <v>0</v>
      </c>
    </row>
    <row r="1295" spans="1:18" ht="14.25" thickBot="1">
      <c r="A1295" s="1">
        <v>30802061</v>
      </c>
      <c r="B1295" s="3">
        <f t="shared" si="25"/>
        <v>1</v>
      </c>
      <c r="C1295" s="9" t="s">
        <v>2713</v>
      </c>
      <c r="D1295" s="1" t="s">
        <v>13</v>
      </c>
      <c r="E1295" s="1">
        <v>6</v>
      </c>
      <c r="F1295" s="1">
        <v>3</v>
      </c>
      <c r="G1295" s="1">
        <v>80</v>
      </c>
      <c r="H1295" s="10" t="s">
        <v>2121</v>
      </c>
      <c r="I1295" s="1">
        <f t="shared" si="26"/>
        <v>42500</v>
      </c>
      <c r="J1295" s="1">
        <v>20</v>
      </c>
      <c r="K1295" s="1">
        <v>0</v>
      </c>
      <c r="L1295" s="1">
        <f t="shared" si="27"/>
        <v>45000</v>
      </c>
      <c r="M1295" s="1" t="str">
        <f t="shared" si="28"/>
        <v>108_4419_4419</v>
      </c>
      <c r="N1295" s="1" t="s">
        <v>2431</v>
      </c>
      <c r="O1295" s="1">
        <v>0</v>
      </c>
      <c r="P1295" s="1" t="s">
        <v>2059</v>
      </c>
      <c r="Q1295" s="7" t="str">
        <f t="shared" si="24"/>
        <v>equipment/2223.png</v>
      </c>
      <c r="R1295" s="1">
        <v>0</v>
      </c>
    </row>
    <row r="1296" spans="1:18" ht="14.25" thickBot="1">
      <c r="A1296" s="1">
        <v>30803050</v>
      </c>
      <c r="B1296" s="3">
        <f t="shared" si="25"/>
        <v>1</v>
      </c>
      <c r="C1296" s="9" t="s">
        <v>2714</v>
      </c>
      <c r="D1296" s="1" t="s">
        <v>12</v>
      </c>
      <c r="E1296" s="1">
        <v>5</v>
      </c>
      <c r="F1296" s="1">
        <v>3</v>
      </c>
      <c r="G1296" s="1">
        <v>80</v>
      </c>
      <c r="H1296" s="10" t="s">
        <v>2122</v>
      </c>
      <c r="I1296" s="1">
        <f t="shared" si="26"/>
        <v>41000</v>
      </c>
      <c r="J1296" s="1">
        <v>20</v>
      </c>
      <c r="K1296" s="1">
        <v>0</v>
      </c>
      <c r="L1296" s="1">
        <f t="shared" si="27"/>
        <v>42500</v>
      </c>
      <c r="M1296" s="1" t="str">
        <f t="shared" si="28"/>
        <v>103_4331_4331,104_8662_8662</v>
      </c>
      <c r="N1296" s="1" t="s">
        <v>2431</v>
      </c>
      <c r="O1296" s="1">
        <v>0</v>
      </c>
      <c r="P1296" s="1" t="s">
        <v>2059</v>
      </c>
      <c r="Q1296" s="7" t="str">
        <f t="shared" si="24"/>
        <v>equipment/1327.png</v>
      </c>
      <c r="R1296" s="1">
        <v>0</v>
      </c>
    </row>
    <row r="1297" spans="1:18" ht="14.25" thickBot="1">
      <c r="A1297" s="1">
        <v>30803051</v>
      </c>
      <c r="B1297" s="3">
        <f t="shared" si="25"/>
        <v>1</v>
      </c>
      <c r="C1297" s="9" t="s">
        <v>2715</v>
      </c>
      <c r="D1297" s="1" t="s">
        <v>12</v>
      </c>
      <c r="E1297" s="1">
        <v>5</v>
      </c>
      <c r="F1297" s="1">
        <v>3</v>
      </c>
      <c r="G1297" s="1">
        <v>80</v>
      </c>
      <c r="H1297" s="10" t="s">
        <v>2122</v>
      </c>
      <c r="I1297" s="1">
        <f t="shared" si="26"/>
        <v>42500</v>
      </c>
      <c r="J1297" s="1">
        <v>20</v>
      </c>
      <c r="K1297" s="1">
        <v>0</v>
      </c>
      <c r="L1297" s="1">
        <f t="shared" si="27"/>
        <v>45000</v>
      </c>
      <c r="M1297" s="1" t="str">
        <f t="shared" si="28"/>
        <v>103_4552_4552,104_9105_9105</v>
      </c>
      <c r="N1297" s="1" t="s">
        <v>2431</v>
      </c>
      <c r="O1297" s="1">
        <v>0</v>
      </c>
      <c r="P1297" s="1" t="s">
        <v>2059</v>
      </c>
      <c r="Q1297" s="7" t="str">
        <f t="shared" si="24"/>
        <v>equipment/1329.png</v>
      </c>
      <c r="R1297" s="1">
        <v>0</v>
      </c>
    </row>
    <row r="1298" spans="1:18" ht="14.25" thickBot="1">
      <c r="A1298" s="1">
        <v>30803060</v>
      </c>
      <c r="B1298" s="3">
        <f t="shared" si="25"/>
        <v>1</v>
      </c>
      <c r="C1298" s="9" t="s">
        <v>2716</v>
      </c>
      <c r="D1298" s="1" t="s">
        <v>13</v>
      </c>
      <c r="E1298" s="1">
        <v>6</v>
      </c>
      <c r="F1298" s="1">
        <v>3</v>
      </c>
      <c r="G1298" s="1">
        <v>80</v>
      </c>
      <c r="H1298" s="10" t="s">
        <v>2122</v>
      </c>
      <c r="I1298" s="1">
        <f t="shared" si="26"/>
        <v>41000</v>
      </c>
      <c r="J1298" s="1">
        <v>20</v>
      </c>
      <c r="K1298" s="1">
        <v>0</v>
      </c>
      <c r="L1298" s="1">
        <f t="shared" si="27"/>
        <v>42500</v>
      </c>
      <c r="M1298" s="1" t="str">
        <f t="shared" si="28"/>
        <v>102_3610_3610</v>
      </c>
      <c r="N1298" s="1" t="s">
        <v>2431</v>
      </c>
      <c r="O1298" s="1">
        <v>0</v>
      </c>
      <c r="P1298" s="1" t="s">
        <v>2059</v>
      </c>
      <c r="Q1298" s="7" t="str">
        <f t="shared" si="24"/>
        <v>equipment/2320.png</v>
      </c>
      <c r="R1298" s="1">
        <v>0</v>
      </c>
    </row>
    <row r="1299" spans="1:18" ht="14.25" thickBot="1">
      <c r="A1299" s="1">
        <v>30803061</v>
      </c>
      <c r="B1299" s="3">
        <f t="shared" si="25"/>
        <v>1</v>
      </c>
      <c r="C1299" s="9" t="s">
        <v>2717</v>
      </c>
      <c r="D1299" s="1" t="s">
        <v>13</v>
      </c>
      <c r="E1299" s="1">
        <v>6</v>
      </c>
      <c r="F1299" s="1">
        <v>3</v>
      </c>
      <c r="G1299" s="1">
        <v>80</v>
      </c>
      <c r="H1299" s="10" t="s">
        <v>2122</v>
      </c>
      <c r="I1299" s="1">
        <f t="shared" si="26"/>
        <v>42500</v>
      </c>
      <c r="J1299" s="1">
        <v>20</v>
      </c>
      <c r="K1299" s="1">
        <v>0</v>
      </c>
      <c r="L1299" s="1">
        <f t="shared" si="27"/>
        <v>45000</v>
      </c>
      <c r="M1299" s="1" t="str">
        <f t="shared" si="28"/>
        <v>102_3680_3680</v>
      </c>
      <c r="N1299" s="1" t="s">
        <v>2431</v>
      </c>
      <c r="O1299" s="1">
        <v>0</v>
      </c>
      <c r="P1299" s="1" t="s">
        <v>2059</v>
      </c>
      <c r="Q1299" s="7" t="str">
        <f t="shared" si="24"/>
        <v>equipment/2322.png</v>
      </c>
      <c r="R1299" s="1">
        <v>0</v>
      </c>
    </row>
    <row r="1300" spans="1:18" ht="14.25" thickBot="1">
      <c r="A1300" s="1">
        <v>30800040</v>
      </c>
      <c r="B1300" s="3">
        <f t="shared" si="25"/>
        <v>1</v>
      </c>
      <c r="C1300" s="1" t="s">
        <v>2718</v>
      </c>
      <c r="D1300" s="1" t="s">
        <v>11</v>
      </c>
      <c r="E1300" s="1">
        <v>4</v>
      </c>
      <c r="F1300" s="1">
        <v>3</v>
      </c>
      <c r="G1300" s="1">
        <v>80</v>
      </c>
      <c r="H1300" s="10">
        <v>0</v>
      </c>
      <c r="I1300" s="1">
        <f t="shared" si="26"/>
        <v>41000</v>
      </c>
      <c r="J1300" s="1">
        <v>20</v>
      </c>
      <c r="K1300" s="1">
        <v>0</v>
      </c>
      <c r="L1300" s="1">
        <f t="shared" si="27"/>
        <v>42500</v>
      </c>
      <c r="M1300" s="1" t="str">
        <f t="shared" si="28"/>
        <v>105_2573_2573</v>
      </c>
      <c r="N1300" s="1" t="s">
        <v>2430</v>
      </c>
      <c r="O1300" s="1">
        <v>0</v>
      </c>
      <c r="P1300" s="1" t="s">
        <v>2059</v>
      </c>
      <c r="Q1300" s="7" t="str">
        <f t="shared" si="24"/>
        <v>equipment/5021.png</v>
      </c>
      <c r="R1300" s="1">
        <v>0</v>
      </c>
    </row>
    <row r="1301" spans="1:18" ht="14.25" thickBot="1">
      <c r="A1301" s="1">
        <v>30800041</v>
      </c>
      <c r="B1301" s="3">
        <f t="shared" si="25"/>
        <v>1</v>
      </c>
      <c r="C1301" s="1" t="s">
        <v>2719</v>
      </c>
      <c r="D1301" s="1" t="s">
        <v>11</v>
      </c>
      <c r="E1301" s="1">
        <v>4</v>
      </c>
      <c r="F1301" s="1">
        <v>3</v>
      </c>
      <c r="G1301" s="1">
        <v>80</v>
      </c>
      <c r="H1301" s="10">
        <v>0</v>
      </c>
      <c r="I1301" s="1">
        <f t="shared" si="26"/>
        <v>42500</v>
      </c>
      <c r="J1301" s="1">
        <v>20</v>
      </c>
      <c r="K1301" s="1">
        <v>0</v>
      </c>
      <c r="L1301" s="1">
        <f t="shared" si="27"/>
        <v>45000</v>
      </c>
      <c r="M1301" s="1" t="str">
        <f t="shared" si="28"/>
        <v>105_2739_2739</v>
      </c>
      <c r="N1301" s="1" t="s">
        <v>2430</v>
      </c>
      <c r="O1301" s="1">
        <v>0</v>
      </c>
      <c r="P1301" s="1" t="s">
        <v>2059</v>
      </c>
      <c r="Q1301" s="7" t="str">
        <f t="shared" ref="Q1301:Q1364" si="29">Q839</f>
        <v>equipment/5022.png</v>
      </c>
      <c r="R1301" s="1">
        <v>0</v>
      </c>
    </row>
    <row r="1302" spans="1:18" ht="14.25" thickBot="1">
      <c r="A1302" s="1">
        <v>30800070</v>
      </c>
      <c r="B1302" s="3">
        <f t="shared" si="25"/>
        <v>1</v>
      </c>
      <c r="C1302" s="1" t="s">
        <v>2720</v>
      </c>
      <c r="D1302" s="1" t="s">
        <v>14</v>
      </c>
      <c r="E1302" s="1">
        <v>7</v>
      </c>
      <c r="F1302" s="1">
        <v>3</v>
      </c>
      <c r="G1302" s="1">
        <v>80</v>
      </c>
      <c r="H1302" s="10">
        <v>0</v>
      </c>
      <c r="I1302" s="1">
        <f t="shared" si="26"/>
        <v>41000</v>
      </c>
      <c r="J1302" s="1">
        <v>20</v>
      </c>
      <c r="K1302" s="1">
        <v>0</v>
      </c>
      <c r="L1302" s="1">
        <f t="shared" si="27"/>
        <v>42500</v>
      </c>
      <c r="M1302" s="1" t="str">
        <f t="shared" si="28"/>
        <v>105_2573_2573</v>
      </c>
      <c r="N1302" s="1" t="s">
        <v>2430</v>
      </c>
      <c r="O1302" s="1">
        <v>0</v>
      </c>
      <c r="P1302" s="1" t="s">
        <v>2059</v>
      </c>
      <c r="Q1302" s="7" t="str">
        <f t="shared" si="29"/>
        <v>equipment/7022.png</v>
      </c>
      <c r="R1302" s="1">
        <v>0</v>
      </c>
    </row>
    <row r="1303" spans="1:18" ht="14.25" thickBot="1">
      <c r="A1303" s="1">
        <v>30800071</v>
      </c>
      <c r="B1303" s="3">
        <f t="shared" si="25"/>
        <v>1</v>
      </c>
      <c r="C1303" s="1" t="s">
        <v>2721</v>
      </c>
      <c r="D1303" s="1" t="s">
        <v>14</v>
      </c>
      <c r="E1303" s="1">
        <v>7</v>
      </c>
      <c r="F1303" s="1">
        <v>3</v>
      </c>
      <c r="G1303" s="1">
        <v>80</v>
      </c>
      <c r="H1303" s="10">
        <v>0</v>
      </c>
      <c r="I1303" s="1">
        <f t="shared" si="26"/>
        <v>42500</v>
      </c>
      <c r="J1303" s="1">
        <v>20</v>
      </c>
      <c r="K1303" s="1">
        <v>0</v>
      </c>
      <c r="L1303" s="1">
        <f t="shared" si="27"/>
        <v>45000</v>
      </c>
      <c r="M1303" s="1" t="str">
        <f t="shared" si="28"/>
        <v>105_2739_2739</v>
      </c>
      <c r="N1303" s="1" t="s">
        <v>2430</v>
      </c>
      <c r="O1303" s="1">
        <v>0</v>
      </c>
      <c r="P1303" s="1" t="s">
        <v>2059</v>
      </c>
      <c r="Q1303" s="7" t="str">
        <f t="shared" si="29"/>
        <v>equipment/7021.png</v>
      </c>
      <c r="R1303" s="1">
        <v>0</v>
      </c>
    </row>
    <row r="1304" spans="1:18" ht="14.25" thickBot="1">
      <c r="A1304" s="1">
        <v>30850010</v>
      </c>
      <c r="B1304" s="3">
        <f t="shared" si="25"/>
        <v>1</v>
      </c>
      <c r="C1304" s="1" t="s">
        <v>2722</v>
      </c>
      <c r="D1304" s="1" t="s">
        <v>8</v>
      </c>
      <c r="E1304" s="1">
        <v>1</v>
      </c>
      <c r="F1304" s="1">
        <v>3</v>
      </c>
      <c r="G1304" s="1">
        <v>85</v>
      </c>
      <c r="H1304" s="10">
        <v>0</v>
      </c>
      <c r="I1304" s="1">
        <f t="shared" si="26"/>
        <v>44000</v>
      </c>
      <c r="J1304" s="1">
        <v>20</v>
      </c>
      <c r="K1304" s="1">
        <v>0</v>
      </c>
      <c r="L1304" s="1">
        <f t="shared" si="27"/>
        <v>45000</v>
      </c>
      <c r="M1304" s="1" t="str">
        <f t="shared" si="28"/>
        <v>106_3672_3672</v>
      </c>
      <c r="N1304" s="1" t="s">
        <v>2432</v>
      </c>
      <c r="O1304" s="1">
        <v>0</v>
      </c>
      <c r="P1304" s="1" t="s">
        <v>2059</v>
      </c>
      <c r="Q1304" s="7" t="str">
        <f t="shared" si="29"/>
        <v>equipment/3012.png</v>
      </c>
      <c r="R1304" s="1">
        <v>0</v>
      </c>
    </row>
    <row r="1305" spans="1:18" ht="14.25" thickBot="1">
      <c r="A1305" s="1">
        <v>30850020</v>
      </c>
      <c r="B1305" s="3">
        <f t="shared" si="25"/>
        <v>1</v>
      </c>
      <c r="C1305" s="1" t="s">
        <v>2723</v>
      </c>
      <c r="D1305" s="1" t="s">
        <v>9</v>
      </c>
      <c r="E1305" s="1">
        <v>2</v>
      </c>
      <c r="F1305" s="1">
        <v>3</v>
      </c>
      <c r="G1305" s="1">
        <v>85</v>
      </c>
      <c r="H1305" s="10">
        <v>0</v>
      </c>
      <c r="I1305" s="1">
        <f t="shared" si="26"/>
        <v>44000</v>
      </c>
      <c r="J1305" s="1">
        <v>20</v>
      </c>
      <c r="K1305" s="1">
        <v>0</v>
      </c>
      <c r="L1305" s="1">
        <f t="shared" si="27"/>
        <v>45000</v>
      </c>
      <c r="M1305" s="1" t="str">
        <f t="shared" si="28"/>
        <v>102_2020_2020</v>
      </c>
      <c r="N1305" s="1" t="s">
        <v>2432</v>
      </c>
      <c r="O1305" s="1">
        <v>0</v>
      </c>
      <c r="P1305" s="1" t="s">
        <v>2059</v>
      </c>
      <c r="Q1305" s="7" t="str">
        <f t="shared" si="29"/>
        <v>equipment/14016.png</v>
      </c>
      <c r="R1305" s="1">
        <v>0</v>
      </c>
    </row>
    <row r="1306" spans="1:18" ht="14.25" thickBot="1">
      <c r="A1306" s="1">
        <v>30850030</v>
      </c>
      <c r="B1306" s="3">
        <f t="shared" si="25"/>
        <v>1</v>
      </c>
      <c r="C1306" s="1" t="s">
        <v>2724</v>
      </c>
      <c r="D1306" s="1" t="s">
        <v>10</v>
      </c>
      <c r="E1306" s="1">
        <v>3</v>
      </c>
      <c r="F1306" s="1">
        <v>3</v>
      </c>
      <c r="G1306" s="1">
        <v>85</v>
      </c>
      <c r="H1306" s="10">
        <v>0</v>
      </c>
      <c r="I1306" s="1">
        <f t="shared" si="26"/>
        <v>44000</v>
      </c>
      <c r="J1306" s="1">
        <v>20</v>
      </c>
      <c r="K1306" s="1">
        <v>0</v>
      </c>
      <c r="L1306" s="1">
        <f t="shared" si="27"/>
        <v>45000</v>
      </c>
      <c r="M1306" s="1" t="str">
        <f t="shared" si="28"/>
        <v>101_27040_27040</v>
      </c>
      <c r="N1306" s="1" t="s">
        <v>2432</v>
      </c>
      <c r="O1306" s="1">
        <v>0</v>
      </c>
      <c r="P1306" s="1" t="s">
        <v>2059</v>
      </c>
      <c r="Q1306" s="7" t="str">
        <f t="shared" si="29"/>
        <v>equipment/6017.png</v>
      </c>
      <c r="R1306" s="1">
        <v>0</v>
      </c>
    </row>
    <row r="1307" spans="1:18" ht="14.25" thickBot="1">
      <c r="A1307" s="1">
        <v>30850080</v>
      </c>
      <c r="B1307" s="3">
        <f t="shared" si="25"/>
        <v>1</v>
      </c>
      <c r="C1307" s="1" t="s">
        <v>2725</v>
      </c>
      <c r="D1307" s="1" t="s">
        <v>15</v>
      </c>
      <c r="E1307" s="1">
        <v>8</v>
      </c>
      <c r="F1307" s="1">
        <v>3</v>
      </c>
      <c r="G1307" s="1">
        <v>85</v>
      </c>
      <c r="H1307" s="10">
        <v>0</v>
      </c>
      <c r="I1307" s="1">
        <f t="shared" si="26"/>
        <v>44000</v>
      </c>
      <c r="J1307" s="1">
        <v>20</v>
      </c>
      <c r="K1307" s="1">
        <v>0</v>
      </c>
      <c r="L1307" s="1">
        <f t="shared" si="27"/>
        <v>45000</v>
      </c>
      <c r="M1307" s="1" t="str">
        <f t="shared" si="28"/>
        <v>110_661_661</v>
      </c>
      <c r="N1307" s="1" t="s">
        <v>2432</v>
      </c>
      <c r="O1307" s="1">
        <v>0</v>
      </c>
      <c r="P1307" s="1" t="s">
        <v>2059</v>
      </c>
      <c r="Q1307" s="7" t="str">
        <f t="shared" si="29"/>
        <v>equipment/8016.png</v>
      </c>
      <c r="R1307" s="1">
        <v>0</v>
      </c>
    </row>
    <row r="1308" spans="1:18" ht="14.25" thickBot="1">
      <c r="A1308" s="1">
        <v>30850090</v>
      </c>
      <c r="B1308" s="3">
        <f t="shared" si="25"/>
        <v>1</v>
      </c>
      <c r="C1308" s="1" t="s">
        <v>2726</v>
      </c>
      <c r="D1308" s="1" t="s">
        <v>16</v>
      </c>
      <c r="E1308" s="1">
        <v>9</v>
      </c>
      <c r="F1308" s="1">
        <v>3</v>
      </c>
      <c r="G1308" s="1">
        <v>85</v>
      </c>
      <c r="H1308" s="10">
        <v>0</v>
      </c>
      <c r="I1308" s="1">
        <f t="shared" si="26"/>
        <v>44000</v>
      </c>
      <c r="J1308" s="1">
        <v>20</v>
      </c>
      <c r="K1308" s="1">
        <v>0</v>
      </c>
      <c r="L1308" s="1">
        <f t="shared" si="27"/>
        <v>45000</v>
      </c>
      <c r="M1308" s="1" t="str">
        <f t="shared" si="28"/>
        <v>108_5495_5495</v>
      </c>
      <c r="N1308" s="1" t="s">
        <v>2432</v>
      </c>
      <c r="O1308" s="1">
        <v>0</v>
      </c>
      <c r="P1308" s="1" t="s">
        <v>2059</v>
      </c>
      <c r="Q1308" s="7" t="str">
        <f t="shared" si="29"/>
        <v>equipment/10014.png</v>
      </c>
      <c r="R1308" s="1">
        <v>0</v>
      </c>
    </row>
    <row r="1309" spans="1:18" ht="14.25" thickBot="1">
      <c r="A1309" s="1">
        <v>30850100</v>
      </c>
      <c r="B1309" s="3">
        <f t="shared" si="25"/>
        <v>1</v>
      </c>
      <c r="C1309" s="1" t="s">
        <v>2727</v>
      </c>
      <c r="D1309" s="1" t="s">
        <v>17</v>
      </c>
      <c r="E1309" s="1">
        <v>10</v>
      </c>
      <c r="F1309" s="1">
        <v>3</v>
      </c>
      <c r="G1309" s="1">
        <v>85</v>
      </c>
      <c r="H1309" s="10">
        <v>0</v>
      </c>
      <c r="I1309" s="1">
        <f t="shared" si="26"/>
        <v>44000</v>
      </c>
      <c r="J1309" s="1">
        <v>20</v>
      </c>
      <c r="K1309" s="1">
        <v>0</v>
      </c>
      <c r="L1309" s="1">
        <f t="shared" si="27"/>
        <v>45000</v>
      </c>
      <c r="M1309" s="1" t="str">
        <f t="shared" si="28"/>
        <v>107_3672_3672</v>
      </c>
      <c r="N1309" s="1" t="s">
        <v>2432</v>
      </c>
      <c r="O1309" s="1">
        <v>0</v>
      </c>
      <c r="P1309" s="1" t="s">
        <v>2059</v>
      </c>
      <c r="Q1309" s="7" t="str">
        <f t="shared" si="29"/>
        <v>equipment/12016.png</v>
      </c>
      <c r="R1309" s="1">
        <v>0</v>
      </c>
    </row>
    <row r="1310" spans="1:18" ht="14.25" thickBot="1">
      <c r="A1310" s="1">
        <v>30851050</v>
      </c>
      <c r="B1310" s="3">
        <f t="shared" si="25"/>
        <v>1</v>
      </c>
      <c r="C1310" s="9" t="s">
        <v>2728</v>
      </c>
      <c r="D1310" s="1" t="s">
        <v>12</v>
      </c>
      <c r="E1310" s="1">
        <v>5</v>
      </c>
      <c r="F1310" s="1">
        <v>3</v>
      </c>
      <c r="G1310" s="1">
        <v>85</v>
      </c>
      <c r="H1310" s="10" t="s">
        <v>2120</v>
      </c>
      <c r="I1310" s="1">
        <f t="shared" si="26"/>
        <v>44000</v>
      </c>
      <c r="J1310" s="1">
        <v>20</v>
      </c>
      <c r="K1310" s="1">
        <v>0</v>
      </c>
      <c r="L1310" s="1">
        <f t="shared" si="27"/>
        <v>45000</v>
      </c>
      <c r="M1310" s="1" t="str">
        <f t="shared" si="28"/>
        <v>103_4884_4884,104_9769_9769</v>
      </c>
      <c r="N1310" s="1" t="s">
        <v>2433</v>
      </c>
      <c r="O1310" s="1">
        <v>0</v>
      </c>
      <c r="P1310" s="1" t="s">
        <v>2059</v>
      </c>
      <c r="Q1310" s="7" t="str">
        <f t="shared" si="29"/>
        <v>equipment/1128.png</v>
      </c>
      <c r="R1310" s="1">
        <v>0</v>
      </c>
    </row>
    <row r="1311" spans="1:18" ht="14.25" thickBot="1">
      <c r="A1311" s="1">
        <v>30851051</v>
      </c>
      <c r="B1311" s="3">
        <f t="shared" si="25"/>
        <v>0</v>
      </c>
      <c r="C1311" s="9" t="s">
        <v>2729</v>
      </c>
      <c r="D1311" s="1" t="s">
        <v>12</v>
      </c>
      <c r="E1311" s="1">
        <v>5</v>
      </c>
      <c r="F1311" s="1">
        <v>3</v>
      </c>
      <c r="G1311" s="1">
        <v>85</v>
      </c>
      <c r="H1311" s="10" t="s">
        <v>2120</v>
      </c>
      <c r="I1311" s="1">
        <f t="shared" si="26"/>
        <v>45500</v>
      </c>
      <c r="J1311" s="1">
        <v>20</v>
      </c>
      <c r="K1311" s="1">
        <v>0</v>
      </c>
      <c r="L1311" s="1">
        <f t="shared" si="27"/>
        <v>47500</v>
      </c>
      <c r="M1311" s="1" t="str">
        <f t="shared" si="28"/>
        <v>103_5119_5119,104_10238_10238</v>
      </c>
      <c r="N1311" s="1" t="s">
        <v>2433</v>
      </c>
      <c r="O1311" s="1">
        <v>0</v>
      </c>
      <c r="P1311" s="1" t="s">
        <v>2059</v>
      </c>
      <c r="Q1311" s="7" t="str">
        <f t="shared" si="29"/>
        <v>equipment/1129.png</v>
      </c>
      <c r="R1311" s="1">
        <v>0</v>
      </c>
    </row>
    <row r="1312" spans="1:18" ht="14.25" thickBot="1">
      <c r="A1312" s="1">
        <v>30851060</v>
      </c>
      <c r="B1312" s="3">
        <f t="shared" si="25"/>
        <v>1</v>
      </c>
      <c r="C1312" s="9" t="s">
        <v>2730</v>
      </c>
      <c r="D1312" s="1" t="s">
        <v>13</v>
      </c>
      <c r="E1312" s="1">
        <v>6</v>
      </c>
      <c r="F1312" s="1">
        <v>3</v>
      </c>
      <c r="G1312" s="1">
        <v>85</v>
      </c>
      <c r="H1312" s="10" t="s">
        <v>2120</v>
      </c>
      <c r="I1312" s="1">
        <f t="shared" si="26"/>
        <v>44000</v>
      </c>
      <c r="J1312" s="1">
        <v>20</v>
      </c>
      <c r="K1312" s="1">
        <v>0</v>
      </c>
      <c r="L1312" s="1">
        <f t="shared" si="27"/>
        <v>45000</v>
      </c>
      <c r="M1312" s="1" t="str">
        <f t="shared" si="28"/>
        <v>105_4616_4616</v>
      </c>
      <c r="N1312" s="1" t="s">
        <v>2433</v>
      </c>
      <c r="O1312" s="1">
        <v>0</v>
      </c>
      <c r="P1312" s="1" t="s">
        <v>2059</v>
      </c>
      <c r="Q1312" s="7" t="str">
        <f t="shared" si="29"/>
        <v>equipment/2124.png</v>
      </c>
      <c r="R1312" s="1">
        <v>0</v>
      </c>
    </row>
    <row r="1313" spans="1:18" ht="14.25" thickBot="1">
      <c r="A1313" s="1">
        <v>30851061</v>
      </c>
      <c r="B1313" s="3">
        <f t="shared" si="25"/>
        <v>0</v>
      </c>
      <c r="C1313" s="9" t="s">
        <v>2731</v>
      </c>
      <c r="D1313" s="1" t="s">
        <v>13</v>
      </c>
      <c r="E1313" s="1">
        <v>6</v>
      </c>
      <c r="F1313" s="1">
        <v>3</v>
      </c>
      <c r="G1313" s="1">
        <v>85</v>
      </c>
      <c r="H1313" s="10" t="s">
        <v>2120</v>
      </c>
      <c r="I1313" s="1">
        <f t="shared" si="26"/>
        <v>45500</v>
      </c>
      <c r="J1313" s="1">
        <v>20</v>
      </c>
      <c r="K1313" s="1">
        <v>0</v>
      </c>
      <c r="L1313" s="1">
        <f t="shared" si="27"/>
        <v>47500</v>
      </c>
      <c r="M1313" s="1" t="str">
        <f t="shared" si="28"/>
        <v>105_4739_4739</v>
      </c>
      <c r="N1313" s="1" t="s">
        <v>2433</v>
      </c>
      <c r="O1313" s="1">
        <v>0</v>
      </c>
      <c r="P1313" s="1" t="s">
        <v>2059</v>
      </c>
      <c r="Q1313" s="7" t="str">
        <f t="shared" si="29"/>
        <v>equipment/2119.png</v>
      </c>
      <c r="R1313" s="1">
        <v>0</v>
      </c>
    </row>
    <row r="1314" spans="1:18" ht="14.25" thickBot="1">
      <c r="A1314" s="1">
        <v>30852050</v>
      </c>
      <c r="B1314" s="3">
        <f t="shared" si="25"/>
        <v>1</v>
      </c>
      <c r="C1314" s="1" t="s">
        <v>2732</v>
      </c>
      <c r="D1314" s="1" t="s">
        <v>12</v>
      </c>
      <c r="E1314" s="1">
        <v>5</v>
      </c>
      <c r="F1314" s="1">
        <v>3</v>
      </c>
      <c r="G1314" s="1">
        <v>85</v>
      </c>
      <c r="H1314" s="10" t="s">
        <v>2121</v>
      </c>
      <c r="I1314" s="1">
        <f t="shared" si="26"/>
        <v>44000</v>
      </c>
      <c r="J1314" s="1">
        <v>20</v>
      </c>
      <c r="K1314" s="1">
        <v>0</v>
      </c>
      <c r="L1314" s="1">
        <f t="shared" si="27"/>
        <v>45000</v>
      </c>
      <c r="M1314" s="1" t="str">
        <f t="shared" si="28"/>
        <v>103_4884_4884,104_9769_9769</v>
      </c>
      <c r="N1314" s="1" t="s">
        <v>2433</v>
      </c>
      <c r="O1314" s="1">
        <v>0</v>
      </c>
      <c r="P1314" s="1" t="s">
        <v>2059</v>
      </c>
      <c r="Q1314" s="7" t="str">
        <f t="shared" si="29"/>
        <v>equipment/1228.png</v>
      </c>
      <c r="R1314" s="1">
        <v>0</v>
      </c>
    </row>
    <row r="1315" spans="1:18" ht="14.25" thickBot="1">
      <c r="A1315" s="1">
        <v>30852051</v>
      </c>
      <c r="B1315" s="3">
        <f t="shared" si="25"/>
        <v>0</v>
      </c>
      <c r="C1315" s="1" t="s">
        <v>2733</v>
      </c>
      <c r="D1315" s="1" t="s">
        <v>12</v>
      </c>
      <c r="E1315" s="1">
        <v>5</v>
      </c>
      <c r="F1315" s="1">
        <v>3</v>
      </c>
      <c r="G1315" s="1">
        <v>85</v>
      </c>
      <c r="H1315" s="10" t="s">
        <v>2121</v>
      </c>
      <c r="I1315" s="1">
        <f t="shared" si="26"/>
        <v>45500</v>
      </c>
      <c r="J1315" s="1">
        <v>20</v>
      </c>
      <c r="K1315" s="1">
        <v>0</v>
      </c>
      <c r="L1315" s="1">
        <f t="shared" si="27"/>
        <v>47500</v>
      </c>
      <c r="M1315" s="1" t="str">
        <f t="shared" si="28"/>
        <v>103_5119_5119,104_10238_10238</v>
      </c>
      <c r="N1315" s="1" t="s">
        <v>2433</v>
      </c>
      <c r="O1315" s="1">
        <v>0</v>
      </c>
      <c r="P1315" s="1" t="s">
        <v>2059</v>
      </c>
      <c r="Q1315" s="7" t="str">
        <f t="shared" si="29"/>
        <v>equipment/1230.png</v>
      </c>
      <c r="R1315" s="1">
        <v>0</v>
      </c>
    </row>
    <row r="1316" spans="1:18" ht="14.25" thickBot="1">
      <c r="A1316" s="1">
        <v>30852060</v>
      </c>
      <c r="B1316" s="3">
        <f t="shared" si="25"/>
        <v>1</v>
      </c>
      <c r="C1316" s="9" t="s">
        <v>2734</v>
      </c>
      <c r="D1316" s="1" t="s">
        <v>13</v>
      </c>
      <c r="E1316" s="1">
        <v>6</v>
      </c>
      <c r="F1316" s="1">
        <v>3</v>
      </c>
      <c r="G1316" s="1">
        <v>85</v>
      </c>
      <c r="H1316" s="10" t="s">
        <v>2121</v>
      </c>
      <c r="I1316" s="1">
        <f t="shared" si="26"/>
        <v>44000</v>
      </c>
      <c r="J1316" s="1">
        <v>20</v>
      </c>
      <c r="K1316" s="1">
        <v>0</v>
      </c>
      <c r="L1316" s="1">
        <f t="shared" si="27"/>
        <v>45000</v>
      </c>
      <c r="M1316" s="1" t="str">
        <f t="shared" si="28"/>
        <v>108_4616_4616</v>
      </c>
      <c r="N1316" s="1" t="s">
        <v>2433</v>
      </c>
      <c r="O1316" s="1">
        <v>0</v>
      </c>
      <c r="P1316" s="1" t="s">
        <v>2059</v>
      </c>
      <c r="Q1316" s="7" t="str">
        <f t="shared" si="29"/>
        <v>equipment/2224.png</v>
      </c>
      <c r="R1316" s="1">
        <v>0</v>
      </c>
    </row>
    <row r="1317" spans="1:18" ht="14.25" thickBot="1">
      <c r="A1317" s="1">
        <v>30852061</v>
      </c>
      <c r="B1317" s="3">
        <f t="shared" si="25"/>
        <v>0</v>
      </c>
      <c r="C1317" s="9" t="s">
        <v>2735</v>
      </c>
      <c r="D1317" s="1" t="s">
        <v>13</v>
      </c>
      <c r="E1317" s="1">
        <v>6</v>
      </c>
      <c r="F1317" s="1">
        <v>3</v>
      </c>
      <c r="G1317" s="1">
        <v>85</v>
      </c>
      <c r="H1317" s="10" t="s">
        <v>2121</v>
      </c>
      <c r="I1317" s="1">
        <f t="shared" si="26"/>
        <v>45500</v>
      </c>
      <c r="J1317" s="1">
        <v>20</v>
      </c>
      <c r="K1317" s="1">
        <v>0</v>
      </c>
      <c r="L1317" s="1">
        <f t="shared" si="27"/>
        <v>47500</v>
      </c>
      <c r="M1317" s="1" t="str">
        <f t="shared" si="28"/>
        <v>108_4739_4739</v>
      </c>
      <c r="N1317" s="1" t="s">
        <v>2433</v>
      </c>
      <c r="O1317" s="1">
        <v>0</v>
      </c>
      <c r="P1317" s="1" t="s">
        <v>2059</v>
      </c>
      <c r="Q1317" s="7" t="str">
        <f t="shared" si="29"/>
        <v>equipment/2221.png</v>
      </c>
      <c r="R1317" s="1">
        <v>0</v>
      </c>
    </row>
    <row r="1318" spans="1:18" ht="14.25" thickBot="1">
      <c r="A1318" s="1">
        <v>30853050</v>
      </c>
      <c r="B1318" s="3">
        <f t="shared" si="25"/>
        <v>1</v>
      </c>
      <c r="C1318" s="9" t="s">
        <v>2736</v>
      </c>
      <c r="D1318" s="1" t="s">
        <v>12</v>
      </c>
      <c r="E1318" s="1">
        <v>5</v>
      </c>
      <c r="F1318" s="1">
        <v>3</v>
      </c>
      <c r="G1318" s="1">
        <v>85</v>
      </c>
      <c r="H1318" s="10" t="s">
        <v>2122</v>
      </c>
      <c r="I1318" s="1">
        <f t="shared" si="26"/>
        <v>44000</v>
      </c>
      <c r="J1318" s="1">
        <v>20</v>
      </c>
      <c r="K1318" s="1">
        <v>0</v>
      </c>
      <c r="L1318" s="1">
        <f t="shared" si="27"/>
        <v>45000</v>
      </c>
      <c r="M1318" s="1" t="str">
        <f t="shared" si="28"/>
        <v>103_4884_4884,104_9769_9769</v>
      </c>
      <c r="N1318" s="1" t="s">
        <v>2433</v>
      </c>
      <c r="O1318" s="1">
        <v>0</v>
      </c>
      <c r="P1318" s="1" t="s">
        <v>2059</v>
      </c>
      <c r="Q1318" s="7" t="str">
        <f t="shared" si="29"/>
        <v>equipment/1329.png</v>
      </c>
      <c r="R1318" s="1">
        <v>0</v>
      </c>
    </row>
    <row r="1319" spans="1:18" ht="14.25" thickBot="1">
      <c r="A1319" s="1">
        <v>30853051</v>
      </c>
      <c r="B1319" s="3">
        <f t="shared" si="25"/>
        <v>0</v>
      </c>
      <c r="C1319" s="9" t="s">
        <v>2737</v>
      </c>
      <c r="D1319" s="1" t="s">
        <v>12</v>
      </c>
      <c r="E1319" s="1">
        <v>5</v>
      </c>
      <c r="F1319" s="1">
        <v>3</v>
      </c>
      <c r="G1319" s="1">
        <v>85</v>
      </c>
      <c r="H1319" s="10" t="s">
        <v>2122</v>
      </c>
      <c r="I1319" s="1">
        <f t="shared" si="26"/>
        <v>45500</v>
      </c>
      <c r="J1319" s="1">
        <v>20</v>
      </c>
      <c r="K1319" s="1">
        <v>0</v>
      </c>
      <c r="L1319" s="1">
        <f t="shared" si="27"/>
        <v>47500</v>
      </c>
      <c r="M1319" s="1" t="str">
        <f t="shared" si="28"/>
        <v>103_5119_5119,104_10238_10238</v>
      </c>
      <c r="N1319" s="1" t="s">
        <v>2433</v>
      </c>
      <c r="O1319" s="1">
        <v>0</v>
      </c>
      <c r="P1319" s="1" t="s">
        <v>2059</v>
      </c>
      <c r="Q1319" s="7" t="str">
        <f t="shared" si="29"/>
        <v>equipment/1331.png</v>
      </c>
      <c r="R1319" s="1">
        <v>0</v>
      </c>
    </row>
    <row r="1320" spans="1:18" ht="14.25" thickBot="1">
      <c r="A1320" s="1">
        <v>30853060</v>
      </c>
      <c r="B1320" s="3">
        <f t="shared" si="25"/>
        <v>1</v>
      </c>
      <c r="C1320" s="9" t="s">
        <v>2738</v>
      </c>
      <c r="D1320" s="1" t="s">
        <v>13</v>
      </c>
      <c r="E1320" s="1">
        <v>6</v>
      </c>
      <c r="F1320" s="1">
        <v>3</v>
      </c>
      <c r="G1320" s="1">
        <v>85</v>
      </c>
      <c r="H1320" s="10" t="s">
        <v>2122</v>
      </c>
      <c r="I1320" s="1">
        <f t="shared" si="26"/>
        <v>44000</v>
      </c>
      <c r="J1320" s="1">
        <v>20</v>
      </c>
      <c r="K1320" s="1">
        <v>0</v>
      </c>
      <c r="L1320" s="1">
        <f t="shared" si="27"/>
        <v>45000</v>
      </c>
      <c r="M1320" s="1" t="str">
        <f t="shared" si="28"/>
        <v>102_3790_3790</v>
      </c>
      <c r="N1320" s="1" t="s">
        <v>2433</v>
      </c>
      <c r="O1320" s="1">
        <v>0</v>
      </c>
      <c r="P1320" s="1" t="s">
        <v>2059</v>
      </c>
      <c r="Q1320" s="7" t="str">
        <f t="shared" si="29"/>
        <v>equipment/102301.png</v>
      </c>
      <c r="R1320" s="1">
        <v>0</v>
      </c>
    </row>
    <row r="1321" spans="1:18" ht="14.25" thickBot="1">
      <c r="A1321" s="1">
        <v>30853061</v>
      </c>
      <c r="B1321" s="3">
        <f t="shared" si="25"/>
        <v>0</v>
      </c>
      <c r="C1321" s="9" t="s">
        <v>2739</v>
      </c>
      <c r="D1321" s="1" t="s">
        <v>13</v>
      </c>
      <c r="E1321" s="1">
        <v>6</v>
      </c>
      <c r="F1321" s="1">
        <v>3</v>
      </c>
      <c r="G1321" s="1">
        <v>85</v>
      </c>
      <c r="H1321" s="10" t="s">
        <v>2122</v>
      </c>
      <c r="I1321" s="1">
        <f t="shared" si="26"/>
        <v>45500</v>
      </c>
      <c r="J1321" s="1">
        <v>20</v>
      </c>
      <c r="K1321" s="1">
        <v>0</v>
      </c>
      <c r="L1321" s="1">
        <f t="shared" si="27"/>
        <v>47500</v>
      </c>
      <c r="M1321" s="1" t="str">
        <f t="shared" si="28"/>
        <v>102_3890_3890</v>
      </c>
      <c r="N1321" s="1" t="s">
        <v>2433</v>
      </c>
      <c r="O1321" s="1">
        <v>0</v>
      </c>
      <c r="P1321" s="1" t="s">
        <v>2059</v>
      </c>
      <c r="Q1321" s="7" t="str">
        <f t="shared" si="29"/>
        <v>equipment/2323.png</v>
      </c>
      <c r="R1321" s="1">
        <v>0</v>
      </c>
    </row>
    <row r="1322" spans="1:18" ht="14.25" thickBot="1">
      <c r="A1322" s="1">
        <v>30850040</v>
      </c>
      <c r="B1322" s="3">
        <f t="shared" si="25"/>
        <v>1</v>
      </c>
      <c r="C1322" s="1" t="s">
        <v>2740</v>
      </c>
      <c r="D1322" s="1" t="s">
        <v>11</v>
      </c>
      <c r="E1322" s="1">
        <v>4</v>
      </c>
      <c r="F1322" s="1">
        <v>3</v>
      </c>
      <c r="G1322" s="1">
        <v>85</v>
      </c>
      <c r="H1322" s="10">
        <v>0</v>
      </c>
      <c r="I1322" s="1">
        <f t="shared" si="26"/>
        <v>44000</v>
      </c>
      <c r="J1322" s="1">
        <v>20</v>
      </c>
      <c r="K1322" s="1">
        <v>0</v>
      </c>
      <c r="L1322" s="1">
        <f t="shared" si="27"/>
        <v>45000</v>
      </c>
      <c r="M1322" s="1" t="str">
        <f t="shared" si="28"/>
        <v>105_2989_2989</v>
      </c>
      <c r="N1322" s="1" t="s">
        <v>2432</v>
      </c>
      <c r="O1322" s="1">
        <v>0</v>
      </c>
      <c r="P1322" s="1" t="s">
        <v>2059</v>
      </c>
      <c r="Q1322" s="7" t="str">
        <f t="shared" si="29"/>
        <v>equipment/105001.png</v>
      </c>
      <c r="R1322" s="1">
        <v>0</v>
      </c>
    </row>
    <row r="1323" spans="1:18" ht="14.25" thickBot="1">
      <c r="A1323" s="1">
        <v>30850041</v>
      </c>
      <c r="B1323" s="3">
        <f t="shared" si="25"/>
        <v>0</v>
      </c>
      <c r="C1323" s="1" t="s">
        <v>2741</v>
      </c>
      <c r="D1323" s="1" t="s">
        <v>11</v>
      </c>
      <c r="E1323" s="1">
        <v>4</v>
      </c>
      <c r="F1323" s="1">
        <v>3</v>
      </c>
      <c r="G1323" s="1">
        <v>85</v>
      </c>
      <c r="H1323" s="10">
        <v>0</v>
      </c>
      <c r="I1323" s="1">
        <f t="shared" si="26"/>
        <v>45500</v>
      </c>
      <c r="J1323" s="1">
        <v>20</v>
      </c>
      <c r="K1323" s="1">
        <v>0</v>
      </c>
      <c r="L1323" s="1">
        <f t="shared" si="27"/>
        <v>47500</v>
      </c>
      <c r="M1323" s="1" t="str">
        <f t="shared" si="28"/>
        <v>105_3172_3172</v>
      </c>
      <c r="N1323" s="1" t="s">
        <v>2432</v>
      </c>
      <c r="O1323" s="1">
        <v>0</v>
      </c>
      <c r="P1323" s="1" t="s">
        <v>2059</v>
      </c>
      <c r="Q1323" s="7" t="str">
        <f t="shared" si="29"/>
        <v>equipment/5023.png</v>
      </c>
      <c r="R1323" s="1">
        <v>0</v>
      </c>
    </row>
    <row r="1324" spans="1:18" ht="14.25" thickBot="1">
      <c r="A1324" s="1">
        <v>30850070</v>
      </c>
      <c r="B1324" s="3">
        <f t="shared" si="25"/>
        <v>1</v>
      </c>
      <c r="C1324" s="1" t="s">
        <v>2742</v>
      </c>
      <c r="D1324" s="1" t="s">
        <v>14</v>
      </c>
      <c r="E1324" s="1">
        <v>7</v>
      </c>
      <c r="F1324" s="1">
        <v>3</v>
      </c>
      <c r="G1324" s="1">
        <v>85</v>
      </c>
      <c r="H1324" s="10">
        <v>0</v>
      </c>
      <c r="I1324" s="1">
        <f t="shared" si="26"/>
        <v>44000</v>
      </c>
      <c r="J1324" s="1">
        <v>20</v>
      </c>
      <c r="K1324" s="1">
        <v>0</v>
      </c>
      <c r="L1324" s="1">
        <f t="shared" si="27"/>
        <v>45000</v>
      </c>
      <c r="M1324" s="1" t="str">
        <f t="shared" si="28"/>
        <v>105_2989_2989</v>
      </c>
      <c r="N1324" s="1" t="s">
        <v>2432</v>
      </c>
      <c r="O1324" s="1">
        <v>0</v>
      </c>
      <c r="P1324" s="1" t="s">
        <v>2059</v>
      </c>
      <c r="Q1324" s="7" t="str">
        <f t="shared" si="29"/>
        <v>equipment/7023.png</v>
      </c>
      <c r="R1324" s="1">
        <v>0</v>
      </c>
    </row>
    <row r="1325" spans="1:18" ht="14.25" thickBot="1">
      <c r="A1325" s="1">
        <v>30850071</v>
      </c>
      <c r="B1325" s="3">
        <f t="shared" ref="B1325:B1388" si="30">B863</f>
        <v>0</v>
      </c>
      <c r="C1325" s="1" t="s">
        <v>2743</v>
      </c>
      <c r="D1325" s="1" t="s">
        <v>14</v>
      </c>
      <c r="E1325" s="1">
        <v>7</v>
      </c>
      <c r="F1325" s="1">
        <v>3</v>
      </c>
      <c r="G1325" s="1">
        <v>85</v>
      </c>
      <c r="H1325" s="10">
        <v>0</v>
      </c>
      <c r="I1325" s="1">
        <f t="shared" ref="I1325:I1388" si="31">I401*5</f>
        <v>45500</v>
      </c>
      <c r="J1325" s="1">
        <v>20</v>
      </c>
      <c r="K1325" s="1">
        <v>0</v>
      </c>
      <c r="L1325" s="1">
        <f t="shared" ref="L1325:L1388" si="32">L1303+2500</f>
        <v>47500</v>
      </c>
      <c r="M1325" s="1" t="str">
        <f t="shared" ref="M1325:M1388" si="33">M863</f>
        <v>105_3172_3172</v>
      </c>
      <c r="N1325" s="1" t="s">
        <v>2432</v>
      </c>
      <c r="O1325" s="1">
        <v>0</v>
      </c>
      <c r="P1325" s="1" t="s">
        <v>2059</v>
      </c>
      <c r="Q1325" s="7" t="str">
        <f t="shared" si="29"/>
        <v>equipment/107001.png</v>
      </c>
      <c r="R1325" s="1">
        <v>0</v>
      </c>
    </row>
    <row r="1326" spans="1:18" ht="14.25" thickBot="1">
      <c r="A1326" s="1">
        <v>30900010</v>
      </c>
      <c r="B1326" s="3">
        <f t="shared" si="30"/>
        <v>1</v>
      </c>
      <c r="C1326" s="1" t="s">
        <v>2744</v>
      </c>
      <c r="D1326" s="1" t="s">
        <v>8</v>
      </c>
      <c r="E1326" s="1">
        <v>1</v>
      </c>
      <c r="F1326" s="1">
        <v>3</v>
      </c>
      <c r="G1326" s="1">
        <v>90</v>
      </c>
      <c r="H1326" s="10">
        <v>0</v>
      </c>
      <c r="I1326" s="1">
        <f t="shared" si="31"/>
        <v>47000</v>
      </c>
      <c r="J1326" s="1">
        <v>20</v>
      </c>
      <c r="K1326" s="1">
        <v>0</v>
      </c>
      <c r="L1326" s="1">
        <f t="shared" si="32"/>
        <v>47500</v>
      </c>
      <c r="M1326" s="1" t="str">
        <f t="shared" si="33"/>
        <v>106_4428_4428</v>
      </c>
      <c r="N1326" s="1" t="s">
        <v>2434</v>
      </c>
      <c r="O1326" s="1">
        <v>0</v>
      </c>
      <c r="P1326" s="1" t="s">
        <v>2059</v>
      </c>
      <c r="Q1326" s="7" t="str">
        <f t="shared" si="29"/>
        <v>equipment/3017.png</v>
      </c>
      <c r="R1326" s="1">
        <v>0</v>
      </c>
    </row>
    <row r="1327" spans="1:18" ht="14.25" thickBot="1">
      <c r="A1327" s="1">
        <v>30900020</v>
      </c>
      <c r="B1327" s="3">
        <f t="shared" si="30"/>
        <v>1</v>
      </c>
      <c r="C1327" s="1" t="s">
        <v>2745</v>
      </c>
      <c r="D1327" s="1" t="s">
        <v>9</v>
      </c>
      <c r="E1327" s="1">
        <v>2</v>
      </c>
      <c r="F1327" s="1">
        <v>3</v>
      </c>
      <c r="G1327" s="1">
        <v>90</v>
      </c>
      <c r="H1327" s="10">
        <v>0</v>
      </c>
      <c r="I1327" s="1">
        <f t="shared" si="31"/>
        <v>47000</v>
      </c>
      <c r="J1327" s="1">
        <v>20</v>
      </c>
      <c r="K1327" s="1">
        <v>0</v>
      </c>
      <c r="L1327" s="1">
        <f t="shared" si="32"/>
        <v>47500</v>
      </c>
      <c r="M1327" s="1" t="str">
        <f t="shared" si="33"/>
        <v>102_2150_2150</v>
      </c>
      <c r="N1327" s="1" t="s">
        <v>2434</v>
      </c>
      <c r="O1327" s="1">
        <v>0</v>
      </c>
      <c r="P1327" s="1" t="s">
        <v>2059</v>
      </c>
      <c r="Q1327" s="7" t="str">
        <f t="shared" si="29"/>
        <v>equipment/14015.png</v>
      </c>
      <c r="R1327" s="1">
        <v>0</v>
      </c>
    </row>
    <row r="1328" spans="1:18" ht="14.25" thickBot="1">
      <c r="A1328" s="1">
        <v>30900030</v>
      </c>
      <c r="B1328" s="3">
        <f t="shared" si="30"/>
        <v>1</v>
      </c>
      <c r="C1328" s="1" t="s">
        <v>2746</v>
      </c>
      <c r="D1328" s="1" t="s">
        <v>10</v>
      </c>
      <c r="E1328" s="1">
        <v>3</v>
      </c>
      <c r="F1328" s="1">
        <v>3</v>
      </c>
      <c r="G1328" s="1">
        <v>90</v>
      </c>
      <c r="H1328" s="10">
        <v>0</v>
      </c>
      <c r="I1328" s="1">
        <f t="shared" si="31"/>
        <v>47000</v>
      </c>
      <c r="J1328" s="1">
        <v>20</v>
      </c>
      <c r="K1328" s="1">
        <v>0</v>
      </c>
      <c r="L1328" s="1">
        <f t="shared" si="32"/>
        <v>47500</v>
      </c>
      <c r="M1328" s="1" t="str">
        <f t="shared" si="33"/>
        <v>101_29800_29800</v>
      </c>
      <c r="N1328" s="1" t="s">
        <v>2434</v>
      </c>
      <c r="O1328" s="1">
        <v>0</v>
      </c>
      <c r="P1328" s="1" t="s">
        <v>2059</v>
      </c>
      <c r="Q1328" s="7" t="str">
        <f t="shared" si="29"/>
        <v>equipment/6016.png</v>
      </c>
      <c r="R1328" s="1">
        <v>0</v>
      </c>
    </row>
    <row r="1329" spans="1:18" ht="14.25" thickBot="1">
      <c r="A1329" s="1">
        <v>30900080</v>
      </c>
      <c r="B1329" s="3">
        <f t="shared" si="30"/>
        <v>1</v>
      </c>
      <c r="C1329" s="1" t="s">
        <v>2747</v>
      </c>
      <c r="D1329" s="1" t="s">
        <v>15</v>
      </c>
      <c r="E1329" s="1">
        <v>8</v>
      </c>
      <c r="F1329" s="1">
        <v>3</v>
      </c>
      <c r="G1329" s="1">
        <v>90</v>
      </c>
      <c r="H1329" s="10">
        <v>0</v>
      </c>
      <c r="I1329" s="1">
        <f t="shared" si="31"/>
        <v>47000</v>
      </c>
      <c r="J1329" s="1">
        <v>20</v>
      </c>
      <c r="K1329" s="1">
        <v>0</v>
      </c>
      <c r="L1329" s="1">
        <f t="shared" si="32"/>
        <v>47500</v>
      </c>
      <c r="M1329" s="1" t="str">
        <f t="shared" si="33"/>
        <v>110_715_715</v>
      </c>
      <c r="N1329" s="1" t="s">
        <v>2434</v>
      </c>
      <c r="O1329" s="1">
        <v>0</v>
      </c>
      <c r="P1329" s="1" t="s">
        <v>2059</v>
      </c>
      <c r="Q1329" s="7" t="str">
        <f t="shared" si="29"/>
        <v>equipment/8017.png</v>
      </c>
      <c r="R1329" s="1">
        <v>0</v>
      </c>
    </row>
    <row r="1330" spans="1:18" ht="14.25" thickBot="1">
      <c r="A1330" s="1">
        <v>30900090</v>
      </c>
      <c r="B1330" s="3">
        <f t="shared" si="30"/>
        <v>1</v>
      </c>
      <c r="C1330" s="1" t="s">
        <v>2748</v>
      </c>
      <c r="D1330" s="1" t="s">
        <v>16</v>
      </c>
      <c r="E1330" s="1">
        <v>9</v>
      </c>
      <c r="F1330" s="1">
        <v>3</v>
      </c>
      <c r="G1330" s="1">
        <v>90</v>
      </c>
      <c r="H1330" s="10">
        <v>0</v>
      </c>
      <c r="I1330" s="1">
        <f t="shared" si="31"/>
        <v>47000</v>
      </c>
      <c r="J1330" s="1">
        <v>20</v>
      </c>
      <c r="K1330" s="1">
        <v>0</v>
      </c>
      <c r="L1330" s="1">
        <f t="shared" si="32"/>
        <v>47500</v>
      </c>
      <c r="M1330" s="1" t="str">
        <f t="shared" si="33"/>
        <v>108_6155_6155</v>
      </c>
      <c r="N1330" s="1" t="s">
        <v>2434</v>
      </c>
      <c r="O1330" s="1">
        <v>0</v>
      </c>
      <c r="P1330" s="1" t="s">
        <v>2059</v>
      </c>
      <c r="Q1330" s="7" t="str">
        <f t="shared" si="29"/>
        <v>equipment/10017.png</v>
      </c>
      <c r="R1330" s="1">
        <v>0</v>
      </c>
    </row>
    <row r="1331" spans="1:18" ht="14.25" thickBot="1">
      <c r="A1331" s="1">
        <v>30900100</v>
      </c>
      <c r="B1331" s="3">
        <f t="shared" si="30"/>
        <v>1</v>
      </c>
      <c r="C1331" s="1" t="s">
        <v>2749</v>
      </c>
      <c r="D1331" s="1" t="s">
        <v>17</v>
      </c>
      <c r="E1331" s="1">
        <v>10</v>
      </c>
      <c r="F1331" s="1">
        <v>3</v>
      </c>
      <c r="G1331" s="1">
        <v>90</v>
      </c>
      <c r="H1331" s="10">
        <v>0</v>
      </c>
      <c r="I1331" s="1">
        <f t="shared" si="31"/>
        <v>47000</v>
      </c>
      <c r="J1331" s="1">
        <v>20</v>
      </c>
      <c r="K1331" s="1">
        <v>0</v>
      </c>
      <c r="L1331" s="1">
        <f t="shared" si="32"/>
        <v>47500</v>
      </c>
      <c r="M1331" s="1" t="str">
        <f t="shared" si="33"/>
        <v>107_4428_4428</v>
      </c>
      <c r="N1331" s="1" t="s">
        <v>2434</v>
      </c>
      <c r="O1331" s="1">
        <v>0</v>
      </c>
      <c r="P1331" s="1" t="s">
        <v>2059</v>
      </c>
      <c r="Q1331" s="7" t="str">
        <f t="shared" si="29"/>
        <v>equipment/12017.png</v>
      </c>
      <c r="R1331" s="1">
        <v>0</v>
      </c>
    </row>
    <row r="1332" spans="1:18" ht="14.25" thickBot="1">
      <c r="A1332" s="1">
        <v>30901050</v>
      </c>
      <c r="B1332" s="3">
        <f t="shared" si="30"/>
        <v>1</v>
      </c>
      <c r="C1332" s="9" t="s">
        <v>2751</v>
      </c>
      <c r="D1332" s="1" t="s">
        <v>12</v>
      </c>
      <c r="E1332" s="1">
        <v>5</v>
      </c>
      <c r="F1332" s="1">
        <v>3</v>
      </c>
      <c r="G1332" s="1">
        <v>90</v>
      </c>
      <c r="H1332" s="10" t="s">
        <v>2120</v>
      </c>
      <c r="I1332" s="1">
        <f t="shared" si="31"/>
        <v>47000</v>
      </c>
      <c r="J1332" s="1">
        <v>20</v>
      </c>
      <c r="K1332" s="1">
        <v>0</v>
      </c>
      <c r="L1332" s="1">
        <f t="shared" si="32"/>
        <v>47500</v>
      </c>
      <c r="M1332" s="1" t="str">
        <f t="shared" si="33"/>
        <v>103_5471_5471,104_10942_10942</v>
      </c>
      <c r="N1332" s="1" t="s">
        <v>2435</v>
      </c>
      <c r="O1332" s="1">
        <v>0</v>
      </c>
      <c r="P1332" s="1" t="s">
        <v>2059</v>
      </c>
      <c r="Q1332" s="7" t="str">
        <f t="shared" si="29"/>
        <v>equipment/101101.png</v>
      </c>
      <c r="R1332" s="1">
        <v>0</v>
      </c>
    </row>
    <row r="1333" spans="1:18" ht="14.25" thickBot="1">
      <c r="A1333" s="1">
        <v>30901051</v>
      </c>
      <c r="B1333" s="3">
        <f t="shared" si="30"/>
        <v>0</v>
      </c>
      <c r="C1333" s="9" t="s">
        <v>2750</v>
      </c>
      <c r="D1333" s="1" t="s">
        <v>12</v>
      </c>
      <c r="E1333" s="1">
        <v>5</v>
      </c>
      <c r="F1333" s="1">
        <v>3</v>
      </c>
      <c r="G1333" s="1">
        <v>90</v>
      </c>
      <c r="H1333" s="10" t="s">
        <v>2120</v>
      </c>
      <c r="I1333" s="1">
        <f t="shared" si="31"/>
        <v>48500</v>
      </c>
      <c r="J1333" s="1">
        <v>20</v>
      </c>
      <c r="K1333" s="1">
        <v>0</v>
      </c>
      <c r="L1333" s="1">
        <f t="shared" si="32"/>
        <v>50000</v>
      </c>
      <c r="M1333" s="1" t="str">
        <f t="shared" si="33"/>
        <v>103_5719_5719,104_11438_11438</v>
      </c>
      <c r="N1333" s="1" t="s">
        <v>2435</v>
      </c>
      <c r="O1333" s="1">
        <v>0</v>
      </c>
      <c r="P1333" s="1" t="s">
        <v>2059</v>
      </c>
      <c r="Q1333" s="7" t="str">
        <f t="shared" si="29"/>
        <v>equipment/1131.png</v>
      </c>
      <c r="R1333" s="1">
        <v>0</v>
      </c>
    </row>
    <row r="1334" spans="1:18" ht="14.25" thickBot="1">
      <c r="A1334" s="1">
        <v>30901060</v>
      </c>
      <c r="B1334" s="3">
        <f t="shared" si="30"/>
        <v>1</v>
      </c>
      <c r="C1334" s="9" t="s">
        <v>2752</v>
      </c>
      <c r="D1334" s="1" t="s">
        <v>13</v>
      </c>
      <c r="E1334" s="1">
        <v>6</v>
      </c>
      <c r="F1334" s="1">
        <v>3</v>
      </c>
      <c r="G1334" s="1">
        <v>90</v>
      </c>
      <c r="H1334" s="10" t="s">
        <v>2120</v>
      </c>
      <c r="I1334" s="1">
        <f t="shared" si="31"/>
        <v>47000</v>
      </c>
      <c r="J1334" s="1">
        <v>20</v>
      </c>
      <c r="K1334" s="1">
        <v>0</v>
      </c>
      <c r="L1334" s="1">
        <f t="shared" si="32"/>
        <v>47500</v>
      </c>
      <c r="M1334" s="1" t="str">
        <f t="shared" si="33"/>
        <v>105_4924_4924</v>
      </c>
      <c r="N1334" s="1" t="s">
        <v>2435</v>
      </c>
      <c r="O1334" s="1">
        <v>0</v>
      </c>
      <c r="P1334" s="1" t="s">
        <v>2059</v>
      </c>
      <c r="Q1334" s="7" t="str">
        <f t="shared" si="29"/>
        <v>equipment/2125.png</v>
      </c>
      <c r="R1334" s="1">
        <v>0</v>
      </c>
    </row>
    <row r="1335" spans="1:18" ht="14.25" thickBot="1">
      <c r="A1335" s="1">
        <v>30901061</v>
      </c>
      <c r="B1335" s="3">
        <f t="shared" si="30"/>
        <v>0</v>
      </c>
      <c r="C1335" s="9" t="s">
        <v>2753</v>
      </c>
      <c r="D1335" s="1" t="s">
        <v>13</v>
      </c>
      <c r="E1335" s="1">
        <v>6</v>
      </c>
      <c r="F1335" s="1">
        <v>3</v>
      </c>
      <c r="G1335" s="1">
        <v>90</v>
      </c>
      <c r="H1335" s="10" t="s">
        <v>2120</v>
      </c>
      <c r="I1335" s="1">
        <f t="shared" si="31"/>
        <v>48500</v>
      </c>
      <c r="J1335" s="1">
        <v>20</v>
      </c>
      <c r="K1335" s="1">
        <v>0</v>
      </c>
      <c r="L1335" s="1">
        <f t="shared" si="32"/>
        <v>50000</v>
      </c>
      <c r="M1335" s="1" t="str">
        <f t="shared" si="33"/>
        <v>105_5147_5147</v>
      </c>
      <c r="N1335" s="1" t="s">
        <v>2435</v>
      </c>
      <c r="O1335" s="1">
        <v>0</v>
      </c>
      <c r="P1335" s="1" t="s">
        <v>2059</v>
      </c>
      <c r="Q1335" s="7" t="str">
        <f t="shared" si="29"/>
        <v>equipment/102101.png</v>
      </c>
      <c r="R1335" s="1">
        <v>0</v>
      </c>
    </row>
    <row r="1336" spans="1:18" ht="14.25" thickBot="1">
      <c r="A1336" s="1">
        <v>30902050</v>
      </c>
      <c r="B1336" s="3">
        <f t="shared" si="30"/>
        <v>1</v>
      </c>
      <c r="C1336" s="1" t="s">
        <v>2754</v>
      </c>
      <c r="D1336" s="1" t="s">
        <v>12</v>
      </c>
      <c r="E1336" s="1">
        <v>5</v>
      </c>
      <c r="F1336" s="1">
        <v>3</v>
      </c>
      <c r="G1336" s="1">
        <v>90</v>
      </c>
      <c r="H1336" s="10" t="s">
        <v>2121</v>
      </c>
      <c r="I1336" s="1">
        <f t="shared" si="31"/>
        <v>47000</v>
      </c>
      <c r="J1336" s="1">
        <v>20</v>
      </c>
      <c r="K1336" s="1">
        <v>0</v>
      </c>
      <c r="L1336" s="1">
        <f t="shared" si="32"/>
        <v>47500</v>
      </c>
      <c r="M1336" s="1" t="str">
        <f t="shared" si="33"/>
        <v>103_5471_5471,104_10942_10942</v>
      </c>
      <c r="N1336" s="1" t="s">
        <v>2435</v>
      </c>
      <c r="O1336" s="1">
        <v>0</v>
      </c>
      <c r="P1336" s="1" t="s">
        <v>2059</v>
      </c>
      <c r="Q1336" s="7" t="str">
        <f t="shared" si="29"/>
        <v>equipment/1231.png</v>
      </c>
      <c r="R1336" s="1">
        <v>0</v>
      </c>
    </row>
    <row r="1337" spans="1:18" ht="14.25" thickBot="1">
      <c r="A1337" s="1">
        <v>30902051</v>
      </c>
      <c r="B1337" s="3">
        <f t="shared" si="30"/>
        <v>0</v>
      </c>
      <c r="C1337" s="9" t="s">
        <v>2755</v>
      </c>
      <c r="D1337" s="1" t="s">
        <v>12</v>
      </c>
      <c r="E1337" s="1">
        <v>5</v>
      </c>
      <c r="F1337" s="1">
        <v>3</v>
      </c>
      <c r="G1337" s="1">
        <v>90</v>
      </c>
      <c r="H1337" s="10" t="s">
        <v>2121</v>
      </c>
      <c r="I1337" s="1">
        <f t="shared" si="31"/>
        <v>48500</v>
      </c>
      <c r="J1337" s="1">
        <v>20</v>
      </c>
      <c r="K1337" s="1">
        <v>0</v>
      </c>
      <c r="L1337" s="1">
        <f t="shared" si="32"/>
        <v>50000</v>
      </c>
      <c r="M1337" s="1" t="str">
        <f t="shared" si="33"/>
        <v>103_5719_5719,104_11438_11438</v>
      </c>
      <c r="N1337" s="1" t="s">
        <v>2435</v>
      </c>
      <c r="O1337" s="1">
        <v>0</v>
      </c>
      <c r="P1337" s="1" t="s">
        <v>2059</v>
      </c>
      <c r="Q1337" s="7" t="str">
        <f t="shared" si="29"/>
        <v>equipment/101201.png</v>
      </c>
      <c r="R1337" s="1">
        <v>0</v>
      </c>
    </row>
    <row r="1338" spans="1:18" ht="14.25" thickBot="1">
      <c r="A1338" s="1">
        <v>30902060</v>
      </c>
      <c r="B1338" s="3">
        <f t="shared" si="30"/>
        <v>1</v>
      </c>
      <c r="C1338" s="9" t="s">
        <v>2756</v>
      </c>
      <c r="D1338" s="1" t="s">
        <v>13</v>
      </c>
      <c r="E1338" s="1">
        <v>6</v>
      </c>
      <c r="F1338" s="1">
        <v>3</v>
      </c>
      <c r="G1338" s="1">
        <v>90</v>
      </c>
      <c r="H1338" s="10" t="s">
        <v>2121</v>
      </c>
      <c r="I1338" s="1">
        <f t="shared" si="31"/>
        <v>47000</v>
      </c>
      <c r="J1338" s="1">
        <v>20</v>
      </c>
      <c r="K1338" s="1">
        <v>0</v>
      </c>
      <c r="L1338" s="1">
        <f t="shared" si="32"/>
        <v>47500</v>
      </c>
      <c r="M1338" s="1" t="str">
        <f t="shared" si="33"/>
        <v>108_4924_4924</v>
      </c>
      <c r="N1338" s="1" t="s">
        <v>2435</v>
      </c>
      <c r="O1338" s="1">
        <v>0</v>
      </c>
      <c r="P1338" s="1" t="s">
        <v>2059</v>
      </c>
      <c r="Q1338" s="7" t="str">
        <f t="shared" si="29"/>
        <v>equipment/2225.png</v>
      </c>
      <c r="R1338" s="1">
        <v>0</v>
      </c>
    </row>
    <row r="1339" spans="1:18" ht="14.25" thickBot="1">
      <c r="A1339" s="1">
        <v>30902061</v>
      </c>
      <c r="B1339" s="3">
        <f t="shared" si="30"/>
        <v>0</v>
      </c>
      <c r="C1339" s="9" t="s">
        <v>2757</v>
      </c>
      <c r="D1339" s="1" t="s">
        <v>13</v>
      </c>
      <c r="E1339" s="1">
        <v>6</v>
      </c>
      <c r="F1339" s="1">
        <v>3</v>
      </c>
      <c r="G1339" s="1">
        <v>90</v>
      </c>
      <c r="H1339" s="10" t="s">
        <v>2121</v>
      </c>
      <c r="I1339" s="1">
        <f t="shared" si="31"/>
        <v>48500</v>
      </c>
      <c r="J1339" s="1">
        <v>20</v>
      </c>
      <c r="K1339" s="1">
        <v>0</v>
      </c>
      <c r="L1339" s="1">
        <f t="shared" si="32"/>
        <v>50000</v>
      </c>
      <c r="M1339" s="1" t="str">
        <f t="shared" si="33"/>
        <v>108_5147_5147</v>
      </c>
      <c r="N1339" s="1" t="s">
        <v>2435</v>
      </c>
      <c r="O1339" s="1">
        <v>0</v>
      </c>
      <c r="P1339" s="1" t="s">
        <v>2059</v>
      </c>
      <c r="Q1339" s="7" t="str">
        <f t="shared" si="29"/>
        <v>equipment/2217.png</v>
      </c>
      <c r="R1339" s="1">
        <v>0</v>
      </c>
    </row>
    <row r="1340" spans="1:18" ht="14.25" thickBot="1">
      <c r="A1340" s="1">
        <v>30903050</v>
      </c>
      <c r="B1340" s="3">
        <f t="shared" si="30"/>
        <v>1</v>
      </c>
      <c r="C1340" s="9" t="s">
        <v>2758</v>
      </c>
      <c r="D1340" s="1" t="s">
        <v>12</v>
      </c>
      <c r="E1340" s="1">
        <v>5</v>
      </c>
      <c r="F1340" s="1">
        <v>3</v>
      </c>
      <c r="G1340" s="1">
        <v>90</v>
      </c>
      <c r="H1340" s="10" t="s">
        <v>2122</v>
      </c>
      <c r="I1340" s="1">
        <f t="shared" si="31"/>
        <v>47000</v>
      </c>
      <c r="J1340" s="1">
        <v>20</v>
      </c>
      <c r="K1340" s="1">
        <v>0</v>
      </c>
      <c r="L1340" s="1">
        <f t="shared" si="32"/>
        <v>47500</v>
      </c>
      <c r="M1340" s="1" t="str">
        <f t="shared" si="33"/>
        <v>103_5471_5471,104_10942_10942</v>
      </c>
      <c r="N1340" s="1" t="s">
        <v>2435</v>
      </c>
      <c r="O1340" s="1">
        <v>0</v>
      </c>
      <c r="P1340" s="1" t="s">
        <v>2059</v>
      </c>
      <c r="Q1340" s="7" t="str">
        <f t="shared" si="29"/>
        <v>equipment/1330.png</v>
      </c>
      <c r="R1340" s="1">
        <v>0</v>
      </c>
    </row>
    <row r="1341" spans="1:18" ht="14.25" thickBot="1">
      <c r="A1341" s="1">
        <v>30903051</v>
      </c>
      <c r="B1341" s="3">
        <f t="shared" si="30"/>
        <v>0</v>
      </c>
      <c r="C1341" s="9" t="s">
        <v>2759</v>
      </c>
      <c r="D1341" s="1" t="s">
        <v>12</v>
      </c>
      <c r="E1341" s="1">
        <v>5</v>
      </c>
      <c r="F1341" s="1">
        <v>3</v>
      </c>
      <c r="G1341" s="1">
        <v>90</v>
      </c>
      <c r="H1341" s="10" t="s">
        <v>2122</v>
      </c>
      <c r="I1341" s="1">
        <f t="shared" si="31"/>
        <v>48500</v>
      </c>
      <c r="J1341" s="1">
        <v>20</v>
      </c>
      <c r="K1341" s="1">
        <v>0</v>
      </c>
      <c r="L1341" s="1">
        <f t="shared" si="32"/>
        <v>50000</v>
      </c>
      <c r="M1341" s="1" t="str">
        <f t="shared" si="33"/>
        <v>103_5719_5719,104_11438_11438</v>
      </c>
      <c r="N1341" s="1" t="s">
        <v>2435</v>
      </c>
      <c r="O1341" s="1">
        <v>0</v>
      </c>
      <c r="P1341" s="1" t="s">
        <v>2059</v>
      </c>
      <c r="Q1341" s="7" t="str">
        <f t="shared" si="29"/>
        <v>equipment/1328.png</v>
      </c>
      <c r="R1341" s="1">
        <v>0</v>
      </c>
    </row>
    <row r="1342" spans="1:18" ht="14.25" thickBot="1">
      <c r="A1342" s="1">
        <v>30903060</v>
      </c>
      <c r="B1342" s="3">
        <f t="shared" si="30"/>
        <v>1</v>
      </c>
      <c r="C1342" s="9" t="s">
        <v>2760</v>
      </c>
      <c r="D1342" s="1" t="s">
        <v>13</v>
      </c>
      <c r="E1342" s="1">
        <v>6</v>
      </c>
      <c r="F1342" s="1">
        <v>3</v>
      </c>
      <c r="G1342" s="1">
        <v>90</v>
      </c>
      <c r="H1342" s="10" t="s">
        <v>2122</v>
      </c>
      <c r="I1342" s="1">
        <f t="shared" si="31"/>
        <v>47000</v>
      </c>
      <c r="J1342" s="1">
        <v>20</v>
      </c>
      <c r="K1342" s="1">
        <v>0</v>
      </c>
      <c r="L1342" s="1">
        <f t="shared" si="32"/>
        <v>47500</v>
      </c>
      <c r="M1342" s="1" t="str">
        <f t="shared" si="33"/>
        <v>102_4040_4040</v>
      </c>
      <c r="N1342" s="1" t="s">
        <v>2435</v>
      </c>
      <c r="O1342" s="1">
        <v>0</v>
      </c>
      <c r="P1342" s="1" t="s">
        <v>2059</v>
      </c>
      <c r="Q1342" s="7" t="str">
        <f t="shared" si="29"/>
        <v>equipment/2325.png</v>
      </c>
      <c r="R1342" s="1">
        <v>0</v>
      </c>
    </row>
    <row r="1343" spans="1:18" ht="14.25" thickBot="1">
      <c r="A1343" s="1">
        <v>30903061</v>
      </c>
      <c r="B1343" s="3">
        <f t="shared" si="30"/>
        <v>0</v>
      </c>
      <c r="C1343" s="9" t="s">
        <v>2673</v>
      </c>
      <c r="D1343" s="1" t="s">
        <v>13</v>
      </c>
      <c r="E1343" s="1">
        <v>6</v>
      </c>
      <c r="F1343" s="1">
        <v>3</v>
      </c>
      <c r="G1343" s="1">
        <v>90</v>
      </c>
      <c r="H1343" s="10" t="s">
        <v>2122</v>
      </c>
      <c r="I1343" s="1">
        <f t="shared" si="31"/>
        <v>48500</v>
      </c>
      <c r="J1343" s="1">
        <v>20</v>
      </c>
      <c r="K1343" s="1">
        <v>0</v>
      </c>
      <c r="L1343" s="1">
        <f t="shared" si="32"/>
        <v>50000</v>
      </c>
      <c r="M1343" s="1" t="str">
        <f t="shared" si="33"/>
        <v>102_4140_4140</v>
      </c>
      <c r="N1343" s="1" t="s">
        <v>2435</v>
      </c>
      <c r="O1343" s="1">
        <v>0</v>
      </c>
      <c r="P1343" s="1" t="s">
        <v>2059</v>
      </c>
      <c r="Q1343" s="7" t="str">
        <f t="shared" si="29"/>
        <v>equipment/2324.png</v>
      </c>
      <c r="R1343" s="1">
        <v>0</v>
      </c>
    </row>
    <row r="1344" spans="1:18" ht="14.25" thickBot="1">
      <c r="A1344" s="1">
        <v>30900040</v>
      </c>
      <c r="B1344" s="3">
        <f t="shared" si="30"/>
        <v>1</v>
      </c>
      <c r="C1344" s="1" t="s">
        <v>2761</v>
      </c>
      <c r="D1344" s="1" t="s">
        <v>11</v>
      </c>
      <c r="E1344" s="1">
        <v>4</v>
      </c>
      <c r="F1344" s="1">
        <v>3</v>
      </c>
      <c r="G1344" s="1">
        <v>90</v>
      </c>
      <c r="H1344" s="10">
        <v>0</v>
      </c>
      <c r="I1344" s="1">
        <f t="shared" si="31"/>
        <v>47000</v>
      </c>
      <c r="J1344" s="1">
        <v>20</v>
      </c>
      <c r="K1344" s="1">
        <v>0</v>
      </c>
      <c r="L1344" s="1">
        <f t="shared" si="32"/>
        <v>47500</v>
      </c>
      <c r="M1344" s="1" t="str">
        <f t="shared" si="33"/>
        <v>105_3447_3447</v>
      </c>
      <c r="N1344" s="1" t="s">
        <v>2434</v>
      </c>
      <c r="O1344" s="1">
        <v>0</v>
      </c>
      <c r="P1344" s="1" t="s">
        <v>2059</v>
      </c>
      <c r="Q1344" s="7" t="str">
        <f t="shared" si="29"/>
        <v>equipment/5024.png</v>
      </c>
      <c r="R1344" s="1">
        <v>0</v>
      </c>
    </row>
    <row r="1345" spans="1:18" ht="14.25" thickBot="1">
      <c r="A1345" s="1">
        <v>30900041</v>
      </c>
      <c r="B1345" s="3">
        <f t="shared" si="30"/>
        <v>0</v>
      </c>
      <c r="C1345" s="1" t="s">
        <v>2762</v>
      </c>
      <c r="D1345" s="1" t="s">
        <v>11</v>
      </c>
      <c r="E1345" s="1">
        <v>4</v>
      </c>
      <c r="F1345" s="1">
        <v>3</v>
      </c>
      <c r="G1345" s="1">
        <v>90</v>
      </c>
      <c r="H1345" s="10">
        <v>0</v>
      </c>
      <c r="I1345" s="1">
        <f t="shared" si="31"/>
        <v>48500</v>
      </c>
      <c r="J1345" s="1">
        <v>20</v>
      </c>
      <c r="K1345" s="1">
        <v>0</v>
      </c>
      <c r="L1345" s="1">
        <f t="shared" si="32"/>
        <v>50000</v>
      </c>
      <c r="M1345" s="1" t="str">
        <f t="shared" si="33"/>
        <v>105_3603_3603</v>
      </c>
      <c r="N1345" s="1" t="s">
        <v>2434</v>
      </c>
      <c r="O1345" s="1">
        <v>0</v>
      </c>
      <c r="P1345" s="1" t="s">
        <v>2059</v>
      </c>
      <c r="Q1345" s="7" t="str">
        <f t="shared" si="29"/>
        <v>equipment/5001.png</v>
      </c>
      <c r="R1345" s="1">
        <v>0</v>
      </c>
    </row>
    <row r="1346" spans="1:18" ht="14.25" thickBot="1">
      <c r="A1346" s="1">
        <v>30900070</v>
      </c>
      <c r="B1346" s="3">
        <f t="shared" si="30"/>
        <v>1</v>
      </c>
      <c r="C1346" s="1" t="s">
        <v>2763</v>
      </c>
      <c r="D1346" s="1" t="s">
        <v>14</v>
      </c>
      <c r="E1346" s="1">
        <v>7</v>
      </c>
      <c r="F1346" s="1">
        <v>3</v>
      </c>
      <c r="G1346" s="1">
        <v>90</v>
      </c>
      <c r="H1346" s="10">
        <v>0</v>
      </c>
      <c r="I1346" s="1">
        <f t="shared" si="31"/>
        <v>47000</v>
      </c>
      <c r="J1346" s="1">
        <v>20</v>
      </c>
      <c r="K1346" s="1">
        <v>0</v>
      </c>
      <c r="L1346" s="1">
        <f t="shared" si="32"/>
        <v>47500</v>
      </c>
      <c r="M1346" s="1" t="str">
        <f t="shared" si="33"/>
        <v>105_3447_3447</v>
      </c>
      <c r="N1346" s="1" t="s">
        <v>2434</v>
      </c>
      <c r="O1346" s="1">
        <v>0</v>
      </c>
      <c r="P1346" s="1" t="s">
        <v>2059</v>
      </c>
      <c r="Q1346" s="7" t="str">
        <f t="shared" si="29"/>
        <v>equipment/7016.png</v>
      </c>
      <c r="R1346" s="1">
        <v>0</v>
      </c>
    </row>
    <row r="1347" spans="1:18" ht="14.25" thickBot="1">
      <c r="A1347" s="1">
        <v>30900071</v>
      </c>
      <c r="B1347" s="3">
        <f t="shared" si="30"/>
        <v>0</v>
      </c>
      <c r="C1347" s="1" t="s">
        <v>2764</v>
      </c>
      <c r="D1347" s="1" t="s">
        <v>14</v>
      </c>
      <c r="E1347" s="1">
        <v>7</v>
      </c>
      <c r="F1347" s="1">
        <v>3</v>
      </c>
      <c r="G1347" s="1">
        <v>90</v>
      </c>
      <c r="H1347" s="10">
        <v>0</v>
      </c>
      <c r="I1347" s="1">
        <f t="shared" si="31"/>
        <v>48500</v>
      </c>
      <c r="J1347" s="1">
        <v>20</v>
      </c>
      <c r="K1347" s="1">
        <v>0</v>
      </c>
      <c r="L1347" s="1">
        <f t="shared" si="32"/>
        <v>50000</v>
      </c>
      <c r="M1347" s="1" t="str">
        <f t="shared" si="33"/>
        <v>105_3603_3603</v>
      </c>
      <c r="N1347" s="1" t="s">
        <v>2434</v>
      </c>
      <c r="O1347" s="1">
        <v>0</v>
      </c>
      <c r="P1347" s="1" t="s">
        <v>2059</v>
      </c>
      <c r="Q1347" s="7" t="str">
        <f t="shared" si="29"/>
        <v>equipment/7001.png</v>
      </c>
      <c r="R1347" s="1">
        <v>0</v>
      </c>
    </row>
    <row r="1348" spans="1:18" ht="14.25" thickBot="1">
      <c r="A1348" s="1">
        <v>30950010</v>
      </c>
      <c r="B1348" s="3">
        <f t="shared" si="30"/>
        <v>1</v>
      </c>
      <c r="C1348" s="1" t="s">
        <v>2765</v>
      </c>
      <c r="D1348" s="1" t="s">
        <v>8</v>
      </c>
      <c r="E1348" s="1">
        <v>1</v>
      </c>
      <c r="F1348" s="1">
        <v>3</v>
      </c>
      <c r="G1348" s="1">
        <v>95</v>
      </c>
      <c r="H1348" s="10">
        <v>0</v>
      </c>
      <c r="I1348" s="1">
        <f t="shared" si="31"/>
        <v>50000</v>
      </c>
      <c r="J1348" s="1">
        <v>20</v>
      </c>
      <c r="K1348" s="1">
        <v>0</v>
      </c>
      <c r="L1348" s="1">
        <f t="shared" si="32"/>
        <v>50000</v>
      </c>
      <c r="M1348" s="1" t="str">
        <f t="shared" si="33"/>
        <v>106_5346_5346</v>
      </c>
      <c r="N1348" s="1" t="s">
        <v>2436</v>
      </c>
      <c r="O1348" s="1">
        <v>0</v>
      </c>
      <c r="P1348" s="1" t="s">
        <v>2059</v>
      </c>
      <c r="Q1348" s="7" t="str">
        <f t="shared" si="29"/>
        <v>equipment/3001.png</v>
      </c>
      <c r="R1348" s="1">
        <v>0</v>
      </c>
    </row>
    <row r="1349" spans="1:18" ht="14.25" thickBot="1">
      <c r="A1349" s="1">
        <v>30950020</v>
      </c>
      <c r="B1349" s="3">
        <f t="shared" si="30"/>
        <v>1</v>
      </c>
      <c r="C1349" s="1" t="s">
        <v>2766</v>
      </c>
      <c r="D1349" s="1" t="s">
        <v>9</v>
      </c>
      <c r="E1349" s="1">
        <v>2</v>
      </c>
      <c r="F1349" s="1">
        <v>3</v>
      </c>
      <c r="G1349" s="1">
        <v>95</v>
      </c>
      <c r="H1349" s="10">
        <v>0</v>
      </c>
      <c r="I1349" s="1">
        <f t="shared" si="31"/>
        <v>50000</v>
      </c>
      <c r="J1349" s="1">
        <v>20</v>
      </c>
      <c r="K1349" s="1">
        <v>0</v>
      </c>
      <c r="L1349" s="1">
        <f t="shared" si="32"/>
        <v>50000</v>
      </c>
      <c r="M1349" s="1" t="str">
        <f t="shared" si="33"/>
        <v>102_2240_2240</v>
      </c>
      <c r="N1349" s="1" t="s">
        <v>2436</v>
      </c>
      <c r="O1349" s="1">
        <v>0</v>
      </c>
      <c r="P1349" s="1" t="s">
        <v>2059</v>
      </c>
      <c r="Q1349" s="7" t="str">
        <f t="shared" si="29"/>
        <v>equipment/14001.png</v>
      </c>
      <c r="R1349" s="1">
        <v>0</v>
      </c>
    </row>
    <row r="1350" spans="1:18" ht="14.25" thickBot="1">
      <c r="A1350" s="1">
        <v>30950030</v>
      </c>
      <c r="B1350" s="3">
        <f t="shared" si="30"/>
        <v>1</v>
      </c>
      <c r="C1350" s="1" t="s">
        <v>2767</v>
      </c>
      <c r="D1350" s="1" t="s">
        <v>10</v>
      </c>
      <c r="E1350" s="1">
        <v>3</v>
      </c>
      <c r="F1350" s="1">
        <v>3</v>
      </c>
      <c r="G1350" s="1">
        <v>95</v>
      </c>
      <c r="H1350" s="10">
        <v>0</v>
      </c>
      <c r="I1350" s="1">
        <f t="shared" si="31"/>
        <v>50000</v>
      </c>
      <c r="J1350" s="1">
        <v>20</v>
      </c>
      <c r="K1350" s="1">
        <v>0</v>
      </c>
      <c r="L1350" s="1">
        <f t="shared" si="32"/>
        <v>50000</v>
      </c>
      <c r="M1350" s="1" t="str">
        <f t="shared" si="33"/>
        <v>101_32760_32760</v>
      </c>
      <c r="N1350" s="1" t="s">
        <v>2436</v>
      </c>
      <c r="O1350" s="1">
        <v>0</v>
      </c>
      <c r="P1350" s="1" t="s">
        <v>2059</v>
      </c>
      <c r="Q1350" s="7" t="str">
        <f t="shared" si="29"/>
        <v>equipment/6001.png</v>
      </c>
      <c r="R1350" s="1">
        <v>0</v>
      </c>
    </row>
    <row r="1351" spans="1:18" ht="14.25" thickBot="1">
      <c r="A1351" s="1">
        <v>30950080</v>
      </c>
      <c r="B1351" s="3">
        <f t="shared" si="30"/>
        <v>1</v>
      </c>
      <c r="C1351" s="1" t="s">
        <v>2768</v>
      </c>
      <c r="D1351" s="1" t="s">
        <v>15</v>
      </c>
      <c r="E1351" s="1">
        <v>8</v>
      </c>
      <c r="F1351" s="1">
        <v>3</v>
      </c>
      <c r="G1351" s="1">
        <v>95</v>
      </c>
      <c r="H1351" s="10">
        <v>0</v>
      </c>
      <c r="I1351" s="1">
        <f t="shared" si="31"/>
        <v>50000</v>
      </c>
      <c r="J1351" s="1">
        <v>20</v>
      </c>
      <c r="K1351" s="1">
        <v>0</v>
      </c>
      <c r="L1351" s="1">
        <f t="shared" si="32"/>
        <v>50000</v>
      </c>
      <c r="M1351" s="1" t="str">
        <f t="shared" si="33"/>
        <v>110_786_786</v>
      </c>
      <c r="N1351" s="1" t="s">
        <v>2436</v>
      </c>
      <c r="O1351" s="1">
        <v>0</v>
      </c>
      <c r="P1351" s="1" t="s">
        <v>2059</v>
      </c>
      <c r="Q1351" s="7" t="str">
        <f t="shared" si="29"/>
        <v>equipment/8001.png</v>
      </c>
      <c r="R1351" s="1">
        <v>0</v>
      </c>
    </row>
    <row r="1352" spans="1:18" ht="14.25" thickBot="1">
      <c r="A1352" s="1">
        <v>30950090</v>
      </c>
      <c r="B1352" s="3">
        <f t="shared" si="30"/>
        <v>1</v>
      </c>
      <c r="C1352" s="1" t="s">
        <v>2769</v>
      </c>
      <c r="D1352" s="1" t="s">
        <v>16</v>
      </c>
      <c r="E1352" s="1">
        <v>9</v>
      </c>
      <c r="F1352" s="1">
        <v>3</v>
      </c>
      <c r="G1352" s="1">
        <v>95</v>
      </c>
      <c r="H1352" s="10">
        <v>0</v>
      </c>
      <c r="I1352" s="1">
        <f t="shared" si="31"/>
        <v>50000</v>
      </c>
      <c r="J1352" s="1">
        <v>20</v>
      </c>
      <c r="K1352" s="1">
        <v>0</v>
      </c>
      <c r="L1352" s="1">
        <f t="shared" si="32"/>
        <v>50000</v>
      </c>
      <c r="M1352" s="1" t="str">
        <f t="shared" si="33"/>
        <v>108_6853_6853</v>
      </c>
      <c r="N1352" s="1" t="s">
        <v>2436</v>
      </c>
      <c r="O1352" s="1">
        <v>0</v>
      </c>
      <c r="P1352" s="1" t="s">
        <v>2059</v>
      </c>
      <c r="Q1352" s="7" t="str">
        <f t="shared" si="29"/>
        <v>equipment/10001.png</v>
      </c>
      <c r="R1352" s="1">
        <v>0</v>
      </c>
    </row>
    <row r="1353" spans="1:18" ht="14.25" thickBot="1">
      <c r="A1353" s="1">
        <v>30950100</v>
      </c>
      <c r="B1353" s="3">
        <f t="shared" si="30"/>
        <v>1</v>
      </c>
      <c r="C1353" s="1" t="s">
        <v>2770</v>
      </c>
      <c r="D1353" s="1" t="s">
        <v>17</v>
      </c>
      <c r="E1353" s="1">
        <v>10</v>
      </c>
      <c r="F1353" s="1">
        <v>3</v>
      </c>
      <c r="G1353" s="1">
        <v>95</v>
      </c>
      <c r="H1353" s="10">
        <v>0</v>
      </c>
      <c r="I1353" s="1">
        <f t="shared" si="31"/>
        <v>50000</v>
      </c>
      <c r="J1353" s="1">
        <v>20</v>
      </c>
      <c r="K1353" s="1">
        <v>0</v>
      </c>
      <c r="L1353" s="1">
        <f t="shared" si="32"/>
        <v>50000</v>
      </c>
      <c r="M1353" s="1" t="str">
        <f t="shared" si="33"/>
        <v>107_5346_5346</v>
      </c>
      <c r="N1353" s="1" t="s">
        <v>2436</v>
      </c>
      <c r="O1353" s="1">
        <v>0</v>
      </c>
      <c r="P1353" s="1" t="s">
        <v>2059</v>
      </c>
      <c r="Q1353" s="7" t="str">
        <f t="shared" si="29"/>
        <v>equipment/12001.png</v>
      </c>
      <c r="R1353" s="1">
        <v>0</v>
      </c>
    </row>
    <row r="1354" spans="1:18" ht="14.25" thickBot="1">
      <c r="A1354" s="1">
        <v>30951050</v>
      </c>
      <c r="B1354" s="3">
        <f t="shared" si="30"/>
        <v>1</v>
      </c>
      <c r="C1354" s="9" t="s">
        <v>2771</v>
      </c>
      <c r="D1354" s="1" t="s">
        <v>12</v>
      </c>
      <c r="E1354" s="1">
        <v>5</v>
      </c>
      <c r="F1354" s="1">
        <v>3</v>
      </c>
      <c r="G1354" s="1">
        <v>95</v>
      </c>
      <c r="H1354" s="10" t="s">
        <v>2120</v>
      </c>
      <c r="I1354" s="1">
        <f t="shared" si="31"/>
        <v>50000</v>
      </c>
      <c r="J1354" s="1">
        <v>20</v>
      </c>
      <c r="K1354" s="1">
        <v>0</v>
      </c>
      <c r="L1354" s="1">
        <f t="shared" si="32"/>
        <v>50000</v>
      </c>
      <c r="M1354" s="1" t="str">
        <f t="shared" si="33"/>
        <v>103_6091_6091,104_12182_12182</v>
      </c>
      <c r="N1354" s="1" t="s">
        <v>2437</v>
      </c>
      <c r="O1354" s="1">
        <v>0</v>
      </c>
      <c r="P1354" s="1" t="s">
        <v>2059</v>
      </c>
      <c r="Q1354" s="7" t="str">
        <f t="shared" si="29"/>
        <v>equipment/1124.png</v>
      </c>
      <c r="R1354" s="1">
        <v>0</v>
      </c>
    </row>
    <row r="1355" spans="1:18" ht="14.25" thickBot="1">
      <c r="A1355" s="1">
        <v>30951051</v>
      </c>
      <c r="B1355" s="3">
        <f t="shared" si="30"/>
        <v>0</v>
      </c>
      <c r="C1355" s="9" t="s">
        <v>2772</v>
      </c>
      <c r="D1355" s="1" t="s">
        <v>12</v>
      </c>
      <c r="E1355" s="1">
        <v>5</v>
      </c>
      <c r="F1355" s="1">
        <v>3</v>
      </c>
      <c r="G1355" s="1">
        <v>95</v>
      </c>
      <c r="H1355" s="10" t="s">
        <v>2120</v>
      </c>
      <c r="I1355" s="1">
        <f t="shared" si="31"/>
        <v>51500</v>
      </c>
      <c r="J1355" s="1">
        <v>20</v>
      </c>
      <c r="K1355" s="1">
        <v>0</v>
      </c>
      <c r="L1355" s="1">
        <f t="shared" si="32"/>
        <v>52500</v>
      </c>
      <c r="M1355" s="1" t="str">
        <f t="shared" si="33"/>
        <v>103_6352_6352,104_12705_12705</v>
      </c>
      <c r="N1355" s="1" t="s">
        <v>2437</v>
      </c>
      <c r="O1355" s="1">
        <v>0</v>
      </c>
      <c r="P1355" s="1" t="s">
        <v>2059</v>
      </c>
      <c r="Q1355" s="7" t="str">
        <f t="shared" si="29"/>
        <v>equipment/1101.png</v>
      </c>
      <c r="R1355" s="1">
        <v>0</v>
      </c>
    </row>
    <row r="1356" spans="1:18" ht="14.25" thickBot="1">
      <c r="A1356" s="1">
        <v>30951060</v>
      </c>
      <c r="B1356" s="3">
        <f t="shared" si="30"/>
        <v>1</v>
      </c>
      <c r="C1356" s="9" t="s">
        <v>2773</v>
      </c>
      <c r="D1356" s="1" t="s">
        <v>13</v>
      </c>
      <c r="E1356" s="1">
        <v>6</v>
      </c>
      <c r="F1356" s="1">
        <v>3</v>
      </c>
      <c r="G1356" s="1">
        <v>95</v>
      </c>
      <c r="H1356" s="10" t="s">
        <v>2120</v>
      </c>
      <c r="I1356" s="1">
        <f t="shared" si="31"/>
        <v>50000</v>
      </c>
      <c r="J1356" s="1">
        <v>20</v>
      </c>
      <c r="K1356" s="1">
        <v>0</v>
      </c>
      <c r="L1356" s="1">
        <f t="shared" si="32"/>
        <v>50000</v>
      </c>
      <c r="M1356" s="1" t="str">
        <f t="shared" si="33"/>
        <v>105_5482_5482</v>
      </c>
      <c r="N1356" s="1" t="s">
        <v>2437</v>
      </c>
      <c r="O1356" s="1">
        <v>0</v>
      </c>
      <c r="P1356" s="1" t="s">
        <v>2059</v>
      </c>
      <c r="Q1356" s="7" t="str">
        <f t="shared" si="29"/>
        <v>equipment/2118.png</v>
      </c>
      <c r="R1356" s="1">
        <v>0</v>
      </c>
    </row>
    <row r="1357" spans="1:18" ht="14.25" thickBot="1">
      <c r="A1357" s="1">
        <v>30951061</v>
      </c>
      <c r="B1357" s="3">
        <f t="shared" si="30"/>
        <v>0</v>
      </c>
      <c r="C1357" s="9" t="s">
        <v>2774</v>
      </c>
      <c r="D1357" s="1" t="s">
        <v>13</v>
      </c>
      <c r="E1357" s="1">
        <v>6</v>
      </c>
      <c r="F1357" s="1">
        <v>3</v>
      </c>
      <c r="G1357" s="1">
        <v>95</v>
      </c>
      <c r="H1357" s="10" t="s">
        <v>2120</v>
      </c>
      <c r="I1357" s="1">
        <f t="shared" si="31"/>
        <v>51500</v>
      </c>
      <c r="J1357" s="1">
        <v>20</v>
      </c>
      <c r="K1357" s="1">
        <v>0</v>
      </c>
      <c r="L1357" s="1">
        <f t="shared" si="32"/>
        <v>52500</v>
      </c>
      <c r="M1357" s="1" t="str">
        <f t="shared" si="33"/>
        <v>105_5717_5717</v>
      </c>
      <c r="N1357" s="1" t="s">
        <v>2437</v>
      </c>
      <c r="O1357" s="1">
        <v>0</v>
      </c>
      <c r="P1357" s="1" t="s">
        <v>2059</v>
      </c>
      <c r="Q1357" s="7" t="str">
        <f t="shared" si="29"/>
        <v>equipment/2101.png</v>
      </c>
      <c r="R1357" s="1">
        <v>0</v>
      </c>
    </row>
    <row r="1358" spans="1:18" ht="14.25" thickBot="1">
      <c r="A1358" s="1">
        <v>30952050</v>
      </c>
      <c r="B1358" s="3">
        <f t="shared" si="30"/>
        <v>1</v>
      </c>
      <c r="C1358" s="1" t="s">
        <v>2775</v>
      </c>
      <c r="D1358" s="1" t="s">
        <v>12</v>
      </c>
      <c r="E1358" s="1">
        <v>5</v>
      </c>
      <c r="F1358" s="1">
        <v>3</v>
      </c>
      <c r="G1358" s="1">
        <v>95</v>
      </c>
      <c r="H1358" s="10" t="s">
        <v>2121</v>
      </c>
      <c r="I1358" s="1">
        <f t="shared" si="31"/>
        <v>50000</v>
      </c>
      <c r="J1358" s="1">
        <v>20</v>
      </c>
      <c r="K1358" s="1">
        <v>0</v>
      </c>
      <c r="L1358" s="1">
        <f t="shared" si="32"/>
        <v>50000</v>
      </c>
      <c r="M1358" s="1" t="str">
        <f t="shared" si="33"/>
        <v>103_6091_6091,104_12182_12182</v>
      </c>
      <c r="N1358" s="1" t="s">
        <v>2437</v>
      </c>
      <c r="O1358" s="1">
        <v>0</v>
      </c>
      <c r="P1358" s="1" t="s">
        <v>2059</v>
      </c>
      <c r="Q1358" s="7" t="str">
        <f t="shared" si="29"/>
        <v>equipment/1222.png</v>
      </c>
      <c r="R1358" s="1">
        <v>0</v>
      </c>
    </row>
    <row r="1359" spans="1:18" ht="14.25" thickBot="1">
      <c r="A1359" s="1">
        <v>30952051</v>
      </c>
      <c r="B1359" s="3">
        <f t="shared" si="30"/>
        <v>0</v>
      </c>
      <c r="C1359" s="9" t="s">
        <v>2776</v>
      </c>
      <c r="D1359" s="1" t="s">
        <v>12</v>
      </c>
      <c r="E1359" s="1">
        <v>5</v>
      </c>
      <c r="F1359" s="1">
        <v>3</v>
      </c>
      <c r="G1359" s="1">
        <v>95</v>
      </c>
      <c r="H1359" s="10" t="s">
        <v>2121</v>
      </c>
      <c r="I1359" s="1">
        <f t="shared" si="31"/>
        <v>51500</v>
      </c>
      <c r="J1359" s="1">
        <v>20</v>
      </c>
      <c r="K1359" s="1">
        <v>0</v>
      </c>
      <c r="L1359" s="1">
        <f t="shared" si="32"/>
        <v>52500</v>
      </c>
      <c r="M1359" s="1" t="str">
        <f t="shared" si="33"/>
        <v>103_6352_6352,104_12705_12705</v>
      </c>
      <c r="N1359" s="1" t="s">
        <v>2437</v>
      </c>
      <c r="O1359" s="1">
        <v>0</v>
      </c>
      <c r="P1359" s="1" t="s">
        <v>2059</v>
      </c>
      <c r="Q1359" s="7" t="str">
        <f t="shared" si="29"/>
        <v>equipment/1201.png</v>
      </c>
      <c r="R1359" s="1">
        <v>0</v>
      </c>
    </row>
    <row r="1360" spans="1:18" ht="14.25" thickBot="1">
      <c r="A1360" s="1">
        <v>30952060</v>
      </c>
      <c r="B1360" s="3">
        <f t="shared" si="30"/>
        <v>1</v>
      </c>
      <c r="C1360" s="9" t="s">
        <v>2777</v>
      </c>
      <c r="D1360" s="1" t="s">
        <v>13</v>
      </c>
      <c r="E1360" s="1">
        <v>6</v>
      </c>
      <c r="F1360" s="1">
        <v>3</v>
      </c>
      <c r="G1360" s="1">
        <v>95</v>
      </c>
      <c r="H1360" s="10" t="s">
        <v>2121</v>
      </c>
      <c r="I1360" s="1">
        <f t="shared" si="31"/>
        <v>50000</v>
      </c>
      <c r="J1360" s="1">
        <v>20</v>
      </c>
      <c r="K1360" s="1">
        <v>0</v>
      </c>
      <c r="L1360" s="1">
        <f t="shared" si="32"/>
        <v>50000</v>
      </c>
      <c r="M1360" s="1" t="str">
        <f t="shared" si="33"/>
        <v>108_5482_5482</v>
      </c>
      <c r="N1360" s="1" t="s">
        <v>2437</v>
      </c>
      <c r="O1360" s="1">
        <v>0</v>
      </c>
      <c r="P1360" s="1" t="s">
        <v>2059</v>
      </c>
      <c r="Q1360" s="7" t="str">
        <f t="shared" si="29"/>
        <v>equipment/2218.png</v>
      </c>
      <c r="R1360" s="1">
        <v>0</v>
      </c>
    </row>
    <row r="1361" spans="1:18" ht="14.25" thickBot="1">
      <c r="A1361" s="1">
        <v>30952061</v>
      </c>
      <c r="B1361" s="3">
        <f t="shared" si="30"/>
        <v>0</v>
      </c>
      <c r="C1361" s="9" t="s">
        <v>2778</v>
      </c>
      <c r="D1361" s="1" t="s">
        <v>13</v>
      </c>
      <c r="E1361" s="1">
        <v>6</v>
      </c>
      <c r="F1361" s="1">
        <v>3</v>
      </c>
      <c r="G1361" s="1">
        <v>95</v>
      </c>
      <c r="H1361" s="10" t="s">
        <v>2121</v>
      </c>
      <c r="I1361" s="1">
        <f t="shared" si="31"/>
        <v>51500</v>
      </c>
      <c r="J1361" s="1">
        <v>20</v>
      </c>
      <c r="K1361" s="1">
        <v>0</v>
      </c>
      <c r="L1361" s="1">
        <f t="shared" si="32"/>
        <v>52500</v>
      </c>
      <c r="M1361" s="1" t="str">
        <f t="shared" si="33"/>
        <v>108_5717_5717</v>
      </c>
      <c r="N1361" s="1" t="s">
        <v>2437</v>
      </c>
      <c r="O1361" s="1">
        <v>0</v>
      </c>
      <c r="P1361" s="1" t="s">
        <v>2059</v>
      </c>
      <c r="Q1361" s="7" t="str">
        <f t="shared" si="29"/>
        <v>equipment/2201.png</v>
      </c>
      <c r="R1361" s="1">
        <v>0</v>
      </c>
    </row>
    <row r="1362" spans="1:18" ht="14.25" thickBot="1">
      <c r="A1362" s="1">
        <v>30953050</v>
      </c>
      <c r="B1362" s="3">
        <f t="shared" si="30"/>
        <v>1</v>
      </c>
      <c r="C1362" s="9" t="s">
        <v>2779</v>
      </c>
      <c r="D1362" s="1" t="s">
        <v>12</v>
      </c>
      <c r="E1362" s="1">
        <v>5</v>
      </c>
      <c r="F1362" s="1">
        <v>3</v>
      </c>
      <c r="G1362" s="1">
        <v>95</v>
      </c>
      <c r="H1362" s="10" t="s">
        <v>2122</v>
      </c>
      <c r="I1362" s="1">
        <f t="shared" si="31"/>
        <v>50000</v>
      </c>
      <c r="J1362" s="1">
        <v>20</v>
      </c>
      <c r="K1362" s="1">
        <v>0</v>
      </c>
      <c r="L1362" s="1">
        <f t="shared" si="32"/>
        <v>50000</v>
      </c>
      <c r="M1362" s="1" t="str">
        <f t="shared" si="33"/>
        <v>103_6091_6091,104_12182_12182</v>
      </c>
      <c r="N1362" s="1" t="s">
        <v>2437</v>
      </c>
      <c r="O1362" s="1">
        <v>0</v>
      </c>
      <c r="P1362" s="1" t="s">
        <v>2059</v>
      </c>
      <c r="Q1362" s="7" t="str">
        <f t="shared" si="29"/>
        <v>equipment/1324.png</v>
      </c>
      <c r="R1362" s="1">
        <v>0</v>
      </c>
    </row>
    <row r="1363" spans="1:18" ht="14.25" thickBot="1">
      <c r="A1363" s="1">
        <v>30953051</v>
      </c>
      <c r="B1363" s="3">
        <f t="shared" si="30"/>
        <v>0</v>
      </c>
      <c r="C1363" s="9" t="s">
        <v>2780</v>
      </c>
      <c r="D1363" s="1" t="s">
        <v>12</v>
      </c>
      <c r="E1363" s="1">
        <v>5</v>
      </c>
      <c r="F1363" s="1">
        <v>3</v>
      </c>
      <c r="G1363" s="1">
        <v>95</v>
      </c>
      <c r="H1363" s="10" t="s">
        <v>2122</v>
      </c>
      <c r="I1363" s="1">
        <f t="shared" si="31"/>
        <v>51500</v>
      </c>
      <c r="J1363" s="1">
        <v>20</v>
      </c>
      <c r="K1363" s="1">
        <v>0</v>
      </c>
      <c r="L1363" s="1">
        <f t="shared" si="32"/>
        <v>52500</v>
      </c>
      <c r="M1363" s="1" t="str">
        <f t="shared" si="33"/>
        <v>103_6352_6352,104_12705_12705</v>
      </c>
      <c r="N1363" s="1" t="s">
        <v>2437</v>
      </c>
      <c r="O1363" s="1">
        <v>0</v>
      </c>
      <c r="P1363" s="1" t="s">
        <v>2059</v>
      </c>
      <c r="Q1363" s="7" t="str">
        <f t="shared" si="29"/>
        <v>equipment/1301.png</v>
      </c>
      <c r="R1363" s="1">
        <v>0</v>
      </c>
    </row>
    <row r="1364" spans="1:18" ht="14.25" thickBot="1">
      <c r="A1364" s="1">
        <v>30953060</v>
      </c>
      <c r="B1364" s="3">
        <f t="shared" si="30"/>
        <v>1</v>
      </c>
      <c r="C1364" s="9" t="s">
        <v>2781</v>
      </c>
      <c r="D1364" s="1" t="s">
        <v>13</v>
      </c>
      <c r="E1364" s="1">
        <v>6</v>
      </c>
      <c r="F1364" s="1">
        <v>3</v>
      </c>
      <c r="G1364" s="1">
        <v>95</v>
      </c>
      <c r="H1364" s="10" t="s">
        <v>2122</v>
      </c>
      <c r="I1364" s="1">
        <f t="shared" si="31"/>
        <v>50000</v>
      </c>
      <c r="J1364" s="1">
        <v>20</v>
      </c>
      <c r="K1364" s="1">
        <v>0</v>
      </c>
      <c r="L1364" s="1">
        <f t="shared" si="32"/>
        <v>50000</v>
      </c>
      <c r="M1364" s="1" t="str">
        <f t="shared" si="33"/>
        <v>102_4280_4280</v>
      </c>
      <c r="N1364" s="1" t="s">
        <v>2437</v>
      </c>
      <c r="O1364" s="1">
        <v>0</v>
      </c>
      <c r="P1364" s="1" t="s">
        <v>2059</v>
      </c>
      <c r="Q1364" s="7" t="str">
        <f t="shared" si="29"/>
        <v>equipment/2318.png</v>
      </c>
      <c r="R1364" s="1">
        <v>0</v>
      </c>
    </row>
    <row r="1365" spans="1:18" ht="14.25" thickBot="1">
      <c r="A1365" s="1">
        <v>30953061</v>
      </c>
      <c r="B1365" s="3">
        <f t="shared" si="30"/>
        <v>0</v>
      </c>
      <c r="C1365" s="9" t="s">
        <v>2782</v>
      </c>
      <c r="D1365" s="1" t="s">
        <v>13</v>
      </c>
      <c r="E1365" s="1">
        <v>6</v>
      </c>
      <c r="F1365" s="1">
        <v>3</v>
      </c>
      <c r="G1365" s="1">
        <v>95</v>
      </c>
      <c r="H1365" s="10" t="s">
        <v>2122</v>
      </c>
      <c r="I1365" s="1">
        <f t="shared" si="31"/>
        <v>51500</v>
      </c>
      <c r="J1365" s="1">
        <v>20</v>
      </c>
      <c r="K1365" s="1">
        <v>0</v>
      </c>
      <c r="L1365" s="1">
        <f t="shared" si="32"/>
        <v>52500</v>
      </c>
      <c r="M1365" s="1" t="str">
        <f t="shared" si="33"/>
        <v>102_4390_4390</v>
      </c>
      <c r="N1365" s="1" t="s">
        <v>2437</v>
      </c>
      <c r="O1365" s="1">
        <v>0</v>
      </c>
      <c r="P1365" s="1" t="s">
        <v>2059</v>
      </c>
      <c r="Q1365" s="7" t="str">
        <f t="shared" ref="Q1365:Q1428" si="34">Q903</f>
        <v>equipment/2301.png</v>
      </c>
      <c r="R1365" s="1">
        <v>0</v>
      </c>
    </row>
    <row r="1366" spans="1:18" ht="14.25" thickBot="1">
      <c r="A1366" s="1">
        <v>30950040</v>
      </c>
      <c r="B1366" s="3">
        <f t="shared" si="30"/>
        <v>1</v>
      </c>
      <c r="C1366" s="1" t="s">
        <v>2783</v>
      </c>
      <c r="D1366" s="1" t="s">
        <v>11</v>
      </c>
      <c r="E1366" s="1">
        <v>4</v>
      </c>
      <c r="F1366" s="1">
        <v>3</v>
      </c>
      <c r="G1366" s="1">
        <v>95</v>
      </c>
      <c r="H1366" s="10">
        <v>0</v>
      </c>
      <c r="I1366" s="1">
        <f t="shared" si="31"/>
        <v>50000</v>
      </c>
      <c r="J1366" s="1">
        <v>20</v>
      </c>
      <c r="K1366" s="1">
        <v>0</v>
      </c>
      <c r="L1366" s="1">
        <f t="shared" si="32"/>
        <v>50000</v>
      </c>
      <c r="M1366" s="1" t="str">
        <f t="shared" si="33"/>
        <v>105_3837_3837</v>
      </c>
      <c r="N1366" s="1" t="s">
        <v>2436</v>
      </c>
      <c r="O1366" s="1">
        <v>0</v>
      </c>
      <c r="P1366" s="1" t="s">
        <v>2059</v>
      </c>
      <c r="Q1366" s="7" t="str">
        <f t="shared" si="34"/>
        <v>equipment/5001.png</v>
      </c>
      <c r="R1366" s="1">
        <v>0</v>
      </c>
    </row>
    <row r="1367" spans="1:18" ht="14.25" thickBot="1">
      <c r="A1367" s="1">
        <v>30950041</v>
      </c>
      <c r="B1367" s="3">
        <f t="shared" si="30"/>
        <v>0</v>
      </c>
      <c r="C1367" s="1" t="s">
        <v>2784</v>
      </c>
      <c r="D1367" s="1" t="s">
        <v>11</v>
      </c>
      <c r="E1367" s="1">
        <v>4</v>
      </c>
      <c r="F1367" s="1">
        <v>3</v>
      </c>
      <c r="G1367" s="1">
        <v>95</v>
      </c>
      <c r="H1367" s="10">
        <v>0</v>
      </c>
      <c r="I1367" s="1">
        <f t="shared" si="31"/>
        <v>51500</v>
      </c>
      <c r="J1367" s="1">
        <v>20</v>
      </c>
      <c r="K1367" s="1">
        <v>0</v>
      </c>
      <c r="L1367" s="1">
        <f t="shared" si="32"/>
        <v>52500</v>
      </c>
      <c r="M1367" s="1" t="str">
        <f t="shared" si="33"/>
        <v>105_4002_4002</v>
      </c>
      <c r="N1367" s="1" t="s">
        <v>2436</v>
      </c>
      <c r="O1367" s="1">
        <v>0</v>
      </c>
      <c r="P1367" s="1" t="s">
        <v>2059</v>
      </c>
      <c r="Q1367" s="7" t="str">
        <f t="shared" si="34"/>
        <v>equipment/5001.png</v>
      </c>
      <c r="R1367" s="1">
        <v>0</v>
      </c>
    </row>
    <row r="1368" spans="1:18" ht="14.25" thickBot="1">
      <c r="A1368" s="1">
        <v>30950070</v>
      </c>
      <c r="B1368" s="3">
        <f t="shared" si="30"/>
        <v>1</v>
      </c>
      <c r="C1368" s="1" t="s">
        <v>2785</v>
      </c>
      <c r="D1368" s="1" t="s">
        <v>14</v>
      </c>
      <c r="E1368" s="1">
        <v>7</v>
      </c>
      <c r="F1368" s="1">
        <v>3</v>
      </c>
      <c r="G1368" s="1">
        <v>95</v>
      </c>
      <c r="H1368" s="10">
        <v>0</v>
      </c>
      <c r="I1368" s="1">
        <f t="shared" si="31"/>
        <v>50000</v>
      </c>
      <c r="J1368" s="1">
        <v>20</v>
      </c>
      <c r="K1368" s="1">
        <v>0</v>
      </c>
      <c r="L1368" s="1">
        <f t="shared" si="32"/>
        <v>50000</v>
      </c>
      <c r="M1368" s="1" t="str">
        <f t="shared" si="33"/>
        <v>105_3837_3837</v>
      </c>
      <c r="N1368" s="1" t="s">
        <v>2436</v>
      </c>
      <c r="O1368" s="1">
        <v>0</v>
      </c>
      <c r="P1368" s="1" t="s">
        <v>2059</v>
      </c>
      <c r="Q1368" s="7" t="str">
        <f t="shared" si="34"/>
        <v>equipment/7001.png</v>
      </c>
      <c r="R1368" s="1">
        <v>0</v>
      </c>
    </row>
    <row r="1369" spans="1:18" ht="14.25" thickBot="1">
      <c r="A1369" s="1">
        <v>30950071</v>
      </c>
      <c r="B1369" s="3">
        <f t="shared" si="30"/>
        <v>0</v>
      </c>
      <c r="C1369" s="1" t="s">
        <v>2677</v>
      </c>
      <c r="D1369" s="1" t="s">
        <v>14</v>
      </c>
      <c r="E1369" s="1">
        <v>7</v>
      </c>
      <c r="F1369" s="1">
        <v>3</v>
      </c>
      <c r="G1369" s="1">
        <v>95</v>
      </c>
      <c r="H1369" s="10">
        <v>0</v>
      </c>
      <c r="I1369" s="1">
        <f t="shared" si="31"/>
        <v>51500</v>
      </c>
      <c r="J1369" s="1">
        <v>20</v>
      </c>
      <c r="K1369" s="1">
        <v>0</v>
      </c>
      <c r="L1369" s="1">
        <f t="shared" si="32"/>
        <v>52500</v>
      </c>
      <c r="M1369" s="1" t="str">
        <f t="shared" si="33"/>
        <v>105_4002_4002</v>
      </c>
      <c r="N1369" s="1" t="s">
        <v>2436</v>
      </c>
      <c r="O1369" s="1">
        <v>0</v>
      </c>
      <c r="P1369" s="1" t="s">
        <v>2059</v>
      </c>
      <c r="Q1369" s="7" t="str">
        <f t="shared" si="34"/>
        <v>equipment/7001.png</v>
      </c>
      <c r="R1369" s="1">
        <v>0</v>
      </c>
    </row>
    <row r="1370" spans="1:18" ht="14.25" thickBot="1">
      <c r="A1370" s="1">
        <v>31000010</v>
      </c>
      <c r="B1370" s="3">
        <f t="shared" si="30"/>
        <v>0</v>
      </c>
      <c r="C1370" s="1" t="s">
        <v>2786</v>
      </c>
      <c r="D1370" s="1" t="s">
        <v>8</v>
      </c>
      <c r="E1370" s="1">
        <v>1</v>
      </c>
      <c r="F1370" s="1">
        <v>3</v>
      </c>
      <c r="G1370" s="1">
        <v>100</v>
      </c>
      <c r="H1370" s="10">
        <v>0</v>
      </c>
      <c r="I1370" s="1">
        <f t="shared" si="31"/>
        <v>53000</v>
      </c>
      <c r="J1370" s="1">
        <v>20</v>
      </c>
      <c r="K1370" s="1">
        <v>0</v>
      </c>
      <c r="L1370" s="1">
        <f t="shared" si="32"/>
        <v>52500</v>
      </c>
      <c r="M1370" s="1" t="str">
        <f t="shared" si="33"/>
        <v>106_6460_6460</v>
      </c>
      <c r="N1370" s="1" t="s">
        <v>2438</v>
      </c>
      <c r="O1370" s="1">
        <v>0</v>
      </c>
      <c r="P1370" s="1" t="s">
        <v>2059</v>
      </c>
      <c r="Q1370" s="7" t="str">
        <f t="shared" si="34"/>
        <v>equipment/3001.png</v>
      </c>
      <c r="R1370" s="1">
        <v>0</v>
      </c>
    </row>
    <row r="1371" spans="1:18" ht="14.25" thickBot="1">
      <c r="A1371" s="1">
        <v>31000020</v>
      </c>
      <c r="B1371" s="3">
        <f t="shared" si="30"/>
        <v>0</v>
      </c>
      <c r="C1371" s="1" t="s">
        <v>2787</v>
      </c>
      <c r="D1371" s="1" t="s">
        <v>9</v>
      </c>
      <c r="E1371" s="1">
        <v>2</v>
      </c>
      <c r="F1371" s="1">
        <v>3</v>
      </c>
      <c r="G1371" s="1">
        <v>100</v>
      </c>
      <c r="H1371" s="10">
        <v>0</v>
      </c>
      <c r="I1371" s="1">
        <f t="shared" si="31"/>
        <v>53000</v>
      </c>
      <c r="J1371" s="1">
        <v>20</v>
      </c>
      <c r="K1371" s="1">
        <v>0</v>
      </c>
      <c r="L1371" s="1">
        <f t="shared" si="32"/>
        <v>52500</v>
      </c>
      <c r="M1371" s="1" t="str">
        <f t="shared" si="33"/>
        <v>102_2360_2360</v>
      </c>
      <c r="N1371" s="1" t="s">
        <v>2438</v>
      </c>
      <c r="O1371" s="1">
        <v>0</v>
      </c>
      <c r="P1371" s="1" t="s">
        <v>2059</v>
      </c>
      <c r="Q1371" s="7" t="str">
        <f t="shared" si="34"/>
        <v>equipment/14001.png</v>
      </c>
      <c r="R1371" s="1">
        <v>0</v>
      </c>
    </row>
    <row r="1372" spans="1:18" ht="14.25" thickBot="1">
      <c r="A1372" s="1">
        <v>31000030</v>
      </c>
      <c r="B1372" s="3">
        <f t="shared" si="30"/>
        <v>0</v>
      </c>
      <c r="C1372" s="1" t="s">
        <v>2788</v>
      </c>
      <c r="D1372" s="1" t="s">
        <v>10</v>
      </c>
      <c r="E1372" s="1">
        <v>3</v>
      </c>
      <c r="F1372" s="1">
        <v>3</v>
      </c>
      <c r="G1372" s="1">
        <v>100</v>
      </c>
      <c r="H1372" s="10">
        <v>0</v>
      </c>
      <c r="I1372" s="1">
        <f t="shared" si="31"/>
        <v>53000</v>
      </c>
      <c r="J1372" s="1">
        <v>20</v>
      </c>
      <c r="K1372" s="1">
        <v>0</v>
      </c>
      <c r="L1372" s="1">
        <f t="shared" si="32"/>
        <v>52500</v>
      </c>
      <c r="M1372" s="1" t="str">
        <f t="shared" si="33"/>
        <v>101_36120_36120</v>
      </c>
      <c r="N1372" s="1" t="s">
        <v>2438</v>
      </c>
      <c r="O1372" s="1">
        <v>0</v>
      </c>
      <c r="P1372" s="1" t="s">
        <v>2059</v>
      </c>
      <c r="Q1372" s="7" t="str">
        <f t="shared" si="34"/>
        <v>equipment/6001.png</v>
      </c>
      <c r="R1372" s="1">
        <v>0</v>
      </c>
    </row>
    <row r="1373" spans="1:18" ht="14.25" thickBot="1">
      <c r="A1373" s="1">
        <v>31000080</v>
      </c>
      <c r="B1373" s="3">
        <f t="shared" si="30"/>
        <v>0</v>
      </c>
      <c r="C1373" s="1" t="s">
        <v>2789</v>
      </c>
      <c r="D1373" s="1" t="s">
        <v>15</v>
      </c>
      <c r="E1373" s="1">
        <v>8</v>
      </c>
      <c r="F1373" s="1">
        <v>3</v>
      </c>
      <c r="G1373" s="1">
        <v>100</v>
      </c>
      <c r="H1373" s="10">
        <v>0</v>
      </c>
      <c r="I1373" s="1">
        <f t="shared" si="31"/>
        <v>53000</v>
      </c>
      <c r="J1373" s="1">
        <v>20</v>
      </c>
      <c r="K1373" s="1">
        <v>0</v>
      </c>
      <c r="L1373" s="1">
        <f t="shared" si="32"/>
        <v>52500</v>
      </c>
      <c r="M1373" s="1" t="str">
        <f t="shared" si="33"/>
        <v>110_871_871</v>
      </c>
      <c r="N1373" s="1" t="s">
        <v>2438</v>
      </c>
      <c r="O1373" s="1">
        <v>0</v>
      </c>
      <c r="P1373" s="1" t="s">
        <v>2059</v>
      </c>
      <c r="Q1373" s="7" t="str">
        <f t="shared" si="34"/>
        <v>equipment/8001.png</v>
      </c>
      <c r="R1373" s="1">
        <v>0</v>
      </c>
    </row>
    <row r="1374" spans="1:18" ht="14.25" thickBot="1">
      <c r="A1374" s="1">
        <v>31000090</v>
      </c>
      <c r="B1374" s="3">
        <f t="shared" si="30"/>
        <v>0</v>
      </c>
      <c r="C1374" s="1" t="s">
        <v>2790</v>
      </c>
      <c r="D1374" s="1" t="s">
        <v>16</v>
      </c>
      <c r="E1374" s="1">
        <v>9</v>
      </c>
      <c r="F1374" s="1">
        <v>3</v>
      </c>
      <c r="G1374" s="1">
        <v>100</v>
      </c>
      <c r="H1374" s="10">
        <v>0</v>
      </c>
      <c r="I1374" s="1">
        <f t="shared" si="31"/>
        <v>53000</v>
      </c>
      <c r="J1374" s="1">
        <v>20</v>
      </c>
      <c r="K1374" s="1">
        <v>0</v>
      </c>
      <c r="L1374" s="1">
        <f t="shared" si="32"/>
        <v>52500</v>
      </c>
      <c r="M1374" s="1" t="str">
        <f t="shared" si="33"/>
        <v>108_7588_7588</v>
      </c>
      <c r="N1374" s="1" t="s">
        <v>2438</v>
      </c>
      <c r="O1374" s="1">
        <v>0</v>
      </c>
      <c r="P1374" s="1" t="s">
        <v>2059</v>
      </c>
      <c r="Q1374" s="7" t="str">
        <f t="shared" si="34"/>
        <v>equipment/10001.png</v>
      </c>
      <c r="R1374" s="1">
        <v>0</v>
      </c>
    </row>
    <row r="1375" spans="1:18" ht="14.25" thickBot="1">
      <c r="A1375" s="1">
        <v>31000100</v>
      </c>
      <c r="B1375" s="3">
        <f t="shared" si="30"/>
        <v>0</v>
      </c>
      <c r="C1375" s="1" t="s">
        <v>2791</v>
      </c>
      <c r="D1375" s="1" t="s">
        <v>17</v>
      </c>
      <c r="E1375" s="1">
        <v>10</v>
      </c>
      <c r="F1375" s="1">
        <v>3</v>
      </c>
      <c r="G1375" s="1">
        <v>100</v>
      </c>
      <c r="H1375" s="10">
        <v>0</v>
      </c>
      <c r="I1375" s="1">
        <f t="shared" si="31"/>
        <v>53000</v>
      </c>
      <c r="J1375" s="1">
        <v>20</v>
      </c>
      <c r="K1375" s="1">
        <v>0</v>
      </c>
      <c r="L1375" s="1">
        <f t="shared" si="32"/>
        <v>52500</v>
      </c>
      <c r="M1375" s="1" t="str">
        <f t="shared" si="33"/>
        <v>107_6460_6460</v>
      </c>
      <c r="N1375" s="1" t="s">
        <v>2438</v>
      </c>
      <c r="O1375" s="1">
        <v>0</v>
      </c>
      <c r="P1375" s="1" t="s">
        <v>2059</v>
      </c>
      <c r="Q1375" s="7" t="str">
        <f t="shared" si="34"/>
        <v>equipment/12001.png</v>
      </c>
      <c r="R1375" s="1">
        <v>0</v>
      </c>
    </row>
    <row r="1376" spans="1:18" ht="14.25" thickBot="1">
      <c r="A1376" s="1">
        <v>31001050</v>
      </c>
      <c r="B1376" s="3">
        <f t="shared" si="30"/>
        <v>0</v>
      </c>
      <c r="C1376" s="9" t="s">
        <v>2792</v>
      </c>
      <c r="D1376" s="1" t="s">
        <v>12</v>
      </c>
      <c r="E1376" s="1">
        <v>5</v>
      </c>
      <c r="F1376" s="1">
        <v>3</v>
      </c>
      <c r="G1376" s="1">
        <v>100</v>
      </c>
      <c r="H1376" s="10" t="s">
        <v>2120</v>
      </c>
      <c r="I1376" s="1">
        <f t="shared" si="31"/>
        <v>53000</v>
      </c>
      <c r="J1376" s="1">
        <v>20</v>
      </c>
      <c r="K1376" s="1">
        <v>0</v>
      </c>
      <c r="L1376" s="1">
        <f t="shared" si="32"/>
        <v>52500</v>
      </c>
      <c r="M1376" s="1" t="str">
        <f t="shared" si="33"/>
        <v>103_6744_6744,104_13489_13489</v>
      </c>
      <c r="N1376" s="1" t="s">
        <v>2439</v>
      </c>
      <c r="O1376" s="1">
        <v>0</v>
      </c>
      <c r="P1376" s="1" t="s">
        <v>2059</v>
      </c>
      <c r="Q1376" s="7" t="str">
        <f t="shared" si="34"/>
        <v>equipment/1124.png</v>
      </c>
      <c r="R1376" s="1">
        <v>0</v>
      </c>
    </row>
    <row r="1377" spans="1:18" ht="14.25" thickBot="1">
      <c r="A1377" s="1">
        <v>31001051</v>
      </c>
      <c r="B1377" s="3">
        <f t="shared" si="30"/>
        <v>0</v>
      </c>
      <c r="C1377" s="9" t="s">
        <v>2665</v>
      </c>
      <c r="D1377" s="1" t="s">
        <v>12</v>
      </c>
      <c r="E1377" s="1">
        <v>5</v>
      </c>
      <c r="F1377" s="1">
        <v>3</v>
      </c>
      <c r="G1377" s="1">
        <v>100</v>
      </c>
      <c r="H1377" s="10" t="s">
        <v>2120</v>
      </c>
      <c r="I1377" s="1">
        <f t="shared" si="31"/>
        <v>54500</v>
      </c>
      <c r="J1377" s="1">
        <v>20</v>
      </c>
      <c r="K1377" s="1">
        <v>0</v>
      </c>
      <c r="L1377" s="1">
        <f t="shared" si="32"/>
        <v>55000</v>
      </c>
      <c r="M1377" s="1" t="str">
        <f t="shared" si="33"/>
        <v>103_0_0</v>
      </c>
      <c r="N1377" s="1" t="s">
        <v>2439</v>
      </c>
      <c r="O1377" s="1">
        <v>0</v>
      </c>
      <c r="P1377" s="1" t="s">
        <v>2059</v>
      </c>
      <c r="Q1377" s="7" t="str">
        <f t="shared" si="34"/>
        <v>equipment/1101.png</v>
      </c>
      <c r="R1377" s="1">
        <v>0</v>
      </c>
    </row>
    <row r="1378" spans="1:18" ht="14.25" thickBot="1">
      <c r="A1378" s="1">
        <v>31001060</v>
      </c>
      <c r="B1378" s="3">
        <f t="shared" si="30"/>
        <v>0</v>
      </c>
      <c r="C1378" s="9" t="s">
        <v>2793</v>
      </c>
      <c r="D1378" s="1" t="s">
        <v>13</v>
      </c>
      <c r="E1378" s="1">
        <v>6</v>
      </c>
      <c r="F1378" s="1">
        <v>3</v>
      </c>
      <c r="G1378" s="1">
        <v>100</v>
      </c>
      <c r="H1378" s="10" t="s">
        <v>2120</v>
      </c>
      <c r="I1378" s="1">
        <f t="shared" si="31"/>
        <v>53000</v>
      </c>
      <c r="J1378" s="1">
        <v>20</v>
      </c>
      <c r="K1378" s="1">
        <v>0</v>
      </c>
      <c r="L1378" s="1">
        <f t="shared" si="32"/>
        <v>52500</v>
      </c>
      <c r="M1378" s="1" t="str">
        <f t="shared" si="33"/>
        <v>105_6070_6070</v>
      </c>
      <c r="N1378" s="1" t="s">
        <v>2439</v>
      </c>
      <c r="O1378" s="1">
        <v>0</v>
      </c>
      <c r="P1378" s="1" t="s">
        <v>2059</v>
      </c>
      <c r="Q1378" s="7" t="str">
        <f t="shared" si="34"/>
        <v>equipment/2118.png</v>
      </c>
      <c r="R1378" s="1">
        <v>0</v>
      </c>
    </row>
    <row r="1379" spans="1:18" ht="14.25" thickBot="1">
      <c r="A1379" s="1">
        <v>31001061</v>
      </c>
      <c r="B1379" s="3">
        <f t="shared" si="30"/>
        <v>0</v>
      </c>
      <c r="C1379" s="9" t="s">
        <v>2793</v>
      </c>
      <c r="D1379" s="1" t="s">
        <v>13</v>
      </c>
      <c r="E1379" s="1">
        <v>6</v>
      </c>
      <c r="F1379" s="1">
        <v>3</v>
      </c>
      <c r="G1379" s="1">
        <v>100</v>
      </c>
      <c r="H1379" s="10" t="s">
        <v>2120</v>
      </c>
      <c r="I1379" s="1">
        <f t="shared" si="31"/>
        <v>54500</v>
      </c>
      <c r="J1379" s="1">
        <v>20</v>
      </c>
      <c r="K1379" s="1">
        <v>0</v>
      </c>
      <c r="L1379" s="1">
        <f t="shared" si="32"/>
        <v>55000</v>
      </c>
      <c r="M1379" s="1" t="str">
        <f t="shared" si="33"/>
        <v>105_0_0</v>
      </c>
      <c r="N1379" s="1" t="s">
        <v>2439</v>
      </c>
      <c r="O1379" s="1">
        <v>0</v>
      </c>
      <c r="P1379" s="1" t="s">
        <v>2059</v>
      </c>
      <c r="Q1379" s="7" t="str">
        <f t="shared" si="34"/>
        <v>equipment/2101.png</v>
      </c>
      <c r="R1379" s="1">
        <v>0</v>
      </c>
    </row>
    <row r="1380" spans="1:18" ht="14.25" thickBot="1">
      <c r="A1380" s="1">
        <v>31002050</v>
      </c>
      <c r="B1380" s="3">
        <f t="shared" si="30"/>
        <v>0</v>
      </c>
      <c r="C1380" s="1" t="s">
        <v>2794</v>
      </c>
      <c r="D1380" s="1" t="s">
        <v>12</v>
      </c>
      <c r="E1380" s="1">
        <v>5</v>
      </c>
      <c r="F1380" s="1">
        <v>3</v>
      </c>
      <c r="G1380" s="1">
        <v>100</v>
      </c>
      <c r="H1380" s="10" t="s">
        <v>2121</v>
      </c>
      <c r="I1380" s="1">
        <f t="shared" si="31"/>
        <v>53000</v>
      </c>
      <c r="J1380" s="1">
        <v>20</v>
      </c>
      <c r="K1380" s="1">
        <v>0</v>
      </c>
      <c r="L1380" s="1">
        <f t="shared" si="32"/>
        <v>52500</v>
      </c>
      <c r="M1380" s="1" t="str">
        <f t="shared" si="33"/>
        <v>103_6744_6744,104_13489_13489</v>
      </c>
      <c r="N1380" s="1" t="s">
        <v>2439</v>
      </c>
      <c r="O1380" s="1">
        <v>0</v>
      </c>
      <c r="P1380" s="1" t="s">
        <v>2059</v>
      </c>
      <c r="Q1380" s="7" t="str">
        <f t="shared" si="34"/>
        <v>equipment/1222.png</v>
      </c>
      <c r="R1380" s="1">
        <v>0</v>
      </c>
    </row>
    <row r="1381" spans="1:18" ht="14.25" thickBot="1">
      <c r="A1381" s="1">
        <v>31002051</v>
      </c>
      <c r="B1381" s="3">
        <f t="shared" si="30"/>
        <v>0</v>
      </c>
      <c r="C1381" s="1" t="s">
        <v>2668</v>
      </c>
      <c r="D1381" s="1" t="s">
        <v>12</v>
      </c>
      <c r="E1381" s="1">
        <v>5</v>
      </c>
      <c r="F1381" s="1">
        <v>3</v>
      </c>
      <c r="G1381" s="1">
        <v>100</v>
      </c>
      <c r="H1381" s="10" t="s">
        <v>2121</v>
      </c>
      <c r="I1381" s="1">
        <f t="shared" si="31"/>
        <v>54500</v>
      </c>
      <c r="J1381" s="1">
        <v>20</v>
      </c>
      <c r="K1381" s="1">
        <v>0</v>
      </c>
      <c r="L1381" s="1">
        <f t="shared" si="32"/>
        <v>55000</v>
      </c>
      <c r="M1381" s="1" t="str">
        <f t="shared" si="33"/>
        <v>103_0_0</v>
      </c>
      <c r="N1381" s="1" t="s">
        <v>2439</v>
      </c>
      <c r="O1381" s="1">
        <v>0</v>
      </c>
      <c r="P1381" s="1" t="s">
        <v>2059</v>
      </c>
      <c r="Q1381" s="7" t="str">
        <f t="shared" si="34"/>
        <v>equipment/1201.png</v>
      </c>
      <c r="R1381" s="1">
        <v>0</v>
      </c>
    </row>
    <row r="1382" spans="1:18" ht="14.25" thickBot="1">
      <c r="A1382" s="1">
        <v>31002060</v>
      </c>
      <c r="B1382" s="3">
        <f t="shared" si="30"/>
        <v>0</v>
      </c>
      <c r="C1382" s="9" t="s">
        <v>2795</v>
      </c>
      <c r="D1382" s="1" t="s">
        <v>13</v>
      </c>
      <c r="E1382" s="1">
        <v>6</v>
      </c>
      <c r="F1382" s="1">
        <v>3</v>
      </c>
      <c r="G1382" s="1">
        <v>100</v>
      </c>
      <c r="H1382" s="10" t="s">
        <v>2121</v>
      </c>
      <c r="I1382" s="1">
        <f t="shared" si="31"/>
        <v>53000</v>
      </c>
      <c r="J1382" s="1">
        <v>20</v>
      </c>
      <c r="K1382" s="1">
        <v>0</v>
      </c>
      <c r="L1382" s="1">
        <f t="shared" si="32"/>
        <v>52500</v>
      </c>
      <c r="M1382" s="1" t="str">
        <f t="shared" si="33"/>
        <v>108_6070_6070</v>
      </c>
      <c r="N1382" s="1" t="s">
        <v>2439</v>
      </c>
      <c r="O1382" s="1">
        <v>0</v>
      </c>
      <c r="P1382" s="1" t="s">
        <v>2059</v>
      </c>
      <c r="Q1382" s="7" t="str">
        <f t="shared" si="34"/>
        <v>equipment/2218.png</v>
      </c>
      <c r="R1382" s="1">
        <v>0</v>
      </c>
    </row>
    <row r="1383" spans="1:18" ht="14.25" thickBot="1">
      <c r="A1383" s="1">
        <v>31002061</v>
      </c>
      <c r="B1383" s="3">
        <f t="shared" si="30"/>
        <v>0</v>
      </c>
      <c r="C1383" s="9" t="s">
        <v>2795</v>
      </c>
      <c r="D1383" s="1" t="s">
        <v>13</v>
      </c>
      <c r="E1383" s="1">
        <v>6</v>
      </c>
      <c r="F1383" s="1">
        <v>3</v>
      </c>
      <c r="G1383" s="1">
        <v>100</v>
      </c>
      <c r="H1383" s="10" t="s">
        <v>2121</v>
      </c>
      <c r="I1383" s="1">
        <f t="shared" si="31"/>
        <v>54500</v>
      </c>
      <c r="J1383" s="1">
        <v>20</v>
      </c>
      <c r="K1383" s="1">
        <v>0</v>
      </c>
      <c r="L1383" s="1">
        <f t="shared" si="32"/>
        <v>55000</v>
      </c>
      <c r="M1383" s="1" t="str">
        <f t="shared" si="33"/>
        <v>108_0_0</v>
      </c>
      <c r="N1383" s="1" t="s">
        <v>2439</v>
      </c>
      <c r="O1383" s="1">
        <v>0</v>
      </c>
      <c r="P1383" s="1" t="s">
        <v>2059</v>
      </c>
      <c r="Q1383" s="7" t="str">
        <f t="shared" si="34"/>
        <v>equipment/2201.png</v>
      </c>
      <c r="R1383" s="1">
        <v>0</v>
      </c>
    </row>
    <row r="1384" spans="1:18" ht="14.25" thickBot="1">
      <c r="A1384" s="1">
        <v>31003050</v>
      </c>
      <c r="B1384" s="3">
        <f t="shared" si="30"/>
        <v>0</v>
      </c>
      <c r="C1384" s="9" t="s">
        <v>2796</v>
      </c>
      <c r="D1384" s="1" t="s">
        <v>12</v>
      </c>
      <c r="E1384" s="1">
        <v>5</v>
      </c>
      <c r="F1384" s="1">
        <v>3</v>
      </c>
      <c r="G1384" s="1">
        <v>100</v>
      </c>
      <c r="H1384" s="10" t="s">
        <v>2122</v>
      </c>
      <c r="I1384" s="1">
        <f t="shared" si="31"/>
        <v>53000</v>
      </c>
      <c r="J1384" s="1">
        <v>20</v>
      </c>
      <c r="K1384" s="1">
        <v>0</v>
      </c>
      <c r="L1384" s="1">
        <f t="shared" si="32"/>
        <v>52500</v>
      </c>
      <c r="M1384" s="1" t="str">
        <f t="shared" si="33"/>
        <v>103_6744_6744,104_13489_13489</v>
      </c>
      <c r="N1384" s="1" t="s">
        <v>2439</v>
      </c>
      <c r="O1384" s="1">
        <v>0</v>
      </c>
      <c r="P1384" s="1" t="s">
        <v>2059</v>
      </c>
      <c r="Q1384" s="7" t="str">
        <f t="shared" si="34"/>
        <v>equipment/1324.png</v>
      </c>
      <c r="R1384" s="1">
        <v>0</v>
      </c>
    </row>
    <row r="1385" spans="1:18" ht="14.25" thickBot="1">
      <c r="A1385" s="1">
        <v>31003051</v>
      </c>
      <c r="B1385" s="3">
        <f t="shared" si="30"/>
        <v>0</v>
      </c>
      <c r="C1385" s="9" t="s">
        <v>2797</v>
      </c>
      <c r="D1385" s="1" t="s">
        <v>12</v>
      </c>
      <c r="E1385" s="1">
        <v>5</v>
      </c>
      <c r="F1385" s="1">
        <v>3</v>
      </c>
      <c r="G1385" s="1">
        <v>100</v>
      </c>
      <c r="H1385" s="10" t="s">
        <v>2122</v>
      </c>
      <c r="I1385" s="1">
        <f t="shared" si="31"/>
        <v>54500</v>
      </c>
      <c r="J1385" s="1">
        <v>20</v>
      </c>
      <c r="K1385" s="1">
        <v>0</v>
      </c>
      <c r="L1385" s="1">
        <f t="shared" si="32"/>
        <v>55000</v>
      </c>
      <c r="M1385" s="1" t="str">
        <f t="shared" si="33"/>
        <v>103_0_0</v>
      </c>
      <c r="N1385" s="1" t="s">
        <v>2439</v>
      </c>
      <c r="O1385" s="1">
        <v>0</v>
      </c>
      <c r="P1385" s="1" t="s">
        <v>2059</v>
      </c>
      <c r="Q1385" s="7" t="str">
        <f t="shared" si="34"/>
        <v>equipment/1301.png</v>
      </c>
      <c r="R1385" s="1">
        <v>0</v>
      </c>
    </row>
    <row r="1386" spans="1:18" ht="14.25" thickBot="1">
      <c r="A1386" s="1">
        <v>31003060</v>
      </c>
      <c r="B1386" s="3">
        <f t="shared" si="30"/>
        <v>0</v>
      </c>
      <c r="C1386" s="9" t="s">
        <v>2798</v>
      </c>
      <c r="D1386" s="1" t="s">
        <v>13</v>
      </c>
      <c r="E1386" s="1">
        <v>6</v>
      </c>
      <c r="F1386" s="1">
        <v>3</v>
      </c>
      <c r="G1386" s="1">
        <v>100</v>
      </c>
      <c r="H1386" s="10" t="s">
        <v>2122</v>
      </c>
      <c r="I1386" s="1">
        <f t="shared" si="31"/>
        <v>53000</v>
      </c>
      <c r="J1386" s="1">
        <v>20</v>
      </c>
      <c r="K1386" s="1">
        <v>0</v>
      </c>
      <c r="L1386" s="1">
        <f t="shared" si="32"/>
        <v>52500</v>
      </c>
      <c r="M1386" s="1" t="str">
        <f t="shared" si="33"/>
        <v>102_4560_4560</v>
      </c>
      <c r="N1386" s="1" t="s">
        <v>2439</v>
      </c>
      <c r="O1386" s="1">
        <v>0</v>
      </c>
      <c r="P1386" s="1" t="s">
        <v>2059</v>
      </c>
      <c r="Q1386" s="7" t="str">
        <f t="shared" si="34"/>
        <v>equipment/2318.png</v>
      </c>
      <c r="R1386" s="1">
        <v>0</v>
      </c>
    </row>
    <row r="1387" spans="1:18" ht="14.25" thickBot="1">
      <c r="A1387" s="1">
        <v>31003061</v>
      </c>
      <c r="B1387" s="3">
        <f t="shared" si="30"/>
        <v>0</v>
      </c>
      <c r="C1387" s="9" t="s">
        <v>2799</v>
      </c>
      <c r="D1387" s="1" t="s">
        <v>13</v>
      </c>
      <c r="E1387" s="1">
        <v>6</v>
      </c>
      <c r="F1387" s="1">
        <v>3</v>
      </c>
      <c r="G1387" s="1">
        <v>100</v>
      </c>
      <c r="H1387" s="10" t="s">
        <v>2122</v>
      </c>
      <c r="I1387" s="1">
        <f t="shared" si="31"/>
        <v>54500</v>
      </c>
      <c r="J1387" s="1">
        <v>20</v>
      </c>
      <c r="K1387" s="1">
        <v>0</v>
      </c>
      <c r="L1387" s="1">
        <f t="shared" si="32"/>
        <v>55000</v>
      </c>
      <c r="M1387" s="1" t="str">
        <f t="shared" si="33"/>
        <v>102_0_0</v>
      </c>
      <c r="N1387" s="1" t="s">
        <v>2439</v>
      </c>
      <c r="O1387" s="1">
        <v>0</v>
      </c>
      <c r="P1387" s="1" t="s">
        <v>2059</v>
      </c>
      <c r="Q1387" s="7" t="str">
        <f t="shared" si="34"/>
        <v>equipment/2301.png</v>
      </c>
      <c r="R1387" s="1">
        <v>0</v>
      </c>
    </row>
    <row r="1388" spans="1:18" ht="14.25" thickBot="1">
      <c r="A1388" s="1">
        <v>31000040</v>
      </c>
      <c r="B1388" s="3">
        <f t="shared" si="30"/>
        <v>0</v>
      </c>
      <c r="C1388" s="1" t="s">
        <v>2800</v>
      </c>
      <c r="D1388" s="1" t="s">
        <v>11</v>
      </c>
      <c r="E1388" s="1">
        <v>4</v>
      </c>
      <c r="F1388" s="1">
        <v>3</v>
      </c>
      <c r="G1388" s="1">
        <v>100</v>
      </c>
      <c r="H1388" s="10">
        <v>0</v>
      </c>
      <c r="I1388" s="1">
        <f t="shared" si="31"/>
        <v>53000</v>
      </c>
      <c r="J1388" s="1">
        <v>20</v>
      </c>
      <c r="K1388" s="1">
        <v>0</v>
      </c>
      <c r="L1388" s="1">
        <f t="shared" si="32"/>
        <v>52500</v>
      </c>
      <c r="M1388" s="1" t="str">
        <f t="shared" si="33"/>
        <v>105_4249_4249</v>
      </c>
      <c r="N1388" s="1" t="s">
        <v>2438</v>
      </c>
      <c r="O1388" s="1">
        <v>0</v>
      </c>
      <c r="P1388" s="1" t="s">
        <v>2059</v>
      </c>
      <c r="Q1388" s="7" t="str">
        <f t="shared" si="34"/>
        <v>equipment/5001.png</v>
      </c>
      <c r="R1388" s="1">
        <v>0</v>
      </c>
    </row>
    <row r="1389" spans="1:18" ht="14.25" thickBot="1">
      <c r="A1389" s="1">
        <v>31000041</v>
      </c>
      <c r="B1389" s="3">
        <f t="shared" ref="B1389:B1391" si="35">B927</f>
        <v>0</v>
      </c>
      <c r="C1389" s="1" t="s">
        <v>2675</v>
      </c>
      <c r="D1389" s="1" t="s">
        <v>11</v>
      </c>
      <c r="E1389" s="1">
        <v>4</v>
      </c>
      <c r="F1389" s="1">
        <v>3</v>
      </c>
      <c r="G1389" s="1">
        <v>100</v>
      </c>
      <c r="H1389" s="10">
        <v>0</v>
      </c>
      <c r="I1389" s="1">
        <f t="shared" ref="I1389:I1391" si="36">I465*5</f>
        <v>54500</v>
      </c>
      <c r="J1389" s="1">
        <v>20</v>
      </c>
      <c r="K1389" s="1">
        <v>0</v>
      </c>
      <c r="L1389" s="1">
        <f t="shared" ref="L1389:L1391" si="37">L1367+2500</f>
        <v>55000</v>
      </c>
      <c r="M1389" s="1" t="str">
        <f t="shared" ref="M1389:M1390" si="38">M927</f>
        <v>105_0_0</v>
      </c>
      <c r="N1389" s="1" t="s">
        <v>2438</v>
      </c>
      <c r="O1389" s="1">
        <v>0</v>
      </c>
      <c r="P1389" s="1" t="s">
        <v>2059</v>
      </c>
      <c r="Q1389" s="7" t="str">
        <f t="shared" si="34"/>
        <v>equipment/5001.png</v>
      </c>
      <c r="R1389" s="1">
        <v>0</v>
      </c>
    </row>
    <row r="1390" spans="1:18" ht="14.25" thickBot="1">
      <c r="A1390" s="1">
        <v>31000070</v>
      </c>
      <c r="B1390" s="3">
        <f t="shared" si="35"/>
        <v>0</v>
      </c>
      <c r="C1390" s="1" t="s">
        <v>2801</v>
      </c>
      <c r="D1390" s="1" t="s">
        <v>14</v>
      </c>
      <c r="E1390" s="1">
        <v>7</v>
      </c>
      <c r="F1390" s="1">
        <v>3</v>
      </c>
      <c r="G1390" s="1">
        <v>100</v>
      </c>
      <c r="H1390" s="10">
        <v>0</v>
      </c>
      <c r="I1390" s="1">
        <f t="shared" si="36"/>
        <v>53000</v>
      </c>
      <c r="J1390" s="1">
        <v>20</v>
      </c>
      <c r="K1390" s="1">
        <v>0</v>
      </c>
      <c r="L1390" s="1">
        <f t="shared" si="37"/>
        <v>52500</v>
      </c>
      <c r="M1390" s="1" t="str">
        <f t="shared" si="38"/>
        <v>105_4249_4249</v>
      </c>
      <c r="N1390" s="1" t="s">
        <v>2438</v>
      </c>
      <c r="O1390" s="1">
        <v>0</v>
      </c>
      <c r="P1390" s="1" t="s">
        <v>2059</v>
      </c>
      <c r="Q1390" s="7" t="str">
        <f t="shared" si="34"/>
        <v>equipment/7001.png</v>
      </c>
      <c r="R1390" s="1">
        <v>0</v>
      </c>
    </row>
    <row r="1391" spans="1:18" ht="14.25" thickBot="1">
      <c r="A1391" s="1">
        <v>31000071</v>
      </c>
      <c r="B1391" s="3">
        <f t="shared" si="35"/>
        <v>0</v>
      </c>
      <c r="C1391" s="1" t="s">
        <v>2802</v>
      </c>
      <c r="D1391" s="1" t="s">
        <v>14</v>
      </c>
      <c r="E1391" s="1">
        <v>7</v>
      </c>
      <c r="F1391" s="1">
        <v>3</v>
      </c>
      <c r="G1391" s="1">
        <v>100</v>
      </c>
      <c r="H1391" s="10">
        <v>0</v>
      </c>
      <c r="I1391" s="1">
        <f t="shared" si="36"/>
        <v>54500</v>
      </c>
      <c r="J1391" s="1">
        <v>20</v>
      </c>
      <c r="K1391" s="1">
        <v>0</v>
      </c>
      <c r="L1391" s="1">
        <f t="shared" si="37"/>
        <v>55000</v>
      </c>
      <c r="M1391" s="1" t="str">
        <f>M929</f>
        <v>105_0_0</v>
      </c>
      <c r="N1391" s="1" t="s">
        <v>2438</v>
      </c>
      <c r="O1391" s="1">
        <v>0</v>
      </c>
      <c r="P1391" s="1" t="s">
        <v>2059</v>
      </c>
      <c r="Q1391" s="7" t="str">
        <f t="shared" si="34"/>
        <v>equipment/7001.png</v>
      </c>
      <c r="R1391" s="1">
        <v>0</v>
      </c>
    </row>
    <row r="1392" spans="1:18" ht="14.25" thickBot="1">
      <c r="A1392" s="1" t="s">
        <v>1087</v>
      </c>
      <c r="B1392" s="2">
        <v>0</v>
      </c>
      <c r="C1392" s="1" t="s">
        <v>2484</v>
      </c>
      <c r="D1392" s="1" t="s">
        <v>8</v>
      </c>
      <c r="E1392" s="1">
        <v>1</v>
      </c>
      <c r="F1392" s="1">
        <v>4</v>
      </c>
      <c r="G1392" s="1">
        <v>1</v>
      </c>
      <c r="H1392" s="10">
        <v>0</v>
      </c>
      <c r="I1392" s="1">
        <v>1000</v>
      </c>
      <c r="J1392" s="1">
        <v>50</v>
      </c>
      <c r="K1392" s="1">
        <v>500</v>
      </c>
      <c r="L1392" s="1">
        <v>0</v>
      </c>
      <c r="M1392" s="1" t="s">
        <v>1797</v>
      </c>
      <c r="N1392" s="1" t="s">
        <v>1059</v>
      </c>
      <c r="O1392" s="1">
        <v>0</v>
      </c>
      <c r="P1392" s="1" t="s">
        <v>2045</v>
      </c>
      <c r="Q1392" s="7" t="str">
        <f t="shared" si="34"/>
        <v>equipment/3001.png</v>
      </c>
      <c r="R1392" s="1">
        <v>0</v>
      </c>
    </row>
    <row r="1393" spans="1:18" ht="14.25" thickBot="1">
      <c r="A1393" s="1" t="s">
        <v>1088</v>
      </c>
      <c r="B1393" s="2">
        <v>0</v>
      </c>
      <c r="C1393" s="1" t="s">
        <v>2485</v>
      </c>
      <c r="D1393" s="1" t="s">
        <v>9</v>
      </c>
      <c r="E1393" s="1">
        <v>2</v>
      </c>
      <c r="F1393" s="1">
        <v>4</v>
      </c>
      <c r="G1393" s="1">
        <v>1</v>
      </c>
      <c r="H1393" s="10">
        <v>0</v>
      </c>
      <c r="I1393" s="1">
        <v>1000</v>
      </c>
      <c r="J1393" s="1">
        <v>50</v>
      </c>
      <c r="K1393" s="1">
        <v>500</v>
      </c>
      <c r="L1393" s="1">
        <v>0</v>
      </c>
      <c r="M1393" s="1" t="s">
        <v>1798</v>
      </c>
      <c r="N1393" s="1" t="s">
        <v>1059</v>
      </c>
      <c r="O1393" s="1">
        <v>0</v>
      </c>
      <c r="P1393" s="1" t="s">
        <v>2045</v>
      </c>
      <c r="Q1393" s="7" t="str">
        <f t="shared" si="34"/>
        <v>equipment/14001.png</v>
      </c>
      <c r="R1393" s="1">
        <v>0</v>
      </c>
    </row>
    <row r="1394" spans="1:18" ht="14.25" thickBot="1">
      <c r="A1394" s="1" t="s">
        <v>1089</v>
      </c>
      <c r="B1394" s="2">
        <v>0</v>
      </c>
      <c r="C1394" s="1" t="s">
        <v>2486</v>
      </c>
      <c r="D1394" s="1" t="s">
        <v>10</v>
      </c>
      <c r="E1394" s="1">
        <v>3</v>
      </c>
      <c r="F1394" s="1">
        <v>4</v>
      </c>
      <c r="G1394" s="1">
        <v>1</v>
      </c>
      <c r="H1394" s="10">
        <v>0</v>
      </c>
      <c r="I1394" s="1">
        <v>1000</v>
      </c>
      <c r="J1394" s="1">
        <v>50</v>
      </c>
      <c r="K1394" s="1">
        <v>500</v>
      </c>
      <c r="L1394" s="1">
        <v>0</v>
      </c>
      <c r="M1394" s="1" t="s">
        <v>1799</v>
      </c>
      <c r="N1394" s="1" t="s">
        <v>1059</v>
      </c>
      <c r="O1394" s="1">
        <v>0</v>
      </c>
      <c r="P1394" s="1" t="s">
        <v>2045</v>
      </c>
      <c r="Q1394" s="7" t="str">
        <f t="shared" si="34"/>
        <v>equipment/6001.png</v>
      </c>
      <c r="R1394" s="1">
        <v>0</v>
      </c>
    </row>
    <row r="1395" spans="1:18" ht="14.25" thickBot="1">
      <c r="A1395" s="1" t="s">
        <v>1090</v>
      </c>
      <c r="B1395" s="3">
        <v>1</v>
      </c>
      <c r="C1395" s="1" t="s">
        <v>2487</v>
      </c>
      <c r="D1395" s="1" t="s">
        <v>15</v>
      </c>
      <c r="E1395" s="1">
        <v>8</v>
      </c>
      <c r="F1395" s="1">
        <v>4</v>
      </c>
      <c r="G1395" s="1">
        <v>1</v>
      </c>
      <c r="H1395" s="10">
        <v>0</v>
      </c>
      <c r="I1395" s="1">
        <v>1000</v>
      </c>
      <c r="J1395" s="1">
        <v>50</v>
      </c>
      <c r="K1395" s="1">
        <v>500</v>
      </c>
      <c r="L1395" s="1">
        <v>0</v>
      </c>
      <c r="M1395" s="1" t="s">
        <v>1800</v>
      </c>
      <c r="N1395" s="1" t="s">
        <v>1059</v>
      </c>
      <c r="O1395" s="1">
        <v>0</v>
      </c>
      <c r="P1395" s="1" t="s">
        <v>2045</v>
      </c>
      <c r="Q1395" s="7" t="str">
        <f t="shared" si="34"/>
        <v>equipment/8001.png</v>
      </c>
      <c r="R1395" s="1">
        <v>0</v>
      </c>
    </row>
    <row r="1396" spans="1:18" ht="14.25" thickBot="1">
      <c r="A1396" s="1" t="s">
        <v>1091</v>
      </c>
      <c r="B1396" s="3">
        <v>1</v>
      </c>
      <c r="C1396" s="1" t="s">
        <v>2488</v>
      </c>
      <c r="D1396" s="1" t="s">
        <v>16</v>
      </c>
      <c r="E1396" s="1">
        <v>9</v>
      </c>
      <c r="F1396" s="1">
        <v>4</v>
      </c>
      <c r="G1396" s="1">
        <v>1</v>
      </c>
      <c r="H1396" s="10">
        <v>0</v>
      </c>
      <c r="I1396" s="1">
        <v>1000</v>
      </c>
      <c r="J1396" s="1">
        <v>50</v>
      </c>
      <c r="K1396" s="1">
        <v>500</v>
      </c>
      <c r="L1396" s="1">
        <v>0</v>
      </c>
      <c r="M1396" s="1" t="s">
        <v>1801</v>
      </c>
      <c r="N1396" s="1" t="s">
        <v>1059</v>
      </c>
      <c r="O1396" s="1">
        <v>0</v>
      </c>
      <c r="P1396" s="1" t="s">
        <v>2045</v>
      </c>
      <c r="Q1396" s="7" t="str">
        <f t="shared" si="34"/>
        <v>equipment/10001.png</v>
      </c>
      <c r="R1396" s="1">
        <v>0</v>
      </c>
    </row>
    <row r="1397" spans="1:18" ht="14.25" thickBot="1">
      <c r="A1397" s="1" t="s">
        <v>1092</v>
      </c>
      <c r="B1397" s="2">
        <v>0</v>
      </c>
      <c r="C1397" s="1" t="s">
        <v>2489</v>
      </c>
      <c r="D1397" s="1" t="s">
        <v>17</v>
      </c>
      <c r="E1397" s="1">
        <v>10</v>
      </c>
      <c r="F1397" s="1">
        <v>4</v>
      </c>
      <c r="G1397" s="1">
        <v>1</v>
      </c>
      <c r="H1397" s="10">
        <v>0</v>
      </c>
      <c r="I1397" s="1">
        <v>1000</v>
      </c>
      <c r="J1397" s="1">
        <v>50</v>
      </c>
      <c r="K1397" s="1">
        <v>500</v>
      </c>
      <c r="L1397" s="1">
        <v>0</v>
      </c>
      <c r="M1397" s="1" t="s">
        <v>1802</v>
      </c>
      <c r="N1397" s="1" t="s">
        <v>1059</v>
      </c>
      <c r="O1397" s="1">
        <v>0</v>
      </c>
      <c r="P1397" s="1" t="s">
        <v>2045</v>
      </c>
      <c r="Q1397" s="7" t="str">
        <f t="shared" si="34"/>
        <v>equipment/12001.png</v>
      </c>
      <c r="R1397" s="1">
        <v>0</v>
      </c>
    </row>
    <row r="1398" spans="1:18" ht="14.25" thickBot="1">
      <c r="A1398" s="1" t="s">
        <v>1093</v>
      </c>
      <c r="B1398" s="3">
        <v>1</v>
      </c>
      <c r="C1398" s="9" t="s">
        <v>2490</v>
      </c>
      <c r="D1398" s="1" t="s">
        <v>12</v>
      </c>
      <c r="E1398" s="1">
        <v>5</v>
      </c>
      <c r="F1398" s="1">
        <v>4</v>
      </c>
      <c r="G1398" s="1">
        <v>1</v>
      </c>
      <c r="H1398" s="10" t="s">
        <v>2120</v>
      </c>
      <c r="I1398" s="1">
        <v>1000</v>
      </c>
      <c r="J1398" s="1">
        <v>50</v>
      </c>
      <c r="K1398" s="1">
        <v>500</v>
      </c>
      <c r="L1398" s="1">
        <v>0</v>
      </c>
      <c r="M1398" s="1" t="s">
        <v>2010</v>
      </c>
      <c r="N1398" s="1" t="s">
        <v>1414</v>
      </c>
      <c r="O1398" s="1">
        <v>0</v>
      </c>
      <c r="P1398" s="1" t="s">
        <v>2045</v>
      </c>
      <c r="Q1398" s="7" t="str">
        <f t="shared" si="34"/>
        <v>equipment/1101.png</v>
      </c>
      <c r="R1398" s="1">
        <v>0</v>
      </c>
    </row>
    <row r="1399" spans="1:18" ht="14.25" thickBot="1">
      <c r="A1399" s="1" t="s">
        <v>1094</v>
      </c>
      <c r="B1399" s="3">
        <v>1</v>
      </c>
      <c r="C1399" s="9" t="s">
        <v>2491</v>
      </c>
      <c r="D1399" s="1" t="s">
        <v>12</v>
      </c>
      <c r="E1399" s="1">
        <v>5</v>
      </c>
      <c r="F1399" s="1">
        <v>4</v>
      </c>
      <c r="G1399" s="1">
        <v>1</v>
      </c>
      <c r="H1399" s="10" t="s">
        <v>2120</v>
      </c>
      <c r="I1399" s="1">
        <v>4000</v>
      </c>
      <c r="J1399" s="1">
        <v>50</v>
      </c>
      <c r="K1399" s="1">
        <v>500</v>
      </c>
      <c r="L1399" s="1">
        <v>0</v>
      </c>
      <c r="M1399" s="1" t="s">
        <v>2011</v>
      </c>
      <c r="N1399" s="1" t="s">
        <v>1414</v>
      </c>
      <c r="O1399" s="1">
        <v>0</v>
      </c>
      <c r="P1399" s="1" t="s">
        <v>2045</v>
      </c>
      <c r="Q1399" s="7" t="str">
        <f t="shared" si="34"/>
        <v>equipment/1102.png</v>
      </c>
      <c r="R1399" s="1">
        <v>0</v>
      </c>
    </row>
    <row r="1400" spans="1:18" ht="14.25" thickBot="1">
      <c r="A1400" s="1" t="s">
        <v>1095</v>
      </c>
      <c r="B1400" s="3">
        <v>1</v>
      </c>
      <c r="C1400" s="9" t="s">
        <v>2492</v>
      </c>
      <c r="D1400" s="1" t="s">
        <v>13</v>
      </c>
      <c r="E1400" s="1">
        <v>6</v>
      </c>
      <c r="F1400" s="1">
        <v>4</v>
      </c>
      <c r="G1400" s="1">
        <v>1</v>
      </c>
      <c r="H1400" s="10" t="s">
        <v>2120</v>
      </c>
      <c r="I1400" s="1">
        <v>1000</v>
      </c>
      <c r="J1400" s="1">
        <v>50</v>
      </c>
      <c r="K1400" s="1">
        <v>500</v>
      </c>
      <c r="L1400" s="1">
        <v>0</v>
      </c>
      <c r="M1400" s="1" t="s">
        <v>1803</v>
      </c>
      <c r="N1400" s="1" t="s">
        <v>1414</v>
      </c>
      <c r="O1400" s="1">
        <v>0</v>
      </c>
      <c r="P1400" s="1" t="s">
        <v>2045</v>
      </c>
      <c r="Q1400" s="7" t="str">
        <f t="shared" si="34"/>
        <v>equipment/2101.png</v>
      </c>
      <c r="R1400" s="1">
        <v>0</v>
      </c>
    </row>
    <row r="1401" spans="1:18" ht="14.25" thickBot="1">
      <c r="A1401" s="1" t="s">
        <v>1096</v>
      </c>
      <c r="B1401" s="2">
        <v>0</v>
      </c>
      <c r="C1401" s="9" t="s">
        <v>2061</v>
      </c>
      <c r="D1401" s="1" t="s">
        <v>13</v>
      </c>
      <c r="E1401" s="1">
        <v>6</v>
      </c>
      <c r="F1401" s="1">
        <v>4</v>
      </c>
      <c r="G1401" s="1">
        <v>1</v>
      </c>
      <c r="H1401" s="10" t="s">
        <v>2120</v>
      </c>
      <c r="I1401" s="1">
        <v>4000</v>
      </c>
      <c r="J1401" s="1">
        <v>50</v>
      </c>
      <c r="K1401" s="1">
        <v>500</v>
      </c>
      <c r="L1401" s="1">
        <v>0</v>
      </c>
      <c r="M1401" s="1" t="s">
        <v>1804</v>
      </c>
      <c r="N1401" s="1" t="s">
        <v>1414</v>
      </c>
      <c r="O1401" s="1">
        <v>0</v>
      </c>
      <c r="P1401" s="1" t="s">
        <v>2045</v>
      </c>
      <c r="Q1401" s="7" t="str">
        <f t="shared" si="34"/>
        <v>equipment/2101.png</v>
      </c>
      <c r="R1401" s="1">
        <v>0</v>
      </c>
    </row>
    <row r="1402" spans="1:18" ht="14.25" thickBot="1">
      <c r="A1402" s="1" t="s">
        <v>1097</v>
      </c>
      <c r="B1402" s="3">
        <v>1</v>
      </c>
      <c r="C1402" s="1" t="s">
        <v>2493</v>
      </c>
      <c r="D1402" s="1" t="s">
        <v>12</v>
      </c>
      <c r="E1402" s="1">
        <v>5</v>
      </c>
      <c r="F1402" s="1">
        <v>4</v>
      </c>
      <c r="G1402" s="1">
        <v>1</v>
      </c>
      <c r="H1402" s="10" t="s">
        <v>2121</v>
      </c>
      <c r="I1402" s="1">
        <v>1000</v>
      </c>
      <c r="J1402" s="1">
        <v>50</v>
      </c>
      <c r="K1402" s="1">
        <v>500</v>
      </c>
      <c r="L1402" s="1">
        <v>0</v>
      </c>
      <c r="M1402" s="1" t="s">
        <v>2010</v>
      </c>
      <c r="N1402" s="1" t="s">
        <v>1414</v>
      </c>
      <c r="O1402" s="1">
        <v>0</v>
      </c>
      <c r="P1402" s="1" t="s">
        <v>2045</v>
      </c>
      <c r="Q1402" s="7" t="str">
        <f t="shared" si="34"/>
        <v>equipment/1201.png</v>
      </c>
      <c r="R1402" s="1">
        <v>0</v>
      </c>
    </row>
    <row r="1403" spans="1:18" ht="14.25" thickBot="1">
      <c r="A1403" s="1" t="s">
        <v>1098</v>
      </c>
      <c r="B1403" s="3">
        <v>1</v>
      </c>
      <c r="C1403" s="1" t="s">
        <v>2494</v>
      </c>
      <c r="D1403" s="1" t="s">
        <v>12</v>
      </c>
      <c r="E1403" s="1">
        <v>5</v>
      </c>
      <c r="F1403" s="1">
        <v>4</v>
      </c>
      <c r="G1403" s="1">
        <v>1</v>
      </c>
      <c r="H1403" s="10" t="s">
        <v>2121</v>
      </c>
      <c r="I1403" s="1">
        <v>4000</v>
      </c>
      <c r="J1403" s="1">
        <v>50</v>
      </c>
      <c r="K1403" s="1">
        <v>500</v>
      </c>
      <c r="L1403" s="1">
        <v>0</v>
      </c>
      <c r="M1403" s="1" t="s">
        <v>2011</v>
      </c>
      <c r="N1403" s="1" t="s">
        <v>1414</v>
      </c>
      <c r="O1403" s="1">
        <v>0</v>
      </c>
      <c r="P1403" s="1" t="s">
        <v>2045</v>
      </c>
      <c r="Q1403" s="7" t="str">
        <f t="shared" si="34"/>
        <v>equipment/1202.png</v>
      </c>
      <c r="R1403" s="1">
        <v>0</v>
      </c>
    </row>
    <row r="1404" spans="1:18" ht="14.25" thickBot="1">
      <c r="A1404" s="1" t="s">
        <v>1099</v>
      </c>
      <c r="B1404" s="3">
        <v>1</v>
      </c>
      <c r="C1404" s="9" t="s">
        <v>2495</v>
      </c>
      <c r="D1404" s="1" t="s">
        <v>13</v>
      </c>
      <c r="E1404" s="1">
        <v>6</v>
      </c>
      <c r="F1404" s="1">
        <v>4</v>
      </c>
      <c r="G1404" s="1">
        <v>1</v>
      </c>
      <c r="H1404" s="10" t="s">
        <v>2121</v>
      </c>
      <c r="I1404" s="1">
        <v>1000</v>
      </c>
      <c r="J1404" s="1">
        <v>50</v>
      </c>
      <c r="K1404" s="1">
        <v>500</v>
      </c>
      <c r="L1404" s="1">
        <v>0</v>
      </c>
      <c r="M1404" s="1" t="s">
        <v>1805</v>
      </c>
      <c r="N1404" s="1" t="s">
        <v>1414</v>
      </c>
      <c r="O1404" s="1">
        <v>0</v>
      </c>
      <c r="P1404" s="1" t="s">
        <v>2045</v>
      </c>
      <c r="Q1404" s="7" t="str">
        <f t="shared" si="34"/>
        <v>equipment/2201.png</v>
      </c>
      <c r="R1404" s="1">
        <v>0</v>
      </c>
    </row>
    <row r="1405" spans="1:18" ht="14.25" thickBot="1">
      <c r="A1405" s="1" t="s">
        <v>1100</v>
      </c>
      <c r="B1405" s="2">
        <v>0</v>
      </c>
      <c r="C1405" s="9" t="s">
        <v>2094</v>
      </c>
      <c r="D1405" s="1" t="s">
        <v>13</v>
      </c>
      <c r="E1405" s="1">
        <v>6</v>
      </c>
      <c r="F1405" s="1">
        <v>4</v>
      </c>
      <c r="G1405" s="1">
        <v>1</v>
      </c>
      <c r="H1405" s="10" t="s">
        <v>2121</v>
      </c>
      <c r="I1405" s="1">
        <v>4000</v>
      </c>
      <c r="J1405" s="1">
        <v>50</v>
      </c>
      <c r="K1405" s="1">
        <v>500</v>
      </c>
      <c r="L1405" s="1">
        <v>0</v>
      </c>
      <c r="M1405" s="1" t="s">
        <v>1806</v>
      </c>
      <c r="N1405" s="1" t="s">
        <v>1414</v>
      </c>
      <c r="O1405" s="1">
        <v>0</v>
      </c>
      <c r="P1405" s="1" t="s">
        <v>2045</v>
      </c>
      <c r="Q1405" s="7" t="str">
        <f t="shared" si="34"/>
        <v>equipment/2201.png</v>
      </c>
      <c r="R1405" s="1">
        <v>0</v>
      </c>
    </row>
    <row r="1406" spans="1:18" ht="14.25" thickBot="1">
      <c r="A1406" s="1" t="s">
        <v>1101</v>
      </c>
      <c r="B1406" s="3">
        <v>1</v>
      </c>
      <c r="C1406" s="9" t="s">
        <v>2496</v>
      </c>
      <c r="D1406" s="1" t="s">
        <v>12</v>
      </c>
      <c r="E1406" s="1">
        <v>5</v>
      </c>
      <c r="F1406" s="1">
        <v>4</v>
      </c>
      <c r="G1406" s="1">
        <v>1</v>
      </c>
      <c r="H1406" s="10" t="s">
        <v>2122</v>
      </c>
      <c r="I1406" s="1">
        <v>1000</v>
      </c>
      <c r="J1406" s="1">
        <v>50</v>
      </c>
      <c r="K1406" s="1">
        <v>500</v>
      </c>
      <c r="L1406" s="1">
        <v>0</v>
      </c>
      <c r="M1406" s="1" t="s">
        <v>2010</v>
      </c>
      <c r="N1406" s="1" t="s">
        <v>1414</v>
      </c>
      <c r="O1406" s="1">
        <v>0</v>
      </c>
      <c r="P1406" s="1" t="s">
        <v>2045</v>
      </c>
      <c r="Q1406" s="7" t="str">
        <f t="shared" si="34"/>
        <v>equipment/1301.png</v>
      </c>
      <c r="R1406" s="1">
        <v>0</v>
      </c>
    </row>
    <row r="1407" spans="1:18" ht="14.25" thickBot="1">
      <c r="A1407" s="1" t="s">
        <v>1102</v>
      </c>
      <c r="B1407" s="3">
        <v>1</v>
      </c>
      <c r="C1407" s="9" t="s">
        <v>2497</v>
      </c>
      <c r="D1407" s="1" t="s">
        <v>12</v>
      </c>
      <c r="E1407" s="1">
        <v>5</v>
      </c>
      <c r="F1407" s="1">
        <v>4</v>
      </c>
      <c r="G1407" s="1">
        <v>1</v>
      </c>
      <c r="H1407" s="10" t="s">
        <v>2122</v>
      </c>
      <c r="I1407" s="1">
        <v>4000</v>
      </c>
      <c r="J1407" s="1">
        <v>50</v>
      </c>
      <c r="K1407" s="1">
        <v>500</v>
      </c>
      <c r="L1407" s="1">
        <v>0</v>
      </c>
      <c r="M1407" s="1" t="s">
        <v>2011</v>
      </c>
      <c r="N1407" s="1" t="s">
        <v>1414</v>
      </c>
      <c r="O1407" s="1">
        <v>0</v>
      </c>
      <c r="P1407" s="1" t="s">
        <v>2045</v>
      </c>
      <c r="Q1407" s="7" t="str">
        <f t="shared" si="34"/>
        <v>equipment/1302.png</v>
      </c>
      <c r="R1407" s="1">
        <v>0</v>
      </c>
    </row>
    <row r="1408" spans="1:18" ht="14.25" thickBot="1">
      <c r="A1408" s="1" t="s">
        <v>1103</v>
      </c>
      <c r="B1408" s="3">
        <v>1</v>
      </c>
      <c r="C1408" s="9" t="s">
        <v>2498</v>
      </c>
      <c r="D1408" s="1" t="s">
        <v>13</v>
      </c>
      <c r="E1408" s="1">
        <v>6</v>
      </c>
      <c r="F1408" s="1">
        <v>4</v>
      </c>
      <c r="G1408" s="1">
        <v>1</v>
      </c>
      <c r="H1408" s="10" t="s">
        <v>2122</v>
      </c>
      <c r="I1408" s="1">
        <v>1000</v>
      </c>
      <c r="J1408" s="1">
        <v>50</v>
      </c>
      <c r="K1408" s="1">
        <v>500</v>
      </c>
      <c r="L1408" s="1">
        <v>0</v>
      </c>
      <c r="M1408" s="1" t="s">
        <v>1807</v>
      </c>
      <c r="N1408" s="1" t="s">
        <v>1414</v>
      </c>
      <c r="O1408" s="1">
        <v>0</v>
      </c>
      <c r="P1408" s="1" t="s">
        <v>2045</v>
      </c>
      <c r="Q1408" s="7" t="str">
        <f t="shared" si="34"/>
        <v>equipment/2301.png</v>
      </c>
      <c r="R1408" s="1">
        <v>0</v>
      </c>
    </row>
    <row r="1409" spans="1:18" ht="14.25" thickBot="1">
      <c r="A1409" s="1" t="s">
        <v>1104</v>
      </c>
      <c r="B1409" s="2">
        <v>0</v>
      </c>
      <c r="C1409" s="9" t="s">
        <v>2095</v>
      </c>
      <c r="D1409" s="1" t="s">
        <v>13</v>
      </c>
      <c r="E1409" s="1">
        <v>6</v>
      </c>
      <c r="F1409" s="1">
        <v>4</v>
      </c>
      <c r="G1409" s="1">
        <v>1</v>
      </c>
      <c r="H1409" s="10" t="s">
        <v>2122</v>
      </c>
      <c r="I1409" s="1">
        <v>4000</v>
      </c>
      <c r="J1409" s="1">
        <v>50</v>
      </c>
      <c r="K1409" s="1">
        <v>500</v>
      </c>
      <c r="L1409" s="1">
        <v>0</v>
      </c>
      <c r="M1409" s="1" t="s">
        <v>1808</v>
      </c>
      <c r="N1409" s="1" t="s">
        <v>1414</v>
      </c>
      <c r="O1409" s="1">
        <v>0</v>
      </c>
      <c r="P1409" s="1" t="s">
        <v>2045</v>
      </c>
      <c r="Q1409" s="7" t="str">
        <f t="shared" si="34"/>
        <v>equipment/2301.png</v>
      </c>
      <c r="R1409" s="1">
        <v>0</v>
      </c>
    </row>
    <row r="1410" spans="1:18" ht="14.25" thickBot="1">
      <c r="A1410" s="1" t="s">
        <v>1105</v>
      </c>
      <c r="B1410" s="3">
        <v>1</v>
      </c>
      <c r="C1410" s="1" t="s">
        <v>2499</v>
      </c>
      <c r="D1410" s="1" t="s">
        <v>11</v>
      </c>
      <c r="E1410" s="1">
        <v>4</v>
      </c>
      <c r="F1410" s="1">
        <v>4</v>
      </c>
      <c r="G1410" s="1">
        <v>1</v>
      </c>
      <c r="H1410" s="10">
        <v>0</v>
      </c>
      <c r="I1410" s="1">
        <v>1000</v>
      </c>
      <c r="J1410" s="1">
        <v>50</v>
      </c>
      <c r="K1410" s="1">
        <v>500</v>
      </c>
      <c r="L1410" s="1">
        <v>0</v>
      </c>
      <c r="M1410" s="1" t="s">
        <v>1809</v>
      </c>
      <c r="N1410" s="1" t="s">
        <v>1059</v>
      </c>
      <c r="O1410" s="1">
        <v>0</v>
      </c>
      <c r="P1410" s="1" t="s">
        <v>2045</v>
      </c>
      <c r="Q1410" s="7" t="str">
        <f t="shared" si="34"/>
        <v>equipment/5001.png</v>
      </c>
      <c r="R1410" s="1">
        <v>0</v>
      </c>
    </row>
    <row r="1411" spans="1:18" ht="14.25" thickBot="1">
      <c r="A1411" s="1" t="s">
        <v>1106</v>
      </c>
      <c r="B1411" s="2">
        <v>0</v>
      </c>
      <c r="C1411" s="1" t="s">
        <v>2499</v>
      </c>
      <c r="D1411" s="1" t="s">
        <v>11</v>
      </c>
      <c r="E1411" s="1">
        <v>4</v>
      </c>
      <c r="F1411" s="1">
        <v>4</v>
      </c>
      <c r="G1411" s="1">
        <v>1</v>
      </c>
      <c r="H1411" s="10">
        <v>0</v>
      </c>
      <c r="I1411" s="1">
        <v>4000</v>
      </c>
      <c r="J1411" s="1">
        <v>50</v>
      </c>
      <c r="K1411" s="1">
        <v>500</v>
      </c>
      <c r="L1411" s="1">
        <v>0</v>
      </c>
      <c r="M1411" s="1" t="s">
        <v>1810</v>
      </c>
      <c r="N1411" s="1" t="s">
        <v>1059</v>
      </c>
      <c r="O1411" s="1">
        <v>0</v>
      </c>
      <c r="P1411" s="1" t="s">
        <v>2045</v>
      </c>
      <c r="Q1411" s="7" t="str">
        <f t="shared" si="34"/>
        <v>equipment/5001.png</v>
      </c>
      <c r="R1411" s="1">
        <v>0</v>
      </c>
    </row>
    <row r="1412" spans="1:18" ht="14.25" thickBot="1">
      <c r="A1412" s="1" t="s">
        <v>1107</v>
      </c>
      <c r="B1412" s="2">
        <v>0</v>
      </c>
      <c r="C1412" s="1" t="s">
        <v>2500</v>
      </c>
      <c r="D1412" s="1" t="s">
        <v>14</v>
      </c>
      <c r="E1412" s="1">
        <v>7</v>
      </c>
      <c r="F1412" s="1">
        <v>4</v>
      </c>
      <c r="G1412" s="1">
        <v>1</v>
      </c>
      <c r="H1412" s="10">
        <v>0</v>
      </c>
      <c r="I1412" s="1">
        <v>1000</v>
      </c>
      <c r="J1412" s="1">
        <v>50</v>
      </c>
      <c r="K1412" s="1">
        <v>500</v>
      </c>
      <c r="L1412" s="1">
        <v>0</v>
      </c>
      <c r="M1412" s="1" t="s">
        <v>1811</v>
      </c>
      <c r="N1412" s="1" t="s">
        <v>1059</v>
      </c>
      <c r="O1412" s="1">
        <v>0</v>
      </c>
      <c r="P1412" s="1" t="s">
        <v>2045</v>
      </c>
      <c r="Q1412" s="7" t="str">
        <f t="shared" si="34"/>
        <v>equipment/7001.png</v>
      </c>
      <c r="R1412" s="1">
        <v>0</v>
      </c>
    </row>
    <row r="1413" spans="1:18" ht="14.25" thickBot="1">
      <c r="A1413" s="1" t="s">
        <v>1108</v>
      </c>
      <c r="B1413" s="2">
        <v>0</v>
      </c>
      <c r="C1413" s="1" t="s">
        <v>2501</v>
      </c>
      <c r="D1413" s="1" t="s">
        <v>14</v>
      </c>
      <c r="E1413" s="1">
        <v>7</v>
      </c>
      <c r="F1413" s="1">
        <v>4</v>
      </c>
      <c r="G1413" s="1">
        <v>1</v>
      </c>
      <c r="H1413" s="10">
        <v>0</v>
      </c>
      <c r="I1413" s="1">
        <v>4000</v>
      </c>
      <c r="J1413" s="1">
        <v>50</v>
      </c>
      <c r="K1413" s="1">
        <v>500</v>
      </c>
      <c r="L1413" s="1">
        <v>0</v>
      </c>
      <c r="M1413" s="1" t="s">
        <v>1812</v>
      </c>
      <c r="N1413" s="1" t="s">
        <v>1059</v>
      </c>
      <c r="O1413" s="1">
        <v>0</v>
      </c>
      <c r="P1413" s="1" t="s">
        <v>2045</v>
      </c>
      <c r="Q1413" s="7" t="str">
        <f t="shared" si="34"/>
        <v>equipment/7001.png</v>
      </c>
      <c r="R1413" s="1">
        <v>0</v>
      </c>
    </row>
    <row r="1414" spans="1:18" ht="14.25" thickBot="1">
      <c r="A1414" s="1" t="s">
        <v>1109</v>
      </c>
      <c r="B1414" s="3">
        <v>1</v>
      </c>
      <c r="C1414" s="1" t="s">
        <v>2484</v>
      </c>
      <c r="D1414" s="1" t="s">
        <v>8</v>
      </c>
      <c r="E1414" s="1">
        <v>1</v>
      </c>
      <c r="F1414" s="1">
        <v>4</v>
      </c>
      <c r="G1414" s="1">
        <v>5</v>
      </c>
      <c r="H1414" s="10">
        <v>0</v>
      </c>
      <c r="I1414" s="1">
        <v>5000</v>
      </c>
      <c r="J1414" s="1">
        <v>50</v>
      </c>
      <c r="K1414" s="1">
        <v>500</v>
      </c>
      <c r="L1414" s="1">
        <v>0</v>
      </c>
      <c r="M1414" s="1" t="s">
        <v>1813</v>
      </c>
      <c r="N1414" s="1" t="s">
        <v>1415</v>
      </c>
      <c r="O1414" s="1">
        <v>0</v>
      </c>
      <c r="P1414" s="1" t="s">
        <v>2046</v>
      </c>
      <c r="Q1414" s="7" t="str">
        <f t="shared" si="34"/>
        <v>equipment/3001.png</v>
      </c>
      <c r="R1414" s="1">
        <v>0</v>
      </c>
    </row>
    <row r="1415" spans="1:18" ht="14.25" thickBot="1">
      <c r="A1415" s="1" t="s">
        <v>1110</v>
      </c>
      <c r="B1415" s="3">
        <v>1</v>
      </c>
      <c r="C1415" s="1" t="s">
        <v>2485</v>
      </c>
      <c r="D1415" s="1" t="s">
        <v>9</v>
      </c>
      <c r="E1415" s="1">
        <v>2</v>
      </c>
      <c r="F1415" s="1">
        <v>4</v>
      </c>
      <c r="G1415" s="1">
        <v>5</v>
      </c>
      <c r="H1415" s="10">
        <v>0</v>
      </c>
      <c r="I1415" s="1">
        <v>5000</v>
      </c>
      <c r="J1415" s="1">
        <v>50</v>
      </c>
      <c r="K1415" s="1">
        <v>500</v>
      </c>
      <c r="L1415" s="1">
        <v>0</v>
      </c>
      <c r="M1415" s="1" t="s">
        <v>1814</v>
      </c>
      <c r="N1415" s="1" t="s">
        <v>1415</v>
      </c>
      <c r="O1415" s="1">
        <v>0</v>
      </c>
      <c r="P1415" s="1" t="s">
        <v>2046</v>
      </c>
      <c r="Q1415" s="7" t="str">
        <f t="shared" si="34"/>
        <v>equipment/14001.png</v>
      </c>
      <c r="R1415" s="1">
        <v>0</v>
      </c>
    </row>
    <row r="1416" spans="1:18" ht="14.25" thickBot="1">
      <c r="A1416" s="1" t="s">
        <v>1111</v>
      </c>
      <c r="B1416" s="3">
        <v>1</v>
      </c>
      <c r="C1416" s="1" t="s">
        <v>2486</v>
      </c>
      <c r="D1416" s="1" t="s">
        <v>10</v>
      </c>
      <c r="E1416" s="1">
        <v>3</v>
      </c>
      <c r="F1416" s="1">
        <v>4</v>
      </c>
      <c r="G1416" s="1">
        <v>5</v>
      </c>
      <c r="H1416" s="10">
        <v>0</v>
      </c>
      <c r="I1416" s="1">
        <v>5000</v>
      </c>
      <c r="J1416" s="1">
        <v>50</v>
      </c>
      <c r="K1416" s="1">
        <v>500</v>
      </c>
      <c r="L1416" s="1">
        <v>0</v>
      </c>
      <c r="M1416" s="1" t="s">
        <v>1799</v>
      </c>
      <c r="N1416" s="1" t="s">
        <v>1415</v>
      </c>
      <c r="O1416" s="1">
        <v>0</v>
      </c>
      <c r="P1416" s="1" t="s">
        <v>2046</v>
      </c>
      <c r="Q1416" s="7" t="str">
        <f t="shared" si="34"/>
        <v>equipment/6001.png</v>
      </c>
      <c r="R1416" s="1">
        <v>0</v>
      </c>
    </row>
    <row r="1417" spans="1:18" ht="14.25" thickBot="1">
      <c r="A1417" s="1" t="s">
        <v>1112</v>
      </c>
      <c r="B1417" s="2">
        <v>0</v>
      </c>
      <c r="C1417" s="1" t="s">
        <v>2487</v>
      </c>
      <c r="D1417" s="1" t="s">
        <v>15</v>
      </c>
      <c r="E1417" s="1">
        <v>8</v>
      </c>
      <c r="F1417" s="1">
        <v>4</v>
      </c>
      <c r="G1417" s="1">
        <v>5</v>
      </c>
      <c r="H1417" s="10">
        <v>0</v>
      </c>
      <c r="I1417" s="1">
        <v>5000</v>
      </c>
      <c r="J1417" s="1">
        <v>50</v>
      </c>
      <c r="K1417" s="1">
        <v>500</v>
      </c>
      <c r="L1417" s="1">
        <v>0</v>
      </c>
      <c r="M1417" s="1" t="s">
        <v>1815</v>
      </c>
      <c r="N1417" s="1" t="s">
        <v>1415</v>
      </c>
      <c r="O1417" s="1">
        <v>0</v>
      </c>
      <c r="P1417" s="1" t="s">
        <v>2046</v>
      </c>
      <c r="Q1417" s="7" t="str">
        <f t="shared" si="34"/>
        <v>equipment/8001.png</v>
      </c>
      <c r="R1417" s="1">
        <v>0</v>
      </c>
    </row>
    <row r="1418" spans="1:18" ht="14.25" thickBot="1">
      <c r="A1418" s="1" t="s">
        <v>1113</v>
      </c>
      <c r="B1418" s="2">
        <v>0</v>
      </c>
      <c r="C1418" s="1" t="s">
        <v>2488</v>
      </c>
      <c r="D1418" s="1" t="s">
        <v>16</v>
      </c>
      <c r="E1418" s="1">
        <v>9</v>
      </c>
      <c r="F1418" s="1">
        <v>4</v>
      </c>
      <c r="G1418" s="1">
        <v>5</v>
      </c>
      <c r="H1418" s="10">
        <v>0</v>
      </c>
      <c r="I1418" s="1">
        <v>5000</v>
      </c>
      <c r="J1418" s="1">
        <v>50</v>
      </c>
      <c r="K1418" s="1">
        <v>500</v>
      </c>
      <c r="L1418" s="1">
        <v>0</v>
      </c>
      <c r="M1418" s="1" t="s">
        <v>1816</v>
      </c>
      <c r="N1418" s="1" t="s">
        <v>1415</v>
      </c>
      <c r="O1418" s="1">
        <v>0</v>
      </c>
      <c r="P1418" s="1" t="s">
        <v>2046</v>
      </c>
      <c r="Q1418" s="7" t="str">
        <f t="shared" si="34"/>
        <v>equipment/10001.png</v>
      </c>
      <c r="R1418" s="1">
        <v>0</v>
      </c>
    </row>
    <row r="1419" spans="1:18" ht="14.25" thickBot="1">
      <c r="A1419" s="1" t="s">
        <v>1114</v>
      </c>
      <c r="B1419" s="3">
        <v>1</v>
      </c>
      <c r="C1419" s="1" t="s">
        <v>2489</v>
      </c>
      <c r="D1419" s="1" t="s">
        <v>17</v>
      </c>
      <c r="E1419" s="1">
        <v>10</v>
      </c>
      <c r="F1419" s="1">
        <v>4</v>
      </c>
      <c r="G1419" s="1">
        <v>5</v>
      </c>
      <c r="H1419" s="10">
        <v>0</v>
      </c>
      <c r="I1419" s="1">
        <v>5000</v>
      </c>
      <c r="J1419" s="1">
        <v>50</v>
      </c>
      <c r="K1419" s="1">
        <v>500</v>
      </c>
      <c r="L1419" s="1">
        <v>0</v>
      </c>
      <c r="M1419" s="1" t="s">
        <v>1817</v>
      </c>
      <c r="N1419" s="1" t="s">
        <v>1415</v>
      </c>
      <c r="O1419" s="1">
        <v>0</v>
      </c>
      <c r="P1419" s="1" t="s">
        <v>2046</v>
      </c>
      <c r="Q1419" s="7" t="str">
        <f t="shared" si="34"/>
        <v>equipment/12001.png</v>
      </c>
      <c r="R1419" s="1">
        <v>0</v>
      </c>
    </row>
    <row r="1420" spans="1:18" ht="14.25" thickBot="1">
      <c r="A1420" s="1" t="s">
        <v>1115</v>
      </c>
      <c r="B1420" s="3">
        <v>1</v>
      </c>
      <c r="C1420" s="9" t="s">
        <v>2502</v>
      </c>
      <c r="D1420" s="1" t="s">
        <v>12</v>
      </c>
      <c r="E1420" s="1">
        <v>5</v>
      </c>
      <c r="F1420" s="1">
        <v>4</v>
      </c>
      <c r="G1420" s="1">
        <v>5</v>
      </c>
      <c r="H1420" s="10" t="s">
        <v>2120</v>
      </c>
      <c r="I1420" s="1">
        <v>5000</v>
      </c>
      <c r="J1420" s="1">
        <v>50</v>
      </c>
      <c r="K1420" s="1">
        <v>500</v>
      </c>
      <c r="L1420" s="1">
        <v>0</v>
      </c>
      <c r="M1420" s="1" t="s">
        <v>1818</v>
      </c>
      <c r="N1420" s="1" t="s">
        <v>1416</v>
      </c>
      <c r="O1420" s="1">
        <v>0</v>
      </c>
      <c r="P1420" s="1" t="s">
        <v>2046</v>
      </c>
      <c r="Q1420" s="7" t="str">
        <f t="shared" si="34"/>
        <v>equipment/1103.png</v>
      </c>
      <c r="R1420" s="1">
        <v>0</v>
      </c>
    </row>
    <row r="1421" spans="1:18" ht="14.25" thickBot="1">
      <c r="A1421" s="1" t="s">
        <v>1116</v>
      </c>
      <c r="B1421" s="3">
        <v>1</v>
      </c>
      <c r="C1421" s="9" t="s">
        <v>2503</v>
      </c>
      <c r="D1421" s="1" t="s">
        <v>12</v>
      </c>
      <c r="E1421" s="1">
        <v>5</v>
      </c>
      <c r="F1421" s="1">
        <v>4</v>
      </c>
      <c r="G1421" s="1">
        <v>5</v>
      </c>
      <c r="H1421" s="10" t="s">
        <v>2120</v>
      </c>
      <c r="I1421" s="1">
        <v>8000</v>
      </c>
      <c r="J1421" s="1">
        <v>50</v>
      </c>
      <c r="K1421" s="1">
        <v>500</v>
      </c>
      <c r="L1421" s="1">
        <v>0</v>
      </c>
      <c r="M1421" s="1" t="s">
        <v>2012</v>
      </c>
      <c r="N1421" s="1" t="s">
        <v>1416</v>
      </c>
      <c r="O1421" s="1">
        <v>0</v>
      </c>
      <c r="P1421" s="1" t="s">
        <v>2046</v>
      </c>
      <c r="Q1421" s="7" t="str">
        <f t="shared" si="34"/>
        <v>equipment/1104.png</v>
      </c>
      <c r="R1421" s="1">
        <v>0</v>
      </c>
    </row>
    <row r="1422" spans="1:18" ht="14.25" thickBot="1">
      <c r="A1422" s="1" t="s">
        <v>1117</v>
      </c>
      <c r="B1422" s="3">
        <v>1</v>
      </c>
      <c r="C1422" s="9" t="s">
        <v>2061</v>
      </c>
      <c r="D1422" s="1" t="s">
        <v>13</v>
      </c>
      <c r="E1422" s="1">
        <v>6</v>
      </c>
      <c r="F1422" s="1">
        <v>4</v>
      </c>
      <c r="G1422" s="1">
        <v>5</v>
      </c>
      <c r="H1422" s="10" t="s">
        <v>2120</v>
      </c>
      <c r="I1422" s="1">
        <v>5000</v>
      </c>
      <c r="J1422" s="1">
        <v>50</v>
      </c>
      <c r="K1422" s="1">
        <v>500</v>
      </c>
      <c r="L1422" s="1">
        <v>0</v>
      </c>
      <c r="M1422" s="1" t="s">
        <v>1819</v>
      </c>
      <c r="N1422" s="1" t="s">
        <v>1416</v>
      </c>
      <c r="O1422" s="1">
        <v>0</v>
      </c>
      <c r="P1422" s="1" t="s">
        <v>2046</v>
      </c>
      <c r="Q1422" s="7" t="str">
        <f t="shared" si="34"/>
        <v>equipment/2102.png</v>
      </c>
      <c r="R1422" s="1">
        <v>0</v>
      </c>
    </row>
    <row r="1423" spans="1:18" ht="14.25" thickBot="1">
      <c r="A1423" s="1" t="s">
        <v>1118</v>
      </c>
      <c r="B1423" s="2">
        <v>0</v>
      </c>
      <c r="C1423" s="9" t="s">
        <v>2061</v>
      </c>
      <c r="D1423" s="1" t="s">
        <v>13</v>
      </c>
      <c r="E1423" s="1">
        <v>6</v>
      </c>
      <c r="F1423" s="1">
        <v>4</v>
      </c>
      <c r="G1423" s="1">
        <v>5</v>
      </c>
      <c r="H1423" s="10" t="s">
        <v>2120</v>
      </c>
      <c r="I1423" s="1">
        <v>8000</v>
      </c>
      <c r="J1423" s="1">
        <v>50</v>
      </c>
      <c r="K1423" s="1">
        <v>500</v>
      </c>
      <c r="L1423" s="1">
        <v>0</v>
      </c>
      <c r="M1423" s="1" t="s">
        <v>1820</v>
      </c>
      <c r="N1423" s="1" t="s">
        <v>1416</v>
      </c>
      <c r="O1423" s="1">
        <v>0</v>
      </c>
      <c r="P1423" s="1" t="s">
        <v>2046</v>
      </c>
      <c r="Q1423" s="7" t="str">
        <f t="shared" si="34"/>
        <v>equipment/2101.png</v>
      </c>
      <c r="R1423" s="1">
        <v>0</v>
      </c>
    </row>
    <row r="1424" spans="1:18" ht="14.25" thickBot="1">
      <c r="A1424" s="1" t="s">
        <v>1119</v>
      </c>
      <c r="B1424" s="3">
        <v>1</v>
      </c>
      <c r="C1424" s="1" t="s">
        <v>2504</v>
      </c>
      <c r="D1424" s="1" t="s">
        <v>12</v>
      </c>
      <c r="E1424" s="1">
        <v>5</v>
      </c>
      <c r="F1424" s="1">
        <v>4</v>
      </c>
      <c r="G1424" s="1">
        <v>5</v>
      </c>
      <c r="H1424" s="10" t="s">
        <v>2121</v>
      </c>
      <c r="I1424" s="1">
        <v>5000</v>
      </c>
      <c r="J1424" s="1">
        <v>50</v>
      </c>
      <c r="K1424" s="1">
        <v>500</v>
      </c>
      <c r="L1424" s="1">
        <v>0</v>
      </c>
      <c r="M1424" s="1" t="s">
        <v>1818</v>
      </c>
      <c r="N1424" s="1" t="s">
        <v>1416</v>
      </c>
      <c r="O1424" s="1">
        <v>0</v>
      </c>
      <c r="P1424" s="1" t="s">
        <v>2046</v>
      </c>
      <c r="Q1424" s="7" t="str">
        <f t="shared" si="34"/>
        <v>equipment/1204.png</v>
      </c>
      <c r="R1424" s="1">
        <v>0</v>
      </c>
    </row>
    <row r="1425" spans="1:18" ht="14.25" thickBot="1">
      <c r="A1425" s="1" t="s">
        <v>1120</v>
      </c>
      <c r="B1425" s="3">
        <v>1</v>
      </c>
      <c r="C1425" s="1" t="s">
        <v>2505</v>
      </c>
      <c r="D1425" s="1" t="s">
        <v>12</v>
      </c>
      <c r="E1425" s="1">
        <v>5</v>
      </c>
      <c r="F1425" s="1">
        <v>4</v>
      </c>
      <c r="G1425" s="1">
        <v>5</v>
      </c>
      <c r="H1425" s="10" t="s">
        <v>2121</v>
      </c>
      <c r="I1425" s="1">
        <v>8000</v>
      </c>
      <c r="J1425" s="1">
        <v>50</v>
      </c>
      <c r="K1425" s="1">
        <v>500</v>
      </c>
      <c r="L1425" s="1">
        <v>0</v>
      </c>
      <c r="M1425" s="1" t="s">
        <v>2012</v>
      </c>
      <c r="N1425" s="1" t="s">
        <v>1416</v>
      </c>
      <c r="O1425" s="1">
        <v>0</v>
      </c>
      <c r="P1425" s="1" t="s">
        <v>2046</v>
      </c>
      <c r="Q1425" s="7" t="str">
        <f t="shared" si="34"/>
        <v>equipment/1203.png</v>
      </c>
      <c r="R1425" s="1">
        <v>0</v>
      </c>
    </row>
    <row r="1426" spans="1:18" ht="14.25" thickBot="1">
      <c r="A1426" s="1" t="s">
        <v>1121</v>
      </c>
      <c r="B1426" s="3">
        <v>1</v>
      </c>
      <c r="C1426" s="9" t="s">
        <v>2094</v>
      </c>
      <c r="D1426" s="1" t="s">
        <v>13</v>
      </c>
      <c r="E1426" s="1">
        <v>6</v>
      </c>
      <c r="F1426" s="1">
        <v>4</v>
      </c>
      <c r="G1426" s="1">
        <v>5</v>
      </c>
      <c r="H1426" s="10" t="s">
        <v>2121</v>
      </c>
      <c r="I1426" s="1">
        <v>5000</v>
      </c>
      <c r="J1426" s="1">
        <v>50</v>
      </c>
      <c r="K1426" s="1">
        <v>500</v>
      </c>
      <c r="L1426" s="1">
        <v>0</v>
      </c>
      <c r="M1426" s="1" t="s">
        <v>1821</v>
      </c>
      <c r="N1426" s="1" t="s">
        <v>1416</v>
      </c>
      <c r="O1426" s="1">
        <v>0</v>
      </c>
      <c r="P1426" s="1" t="s">
        <v>2046</v>
      </c>
      <c r="Q1426" s="7" t="str">
        <f t="shared" si="34"/>
        <v>equipment/2202.png</v>
      </c>
      <c r="R1426" s="1">
        <v>0</v>
      </c>
    </row>
    <row r="1427" spans="1:18" ht="14.25" thickBot="1">
      <c r="A1427" s="1" t="s">
        <v>1122</v>
      </c>
      <c r="B1427" s="2">
        <v>0</v>
      </c>
      <c r="C1427" s="9" t="s">
        <v>2094</v>
      </c>
      <c r="D1427" s="1" t="s">
        <v>13</v>
      </c>
      <c r="E1427" s="1">
        <v>6</v>
      </c>
      <c r="F1427" s="1">
        <v>4</v>
      </c>
      <c r="G1427" s="1">
        <v>5</v>
      </c>
      <c r="H1427" s="10" t="s">
        <v>2121</v>
      </c>
      <c r="I1427" s="1">
        <v>8000</v>
      </c>
      <c r="J1427" s="1">
        <v>50</v>
      </c>
      <c r="K1427" s="1">
        <v>500</v>
      </c>
      <c r="L1427" s="1">
        <v>0</v>
      </c>
      <c r="M1427" s="1" t="s">
        <v>1822</v>
      </c>
      <c r="N1427" s="1" t="s">
        <v>1416</v>
      </c>
      <c r="O1427" s="1">
        <v>0</v>
      </c>
      <c r="P1427" s="1" t="s">
        <v>2046</v>
      </c>
      <c r="Q1427" s="7" t="str">
        <f t="shared" si="34"/>
        <v>equipment/2201.png</v>
      </c>
      <c r="R1427" s="1">
        <v>0</v>
      </c>
    </row>
    <row r="1428" spans="1:18" ht="14.25" thickBot="1">
      <c r="A1428" s="1" t="s">
        <v>1123</v>
      </c>
      <c r="B1428" s="3">
        <v>1</v>
      </c>
      <c r="C1428" s="9" t="s">
        <v>2506</v>
      </c>
      <c r="D1428" s="1" t="s">
        <v>12</v>
      </c>
      <c r="E1428" s="1">
        <v>5</v>
      </c>
      <c r="F1428" s="1">
        <v>4</v>
      </c>
      <c r="G1428" s="1">
        <v>5</v>
      </c>
      <c r="H1428" s="10" t="s">
        <v>2122</v>
      </c>
      <c r="I1428" s="1">
        <v>5000</v>
      </c>
      <c r="J1428" s="1">
        <v>50</v>
      </c>
      <c r="K1428" s="1">
        <v>500</v>
      </c>
      <c r="L1428" s="1">
        <v>0</v>
      </c>
      <c r="M1428" s="1" t="s">
        <v>1818</v>
      </c>
      <c r="N1428" s="1" t="s">
        <v>1416</v>
      </c>
      <c r="O1428" s="1">
        <v>0</v>
      </c>
      <c r="P1428" s="1" t="s">
        <v>2046</v>
      </c>
      <c r="Q1428" s="7" t="str">
        <f t="shared" si="34"/>
        <v>equipment/1303.png</v>
      </c>
      <c r="R1428" s="1">
        <v>0</v>
      </c>
    </row>
    <row r="1429" spans="1:18" ht="14.25" thickBot="1">
      <c r="A1429" s="1" t="s">
        <v>1124</v>
      </c>
      <c r="B1429" s="3">
        <v>1</v>
      </c>
      <c r="C1429" s="9" t="s">
        <v>2507</v>
      </c>
      <c r="D1429" s="1" t="s">
        <v>12</v>
      </c>
      <c r="E1429" s="1">
        <v>5</v>
      </c>
      <c r="F1429" s="1">
        <v>4</v>
      </c>
      <c r="G1429" s="1">
        <v>5</v>
      </c>
      <c r="H1429" s="10" t="s">
        <v>2122</v>
      </c>
      <c r="I1429" s="1">
        <v>8000</v>
      </c>
      <c r="J1429" s="1">
        <v>50</v>
      </c>
      <c r="K1429" s="1">
        <v>500</v>
      </c>
      <c r="L1429" s="1">
        <v>0</v>
      </c>
      <c r="M1429" s="1" t="s">
        <v>2012</v>
      </c>
      <c r="N1429" s="1" t="s">
        <v>1416</v>
      </c>
      <c r="O1429" s="1">
        <v>0</v>
      </c>
      <c r="P1429" s="1" t="s">
        <v>2046</v>
      </c>
      <c r="Q1429" s="7" t="str">
        <f t="shared" ref="Q1429:Q1492" si="39">Q967</f>
        <v>equipment/1304.png</v>
      </c>
      <c r="R1429" s="1">
        <v>0</v>
      </c>
    </row>
    <row r="1430" spans="1:18" ht="14.25" thickBot="1">
      <c r="A1430" s="1" t="s">
        <v>1125</v>
      </c>
      <c r="B1430" s="3">
        <v>1</v>
      </c>
      <c r="C1430" s="9" t="s">
        <v>2095</v>
      </c>
      <c r="D1430" s="1" t="s">
        <v>13</v>
      </c>
      <c r="E1430" s="1">
        <v>6</v>
      </c>
      <c r="F1430" s="1">
        <v>4</v>
      </c>
      <c r="G1430" s="1">
        <v>5</v>
      </c>
      <c r="H1430" s="10" t="s">
        <v>2122</v>
      </c>
      <c r="I1430" s="1">
        <v>5000</v>
      </c>
      <c r="J1430" s="1">
        <v>50</v>
      </c>
      <c r="K1430" s="1">
        <v>500</v>
      </c>
      <c r="L1430" s="1">
        <v>0</v>
      </c>
      <c r="M1430" s="1" t="s">
        <v>1823</v>
      </c>
      <c r="N1430" s="1" t="s">
        <v>1416</v>
      </c>
      <c r="O1430" s="1">
        <v>0</v>
      </c>
      <c r="P1430" s="1" t="s">
        <v>2046</v>
      </c>
      <c r="Q1430" s="7" t="str">
        <f t="shared" si="39"/>
        <v>equipment/2302.png</v>
      </c>
      <c r="R1430" s="1">
        <v>0</v>
      </c>
    </row>
    <row r="1431" spans="1:18" ht="14.25" thickBot="1">
      <c r="A1431" s="1" t="s">
        <v>1126</v>
      </c>
      <c r="B1431" s="2">
        <v>0</v>
      </c>
      <c r="C1431" s="9" t="s">
        <v>2095</v>
      </c>
      <c r="D1431" s="1" t="s">
        <v>13</v>
      </c>
      <c r="E1431" s="1">
        <v>6</v>
      </c>
      <c r="F1431" s="1">
        <v>4</v>
      </c>
      <c r="G1431" s="1">
        <v>5</v>
      </c>
      <c r="H1431" s="10" t="s">
        <v>2122</v>
      </c>
      <c r="I1431" s="1">
        <v>8000</v>
      </c>
      <c r="J1431" s="1">
        <v>50</v>
      </c>
      <c r="K1431" s="1">
        <v>500</v>
      </c>
      <c r="L1431" s="1">
        <v>0</v>
      </c>
      <c r="M1431" s="1" t="s">
        <v>1824</v>
      </c>
      <c r="N1431" s="1" t="s">
        <v>1416</v>
      </c>
      <c r="O1431" s="1">
        <v>0</v>
      </c>
      <c r="P1431" s="1" t="s">
        <v>2046</v>
      </c>
      <c r="Q1431" s="7" t="str">
        <f t="shared" si="39"/>
        <v>equipment/2301.png</v>
      </c>
      <c r="R1431" s="1">
        <v>0</v>
      </c>
    </row>
    <row r="1432" spans="1:18" ht="14.25" thickBot="1">
      <c r="A1432" s="1" t="s">
        <v>1127</v>
      </c>
      <c r="B1432" s="3">
        <v>1</v>
      </c>
      <c r="C1432" s="1" t="s">
        <v>2508</v>
      </c>
      <c r="D1432" s="1" t="s">
        <v>11</v>
      </c>
      <c r="E1432" s="1">
        <v>4</v>
      </c>
      <c r="F1432" s="1">
        <v>4</v>
      </c>
      <c r="G1432" s="1">
        <v>5</v>
      </c>
      <c r="H1432" s="10">
        <v>0</v>
      </c>
      <c r="I1432" s="1">
        <v>5000</v>
      </c>
      <c r="J1432" s="1">
        <v>50</v>
      </c>
      <c r="K1432" s="1">
        <v>500</v>
      </c>
      <c r="L1432" s="1">
        <v>0</v>
      </c>
      <c r="M1432" s="1" t="s">
        <v>1825</v>
      </c>
      <c r="N1432" s="1" t="s">
        <v>1415</v>
      </c>
      <c r="O1432" s="1">
        <v>0</v>
      </c>
      <c r="P1432" s="1" t="s">
        <v>2046</v>
      </c>
      <c r="Q1432" s="7" t="str">
        <f t="shared" si="39"/>
        <v>equipment/5002.png</v>
      </c>
      <c r="R1432" s="1">
        <v>0</v>
      </c>
    </row>
    <row r="1433" spans="1:18" ht="14.25" thickBot="1">
      <c r="A1433" s="1" t="s">
        <v>1128</v>
      </c>
      <c r="B1433" s="3">
        <v>1</v>
      </c>
      <c r="C1433" s="1" t="s">
        <v>2509</v>
      </c>
      <c r="D1433" s="1" t="s">
        <v>11</v>
      </c>
      <c r="E1433" s="1">
        <v>4</v>
      </c>
      <c r="F1433" s="1">
        <v>4</v>
      </c>
      <c r="G1433" s="1">
        <v>5</v>
      </c>
      <c r="H1433" s="10">
        <v>0</v>
      </c>
      <c r="I1433" s="1">
        <v>8000</v>
      </c>
      <c r="J1433" s="1">
        <v>50</v>
      </c>
      <c r="K1433" s="1">
        <v>500</v>
      </c>
      <c r="L1433" s="1">
        <v>0</v>
      </c>
      <c r="M1433" s="1" t="s">
        <v>1826</v>
      </c>
      <c r="N1433" s="1" t="s">
        <v>1415</v>
      </c>
      <c r="O1433" s="1">
        <v>0</v>
      </c>
      <c r="P1433" s="1" t="s">
        <v>2046</v>
      </c>
      <c r="Q1433" s="7" t="str">
        <f t="shared" si="39"/>
        <v>equipment/5003.png</v>
      </c>
      <c r="R1433" s="1">
        <v>0</v>
      </c>
    </row>
    <row r="1434" spans="1:18" ht="14.25" thickBot="1">
      <c r="A1434" s="1" t="s">
        <v>1129</v>
      </c>
      <c r="B1434" s="3">
        <v>1</v>
      </c>
      <c r="C1434" s="1" t="s">
        <v>2500</v>
      </c>
      <c r="D1434" s="1" t="s">
        <v>14</v>
      </c>
      <c r="E1434" s="1">
        <v>7</v>
      </c>
      <c r="F1434" s="1">
        <v>4</v>
      </c>
      <c r="G1434" s="1">
        <v>5</v>
      </c>
      <c r="H1434" s="10">
        <v>0</v>
      </c>
      <c r="I1434" s="1">
        <v>5000</v>
      </c>
      <c r="J1434" s="1">
        <v>50</v>
      </c>
      <c r="K1434" s="1">
        <v>500</v>
      </c>
      <c r="L1434" s="1">
        <v>0</v>
      </c>
      <c r="M1434" s="1" t="s">
        <v>1809</v>
      </c>
      <c r="N1434" s="1" t="s">
        <v>1415</v>
      </c>
      <c r="O1434" s="1">
        <v>0</v>
      </c>
      <c r="P1434" s="1" t="s">
        <v>2046</v>
      </c>
      <c r="Q1434" s="7" t="str">
        <f t="shared" si="39"/>
        <v>equipment/7001.png</v>
      </c>
      <c r="R1434" s="1">
        <v>0</v>
      </c>
    </row>
    <row r="1435" spans="1:18" ht="14.25" thickBot="1">
      <c r="A1435" s="1" t="s">
        <v>1130</v>
      </c>
      <c r="B1435" s="3">
        <v>1</v>
      </c>
      <c r="C1435" s="1" t="s">
        <v>2501</v>
      </c>
      <c r="D1435" s="1" t="s">
        <v>14</v>
      </c>
      <c r="E1435" s="1">
        <v>7</v>
      </c>
      <c r="F1435" s="1">
        <v>4</v>
      </c>
      <c r="G1435" s="1">
        <v>5</v>
      </c>
      <c r="H1435" s="10">
        <v>0</v>
      </c>
      <c r="I1435" s="1">
        <v>8000</v>
      </c>
      <c r="J1435" s="1">
        <v>50</v>
      </c>
      <c r="K1435" s="1">
        <v>500</v>
      </c>
      <c r="L1435" s="1">
        <v>0</v>
      </c>
      <c r="M1435" s="1" t="s">
        <v>1827</v>
      </c>
      <c r="N1435" s="1" t="s">
        <v>1415</v>
      </c>
      <c r="O1435" s="1">
        <v>0</v>
      </c>
      <c r="P1435" s="1" t="s">
        <v>2046</v>
      </c>
      <c r="Q1435" s="7" t="str">
        <f t="shared" si="39"/>
        <v>equipment/7002.png</v>
      </c>
      <c r="R1435" s="1">
        <v>0</v>
      </c>
    </row>
    <row r="1436" spans="1:18" ht="14.25" thickBot="1">
      <c r="A1436" s="1" t="s">
        <v>1131</v>
      </c>
      <c r="B1436" s="3">
        <v>1</v>
      </c>
      <c r="C1436" s="1" t="s">
        <v>2510</v>
      </c>
      <c r="D1436" s="1" t="s">
        <v>8</v>
      </c>
      <c r="E1436" s="1">
        <v>1</v>
      </c>
      <c r="F1436" s="1">
        <v>4</v>
      </c>
      <c r="G1436" s="1">
        <v>10</v>
      </c>
      <c r="H1436" s="10">
        <v>0</v>
      </c>
      <c r="I1436" s="1">
        <v>10000</v>
      </c>
      <c r="J1436" s="1">
        <v>50</v>
      </c>
      <c r="K1436" s="1">
        <v>500</v>
      </c>
      <c r="L1436" s="1">
        <v>7500</v>
      </c>
      <c r="M1436" s="1" t="s">
        <v>1828</v>
      </c>
      <c r="N1436" s="1" t="s">
        <v>1417</v>
      </c>
      <c r="O1436" s="1">
        <v>0</v>
      </c>
      <c r="P1436" s="1" t="s">
        <v>2047</v>
      </c>
      <c r="Q1436" s="7" t="str">
        <f t="shared" si="39"/>
        <v>equipment/3002.png</v>
      </c>
      <c r="R1436" s="1">
        <v>0</v>
      </c>
    </row>
    <row r="1437" spans="1:18" ht="14.25" thickBot="1">
      <c r="A1437" s="1" t="s">
        <v>1132</v>
      </c>
      <c r="B1437" s="3">
        <v>1</v>
      </c>
      <c r="C1437" s="1" t="s">
        <v>2511</v>
      </c>
      <c r="D1437" s="1" t="s">
        <v>9</v>
      </c>
      <c r="E1437" s="1">
        <v>2</v>
      </c>
      <c r="F1437" s="1">
        <v>4</v>
      </c>
      <c r="G1437" s="1">
        <v>10</v>
      </c>
      <c r="H1437" s="10">
        <v>0</v>
      </c>
      <c r="I1437" s="1">
        <v>10000</v>
      </c>
      <c r="J1437" s="1">
        <v>50</v>
      </c>
      <c r="K1437" s="1">
        <v>500</v>
      </c>
      <c r="L1437" s="1">
        <v>7500</v>
      </c>
      <c r="M1437" s="1" t="s">
        <v>1829</v>
      </c>
      <c r="N1437" s="1" t="s">
        <v>1417</v>
      </c>
      <c r="O1437" s="1">
        <v>0</v>
      </c>
      <c r="P1437" s="1" t="s">
        <v>2047</v>
      </c>
      <c r="Q1437" s="7" t="str">
        <f t="shared" si="39"/>
        <v>equipment/14002.png</v>
      </c>
      <c r="R1437" s="1">
        <v>0</v>
      </c>
    </row>
    <row r="1438" spans="1:18" ht="14.25" thickBot="1">
      <c r="A1438" s="1" t="s">
        <v>1133</v>
      </c>
      <c r="B1438" s="3">
        <v>1</v>
      </c>
      <c r="C1438" s="1" t="s">
        <v>2512</v>
      </c>
      <c r="D1438" s="1" t="s">
        <v>10</v>
      </c>
      <c r="E1438" s="1">
        <v>3</v>
      </c>
      <c r="F1438" s="1">
        <v>4</v>
      </c>
      <c r="G1438" s="1">
        <v>10</v>
      </c>
      <c r="H1438" s="10">
        <v>0</v>
      </c>
      <c r="I1438" s="1">
        <v>10000</v>
      </c>
      <c r="J1438" s="1">
        <v>50</v>
      </c>
      <c r="K1438" s="1">
        <v>500</v>
      </c>
      <c r="L1438" s="1">
        <v>7500</v>
      </c>
      <c r="M1438" s="1" t="s">
        <v>1830</v>
      </c>
      <c r="N1438" s="1" t="s">
        <v>1417</v>
      </c>
      <c r="O1438" s="1">
        <v>0</v>
      </c>
      <c r="P1438" s="1" t="s">
        <v>2047</v>
      </c>
      <c r="Q1438" s="7" t="str">
        <f t="shared" si="39"/>
        <v>equipment/6002.png</v>
      </c>
      <c r="R1438" s="1">
        <v>0</v>
      </c>
    </row>
    <row r="1439" spans="1:18" ht="14.25" thickBot="1">
      <c r="A1439" s="1" t="s">
        <v>1134</v>
      </c>
      <c r="B1439" s="3">
        <v>1</v>
      </c>
      <c r="C1439" s="1" t="s">
        <v>2067</v>
      </c>
      <c r="D1439" s="1" t="s">
        <v>15</v>
      </c>
      <c r="E1439" s="1">
        <v>8</v>
      </c>
      <c r="F1439" s="1">
        <v>4</v>
      </c>
      <c r="G1439" s="1">
        <v>10</v>
      </c>
      <c r="H1439" s="10">
        <v>0</v>
      </c>
      <c r="I1439" s="1">
        <v>10000</v>
      </c>
      <c r="J1439" s="1">
        <v>50</v>
      </c>
      <c r="K1439" s="1">
        <v>500</v>
      </c>
      <c r="L1439" s="1">
        <v>7500</v>
      </c>
      <c r="M1439" s="1" t="s">
        <v>1831</v>
      </c>
      <c r="N1439" s="1" t="s">
        <v>1417</v>
      </c>
      <c r="O1439" s="1">
        <v>0</v>
      </c>
      <c r="P1439" s="1" t="s">
        <v>2047</v>
      </c>
      <c r="Q1439" s="7" t="str">
        <f t="shared" si="39"/>
        <v>equipment/8002.png</v>
      </c>
      <c r="R1439" s="1">
        <v>0</v>
      </c>
    </row>
    <row r="1440" spans="1:18" ht="14.25" thickBot="1">
      <c r="A1440" s="1" t="s">
        <v>1135</v>
      </c>
      <c r="B1440" s="3">
        <v>1</v>
      </c>
      <c r="C1440" s="1" t="s">
        <v>2071</v>
      </c>
      <c r="D1440" s="1" t="s">
        <v>16</v>
      </c>
      <c r="E1440" s="1">
        <v>9</v>
      </c>
      <c r="F1440" s="1">
        <v>4</v>
      </c>
      <c r="G1440" s="1">
        <v>10</v>
      </c>
      <c r="H1440" s="10">
        <v>0</v>
      </c>
      <c r="I1440" s="1">
        <v>10000</v>
      </c>
      <c r="J1440" s="1">
        <v>50</v>
      </c>
      <c r="K1440" s="1">
        <v>500</v>
      </c>
      <c r="L1440" s="1">
        <v>7500</v>
      </c>
      <c r="M1440" s="1" t="s">
        <v>1832</v>
      </c>
      <c r="N1440" s="1" t="s">
        <v>1417</v>
      </c>
      <c r="O1440" s="1">
        <v>0</v>
      </c>
      <c r="P1440" s="1" t="s">
        <v>2047</v>
      </c>
      <c r="Q1440" s="7" t="str">
        <f t="shared" si="39"/>
        <v>equipment/10002.png</v>
      </c>
      <c r="R1440" s="1">
        <v>0</v>
      </c>
    </row>
    <row r="1441" spans="1:18" ht="14.25" thickBot="1">
      <c r="A1441" s="1" t="s">
        <v>1136</v>
      </c>
      <c r="B1441" s="2">
        <v>0</v>
      </c>
      <c r="C1441" s="1" t="s">
        <v>2489</v>
      </c>
      <c r="D1441" s="1" t="s">
        <v>17</v>
      </c>
      <c r="E1441" s="1">
        <v>10</v>
      </c>
      <c r="F1441" s="1">
        <v>4</v>
      </c>
      <c r="G1441" s="1">
        <v>10</v>
      </c>
      <c r="H1441" s="10">
        <v>0</v>
      </c>
      <c r="I1441" s="1">
        <v>10000</v>
      </c>
      <c r="J1441" s="1">
        <v>50</v>
      </c>
      <c r="K1441" s="1">
        <v>500</v>
      </c>
      <c r="L1441" s="1">
        <v>7500</v>
      </c>
      <c r="M1441" s="1" t="s">
        <v>1817</v>
      </c>
      <c r="N1441" s="1" t="s">
        <v>1417</v>
      </c>
      <c r="O1441" s="1">
        <v>0</v>
      </c>
      <c r="P1441" s="1" t="s">
        <v>2047</v>
      </c>
      <c r="Q1441" s="7" t="str">
        <f t="shared" si="39"/>
        <v>equipment/12001.png</v>
      </c>
      <c r="R1441" s="1">
        <v>0</v>
      </c>
    </row>
    <row r="1442" spans="1:18" ht="14.25" thickBot="1">
      <c r="A1442" s="1" t="s">
        <v>1137</v>
      </c>
      <c r="B1442" s="3">
        <v>1</v>
      </c>
      <c r="C1442" s="9" t="s">
        <v>2513</v>
      </c>
      <c r="D1442" s="1" t="s">
        <v>12</v>
      </c>
      <c r="E1442" s="1">
        <v>5</v>
      </c>
      <c r="F1442" s="1">
        <v>4</v>
      </c>
      <c r="G1442" s="1">
        <v>10</v>
      </c>
      <c r="H1442" s="10" t="s">
        <v>2120</v>
      </c>
      <c r="I1442" s="1">
        <v>10000</v>
      </c>
      <c r="J1442" s="1">
        <v>50</v>
      </c>
      <c r="K1442" s="1">
        <v>500</v>
      </c>
      <c r="L1442" s="1">
        <v>7500</v>
      </c>
      <c r="M1442" s="1" t="s">
        <v>1833</v>
      </c>
      <c r="N1442" s="1" t="s">
        <v>1418</v>
      </c>
      <c r="O1442" s="1">
        <v>0</v>
      </c>
      <c r="P1442" s="1" t="s">
        <v>2047</v>
      </c>
      <c r="Q1442" s="7" t="str">
        <f t="shared" si="39"/>
        <v>equipment/1105.png</v>
      </c>
      <c r="R1442" s="1">
        <v>0</v>
      </c>
    </row>
    <row r="1443" spans="1:18" ht="14.25" thickBot="1">
      <c r="A1443" s="1" t="s">
        <v>1138</v>
      </c>
      <c r="B1443" s="3">
        <v>1</v>
      </c>
      <c r="C1443" s="9" t="s">
        <v>2514</v>
      </c>
      <c r="D1443" s="1" t="s">
        <v>12</v>
      </c>
      <c r="E1443" s="1">
        <v>5</v>
      </c>
      <c r="F1443" s="1">
        <v>4</v>
      </c>
      <c r="G1443" s="1">
        <v>10</v>
      </c>
      <c r="H1443" s="10" t="s">
        <v>2120</v>
      </c>
      <c r="I1443" s="1">
        <v>13000</v>
      </c>
      <c r="J1443" s="1">
        <v>50</v>
      </c>
      <c r="K1443" s="1">
        <v>500</v>
      </c>
      <c r="L1443" s="1">
        <v>10000</v>
      </c>
      <c r="M1443" s="1" t="s">
        <v>1834</v>
      </c>
      <c r="N1443" s="1" t="s">
        <v>1418</v>
      </c>
      <c r="O1443" s="1">
        <v>0</v>
      </c>
      <c r="P1443" s="1" t="s">
        <v>2047</v>
      </c>
      <c r="Q1443" s="7" t="str">
        <f t="shared" si="39"/>
        <v>equipment/1106.png</v>
      </c>
      <c r="R1443" s="1">
        <v>0</v>
      </c>
    </row>
    <row r="1444" spans="1:18" ht="14.25" thickBot="1">
      <c r="A1444" s="1" t="s">
        <v>1139</v>
      </c>
      <c r="B1444" s="3">
        <v>1</v>
      </c>
      <c r="C1444" s="9" t="s">
        <v>2515</v>
      </c>
      <c r="D1444" s="1" t="s">
        <v>13</v>
      </c>
      <c r="E1444" s="1">
        <v>6</v>
      </c>
      <c r="F1444" s="1">
        <v>4</v>
      </c>
      <c r="G1444" s="1">
        <v>10</v>
      </c>
      <c r="H1444" s="10" t="s">
        <v>2120</v>
      </c>
      <c r="I1444" s="1">
        <v>10000</v>
      </c>
      <c r="J1444" s="1">
        <v>50</v>
      </c>
      <c r="K1444" s="1">
        <v>500</v>
      </c>
      <c r="L1444" s="1">
        <v>7500</v>
      </c>
      <c r="M1444" s="1" t="s">
        <v>1835</v>
      </c>
      <c r="N1444" s="1" t="s">
        <v>1418</v>
      </c>
      <c r="O1444" s="1">
        <v>0</v>
      </c>
      <c r="P1444" s="1" t="s">
        <v>2047</v>
      </c>
      <c r="Q1444" s="7" t="str">
        <f t="shared" si="39"/>
        <v>equipment/2103.png</v>
      </c>
      <c r="R1444" s="1">
        <v>0</v>
      </c>
    </row>
    <row r="1445" spans="1:18" ht="14.25" thickBot="1">
      <c r="A1445" s="1" t="s">
        <v>1140</v>
      </c>
      <c r="B1445" s="2">
        <v>0</v>
      </c>
      <c r="C1445" s="9" t="s">
        <v>2061</v>
      </c>
      <c r="D1445" s="1" t="s">
        <v>13</v>
      </c>
      <c r="E1445" s="1">
        <v>6</v>
      </c>
      <c r="F1445" s="1">
        <v>4</v>
      </c>
      <c r="G1445" s="1">
        <v>10</v>
      </c>
      <c r="H1445" s="10" t="s">
        <v>2120</v>
      </c>
      <c r="I1445" s="1">
        <v>13000</v>
      </c>
      <c r="J1445" s="1">
        <v>50</v>
      </c>
      <c r="K1445" s="1">
        <v>500</v>
      </c>
      <c r="L1445" s="1">
        <v>10000</v>
      </c>
      <c r="M1445" s="1" t="s">
        <v>1836</v>
      </c>
      <c r="N1445" s="1" t="s">
        <v>1418</v>
      </c>
      <c r="O1445" s="1">
        <v>0</v>
      </c>
      <c r="P1445" s="1" t="s">
        <v>2047</v>
      </c>
      <c r="Q1445" s="7" t="str">
        <f t="shared" si="39"/>
        <v>equipment/2101.png</v>
      </c>
      <c r="R1445" s="1">
        <v>0</v>
      </c>
    </row>
    <row r="1446" spans="1:18" ht="14.25" thickBot="1">
      <c r="A1446" s="1" t="s">
        <v>1141</v>
      </c>
      <c r="B1446" s="3">
        <v>1</v>
      </c>
      <c r="C1446" s="1" t="s">
        <v>2096</v>
      </c>
      <c r="D1446" s="1" t="s">
        <v>12</v>
      </c>
      <c r="E1446" s="1">
        <v>5</v>
      </c>
      <c r="F1446" s="1">
        <v>4</v>
      </c>
      <c r="G1446" s="1">
        <v>10</v>
      </c>
      <c r="H1446" s="10" t="s">
        <v>2121</v>
      </c>
      <c r="I1446" s="1">
        <v>10000</v>
      </c>
      <c r="J1446" s="1">
        <v>50</v>
      </c>
      <c r="K1446" s="1">
        <v>500</v>
      </c>
      <c r="L1446" s="1">
        <v>7500</v>
      </c>
      <c r="M1446" s="1" t="s">
        <v>1833</v>
      </c>
      <c r="N1446" s="1" t="s">
        <v>1418</v>
      </c>
      <c r="O1446" s="1">
        <v>0</v>
      </c>
      <c r="P1446" s="1" t="s">
        <v>2047</v>
      </c>
      <c r="Q1446" s="7" t="str">
        <f t="shared" si="39"/>
        <v>equipment/1205.png</v>
      </c>
      <c r="R1446" s="1">
        <v>0</v>
      </c>
    </row>
    <row r="1447" spans="1:18" ht="14.25" thickBot="1">
      <c r="A1447" s="1" t="s">
        <v>1142</v>
      </c>
      <c r="B1447" s="3">
        <v>1</v>
      </c>
      <c r="C1447" s="1" t="s">
        <v>2097</v>
      </c>
      <c r="D1447" s="1" t="s">
        <v>12</v>
      </c>
      <c r="E1447" s="1">
        <v>5</v>
      </c>
      <c r="F1447" s="1">
        <v>4</v>
      </c>
      <c r="G1447" s="1">
        <v>10</v>
      </c>
      <c r="H1447" s="10" t="s">
        <v>2121</v>
      </c>
      <c r="I1447" s="1">
        <v>13000</v>
      </c>
      <c r="J1447" s="1">
        <v>50</v>
      </c>
      <c r="K1447" s="1">
        <v>500</v>
      </c>
      <c r="L1447" s="1">
        <v>10000</v>
      </c>
      <c r="M1447" s="1" t="s">
        <v>1834</v>
      </c>
      <c r="N1447" s="1" t="s">
        <v>1418</v>
      </c>
      <c r="O1447" s="1">
        <v>0</v>
      </c>
      <c r="P1447" s="1" t="s">
        <v>2047</v>
      </c>
      <c r="Q1447" s="7" t="str">
        <f t="shared" si="39"/>
        <v>equipment/1206.png</v>
      </c>
      <c r="R1447" s="1">
        <v>0</v>
      </c>
    </row>
    <row r="1448" spans="1:18" ht="14.25" thickBot="1">
      <c r="A1448" s="1" t="s">
        <v>1143</v>
      </c>
      <c r="B1448" s="3">
        <v>1</v>
      </c>
      <c r="C1448" s="9" t="s">
        <v>2098</v>
      </c>
      <c r="D1448" s="1" t="s">
        <v>13</v>
      </c>
      <c r="E1448" s="1">
        <v>6</v>
      </c>
      <c r="F1448" s="1">
        <v>4</v>
      </c>
      <c r="G1448" s="1">
        <v>10</v>
      </c>
      <c r="H1448" s="10" t="s">
        <v>2121</v>
      </c>
      <c r="I1448" s="1">
        <v>10000</v>
      </c>
      <c r="J1448" s="1">
        <v>50</v>
      </c>
      <c r="K1448" s="1">
        <v>500</v>
      </c>
      <c r="L1448" s="1">
        <v>7500</v>
      </c>
      <c r="M1448" s="1" t="s">
        <v>1837</v>
      </c>
      <c r="N1448" s="1" t="s">
        <v>1418</v>
      </c>
      <c r="O1448" s="1">
        <v>0</v>
      </c>
      <c r="P1448" s="1" t="s">
        <v>2047</v>
      </c>
      <c r="Q1448" s="7" t="str">
        <f t="shared" si="39"/>
        <v>equipment/2203.png</v>
      </c>
      <c r="R1448" s="1">
        <v>0</v>
      </c>
    </row>
    <row r="1449" spans="1:18" ht="14.25" thickBot="1">
      <c r="A1449" s="1" t="s">
        <v>1144</v>
      </c>
      <c r="B1449" s="2">
        <v>0</v>
      </c>
      <c r="C1449" s="9" t="s">
        <v>2094</v>
      </c>
      <c r="D1449" s="1" t="s">
        <v>13</v>
      </c>
      <c r="E1449" s="1">
        <v>6</v>
      </c>
      <c r="F1449" s="1">
        <v>4</v>
      </c>
      <c r="G1449" s="1">
        <v>10</v>
      </c>
      <c r="H1449" s="10" t="s">
        <v>2121</v>
      </c>
      <c r="I1449" s="1">
        <v>13000</v>
      </c>
      <c r="J1449" s="1">
        <v>50</v>
      </c>
      <c r="K1449" s="1">
        <v>500</v>
      </c>
      <c r="L1449" s="1">
        <v>10000</v>
      </c>
      <c r="M1449" s="1" t="s">
        <v>1838</v>
      </c>
      <c r="N1449" s="1" t="s">
        <v>1418</v>
      </c>
      <c r="O1449" s="1">
        <v>0</v>
      </c>
      <c r="P1449" s="1" t="s">
        <v>2047</v>
      </c>
      <c r="Q1449" s="7" t="str">
        <f t="shared" si="39"/>
        <v>equipment/2201.png</v>
      </c>
      <c r="R1449" s="1">
        <v>0</v>
      </c>
    </row>
    <row r="1450" spans="1:18" ht="14.25" thickBot="1">
      <c r="A1450" s="1" t="s">
        <v>1145</v>
      </c>
      <c r="B1450" s="3">
        <v>1</v>
      </c>
      <c r="C1450" s="9" t="s">
        <v>2516</v>
      </c>
      <c r="D1450" s="1" t="s">
        <v>12</v>
      </c>
      <c r="E1450" s="1">
        <v>5</v>
      </c>
      <c r="F1450" s="1">
        <v>4</v>
      </c>
      <c r="G1450" s="1">
        <v>10</v>
      </c>
      <c r="H1450" s="10" t="s">
        <v>2122</v>
      </c>
      <c r="I1450" s="1">
        <v>10000</v>
      </c>
      <c r="J1450" s="1">
        <v>50</v>
      </c>
      <c r="K1450" s="1">
        <v>500</v>
      </c>
      <c r="L1450" s="1">
        <v>7500</v>
      </c>
      <c r="M1450" s="1" t="s">
        <v>1833</v>
      </c>
      <c r="N1450" s="1" t="s">
        <v>1418</v>
      </c>
      <c r="O1450" s="1">
        <v>0</v>
      </c>
      <c r="P1450" s="1" t="s">
        <v>2047</v>
      </c>
      <c r="Q1450" s="7" t="str">
        <f t="shared" si="39"/>
        <v>equipment/1305.png</v>
      </c>
      <c r="R1450" s="1">
        <v>0</v>
      </c>
    </row>
    <row r="1451" spans="1:18" ht="14.25" thickBot="1">
      <c r="A1451" s="1" t="s">
        <v>1146</v>
      </c>
      <c r="B1451" s="3">
        <v>1</v>
      </c>
      <c r="C1451" s="9" t="s">
        <v>2099</v>
      </c>
      <c r="D1451" s="1" t="s">
        <v>12</v>
      </c>
      <c r="E1451" s="1">
        <v>5</v>
      </c>
      <c r="F1451" s="1">
        <v>4</v>
      </c>
      <c r="G1451" s="1">
        <v>10</v>
      </c>
      <c r="H1451" s="10" t="s">
        <v>2122</v>
      </c>
      <c r="I1451" s="1">
        <v>13000</v>
      </c>
      <c r="J1451" s="1">
        <v>50</v>
      </c>
      <c r="K1451" s="1">
        <v>500</v>
      </c>
      <c r="L1451" s="1">
        <v>10000</v>
      </c>
      <c r="M1451" s="1" t="s">
        <v>1834</v>
      </c>
      <c r="N1451" s="1" t="s">
        <v>1418</v>
      </c>
      <c r="O1451" s="1">
        <v>0</v>
      </c>
      <c r="P1451" s="1" t="s">
        <v>2047</v>
      </c>
      <c r="Q1451" s="7" t="str">
        <f t="shared" si="39"/>
        <v>equipment/1306.png</v>
      </c>
      <c r="R1451" s="1">
        <v>0</v>
      </c>
    </row>
    <row r="1452" spans="1:18" ht="14.25" thickBot="1">
      <c r="A1452" s="1" t="s">
        <v>1147</v>
      </c>
      <c r="B1452" s="3">
        <v>1</v>
      </c>
      <c r="C1452" s="9" t="s">
        <v>2517</v>
      </c>
      <c r="D1452" s="1" t="s">
        <v>13</v>
      </c>
      <c r="E1452" s="1">
        <v>6</v>
      </c>
      <c r="F1452" s="1">
        <v>4</v>
      </c>
      <c r="G1452" s="1">
        <v>10</v>
      </c>
      <c r="H1452" s="10" t="s">
        <v>2122</v>
      </c>
      <c r="I1452" s="1">
        <v>10000</v>
      </c>
      <c r="J1452" s="1">
        <v>50</v>
      </c>
      <c r="K1452" s="1">
        <v>500</v>
      </c>
      <c r="L1452" s="1">
        <v>7500</v>
      </c>
      <c r="M1452" s="1" t="s">
        <v>1839</v>
      </c>
      <c r="N1452" s="1" t="s">
        <v>1418</v>
      </c>
      <c r="O1452" s="1">
        <v>0</v>
      </c>
      <c r="P1452" s="1" t="s">
        <v>2047</v>
      </c>
      <c r="Q1452" s="7" t="str">
        <f t="shared" si="39"/>
        <v>equipment/2303.png</v>
      </c>
      <c r="R1452" s="1">
        <v>0</v>
      </c>
    </row>
    <row r="1453" spans="1:18" ht="14.25" thickBot="1">
      <c r="A1453" s="1" t="s">
        <v>1148</v>
      </c>
      <c r="B1453" s="2">
        <v>0</v>
      </c>
      <c r="C1453" s="9" t="s">
        <v>2095</v>
      </c>
      <c r="D1453" s="1" t="s">
        <v>13</v>
      </c>
      <c r="E1453" s="1">
        <v>6</v>
      </c>
      <c r="F1453" s="1">
        <v>4</v>
      </c>
      <c r="G1453" s="1">
        <v>10</v>
      </c>
      <c r="H1453" s="10" t="s">
        <v>2122</v>
      </c>
      <c r="I1453" s="1">
        <v>13000</v>
      </c>
      <c r="J1453" s="1">
        <v>50</v>
      </c>
      <c r="K1453" s="1">
        <v>500</v>
      </c>
      <c r="L1453" s="1">
        <v>10000</v>
      </c>
      <c r="M1453" s="1" t="s">
        <v>1840</v>
      </c>
      <c r="N1453" s="1" t="s">
        <v>1418</v>
      </c>
      <c r="O1453" s="1">
        <v>0</v>
      </c>
      <c r="P1453" s="1" t="s">
        <v>2047</v>
      </c>
      <c r="Q1453" s="7" t="str">
        <f t="shared" si="39"/>
        <v>equipment/2301.png</v>
      </c>
      <c r="R1453" s="1">
        <v>0</v>
      </c>
    </row>
    <row r="1454" spans="1:18" ht="14.25" thickBot="1">
      <c r="A1454" s="1" t="s">
        <v>1149</v>
      </c>
      <c r="B1454" s="3">
        <v>1</v>
      </c>
      <c r="C1454" s="1" t="s">
        <v>2079</v>
      </c>
      <c r="D1454" s="1" t="s">
        <v>11</v>
      </c>
      <c r="E1454" s="1">
        <v>4</v>
      </c>
      <c r="F1454" s="1">
        <v>4</v>
      </c>
      <c r="G1454" s="1">
        <v>10</v>
      </c>
      <c r="H1454" s="10">
        <v>0</v>
      </c>
      <c r="I1454" s="1">
        <v>10000</v>
      </c>
      <c r="J1454" s="1">
        <v>50</v>
      </c>
      <c r="K1454" s="1">
        <v>500</v>
      </c>
      <c r="L1454" s="1">
        <v>7500</v>
      </c>
      <c r="M1454" s="1" t="s">
        <v>1841</v>
      </c>
      <c r="N1454" s="1" t="s">
        <v>1417</v>
      </c>
      <c r="O1454" s="1">
        <v>0</v>
      </c>
      <c r="P1454" s="1" t="s">
        <v>2047</v>
      </c>
      <c r="Q1454" s="7" t="str">
        <f t="shared" si="39"/>
        <v>equipment/5003.png</v>
      </c>
      <c r="R1454" s="1">
        <v>0</v>
      </c>
    </row>
    <row r="1455" spans="1:18" ht="14.25" thickBot="1">
      <c r="A1455" s="1" t="s">
        <v>1150</v>
      </c>
      <c r="B1455" s="2">
        <v>0</v>
      </c>
      <c r="C1455" s="1" t="s">
        <v>2499</v>
      </c>
      <c r="D1455" s="1" t="s">
        <v>11</v>
      </c>
      <c r="E1455" s="1">
        <v>4</v>
      </c>
      <c r="F1455" s="1">
        <v>4</v>
      </c>
      <c r="G1455" s="1">
        <v>10</v>
      </c>
      <c r="H1455" s="10">
        <v>0</v>
      </c>
      <c r="I1455" s="1">
        <v>13000</v>
      </c>
      <c r="J1455" s="1">
        <v>50</v>
      </c>
      <c r="K1455" s="1">
        <v>500</v>
      </c>
      <c r="L1455" s="1">
        <v>10000</v>
      </c>
      <c r="M1455" s="1" t="s">
        <v>1842</v>
      </c>
      <c r="N1455" s="1" t="s">
        <v>1417</v>
      </c>
      <c r="O1455" s="1">
        <v>0</v>
      </c>
      <c r="P1455" s="1" t="s">
        <v>2047</v>
      </c>
      <c r="Q1455" s="7" t="str">
        <f t="shared" si="39"/>
        <v>equipment/5001.png</v>
      </c>
      <c r="R1455" s="1">
        <v>0</v>
      </c>
    </row>
    <row r="1456" spans="1:18" ht="14.25" thickBot="1">
      <c r="A1456" s="1" t="s">
        <v>1151</v>
      </c>
      <c r="B1456" s="3">
        <v>1</v>
      </c>
      <c r="C1456" s="1" t="s">
        <v>2087</v>
      </c>
      <c r="D1456" s="1" t="s">
        <v>14</v>
      </c>
      <c r="E1456" s="1">
        <v>7</v>
      </c>
      <c r="F1456" s="1">
        <v>4</v>
      </c>
      <c r="G1456" s="1">
        <v>10</v>
      </c>
      <c r="H1456" s="10">
        <v>0</v>
      </c>
      <c r="I1456" s="1">
        <v>10000</v>
      </c>
      <c r="J1456" s="1">
        <v>50</v>
      </c>
      <c r="K1456" s="1">
        <v>500</v>
      </c>
      <c r="L1456" s="1">
        <v>7500</v>
      </c>
      <c r="M1456" s="1" t="s">
        <v>1841</v>
      </c>
      <c r="N1456" s="1" t="s">
        <v>1417</v>
      </c>
      <c r="O1456" s="1">
        <v>0</v>
      </c>
      <c r="P1456" s="1" t="s">
        <v>2047</v>
      </c>
      <c r="Q1456" s="7" t="str">
        <f t="shared" si="39"/>
        <v>equipment/7003.png</v>
      </c>
      <c r="R1456" s="1">
        <v>0</v>
      </c>
    </row>
    <row r="1457" spans="1:18" ht="14.25" thickBot="1">
      <c r="A1457" s="1" t="s">
        <v>1152</v>
      </c>
      <c r="B1457" s="2">
        <v>0</v>
      </c>
      <c r="C1457" s="1" t="s">
        <v>2501</v>
      </c>
      <c r="D1457" s="1" t="s">
        <v>14</v>
      </c>
      <c r="E1457" s="1">
        <v>7</v>
      </c>
      <c r="F1457" s="1">
        <v>4</v>
      </c>
      <c r="G1457" s="1">
        <v>10</v>
      </c>
      <c r="H1457" s="10">
        <v>0</v>
      </c>
      <c r="I1457" s="1">
        <v>13000</v>
      </c>
      <c r="J1457" s="1">
        <v>50</v>
      </c>
      <c r="K1457" s="1">
        <v>500</v>
      </c>
      <c r="L1457" s="1">
        <v>10000</v>
      </c>
      <c r="M1457" s="1" t="s">
        <v>1842</v>
      </c>
      <c r="N1457" s="1" t="s">
        <v>1417</v>
      </c>
      <c r="O1457" s="1">
        <v>0</v>
      </c>
      <c r="P1457" s="1" t="s">
        <v>2047</v>
      </c>
      <c r="Q1457" s="7" t="str">
        <f t="shared" si="39"/>
        <v>equipment/7001.png</v>
      </c>
      <c r="R1457" s="1">
        <v>0</v>
      </c>
    </row>
    <row r="1458" spans="1:18" ht="14.25" thickBot="1">
      <c r="A1458" s="1" t="s">
        <v>1153</v>
      </c>
      <c r="B1458" s="2">
        <v>0</v>
      </c>
      <c r="C1458" s="1" t="s">
        <v>2484</v>
      </c>
      <c r="D1458" s="1" t="s">
        <v>8</v>
      </c>
      <c r="E1458" s="1">
        <v>1</v>
      </c>
      <c r="F1458" s="1">
        <v>4</v>
      </c>
      <c r="G1458" s="1">
        <v>15</v>
      </c>
      <c r="H1458" s="10">
        <v>0</v>
      </c>
      <c r="I1458" s="1">
        <v>15000</v>
      </c>
      <c r="J1458" s="1">
        <v>50</v>
      </c>
      <c r="K1458" s="1">
        <v>500</v>
      </c>
      <c r="L1458" s="1">
        <v>10000</v>
      </c>
      <c r="M1458" s="1" t="s">
        <v>1828</v>
      </c>
      <c r="N1458" s="1" t="s">
        <v>1419</v>
      </c>
      <c r="O1458" s="1">
        <v>0</v>
      </c>
      <c r="P1458" s="1" t="s">
        <v>2048</v>
      </c>
      <c r="Q1458" s="7" t="str">
        <f t="shared" si="39"/>
        <v>equipment/3001.png</v>
      </c>
      <c r="R1458" s="1">
        <v>0</v>
      </c>
    </row>
    <row r="1459" spans="1:18" ht="14.25" thickBot="1">
      <c r="A1459" s="1" t="s">
        <v>1154</v>
      </c>
      <c r="B1459" s="2">
        <v>0</v>
      </c>
      <c r="C1459" s="1" t="s">
        <v>2485</v>
      </c>
      <c r="D1459" s="1" t="s">
        <v>9</v>
      </c>
      <c r="E1459" s="1">
        <v>2</v>
      </c>
      <c r="F1459" s="1">
        <v>4</v>
      </c>
      <c r="G1459" s="1">
        <v>15</v>
      </c>
      <c r="H1459" s="10">
        <v>0</v>
      </c>
      <c r="I1459" s="1">
        <v>15000</v>
      </c>
      <c r="J1459" s="1">
        <v>50</v>
      </c>
      <c r="K1459" s="1">
        <v>500</v>
      </c>
      <c r="L1459" s="1">
        <v>10000</v>
      </c>
      <c r="M1459" s="1" t="s">
        <v>1843</v>
      </c>
      <c r="N1459" s="1" t="s">
        <v>1419</v>
      </c>
      <c r="O1459" s="1">
        <v>0</v>
      </c>
      <c r="P1459" s="1" t="s">
        <v>2048</v>
      </c>
      <c r="Q1459" s="7" t="str">
        <f t="shared" si="39"/>
        <v>equipment/14001.png</v>
      </c>
      <c r="R1459" s="1">
        <v>0</v>
      </c>
    </row>
    <row r="1460" spans="1:18" ht="14.25" thickBot="1">
      <c r="A1460" s="1" t="s">
        <v>1155</v>
      </c>
      <c r="B1460" s="3">
        <v>1</v>
      </c>
      <c r="C1460" s="1" t="s">
        <v>2518</v>
      </c>
      <c r="D1460" s="1" t="s">
        <v>10</v>
      </c>
      <c r="E1460" s="1">
        <v>3</v>
      </c>
      <c r="F1460" s="1">
        <v>4</v>
      </c>
      <c r="G1460" s="1">
        <v>15</v>
      </c>
      <c r="H1460" s="10">
        <v>0</v>
      </c>
      <c r="I1460" s="1">
        <v>15000</v>
      </c>
      <c r="J1460" s="1">
        <v>50</v>
      </c>
      <c r="K1460" s="1">
        <v>500</v>
      </c>
      <c r="L1460" s="1">
        <v>10000</v>
      </c>
      <c r="M1460" s="1" t="s">
        <v>1844</v>
      </c>
      <c r="N1460" s="1" t="s">
        <v>1419</v>
      </c>
      <c r="O1460" s="1">
        <v>0</v>
      </c>
      <c r="P1460" s="1" t="s">
        <v>2048</v>
      </c>
      <c r="Q1460" s="7" t="str">
        <f t="shared" si="39"/>
        <v>equipment/6003.png</v>
      </c>
      <c r="R1460" s="1">
        <v>0</v>
      </c>
    </row>
    <row r="1461" spans="1:18" ht="14.25" thickBot="1">
      <c r="A1461" s="1" t="s">
        <v>1156</v>
      </c>
      <c r="B1461" s="3">
        <v>1</v>
      </c>
      <c r="C1461" s="1" t="s">
        <v>2068</v>
      </c>
      <c r="D1461" s="1" t="s">
        <v>15</v>
      </c>
      <c r="E1461" s="1">
        <v>8</v>
      </c>
      <c r="F1461" s="1">
        <v>4</v>
      </c>
      <c r="G1461" s="1">
        <v>15</v>
      </c>
      <c r="H1461" s="10">
        <v>0</v>
      </c>
      <c r="I1461" s="1">
        <v>15000</v>
      </c>
      <c r="J1461" s="1">
        <v>50</v>
      </c>
      <c r="K1461" s="1">
        <v>500</v>
      </c>
      <c r="L1461" s="1">
        <v>10000</v>
      </c>
      <c r="M1461" s="1" t="s">
        <v>1845</v>
      </c>
      <c r="N1461" s="1" t="s">
        <v>1419</v>
      </c>
      <c r="O1461" s="1">
        <v>0</v>
      </c>
      <c r="P1461" s="1" t="s">
        <v>2048</v>
      </c>
      <c r="Q1461" s="7" t="str">
        <f t="shared" si="39"/>
        <v>equipment/8003.png</v>
      </c>
      <c r="R1461" s="1">
        <v>0</v>
      </c>
    </row>
    <row r="1462" spans="1:18" ht="14.25" thickBot="1">
      <c r="A1462" s="1" t="s">
        <v>1157</v>
      </c>
      <c r="B1462" s="3">
        <v>1</v>
      </c>
      <c r="C1462" s="1" t="s">
        <v>2072</v>
      </c>
      <c r="D1462" s="1" t="s">
        <v>16</v>
      </c>
      <c r="E1462" s="1">
        <v>9</v>
      </c>
      <c r="F1462" s="1">
        <v>4</v>
      </c>
      <c r="G1462" s="1">
        <v>15</v>
      </c>
      <c r="H1462" s="10">
        <v>0</v>
      </c>
      <c r="I1462" s="1">
        <v>15000</v>
      </c>
      <c r="J1462" s="1">
        <v>50</v>
      </c>
      <c r="K1462" s="1">
        <v>500</v>
      </c>
      <c r="L1462" s="1">
        <v>10000</v>
      </c>
      <c r="M1462" s="1" t="s">
        <v>1846</v>
      </c>
      <c r="N1462" s="1" t="s">
        <v>1419</v>
      </c>
      <c r="O1462" s="1">
        <v>0</v>
      </c>
      <c r="P1462" s="1" t="s">
        <v>2048</v>
      </c>
      <c r="Q1462" s="7" t="str">
        <f t="shared" si="39"/>
        <v>equipment/10003.png</v>
      </c>
      <c r="R1462" s="1">
        <v>0</v>
      </c>
    </row>
    <row r="1463" spans="1:18" ht="14.25" thickBot="1">
      <c r="A1463" s="1" t="s">
        <v>1158</v>
      </c>
      <c r="B1463" s="3">
        <v>1</v>
      </c>
      <c r="C1463" s="1" t="s">
        <v>2076</v>
      </c>
      <c r="D1463" s="1" t="s">
        <v>17</v>
      </c>
      <c r="E1463" s="1">
        <v>10</v>
      </c>
      <c r="F1463" s="1">
        <v>4</v>
      </c>
      <c r="G1463" s="1">
        <v>15</v>
      </c>
      <c r="H1463" s="10">
        <v>0</v>
      </c>
      <c r="I1463" s="1">
        <v>15000</v>
      </c>
      <c r="J1463" s="1">
        <v>50</v>
      </c>
      <c r="K1463" s="1">
        <v>500</v>
      </c>
      <c r="L1463" s="1">
        <v>10000</v>
      </c>
      <c r="M1463" s="1" t="s">
        <v>1847</v>
      </c>
      <c r="N1463" s="1" t="s">
        <v>1419</v>
      </c>
      <c r="O1463" s="1">
        <v>0</v>
      </c>
      <c r="P1463" s="1" t="s">
        <v>2048</v>
      </c>
      <c r="Q1463" s="7" t="str">
        <f t="shared" si="39"/>
        <v>equipment/12002.png</v>
      </c>
      <c r="R1463" s="1">
        <v>0</v>
      </c>
    </row>
    <row r="1464" spans="1:18" ht="14.25" thickBot="1">
      <c r="A1464" s="1" t="s">
        <v>1159</v>
      </c>
      <c r="B1464" s="3">
        <v>1</v>
      </c>
      <c r="C1464" s="9" t="s">
        <v>2519</v>
      </c>
      <c r="D1464" s="1" t="s">
        <v>12</v>
      </c>
      <c r="E1464" s="1">
        <v>5</v>
      </c>
      <c r="F1464" s="1">
        <v>4</v>
      </c>
      <c r="G1464" s="1">
        <v>15</v>
      </c>
      <c r="H1464" s="10" t="s">
        <v>2120</v>
      </c>
      <c r="I1464" s="1">
        <v>15000</v>
      </c>
      <c r="J1464" s="1">
        <v>50</v>
      </c>
      <c r="K1464" s="1">
        <v>500</v>
      </c>
      <c r="L1464" s="1">
        <v>10000</v>
      </c>
      <c r="M1464" s="1" t="s">
        <v>1848</v>
      </c>
      <c r="N1464" s="1" t="s">
        <v>1420</v>
      </c>
      <c r="O1464" s="1">
        <v>0</v>
      </c>
      <c r="P1464" s="1" t="s">
        <v>2048</v>
      </c>
      <c r="Q1464" s="7" t="str">
        <f t="shared" si="39"/>
        <v>equipment/1108.png</v>
      </c>
      <c r="R1464" s="1">
        <v>0</v>
      </c>
    </row>
    <row r="1465" spans="1:18" ht="14.25" thickBot="1">
      <c r="A1465" s="1">
        <v>40151051</v>
      </c>
      <c r="B1465" s="3">
        <v>1</v>
      </c>
      <c r="C1465" s="9" t="s">
        <v>2520</v>
      </c>
      <c r="D1465" s="1" t="s">
        <v>12</v>
      </c>
      <c r="E1465" s="1">
        <v>5</v>
      </c>
      <c r="F1465" s="1">
        <v>4</v>
      </c>
      <c r="G1465" s="1">
        <v>15</v>
      </c>
      <c r="H1465" s="10" t="s">
        <v>2120</v>
      </c>
      <c r="I1465" s="1">
        <v>18000</v>
      </c>
      <c r="J1465" s="1">
        <v>50</v>
      </c>
      <c r="K1465" s="1">
        <v>500</v>
      </c>
      <c r="L1465" s="1">
        <v>12500</v>
      </c>
      <c r="M1465" s="1" t="s">
        <v>2013</v>
      </c>
      <c r="N1465" s="1" t="s">
        <v>1420</v>
      </c>
      <c r="O1465" s="1">
        <v>0</v>
      </c>
      <c r="P1465" s="1" t="s">
        <v>2048</v>
      </c>
      <c r="Q1465" s="7" t="str">
        <f t="shared" si="39"/>
        <v>equipment/1107.png</v>
      </c>
      <c r="R1465" s="1">
        <v>0</v>
      </c>
    </row>
    <row r="1466" spans="1:18" ht="14.25" thickBot="1">
      <c r="A1466" s="1" t="s">
        <v>1160</v>
      </c>
      <c r="B1466" s="3">
        <v>1</v>
      </c>
      <c r="C1466" s="9" t="s">
        <v>2093</v>
      </c>
      <c r="D1466" s="1" t="s">
        <v>13</v>
      </c>
      <c r="E1466" s="1">
        <v>6</v>
      </c>
      <c r="F1466" s="1">
        <v>4</v>
      </c>
      <c r="G1466" s="1">
        <v>15</v>
      </c>
      <c r="H1466" s="10" t="s">
        <v>2120</v>
      </c>
      <c r="I1466" s="1">
        <v>15000</v>
      </c>
      <c r="J1466" s="1">
        <v>50</v>
      </c>
      <c r="K1466" s="1">
        <v>500</v>
      </c>
      <c r="L1466" s="1">
        <v>10000</v>
      </c>
      <c r="M1466" s="1" t="s">
        <v>1849</v>
      </c>
      <c r="N1466" s="1" t="s">
        <v>1420</v>
      </c>
      <c r="O1466" s="1">
        <v>0</v>
      </c>
      <c r="P1466" s="1" t="s">
        <v>2048</v>
      </c>
      <c r="Q1466" s="7" t="str">
        <f t="shared" si="39"/>
        <v>equipment/2105.png</v>
      </c>
      <c r="R1466" s="1">
        <v>0</v>
      </c>
    </row>
    <row r="1467" spans="1:18" ht="14.25" thickBot="1">
      <c r="A1467" s="1" t="s">
        <v>1161</v>
      </c>
      <c r="B1467" s="2">
        <v>0</v>
      </c>
      <c r="C1467" s="9" t="s">
        <v>2061</v>
      </c>
      <c r="D1467" s="1" t="s">
        <v>13</v>
      </c>
      <c r="E1467" s="1">
        <v>6</v>
      </c>
      <c r="F1467" s="1">
        <v>4</v>
      </c>
      <c r="G1467" s="1">
        <v>15</v>
      </c>
      <c r="H1467" s="10" t="s">
        <v>2120</v>
      </c>
      <c r="I1467" s="1">
        <v>18000</v>
      </c>
      <c r="J1467" s="1">
        <v>50</v>
      </c>
      <c r="K1467" s="1">
        <v>500</v>
      </c>
      <c r="L1467" s="1">
        <v>12500</v>
      </c>
      <c r="M1467" s="1" t="s">
        <v>1850</v>
      </c>
      <c r="N1467" s="1" t="s">
        <v>1420</v>
      </c>
      <c r="O1467" s="1">
        <v>0</v>
      </c>
      <c r="P1467" s="1" t="s">
        <v>2048</v>
      </c>
      <c r="Q1467" s="7" t="str">
        <f t="shared" si="39"/>
        <v>equipment/2101.png</v>
      </c>
      <c r="R1467" s="1">
        <v>0</v>
      </c>
    </row>
    <row r="1468" spans="1:18" ht="14.25" thickBot="1">
      <c r="A1468" s="1" t="s">
        <v>1162</v>
      </c>
      <c r="B1468" s="3">
        <v>1</v>
      </c>
      <c r="C1468" s="1" t="s">
        <v>2521</v>
      </c>
      <c r="D1468" s="1" t="s">
        <v>12</v>
      </c>
      <c r="E1468" s="1">
        <v>5</v>
      </c>
      <c r="F1468" s="1">
        <v>4</v>
      </c>
      <c r="G1468" s="1">
        <v>15</v>
      </c>
      <c r="H1468" s="10" t="s">
        <v>2121</v>
      </c>
      <c r="I1468" s="1">
        <v>15000</v>
      </c>
      <c r="J1468" s="1">
        <v>50</v>
      </c>
      <c r="K1468" s="1">
        <v>500</v>
      </c>
      <c r="L1468" s="1">
        <v>10000</v>
      </c>
      <c r="M1468" s="1" t="s">
        <v>1848</v>
      </c>
      <c r="N1468" s="1" t="s">
        <v>1420</v>
      </c>
      <c r="O1468" s="1">
        <v>0</v>
      </c>
      <c r="P1468" s="1" t="s">
        <v>2048</v>
      </c>
      <c r="Q1468" s="7" t="str">
        <f t="shared" si="39"/>
        <v>equipment/1207.png</v>
      </c>
      <c r="R1468" s="1">
        <v>0</v>
      </c>
    </row>
    <row r="1469" spans="1:18" ht="14.25" thickBot="1">
      <c r="A1469" s="1">
        <v>40152051</v>
      </c>
      <c r="B1469" s="3">
        <v>1</v>
      </c>
      <c r="C1469" s="1" t="s">
        <v>2100</v>
      </c>
      <c r="D1469" s="1" t="s">
        <v>12</v>
      </c>
      <c r="E1469" s="1">
        <v>5</v>
      </c>
      <c r="F1469" s="1">
        <v>4</v>
      </c>
      <c r="G1469" s="1">
        <v>15</v>
      </c>
      <c r="H1469" s="10" t="s">
        <v>2121</v>
      </c>
      <c r="I1469" s="1">
        <v>18000</v>
      </c>
      <c r="J1469" s="1">
        <v>50</v>
      </c>
      <c r="K1469" s="1">
        <v>500</v>
      </c>
      <c r="L1469" s="1">
        <v>12500</v>
      </c>
      <c r="M1469" s="1" t="s">
        <v>2013</v>
      </c>
      <c r="N1469" s="1" t="s">
        <v>1420</v>
      </c>
      <c r="O1469" s="1">
        <v>0</v>
      </c>
      <c r="P1469" s="1" t="s">
        <v>2048</v>
      </c>
      <c r="Q1469" s="7" t="str">
        <f t="shared" si="39"/>
        <v>equipment/1208.png</v>
      </c>
      <c r="R1469" s="1">
        <v>0</v>
      </c>
    </row>
    <row r="1470" spans="1:18" ht="14.25" thickBot="1">
      <c r="A1470" s="1" t="s">
        <v>1163</v>
      </c>
      <c r="B1470" s="3">
        <v>1</v>
      </c>
      <c r="C1470" s="9" t="s">
        <v>2101</v>
      </c>
      <c r="D1470" s="1" t="s">
        <v>13</v>
      </c>
      <c r="E1470" s="1">
        <v>6</v>
      </c>
      <c r="F1470" s="1">
        <v>4</v>
      </c>
      <c r="G1470" s="1">
        <v>15</v>
      </c>
      <c r="H1470" s="10" t="s">
        <v>2121</v>
      </c>
      <c r="I1470" s="1">
        <v>15000</v>
      </c>
      <c r="J1470" s="1">
        <v>50</v>
      </c>
      <c r="K1470" s="1">
        <v>500</v>
      </c>
      <c r="L1470" s="1">
        <v>10000</v>
      </c>
      <c r="M1470" s="1" t="s">
        <v>1851</v>
      </c>
      <c r="N1470" s="1" t="s">
        <v>1420</v>
      </c>
      <c r="O1470" s="1">
        <v>0</v>
      </c>
      <c r="P1470" s="1" t="s">
        <v>2048</v>
      </c>
      <c r="Q1470" s="7" t="str">
        <f t="shared" si="39"/>
        <v>equipment/2204.png</v>
      </c>
      <c r="R1470" s="1">
        <v>0</v>
      </c>
    </row>
    <row r="1471" spans="1:18" ht="14.25" thickBot="1">
      <c r="A1471" s="1" t="s">
        <v>1164</v>
      </c>
      <c r="B1471" s="2">
        <v>0</v>
      </c>
      <c r="C1471" s="9" t="s">
        <v>2094</v>
      </c>
      <c r="D1471" s="1" t="s">
        <v>13</v>
      </c>
      <c r="E1471" s="1">
        <v>6</v>
      </c>
      <c r="F1471" s="1">
        <v>4</v>
      </c>
      <c r="G1471" s="1">
        <v>15</v>
      </c>
      <c r="H1471" s="10" t="s">
        <v>2121</v>
      </c>
      <c r="I1471" s="1">
        <v>18000</v>
      </c>
      <c r="J1471" s="1">
        <v>50</v>
      </c>
      <c r="K1471" s="1">
        <v>500</v>
      </c>
      <c r="L1471" s="1">
        <v>12500</v>
      </c>
      <c r="M1471" s="1" t="s">
        <v>1852</v>
      </c>
      <c r="N1471" s="1" t="s">
        <v>1420</v>
      </c>
      <c r="O1471" s="1">
        <v>0</v>
      </c>
      <c r="P1471" s="1" t="s">
        <v>2048</v>
      </c>
      <c r="Q1471" s="7" t="str">
        <f t="shared" si="39"/>
        <v>equipment/2201.png</v>
      </c>
      <c r="R1471" s="1">
        <v>0</v>
      </c>
    </row>
    <row r="1472" spans="1:18" ht="14.25" thickBot="1">
      <c r="A1472" s="1" t="s">
        <v>1165</v>
      </c>
      <c r="B1472" s="3">
        <v>1</v>
      </c>
      <c r="C1472" s="9" t="s">
        <v>2102</v>
      </c>
      <c r="D1472" s="1" t="s">
        <v>12</v>
      </c>
      <c r="E1472" s="1">
        <v>5</v>
      </c>
      <c r="F1472" s="1">
        <v>4</v>
      </c>
      <c r="G1472" s="1">
        <v>15</v>
      </c>
      <c r="H1472" s="10" t="s">
        <v>2122</v>
      </c>
      <c r="I1472" s="1">
        <v>15000</v>
      </c>
      <c r="J1472" s="1">
        <v>50</v>
      </c>
      <c r="K1472" s="1">
        <v>500</v>
      </c>
      <c r="L1472" s="1">
        <v>10000</v>
      </c>
      <c r="M1472" s="1" t="s">
        <v>1848</v>
      </c>
      <c r="N1472" s="1" t="s">
        <v>1420</v>
      </c>
      <c r="O1472" s="1">
        <v>0</v>
      </c>
      <c r="P1472" s="1" t="s">
        <v>2048</v>
      </c>
      <c r="Q1472" s="7" t="str">
        <f t="shared" si="39"/>
        <v>equipment/1307.png</v>
      </c>
      <c r="R1472" s="1">
        <v>0</v>
      </c>
    </row>
    <row r="1473" spans="1:18" ht="14.25" thickBot="1">
      <c r="A1473" s="1">
        <v>40153051</v>
      </c>
      <c r="B1473" s="3">
        <v>1</v>
      </c>
      <c r="C1473" s="9" t="s">
        <v>2103</v>
      </c>
      <c r="D1473" s="1" t="s">
        <v>12</v>
      </c>
      <c r="E1473" s="1">
        <v>5</v>
      </c>
      <c r="F1473" s="1">
        <v>4</v>
      </c>
      <c r="G1473" s="1">
        <v>15</v>
      </c>
      <c r="H1473" s="10" t="s">
        <v>2122</v>
      </c>
      <c r="I1473" s="1">
        <v>18000</v>
      </c>
      <c r="J1473" s="1">
        <v>50</v>
      </c>
      <c r="K1473" s="1">
        <v>500</v>
      </c>
      <c r="L1473" s="1">
        <v>12500</v>
      </c>
      <c r="M1473" s="1" t="s">
        <v>2013</v>
      </c>
      <c r="N1473" s="1" t="s">
        <v>1420</v>
      </c>
      <c r="O1473" s="1">
        <v>0</v>
      </c>
      <c r="P1473" s="1" t="s">
        <v>2048</v>
      </c>
      <c r="Q1473" s="7" t="str">
        <f t="shared" si="39"/>
        <v>equipment/1308.png</v>
      </c>
      <c r="R1473" s="1">
        <v>0</v>
      </c>
    </row>
    <row r="1474" spans="1:18" ht="14.25" thickBot="1">
      <c r="A1474" s="1" t="s">
        <v>1166</v>
      </c>
      <c r="B1474" s="3">
        <v>1</v>
      </c>
      <c r="C1474" s="9" t="s">
        <v>2522</v>
      </c>
      <c r="D1474" s="1" t="s">
        <v>13</v>
      </c>
      <c r="E1474" s="1">
        <v>6</v>
      </c>
      <c r="F1474" s="1">
        <v>4</v>
      </c>
      <c r="G1474" s="1">
        <v>15</v>
      </c>
      <c r="H1474" s="10" t="s">
        <v>2122</v>
      </c>
      <c r="I1474" s="1">
        <v>15000</v>
      </c>
      <c r="J1474" s="1">
        <v>50</v>
      </c>
      <c r="K1474" s="1">
        <v>500</v>
      </c>
      <c r="L1474" s="1">
        <v>10000</v>
      </c>
      <c r="M1474" s="1" t="s">
        <v>1853</v>
      </c>
      <c r="N1474" s="1" t="s">
        <v>1420</v>
      </c>
      <c r="O1474" s="1">
        <v>0</v>
      </c>
      <c r="P1474" s="1" t="s">
        <v>2048</v>
      </c>
      <c r="Q1474" s="7" t="str">
        <f t="shared" si="39"/>
        <v>equipment/2304.png</v>
      </c>
      <c r="R1474" s="1">
        <v>0</v>
      </c>
    </row>
    <row r="1475" spans="1:18" ht="14.25" thickBot="1">
      <c r="A1475" s="1" t="s">
        <v>1167</v>
      </c>
      <c r="B1475" s="2">
        <v>0</v>
      </c>
      <c r="C1475" s="9" t="s">
        <v>2095</v>
      </c>
      <c r="D1475" s="1" t="s">
        <v>13</v>
      </c>
      <c r="E1475" s="1">
        <v>6</v>
      </c>
      <c r="F1475" s="1">
        <v>4</v>
      </c>
      <c r="G1475" s="1">
        <v>15</v>
      </c>
      <c r="H1475" s="10" t="s">
        <v>2122</v>
      </c>
      <c r="I1475" s="1">
        <v>18000</v>
      </c>
      <c r="J1475" s="1">
        <v>50</v>
      </c>
      <c r="K1475" s="1">
        <v>500</v>
      </c>
      <c r="L1475" s="1">
        <v>12500</v>
      </c>
      <c r="M1475" s="1" t="s">
        <v>1854</v>
      </c>
      <c r="N1475" s="1" t="s">
        <v>1420</v>
      </c>
      <c r="O1475" s="1">
        <v>0</v>
      </c>
      <c r="P1475" s="1" t="s">
        <v>2048</v>
      </c>
      <c r="Q1475" s="7" t="str">
        <f t="shared" si="39"/>
        <v>equipment/2301.png</v>
      </c>
      <c r="R1475" s="1">
        <v>0</v>
      </c>
    </row>
    <row r="1476" spans="1:18" ht="14.25" thickBot="1">
      <c r="A1476" s="1" t="s">
        <v>1168</v>
      </c>
      <c r="B1476" s="3">
        <v>1</v>
      </c>
      <c r="C1476" s="1" t="s">
        <v>2080</v>
      </c>
      <c r="D1476" s="1" t="s">
        <v>11</v>
      </c>
      <c r="E1476" s="1">
        <v>4</v>
      </c>
      <c r="F1476" s="1">
        <v>4</v>
      </c>
      <c r="G1476" s="1">
        <v>15</v>
      </c>
      <c r="H1476" s="10">
        <v>0</v>
      </c>
      <c r="I1476" s="1">
        <v>15000</v>
      </c>
      <c r="J1476" s="1">
        <v>50</v>
      </c>
      <c r="K1476" s="1">
        <v>500</v>
      </c>
      <c r="L1476" s="1">
        <v>10000</v>
      </c>
      <c r="M1476" s="1" t="s">
        <v>1855</v>
      </c>
      <c r="N1476" s="1" t="s">
        <v>1419</v>
      </c>
      <c r="O1476" s="1">
        <v>0</v>
      </c>
      <c r="P1476" s="1" t="s">
        <v>2048</v>
      </c>
      <c r="Q1476" s="7" t="str">
        <f t="shared" si="39"/>
        <v>equipment/5005.png</v>
      </c>
      <c r="R1476" s="1">
        <v>0</v>
      </c>
    </row>
    <row r="1477" spans="1:18" ht="14.25" thickBot="1">
      <c r="A1477" s="1" t="s">
        <v>1169</v>
      </c>
      <c r="B1477" s="2">
        <v>0</v>
      </c>
      <c r="C1477" s="1" t="s">
        <v>2499</v>
      </c>
      <c r="D1477" s="1" t="s">
        <v>11</v>
      </c>
      <c r="E1477" s="1">
        <v>4</v>
      </c>
      <c r="F1477" s="1">
        <v>4</v>
      </c>
      <c r="G1477" s="1">
        <v>15</v>
      </c>
      <c r="H1477" s="10">
        <v>0</v>
      </c>
      <c r="I1477" s="1">
        <v>18000</v>
      </c>
      <c r="J1477" s="1">
        <v>50</v>
      </c>
      <c r="K1477" s="1">
        <v>500</v>
      </c>
      <c r="L1477" s="1">
        <v>12500</v>
      </c>
      <c r="M1477" s="1" t="s">
        <v>1856</v>
      </c>
      <c r="N1477" s="1" t="s">
        <v>1419</v>
      </c>
      <c r="O1477" s="1">
        <v>0</v>
      </c>
      <c r="P1477" s="1" t="s">
        <v>2048</v>
      </c>
      <c r="Q1477" s="7" t="str">
        <f t="shared" si="39"/>
        <v>equipment/5001.png</v>
      </c>
      <c r="R1477" s="1">
        <v>0</v>
      </c>
    </row>
    <row r="1478" spans="1:18" ht="14.25" thickBot="1">
      <c r="A1478" s="1" t="s">
        <v>1170</v>
      </c>
      <c r="B1478" s="3">
        <v>1</v>
      </c>
      <c r="C1478" s="1" t="s">
        <v>2088</v>
      </c>
      <c r="D1478" s="1" t="s">
        <v>14</v>
      </c>
      <c r="E1478" s="1">
        <v>7</v>
      </c>
      <c r="F1478" s="1">
        <v>4</v>
      </c>
      <c r="G1478" s="1">
        <v>15</v>
      </c>
      <c r="H1478" s="10">
        <v>0</v>
      </c>
      <c r="I1478" s="1">
        <v>15000</v>
      </c>
      <c r="J1478" s="1">
        <v>50</v>
      </c>
      <c r="K1478" s="1">
        <v>500</v>
      </c>
      <c r="L1478" s="1">
        <v>10000</v>
      </c>
      <c r="M1478" s="1" t="s">
        <v>1855</v>
      </c>
      <c r="N1478" s="1" t="s">
        <v>1419</v>
      </c>
      <c r="O1478" s="1">
        <v>0</v>
      </c>
      <c r="P1478" s="1" t="s">
        <v>2048</v>
      </c>
      <c r="Q1478" s="7" t="str">
        <f t="shared" si="39"/>
        <v>equipment/7003.png</v>
      </c>
      <c r="R1478" s="1">
        <v>0</v>
      </c>
    </row>
    <row r="1479" spans="1:18" ht="14.25" thickBot="1">
      <c r="A1479" s="1" t="s">
        <v>1171</v>
      </c>
      <c r="B1479" s="2">
        <v>0</v>
      </c>
      <c r="C1479" s="1" t="s">
        <v>2501</v>
      </c>
      <c r="D1479" s="1" t="s">
        <v>14</v>
      </c>
      <c r="E1479" s="1">
        <v>7</v>
      </c>
      <c r="F1479" s="1">
        <v>4</v>
      </c>
      <c r="G1479" s="1">
        <v>15</v>
      </c>
      <c r="H1479" s="10">
        <v>0</v>
      </c>
      <c r="I1479" s="1">
        <v>18000</v>
      </c>
      <c r="J1479" s="1">
        <v>50</v>
      </c>
      <c r="K1479" s="1">
        <v>500</v>
      </c>
      <c r="L1479" s="1">
        <v>12500</v>
      </c>
      <c r="M1479" s="1" t="s">
        <v>1857</v>
      </c>
      <c r="N1479" s="1" t="s">
        <v>1419</v>
      </c>
      <c r="O1479" s="1">
        <v>0</v>
      </c>
      <c r="P1479" s="1" t="s">
        <v>2048</v>
      </c>
      <c r="Q1479" s="7" t="str">
        <f t="shared" si="39"/>
        <v>equipment/7001.png</v>
      </c>
      <c r="R1479" s="1">
        <v>0</v>
      </c>
    </row>
    <row r="1480" spans="1:18" ht="14.25" thickBot="1">
      <c r="A1480" s="1" t="s">
        <v>1172</v>
      </c>
      <c r="B1480" s="3">
        <v>1</v>
      </c>
      <c r="C1480" s="1" t="s">
        <v>2523</v>
      </c>
      <c r="D1480" s="1" t="s">
        <v>8</v>
      </c>
      <c r="E1480" s="1">
        <v>1</v>
      </c>
      <c r="F1480" s="1">
        <v>4</v>
      </c>
      <c r="G1480" s="1">
        <v>20</v>
      </c>
      <c r="H1480" s="10">
        <v>0</v>
      </c>
      <c r="I1480" s="1">
        <v>20000</v>
      </c>
      <c r="J1480" s="1">
        <v>50</v>
      </c>
      <c r="K1480" s="1">
        <v>500</v>
      </c>
      <c r="L1480" s="1">
        <v>12500</v>
      </c>
      <c r="M1480" s="1" t="s">
        <v>1858</v>
      </c>
      <c r="N1480" s="1" t="s">
        <v>1420</v>
      </c>
      <c r="O1480" s="1">
        <v>0</v>
      </c>
      <c r="P1480" s="1" t="s">
        <v>2049</v>
      </c>
      <c r="Q1480" s="7" t="str">
        <f t="shared" si="39"/>
        <v>equipment/3003.png</v>
      </c>
      <c r="R1480" s="1">
        <v>0</v>
      </c>
    </row>
    <row r="1481" spans="1:18" ht="14.25" thickBot="1">
      <c r="A1481" s="1" t="s">
        <v>1173</v>
      </c>
      <c r="B1481" s="3">
        <v>1</v>
      </c>
      <c r="C1481" s="1" t="s">
        <v>2524</v>
      </c>
      <c r="D1481" s="1" t="s">
        <v>9</v>
      </c>
      <c r="E1481" s="1">
        <v>2</v>
      </c>
      <c r="F1481" s="1">
        <v>4</v>
      </c>
      <c r="G1481" s="1">
        <v>20</v>
      </c>
      <c r="H1481" s="10">
        <v>0</v>
      </c>
      <c r="I1481" s="1">
        <v>20000</v>
      </c>
      <c r="J1481" s="1">
        <v>50</v>
      </c>
      <c r="K1481" s="1">
        <v>500</v>
      </c>
      <c r="L1481" s="1">
        <v>12500</v>
      </c>
      <c r="M1481" s="1" t="s">
        <v>1839</v>
      </c>
      <c r="N1481" s="1" t="s">
        <v>1420</v>
      </c>
      <c r="O1481" s="1">
        <v>0</v>
      </c>
      <c r="P1481" s="1" t="s">
        <v>2049</v>
      </c>
      <c r="Q1481" s="7" t="str">
        <f t="shared" si="39"/>
        <v>equipment/14003.png</v>
      </c>
      <c r="R1481" s="1">
        <v>0</v>
      </c>
    </row>
    <row r="1482" spans="1:18" ht="14.25" thickBot="1">
      <c r="A1482" s="1" t="s">
        <v>1174</v>
      </c>
      <c r="B1482" s="3">
        <v>1</v>
      </c>
      <c r="C1482" s="1" t="s">
        <v>2867</v>
      </c>
      <c r="D1482" s="1" t="s">
        <v>10</v>
      </c>
      <c r="E1482" s="1">
        <v>3</v>
      </c>
      <c r="F1482" s="1">
        <v>4</v>
      </c>
      <c r="G1482" s="1">
        <v>20</v>
      </c>
      <c r="H1482" s="10">
        <v>0</v>
      </c>
      <c r="I1482" s="1">
        <v>20000</v>
      </c>
      <c r="J1482" s="1">
        <v>50</v>
      </c>
      <c r="K1482" s="1">
        <v>500</v>
      </c>
      <c r="L1482" s="1">
        <v>12500</v>
      </c>
      <c r="M1482" s="1" t="s">
        <v>1859</v>
      </c>
      <c r="N1482" s="1" t="s">
        <v>1420</v>
      </c>
      <c r="O1482" s="1">
        <v>0</v>
      </c>
      <c r="P1482" s="1" t="s">
        <v>2049</v>
      </c>
      <c r="Q1482" s="7" t="str">
        <f t="shared" si="39"/>
        <v>equipment/6004.png</v>
      </c>
      <c r="R1482" s="1">
        <v>0</v>
      </c>
    </row>
    <row r="1483" spans="1:18" ht="14.25" thickBot="1">
      <c r="A1483" s="1" t="s">
        <v>1175</v>
      </c>
      <c r="B1483" s="2">
        <v>1</v>
      </c>
      <c r="C1483" s="1" t="s">
        <v>2525</v>
      </c>
      <c r="D1483" s="1" t="s">
        <v>15</v>
      </c>
      <c r="E1483" s="1">
        <v>8</v>
      </c>
      <c r="F1483" s="1">
        <v>4</v>
      </c>
      <c r="G1483" s="1">
        <v>20</v>
      </c>
      <c r="H1483" s="10">
        <v>0</v>
      </c>
      <c r="I1483" s="1">
        <v>20000</v>
      </c>
      <c r="J1483" s="1">
        <v>50</v>
      </c>
      <c r="K1483" s="1">
        <v>500</v>
      </c>
      <c r="L1483" s="1">
        <v>12500</v>
      </c>
      <c r="M1483" s="1" t="s">
        <v>2471</v>
      </c>
      <c r="N1483" s="1" t="s">
        <v>1420</v>
      </c>
      <c r="O1483" s="1">
        <v>0</v>
      </c>
      <c r="P1483" s="1" t="s">
        <v>2049</v>
      </c>
      <c r="Q1483" s="7" t="str">
        <f t="shared" si="39"/>
        <v>equipment/8003.png</v>
      </c>
      <c r="R1483" s="1">
        <v>0</v>
      </c>
    </row>
    <row r="1484" spans="1:18" ht="14.25" thickBot="1">
      <c r="A1484" s="1" t="s">
        <v>1176</v>
      </c>
      <c r="B1484" s="3">
        <v>1</v>
      </c>
      <c r="C1484" s="1" t="s">
        <v>2526</v>
      </c>
      <c r="D1484" s="1" t="s">
        <v>16</v>
      </c>
      <c r="E1484" s="1">
        <v>9</v>
      </c>
      <c r="F1484" s="1">
        <v>4</v>
      </c>
      <c r="G1484" s="1">
        <v>20</v>
      </c>
      <c r="H1484" s="10">
        <v>0</v>
      </c>
      <c r="I1484" s="1">
        <v>20000</v>
      </c>
      <c r="J1484" s="1">
        <v>50</v>
      </c>
      <c r="K1484" s="1">
        <v>500</v>
      </c>
      <c r="L1484" s="1">
        <v>12500</v>
      </c>
      <c r="M1484" s="1" t="s">
        <v>1861</v>
      </c>
      <c r="N1484" s="1" t="s">
        <v>1420</v>
      </c>
      <c r="O1484" s="1">
        <v>0</v>
      </c>
      <c r="P1484" s="1" t="s">
        <v>2049</v>
      </c>
      <c r="Q1484" s="7" t="str">
        <f t="shared" si="39"/>
        <v>equipment/10004.png</v>
      </c>
      <c r="R1484" s="1">
        <v>0</v>
      </c>
    </row>
    <row r="1485" spans="1:18" ht="14.25" thickBot="1">
      <c r="A1485" s="1" t="s">
        <v>1177</v>
      </c>
      <c r="B1485" s="3">
        <v>1</v>
      </c>
      <c r="C1485" s="1" t="s">
        <v>2527</v>
      </c>
      <c r="D1485" s="1" t="s">
        <v>17</v>
      </c>
      <c r="E1485" s="1">
        <v>10</v>
      </c>
      <c r="F1485" s="1">
        <v>4</v>
      </c>
      <c r="G1485" s="1">
        <v>20</v>
      </c>
      <c r="H1485" s="10">
        <v>0</v>
      </c>
      <c r="I1485" s="1">
        <v>20000</v>
      </c>
      <c r="J1485" s="1">
        <v>50</v>
      </c>
      <c r="K1485" s="1">
        <v>500</v>
      </c>
      <c r="L1485" s="1">
        <v>12500</v>
      </c>
      <c r="M1485" s="1" t="s">
        <v>1862</v>
      </c>
      <c r="N1485" s="1" t="s">
        <v>1420</v>
      </c>
      <c r="O1485" s="1">
        <v>0</v>
      </c>
      <c r="P1485" s="1" t="s">
        <v>2049</v>
      </c>
      <c r="Q1485" s="7" t="str">
        <f t="shared" si="39"/>
        <v>equipment/12003.png</v>
      </c>
      <c r="R1485" s="1">
        <v>0</v>
      </c>
    </row>
    <row r="1486" spans="1:18" ht="14.25" thickBot="1">
      <c r="A1486" s="1" t="s">
        <v>1178</v>
      </c>
      <c r="B1486" s="3">
        <v>1</v>
      </c>
      <c r="C1486" s="9" t="s">
        <v>2104</v>
      </c>
      <c r="D1486" s="1" t="s">
        <v>12</v>
      </c>
      <c r="E1486" s="1">
        <v>5</v>
      </c>
      <c r="F1486" s="1">
        <v>4</v>
      </c>
      <c r="G1486" s="1">
        <v>20</v>
      </c>
      <c r="H1486" s="10" t="s">
        <v>2120</v>
      </c>
      <c r="I1486" s="1">
        <v>20000</v>
      </c>
      <c r="J1486" s="1">
        <v>50</v>
      </c>
      <c r="K1486" s="1">
        <v>500</v>
      </c>
      <c r="L1486" s="1">
        <v>12500</v>
      </c>
      <c r="M1486" s="1" t="s">
        <v>2014</v>
      </c>
      <c r="N1486" s="1" t="s">
        <v>1421</v>
      </c>
      <c r="O1486" s="1">
        <v>0</v>
      </c>
      <c r="P1486" s="1" t="s">
        <v>2049</v>
      </c>
      <c r="Q1486" s="7" t="str">
        <f t="shared" si="39"/>
        <v>equipment/1109.png</v>
      </c>
      <c r="R1486" s="1">
        <v>0</v>
      </c>
    </row>
    <row r="1487" spans="1:18" ht="14.25" thickBot="1">
      <c r="A1487" s="1" t="s">
        <v>1179</v>
      </c>
      <c r="B1487" s="2">
        <v>0</v>
      </c>
      <c r="C1487" s="9" t="s">
        <v>2491</v>
      </c>
      <c r="D1487" s="1" t="s">
        <v>12</v>
      </c>
      <c r="E1487" s="1">
        <v>5</v>
      </c>
      <c r="F1487" s="1">
        <v>4</v>
      </c>
      <c r="G1487" s="1">
        <v>20</v>
      </c>
      <c r="H1487" s="10" t="s">
        <v>2120</v>
      </c>
      <c r="I1487" s="1">
        <v>23000</v>
      </c>
      <c r="J1487" s="1">
        <v>50</v>
      </c>
      <c r="K1487" s="1">
        <v>500</v>
      </c>
      <c r="L1487" s="1">
        <v>15000</v>
      </c>
      <c r="M1487" s="1" t="s">
        <v>2015</v>
      </c>
      <c r="N1487" s="1" t="s">
        <v>1421</v>
      </c>
      <c r="O1487" s="1">
        <v>0</v>
      </c>
      <c r="P1487" s="1" t="s">
        <v>2049</v>
      </c>
      <c r="Q1487" s="7" t="str">
        <f t="shared" si="39"/>
        <v>equipment/1101.png</v>
      </c>
      <c r="R1487" s="1">
        <v>0</v>
      </c>
    </row>
    <row r="1488" spans="1:18" ht="14.25" thickBot="1">
      <c r="A1488" s="1" t="s">
        <v>1180</v>
      </c>
      <c r="B1488" s="3">
        <v>1</v>
      </c>
      <c r="C1488" s="9" t="s">
        <v>2528</v>
      </c>
      <c r="D1488" s="1" t="s">
        <v>13</v>
      </c>
      <c r="E1488" s="1">
        <v>6</v>
      </c>
      <c r="F1488" s="1">
        <v>4</v>
      </c>
      <c r="G1488" s="1">
        <v>20</v>
      </c>
      <c r="H1488" s="10" t="s">
        <v>2120</v>
      </c>
      <c r="I1488" s="1">
        <v>20000</v>
      </c>
      <c r="J1488" s="1">
        <v>50</v>
      </c>
      <c r="K1488" s="1">
        <v>500</v>
      </c>
      <c r="L1488" s="1">
        <v>12500</v>
      </c>
      <c r="M1488" s="1" t="s">
        <v>1863</v>
      </c>
      <c r="N1488" s="1" t="s">
        <v>1421</v>
      </c>
      <c r="O1488" s="1">
        <v>0</v>
      </c>
      <c r="P1488" s="1" t="s">
        <v>2049</v>
      </c>
      <c r="Q1488" s="7" t="str">
        <f t="shared" si="39"/>
        <v>equipment/2104.png</v>
      </c>
      <c r="R1488" s="1">
        <v>0</v>
      </c>
    </row>
    <row r="1489" spans="1:18" ht="14.25" thickBot="1">
      <c r="A1489" s="1" t="s">
        <v>1181</v>
      </c>
      <c r="B1489" s="2">
        <v>0</v>
      </c>
      <c r="C1489" s="9" t="s">
        <v>2061</v>
      </c>
      <c r="D1489" s="1" t="s">
        <v>13</v>
      </c>
      <c r="E1489" s="1">
        <v>6</v>
      </c>
      <c r="F1489" s="1">
        <v>4</v>
      </c>
      <c r="G1489" s="1">
        <v>20</v>
      </c>
      <c r="H1489" s="10" t="s">
        <v>2120</v>
      </c>
      <c r="I1489" s="1">
        <v>23000</v>
      </c>
      <c r="J1489" s="1">
        <v>50</v>
      </c>
      <c r="K1489" s="1">
        <v>500</v>
      </c>
      <c r="L1489" s="1">
        <v>15000</v>
      </c>
      <c r="M1489" s="1" t="s">
        <v>1864</v>
      </c>
      <c r="N1489" s="1" t="s">
        <v>1421</v>
      </c>
      <c r="O1489" s="1">
        <v>0</v>
      </c>
      <c r="P1489" s="1" t="s">
        <v>2049</v>
      </c>
      <c r="Q1489" s="7" t="str">
        <f t="shared" si="39"/>
        <v>equipment/2101.png</v>
      </c>
      <c r="R1489" s="1">
        <v>0</v>
      </c>
    </row>
    <row r="1490" spans="1:18" ht="14.25" thickBot="1">
      <c r="A1490" s="1" t="s">
        <v>1182</v>
      </c>
      <c r="B1490" s="3">
        <v>1</v>
      </c>
      <c r="C1490" s="1" t="s">
        <v>2105</v>
      </c>
      <c r="D1490" s="1" t="s">
        <v>12</v>
      </c>
      <c r="E1490" s="1">
        <v>5</v>
      </c>
      <c r="F1490" s="1">
        <v>4</v>
      </c>
      <c r="G1490" s="1">
        <v>20</v>
      </c>
      <c r="H1490" s="10" t="s">
        <v>2121</v>
      </c>
      <c r="I1490" s="1">
        <v>20000</v>
      </c>
      <c r="J1490" s="1">
        <v>50</v>
      </c>
      <c r="K1490" s="1">
        <v>500</v>
      </c>
      <c r="L1490" s="1">
        <v>12500</v>
      </c>
      <c r="M1490" s="1" t="s">
        <v>2014</v>
      </c>
      <c r="N1490" s="1" t="s">
        <v>1421</v>
      </c>
      <c r="O1490" s="1">
        <v>0</v>
      </c>
      <c r="P1490" s="1" t="s">
        <v>2049</v>
      </c>
      <c r="Q1490" s="7" t="str">
        <f t="shared" si="39"/>
        <v>equipment/1209.png</v>
      </c>
      <c r="R1490" s="1">
        <v>0</v>
      </c>
    </row>
    <row r="1491" spans="1:18" ht="14.25" thickBot="1">
      <c r="A1491" s="1" t="s">
        <v>1183</v>
      </c>
      <c r="B1491" s="2">
        <v>0</v>
      </c>
      <c r="C1491" s="1" t="s">
        <v>2494</v>
      </c>
      <c r="D1491" s="1" t="s">
        <v>12</v>
      </c>
      <c r="E1491" s="1">
        <v>5</v>
      </c>
      <c r="F1491" s="1">
        <v>4</v>
      </c>
      <c r="G1491" s="1">
        <v>20</v>
      </c>
      <c r="H1491" s="10" t="s">
        <v>2121</v>
      </c>
      <c r="I1491" s="1">
        <v>23000</v>
      </c>
      <c r="J1491" s="1">
        <v>50</v>
      </c>
      <c r="K1491" s="1">
        <v>500</v>
      </c>
      <c r="L1491" s="1">
        <v>15000</v>
      </c>
      <c r="M1491" s="1" t="s">
        <v>2015</v>
      </c>
      <c r="N1491" s="1" t="s">
        <v>1421</v>
      </c>
      <c r="O1491" s="1">
        <v>0</v>
      </c>
      <c r="P1491" s="1" t="s">
        <v>2049</v>
      </c>
      <c r="Q1491" s="7" t="str">
        <f t="shared" si="39"/>
        <v>equipment/1201.png</v>
      </c>
      <c r="R1491" s="1">
        <v>0</v>
      </c>
    </row>
    <row r="1492" spans="1:18" ht="14.25" thickBot="1">
      <c r="A1492" s="1" t="s">
        <v>1184</v>
      </c>
      <c r="B1492" s="3">
        <v>1</v>
      </c>
      <c r="C1492" s="9" t="s">
        <v>2106</v>
      </c>
      <c r="D1492" s="1" t="s">
        <v>13</v>
      </c>
      <c r="E1492" s="1">
        <v>6</v>
      </c>
      <c r="F1492" s="1">
        <v>4</v>
      </c>
      <c r="G1492" s="1">
        <v>20</v>
      </c>
      <c r="H1492" s="10" t="s">
        <v>2121</v>
      </c>
      <c r="I1492" s="1">
        <v>20000</v>
      </c>
      <c r="J1492" s="1">
        <v>50</v>
      </c>
      <c r="K1492" s="1">
        <v>500</v>
      </c>
      <c r="L1492" s="1">
        <v>12500</v>
      </c>
      <c r="M1492" s="1" t="s">
        <v>1865</v>
      </c>
      <c r="N1492" s="1" t="s">
        <v>1421</v>
      </c>
      <c r="O1492" s="1">
        <v>0</v>
      </c>
      <c r="P1492" s="1" t="s">
        <v>2049</v>
      </c>
      <c r="Q1492" s="7" t="str">
        <f t="shared" si="39"/>
        <v>equipment/2205.png</v>
      </c>
      <c r="R1492" s="1">
        <v>0</v>
      </c>
    </row>
    <row r="1493" spans="1:18" ht="14.25" thickBot="1">
      <c r="A1493" s="1" t="s">
        <v>1185</v>
      </c>
      <c r="B1493" s="2">
        <v>0</v>
      </c>
      <c r="C1493" s="9" t="s">
        <v>2094</v>
      </c>
      <c r="D1493" s="1" t="s">
        <v>13</v>
      </c>
      <c r="E1493" s="1">
        <v>6</v>
      </c>
      <c r="F1493" s="1">
        <v>4</v>
      </c>
      <c r="G1493" s="1">
        <v>20</v>
      </c>
      <c r="H1493" s="10" t="s">
        <v>2121</v>
      </c>
      <c r="I1493" s="1">
        <v>23000</v>
      </c>
      <c r="J1493" s="1">
        <v>50</v>
      </c>
      <c r="K1493" s="1">
        <v>500</v>
      </c>
      <c r="L1493" s="1">
        <v>15000</v>
      </c>
      <c r="M1493" s="1" t="s">
        <v>1866</v>
      </c>
      <c r="N1493" s="1" t="s">
        <v>1421</v>
      </c>
      <c r="O1493" s="1">
        <v>0</v>
      </c>
      <c r="P1493" s="1" t="s">
        <v>2049</v>
      </c>
      <c r="Q1493" s="7" t="str">
        <f t="shared" ref="Q1493:Q1556" si="40">Q1031</f>
        <v>equipment/2201.png</v>
      </c>
      <c r="R1493" s="1">
        <v>0</v>
      </c>
    </row>
    <row r="1494" spans="1:18" ht="14.25" thickBot="1">
      <c r="A1494" s="1" t="s">
        <v>1186</v>
      </c>
      <c r="B1494" s="3">
        <v>1</v>
      </c>
      <c r="C1494" s="9" t="s">
        <v>2107</v>
      </c>
      <c r="D1494" s="1" t="s">
        <v>12</v>
      </c>
      <c r="E1494" s="1">
        <v>5</v>
      </c>
      <c r="F1494" s="1">
        <v>4</v>
      </c>
      <c r="G1494" s="1">
        <v>20</v>
      </c>
      <c r="H1494" s="10" t="s">
        <v>2122</v>
      </c>
      <c r="I1494" s="1">
        <v>20000</v>
      </c>
      <c r="J1494" s="1">
        <v>50</v>
      </c>
      <c r="K1494" s="1">
        <v>500</v>
      </c>
      <c r="L1494" s="1">
        <v>12500</v>
      </c>
      <c r="M1494" s="1" t="s">
        <v>2014</v>
      </c>
      <c r="N1494" s="1" t="s">
        <v>1421</v>
      </c>
      <c r="O1494" s="1">
        <v>0</v>
      </c>
      <c r="P1494" s="1" t="s">
        <v>2049</v>
      </c>
      <c r="Q1494" s="7" t="str">
        <f t="shared" si="40"/>
        <v>equipment/1309.png</v>
      </c>
      <c r="R1494" s="1">
        <v>0</v>
      </c>
    </row>
    <row r="1495" spans="1:18" ht="14.25" thickBot="1">
      <c r="A1495" s="1" t="s">
        <v>1187</v>
      </c>
      <c r="B1495" s="3">
        <v>1</v>
      </c>
      <c r="C1495" s="9" t="s">
        <v>2529</v>
      </c>
      <c r="D1495" s="1" t="s">
        <v>12</v>
      </c>
      <c r="E1495" s="1">
        <v>5</v>
      </c>
      <c r="F1495" s="1">
        <v>4</v>
      </c>
      <c r="G1495" s="1">
        <v>20</v>
      </c>
      <c r="H1495" s="10" t="s">
        <v>2122</v>
      </c>
      <c r="I1495" s="1">
        <v>23000</v>
      </c>
      <c r="J1495" s="1">
        <v>50</v>
      </c>
      <c r="K1495" s="1">
        <v>500</v>
      </c>
      <c r="L1495" s="1">
        <v>15000</v>
      </c>
      <c r="M1495" s="1" t="s">
        <v>2015</v>
      </c>
      <c r="N1495" s="1" t="s">
        <v>1421</v>
      </c>
      <c r="O1495" s="1">
        <v>0</v>
      </c>
      <c r="P1495" s="1" t="s">
        <v>2049</v>
      </c>
      <c r="Q1495" s="7" t="str">
        <f t="shared" si="40"/>
        <v>equipment/1310.png</v>
      </c>
      <c r="R1495" s="1">
        <v>0</v>
      </c>
    </row>
    <row r="1496" spans="1:18" ht="14.25" thickBot="1">
      <c r="A1496" s="1" t="s">
        <v>1188</v>
      </c>
      <c r="B1496" s="3">
        <v>1</v>
      </c>
      <c r="C1496" s="9" t="s">
        <v>2530</v>
      </c>
      <c r="D1496" s="1" t="s">
        <v>13</v>
      </c>
      <c r="E1496" s="1">
        <v>6</v>
      </c>
      <c r="F1496" s="1">
        <v>4</v>
      </c>
      <c r="G1496" s="1">
        <v>20</v>
      </c>
      <c r="H1496" s="10" t="s">
        <v>2122</v>
      </c>
      <c r="I1496" s="1">
        <v>20000</v>
      </c>
      <c r="J1496" s="1">
        <v>50</v>
      </c>
      <c r="K1496" s="1">
        <v>500</v>
      </c>
      <c r="L1496" s="1">
        <v>12500</v>
      </c>
      <c r="M1496" s="1" t="s">
        <v>1867</v>
      </c>
      <c r="N1496" s="1" t="s">
        <v>1421</v>
      </c>
      <c r="O1496" s="1">
        <v>0</v>
      </c>
      <c r="P1496" s="1" t="s">
        <v>2049</v>
      </c>
      <c r="Q1496" s="7" t="str">
        <f t="shared" si="40"/>
        <v>equipment/2305.png</v>
      </c>
      <c r="R1496" s="1">
        <v>0</v>
      </c>
    </row>
    <row r="1497" spans="1:18" ht="14.25" thickBot="1">
      <c r="A1497" s="1" t="s">
        <v>1189</v>
      </c>
      <c r="B1497" s="2">
        <v>0</v>
      </c>
      <c r="C1497" s="9" t="s">
        <v>2095</v>
      </c>
      <c r="D1497" s="1" t="s">
        <v>13</v>
      </c>
      <c r="E1497" s="1">
        <v>6</v>
      </c>
      <c r="F1497" s="1">
        <v>4</v>
      </c>
      <c r="G1497" s="1">
        <v>20</v>
      </c>
      <c r="H1497" s="10" t="s">
        <v>2122</v>
      </c>
      <c r="I1497" s="1">
        <v>23000</v>
      </c>
      <c r="J1497" s="1">
        <v>50</v>
      </c>
      <c r="K1497" s="1">
        <v>500</v>
      </c>
      <c r="L1497" s="1">
        <v>15000</v>
      </c>
      <c r="M1497" s="1" t="s">
        <v>1868</v>
      </c>
      <c r="N1497" s="1" t="s">
        <v>1421</v>
      </c>
      <c r="O1497" s="1">
        <v>0</v>
      </c>
      <c r="P1497" s="1" t="s">
        <v>2049</v>
      </c>
      <c r="Q1497" s="7" t="str">
        <f t="shared" si="40"/>
        <v>equipment/2301.png</v>
      </c>
      <c r="R1497" s="1">
        <v>0</v>
      </c>
    </row>
    <row r="1498" spans="1:18" ht="14.25" thickBot="1">
      <c r="A1498" s="1" t="s">
        <v>1190</v>
      </c>
      <c r="B1498" s="3">
        <v>1</v>
      </c>
      <c r="C1498" s="1" t="s">
        <v>2081</v>
      </c>
      <c r="D1498" s="1" t="s">
        <v>11</v>
      </c>
      <c r="E1498" s="1">
        <v>4</v>
      </c>
      <c r="F1498" s="1">
        <v>4</v>
      </c>
      <c r="G1498" s="1">
        <v>20</v>
      </c>
      <c r="H1498" s="10">
        <v>0</v>
      </c>
      <c r="I1498" s="1">
        <v>20000</v>
      </c>
      <c r="J1498" s="1">
        <v>50</v>
      </c>
      <c r="K1498" s="1">
        <v>500</v>
      </c>
      <c r="L1498" s="1">
        <v>12500</v>
      </c>
      <c r="M1498" s="1" t="s">
        <v>1869</v>
      </c>
      <c r="N1498" s="1" t="s">
        <v>1420</v>
      </c>
      <c r="O1498" s="1">
        <v>0</v>
      </c>
      <c r="P1498" s="1" t="s">
        <v>2049</v>
      </c>
      <c r="Q1498" s="7" t="str">
        <f t="shared" si="40"/>
        <v>equipment/5004.png</v>
      </c>
      <c r="R1498" s="1">
        <v>0</v>
      </c>
    </row>
    <row r="1499" spans="1:18" ht="14.25" thickBot="1">
      <c r="A1499" s="1" t="s">
        <v>1191</v>
      </c>
      <c r="B1499" s="3">
        <v>1</v>
      </c>
      <c r="C1499" s="1" t="s">
        <v>2082</v>
      </c>
      <c r="D1499" s="1" t="s">
        <v>11</v>
      </c>
      <c r="E1499" s="1">
        <v>4</v>
      </c>
      <c r="F1499" s="1">
        <v>4</v>
      </c>
      <c r="G1499" s="1">
        <v>20</v>
      </c>
      <c r="H1499" s="10">
        <v>0</v>
      </c>
      <c r="I1499" s="1">
        <v>23000</v>
      </c>
      <c r="J1499" s="1">
        <v>50</v>
      </c>
      <c r="K1499" s="1">
        <v>500</v>
      </c>
      <c r="L1499" s="1">
        <v>15000</v>
      </c>
      <c r="M1499" s="1" t="s">
        <v>1870</v>
      </c>
      <c r="N1499" s="1" t="s">
        <v>1420</v>
      </c>
      <c r="O1499" s="1">
        <v>0</v>
      </c>
      <c r="P1499" s="1" t="s">
        <v>2049</v>
      </c>
      <c r="Q1499" s="7" t="str">
        <f t="shared" si="40"/>
        <v>equipment/5006.png</v>
      </c>
      <c r="R1499" s="1">
        <v>0</v>
      </c>
    </row>
    <row r="1500" spans="1:18" ht="14.25" thickBot="1">
      <c r="A1500" s="1" t="s">
        <v>1192</v>
      </c>
      <c r="B1500" s="3">
        <v>1</v>
      </c>
      <c r="C1500" s="1" t="s">
        <v>2531</v>
      </c>
      <c r="D1500" s="1" t="s">
        <v>14</v>
      </c>
      <c r="E1500" s="1">
        <v>7</v>
      </c>
      <c r="F1500" s="1">
        <v>4</v>
      </c>
      <c r="G1500" s="1">
        <v>20</v>
      </c>
      <c r="H1500" s="10">
        <v>0</v>
      </c>
      <c r="I1500" s="1">
        <v>20000</v>
      </c>
      <c r="J1500" s="1">
        <v>50</v>
      </c>
      <c r="K1500" s="1">
        <v>500</v>
      </c>
      <c r="L1500" s="1">
        <v>12500</v>
      </c>
      <c r="M1500" s="1" t="s">
        <v>1871</v>
      </c>
      <c r="N1500" s="1" t="s">
        <v>1420</v>
      </c>
      <c r="O1500" s="1">
        <v>0</v>
      </c>
      <c r="P1500" s="1" t="s">
        <v>2049</v>
      </c>
      <c r="Q1500" s="7" t="str">
        <f t="shared" si="40"/>
        <v>equipment/7005.png</v>
      </c>
      <c r="R1500" s="1">
        <v>0</v>
      </c>
    </row>
    <row r="1501" spans="1:18" ht="14.25" thickBot="1">
      <c r="A1501" s="1" t="s">
        <v>1193</v>
      </c>
      <c r="B1501" s="3">
        <v>1</v>
      </c>
      <c r="C1501" s="1" t="s">
        <v>2532</v>
      </c>
      <c r="D1501" s="1" t="s">
        <v>14</v>
      </c>
      <c r="E1501" s="1">
        <v>7</v>
      </c>
      <c r="F1501" s="1">
        <v>4</v>
      </c>
      <c r="G1501" s="1">
        <v>20</v>
      </c>
      <c r="H1501" s="10">
        <v>0</v>
      </c>
      <c r="I1501" s="1">
        <v>23000</v>
      </c>
      <c r="J1501" s="1">
        <v>50</v>
      </c>
      <c r="K1501" s="1">
        <v>500</v>
      </c>
      <c r="L1501" s="1">
        <v>15000</v>
      </c>
      <c r="M1501" s="1" t="s">
        <v>1872</v>
      </c>
      <c r="N1501" s="1" t="s">
        <v>1420</v>
      </c>
      <c r="O1501" s="1">
        <v>0</v>
      </c>
      <c r="P1501" s="1" t="s">
        <v>2049</v>
      </c>
      <c r="Q1501" s="7" t="str">
        <f t="shared" si="40"/>
        <v>equipment/7004.png</v>
      </c>
      <c r="R1501" s="1">
        <v>0</v>
      </c>
    </row>
    <row r="1502" spans="1:18" ht="14.25" thickBot="1">
      <c r="A1502" s="1" t="s">
        <v>1194</v>
      </c>
      <c r="B1502" s="3">
        <v>1</v>
      </c>
      <c r="C1502" s="1" t="s">
        <v>2062</v>
      </c>
      <c r="D1502" s="1" t="s">
        <v>8</v>
      </c>
      <c r="E1502" s="1">
        <v>1</v>
      </c>
      <c r="F1502" s="1">
        <v>4</v>
      </c>
      <c r="G1502" s="1">
        <v>25</v>
      </c>
      <c r="H1502" s="10">
        <v>0</v>
      </c>
      <c r="I1502" s="1">
        <v>25000</v>
      </c>
      <c r="J1502" s="1">
        <v>50</v>
      </c>
      <c r="K1502" s="1">
        <v>500</v>
      </c>
      <c r="L1502" s="1">
        <v>15000</v>
      </c>
      <c r="M1502" s="1" t="s">
        <v>1873</v>
      </c>
      <c r="N1502" s="1" t="s">
        <v>1422</v>
      </c>
      <c r="O1502" s="1">
        <v>0</v>
      </c>
      <c r="P1502" s="1" t="s">
        <v>2050</v>
      </c>
      <c r="Q1502" s="7" t="str">
        <f t="shared" si="40"/>
        <v>equipment/3005.png</v>
      </c>
      <c r="R1502" s="1">
        <v>0</v>
      </c>
    </row>
    <row r="1503" spans="1:18" ht="14.25" thickBot="1">
      <c r="A1503" s="1" t="s">
        <v>1195</v>
      </c>
      <c r="B1503" s="3">
        <v>1</v>
      </c>
      <c r="C1503" s="1" t="s">
        <v>2334</v>
      </c>
      <c r="D1503" s="1" t="s">
        <v>9</v>
      </c>
      <c r="E1503" s="1">
        <v>2</v>
      </c>
      <c r="F1503" s="1">
        <v>4</v>
      </c>
      <c r="G1503" s="1">
        <v>25</v>
      </c>
      <c r="H1503" s="10">
        <v>0</v>
      </c>
      <c r="I1503" s="1">
        <v>25000</v>
      </c>
      <c r="J1503" s="1">
        <v>50</v>
      </c>
      <c r="K1503" s="1">
        <v>500</v>
      </c>
      <c r="L1503" s="1">
        <v>15000</v>
      </c>
      <c r="M1503" s="1" t="s">
        <v>1874</v>
      </c>
      <c r="N1503" s="1" t="s">
        <v>1422</v>
      </c>
      <c r="O1503" s="1">
        <v>0</v>
      </c>
      <c r="P1503" s="1" t="s">
        <v>2050</v>
      </c>
      <c r="Q1503" s="7" t="str">
        <f t="shared" si="40"/>
        <v>equipment/14004.png</v>
      </c>
      <c r="R1503" s="1">
        <v>0</v>
      </c>
    </row>
    <row r="1504" spans="1:18" ht="14.25" thickBot="1">
      <c r="A1504" s="1" t="s">
        <v>1196</v>
      </c>
      <c r="B1504" s="3">
        <v>1</v>
      </c>
      <c r="C1504" s="1" t="s">
        <v>2533</v>
      </c>
      <c r="D1504" s="1" t="s">
        <v>10</v>
      </c>
      <c r="E1504" s="1">
        <v>3</v>
      </c>
      <c r="F1504" s="1">
        <v>4</v>
      </c>
      <c r="G1504" s="1">
        <v>25</v>
      </c>
      <c r="H1504" s="10">
        <v>0</v>
      </c>
      <c r="I1504" s="1">
        <v>25000</v>
      </c>
      <c r="J1504" s="1">
        <v>50</v>
      </c>
      <c r="K1504" s="1">
        <v>500</v>
      </c>
      <c r="L1504" s="1">
        <v>15000</v>
      </c>
      <c r="M1504" s="1" t="s">
        <v>1875</v>
      </c>
      <c r="N1504" s="1" t="s">
        <v>1422</v>
      </c>
      <c r="O1504" s="1">
        <v>0</v>
      </c>
      <c r="P1504" s="1" t="s">
        <v>2050</v>
      </c>
      <c r="Q1504" s="7" t="str">
        <f t="shared" si="40"/>
        <v>equipment/6005.png</v>
      </c>
      <c r="R1504" s="1">
        <v>0</v>
      </c>
    </row>
    <row r="1505" spans="1:18" ht="14.25" thickBot="1">
      <c r="A1505" s="1" t="s">
        <v>1197</v>
      </c>
      <c r="B1505" s="3">
        <v>1</v>
      </c>
      <c r="C1505" s="1" t="s">
        <v>2534</v>
      </c>
      <c r="D1505" s="1" t="s">
        <v>15</v>
      </c>
      <c r="E1505" s="1">
        <v>8</v>
      </c>
      <c r="F1505" s="1">
        <v>4</v>
      </c>
      <c r="G1505" s="1">
        <v>25</v>
      </c>
      <c r="H1505" s="10">
        <v>0</v>
      </c>
      <c r="I1505" s="1">
        <v>25000</v>
      </c>
      <c r="J1505" s="1">
        <v>50</v>
      </c>
      <c r="K1505" s="1">
        <v>500</v>
      </c>
      <c r="L1505" s="1">
        <v>15000</v>
      </c>
      <c r="M1505" s="1" t="s">
        <v>1860</v>
      </c>
      <c r="N1505" s="1" t="s">
        <v>1422</v>
      </c>
      <c r="O1505" s="1">
        <v>0</v>
      </c>
      <c r="P1505" s="1" t="s">
        <v>2050</v>
      </c>
      <c r="Q1505" s="7" t="str">
        <f t="shared" si="40"/>
        <v>equipment/8004.png</v>
      </c>
      <c r="R1505" s="1">
        <v>0</v>
      </c>
    </row>
    <row r="1506" spans="1:18" ht="14.25" thickBot="1">
      <c r="A1506" s="1" t="s">
        <v>1198</v>
      </c>
      <c r="B1506" s="2">
        <v>1</v>
      </c>
      <c r="C1506" s="1" t="s">
        <v>2535</v>
      </c>
      <c r="D1506" s="1" t="s">
        <v>16</v>
      </c>
      <c r="E1506" s="1">
        <v>9</v>
      </c>
      <c r="F1506" s="1">
        <v>4</v>
      </c>
      <c r="G1506" s="1">
        <v>25</v>
      </c>
      <c r="H1506" s="10">
        <v>0</v>
      </c>
      <c r="I1506" s="1">
        <v>25000</v>
      </c>
      <c r="J1506" s="1">
        <v>50</v>
      </c>
      <c r="K1506" s="1">
        <v>500</v>
      </c>
      <c r="L1506" s="1">
        <v>15000</v>
      </c>
      <c r="M1506" s="1" t="s">
        <v>1876</v>
      </c>
      <c r="N1506" s="1" t="s">
        <v>1422</v>
      </c>
      <c r="O1506" s="1">
        <v>0</v>
      </c>
      <c r="P1506" s="1" t="s">
        <v>2050</v>
      </c>
      <c r="Q1506" s="7" t="str">
        <f t="shared" si="40"/>
        <v>equipment/10003.png</v>
      </c>
      <c r="R1506" s="1">
        <v>0</v>
      </c>
    </row>
    <row r="1507" spans="1:18" ht="14.25" thickBot="1">
      <c r="A1507" s="1" t="s">
        <v>1199</v>
      </c>
      <c r="B1507" s="3">
        <v>1</v>
      </c>
      <c r="C1507" s="1" t="s">
        <v>2077</v>
      </c>
      <c r="D1507" s="1" t="s">
        <v>17</v>
      </c>
      <c r="E1507" s="1">
        <v>10</v>
      </c>
      <c r="F1507" s="1">
        <v>4</v>
      </c>
      <c r="G1507" s="1">
        <v>25</v>
      </c>
      <c r="H1507" s="10">
        <v>0</v>
      </c>
      <c r="I1507" s="1">
        <v>25000</v>
      </c>
      <c r="J1507" s="1">
        <v>50</v>
      </c>
      <c r="K1507" s="1">
        <v>500</v>
      </c>
      <c r="L1507" s="1">
        <v>15000</v>
      </c>
      <c r="M1507" s="1" t="s">
        <v>1877</v>
      </c>
      <c r="N1507" s="1" t="s">
        <v>1422</v>
      </c>
      <c r="O1507" s="1">
        <v>0</v>
      </c>
      <c r="P1507" s="1" t="s">
        <v>2050</v>
      </c>
      <c r="Q1507" s="7" t="str">
        <f t="shared" si="40"/>
        <v>equipment/12004.png</v>
      </c>
      <c r="R1507" s="1">
        <v>0</v>
      </c>
    </row>
    <row r="1508" spans="1:18" ht="14.25" thickBot="1">
      <c r="A1508" s="1" t="s">
        <v>1200</v>
      </c>
      <c r="B1508" s="3">
        <v>1</v>
      </c>
      <c r="C1508" s="9" t="s">
        <v>2536</v>
      </c>
      <c r="D1508" s="1" t="s">
        <v>12</v>
      </c>
      <c r="E1508" s="1">
        <v>5</v>
      </c>
      <c r="F1508" s="1">
        <v>4</v>
      </c>
      <c r="G1508" s="1">
        <v>25</v>
      </c>
      <c r="H1508" s="10" t="s">
        <v>2120</v>
      </c>
      <c r="I1508" s="1">
        <v>25000</v>
      </c>
      <c r="J1508" s="1">
        <v>50</v>
      </c>
      <c r="K1508" s="1">
        <v>500</v>
      </c>
      <c r="L1508" s="1">
        <v>15000</v>
      </c>
      <c r="M1508" s="1" t="s">
        <v>1878</v>
      </c>
      <c r="N1508" s="1" t="s">
        <v>1423</v>
      </c>
      <c r="O1508" s="1">
        <v>0</v>
      </c>
      <c r="P1508" s="1" t="s">
        <v>2050</v>
      </c>
      <c r="Q1508" s="7" t="str">
        <f t="shared" si="40"/>
        <v>equipment/1110.png</v>
      </c>
      <c r="R1508" s="1">
        <v>0</v>
      </c>
    </row>
    <row r="1509" spans="1:18" ht="14.25" thickBot="1">
      <c r="A1509" s="1" t="s">
        <v>1201</v>
      </c>
      <c r="B1509" s="3">
        <v>1</v>
      </c>
      <c r="C1509" s="9" t="s">
        <v>2537</v>
      </c>
      <c r="D1509" s="1" t="s">
        <v>12</v>
      </c>
      <c r="E1509" s="1">
        <v>5</v>
      </c>
      <c r="F1509" s="1">
        <v>4</v>
      </c>
      <c r="G1509" s="1">
        <v>25</v>
      </c>
      <c r="H1509" s="10" t="s">
        <v>2120</v>
      </c>
      <c r="I1509" s="1">
        <v>28000</v>
      </c>
      <c r="J1509" s="1">
        <v>50</v>
      </c>
      <c r="K1509" s="1">
        <v>500</v>
      </c>
      <c r="L1509" s="1">
        <v>17500</v>
      </c>
      <c r="M1509" s="1" t="s">
        <v>2016</v>
      </c>
      <c r="N1509" s="1" t="s">
        <v>1423</v>
      </c>
      <c r="O1509" s="1">
        <v>0</v>
      </c>
      <c r="P1509" s="1" t="s">
        <v>2050</v>
      </c>
      <c r="Q1509" s="7" t="str">
        <f t="shared" si="40"/>
        <v>equipment/1111.png</v>
      </c>
      <c r="R1509" s="1">
        <v>0</v>
      </c>
    </row>
    <row r="1510" spans="1:18" ht="14.25" thickBot="1">
      <c r="A1510" s="1" t="s">
        <v>1202</v>
      </c>
      <c r="B1510" s="3">
        <v>1</v>
      </c>
      <c r="C1510" s="9" t="s">
        <v>2538</v>
      </c>
      <c r="D1510" s="1" t="s">
        <v>13</v>
      </c>
      <c r="E1510" s="1">
        <v>6</v>
      </c>
      <c r="F1510" s="1">
        <v>4</v>
      </c>
      <c r="G1510" s="1">
        <v>25</v>
      </c>
      <c r="H1510" s="10" t="s">
        <v>2120</v>
      </c>
      <c r="I1510" s="1">
        <v>25000</v>
      </c>
      <c r="J1510" s="1">
        <v>50</v>
      </c>
      <c r="K1510" s="1">
        <v>500</v>
      </c>
      <c r="L1510" s="1">
        <v>15000</v>
      </c>
      <c r="M1510" s="1" t="s">
        <v>1879</v>
      </c>
      <c r="N1510" s="1" t="s">
        <v>1423</v>
      </c>
      <c r="O1510" s="1">
        <v>0</v>
      </c>
      <c r="P1510" s="1" t="s">
        <v>2050</v>
      </c>
      <c r="Q1510" s="7" t="str">
        <f t="shared" si="40"/>
        <v>equipment/2106.png</v>
      </c>
      <c r="R1510" s="1">
        <v>0</v>
      </c>
    </row>
    <row r="1511" spans="1:18" ht="14.25" thickBot="1">
      <c r="A1511" s="1" t="s">
        <v>1203</v>
      </c>
      <c r="B1511" s="2">
        <v>0</v>
      </c>
      <c r="C1511" s="9" t="s">
        <v>2061</v>
      </c>
      <c r="D1511" s="1" t="s">
        <v>13</v>
      </c>
      <c r="E1511" s="1">
        <v>6</v>
      </c>
      <c r="F1511" s="1">
        <v>4</v>
      </c>
      <c r="G1511" s="1">
        <v>25</v>
      </c>
      <c r="H1511" s="10" t="s">
        <v>2120</v>
      </c>
      <c r="I1511" s="1">
        <v>28000</v>
      </c>
      <c r="J1511" s="1">
        <v>50</v>
      </c>
      <c r="K1511" s="1">
        <v>500</v>
      </c>
      <c r="L1511" s="1">
        <v>17500</v>
      </c>
      <c r="M1511" s="1" t="s">
        <v>1880</v>
      </c>
      <c r="N1511" s="1" t="s">
        <v>1423</v>
      </c>
      <c r="O1511" s="1">
        <v>0</v>
      </c>
      <c r="P1511" s="1" t="s">
        <v>2050</v>
      </c>
      <c r="Q1511" s="7" t="str">
        <f t="shared" si="40"/>
        <v>equipment/2101.png</v>
      </c>
      <c r="R1511" s="1">
        <v>0</v>
      </c>
    </row>
    <row r="1512" spans="1:18" ht="14.25" thickBot="1">
      <c r="A1512" s="1" t="s">
        <v>1204</v>
      </c>
      <c r="B1512" s="3">
        <v>1</v>
      </c>
      <c r="C1512" s="1" t="s">
        <v>2108</v>
      </c>
      <c r="D1512" s="1" t="s">
        <v>12</v>
      </c>
      <c r="E1512" s="1">
        <v>5</v>
      </c>
      <c r="F1512" s="1">
        <v>4</v>
      </c>
      <c r="G1512" s="1">
        <v>25</v>
      </c>
      <c r="H1512" s="10" t="s">
        <v>2121</v>
      </c>
      <c r="I1512" s="1">
        <v>25000</v>
      </c>
      <c r="J1512" s="1">
        <v>50</v>
      </c>
      <c r="K1512" s="1">
        <v>500</v>
      </c>
      <c r="L1512" s="1">
        <v>15000</v>
      </c>
      <c r="M1512" s="1" t="s">
        <v>1878</v>
      </c>
      <c r="N1512" s="1" t="s">
        <v>1423</v>
      </c>
      <c r="O1512" s="1">
        <v>0</v>
      </c>
      <c r="P1512" s="1" t="s">
        <v>2050</v>
      </c>
      <c r="Q1512" s="7" t="str">
        <f t="shared" si="40"/>
        <v>equipment/1210.png</v>
      </c>
      <c r="R1512" s="1">
        <v>0</v>
      </c>
    </row>
    <row r="1513" spans="1:18" ht="14.25" thickBot="1">
      <c r="A1513" s="1" t="s">
        <v>1205</v>
      </c>
      <c r="B1513" s="3">
        <v>1</v>
      </c>
      <c r="C1513" s="1" t="s">
        <v>2539</v>
      </c>
      <c r="D1513" s="1" t="s">
        <v>12</v>
      </c>
      <c r="E1513" s="1">
        <v>5</v>
      </c>
      <c r="F1513" s="1">
        <v>4</v>
      </c>
      <c r="G1513" s="1">
        <v>25</v>
      </c>
      <c r="H1513" s="10" t="s">
        <v>2121</v>
      </c>
      <c r="I1513" s="1">
        <v>28000</v>
      </c>
      <c r="J1513" s="1">
        <v>50</v>
      </c>
      <c r="K1513" s="1">
        <v>500</v>
      </c>
      <c r="L1513" s="1">
        <v>17500</v>
      </c>
      <c r="M1513" s="1" t="s">
        <v>2016</v>
      </c>
      <c r="N1513" s="1" t="s">
        <v>1423</v>
      </c>
      <c r="O1513" s="1">
        <v>0</v>
      </c>
      <c r="P1513" s="1" t="s">
        <v>2050</v>
      </c>
      <c r="Q1513" s="7" t="str">
        <f t="shared" si="40"/>
        <v>equipment/1215.png</v>
      </c>
      <c r="R1513" s="1">
        <v>0</v>
      </c>
    </row>
    <row r="1514" spans="1:18" ht="14.25" thickBot="1">
      <c r="A1514" s="1" t="s">
        <v>1206</v>
      </c>
      <c r="B1514" s="3">
        <v>1</v>
      </c>
      <c r="C1514" s="9" t="s">
        <v>2109</v>
      </c>
      <c r="D1514" s="1" t="s">
        <v>13</v>
      </c>
      <c r="E1514" s="1">
        <v>6</v>
      </c>
      <c r="F1514" s="1">
        <v>4</v>
      </c>
      <c r="G1514" s="1">
        <v>25</v>
      </c>
      <c r="H1514" s="10" t="s">
        <v>2121</v>
      </c>
      <c r="I1514" s="1">
        <v>25000</v>
      </c>
      <c r="J1514" s="1">
        <v>50</v>
      </c>
      <c r="K1514" s="1">
        <v>500</v>
      </c>
      <c r="L1514" s="1">
        <v>15000</v>
      </c>
      <c r="M1514" s="1" t="s">
        <v>1881</v>
      </c>
      <c r="N1514" s="1" t="s">
        <v>1423</v>
      </c>
      <c r="O1514" s="1">
        <v>0</v>
      </c>
      <c r="P1514" s="1" t="s">
        <v>2050</v>
      </c>
      <c r="Q1514" s="7" t="str">
        <f t="shared" si="40"/>
        <v>equipment/2206.png</v>
      </c>
      <c r="R1514" s="1">
        <v>0</v>
      </c>
    </row>
    <row r="1515" spans="1:18" ht="14.25" thickBot="1">
      <c r="A1515" s="1" t="s">
        <v>1207</v>
      </c>
      <c r="B1515" s="2">
        <v>0</v>
      </c>
      <c r="C1515" s="9" t="s">
        <v>2094</v>
      </c>
      <c r="D1515" s="1" t="s">
        <v>13</v>
      </c>
      <c r="E1515" s="1">
        <v>6</v>
      </c>
      <c r="F1515" s="1">
        <v>4</v>
      </c>
      <c r="G1515" s="1">
        <v>25</v>
      </c>
      <c r="H1515" s="10" t="s">
        <v>2121</v>
      </c>
      <c r="I1515" s="1">
        <v>28000</v>
      </c>
      <c r="J1515" s="1">
        <v>50</v>
      </c>
      <c r="K1515" s="1">
        <v>500</v>
      </c>
      <c r="L1515" s="1">
        <v>17500</v>
      </c>
      <c r="M1515" s="1" t="s">
        <v>1882</v>
      </c>
      <c r="N1515" s="1" t="s">
        <v>1423</v>
      </c>
      <c r="O1515" s="1">
        <v>0</v>
      </c>
      <c r="P1515" s="1" t="s">
        <v>2050</v>
      </c>
      <c r="Q1515" s="7" t="str">
        <f t="shared" si="40"/>
        <v>equipment/2201.png</v>
      </c>
      <c r="R1515" s="1">
        <v>0</v>
      </c>
    </row>
    <row r="1516" spans="1:18" ht="14.25" thickBot="1">
      <c r="A1516" s="1" t="s">
        <v>1208</v>
      </c>
      <c r="B1516" s="3">
        <v>1</v>
      </c>
      <c r="C1516" s="9" t="s">
        <v>2540</v>
      </c>
      <c r="D1516" s="1" t="s">
        <v>12</v>
      </c>
      <c r="E1516" s="1">
        <v>5</v>
      </c>
      <c r="F1516" s="1">
        <v>4</v>
      </c>
      <c r="G1516" s="1">
        <v>25</v>
      </c>
      <c r="H1516" s="10" t="s">
        <v>2122</v>
      </c>
      <c r="I1516" s="1">
        <v>25000</v>
      </c>
      <c r="J1516" s="1">
        <v>50</v>
      </c>
      <c r="K1516" s="1">
        <v>500</v>
      </c>
      <c r="L1516" s="1">
        <v>15000</v>
      </c>
      <c r="M1516" s="1" t="s">
        <v>1878</v>
      </c>
      <c r="N1516" s="1" t="s">
        <v>1423</v>
      </c>
      <c r="O1516" s="1">
        <v>0</v>
      </c>
      <c r="P1516" s="1" t="s">
        <v>2050</v>
      </c>
      <c r="Q1516" s="7" t="str">
        <f t="shared" si="40"/>
        <v>equipment/1311.png</v>
      </c>
      <c r="R1516" s="1">
        <v>0</v>
      </c>
    </row>
    <row r="1517" spans="1:18" ht="14.25" thickBot="1">
      <c r="A1517" s="1" t="s">
        <v>1209</v>
      </c>
      <c r="B1517" s="2">
        <v>0</v>
      </c>
      <c r="C1517" s="9" t="s">
        <v>2541</v>
      </c>
      <c r="D1517" s="1" t="s">
        <v>12</v>
      </c>
      <c r="E1517" s="1">
        <v>5</v>
      </c>
      <c r="F1517" s="1">
        <v>4</v>
      </c>
      <c r="G1517" s="1">
        <v>25</v>
      </c>
      <c r="H1517" s="10" t="s">
        <v>2122</v>
      </c>
      <c r="I1517" s="1">
        <v>28000</v>
      </c>
      <c r="J1517" s="1">
        <v>50</v>
      </c>
      <c r="K1517" s="1">
        <v>500</v>
      </c>
      <c r="L1517" s="1">
        <v>17500</v>
      </c>
      <c r="M1517" s="1" t="s">
        <v>2016</v>
      </c>
      <c r="N1517" s="1" t="s">
        <v>1423</v>
      </c>
      <c r="O1517" s="1">
        <v>0</v>
      </c>
      <c r="P1517" s="1" t="s">
        <v>2050</v>
      </c>
      <c r="Q1517" s="7" t="str">
        <f t="shared" si="40"/>
        <v>equipment/1312.png</v>
      </c>
      <c r="R1517" s="1">
        <v>0</v>
      </c>
    </row>
    <row r="1518" spans="1:18" ht="14.25" thickBot="1">
      <c r="A1518" s="1" t="s">
        <v>1210</v>
      </c>
      <c r="B1518" s="3">
        <v>1</v>
      </c>
      <c r="C1518" s="9" t="s">
        <v>2542</v>
      </c>
      <c r="D1518" s="1" t="s">
        <v>13</v>
      </c>
      <c r="E1518" s="1">
        <v>6</v>
      </c>
      <c r="F1518" s="1">
        <v>4</v>
      </c>
      <c r="G1518" s="1">
        <v>25</v>
      </c>
      <c r="H1518" s="10" t="s">
        <v>2122</v>
      </c>
      <c r="I1518" s="1">
        <v>25000</v>
      </c>
      <c r="J1518" s="1">
        <v>50</v>
      </c>
      <c r="K1518" s="1">
        <v>500</v>
      </c>
      <c r="L1518" s="1">
        <v>15000</v>
      </c>
      <c r="M1518" s="1" t="s">
        <v>1883</v>
      </c>
      <c r="N1518" s="1" t="s">
        <v>1423</v>
      </c>
      <c r="O1518" s="1">
        <v>0</v>
      </c>
      <c r="P1518" s="1" t="s">
        <v>2050</v>
      </c>
      <c r="Q1518" s="7" t="str">
        <f t="shared" si="40"/>
        <v>equipment/2306.png</v>
      </c>
      <c r="R1518" s="1">
        <v>0</v>
      </c>
    </row>
    <row r="1519" spans="1:18" ht="14.25" thickBot="1">
      <c r="A1519" s="1" t="s">
        <v>1211</v>
      </c>
      <c r="B1519" s="2">
        <v>0</v>
      </c>
      <c r="C1519" s="9" t="s">
        <v>2095</v>
      </c>
      <c r="D1519" s="1" t="s">
        <v>13</v>
      </c>
      <c r="E1519" s="1">
        <v>6</v>
      </c>
      <c r="F1519" s="1">
        <v>4</v>
      </c>
      <c r="G1519" s="1">
        <v>25</v>
      </c>
      <c r="H1519" s="10" t="s">
        <v>2122</v>
      </c>
      <c r="I1519" s="1">
        <v>28000</v>
      </c>
      <c r="J1519" s="1">
        <v>50</v>
      </c>
      <c r="K1519" s="1">
        <v>500</v>
      </c>
      <c r="L1519" s="1">
        <v>17500</v>
      </c>
      <c r="M1519" s="1" t="s">
        <v>1884</v>
      </c>
      <c r="N1519" s="1" t="s">
        <v>1423</v>
      </c>
      <c r="O1519" s="1">
        <v>0</v>
      </c>
      <c r="P1519" s="1" t="s">
        <v>2050</v>
      </c>
      <c r="Q1519" s="7" t="str">
        <f t="shared" si="40"/>
        <v>equipment/2301.png</v>
      </c>
      <c r="R1519" s="1">
        <v>0</v>
      </c>
    </row>
    <row r="1520" spans="1:18" ht="14.25" thickBot="1">
      <c r="A1520" s="1" t="s">
        <v>1212</v>
      </c>
      <c r="B1520" s="3">
        <v>1</v>
      </c>
      <c r="C1520" s="1" t="s">
        <v>2083</v>
      </c>
      <c r="D1520" s="1" t="s">
        <v>11</v>
      </c>
      <c r="E1520" s="1">
        <v>4</v>
      </c>
      <c r="F1520" s="1">
        <v>4</v>
      </c>
      <c r="G1520" s="1">
        <v>25</v>
      </c>
      <c r="H1520" s="10">
        <v>0</v>
      </c>
      <c r="I1520" s="1">
        <v>25000</v>
      </c>
      <c r="J1520" s="1">
        <v>50</v>
      </c>
      <c r="K1520" s="1">
        <v>500</v>
      </c>
      <c r="L1520" s="1">
        <v>15000</v>
      </c>
      <c r="M1520" s="1" t="s">
        <v>1885</v>
      </c>
      <c r="N1520" s="1" t="s">
        <v>1422</v>
      </c>
      <c r="O1520" s="1">
        <v>0</v>
      </c>
      <c r="P1520" s="1" t="s">
        <v>2050</v>
      </c>
      <c r="Q1520" s="7" t="str">
        <f t="shared" si="40"/>
        <v>equipment/5007.png</v>
      </c>
      <c r="R1520" s="1">
        <v>0</v>
      </c>
    </row>
    <row r="1521" spans="1:18" ht="14.25" thickBot="1">
      <c r="A1521" s="1" t="s">
        <v>1213</v>
      </c>
      <c r="B1521" s="2">
        <v>0</v>
      </c>
      <c r="C1521" s="1" t="s">
        <v>2499</v>
      </c>
      <c r="D1521" s="1" t="s">
        <v>11</v>
      </c>
      <c r="E1521" s="1">
        <v>4</v>
      </c>
      <c r="F1521" s="1">
        <v>4</v>
      </c>
      <c r="G1521" s="1">
        <v>25</v>
      </c>
      <c r="H1521" s="10">
        <v>0</v>
      </c>
      <c r="I1521" s="1">
        <v>28000</v>
      </c>
      <c r="J1521" s="1">
        <v>50</v>
      </c>
      <c r="K1521" s="1">
        <v>500</v>
      </c>
      <c r="L1521" s="1">
        <v>17500</v>
      </c>
      <c r="M1521" s="1" t="s">
        <v>1886</v>
      </c>
      <c r="N1521" s="1" t="s">
        <v>1422</v>
      </c>
      <c r="O1521" s="1">
        <v>0</v>
      </c>
      <c r="P1521" s="1" t="s">
        <v>2050</v>
      </c>
      <c r="Q1521" s="7" t="str">
        <f t="shared" si="40"/>
        <v>equipment/5001.png</v>
      </c>
      <c r="R1521" s="1">
        <v>0</v>
      </c>
    </row>
    <row r="1522" spans="1:18" ht="14.25" thickBot="1">
      <c r="A1522" s="1" t="s">
        <v>1214</v>
      </c>
      <c r="B1522" s="3">
        <v>1</v>
      </c>
      <c r="C1522" s="1" t="s">
        <v>2089</v>
      </c>
      <c r="D1522" s="1" t="s">
        <v>14</v>
      </c>
      <c r="E1522" s="1">
        <v>7</v>
      </c>
      <c r="F1522" s="1">
        <v>4</v>
      </c>
      <c r="G1522" s="1">
        <v>25</v>
      </c>
      <c r="H1522" s="10">
        <v>0</v>
      </c>
      <c r="I1522" s="1">
        <v>25000</v>
      </c>
      <c r="J1522" s="1">
        <v>50</v>
      </c>
      <c r="K1522" s="1">
        <v>500</v>
      </c>
      <c r="L1522" s="1">
        <v>15000</v>
      </c>
      <c r="M1522" s="1" t="s">
        <v>1887</v>
      </c>
      <c r="N1522" s="1" t="s">
        <v>1422</v>
      </c>
      <c r="O1522" s="1">
        <v>0</v>
      </c>
      <c r="P1522" s="1" t="s">
        <v>2050</v>
      </c>
      <c r="Q1522" s="7" t="str">
        <f t="shared" si="40"/>
        <v>equipment/7006.png</v>
      </c>
      <c r="R1522" s="1">
        <v>0</v>
      </c>
    </row>
    <row r="1523" spans="1:18" ht="14.25" thickBot="1">
      <c r="A1523" s="1" t="s">
        <v>1215</v>
      </c>
      <c r="B1523" s="2">
        <v>0</v>
      </c>
      <c r="C1523" s="1" t="s">
        <v>2501</v>
      </c>
      <c r="D1523" s="1" t="s">
        <v>14</v>
      </c>
      <c r="E1523" s="1">
        <v>7</v>
      </c>
      <c r="F1523" s="1">
        <v>4</v>
      </c>
      <c r="G1523" s="1">
        <v>25</v>
      </c>
      <c r="H1523" s="10">
        <v>0</v>
      </c>
      <c r="I1523" s="1">
        <v>28000</v>
      </c>
      <c r="J1523" s="1">
        <v>50</v>
      </c>
      <c r="K1523" s="1">
        <v>500</v>
      </c>
      <c r="L1523" s="1">
        <v>17500</v>
      </c>
      <c r="M1523" s="1" t="s">
        <v>1888</v>
      </c>
      <c r="N1523" s="1" t="s">
        <v>1422</v>
      </c>
      <c r="O1523" s="1">
        <v>0</v>
      </c>
      <c r="P1523" s="1" t="s">
        <v>2050</v>
      </c>
      <c r="Q1523" s="7" t="str">
        <f t="shared" si="40"/>
        <v>equipment/7001.png</v>
      </c>
      <c r="R1523" s="1">
        <v>0</v>
      </c>
    </row>
    <row r="1524" spans="1:18" ht="14.25" thickBot="1">
      <c r="A1524" s="1" t="s">
        <v>1216</v>
      </c>
      <c r="B1524" s="3">
        <v>1</v>
      </c>
      <c r="C1524" s="1" t="s">
        <v>2063</v>
      </c>
      <c r="D1524" s="1" t="s">
        <v>8</v>
      </c>
      <c r="E1524" s="1">
        <v>1</v>
      </c>
      <c r="F1524" s="1">
        <v>4</v>
      </c>
      <c r="G1524" s="1">
        <v>30</v>
      </c>
      <c r="H1524" s="10">
        <v>0</v>
      </c>
      <c r="I1524" s="1">
        <v>30000</v>
      </c>
      <c r="J1524" s="1">
        <v>50</v>
      </c>
      <c r="K1524" s="1">
        <v>500</v>
      </c>
      <c r="L1524" s="1">
        <v>17500</v>
      </c>
      <c r="M1524" s="1" t="s">
        <v>1889</v>
      </c>
      <c r="N1524" s="1" t="s">
        <v>1424</v>
      </c>
      <c r="O1524" s="1">
        <v>0</v>
      </c>
      <c r="P1524" s="1" t="s">
        <v>2051</v>
      </c>
      <c r="Q1524" s="7" t="str">
        <f t="shared" si="40"/>
        <v>equipment/3004.png</v>
      </c>
      <c r="R1524" s="1">
        <v>0</v>
      </c>
    </row>
    <row r="1525" spans="1:18" ht="14.25" thickBot="1">
      <c r="A1525" s="1" t="s">
        <v>1217</v>
      </c>
      <c r="B1525" s="3">
        <v>1</v>
      </c>
      <c r="C1525" s="1" t="s">
        <v>2543</v>
      </c>
      <c r="D1525" s="1" t="s">
        <v>9</v>
      </c>
      <c r="E1525" s="1">
        <v>2</v>
      </c>
      <c r="F1525" s="1">
        <v>4</v>
      </c>
      <c r="G1525" s="1">
        <v>30</v>
      </c>
      <c r="H1525" s="10">
        <v>0</v>
      </c>
      <c r="I1525" s="1">
        <v>30000</v>
      </c>
      <c r="J1525" s="1">
        <v>50</v>
      </c>
      <c r="K1525" s="1">
        <v>500</v>
      </c>
      <c r="L1525" s="1">
        <v>17500</v>
      </c>
      <c r="M1525" s="1" t="s">
        <v>1890</v>
      </c>
      <c r="N1525" s="1" t="s">
        <v>1424</v>
      </c>
      <c r="O1525" s="1">
        <v>0</v>
      </c>
      <c r="P1525" s="1" t="s">
        <v>2051</v>
      </c>
      <c r="Q1525" s="7" t="str">
        <f t="shared" si="40"/>
        <v>equipment/14005.png</v>
      </c>
      <c r="R1525" s="1">
        <v>0</v>
      </c>
    </row>
    <row r="1526" spans="1:18" ht="14.25" thickBot="1">
      <c r="A1526" s="1" t="s">
        <v>1218</v>
      </c>
      <c r="B1526" s="2">
        <v>1</v>
      </c>
      <c r="C1526" s="1" t="s">
        <v>2544</v>
      </c>
      <c r="D1526" s="1" t="s">
        <v>10</v>
      </c>
      <c r="E1526" s="1">
        <v>3</v>
      </c>
      <c r="F1526" s="1">
        <v>4</v>
      </c>
      <c r="G1526" s="1">
        <v>30</v>
      </c>
      <c r="H1526" s="10">
        <v>0</v>
      </c>
      <c r="I1526" s="1">
        <v>30000</v>
      </c>
      <c r="J1526" s="1">
        <v>50</v>
      </c>
      <c r="K1526" s="1">
        <v>500</v>
      </c>
      <c r="L1526" s="1">
        <v>17500</v>
      </c>
      <c r="M1526" s="1" t="s">
        <v>2473</v>
      </c>
      <c r="N1526" s="1" t="s">
        <v>1424</v>
      </c>
      <c r="O1526" s="1">
        <v>0</v>
      </c>
      <c r="P1526" s="1" t="s">
        <v>2051</v>
      </c>
      <c r="Q1526" s="7" t="str">
        <f t="shared" si="40"/>
        <v>equipment/6002.png</v>
      </c>
      <c r="R1526" s="1">
        <v>0</v>
      </c>
    </row>
    <row r="1527" spans="1:18" ht="14.25" thickBot="1">
      <c r="A1527" s="1" t="s">
        <v>1219</v>
      </c>
      <c r="B1527" s="3">
        <v>1</v>
      </c>
      <c r="C1527" s="1" t="s">
        <v>2069</v>
      </c>
      <c r="D1527" s="1" t="s">
        <v>15</v>
      </c>
      <c r="E1527" s="1">
        <v>8</v>
      </c>
      <c r="F1527" s="1">
        <v>4</v>
      </c>
      <c r="G1527" s="1">
        <v>30</v>
      </c>
      <c r="H1527" s="10">
        <v>0</v>
      </c>
      <c r="I1527" s="1">
        <v>30000</v>
      </c>
      <c r="J1527" s="1">
        <v>50</v>
      </c>
      <c r="K1527" s="1">
        <v>500</v>
      </c>
      <c r="L1527" s="1">
        <v>17500</v>
      </c>
      <c r="M1527" s="1" t="s">
        <v>1891</v>
      </c>
      <c r="N1527" s="1" t="s">
        <v>1424</v>
      </c>
      <c r="O1527" s="1">
        <v>0</v>
      </c>
      <c r="P1527" s="1" t="s">
        <v>2051</v>
      </c>
      <c r="Q1527" s="7" t="str">
        <f t="shared" si="40"/>
        <v>equipment/8005.png</v>
      </c>
      <c r="R1527" s="1">
        <v>0</v>
      </c>
    </row>
    <row r="1528" spans="1:18" ht="14.25" thickBot="1">
      <c r="A1528" s="1" t="s">
        <v>1220</v>
      </c>
      <c r="B1528" s="3">
        <v>1</v>
      </c>
      <c r="C1528" s="1" t="s">
        <v>2073</v>
      </c>
      <c r="D1528" s="1" t="s">
        <v>16</v>
      </c>
      <c r="E1528" s="1">
        <v>9</v>
      </c>
      <c r="F1528" s="1">
        <v>4</v>
      </c>
      <c r="G1528" s="1">
        <v>30</v>
      </c>
      <c r="H1528" s="10">
        <v>0</v>
      </c>
      <c r="I1528" s="1">
        <v>30000</v>
      </c>
      <c r="J1528" s="1">
        <v>50</v>
      </c>
      <c r="K1528" s="1">
        <v>500</v>
      </c>
      <c r="L1528" s="1">
        <v>17500</v>
      </c>
      <c r="M1528" s="1" t="s">
        <v>1892</v>
      </c>
      <c r="N1528" s="1" t="s">
        <v>1424</v>
      </c>
      <c r="O1528" s="1">
        <v>0</v>
      </c>
      <c r="P1528" s="1" t="s">
        <v>2051</v>
      </c>
      <c r="Q1528" s="7" t="str">
        <f t="shared" si="40"/>
        <v>equipment/10005.png</v>
      </c>
      <c r="R1528" s="1">
        <v>0</v>
      </c>
    </row>
    <row r="1529" spans="1:18" ht="14.25" thickBot="1">
      <c r="A1529" s="1" t="s">
        <v>1221</v>
      </c>
      <c r="B1529" s="3">
        <v>1</v>
      </c>
      <c r="C1529" s="1" t="s">
        <v>2078</v>
      </c>
      <c r="D1529" s="1" t="s">
        <v>17</v>
      </c>
      <c r="E1529" s="1">
        <v>10</v>
      </c>
      <c r="F1529" s="1">
        <v>4</v>
      </c>
      <c r="G1529" s="1">
        <v>30</v>
      </c>
      <c r="H1529" s="10">
        <v>0</v>
      </c>
      <c r="I1529" s="1">
        <v>30000</v>
      </c>
      <c r="J1529" s="1">
        <v>50</v>
      </c>
      <c r="K1529" s="1">
        <v>500</v>
      </c>
      <c r="L1529" s="1">
        <v>17500</v>
      </c>
      <c r="M1529" s="1" t="s">
        <v>1893</v>
      </c>
      <c r="N1529" s="1" t="s">
        <v>1424</v>
      </c>
      <c r="O1529" s="1">
        <v>0</v>
      </c>
      <c r="P1529" s="1" t="s">
        <v>2051</v>
      </c>
      <c r="Q1529" s="7" t="str">
        <f t="shared" si="40"/>
        <v>equipment/12005.png</v>
      </c>
      <c r="R1529" s="1">
        <v>0</v>
      </c>
    </row>
    <row r="1530" spans="1:18" ht="14.25" thickBot="1">
      <c r="A1530" s="1" t="s">
        <v>1222</v>
      </c>
      <c r="B1530" s="3">
        <v>1</v>
      </c>
      <c r="C1530" s="9" t="s">
        <v>2545</v>
      </c>
      <c r="D1530" s="1" t="s">
        <v>12</v>
      </c>
      <c r="E1530" s="1">
        <v>5</v>
      </c>
      <c r="F1530" s="1">
        <v>4</v>
      </c>
      <c r="G1530" s="1">
        <v>30</v>
      </c>
      <c r="H1530" s="10" t="s">
        <v>2120</v>
      </c>
      <c r="I1530" s="1">
        <v>30000</v>
      </c>
      <c r="J1530" s="1">
        <v>50</v>
      </c>
      <c r="K1530" s="1">
        <v>500</v>
      </c>
      <c r="L1530" s="1">
        <v>17500</v>
      </c>
      <c r="M1530" s="1" t="s">
        <v>1894</v>
      </c>
      <c r="N1530" s="1" t="s">
        <v>1425</v>
      </c>
      <c r="O1530" s="1">
        <v>0</v>
      </c>
      <c r="P1530" s="1" t="s">
        <v>2051</v>
      </c>
      <c r="Q1530" s="7" t="str">
        <f t="shared" si="40"/>
        <v>equipment/1112.png</v>
      </c>
      <c r="R1530" s="1">
        <v>0</v>
      </c>
    </row>
    <row r="1531" spans="1:18" ht="14.25" thickBot="1">
      <c r="A1531" s="1" t="s">
        <v>1223</v>
      </c>
      <c r="B1531" s="3">
        <v>1</v>
      </c>
      <c r="C1531" s="9" t="s">
        <v>2110</v>
      </c>
      <c r="D1531" s="1" t="s">
        <v>12</v>
      </c>
      <c r="E1531" s="1">
        <v>5</v>
      </c>
      <c r="F1531" s="1">
        <v>4</v>
      </c>
      <c r="G1531" s="1">
        <v>30</v>
      </c>
      <c r="H1531" s="10" t="s">
        <v>2120</v>
      </c>
      <c r="I1531" s="1">
        <v>33000</v>
      </c>
      <c r="J1531" s="1">
        <v>50</v>
      </c>
      <c r="K1531" s="1">
        <v>500</v>
      </c>
      <c r="L1531" s="1">
        <v>20000</v>
      </c>
      <c r="M1531" s="1" t="s">
        <v>2017</v>
      </c>
      <c r="N1531" s="1" t="s">
        <v>1425</v>
      </c>
      <c r="O1531" s="1">
        <v>0</v>
      </c>
      <c r="P1531" s="1" t="s">
        <v>2051</v>
      </c>
      <c r="Q1531" s="7" t="str">
        <f t="shared" si="40"/>
        <v>equipment/1113.png</v>
      </c>
      <c r="R1531" s="1">
        <v>0</v>
      </c>
    </row>
    <row r="1532" spans="1:18" ht="14.25" thickBot="1">
      <c r="A1532" s="1" t="s">
        <v>1224</v>
      </c>
      <c r="B1532" s="3">
        <v>1</v>
      </c>
      <c r="C1532" s="9" t="s">
        <v>2111</v>
      </c>
      <c r="D1532" s="1" t="s">
        <v>13</v>
      </c>
      <c r="E1532" s="1">
        <v>6</v>
      </c>
      <c r="F1532" s="1">
        <v>4</v>
      </c>
      <c r="G1532" s="1">
        <v>30</v>
      </c>
      <c r="H1532" s="10" t="s">
        <v>2120</v>
      </c>
      <c r="I1532" s="1">
        <v>30000</v>
      </c>
      <c r="J1532" s="1">
        <v>50</v>
      </c>
      <c r="K1532" s="1">
        <v>500</v>
      </c>
      <c r="L1532" s="1">
        <v>17500</v>
      </c>
      <c r="M1532" s="1" t="s">
        <v>1895</v>
      </c>
      <c r="N1532" s="1" t="s">
        <v>1425</v>
      </c>
      <c r="O1532" s="1">
        <v>0</v>
      </c>
      <c r="P1532" s="1" t="s">
        <v>2051</v>
      </c>
      <c r="Q1532" s="7" t="str">
        <f t="shared" si="40"/>
        <v>equipment/2107.png</v>
      </c>
      <c r="R1532" s="1">
        <v>0</v>
      </c>
    </row>
    <row r="1533" spans="1:18" ht="14.25" thickBot="1">
      <c r="A1533" s="1" t="s">
        <v>1225</v>
      </c>
      <c r="B1533" s="2">
        <v>0</v>
      </c>
      <c r="C1533" s="9" t="s">
        <v>2112</v>
      </c>
      <c r="D1533" s="1" t="s">
        <v>13</v>
      </c>
      <c r="E1533" s="1">
        <v>6</v>
      </c>
      <c r="F1533" s="1">
        <v>4</v>
      </c>
      <c r="G1533" s="1">
        <v>30</v>
      </c>
      <c r="H1533" s="10" t="s">
        <v>2120</v>
      </c>
      <c r="I1533" s="1">
        <v>33000</v>
      </c>
      <c r="J1533" s="1">
        <v>50</v>
      </c>
      <c r="K1533" s="1">
        <v>500</v>
      </c>
      <c r="L1533" s="1">
        <v>20000</v>
      </c>
      <c r="M1533" s="1" t="s">
        <v>1896</v>
      </c>
      <c r="N1533" s="1" t="s">
        <v>1425</v>
      </c>
      <c r="O1533" s="1">
        <v>0</v>
      </c>
      <c r="P1533" s="1" t="s">
        <v>2051</v>
      </c>
      <c r="Q1533" s="7" t="str">
        <f t="shared" si="40"/>
        <v>equipment/2108.png</v>
      </c>
      <c r="R1533" s="1">
        <v>0</v>
      </c>
    </row>
    <row r="1534" spans="1:18" ht="14.25" thickBot="1">
      <c r="A1534" s="1" t="s">
        <v>1226</v>
      </c>
      <c r="B1534" s="3">
        <v>1</v>
      </c>
      <c r="C1534" s="1" t="s">
        <v>2114</v>
      </c>
      <c r="D1534" s="1" t="s">
        <v>12</v>
      </c>
      <c r="E1534" s="1">
        <v>5</v>
      </c>
      <c r="F1534" s="1">
        <v>4</v>
      </c>
      <c r="G1534" s="1">
        <v>30</v>
      </c>
      <c r="H1534" s="10" t="s">
        <v>2121</v>
      </c>
      <c r="I1534" s="1">
        <v>30000</v>
      </c>
      <c r="J1534" s="1">
        <v>50</v>
      </c>
      <c r="K1534" s="1">
        <v>500</v>
      </c>
      <c r="L1534" s="1">
        <v>17500</v>
      </c>
      <c r="M1534" s="1" t="s">
        <v>1894</v>
      </c>
      <c r="N1534" s="1" t="s">
        <v>1425</v>
      </c>
      <c r="O1534" s="1">
        <v>0</v>
      </c>
      <c r="P1534" s="1" t="s">
        <v>2051</v>
      </c>
      <c r="Q1534" s="7" t="str">
        <f t="shared" si="40"/>
        <v>equipment/1211.png</v>
      </c>
      <c r="R1534" s="1">
        <v>0</v>
      </c>
    </row>
    <row r="1535" spans="1:18" ht="14.25" thickBot="1">
      <c r="A1535" s="1" t="s">
        <v>1227</v>
      </c>
      <c r="B1535" s="3">
        <v>1</v>
      </c>
      <c r="C1535" s="1" t="s">
        <v>2113</v>
      </c>
      <c r="D1535" s="1" t="s">
        <v>12</v>
      </c>
      <c r="E1535" s="1">
        <v>5</v>
      </c>
      <c r="F1535" s="1">
        <v>4</v>
      </c>
      <c r="G1535" s="1">
        <v>30</v>
      </c>
      <c r="H1535" s="10" t="s">
        <v>2121</v>
      </c>
      <c r="I1535" s="1">
        <v>33000</v>
      </c>
      <c r="J1535" s="1">
        <v>50</v>
      </c>
      <c r="K1535" s="1">
        <v>500</v>
      </c>
      <c r="L1535" s="1">
        <v>20000</v>
      </c>
      <c r="M1535" s="1" t="s">
        <v>2017</v>
      </c>
      <c r="N1535" s="1" t="s">
        <v>1425</v>
      </c>
      <c r="O1535" s="1">
        <v>0</v>
      </c>
      <c r="P1535" s="1" t="s">
        <v>2051</v>
      </c>
      <c r="Q1535" s="7" t="str">
        <f t="shared" si="40"/>
        <v>equipment/1212.png</v>
      </c>
      <c r="R1535" s="1">
        <v>0</v>
      </c>
    </row>
    <row r="1536" spans="1:18" ht="14.25" thickBot="1">
      <c r="A1536" s="1" t="s">
        <v>1228</v>
      </c>
      <c r="B1536" s="3">
        <v>1</v>
      </c>
      <c r="C1536" s="9" t="s">
        <v>2115</v>
      </c>
      <c r="D1536" s="1" t="s">
        <v>13</v>
      </c>
      <c r="E1536" s="1">
        <v>6</v>
      </c>
      <c r="F1536" s="1">
        <v>4</v>
      </c>
      <c r="G1536" s="1">
        <v>30</v>
      </c>
      <c r="H1536" s="10" t="s">
        <v>2121</v>
      </c>
      <c r="I1536" s="1">
        <v>30000</v>
      </c>
      <c r="J1536" s="1">
        <v>50</v>
      </c>
      <c r="K1536" s="1">
        <v>500</v>
      </c>
      <c r="L1536" s="1">
        <v>17500</v>
      </c>
      <c r="M1536" s="1" t="s">
        <v>1897</v>
      </c>
      <c r="N1536" s="1" t="s">
        <v>1425</v>
      </c>
      <c r="O1536" s="1">
        <v>0</v>
      </c>
      <c r="P1536" s="1" t="s">
        <v>2051</v>
      </c>
      <c r="Q1536" s="7" t="str">
        <f t="shared" si="40"/>
        <v>equipment/2207.png</v>
      </c>
      <c r="R1536" s="1">
        <v>0</v>
      </c>
    </row>
    <row r="1537" spans="1:18" ht="14.25" thickBot="1">
      <c r="A1537" s="1" t="s">
        <v>1229</v>
      </c>
      <c r="B1537" s="2">
        <v>0</v>
      </c>
      <c r="C1537" s="9" t="s">
        <v>2116</v>
      </c>
      <c r="D1537" s="1" t="s">
        <v>13</v>
      </c>
      <c r="E1537" s="1">
        <v>6</v>
      </c>
      <c r="F1537" s="1">
        <v>4</v>
      </c>
      <c r="G1537" s="1">
        <v>30</v>
      </c>
      <c r="H1537" s="10" t="s">
        <v>2121</v>
      </c>
      <c r="I1537" s="1">
        <v>33000</v>
      </c>
      <c r="J1537" s="1">
        <v>50</v>
      </c>
      <c r="K1537" s="1">
        <v>500</v>
      </c>
      <c r="L1537" s="1">
        <v>20000</v>
      </c>
      <c r="M1537" s="1" t="s">
        <v>1898</v>
      </c>
      <c r="N1537" s="1" t="s">
        <v>1425</v>
      </c>
      <c r="O1537" s="1">
        <v>0</v>
      </c>
      <c r="P1537" s="1" t="s">
        <v>2051</v>
      </c>
      <c r="Q1537" s="7" t="str">
        <f t="shared" si="40"/>
        <v>equipment/2208.png</v>
      </c>
      <c r="R1537" s="1">
        <v>0</v>
      </c>
    </row>
    <row r="1538" spans="1:18" ht="14.25" thickBot="1">
      <c r="A1538" s="1" t="s">
        <v>1230</v>
      </c>
      <c r="B1538" s="3">
        <v>1</v>
      </c>
      <c r="C1538" s="9" t="s">
        <v>2541</v>
      </c>
      <c r="D1538" s="1" t="s">
        <v>12</v>
      </c>
      <c r="E1538" s="1">
        <v>5</v>
      </c>
      <c r="F1538" s="1">
        <v>4</v>
      </c>
      <c r="G1538" s="1">
        <v>30</v>
      </c>
      <c r="H1538" s="10" t="s">
        <v>2122</v>
      </c>
      <c r="I1538" s="1">
        <v>30000</v>
      </c>
      <c r="J1538" s="1">
        <v>50</v>
      </c>
      <c r="K1538" s="1">
        <v>500</v>
      </c>
      <c r="L1538" s="1">
        <v>17500</v>
      </c>
      <c r="M1538" s="1" t="s">
        <v>1894</v>
      </c>
      <c r="N1538" s="1" t="s">
        <v>1425</v>
      </c>
      <c r="O1538" s="1">
        <v>0</v>
      </c>
      <c r="P1538" s="1" t="s">
        <v>2051</v>
      </c>
      <c r="Q1538" s="7" t="str">
        <f t="shared" si="40"/>
        <v>equipment/1312.png</v>
      </c>
      <c r="R1538" s="1">
        <v>0</v>
      </c>
    </row>
    <row r="1539" spans="1:18" ht="14.25" thickBot="1">
      <c r="A1539" s="1" t="s">
        <v>1231</v>
      </c>
      <c r="B1539" s="3">
        <v>1</v>
      </c>
      <c r="C1539" s="9" t="s">
        <v>2546</v>
      </c>
      <c r="D1539" s="1" t="s">
        <v>12</v>
      </c>
      <c r="E1539" s="1">
        <v>5</v>
      </c>
      <c r="F1539" s="1">
        <v>4</v>
      </c>
      <c r="G1539" s="1">
        <v>30</v>
      </c>
      <c r="H1539" s="10" t="s">
        <v>2122</v>
      </c>
      <c r="I1539" s="1">
        <v>33000</v>
      </c>
      <c r="J1539" s="1">
        <v>50</v>
      </c>
      <c r="K1539" s="1">
        <v>500</v>
      </c>
      <c r="L1539" s="1">
        <v>20000</v>
      </c>
      <c r="M1539" s="1" t="s">
        <v>2017</v>
      </c>
      <c r="N1539" s="1" t="s">
        <v>1425</v>
      </c>
      <c r="O1539" s="1">
        <v>0</v>
      </c>
      <c r="P1539" s="1" t="s">
        <v>2051</v>
      </c>
      <c r="Q1539" s="7" t="str">
        <f t="shared" si="40"/>
        <v>equipment/1313.png</v>
      </c>
      <c r="R1539" s="1">
        <v>0</v>
      </c>
    </row>
    <row r="1540" spans="1:18" ht="14.25" thickBot="1">
      <c r="A1540" s="1" t="s">
        <v>1232</v>
      </c>
      <c r="B1540" s="3">
        <v>1</v>
      </c>
      <c r="C1540" s="9" t="s">
        <v>2547</v>
      </c>
      <c r="D1540" s="1" t="s">
        <v>13</v>
      </c>
      <c r="E1540" s="1">
        <v>6</v>
      </c>
      <c r="F1540" s="1">
        <v>4</v>
      </c>
      <c r="G1540" s="1">
        <v>30</v>
      </c>
      <c r="H1540" s="10" t="s">
        <v>2122</v>
      </c>
      <c r="I1540" s="1">
        <v>30000</v>
      </c>
      <c r="J1540" s="1">
        <v>50</v>
      </c>
      <c r="K1540" s="1">
        <v>500</v>
      </c>
      <c r="L1540" s="1">
        <v>17500</v>
      </c>
      <c r="M1540" s="1" t="s">
        <v>1899</v>
      </c>
      <c r="N1540" s="1" t="s">
        <v>1425</v>
      </c>
      <c r="O1540" s="1">
        <v>0</v>
      </c>
      <c r="P1540" s="1" t="s">
        <v>2051</v>
      </c>
      <c r="Q1540" s="7" t="str">
        <f t="shared" si="40"/>
        <v>equipment/2307.png</v>
      </c>
      <c r="R1540" s="1">
        <v>0</v>
      </c>
    </row>
    <row r="1541" spans="1:18" ht="14.25" thickBot="1">
      <c r="A1541" s="1" t="s">
        <v>1233</v>
      </c>
      <c r="B1541" s="2">
        <v>0</v>
      </c>
      <c r="C1541" s="9" t="s">
        <v>2548</v>
      </c>
      <c r="D1541" s="1" t="s">
        <v>13</v>
      </c>
      <c r="E1541" s="1">
        <v>6</v>
      </c>
      <c r="F1541" s="1">
        <v>4</v>
      </c>
      <c r="G1541" s="1">
        <v>30</v>
      </c>
      <c r="H1541" s="10" t="s">
        <v>2122</v>
      </c>
      <c r="I1541" s="1">
        <v>33000</v>
      </c>
      <c r="J1541" s="1">
        <v>50</v>
      </c>
      <c r="K1541" s="1">
        <v>500</v>
      </c>
      <c r="L1541" s="1">
        <v>20000</v>
      </c>
      <c r="M1541" s="1" t="s">
        <v>1900</v>
      </c>
      <c r="N1541" s="1" t="s">
        <v>1425</v>
      </c>
      <c r="O1541" s="1">
        <v>0</v>
      </c>
      <c r="P1541" s="1" t="s">
        <v>2051</v>
      </c>
      <c r="Q1541" s="7" t="str">
        <f t="shared" si="40"/>
        <v>equipment/2308.png</v>
      </c>
      <c r="R1541" s="1">
        <v>0</v>
      </c>
    </row>
    <row r="1542" spans="1:18" ht="14.25" thickBot="1">
      <c r="A1542" s="1" t="s">
        <v>1234</v>
      </c>
      <c r="B1542" s="3">
        <v>1</v>
      </c>
      <c r="C1542" s="1" t="s">
        <v>2084</v>
      </c>
      <c r="D1542" s="1" t="s">
        <v>11</v>
      </c>
      <c r="E1542" s="1">
        <v>4</v>
      </c>
      <c r="F1542" s="1">
        <v>4</v>
      </c>
      <c r="G1542" s="1">
        <v>30</v>
      </c>
      <c r="H1542" s="10">
        <v>0</v>
      </c>
      <c r="I1542" s="1">
        <v>30000</v>
      </c>
      <c r="J1542" s="1">
        <v>50</v>
      </c>
      <c r="K1542" s="1">
        <v>500</v>
      </c>
      <c r="L1542" s="1">
        <v>17500</v>
      </c>
      <c r="M1542" s="1" t="s">
        <v>1901</v>
      </c>
      <c r="N1542" s="1" t="s">
        <v>1424</v>
      </c>
      <c r="O1542" s="1">
        <v>0</v>
      </c>
      <c r="P1542" s="1" t="s">
        <v>2051</v>
      </c>
      <c r="Q1542" s="7" t="str">
        <f t="shared" si="40"/>
        <v>equipment/5008.png</v>
      </c>
      <c r="R1542" s="1">
        <v>0</v>
      </c>
    </row>
    <row r="1543" spans="1:18" ht="14.25" thickBot="1">
      <c r="A1543" s="1" t="s">
        <v>1235</v>
      </c>
      <c r="B1543" s="3">
        <v>1</v>
      </c>
      <c r="C1543" s="1" t="s">
        <v>2549</v>
      </c>
      <c r="D1543" s="1" t="s">
        <v>11</v>
      </c>
      <c r="E1543" s="1">
        <v>4</v>
      </c>
      <c r="F1543" s="1">
        <v>4</v>
      </c>
      <c r="G1543" s="1">
        <v>30</v>
      </c>
      <c r="H1543" s="10">
        <v>0</v>
      </c>
      <c r="I1543" s="1">
        <v>33000</v>
      </c>
      <c r="J1543" s="1">
        <v>50</v>
      </c>
      <c r="K1543" s="1">
        <v>500</v>
      </c>
      <c r="L1543" s="1">
        <v>20000</v>
      </c>
      <c r="M1543" s="1" t="s">
        <v>1902</v>
      </c>
      <c r="N1543" s="1" t="s">
        <v>1424</v>
      </c>
      <c r="O1543" s="1">
        <v>0</v>
      </c>
      <c r="P1543" s="1" t="s">
        <v>2051</v>
      </c>
      <c r="Q1543" s="7" t="str">
        <f t="shared" si="40"/>
        <v>equipment/5009.png</v>
      </c>
      <c r="R1543" s="1">
        <v>0</v>
      </c>
    </row>
    <row r="1544" spans="1:18" ht="14.25" thickBot="1">
      <c r="A1544" s="1" t="s">
        <v>1236</v>
      </c>
      <c r="B1544" s="3">
        <v>1</v>
      </c>
      <c r="C1544" s="1" t="s">
        <v>2090</v>
      </c>
      <c r="D1544" s="1" t="s">
        <v>14</v>
      </c>
      <c r="E1544" s="1">
        <v>7</v>
      </c>
      <c r="F1544" s="1">
        <v>4</v>
      </c>
      <c r="G1544" s="1">
        <v>30</v>
      </c>
      <c r="H1544" s="10">
        <v>0</v>
      </c>
      <c r="I1544" s="1">
        <v>30000</v>
      </c>
      <c r="J1544" s="1">
        <v>50</v>
      </c>
      <c r="K1544" s="1">
        <v>500</v>
      </c>
      <c r="L1544" s="1">
        <v>17500</v>
      </c>
      <c r="M1544" s="1" t="s">
        <v>1901</v>
      </c>
      <c r="N1544" s="1" t="s">
        <v>1424</v>
      </c>
      <c r="O1544" s="1">
        <v>0</v>
      </c>
      <c r="P1544" s="1" t="s">
        <v>2051</v>
      </c>
      <c r="Q1544" s="7" t="str">
        <f t="shared" si="40"/>
        <v>equipment/7007.png</v>
      </c>
      <c r="R1544" s="1">
        <v>0</v>
      </c>
    </row>
    <row r="1545" spans="1:18" ht="14.25" thickBot="1">
      <c r="A1545" s="1" t="s">
        <v>1237</v>
      </c>
      <c r="B1545" s="3">
        <v>1</v>
      </c>
      <c r="C1545" s="1" t="s">
        <v>2550</v>
      </c>
      <c r="D1545" s="1" t="s">
        <v>14</v>
      </c>
      <c r="E1545" s="1">
        <v>7</v>
      </c>
      <c r="F1545" s="1">
        <v>4</v>
      </c>
      <c r="G1545" s="1">
        <v>30</v>
      </c>
      <c r="H1545" s="10">
        <v>0</v>
      </c>
      <c r="I1545" s="1">
        <v>33000</v>
      </c>
      <c r="J1545" s="1">
        <v>50</v>
      </c>
      <c r="K1545" s="1">
        <v>500</v>
      </c>
      <c r="L1545" s="1">
        <v>20000</v>
      </c>
      <c r="M1545" s="1" t="s">
        <v>1902</v>
      </c>
      <c r="N1545" s="1" t="s">
        <v>1424</v>
      </c>
      <c r="O1545" s="1">
        <v>0</v>
      </c>
      <c r="P1545" s="1" t="s">
        <v>2051</v>
      </c>
      <c r="Q1545" s="7" t="str">
        <f t="shared" si="40"/>
        <v>equipment/7008.png</v>
      </c>
      <c r="R1545" s="1">
        <v>0</v>
      </c>
    </row>
    <row r="1546" spans="1:18" ht="14.25" thickBot="1">
      <c r="A1546" s="1" t="s">
        <v>1238</v>
      </c>
      <c r="B1546" s="3">
        <v>1</v>
      </c>
      <c r="C1546" s="1" t="s">
        <v>2064</v>
      </c>
      <c r="D1546" s="1" t="s">
        <v>8</v>
      </c>
      <c r="E1546" s="1">
        <v>1</v>
      </c>
      <c r="F1546" s="1">
        <v>4</v>
      </c>
      <c r="G1546" s="1">
        <v>35</v>
      </c>
      <c r="H1546" s="10">
        <v>0</v>
      </c>
      <c r="I1546" s="1">
        <v>35000</v>
      </c>
      <c r="J1546" s="1">
        <v>50</v>
      </c>
      <c r="K1546" s="1">
        <v>500</v>
      </c>
      <c r="L1546" s="1">
        <v>20000</v>
      </c>
      <c r="M1546" s="1" t="s">
        <v>1903</v>
      </c>
      <c r="N1546" s="1" t="s">
        <v>1426</v>
      </c>
      <c r="O1546" s="1">
        <v>0</v>
      </c>
      <c r="P1546" s="1" t="s">
        <v>2052</v>
      </c>
      <c r="Q1546" s="7" t="str">
        <f t="shared" si="40"/>
        <v>equipment/3006.png</v>
      </c>
      <c r="R1546" s="1">
        <v>0</v>
      </c>
    </row>
    <row r="1547" spans="1:18" ht="14.25" thickBot="1">
      <c r="A1547" s="1" t="s">
        <v>1239</v>
      </c>
      <c r="B1547" s="3">
        <v>1</v>
      </c>
      <c r="C1547" s="1" t="s">
        <v>2551</v>
      </c>
      <c r="D1547" s="1" t="s">
        <v>9</v>
      </c>
      <c r="E1547" s="1">
        <v>2</v>
      </c>
      <c r="F1547" s="1">
        <v>4</v>
      </c>
      <c r="G1547" s="1">
        <v>35</v>
      </c>
      <c r="H1547" s="10">
        <v>0</v>
      </c>
      <c r="I1547" s="1">
        <v>35000</v>
      </c>
      <c r="J1547" s="1">
        <v>50</v>
      </c>
      <c r="K1547" s="1">
        <v>500</v>
      </c>
      <c r="L1547" s="1">
        <v>20000</v>
      </c>
      <c r="M1547" s="1" t="s">
        <v>1904</v>
      </c>
      <c r="N1547" s="1" t="s">
        <v>1426</v>
      </c>
      <c r="O1547" s="1">
        <v>0</v>
      </c>
      <c r="P1547" s="1" t="s">
        <v>2052</v>
      </c>
      <c r="Q1547" s="7" t="str">
        <f t="shared" si="40"/>
        <v>equipment/14006.png</v>
      </c>
      <c r="R1547" s="1">
        <v>0</v>
      </c>
    </row>
    <row r="1548" spans="1:18" ht="14.25" thickBot="1">
      <c r="A1548" s="1" t="s">
        <v>1240</v>
      </c>
      <c r="B1548" s="3">
        <v>1</v>
      </c>
      <c r="C1548" s="1" t="s">
        <v>2552</v>
      </c>
      <c r="D1548" s="1" t="s">
        <v>10</v>
      </c>
      <c r="E1548" s="1">
        <v>3</v>
      </c>
      <c r="F1548" s="1">
        <v>4</v>
      </c>
      <c r="G1548" s="1">
        <v>35</v>
      </c>
      <c r="H1548" s="10">
        <v>0</v>
      </c>
      <c r="I1548" s="1">
        <v>35000</v>
      </c>
      <c r="J1548" s="1">
        <v>50</v>
      </c>
      <c r="K1548" s="1">
        <v>500</v>
      </c>
      <c r="L1548" s="1">
        <v>20000</v>
      </c>
      <c r="M1548" s="1" t="s">
        <v>1905</v>
      </c>
      <c r="N1548" s="1" t="s">
        <v>1426</v>
      </c>
      <c r="O1548" s="1">
        <v>0</v>
      </c>
      <c r="P1548" s="1" t="s">
        <v>2052</v>
      </c>
      <c r="Q1548" s="7" t="str">
        <f t="shared" si="40"/>
        <v>equipment/6006.png</v>
      </c>
      <c r="R1548" s="1">
        <v>0</v>
      </c>
    </row>
    <row r="1549" spans="1:18" ht="14.25" thickBot="1">
      <c r="A1549" s="1" t="s">
        <v>1241</v>
      </c>
      <c r="B1549" s="3">
        <v>1</v>
      </c>
      <c r="C1549" s="1" t="s">
        <v>2553</v>
      </c>
      <c r="D1549" s="1" t="s">
        <v>15</v>
      </c>
      <c r="E1549" s="1">
        <v>8</v>
      </c>
      <c r="F1549" s="1">
        <v>4</v>
      </c>
      <c r="G1549" s="1">
        <v>35</v>
      </c>
      <c r="H1549" s="10">
        <v>0</v>
      </c>
      <c r="I1549" s="1">
        <v>35000</v>
      </c>
      <c r="J1549" s="1">
        <v>50</v>
      </c>
      <c r="K1549" s="1">
        <v>500</v>
      </c>
      <c r="L1549" s="1">
        <v>20000</v>
      </c>
      <c r="M1549" s="1" t="s">
        <v>1906</v>
      </c>
      <c r="N1549" s="1" t="s">
        <v>1426</v>
      </c>
      <c r="O1549" s="1">
        <v>0</v>
      </c>
      <c r="P1549" s="1" t="s">
        <v>2052</v>
      </c>
      <c r="Q1549" s="7" t="str">
        <f t="shared" si="40"/>
        <v>equipment/8006.png</v>
      </c>
      <c r="R1549" s="1">
        <v>0</v>
      </c>
    </row>
    <row r="1550" spans="1:18" ht="14.25" thickBot="1">
      <c r="A1550" s="1" t="s">
        <v>1242</v>
      </c>
      <c r="B1550" s="3">
        <v>1</v>
      </c>
      <c r="C1550" s="1" t="s">
        <v>2074</v>
      </c>
      <c r="D1550" s="1" t="s">
        <v>16</v>
      </c>
      <c r="E1550" s="1">
        <v>9</v>
      </c>
      <c r="F1550" s="1">
        <v>4</v>
      </c>
      <c r="G1550" s="1">
        <v>35</v>
      </c>
      <c r="H1550" s="10">
        <v>0</v>
      </c>
      <c r="I1550" s="1">
        <v>35000</v>
      </c>
      <c r="J1550" s="1">
        <v>50</v>
      </c>
      <c r="K1550" s="1">
        <v>500</v>
      </c>
      <c r="L1550" s="1">
        <v>20000</v>
      </c>
      <c r="M1550" s="1" t="s">
        <v>1907</v>
      </c>
      <c r="N1550" s="1" t="s">
        <v>1426</v>
      </c>
      <c r="O1550" s="1">
        <v>0</v>
      </c>
      <c r="P1550" s="1" t="s">
        <v>2052</v>
      </c>
      <c r="Q1550" s="7" t="str">
        <f t="shared" si="40"/>
        <v>equipment/10006.png</v>
      </c>
      <c r="R1550" s="1">
        <v>0</v>
      </c>
    </row>
    <row r="1551" spans="1:18" ht="14.25" thickBot="1">
      <c r="A1551" s="1" t="s">
        <v>1243</v>
      </c>
      <c r="B1551" s="3">
        <v>1</v>
      </c>
      <c r="C1551" s="1" t="s">
        <v>2333</v>
      </c>
      <c r="D1551" s="1" t="s">
        <v>17</v>
      </c>
      <c r="E1551" s="1">
        <v>10</v>
      </c>
      <c r="F1551" s="1">
        <v>4</v>
      </c>
      <c r="G1551" s="1">
        <v>35</v>
      </c>
      <c r="H1551" s="10">
        <v>0</v>
      </c>
      <c r="I1551" s="1">
        <v>35000</v>
      </c>
      <c r="J1551" s="1">
        <v>50</v>
      </c>
      <c r="K1551" s="1">
        <v>500</v>
      </c>
      <c r="L1551" s="1">
        <v>20000</v>
      </c>
      <c r="M1551" s="1" t="s">
        <v>1908</v>
      </c>
      <c r="N1551" s="1" t="s">
        <v>1426</v>
      </c>
      <c r="O1551" s="1">
        <v>0</v>
      </c>
      <c r="P1551" s="1" t="s">
        <v>2052</v>
      </c>
      <c r="Q1551" s="7" t="str">
        <f t="shared" si="40"/>
        <v>equipment/12006.png</v>
      </c>
      <c r="R1551" s="1">
        <v>0</v>
      </c>
    </row>
    <row r="1552" spans="1:18" ht="14.25" thickBot="1">
      <c r="A1552" s="1" t="s">
        <v>1244</v>
      </c>
      <c r="B1552" s="3">
        <v>1</v>
      </c>
      <c r="C1552" s="9" t="s">
        <v>2117</v>
      </c>
      <c r="D1552" s="1" t="s">
        <v>12</v>
      </c>
      <c r="E1552" s="1">
        <v>5</v>
      </c>
      <c r="F1552" s="1">
        <v>4</v>
      </c>
      <c r="G1552" s="1">
        <v>35</v>
      </c>
      <c r="H1552" s="10" t="s">
        <v>2120</v>
      </c>
      <c r="I1552" s="1">
        <v>35000</v>
      </c>
      <c r="J1552" s="1">
        <v>50</v>
      </c>
      <c r="K1552" s="1">
        <v>500</v>
      </c>
      <c r="L1552" s="1">
        <v>20000</v>
      </c>
      <c r="M1552" s="1" t="s">
        <v>1909</v>
      </c>
      <c r="N1552" s="1" t="s">
        <v>1427</v>
      </c>
      <c r="O1552" s="1">
        <v>0</v>
      </c>
      <c r="P1552" s="1" t="s">
        <v>2052</v>
      </c>
      <c r="Q1552" s="7" t="str">
        <f t="shared" si="40"/>
        <v>equipment/1114.png</v>
      </c>
      <c r="R1552" s="1">
        <v>0</v>
      </c>
    </row>
    <row r="1553" spans="1:18" ht="14.25" thickBot="1">
      <c r="A1553" s="1" t="s">
        <v>1245</v>
      </c>
      <c r="B1553" s="2">
        <v>0</v>
      </c>
      <c r="C1553" s="9" t="s">
        <v>2491</v>
      </c>
      <c r="D1553" s="1" t="s">
        <v>12</v>
      </c>
      <c r="E1553" s="1">
        <v>5</v>
      </c>
      <c r="F1553" s="1">
        <v>4</v>
      </c>
      <c r="G1553" s="1">
        <v>35</v>
      </c>
      <c r="H1553" s="10" t="s">
        <v>2120</v>
      </c>
      <c r="I1553" s="1">
        <v>38000</v>
      </c>
      <c r="J1553" s="1">
        <v>50</v>
      </c>
      <c r="K1553" s="1">
        <v>500</v>
      </c>
      <c r="L1553" s="1">
        <v>22500</v>
      </c>
      <c r="M1553" s="1" t="s">
        <v>2018</v>
      </c>
      <c r="N1553" s="1" t="s">
        <v>1427</v>
      </c>
      <c r="O1553" s="1">
        <v>0</v>
      </c>
      <c r="P1553" s="1" t="s">
        <v>2052</v>
      </c>
      <c r="Q1553" s="7" t="str">
        <f t="shared" si="40"/>
        <v>equipment/1101.png</v>
      </c>
      <c r="R1553" s="1">
        <v>0</v>
      </c>
    </row>
    <row r="1554" spans="1:18" ht="14.25" thickBot="1">
      <c r="A1554" s="1" t="s">
        <v>1246</v>
      </c>
      <c r="B1554" s="3">
        <v>1</v>
      </c>
      <c r="C1554" s="9" t="s">
        <v>2118</v>
      </c>
      <c r="D1554" s="1" t="s">
        <v>13</v>
      </c>
      <c r="E1554" s="1">
        <v>6</v>
      </c>
      <c r="F1554" s="1">
        <v>4</v>
      </c>
      <c r="G1554" s="1">
        <v>35</v>
      </c>
      <c r="H1554" s="10" t="s">
        <v>2120</v>
      </c>
      <c r="I1554" s="1">
        <v>35000</v>
      </c>
      <c r="J1554" s="1">
        <v>50</v>
      </c>
      <c r="K1554" s="1">
        <v>500</v>
      </c>
      <c r="L1554" s="1">
        <v>20000</v>
      </c>
      <c r="M1554" s="1" t="s">
        <v>1910</v>
      </c>
      <c r="N1554" s="1" t="s">
        <v>1427</v>
      </c>
      <c r="O1554" s="1">
        <v>0</v>
      </c>
      <c r="P1554" s="1" t="s">
        <v>2052</v>
      </c>
      <c r="Q1554" s="7" t="str">
        <f t="shared" si="40"/>
        <v>equipment/2108.png</v>
      </c>
      <c r="R1554" s="1">
        <v>0</v>
      </c>
    </row>
    <row r="1555" spans="1:18" ht="14.25" thickBot="1">
      <c r="A1555" s="1" t="s">
        <v>1247</v>
      </c>
      <c r="B1555" s="3">
        <v>1</v>
      </c>
      <c r="C1555" s="9" t="s">
        <v>2554</v>
      </c>
      <c r="D1555" s="1" t="s">
        <v>13</v>
      </c>
      <c r="E1555" s="1">
        <v>6</v>
      </c>
      <c r="F1555" s="1">
        <v>4</v>
      </c>
      <c r="G1555" s="1">
        <v>35</v>
      </c>
      <c r="H1555" s="10" t="s">
        <v>2120</v>
      </c>
      <c r="I1555" s="1">
        <v>38000</v>
      </c>
      <c r="J1555" s="1">
        <v>50</v>
      </c>
      <c r="K1555" s="1">
        <v>500</v>
      </c>
      <c r="L1555" s="1">
        <v>22500</v>
      </c>
      <c r="M1555" s="1" t="s">
        <v>1911</v>
      </c>
      <c r="N1555" s="1" t="s">
        <v>1427</v>
      </c>
      <c r="O1555" s="1">
        <v>0</v>
      </c>
      <c r="P1555" s="1" t="s">
        <v>2052</v>
      </c>
      <c r="Q1555" s="7" t="str">
        <f t="shared" si="40"/>
        <v>equipment/2117.png</v>
      </c>
      <c r="R1555" s="1">
        <v>0</v>
      </c>
    </row>
    <row r="1556" spans="1:18" ht="14.25" thickBot="1">
      <c r="A1556" s="1" t="s">
        <v>1248</v>
      </c>
      <c r="B1556" s="3">
        <v>1</v>
      </c>
      <c r="C1556" s="1" t="s">
        <v>2119</v>
      </c>
      <c r="D1556" s="1" t="s">
        <v>12</v>
      </c>
      <c r="E1556" s="1">
        <v>5</v>
      </c>
      <c r="F1556" s="1">
        <v>4</v>
      </c>
      <c r="G1556" s="1">
        <v>35</v>
      </c>
      <c r="H1556" s="10" t="s">
        <v>2121</v>
      </c>
      <c r="I1556" s="1">
        <v>35000</v>
      </c>
      <c r="J1556" s="1">
        <v>50</v>
      </c>
      <c r="K1556" s="1">
        <v>500</v>
      </c>
      <c r="L1556" s="1">
        <v>20000</v>
      </c>
      <c r="M1556" s="1" t="s">
        <v>1909</v>
      </c>
      <c r="N1556" s="1" t="s">
        <v>1427</v>
      </c>
      <c r="O1556" s="1">
        <v>0</v>
      </c>
      <c r="P1556" s="1" t="s">
        <v>2052</v>
      </c>
      <c r="Q1556" s="7" t="str">
        <f t="shared" si="40"/>
        <v>equipment/1213.png</v>
      </c>
      <c r="R1556" s="1">
        <v>0</v>
      </c>
    </row>
    <row r="1557" spans="1:18" ht="14.25" thickBot="1">
      <c r="A1557" s="1" t="s">
        <v>1249</v>
      </c>
      <c r="B1557" s="2">
        <v>0</v>
      </c>
      <c r="C1557" s="1" t="s">
        <v>2494</v>
      </c>
      <c r="D1557" s="1" t="s">
        <v>12</v>
      </c>
      <c r="E1557" s="1">
        <v>5</v>
      </c>
      <c r="F1557" s="1">
        <v>4</v>
      </c>
      <c r="G1557" s="1">
        <v>35</v>
      </c>
      <c r="H1557" s="10" t="s">
        <v>2121</v>
      </c>
      <c r="I1557" s="1">
        <v>38000</v>
      </c>
      <c r="J1557" s="1">
        <v>50</v>
      </c>
      <c r="K1557" s="1">
        <v>500</v>
      </c>
      <c r="L1557" s="1">
        <v>22500</v>
      </c>
      <c r="M1557" s="1" t="s">
        <v>2018</v>
      </c>
      <c r="N1557" s="1" t="s">
        <v>1427</v>
      </c>
      <c r="O1557" s="1">
        <v>0</v>
      </c>
      <c r="P1557" s="1" t="s">
        <v>2052</v>
      </c>
      <c r="Q1557" s="7" t="str">
        <f t="shared" ref="Q1557:Q1620" si="41">Q1095</f>
        <v>equipment/1201.png</v>
      </c>
      <c r="R1557" s="1">
        <v>0</v>
      </c>
    </row>
    <row r="1558" spans="1:18" ht="14.25" thickBot="1">
      <c r="A1558" s="1" t="s">
        <v>1250</v>
      </c>
      <c r="B1558" s="3">
        <v>1</v>
      </c>
      <c r="C1558" s="9" t="s">
        <v>2555</v>
      </c>
      <c r="D1558" s="1" t="s">
        <v>13</v>
      </c>
      <c r="E1558" s="1">
        <v>6</v>
      </c>
      <c r="F1558" s="1">
        <v>4</v>
      </c>
      <c r="G1558" s="1">
        <v>35</v>
      </c>
      <c r="H1558" s="10" t="s">
        <v>2121</v>
      </c>
      <c r="I1558" s="1">
        <v>35000</v>
      </c>
      <c r="J1558" s="1">
        <v>50</v>
      </c>
      <c r="K1558" s="1">
        <v>500</v>
      </c>
      <c r="L1558" s="1">
        <v>20000</v>
      </c>
      <c r="M1558" s="1" t="s">
        <v>1912</v>
      </c>
      <c r="N1558" s="1" t="s">
        <v>1427</v>
      </c>
      <c r="O1558" s="1">
        <v>0</v>
      </c>
      <c r="P1558" s="1" t="s">
        <v>2052</v>
      </c>
      <c r="Q1558" s="7" t="str">
        <f t="shared" si="41"/>
        <v>equipment/2208.png</v>
      </c>
      <c r="R1558" s="1">
        <v>0</v>
      </c>
    </row>
    <row r="1559" spans="1:18" ht="14.25" thickBot="1">
      <c r="A1559" s="1" t="s">
        <v>1251</v>
      </c>
      <c r="B1559" s="3">
        <v>1</v>
      </c>
      <c r="C1559" s="9" t="s">
        <v>2556</v>
      </c>
      <c r="D1559" s="1" t="s">
        <v>13</v>
      </c>
      <c r="E1559" s="1">
        <v>6</v>
      </c>
      <c r="F1559" s="1">
        <v>4</v>
      </c>
      <c r="G1559" s="1">
        <v>35</v>
      </c>
      <c r="H1559" s="10" t="s">
        <v>2121</v>
      </c>
      <c r="I1559" s="1">
        <v>38000</v>
      </c>
      <c r="J1559" s="1">
        <v>50</v>
      </c>
      <c r="K1559" s="1">
        <v>500</v>
      </c>
      <c r="L1559" s="1">
        <v>22500</v>
      </c>
      <c r="M1559" s="1" t="s">
        <v>1913</v>
      </c>
      <c r="N1559" s="1" t="s">
        <v>1427</v>
      </c>
      <c r="O1559" s="1">
        <v>0</v>
      </c>
      <c r="P1559" s="1" t="s">
        <v>2052</v>
      </c>
      <c r="Q1559" s="7" t="str">
        <f t="shared" si="41"/>
        <v>equipment/2201.png</v>
      </c>
      <c r="R1559" s="1">
        <v>0</v>
      </c>
    </row>
    <row r="1560" spans="1:18" ht="14.25" thickBot="1">
      <c r="A1560" s="1" t="s">
        <v>1252</v>
      </c>
      <c r="B1560" s="3">
        <v>1</v>
      </c>
      <c r="C1560" s="9" t="s">
        <v>2557</v>
      </c>
      <c r="D1560" s="1" t="s">
        <v>12</v>
      </c>
      <c r="E1560" s="1">
        <v>5</v>
      </c>
      <c r="F1560" s="1">
        <v>4</v>
      </c>
      <c r="G1560" s="1">
        <v>35</v>
      </c>
      <c r="H1560" s="10" t="s">
        <v>2122</v>
      </c>
      <c r="I1560" s="1">
        <v>35000</v>
      </c>
      <c r="J1560" s="1">
        <v>50</v>
      </c>
      <c r="K1560" s="1">
        <v>500</v>
      </c>
      <c r="L1560" s="1">
        <v>20000</v>
      </c>
      <c r="M1560" s="1" t="s">
        <v>1909</v>
      </c>
      <c r="N1560" s="1" t="s">
        <v>1427</v>
      </c>
      <c r="O1560" s="1">
        <v>0</v>
      </c>
      <c r="P1560" s="1" t="s">
        <v>2052</v>
      </c>
      <c r="Q1560" s="7" t="str">
        <f t="shared" si="41"/>
        <v>equipment/1314.png</v>
      </c>
      <c r="R1560" s="1">
        <v>0</v>
      </c>
    </row>
    <row r="1561" spans="1:18" ht="14.25" thickBot="1">
      <c r="A1561" s="1" t="s">
        <v>1253</v>
      </c>
      <c r="B1561" s="2">
        <v>0</v>
      </c>
      <c r="C1561" s="9" t="s">
        <v>2497</v>
      </c>
      <c r="D1561" s="1" t="s">
        <v>12</v>
      </c>
      <c r="E1561" s="1">
        <v>5</v>
      </c>
      <c r="F1561" s="1">
        <v>4</v>
      </c>
      <c r="G1561" s="1">
        <v>35</v>
      </c>
      <c r="H1561" s="10" t="s">
        <v>2122</v>
      </c>
      <c r="I1561" s="1">
        <v>38000</v>
      </c>
      <c r="J1561" s="1">
        <v>50</v>
      </c>
      <c r="K1561" s="1">
        <v>500</v>
      </c>
      <c r="L1561" s="1">
        <v>22500</v>
      </c>
      <c r="M1561" s="1" t="s">
        <v>2018</v>
      </c>
      <c r="N1561" s="1" t="s">
        <v>1427</v>
      </c>
      <c r="O1561" s="1">
        <v>0</v>
      </c>
      <c r="P1561" s="1" t="s">
        <v>2052</v>
      </c>
      <c r="Q1561" s="7" t="str">
        <f t="shared" si="41"/>
        <v>equipment/1301.png</v>
      </c>
      <c r="R1561" s="1">
        <v>0</v>
      </c>
    </row>
    <row r="1562" spans="1:18" ht="14.25" thickBot="1">
      <c r="A1562" s="1" t="s">
        <v>1254</v>
      </c>
      <c r="B1562" s="3">
        <v>1</v>
      </c>
      <c r="C1562" s="9" t="s">
        <v>2558</v>
      </c>
      <c r="D1562" s="1" t="s">
        <v>13</v>
      </c>
      <c r="E1562" s="1">
        <v>6</v>
      </c>
      <c r="F1562" s="1">
        <v>4</v>
      </c>
      <c r="G1562" s="1">
        <v>35</v>
      </c>
      <c r="H1562" s="10" t="s">
        <v>2122</v>
      </c>
      <c r="I1562" s="1">
        <v>35000</v>
      </c>
      <c r="J1562" s="1">
        <v>50</v>
      </c>
      <c r="K1562" s="1">
        <v>500</v>
      </c>
      <c r="L1562" s="1">
        <v>20000</v>
      </c>
      <c r="M1562" s="1" t="s">
        <v>1914</v>
      </c>
      <c r="N1562" s="1" t="s">
        <v>1427</v>
      </c>
      <c r="O1562" s="1">
        <v>0</v>
      </c>
      <c r="P1562" s="1" t="s">
        <v>2052</v>
      </c>
      <c r="Q1562" s="7" t="str">
        <f t="shared" si="41"/>
        <v>equipment/2308.png</v>
      </c>
      <c r="R1562" s="1">
        <v>0</v>
      </c>
    </row>
    <row r="1563" spans="1:18" ht="14.25" thickBot="1">
      <c r="A1563" s="1" t="s">
        <v>1255</v>
      </c>
      <c r="B1563" s="3">
        <v>1</v>
      </c>
      <c r="C1563" s="9" t="s">
        <v>2559</v>
      </c>
      <c r="D1563" s="1" t="s">
        <v>13</v>
      </c>
      <c r="E1563" s="1">
        <v>6</v>
      </c>
      <c r="F1563" s="1">
        <v>4</v>
      </c>
      <c r="G1563" s="1">
        <v>35</v>
      </c>
      <c r="H1563" s="10" t="s">
        <v>2122</v>
      </c>
      <c r="I1563" s="1">
        <v>38000</v>
      </c>
      <c r="J1563" s="1">
        <v>50</v>
      </c>
      <c r="K1563" s="1">
        <v>500</v>
      </c>
      <c r="L1563" s="1">
        <v>22500</v>
      </c>
      <c r="M1563" s="1" t="s">
        <v>1915</v>
      </c>
      <c r="N1563" s="1" t="s">
        <v>1427</v>
      </c>
      <c r="O1563" s="1">
        <v>0</v>
      </c>
      <c r="P1563" s="1" t="s">
        <v>2052</v>
      </c>
      <c r="Q1563" s="7" t="str">
        <f t="shared" si="41"/>
        <v>equipment/2314.png</v>
      </c>
      <c r="R1563" s="1">
        <v>0</v>
      </c>
    </row>
    <row r="1564" spans="1:18" ht="14.25" thickBot="1">
      <c r="A1564" s="1" t="s">
        <v>1256</v>
      </c>
      <c r="B1564" s="3">
        <v>1</v>
      </c>
      <c r="C1564" s="1" t="s">
        <v>2085</v>
      </c>
      <c r="D1564" s="1" t="s">
        <v>11</v>
      </c>
      <c r="E1564" s="1">
        <v>4</v>
      </c>
      <c r="F1564" s="1">
        <v>4</v>
      </c>
      <c r="G1564" s="1">
        <v>35</v>
      </c>
      <c r="H1564" s="10">
        <v>0</v>
      </c>
      <c r="I1564" s="1">
        <v>35000</v>
      </c>
      <c r="J1564" s="1">
        <v>50</v>
      </c>
      <c r="K1564" s="1">
        <v>500</v>
      </c>
      <c r="L1564" s="1">
        <v>20000</v>
      </c>
      <c r="M1564" s="1" t="s">
        <v>1916</v>
      </c>
      <c r="N1564" s="1" t="s">
        <v>1426</v>
      </c>
      <c r="O1564" s="1">
        <v>0</v>
      </c>
      <c r="P1564" s="1" t="s">
        <v>2052</v>
      </c>
      <c r="Q1564" s="7" t="str">
        <f t="shared" si="41"/>
        <v>equipment/5011.png</v>
      </c>
      <c r="R1564" s="1">
        <v>0</v>
      </c>
    </row>
    <row r="1565" spans="1:18" ht="14.25" thickBot="1">
      <c r="A1565" s="1" t="s">
        <v>1257</v>
      </c>
      <c r="B1565" s="3">
        <v>1</v>
      </c>
      <c r="C1565" s="1" t="s">
        <v>2560</v>
      </c>
      <c r="D1565" s="1" t="s">
        <v>11</v>
      </c>
      <c r="E1565" s="1">
        <v>4</v>
      </c>
      <c r="F1565" s="1">
        <v>4</v>
      </c>
      <c r="G1565" s="1">
        <v>35</v>
      </c>
      <c r="H1565" s="10">
        <v>0</v>
      </c>
      <c r="I1565" s="1">
        <v>38000</v>
      </c>
      <c r="J1565" s="1">
        <v>50</v>
      </c>
      <c r="K1565" s="1">
        <v>500</v>
      </c>
      <c r="L1565" s="1">
        <v>22500</v>
      </c>
      <c r="M1565" s="1" t="s">
        <v>1917</v>
      </c>
      <c r="N1565" s="1" t="s">
        <v>1426</v>
      </c>
      <c r="O1565" s="1">
        <v>0</v>
      </c>
      <c r="P1565" s="1" t="s">
        <v>2052</v>
      </c>
      <c r="Q1565" s="7" t="str">
        <f t="shared" si="41"/>
        <v>equipment/5001.png</v>
      </c>
      <c r="R1565" s="1">
        <v>0</v>
      </c>
    </row>
    <row r="1566" spans="1:18" ht="14.25" thickBot="1">
      <c r="A1566" s="1" t="s">
        <v>1258</v>
      </c>
      <c r="B1566" s="3">
        <v>1</v>
      </c>
      <c r="C1566" s="1" t="s">
        <v>2561</v>
      </c>
      <c r="D1566" s="1" t="s">
        <v>14</v>
      </c>
      <c r="E1566" s="1">
        <v>7</v>
      </c>
      <c r="F1566" s="1">
        <v>4</v>
      </c>
      <c r="G1566" s="1">
        <v>35</v>
      </c>
      <c r="H1566" s="10">
        <v>0</v>
      </c>
      <c r="I1566" s="1">
        <v>35000</v>
      </c>
      <c r="J1566" s="1">
        <v>50</v>
      </c>
      <c r="K1566" s="1">
        <v>500</v>
      </c>
      <c r="L1566" s="1">
        <v>20000</v>
      </c>
      <c r="M1566" s="1" t="s">
        <v>1916</v>
      </c>
      <c r="N1566" s="1" t="s">
        <v>1426</v>
      </c>
      <c r="O1566" s="1">
        <v>0</v>
      </c>
      <c r="P1566" s="1" t="s">
        <v>2052</v>
      </c>
      <c r="Q1566" s="7" t="str">
        <f t="shared" si="41"/>
        <v>equipment/7008.png</v>
      </c>
      <c r="R1566" s="1">
        <v>0</v>
      </c>
    </row>
    <row r="1567" spans="1:18" ht="14.25" thickBot="1">
      <c r="A1567" s="1" t="s">
        <v>1259</v>
      </c>
      <c r="B1567" s="2">
        <v>0</v>
      </c>
      <c r="C1567" s="1" t="s">
        <v>2501</v>
      </c>
      <c r="D1567" s="1" t="s">
        <v>14</v>
      </c>
      <c r="E1567" s="1">
        <v>7</v>
      </c>
      <c r="F1567" s="1">
        <v>4</v>
      </c>
      <c r="G1567" s="1">
        <v>35</v>
      </c>
      <c r="H1567" s="10">
        <v>0</v>
      </c>
      <c r="I1567" s="1">
        <v>38000</v>
      </c>
      <c r="J1567" s="1">
        <v>50</v>
      </c>
      <c r="K1567" s="1">
        <v>500</v>
      </c>
      <c r="L1567" s="1">
        <v>22500</v>
      </c>
      <c r="M1567" s="1" t="s">
        <v>1918</v>
      </c>
      <c r="N1567" s="1" t="s">
        <v>1426</v>
      </c>
      <c r="O1567" s="1">
        <v>0</v>
      </c>
      <c r="P1567" s="1" t="s">
        <v>2052</v>
      </c>
      <c r="Q1567" s="7" t="str">
        <f t="shared" si="41"/>
        <v>equipment/7001.png</v>
      </c>
      <c r="R1567" s="1">
        <v>0</v>
      </c>
    </row>
    <row r="1568" spans="1:18" ht="14.25" thickBot="1">
      <c r="A1568" s="1" t="s">
        <v>1260</v>
      </c>
      <c r="B1568" s="3">
        <v>1</v>
      </c>
      <c r="C1568" s="1" t="s">
        <v>2065</v>
      </c>
      <c r="D1568" s="1" t="s">
        <v>8</v>
      </c>
      <c r="E1568" s="1">
        <v>1</v>
      </c>
      <c r="F1568" s="1">
        <v>4</v>
      </c>
      <c r="G1568" s="1">
        <v>40</v>
      </c>
      <c r="H1568" s="10">
        <v>0</v>
      </c>
      <c r="I1568" s="1">
        <v>40000</v>
      </c>
      <c r="J1568" s="1">
        <v>50</v>
      </c>
      <c r="K1568" s="1">
        <v>500</v>
      </c>
      <c r="L1568" s="1">
        <v>22500</v>
      </c>
      <c r="M1568" s="1" t="s">
        <v>1919</v>
      </c>
      <c r="N1568" s="1" t="s">
        <v>1428</v>
      </c>
      <c r="O1568" s="1">
        <v>0</v>
      </c>
      <c r="P1568" s="1" t="s">
        <v>2053</v>
      </c>
      <c r="Q1568" s="7" t="str">
        <f t="shared" si="41"/>
        <v>equipment/3007.png</v>
      </c>
      <c r="R1568" s="1">
        <v>0</v>
      </c>
    </row>
    <row r="1569" spans="1:18" ht="14.25" thickBot="1">
      <c r="A1569" s="1" t="s">
        <v>1261</v>
      </c>
      <c r="B1569" s="3">
        <v>1</v>
      </c>
      <c r="C1569" s="1" t="s">
        <v>2562</v>
      </c>
      <c r="D1569" s="1" t="s">
        <v>9</v>
      </c>
      <c r="E1569" s="1">
        <v>2</v>
      </c>
      <c r="F1569" s="1">
        <v>4</v>
      </c>
      <c r="G1569" s="1">
        <v>40</v>
      </c>
      <c r="H1569" s="10">
        <v>0</v>
      </c>
      <c r="I1569" s="1">
        <v>40000</v>
      </c>
      <c r="J1569" s="1">
        <v>50</v>
      </c>
      <c r="K1569" s="1">
        <v>500</v>
      </c>
      <c r="L1569" s="1">
        <v>22500</v>
      </c>
      <c r="M1569" s="1" t="s">
        <v>1920</v>
      </c>
      <c r="N1569" s="1" t="s">
        <v>1428</v>
      </c>
      <c r="O1569" s="1">
        <v>0</v>
      </c>
      <c r="P1569" s="1" t="s">
        <v>2053</v>
      </c>
      <c r="Q1569" s="7" t="str">
        <f t="shared" si="41"/>
        <v>equipment/14007.png</v>
      </c>
      <c r="R1569" s="1">
        <v>0</v>
      </c>
    </row>
    <row r="1570" spans="1:18" ht="14.25" thickBot="1">
      <c r="A1570" s="1" t="s">
        <v>1262</v>
      </c>
      <c r="B1570" s="3">
        <v>1</v>
      </c>
      <c r="C1570" s="1" t="s">
        <v>2563</v>
      </c>
      <c r="D1570" s="1" t="s">
        <v>10</v>
      </c>
      <c r="E1570" s="1">
        <v>3</v>
      </c>
      <c r="F1570" s="1">
        <v>4</v>
      </c>
      <c r="G1570" s="1">
        <v>40</v>
      </c>
      <c r="H1570" s="10">
        <v>0</v>
      </c>
      <c r="I1570" s="1">
        <v>40000</v>
      </c>
      <c r="J1570" s="1">
        <v>50</v>
      </c>
      <c r="K1570" s="1">
        <v>500</v>
      </c>
      <c r="L1570" s="1">
        <v>22500</v>
      </c>
      <c r="M1570" s="1" t="s">
        <v>1921</v>
      </c>
      <c r="N1570" s="1" t="s">
        <v>1428</v>
      </c>
      <c r="O1570" s="1">
        <v>0</v>
      </c>
      <c r="P1570" s="1" t="s">
        <v>2053</v>
      </c>
      <c r="Q1570" s="7" t="str">
        <f t="shared" si="41"/>
        <v>equipment/6007.png</v>
      </c>
      <c r="R1570" s="1">
        <v>0</v>
      </c>
    </row>
    <row r="1571" spans="1:18" ht="14.25" thickBot="1">
      <c r="A1571" s="1" t="s">
        <v>1263</v>
      </c>
      <c r="B1571" s="3">
        <v>1</v>
      </c>
      <c r="C1571" s="1" t="s">
        <v>2564</v>
      </c>
      <c r="D1571" s="1" t="s">
        <v>15</v>
      </c>
      <c r="E1571" s="1">
        <v>8</v>
      </c>
      <c r="F1571" s="1">
        <v>4</v>
      </c>
      <c r="G1571" s="1">
        <v>40</v>
      </c>
      <c r="H1571" s="10">
        <v>0</v>
      </c>
      <c r="I1571" s="1">
        <v>40000</v>
      </c>
      <c r="J1571" s="1">
        <v>50</v>
      </c>
      <c r="K1571" s="1">
        <v>500</v>
      </c>
      <c r="L1571" s="1">
        <v>22500</v>
      </c>
      <c r="M1571" s="1" t="s">
        <v>1922</v>
      </c>
      <c r="N1571" s="1" t="s">
        <v>1428</v>
      </c>
      <c r="O1571" s="1">
        <v>0</v>
      </c>
      <c r="P1571" s="1" t="s">
        <v>2053</v>
      </c>
      <c r="Q1571" s="7" t="str">
        <f t="shared" si="41"/>
        <v>equipment/8007.png</v>
      </c>
      <c r="R1571" s="1">
        <v>0</v>
      </c>
    </row>
    <row r="1572" spans="1:18" ht="14.25" thickBot="1">
      <c r="A1572" s="1" t="s">
        <v>1264</v>
      </c>
      <c r="B1572" s="3">
        <v>1</v>
      </c>
      <c r="C1572" s="1" t="s">
        <v>2565</v>
      </c>
      <c r="D1572" s="1" t="s">
        <v>16</v>
      </c>
      <c r="E1572" s="1">
        <v>9</v>
      </c>
      <c r="F1572" s="1">
        <v>4</v>
      </c>
      <c r="G1572" s="1">
        <v>40</v>
      </c>
      <c r="H1572" s="10">
        <v>0</v>
      </c>
      <c r="I1572" s="1">
        <v>40000</v>
      </c>
      <c r="J1572" s="1">
        <v>50</v>
      </c>
      <c r="K1572" s="1">
        <v>500</v>
      </c>
      <c r="L1572" s="1">
        <v>22500</v>
      </c>
      <c r="M1572" s="1" t="s">
        <v>1923</v>
      </c>
      <c r="N1572" s="1" t="s">
        <v>1428</v>
      </c>
      <c r="O1572" s="1">
        <v>0</v>
      </c>
      <c r="P1572" s="1" t="s">
        <v>2053</v>
      </c>
      <c r="Q1572" s="7" t="str">
        <f t="shared" si="41"/>
        <v>equipment/10007.png</v>
      </c>
      <c r="R1572" s="1">
        <v>0</v>
      </c>
    </row>
    <row r="1573" spans="1:18" ht="14.25" thickBot="1">
      <c r="A1573" s="1" t="s">
        <v>1265</v>
      </c>
      <c r="B1573" s="2">
        <v>1</v>
      </c>
      <c r="C1573" s="1" t="s">
        <v>2566</v>
      </c>
      <c r="D1573" s="1" t="s">
        <v>17</v>
      </c>
      <c r="E1573" s="1">
        <v>10</v>
      </c>
      <c r="F1573" s="1">
        <v>4</v>
      </c>
      <c r="G1573" s="1">
        <v>40</v>
      </c>
      <c r="H1573" s="10">
        <v>0</v>
      </c>
      <c r="I1573" s="1">
        <v>40000</v>
      </c>
      <c r="J1573" s="1">
        <v>50</v>
      </c>
      <c r="K1573" s="1">
        <v>500</v>
      </c>
      <c r="L1573" s="1">
        <v>22500</v>
      </c>
      <c r="M1573" s="1" t="s">
        <v>1908</v>
      </c>
      <c r="N1573" s="1" t="s">
        <v>1428</v>
      </c>
      <c r="O1573" s="1">
        <v>0</v>
      </c>
      <c r="P1573" s="1" t="s">
        <v>2053</v>
      </c>
      <c r="Q1573" s="7" t="str">
        <f t="shared" si="41"/>
        <v>equipment/12012.png</v>
      </c>
      <c r="R1573" s="1">
        <v>0</v>
      </c>
    </row>
    <row r="1574" spans="1:18" ht="14.25" thickBot="1">
      <c r="A1574" s="1" t="s">
        <v>1266</v>
      </c>
      <c r="B1574" s="3">
        <v>1</v>
      </c>
      <c r="C1574" s="9" t="s">
        <v>2567</v>
      </c>
      <c r="D1574" s="1" t="s">
        <v>12</v>
      </c>
      <c r="E1574" s="1">
        <v>5</v>
      </c>
      <c r="F1574" s="1">
        <v>4</v>
      </c>
      <c r="G1574" s="1">
        <v>40</v>
      </c>
      <c r="H1574" s="10" t="s">
        <v>2120</v>
      </c>
      <c r="I1574" s="1">
        <v>40000</v>
      </c>
      <c r="J1574" s="1">
        <v>50</v>
      </c>
      <c r="K1574" s="1">
        <v>500</v>
      </c>
      <c r="L1574" s="1">
        <v>22500</v>
      </c>
      <c r="M1574" s="1" t="s">
        <v>1924</v>
      </c>
      <c r="N1574" s="1" t="s">
        <v>1429</v>
      </c>
      <c r="O1574" s="1">
        <v>0</v>
      </c>
      <c r="P1574" s="1" t="s">
        <v>2053</v>
      </c>
      <c r="Q1574" s="7" t="str">
        <f t="shared" si="41"/>
        <v>equipment/1115.png</v>
      </c>
      <c r="R1574" s="1">
        <v>0</v>
      </c>
    </row>
    <row r="1575" spans="1:18" ht="14.25" thickBot="1">
      <c r="A1575" s="1" t="s">
        <v>1267</v>
      </c>
      <c r="B1575" s="3">
        <v>1</v>
      </c>
      <c r="C1575" s="9" t="s">
        <v>2568</v>
      </c>
      <c r="D1575" s="1" t="s">
        <v>12</v>
      </c>
      <c r="E1575" s="1">
        <v>5</v>
      </c>
      <c r="F1575" s="1">
        <v>4</v>
      </c>
      <c r="G1575" s="1">
        <v>40</v>
      </c>
      <c r="H1575" s="10" t="s">
        <v>2120</v>
      </c>
      <c r="I1575" s="1">
        <v>43000</v>
      </c>
      <c r="J1575" s="1">
        <v>50</v>
      </c>
      <c r="K1575" s="1">
        <v>500</v>
      </c>
      <c r="L1575" s="1">
        <v>25000</v>
      </c>
      <c r="M1575" s="1" t="s">
        <v>2019</v>
      </c>
      <c r="N1575" s="1" t="s">
        <v>1429</v>
      </c>
      <c r="O1575" s="1">
        <v>0</v>
      </c>
      <c r="P1575" s="1" t="s">
        <v>2053</v>
      </c>
      <c r="Q1575" s="7" t="str">
        <f t="shared" si="41"/>
        <v>equipment/1116.png</v>
      </c>
      <c r="R1575" s="1">
        <v>0</v>
      </c>
    </row>
    <row r="1576" spans="1:18" ht="14.25" thickBot="1">
      <c r="A1576" s="1" t="s">
        <v>1268</v>
      </c>
      <c r="B1576" s="3">
        <v>1</v>
      </c>
      <c r="C1576" s="9" t="s">
        <v>2569</v>
      </c>
      <c r="D1576" s="1" t="s">
        <v>13</v>
      </c>
      <c r="E1576" s="1">
        <v>6</v>
      </c>
      <c r="F1576" s="1">
        <v>4</v>
      </c>
      <c r="G1576" s="1">
        <v>40</v>
      </c>
      <c r="H1576" s="10" t="s">
        <v>2120</v>
      </c>
      <c r="I1576" s="1">
        <v>40000</v>
      </c>
      <c r="J1576" s="1">
        <v>50</v>
      </c>
      <c r="K1576" s="1">
        <v>500</v>
      </c>
      <c r="L1576" s="1">
        <v>22500</v>
      </c>
      <c r="M1576" s="1" t="s">
        <v>1925</v>
      </c>
      <c r="N1576" s="1" t="s">
        <v>1429</v>
      </c>
      <c r="O1576" s="1">
        <v>0</v>
      </c>
      <c r="P1576" s="1" t="s">
        <v>2053</v>
      </c>
      <c r="Q1576" s="7" t="str">
        <f t="shared" si="41"/>
        <v>equipment/2109.png</v>
      </c>
      <c r="R1576" s="1">
        <v>0</v>
      </c>
    </row>
    <row r="1577" spans="1:18" ht="14.25" thickBot="1">
      <c r="A1577" s="1" t="s">
        <v>1269</v>
      </c>
      <c r="B1577" s="2">
        <v>0</v>
      </c>
      <c r="C1577" s="9" t="s">
        <v>2061</v>
      </c>
      <c r="D1577" s="1" t="s">
        <v>13</v>
      </c>
      <c r="E1577" s="1">
        <v>6</v>
      </c>
      <c r="F1577" s="1">
        <v>4</v>
      </c>
      <c r="G1577" s="1">
        <v>40</v>
      </c>
      <c r="H1577" s="10" t="s">
        <v>2120</v>
      </c>
      <c r="I1577" s="1">
        <v>43000</v>
      </c>
      <c r="J1577" s="1">
        <v>50</v>
      </c>
      <c r="K1577" s="1">
        <v>500</v>
      </c>
      <c r="L1577" s="1">
        <v>25000</v>
      </c>
      <c r="M1577" s="1" t="s">
        <v>1926</v>
      </c>
      <c r="N1577" s="1" t="s">
        <v>1429</v>
      </c>
      <c r="O1577" s="1">
        <v>0</v>
      </c>
      <c r="P1577" s="1" t="s">
        <v>2053</v>
      </c>
      <c r="Q1577" s="7" t="str">
        <f t="shared" si="41"/>
        <v>equipment/2101.png</v>
      </c>
      <c r="R1577" s="1">
        <v>0</v>
      </c>
    </row>
    <row r="1578" spans="1:18" ht="14.25" thickBot="1">
      <c r="A1578" s="1" t="s">
        <v>1270</v>
      </c>
      <c r="B1578" s="3">
        <v>1</v>
      </c>
      <c r="C1578" s="1" t="s">
        <v>2570</v>
      </c>
      <c r="D1578" s="1" t="s">
        <v>12</v>
      </c>
      <c r="E1578" s="1">
        <v>5</v>
      </c>
      <c r="F1578" s="1">
        <v>4</v>
      </c>
      <c r="G1578" s="1">
        <v>40</v>
      </c>
      <c r="H1578" s="10" t="s">
        <v>2121</v>
      </c>
      <c r="I1578" s="1">
        <v>40000</v>
      </c>
      <c r="J1578" s="1">
        <v>50</v>
      </c>
      <c r="K1578" s="1">
        <v>500</v>
      </c>
      <c r="L1578" s="1">
        <v>22500</v>
      </c>
      <c r="M1578" s="1" t="s">
        <v>1924</v>
      </c>
      <c r="N1578" s="1" t="s">
        <v>1429</v>
      </c>
      <c r="O1578" s="1">
        <v>0</v>
      </c>
      <c r="P1578" s="1" t="s">
        <v>2053</v>
      </c>
      <c r="Q1578" s="7" t="str">
        <f t="shared" si="41"/>
        <v>equipment/1216.png</v>
      </c>
      <c r="R1578" s="1">
        <v>0</v>
      </c>
    </row>
    <row r="1579" spans="1:18" ht="14.25" thickBot="1">
      <c r="A1579" s="1" t="s">
        <v>1271</v>
      </c>
      <c r="B1579" s="3">
        <v>1</v>
      </c>
      <c r="C1579" s="1" t="s">
        <v>2571</v>
      </c>
      <c r="D1579" s="1" t="s">
        <v>12</v>
      </c>
      <c r="E1579" s="1">
        <v>5</v>
      </c>
      <c r="F1579" s="1">
        <v>4</v>
      </c>
      <c r="G1579" s="1">
        <v>40</v>
      </c>
      <c r="H1579" s="10" t="s">
        <v>2121</v>
      </c>
      <c r="I1579" s="1">
        <v>43000</v>
      </c>
      <c r="J1579" s="1">
        <v>50</v>
      </c>
      <c r="K1579" s="1">
        <v>500</v>
      </c>
      <c r="L1579" s="1">
        <v>25000</v>
      </c>
      <c r="M1579" s="1" t="s">
        <v>2019</v>
      </c>
      <c r="N1579" s="1" t="s">
        <v>1429</v>
      </c>
      <c r="O1579" s="1">
        <v>0</v>
      </c>
      <c r="P1579" s="1" t="s">
        <v>2053</v>
      </c>
      <c r="Q1579" s="7" t="str">
        <f t="shared" si="41"/>
        <v>equipment/1214.png</v>
      </c>
      <c r="R1579" s="1">
        <v>0</v>
      </c>
    </row>
    <row r="1580" spans="1:18" ht="14.25" thickBot="1">
      <c r="A1580" s="1" t="s">
        <v>1272</v>
      </c>
      <c r="B1580" s="3">
        <v>1</v>
      </c>
      <c r="C1580" s="9" t="s">
        <v>2572</v>
      </c>
      <c r="D1580" s="1" t="s">
        <v>13</v>
      </c>
      <c r="E1580" s="1">
        <v>6</v>
      </c>
      <c r="F1580" s="1">
        <v>4</v>
      </c>
      <c r="G1580" s="1">
        <v>40</v>
      </c>
      <c r="H1580" s="10" t="s">
        <v>2121</v>
      </c>
      <c r="I1580" s="1">
        <v>40000</v>
      </c>
      <c r="J1580" s="1">
        <v>50</v>
      </c>
      <c r="K1580" s="1">
        <v>500</v>
      </c>
      <c r="L1580" s="1">
        <v>22500</v>
      </c>
      <c r="M1580" s="1" t="s">
        <v>1923</v>
      </c>
      <c r="N1580" s="1" t="s">
        <v>1429</v>
      </c>
      <c r="O1580" s="1">
        <v>0</v>
      </c>
      <c r="P1580" s="1" t="s">
        <v>2053</v>
      </c>
      <c r="Q1580" s="7" t="str">
        <f t="shared" si="41"/>
        <v>equipment/2209.png</v>
      </c>
      <c r="R1580" s="1">
        <v>0</v>
      </c>
    </row>
    <row r="1581" spans="1:18" ht="14.25" thickBot="1">
      <c r="A1581" s="1" t="s">
        <v>1273</v>
      </c>
      <c r="B1581" s="2">
        <v>0</v>
      </c>
      <c r="C1581" s="9" t="s">
        <v>2094</v>
      </c>
      <c r="D1581" s="1" t="s">
        <v>13</v>
      </c>
      <c r="E1581" s="1">
        <v>6</v>
      </c>
      <c r="F1581" s="1">
        <v>4</v>
      </c>
      <c r="G1581" s="1">
        <v>40</v>
      </c>
      <c r="H1581" s="10" t="s">
        <v>2121</v>
      </c>
      <c r="I1581" s="1">
        <v>43000</v>
      </c>
      <c r="J1581" s="1">
        <v>50</v>
      </c>
      <c r="K1581" s="1">
        <v>500</v>
      </c>
      <c r="L1581" s="1">
        <v>25000</v>
      </c>
      <c r="M1581" s="1" t="s">
        <v>1927</v>
      </c>
      <c r="N1581" s="1" t="s">
        <v>1429</v>
      </c>
      <c r="O1581" s="1">
        <v>0</v>
      </c>
      <c r="P1581" s="1" t="s">
        <v>2053</v>
      </c>
      <c r="Q1581" s="7" t="str">
        <f t="shared" si="41"/>
        <v>equipment/2201.png</v>
      </c>
      <c r="R1581" s="1">
        <v>0</v>
      </c>
    </row>
    <row r="1582" spans="1:18" ht="14.25" thickBot="1">
      <c r="A1582" s="1" t="s">
        <v>1274</v>
      </c>
      <c r="B1582" s="3">
        <v>1</v>
      </c>
      <c r="C1582" s="9" t="s">
        <v>2573</v>
      </c>
      <c r="D1582" s="1" t="s">
        <v>12</v>
      </c>
      <c r="E1582" s="1">
        <v>5</v>
      </c>
      <c r="F1582" s="1">
        <v>4</v>
      </c>
      <c r="G1582" s="1">
        <v>40</v>
      </c>
      <c r="H1582" s="10" t="s">
        <v>2122</v>
      </c>
      <c r="I1582" s="1">
        <v>40000</v>
      </c>
      <c r="J1582" s="1">
        <v>50</v>
      </c>
      <c r="K1582" s="1">
        <v>500</v>
      </c>
      <c r="L1582" s="1">
        <v>22500</v>
      </c>
      <c r="M1582" s="1" t="s">
        <v>1924</v>
      </c>
      <c r="N1582" s="1" t="s">
        <v>1429</v>
      </c>
      <c r="O1582" s="1">
        <v>0</v>
      </c>
      <c r="P1582" s="1" t="s">
        <v>2053</v>
      </c>
      <c r="Q1582" s="7" t="str">
        <f t="shared" si="41"/>
        <v>equipment/1317.png</v>
      </c>
      <c r="R1582" s="1">
        <v>0</v>
      </c>
    </row>
    <row r="1583" spans="1:18" ht="14.25" thickBot="1">
      <c r="A1583" s="1" t="s">
        <v>1275</v>
      </c>
      <c r="B1583" s="3">
        <v>1</v>
      </c>
      <c r="C1583" s="9" t="s">
        <v>2574</v>
      </c>
      <c r="D1583" s="1" t="s">
        <v>12</v>
      </c>
      <c r="E1583" s="1">
        <v>5</v>
      </c>
      <c r="F1583" s="1">
        <v>4</v>
      </c>
      <c r="G1583" s="1">
        <v>40</v>
      </c>
      <c r="H1583" s="10" t="s">
        <v>2122</v>
      </c>
      <c r="I1583" s="1">
        <v>43000</v>
      </c>
      <c r="J1583" s="1">
        <v>50</v>
      </c>
      <c r="K1583" s="1">
        <v>500</v>
      </c>
      <c r="L1583" s="1">
        <v>25000</v>
      </c>
      <c r="M1583" s="1" t="s">
        <v>2019</v>
      </c>
      <c r="N1583" s="1" t="s">
        <v>1429</v>
      </c>
      <c r="O1583" s="1">
        <v>0</v>
      </c>
      <c r="P1583" s="1" t="s">
        <v>2053</v>
      </c>
      <c r="Q1583" s="7" t="str">
        <f t="shared" si="41"/>
        <v>equipment/1315.png</v>
      </c>
      <c r="R1583" s="1">
        <v>0</v>
      </c>
    </row>
    <row r="1584" spans="1:18" ht="14.25" thickBot="1">
      <c r="A1584" s="1" t="s">
        <v>1276</v>
      </c>
      <c r="B1584" s="3">
        <v>1</v>
      </c>
      <c r="C1584" s="9" t="s">
        <v>2575</v>
      </c>
      <c r="D1584" s="1" t="s">
        <v>13</v>
      </c>
      <c r="E1584" s="1">
        <v>6</v>
      </c>
      <c r="F1584" s="1">
        <v>4</v>
      </c>
      <c r="G1584" s="1">
        <v>40</v>
      </c>
      <c r="H1584" s="10" t="s">
        <v>2122</v>
      </c>
      <c r="I1584" s="1">
        <v>40000</v>
      </c>
      <c r="J1584" s="1">
        <v>50</v>
      </c>
      <c r="K1584" s="1">
        <v>500</v>
      </c>
      <c r="L1584" s="1">
        <v>22500</v>
      </c>
      <c r="M1584" s="1" t="s">
        <v>1928</v>
      </c>
      <c r="N1584" s="1" t="s">
        <v>1429</v>
      </c>
      <c r="O1584" s="1">
        <v>0</v>
      </c>
      <c r="P1584" s="1" t="s">
        <v>2053</v>
      </c>
      <c r="Q1584" s="7" t="str">
        <f t="shared" si="41"/>
        <v>equipment/2309.png</v>
      </c>
      <c r="R1584" s="1">
        <v>0</v>
      </c>
    </row>
    <row r="1585" spans="1:18" ht="14.25" thickBot="1">
      <c r="A1585" s="1" t="s">
        <v>1277</v>
      </c>
      <c r="B1585" s="2">
        <v>0</v>
      </c>
      <c r="C1585" s="9" t="s">
        <v>2095</v>
      </c>
      <c r="D1585" s="1" t="s">
        <v>13</v>
      </c>
      <c r="E1585" s="1">
        <v>6</v>
      </c>
      <c r="F1585" s="1">
        <v>4</v>
      </c>
      <c r="G1585" s="1">
        <v>40</v>
      </c>
      <c r="H1585" s="10" t="s">
        <v>2122</v>
      </c>
      <c r="I1585" s="1">
        <v>43000</v>
      </c>
      <c r="J1585" s="1">
        <v>50</v>
      </c>
      <c r="K1585" s="1">
        <v>500</v>
      </c>
      <c r="L1585" s="1">
        <v>25000</v>
      </c>
      <c r="M1585" s="1" t="s">
        <v>1929</v>
      </c>
      <c r="N1585" s="1" t="s">
        <v>1429</v>
      </c>
      <c r="O1585" s="1">
        <v>0</v>
      </c>
      <c r="P1585" s="1" t="s">
        <v>2053</v>
      </c>
      <c r="Q1585" s="7" t="str">
        <f t="shared" si="41"/>
        <v>equipment/2301.png</v>
      </c>
      <c r="R1585" s="1">
        <v>0</v>
      </c>
    </row>
    <row r="1586" spans="1:18" ht="14.25" thickBot="1">
      <c r="A1586" s="1" t="s">
        <v>1278</v>
      </c>
      <c r="B1586" s="3">
        <v>1</v>
      </c>
      <c r="C1586" s="1" t="s">
        <v>2086</v>
      </c>
      <c r="D1586" s="1" t="s">
        <v>11</v>
      </c>
      <c r="E1586" s="1">
        <v>4</v>
      </c>
      <c r="F1586" s="1">
        <v>4</v>
      </c>
      <c r="G1586" s="1">
        <v>40</v>
      </c>
      <c r="H1586" s="10">
        <v>0</v>
      </c>
      <c r="I1586" s="1">
        <v>40000</v>
      </c>
      <c r="J1586" s="1">
        <v>50</v>
      </c>
      <c r="K1586" s="1">
        <v>500</v>
      </c>
      <c r="L1586" s="1">
        <v>22500</v>
      </c>
      <c r="M1586" s="1" t="s">
        <v>1930</v>
      </c>
      <c r="N1586" s="1" t="s">
        <v>1428</v>
      </c>
      <c r="O1586" s="1">
        <v>0</v>
      </c>
      <c r="P1586" s="1" t="s">
        <v>2053</v>
      </c>
      <c r="Q1586" s="7" t="str">
        <f t="shared" si="41"/>
        <v>equipment/5012.png</v>
      </c>
      <c r="R1586" s="1">
        <v>0</v>
      </c>
    </row>
    <row r="1587" spans="1:18" ht="14.25" thickBot="1">
      <c r="A1587" s="1" t="s">
        <v>1279</v>
      </c>
      <c r="B1587" s="2">
        <v>0</v>
      </c>
      <c r="C1587" s="1" t="s">
        <v>2499</v>
      </c>
      <c r="D1587" s="1" t="s">
        <v>11</v>
      </c>
      <c r="E1587" s="1">
        <v>4</v>
      </c>
      <c r="F1587" s="1">
        <v>4</v>
      </c>
      <c r="G1587" s="1">
        <v>40</v>
      </c>
      <c r="H1587" s="10">
        <v>0</v>
      </c>
      <c r="I1587" s="1">
        <v>43000</v>
      </c>
      <c r="J1587" s="1">
        <v>50</v>
      </c>
      <c r="K1587" s="1">
        <v>500</v>
      </c>
      <c r="L1587" s="1">
        <v>25000</v>
      </c>
      <c r="M1587" s="1" t="s">
        <v>1931</v>
      </c>
      <c r="N1587" s="1" t="s">
        <v>1428</v>
      </c>
      <c r="O1587" s="1">
        <v>0</v>
      </c>
      <c r="P1587" s="1" t="s">
        <v>2053</v>
      </c>
      <c r="Q1587" s="7" t="str">
        <f t="shared" si="41"/>
        <v>equipment/5001.png</v>
      </c>
      <c r="R1587" s="1">
        <v>0</v>
      </c>
    </row>
    <row r="1588" spans="1:18" ht="14.25" thickBot="1">
      <c r="A1588" s="1" t="s">
        <v>1280</v>
      </c>
      <c r="B1588" s="3">
        <v>1</v>
      </c>
      <c r="C1588" s="1" t="s">
        <v>2091</v>
      </c>
      <c r="D1588" s="1" t="s">
        <v>14</v>
      </c>
      <c r="E1588" s="1">
        <v>7</v>
      </c>
      <c r="F1588" s="1">
        <v>4</v>
      </c>
      <c r="G1588" s="1">
        <v>40</v>
      </c>
      <c r="H1588" s="10">
        <v>0</v>
      </c>
      <c r="I1588" s="1">
        <v>40000</v>
      </c>
      <c r="J1588" s="1">
        <v>50</v>
      </c>
      <c r="K1588" s="1">
        <v>500</v>
      </c>
      <c r="L1588" s="1">
        <v>22500</v>
      </c>
      <c r="M1588" s="1" t="s">
        <v>1932</v>
      </c>
      <c r="N1588" s="1" t="s">
        <v>1428</v>
      </c>
      <c r="O1588" s="1">
        <v>0</v>
      </c>
      <c r="P1588" s="1" t="s">
        <v>2053</v>
      </c>
      <c r="Q1588" s="7" t="str">
        <f t="shared" si="41"/>
        <v>equipment/7009.png</v>
      </c>
      <c r="R1588" s="1">
        <v>0</v>
      </c>
    </row>
    <row r="1589" spans="1:18" ht="14.25" thickBot="1">
      <c r="A1589" s="1" t="s">
        <v>1281</v>
      </c>
      <c r="B1589" s="2">
        <v>0</v>
      </c>
      <c r="C1589" s="1" t="s">
        <v>2501</v>
      </c>
      <c r="D1589" s="1" t="s">
        <v>14</v>
      </c>
      <c r="E1589" s="1">
        <v>7</v>
      </c>
      <c r="F1589" s="1">
        <v>4</v>
      </c>
      <c r="G1589" s="1">
        <v>40</v>
      </c>
      <c r="H1589" s="10">
        <v>0</v>
      </c>
      <c r="I1589" s="1">
        <v>43000</v>
      </c>
      <c r="J1589" s="1">
        <v>50</v>
      </c>
      <c r="K1589" s="1">
        <v>500</v>
      </c>
      <c r="L1589" s="1">
        <v>25000</v>
      </c>
      <c r="M1589" s="1" t="s">
        <v>1933</v>
      </c>
      <c r="N1589" s="1" t="s">
        <v>1428</v>
      </c>
      <c r="O1589" s="1">
        <v>0</v>
      </c>
      <c r="P1589" s="1" t="s">
        <v>2053</v>
      </c>
      <c r="Q1589" s="7" t="str">
        <f t="shared" si="41"/>
        <v>equipment/7001.png</v>
      </c>
      <c r="R1589" s="1">
        <v>0</v>
      </c>
    </row>
    <row r="1590" spans="1:18" ht="14.25" thickBot="1">
      <c r="A1590" s="1" t="s">
        <v>1282</v>
      </c>
      <c r="B1590" s="2">
        <v>1</v>
      </c>
      <c r="C1590" s="1" t="s">
        <v>2576</v>
      </c>
      <c r="D1590" s="1" t="s">
        <v>8</v>
      </c>
      <c r="E1590" s="1">
        <v>1</v>
      </c>
      <c r="F1590" s="1">
        <v>4</v>
      </c>
      <c r="G1590" s="1">
        <v>45</v>
      </c>
      <c r="H1590" s="10">
        <v>0</v>
      </c>
      <c r="I1590" s="1">
        <v>45000</v>
      </c>
      <c r="J1590" s="1">
        <v>50</v>
      </c>
      <c r="K1590" s="1">
        <v>500</v>
      </c>
      <c r="L1590" s="1">
        <v>25000</v>
      </c>
      <c r="M1590" s="1" t="s">
        <v>1919</v>
      </c>
      <c r="N1590" s="1" t="s">
        <v>1430</v>
      </c>
      <c r="O1590" s="1">
        <v>0</v>
      </c>
      <c r="P1590" s="1" t="s">
        <v>2054</v>
      </c>
      <c r="Q1590" s="7" t="str">
        <f t="shared" si="41"/>
        <v>equipment/3003.png</v>
      </c>
      <c r="R1590" s="1">
        <v>0</v>
      </c>
    </row>
    <row r="1591" spans="1:18" ht="14.25" thickBot="1">
      <c r="A1591" s="1" t="s">
        <v>1283</v>
      </c>
      <c r="B1591" s="2">
        <v>1</v>
      </c>
      <c r="C1591" s="1" t="s">
        <v>2577</v>
      </c>
      <c r="D1591" s="1" t="s">
        <v>9</v>
      </c>
      <c r="E1591" s="1">
        <v>2</v>
      </c>
      <c r="F1591" s="1">
        <v>4</v>
      </c>
      <c r="G1591" s="1">
        <v>45</v>
      </c>
      <c r="H1591" s="10">
        <v>0</v>
      </c>
      <c r="I1591" s="1">
        <v>45000</v>
      </c>
      <c r="J1591" s="1">
        <v>50</v>
      </c>
      <c r="K1591" s="1">
        <v>500</v>
      </c>
      <c r="L1591" s="1">
        <v>25000</v>
      </c>
      <c r="M1591" s="1" t="s">
        <v>1920</v>
      </c>
      <c r="N1591" s="1" t="s">
        <v>1430</v>
      </c>
      <c r="O1591" s="1">
        <v>0</v>
      </c>
      <c r="P1591" s="1" t="s">
        <v>2054</v>
      </c>
      <c r="Q1591" s="7" t="str">
        <f t="shared" si="41"/>
        <v>equipment/14001.png</v>
      </c>
      <c r="R1591" s="1">
        <v>0</v>
      </c>
    </row>
    <row r="1592" spans="1:18" ht="14.25" thickBot="1">
      <c r="A1592" s="1" t="s">
        <v>1284</v>
      </c>
      <c r="B1592" s="3">
        <v>1</v>
      </c>
      <c r="C1592" s="1" t="s">
        <v>2578</v>
      </c>
      <c r="D1592" s="1" t="s">
        <v>10</v>
      </c>
      <c r="E1592" s="1">
        <v>3</v>
      </c>
      <c r="F1592" s="1">
        <v>4</v>
      </c>
      <c r="G1592" s="1">
        <v>45</v>
      </c>
      <c r="H1592" s="10">
        <v>0</v>
      </c>
      <c r="I1592" s="1">
        <v>45000</v>
      </c>
      <c r="J1592" s="1">
        <v>50</v>
      </c>
      <c r="K1592" s="1">
        <v>500</v>
      </c>
      <c r="L1592" s="1">
        <v>25000</v>
      </c>
      <c r="M1592" s="1" t="s">
        <v>1934</v>
      </c>
      <c r="N1592" s="1" t="s">
        <v>1430</v>
      </c>
      <c r="O1592" s="1">
        <v>0</v>
      </c>
      <c r="P1592" s="1" t="s">
        <v>2054</v>
      </c>
      <c r="Q1592" s="7" t="str">
        <f t="shared" si="41"/>
        <v>equipment/6008.png</v>
      </c>
      <c r="R1592" s="1">
        <v>0</v>
      </c>
    </row>
    <row r="1593" spans="1:18" ht="14.25" thickBot="1">
      <c r="A1593" s="1" t="s">
        <v>1285</v>
      </c>
      <c r="B1593" s="3">
        <v>1</v>
      </c>
      <c r="C1593" s="1" t="s">
        <v>2070</v>
      </c>
      <c r="D1593" s="1" t="s">
        <v>15</v>
      </c>
      <c r="E1593" s="1">
        <v>8</v>
      </c>
      <c r="F1593" s="1">
        <v>4</v>
      </c>
      <c r="G1593" s="1">
        <v>45</v>
      </c>
      <c r="H1593" s="10">
        <v>0</v>
      </c>
      <c r="I1593" s="1">
        <v>45000</v>
      </c>
      <c r="J1593" s="1">
        <v>50</v>
      </c>
      <c r="K1593" s="1">
        <v>500</v>
      </c>
      <c r="L1593" s="1">
        <v>25000</v>
      </c>
      <c r="M1593" s="1" t="s">
        <v>1935</v>
      </c>
      <c r="N1593" s="1" t="s">
        <v>1430</v>
      </c>
      <c r="O1593" s="1">
        <v>0</v>
      </c>
      <c r="P1593" s="1" t="s">
        <v>2054</v>
      </c>
      <c r="Q1593" s="7" t="str">
        <f t="shared" si="41"/>
        <v>equipment/8008.png</v>
      </c>
      <c r="R1593" s="1">
        <v>0</v>
      </c>
    </row>
    <row r="1594" spans="1:18" ht="14.25" thickBot="1">
      <c r="A1594" s="1" t="s">
        <v>1286</v>
      </c>
      <c r="B1594" s="3">
        <v>1</v>
      </c>
      <c r="C1594" s="1" t="s">
        <v>2579</v>
      </c>
      <c r="D1594" s="1" t="s">
        <v>16</v>
      </c>
      <c r="E1594" s="1">
        <v>9</v>
      </c>
      <c r="F1594" s="1">
        <v>4</v>
      </c>
      <c r="G1594" s="1">
        <v>45</v>
      </c>
      <c r="H1594" s="10">
        <v>0</v>
      </c>
      <c r="I1594" s="1">
        <v>45000</v>
      </c>
      <c r="J1594" s="1">
        <v>50</v>
      </c>
      <c r="K1594" s="1">
        <v>500</v>
      </c>
      <c r="L1594" s="1">
        <v>25000</v>
      </c>
      <c r="M1594" s="1" t="s">
        <v>1936</v>
      </c>
      <c r="N1594" s="1" t="s">
        <v>1430</v>
      </c>
      <c r="O1594" s="1">
        <v>0</v>
      </c>
      <c r="P1594" s="1" t="s">
        <v>2054</v>
      </c>
      <c r="Q1594" s="7" t="str">
        <f t="shared" si="41"/>
        <v>equipment/10008.png</v>
      </c>
      <c r="R1594" s="1">
        <v>0</v>
      </c>
    </row>
    <row r="1595" spans="1:18" ht="14.25" thickBot="1">
      <c r="A1595" s="1" t="s">
        <v>1287</v>
      </c>
      <c r="B1595" s="3">
        <v>1</v>
      </c>
      <c r="C1595" s="1" t="s">
        <v>2580</v>
      </c>
      <c r="D1595" s="1" t="s">
        <v>17</v>
      </c>
      <c r="E1595" s="1">
        <v>10</v>
      </c>
      <c r="F1595" s="1">
        <v>4</v>
      </c>
      <c r="G1595" s="1">
        <v>45</v>
      </c>
      <c r="H1595" s="10">
        <v>0</v>
      </c>
      <c r="I1595" s="1">
        <v>45000</v>
      </c>
      <c r="J1595" s="1">
        <v>50</v>
      </c>
      <c r="K1595" s="1">
        <v>500</v>
      </c>
      <c r="L1595" s="1">
        <v>25000</v>
      </c>
      <c r="M1595" s="1" t="s">
        <v>1937</v>
      </c>
      <c r="N1595" s="1" t="s">
        <v>1430</v>
      </c>
      <c r="O1595" s="1">
        <v>0</v>
      </c>
      <c r="P1595" s="1" t="s">
        <v>2054</v>
      </c>
      <c r="Q1595" s="7" t="str">
        <f t="shared" si="41"/>
        <v>equipment/12007.png</v>
      </c>
      <c r="R1595" s="1">
        <v>0</v>
      </c>
    </row>
    <row r="1596" spans="1:18" ht="14.25" thickBot="1">
      <c r="A1596" s="1" t="s">
        <v>1288</v>
      </c>
      <c r="B1596" s="3">
        <v>1</v>
      </c>
      <c r="C1596" s="9" t="s">
        <v>2581</v>
      </c>
      <c r="D1596" s="1" t="s">
        <v>12</v>
      </c>
      <c r="E1596" s="1">
        <v>5</v>
      </c>
      <c r="F1596" s="1">
        <v>4</v>
      </c>
      <c r="G1596" s="1">
        <v>45</v>
      </c>
      <c r="H1596" s="10" t="s">
        <v>2120</v>
      </c>
      <c r="I1596" s="1">
        <v>45000</v>
      </c>
      <c r="J1596" s="1">
        <v>50</v>
      </c>
      <c r="K1596" s="1">
        <v>500</v>
      </c>
      <c r="L1596" s="1">
        <v>25000</v>
      </c>
      <c r="M1596" s="1" t="s">
        <v>2020</v>
      </c>
      <c r="N1596" s="1" t="s">
        <v>1431</v>
      </c>
      <c r="O1596" s="1">
        <v>0</v>
      </c>
      <c r="P1596" s="1" t="s">
        <v>2054</v>
      </c>
      <c r="Q1596" s="7" t="str">
        <f t="shared" si="41"/>
        <v>equipment/1117.png</v>
      </c>
      <c r="R1596" s="1">
        <v>0</v>
      </c>
    </row>
    <row r="1597" spans="1:18" ht="14.25" thickBot="1">
      <c r="A1597" s="1" t="s">
        <v>1289</v>
      </c>
      <c r="B1597" s="2">
        <v>0</v>
      </c>
      <c r="C1597" s="9" t="s">
        <v>2491</v>
      </c>
      <c r="D1597" s="1" t="s">
        <v>12</v>
      </c>
      <c r="E1597" s="1">
        <v>5</v>
      </c>
      <c r="F1597" s="1">
        <v>4</v>
      </c>
      <c r="G1597" s="1">
        <v>45</v>
      </c>
      <c r="H1597" s="10" t="s">
        <v>2120</v>
      </c>
      <c r="I1597" s="1">
        <v>48000</v>
      </c>
      <c r="J1597" s="1">
        <v>50</v>
      </c>
      <c r="K1597" s="1">
        <v>500</v>
      </c>
      <c r="L1597" s="1">
        <v>27500</v>
      </c>
      <c r="M1597" s="1" t="s">
        <v>2021</v>
      </c>
      <c r="N1597" s="1" t="s">
        <v>1431</v>
      </c>
      <c r="O1597" s="1">
        <v>0</v>
      </c>
      <c r="P1597" s="1" t="s">
        <v>2054</v>
      </c>
      <c r="Q1597" s="7" t="str">
        <f t="shared" si="41"/>
        <v>equipment/1101.png</v>
      </c>
      <c r="R1597" s="1">
        <v>0</v>
      </c>
    </row>
    <row r="1598" spans="1:18" ht="14.25" thickBot="1">
      <c r="A1598" s="1" t="s">
        <v>1290</v>
      </c>
      <c r="B1598" s="3">
        <v>1</v>
      </c>
      <c r="C1598" s="9" t="s">
        <v>2582</v>
      </c>
      <c r="D1598" s="1" t="s">
        <v>13</v>
      </c>
      <c r="E1598" s="1">
        <v>6</v>
      </c>
      <c r="F1598" s="1">
        <v>4</v>
      </c>
      <c r="G1598" s="1">
        <v>45</v>
      </c>
      <c r="H1598" s="10" t="s">
        <v>2120</v>
      </c>
      <c r="I1598" s="1">
        <v>45000</v>
      </c>
      <c r="J1598" s="1">
        <v>50</v>
      </c>
      <c r="K1598" s="1">
        <v>500</v>
      </c>
      <c r="L1598" s="1">
        <v>25000</v>
      </c>
      <c r="M1598" s="1" t="s">
        <v>1938</v>
      </c>
      <c r="N1598" s="1" t="s">
        <v>1431</v>
      </c>
      <c r="O1598" s="1">
        <v>0</v>
      </c>
      <c r="P1598" s="1" t="s">
        <v>2054</v>
      </c>
      <c r="Q1598" s="7" t="str">
        <f t="shared" si="41"/>
        <v>equipment/2110.png</v>
      </c>
      <c r="R1598" s="1">
        <v>0</v>
      </c>
    </row>
    <row r="1599" spans="1:18" ht="14.25" thickBot="1">
      <c r="A1599" s="1" t="s">
        <v>1291</v>
      </c>
      <c r="B1599" s="2">
        <v>0</v>
      </c>
      <c r="C1599" s="9" t="s">
        <v>2061</v>
      </c>
      <c r="D1599" s="1" t="s">
        <v>13</v>
      </c>
      <c r="E1599" s="1">
        <v>6</v>
      </c>
      <c r="F1599" s="1">
        <v>4</v>
      </c>
      <c r="G1599" s="1">
        <v>45</v>
      </c>
      <c r="H1599" s="10" t="s">
        <v>2120</v>
      </c>
      <c r="I1599" s="1">
        <v>48000</v>
      </c>
      <c r="J1599" s="1">
        <v>50</v>
      </c>
      <c r="K1599" s="1">
        <v>500</v>
      </c>
      <c r="L1599" s="1">
        <v>27500</v>
      </c>
      <c r="M1599" s="1" t="s">
        <v>1939</v>
      </c>
      <c r="N1599" s="1" t="s">
        <v>1431</v>
      </c>
      <c r="O1599" s="1">
        <v>0</v>
      </c>
      <c r="P1599" s="1" t="s">
        <v>2054</v>
      </c>
      <c r="Q1599" s="7" t="str">
        <f t="shared" si="41"/>
        <v>equipment/2101.png</v>
      </c>
      <c r="R1599" s="1">
        <v>0</v>
      </c>
    </row>
    <row r="1600" spans="1:18" ht="14.25" thickBot="1">
      <c r="A1600" s="1" t="s">
        <v>1292</v>
      </c>
      <c r="B1600" s="3">
        <v>1</v>
      </c>
      <c r="C1600" s="1" t="s">
        <v>2583</v>
      </c>
      <c r="D1600" s="1" t="s">
        <v>12</v>
      </c>
      <c r="E1600" s="1">
        <v>5</v>
      </c>
      <c r="F1600" s="1">
        <v>4</v>
      </c>
      <c r="G1600" s="1">
        <v>45</v>
      </c>
      <c r="H1600" s="10" t="s">
        <v>2121</v>
      </c>
      <c r="I1600" s="1">
        <v>45000</v>
      </c>
      <c r="J1600" s="1">
        <v>50</v>
      </c>
      <c r="K1600" s="1">
        <v>500</v>
      </c>
      <c r="L1600" s="1">
        <v>25000</v>
      </c>
      <c r="M1600" s="1" t="s">
        <v>2020</v>
      </c>
      <c r="N1600" s="1" t="s">
        <v>1431</v>
      </c>
      <c r="O1600" s="1">
        <v>0</v>
      </c>
      <c r="P1600" s="1" t="s">
        <v>2054</v>
      </c>
      <c r="Q1600" s="7" t="str">
        <f t="shared" si="41"/>
        <v>equipment/1217.png</v>
      </c>
      <c r="R1600" s="1">
        <v>0</v>
      </c>
    </row>
    <row r="1601" spans="1:18" ht="14.25" thickBot="1">
      <c r="A1601" s="1" t="s">
        <v>1293</v>
      </c>
      <c r="B1601" s="2">
        <v>0</v>
      </c>
      <c r="C1601" s="1" t="s">
        <v>2494</v>
      </c>
      <c r="D1601" s="1" t="s">
        <v>12</v>
      </c>
      <c r="E1601" s="1">
        <v>5</v>
      </c>
      <c r="F1601" s="1">
        <v>4</v>
      </c>
      <c r="G1601" s="1">
        <v>45</v>
      </c>
      <c r="H1601" s="10" t="s">
        <v>2121</v>
      </c>
      <c r="I1601" s="1">
        <v>48000</v>
      </c>
      <c r="J1601" s="1">
        <v>50</v>
      </c>
      <c r="K1601" s="1">
        <v>500</v>
      </c>
      <c r="L1601" s="1">
        <v>27500</v>
      </c>
      <c r="M1601" s="1" t="s">
        <v>2021</v>
      </c>
      <c r="N1601" s="1" t="s">
        <v>1431</v>
      </c>
      <c r="O1601" s="1">
        <v>0</v>
      </c>
      <c r="P1601" s="1" t="s">
        <v>2054</v>
      </c>
      <c r="Q1601" s="7" t="str">
        <f t="shared" si="41"/>
        <v>equipment/1201.png</v>
      </c>
      <c r="R1601" s="1">
        <v>0</v>
      </c>
    </row>
    <row r="1602" spans="1:18" ht="14.25" thickBot="1">
      <c r="A1602" s="1" t="s">
        <v>1294</v>
      </c>
      <c r="B1602" s="3">
        <v>1</v>
      </c>
      <c r="C1602" s="9" t="s">
        <v>2584</v>
      </c>
      <c r="D1602" s="1" t="s">
        <v>13</v>
      </c>
      <c r="E1602" s="1">
        <v>6</v>
      </c>
      <c r="F1602" s="1">
        <v>4</v>
      </c>
      <c r="G1602" s="1">
        <v>45</v>
      </c>
      <c r="H1602" s="10" t="s">
        <v>2121</v>
      </c>
      <c r="I1602" s="1">
        <v>45000</v>
      </c>
      <c r="J1602" s="1">
        <v>50</v>
      </c>
      <c r="K1602" s="1">
        <v>500</v>
      </c>
      <c r="L1602" s="1">
        <v>25000</v>
      </c>
      <c r="M1602" s="1" t="s">
        <v>1940</v>
      </c>
      <c r="N1602" s="1" t="s">
        <v>1431</v>
      </c>
      <c r="O1602" s="1">
        <v>0</v>
      </c>
      <c r="P1602" s="1" t="s">
        <v>2054</v>
      </c>
      <c r="Q1602" s="7" t="str">
        <f t="shared" si="41"/>
        <v>equipment/2211.png</v>
      </c>
      <c r="R1602" s="1">
        <v>0</v>
      </c>
    </row>
    <row r="1603" spans="1:18" ht="14.25" thickBot="1">
      <c r="A1603" s="1" t="s">
        <v>1295</v>
      </c>
      <c r="B1603" s="2">
        <v>0</v>
      </c>
      <c r="C1603" s="9" t="s">
        <v>2094</v>
      </c>
      <c r="D1603" s="1" t="s">
        <v>13</v>
      </c>
      <c r="E1603" s="1">
        <v>6</v>
      </c>
      <c r="F1603" s="1">
        <v>4</v>
      </c>
      <c r="G1603" s="1">
        <v>45</v>
      </c>
      <c r="H1603" s="10" t="s">
        <v>2121</v>
      </c>
      <c r="I1603" s="1">
        <v>48000</v>
      </c>
      <c r="J1603" s="1">
        <v>50</v>
      </c>
      <c r="K1603" s="1">
        <v>500</v>
      </c>
      <c r="L1603" s="1">
        <v>27500</v>
      </c>
      <c r="M1603" s="1" t="s">
        <v>1941</v>
      </c>
      <c r="N1603" s="1" t="s">
        <v>1431</v>
      </c>
      <c r="O1603" s="1">
        <v>0</v>
      </c>
      <c r="P1603" s="1" t="s">
        <v>2054</v>
      </c>
      <c r="Q1603" s="7" t="str">
        <f t="shared" si="41"/>
        <v>equipment/2201.png</v>
      </c>
      <c r="R1603" s="1">
        <v>0</v>
      </c>
    </row>
    <row r="1604" spans="1:18" ht="14.25" thickBot="1">
      <c r="A1604" s="1" t="s">
        <v>1296</v>
      </c>
      <c r="B1604" s="3">
        <v>1</v>
      </c>
      <c r="C1604" s="9" t="s">
        <v>2585</v>
      </c>
      <c r="D1604" s="1" t="s">
        <v>12</v>
      </c>
      <c r="E1604" s="1">
        <v>5</v>
      </c>
      <c r="F1604" s="1">
        <v>4</v>
      </c>
      <c r="G1604" s="1">
        <v>45</v>
      </c>
      <c r="H1604" s="10" t="s">
        <v>2122</v>
      </c>
      <c r="I1604" s="1">
        <v>45000</v>
      </c>
      <c r="J1604" s="1">
        <v>50</v>
      </c>
      <c r="K1604" s="1">
        <v>500</v>
      </c>
      <c r="L1604" s="1">
        <v>25000</v>
      </c>
      <c r="M1604" s="1" t="s">
        <v>2020</v>
      </c>
      <c r="N1604" s="1" t="s">
        <v>1431</v>
      </c>
      <c r="O1604" s="1">
        <v>0</v>
      </c>
      <c r="P1604" s="1" t="s">
        <v>2054</v>
      </c>
      <c r="Q1604" s="7" t="str">
        <f t="shared" si="41"/>
        <v>equipment/1316.png</v>
      </c>
      <c r="R1604" s="1">
        <v>0</v>
      </c>
    </row>
    <row r="1605" spans="1:18" ht="14.25" thickBot="1">
      <c r="A1605" s="1" t="s">
        <v>1297</v>
      </c>
      <c r="B1605" s="3">
        <v>1</v>
      </c>
      <c r="C1605" s="9" t="s">
        <v>2586</v>
      </c>
      <c r="D1605" s="1" t="s">
        <v>12</v>
      </c>
      <c r="E1605" s="1">
        <v>5</v>
      </c>
      <c r="F1605" s="1">
        <v>4</v>
      </c>
      <c r="G1605" s="1">
        <v>45</v>
      </c>
      <c r="H1605" s="10" t="s">
        <v>2122</v>
      </c>
      <c r="I1605" s="1">
        <v>48000</v>
      </c>
      <c r="J1605" s="1">
        <v>50</v>
      </c>
      <c r="K1605" s="1">
        <v>500</v>
      </c>
      <c r="L1605" s="1">
        <v>27500</v>
      </c>
      <c r="M1605" s="1" t="s">
        <v>2021</v>
      </c>
      <c r="N1605" s="1" t="s">
        <v>1431</v>
      </c>
      <c r="O1605" s="1">
        <v>0</v>
      </c>
      <c r="P1605" s="1" t="s">
        <v>2054</v>
      </c>
      <c r="Q1605" s="7" t="str">
        <f t="shared" si="41"/>
        <v>equipment/1318.png</v>
      </c>
      <c r="R1605" s="1">
        <v>0</v>
      </c>
    </row>
    <row r="1606" spans="1:18" ht="14.25" thickBot="1">
      <c r="A1606" s="1" t="s">
        <v>1298</v>
      </c>
      <c r="B1606" s="3">
        <v>1</v>
      </c>
      <c r="C1606" s="9" t="s">
        <v>2587</v>
      </c>
      <c r="D1606" s="1" t="s">
        <v>13</v>
      </c>
      <c r="E1606" s="1">
        <v>6</v>
      </c>
      <c r="F1606" s="1">
        <v>4</v>
      </c>
      <c r="G1606" s="1">
        <v>45</v>
      </c>
      <c r="H1606" s="10" t="s">
        <v>2122</v>
      </c>
      <c r="I1606" s="1">
        <v>45000</v>
      </c>
      <c r="J1606" s="1">
        <v>50</v>
      </c>
      <c r="K1606" s="1">
        <v>500</v>
      </c>
      <c r="L1606" s="1">
        <v>25000</v>
      </c>
      <c r="M1606" s="1" t="s">
        <v>1942</v>
      </c>
      <c r="N1606" s="1" t="s">
        <v>1431</v>
      </c>
      <c r="O1606" s="1">
        <v>0</v>
      </c>
      <c r="P1606" s="1" t="s">
        <v>2054</v>
      </c>
      <c r="Q1606" s="7" t="str">
        <f t="shared" si="41"/>
        <v>equipment/2310.png</v>
      </c>
      <c r="R1606" s="1">
        <v>0</v>
      </c>
    </row>
    <row r="1607" spans="1:18" ht="14.25" thickBot="1">
      <c r="A1607" s="1" t="s">
        <v>1299</v>
      </c>
      <c r="B1607" s="2">
        <v>0</v>
      </c>
      <c r="C1607" s="9" t="s">
        <v>2095</v>
      </c>
      <c r="D1607" s="1" t="s">
        <v>13</v>
      </c>
      <c r="E1607" s="1">
        <v>6</v>
      </c>
      <c r="F1607" s="1">
        <v>4</v>
      </c>
      <c r="G1607" s="1">
        <v>45</v>
      </c>
      <c r="H1607" s="10" t="s">
        <v>2122</v>
      </c>
      <c r="I1607" s="1">
        <v>48000</v>
      </c>
      <c r="J1607" s="1">
        <v>50</v>
      </c>
      <c r="K1607" s="1">
        <v>500</v>
      </c>
      <c r="L1607" s="1">
        <v>27500</v>
      </c>
      <c r="M1607" s="1" t="s">
        <v>1943</v>
      </c>
      <c r="N1607" s="1" t="s">
        <v>1431</v>
      </c>
      <c r="O1607" s="1">
        <v>0</v>
      </c>
      <c r="P1607" s="1" t="s">
        <v>2054</v>
      </c>
      <c r="Q1607" s="7" t="str">
        <f t="shared" si="41"/>
        <v>equipment/2301.png</v>
      </c>
      <c r="R1607" s="1">
        <v>0</v>
      </c>
    </row>
    <row r="1608" spans="1:18" ht="14.25" thickBot="1">
      <c r="A1608" s="1" t="s">
        <v>1300</v>
      </c>
      <c r="B1608" s="3">
        <v>1</v>
      </c>
      <c r="C1608" s="1" t="s">
        <v>2588</v>
      </c>
      <c r="D1608" s="1" t="s">
        <v>11</v>
      </c>
      <c r="E1608" s="1">
        <v>4</v>
      </c>
      <c r="F1608" s="1">
        <v>4</v>
      </c>
      <c r="G1608" s="1">
        <v>45</v>
      </c>
      <c r="H1608" s="10">
        <v>0</v>
      </c>
      <c r="I1608" s="1">
        <v>45000</v>
      </c>
      <c r="J1608" s="1">
        <v>50</v>
      </c>
      <c r="K1608" s="1">
        <v>500</v>
      </c>
      <c r="L1608" s="1">
        <v>25000</v>
      </c>
      <c r="M1608" s="1" t="s">
        <v>1944</v>
      </c>
      <c r="N1608" s="1" t="s">
        <v>1430</v>
      </c>
      <c r="O1608" s="1">
        <v>0</v>
      </c>
      <c r="P1608" s="1" t="s">
        <v>2054</v>
      </c>
      <c r="Q1608" s="7" t="str">
        <f t="shared" si="41"/>
        <v>equipment/5013.png</v>
      </c>
      <c r="R1608" s="1">
        <v>0</v>
      </c>
    </row>
    <row r="1609" spans="1:18" ht="14.25" thickBot="1">
      <c r="A1609" s="1" t="s">
        <v>1301</v>
      </c>
      <c r="B1609" s="3">
        <v>1</v>
      </c>
      <c r="C1609" s="1" t="s">
        <v>2589</v>
      </c>
      <c r="D1609" s="1" t="s">
        <v>11</v>
      </c>
      <c r="E1609" s="1">
        <v>4</v>
      </c>
      <c r="F1609" s="1">
        <v>4</v>
      </c>
      <c r="G1609" s="1">
        <v>45</v>
      </c>
      <c r="H1609" s="10">
        <v>0</v>
      </c>
      <c r="I1609" s="1">
        <v>48000</v>
      </c>
      <c r="J1609" s="1">
        <v>50</v>
      </c>
      <c r="K1609" s="1">
        <v>500</v>
      </c>
      <c r="L1609" s="1">
        <v>27500</v>
      </c>
      <c r="M1609" s="1" t="s">
        <v>1945</v>
      </c>
      <c r="N1609" s="1" t="s">
        <v>1430</v>
      </c>
      <c r="O1609" s="1">
        <v>0</v>
      </c>
      <c r="P1609" s="1" t="s">
        <v>2054</v>
      </c>
      <c r="Q1609" s="7" t="str">
        <f t="shared" si="41"/>
        <v>equipment/5014.png</v>
      </c>
      <c r="R1609" s="1">
        <v>0</v>
      </c>
    </row>
    <row r="1610" spans="1:18" ht="14.25" thickBot="1">
      <c r="A1610" s="1" t="s">
        <v>1302</v>
      </c>
      <c r="B1610" s="3">
        <v>1</v>
      </c>
      <c r="C1610" s="1" t="s">
        <v>2092</v>
      </c>
      <c r="D1610" s="1" t="s">
        <v>14</v>
      </c>
      <c r="E1610" s="1">
        <v>7</v>
      </c>
      <c r="F1610" s="1">
        <v>4</v>
      </c>
      <c r="G1610" s="1">
        <v>45</v>
      </c>
      <c r="H1610" s="10">
        <v>0</v>
      </c>
      <c r="I1610" s="1">
        <v>45000</v>
      </c>
      <c r="J1610" s="1">
        <v>50</v>
      </c>
      <c r="K1610" s="1">
        <v>500</v>
      </c>
      <c r="L1610" s="1">
        <v>25000</v>
      </c>
      <c r="M1610" s="1" t="s">
        <v>1930</v>
      </c>
      <c r="N1610" s="1" t="s">
        <v>1430</v>
      </c>
      <c r="O1610" s="1">
        <v>0</v>
      </c>
      <c r="P1610" s="1" t="s">
        <v>2054</v>
      </c>
      <c r="Q1610" s="7" t="str">
        <f t="shared" si="41"/>
        <v>equipment/7011.png</v>
      </c>
      <c r="R1610" s="1">
        <v>0</v>
      </c>
    </row>
    <row r="1611" spans="1:18" ht="14.25" thickBot="1">
      <c r="A1611" s="1" t="s">
        <v>1303</v>
      </c>
      <c r="B1611" s="3">
        <v>1</v>
      </c>
      <c r="C1611" s="1" t="s">
        <v>2590</v>
      </c>
      <c r="D1611" s="1" t="s">
        <v>14</v>
      </c>
      <c r="E1611" s="1">
        <v>7</v>
      </c>
      <c r="F1611" s="1">
        <v>4</v>
      </c>
      <c r="G1611" s="1">
        <v>45</v>
      </c>
      <c r="H1611" s="10">
        <v>0</v>
      </c>
      <c r="I1611" s="1">
        <v>48000</v>
      </c>
      <c r="J1611" s="1">
        <v>50</v>
      </c>
      <c r="K1611" s="1">
        <v>500</v>
      </c>
      <c r="L1611" s="1">
        <v>27500</v>
      </c>
      <c r="M1611" s="1" t="s">
        <v>1931</v>
      </c>
      <c r="N1611" s="1" t="s">
        <v>1430</v>
      </c>
      <c r="O1611" s="1">
        <v>0</v>
      </c>
      <c r="P1611" s="1" t="s">
        <v>2054</v>
      </c>
      <c r="Q1611" s="7" t="str">
        <f t="shared" si="41"/>
        <v>equipment/7010.png</v>
      </c>
      <c r="R1611" s="1">
        <v>0</v>
      </c>
    </row>
    <row r="1612" spans="1:18" ht="14.25" thickBot="1">
      <c r="A1612" s="1" t="s">
        <v>1304</v>
      </c>
      <c r="B1612" s="3">
        <v>1</v>
      </c>
      <c r="C1612" s="1" t="s">
        <v>2591</v>
      </c>
      <c r="D1612" s="1" t="s">
        <v>8</v>
      </c>
      <c r="E1612" s="1">
        <v>1</v>
      </c>
      <c r="F1612" s="1">
        <v>4</v>
      </c>
      <c r="G1612" s="1">
        <v>50</v>
      </c>
      <c r="H1612" s="10">
        <v>0</v>
      </c>
      <c r="I1612" s="1">
        <v>50000</v>
      </c>
      <c r="J1612" s="1">
        <v>50</v>
      </c>
      <c r="K1612" s="1">
        <v>500</v>
      </c>
      <c r="L1612" s="1">
        <v>27500</v>
      </c>
      <c r="M1612" s="1" t="s">
        <v>1946</v>
      </c>
      <c r="N1612" s="1" t="s">
        <v>1432</v>
      </c>
      <c r="O1612" s="1">
        <v>0</v>
      </c>
      <c r="P1612" s="1" t="s">
        <v>2055</v>
      </c>
      <c r="Q1612" s="7" t="str">
        <f t="shared" si="41"/>
        <v>equipment/3008.png</v>
      </c>
      <c r="R1612" s="1">
        <v>0</v>
      </c>
    </row>
    <row r="1613" spans="1:18" ht="14.25" thickBot="1">
      <c r="A1613" s="1" t="s">
        <v>1305</v>
      </c>
      <c r="B1613" s="3">
        <v>1</v>
      </c>
      <c r="C1613" s="1" t="s">
        <v>2592</v>
      </c>
      <c r="D1613" s="1" t="s">
        <v>9</v>
      </c>
      <c r="E1613" s="1">
        <v>2</v>
      </c>
      <c r="F1613" s="1">
        <v>4</v>
      </c>
      <c r="G1613" s="1">
        <v>50</v>
      </c>
      <c r="H1613" s="10">
        <v>0</v>
      </c>
      <c r="I1613" s="1">
        <v>50000</v>
      </c>
      <c r="J1613" s="1">
        <v>50</v>
      </c>
      <c r="K1613" s="1">
        <v>500</v>
      </c>
      <c r="L1613" s="1">
        <v>27500</v>
      </c>
      <c r="M1613" s="1" t="s">
        <v>1947</v>
      </c>
      <c r="N1613" s="1" t="s">
        <v>1432</v>
      </c>
      <c r="O1613" s="1">
        <v>0</v>
      </c>
      <c r="P1613" s="1" t="s">
        <v>2055</v>
      </c>
      <c r="Q1613" s="7" t="str">
        <f t="shared" si="41"/>
        <v>equipment/14008.png</v>
      </c>
      <c r="R1613" s="1">
        <v>0</v>
      </c>
    </row>
    <row r="1614" spans="1:18" ht="14.25" thickBot="1">
      <c r="A1614" s="1" t="s">
        <v>1306</v>
      </c>
      <c r="B1614" s="3">
        <v>1</v>
      </c>
      <c r="C1614" s="1" t="s">
        <v>2593</v>
      </c>
      <c r="D1614" s="1" t="s">
        <v>10</v>
      </c>
      <c r="E1614" s="1">
        <v>3</v>
      </c>
      <c r="F1614" s="1">
        <v>4</v>
      </c>
      <c r="G1614" s="1">
        <v>50</v>
      </c>
      <c r="H1614" s="10">
        <v>0</v>
      </c>
      <c r="I1614" s="1">
        <v>50000</v>
      </c>
      <c r="J1614" s="1">
        <v>50</v>
      </c>
      <c r="K1614" s="1">
        <v>500</v>
      </c>
      <c r="L1614" s="1">
        <v>27500</v>
      </c>
      <c r="M1614" s="1" t="s">
        <v>1948</v>
      </c>
      <c r="N1614" s="1" t="s">
        <v>1432</v>
      </c>
      <c r="O1614" s="1">
        <v>0</v>
      </c>
      <c r="P1614" s="1" t="s">
        <v>2055</v>
      </c>
      <c r="Q1614" s="7" t="str">
        <f t="shared" si="41"/>
        <v>equipment/6009.png</v>
      </c>
      <c r="R1614" s="1">
        <v>0</v>
      </c>
    </row>
    <row r="1615" spans="1:18" ht="14.25" thickBot="1">
      <c r="A1615" s="1" t="s">
        <v>1307</v>
      </c>
      <c r="B1615" s="2">
        <v>1</v>
      </c>
      <c r="C1615" s="1" t="s">
        <v>2594</v>
      </c>
      <c r="D1615" s="1" t="s">
        <v>15</v>
      </c>
      <c r="E1615" s="1">
        <v>8</v>
      </c>
      <c r="F1615" s="1">
        <v>4</v>
      </c>
      <c r="G1615" s="1">
        <v>50</v>
      </c>
      <c r="H1615" s="10">
        <v>0</v>
      </c>
      <c r="I1615" s="1">
        <v>50000</v>
      </c>
      <c r="J1615" s="1">
        <v>50</v>
      </c>
      <c r="K1615" s="1">
        <v>500</v>
      </c>
      <c r="L1615" s="1">
        <v>27500</v>
      </c>
      <c r="M1615" s="1" t="s">
        <v>1949</v>
      </c>
      <c r="N1615" s="1" t="s">
        <v>1432</v>
      </c>
      <c r="O1615" s="1">
        <v>0</v>
      </c>
      <c r="P1615" s="1" t="s">
        <v>2055</v>
      </c>
      <c r="Q1615" s="7" t="str">
        <f t="shared" si="41"/>
        <v>equipment/8004.png</v>
      </c>
      <c r="R1615" s="1">
        <v>0</v>
      </c>
    </row>
    <row r="1616" spans="1:18" ht="14.25" thickBot="1">
      <c r="A1616" s="1" t="s">
        <v>1308</v>
      </c>
      <c r="B1616" s="3">
        <v>1</v>
      </c>
      <c r="C1616" s="1" t="s">
        <v>2075</v>
      </c>
      <c r="D1616" s="1" t="s">
        <v>16</v>
      </c>
      <c r="E1616" s="1">
        <v>9</v>
      </c>
      <c r="F1616" s="1">
        <v>4</v>
      </c>
      <c r="G1616" s="1">
        <v>50</v>
      </c>
      <c r="H1616" s="10">
        <v>0</v>
      </c>
      <c r="I1616" s="1">
        <v>50000</v>
      </c>
      <c r="J1616" s="1">
        <v>50</v>
      </c>
      <c r="K1616" s="1">
        <v>500</v>
      </c>
      <c r="L1616" s="1">
        <v>27500</v>
      </c>
      <c r="M1616" s="1" t="s">
        <v>1950</v>
      </c>
      <c r="N1616" s="1" t="s">
        <v>1432</v>
      </c>
      <c r="O1616" s="1">
        <v>0</v>
      </c>
      <c r="P1616" s="1" t="s">
        <v>2055</v>
      </c>
      <c r="Q1616" s="7" t="str">
        <f t="shared" si="41"/>
        <v>equipment/10009.png</v>
      </c>
      <c r="R1616" s="1">
        <v>0</v>
      </c>
    </row>
    <row r="1617" spans="1:18" ht="14.25" thickBot="1">
      <c r="A1617" s="1" t="s">
        <v>1309</v>
      </c>
      <c r="B1617" s="3">
        <v>1</v>
      </c>
      <c r="C1617" s="1" t="s">
        <v>2595</v>
      </c>
      <c r="D1617" s="1" t="s">
        <v>17</v>
      </c>
      <c r="E1617" s="1">
        <v>10</v>
      </c>
      <c r="F1617" s="1">
        <v>4</v>
      </c>
      <c r="G1617" s="1">
        <v>50</v>
      </c>
      <c r="H1617" s="10">
        <v>0</v>
      </c>
      <c r="I1617" s="1">
        <v>50000</v>
      </c>
      <c r="J1617" s="1">
        <v>50</v>
      </c>
      <c r="K1617" s="1">
        <v>500</v>
      </c>
      <c r="L1617" s="1">
        <v>27500</v>
      </c>
      <c r="M1617" s="1" t="s">
        <v>1951</v>
      </c>
      <c r="N1617" s="1" t="s">
        <v>1432</v>
      </c>
      <c r="O1617" s="1">
        <v>0</v>
      </c>
      <c r="P1617" s="1" t="s">
        <v>2055</v>
      </c>
      <c r="Q1617" s="7" t="str">
        <f t="shared" si="41"/>
        <v>equipment/12008.png</v>
      </c>
      <c r="R1617" s="1">
        <v>0</v>
      </c>
    </row>
    <row r="1618" spans="1:18" ht="14.25" thickBot="1">
      <c r="A1618" s="1" t="s">
        <v>1310</v>
      </c>
      <c r="B1618" s="3">
        <v>1</v>
      </c>
      <c r="C1618" s="9" t="s">
        <v>2596</v>
      </c>
      <c r="D1618" s="1" t="s">
        <v>12</v>
      </c>
      <c r="E1618" s="1">
        <v>5</v>
      </c>
      <c r="F1618" s="1">
        <v>4</v>
      </c>
      <c r="G1618" s="1">
        <v>50</v>
      </c>
      <c r="H1618" s="10" t="s">
        <v>2120</v>
      </c>
      <c r="I1618" s="1">
        <v>50000</v>
      </c>
      <c r="J1618" s="1">
        <v>50</v>
      </c>
      <c r="K1618" s="1">
        <v>500</v>
      </c>
      <c r="L1618" s="1">
        <v>27500</v>
      </c>
      <c r="M1618" s="1" t="s">
        <v>1952</v>
      </c>
      <c r="N1618" s="1" t="s">
        <v>1433</v>
      </c>
      <c r="O1618" s="1">
        <v>0</v>
      </c>
      <c r="P1618" s="1" t="s">
        <v>2055</v>
      </c>
      <c r="Q1618" s="7" t="str">
        <f t="shared" si="41"/>
        <v>equipment/1119.png</v>
      </c>
      <c r="R1618" s="1">
        <v>0</v>
      </c>
    </row>
    <row r="1619" spans="1:18" ht="14.25" thickBot="1">
      <c r="A1619" s="1" t="s">
        <v>1311</v>
      </c>
      <c r="B1619" s="3">
        <v>1</v>
      </c>
      <c r="C1619" s="9" t="s">
        <v>2597</v>
      </c>
      <c r="D1619" s="1" t="s">
        <v>12</v>
      </c>
      <c r="E1619" s="1">
        <v>5</v>
      </c>
      <c r="F1619" s="1">
        <v>4</v>
      </c>
      <c r="G1619" s="1">
        <v>50</v>
      </c>
      <c r="H1619" s="10" t="s">
        <v>2120</v>
      </c>
      <c r="I1619" s="1">
        <v>53000</v>
      </c>
      <c r="J1619" s="1">
        <v>50</v>
      </c>
      <c r="K1619" s="1">
        <v>500</v>
      </c>
      <c r="L1619" s="1">
        <v>30000</v>
      </c>
      <c r="M1619" s="1" t="s">
        <v>1953</v>
      </c>
      <c r="N1619" s="1" t="s">
        <v>1433</v>
      </c>
      <c r="O1619" s="1">
        <v>0</v>
      </c>
      <c r="P1619" s="1" t="s">
        <v>2055</v>
      </c>
      <c r="Q1619" s="7" t="str">
        <f t="shared" si="41"/>
        <v>equipment/1120.png</v>
      </c>
      <c r="R1619" s="1">
        <v>0</v>
      </c>
    </row>
    <row r="1620" spans="1:18" ht="14.25" thickBot="1">
      <c r="A1620" s="1" t="s">
        <v>1312</v>
      </c>
      <c r="B1620" s="3">
        <v>1</v>
      </c>
      <c r="C1620" s="9" t="s">
        <v>2598</v>
      </c>
      <c r="D1620" s="1" t="s">
        <v>13</v>
      </c>
      <c r="E1620" s="1">
        <v>6</v>
      </c>
      <c r="F1620" s="1">
        <v>4</v>
      </c>
      <c r="G1620" s="1">
        <v>50</v>
      </c>
      <c r="H1620" s="10" t="s">
        <v>2120</v>
      </c>
      <c r="I1620" s="1">
        <v>50000</v>
      </c>
      <c r="J1620" s="1">
        <v>50</v>
      </c>
      <c r="K1620" s="1">
        <v>500</v>
      </c>
      <c r="L1620" s="1">
        <v>27500</v>
      </c>
      <c r="M1620" s="1" t="s">
        <v>1954</v>
      </c>
      <c r="N1620" s="1" t="s">
        <v>1433</v>
      </c>
      <c r="O1620" s="1">
        <v>0</v>
      </c>
      <c r="P1620" s="1" t="s">
        <v>2055</v>
      </c>
      <c r="Q1620" s="7" t="str">
        <f t="shared" si="41"/>
        <v>equipment/2111.png</v>
      </c>
      <c r="R1620" s="1">
        <v>0</v>
      </c>
    </row>
    <row r="1621" spans="1:18" ht="14.25" thickBot="1">
      <c r="A1621" s="1" t="s">
        <v>1313</v>
      </c>
      <c r="B1621" s="3">
        <v>1</v>
      </c>
      <c r="C1621" s="9" t="s">
        <v>2599</v>
      </c>
      <c r="D1621" s="1" t="s">
        <v>13</v>
      </c>
      <c r="E1621" s="1">
        <v>6</v>
      </c>
      <c r="F1621" s="1">
        <v>4</v>
      </c>
      <c r="G1621" s="1">
        <v>50</v>
      </c>
      <c r="H1621" s="10" t="s">
        <v>2120</v>
      </c>
      <c r="I1621" s="1">
        <v>53000</v>
      </c>
      <c r="J1621" s="1">
        <v>50</v>
      </c>
      <c r="K1621" s="1">
        <v>500</v>
      </c>
      <c r="L1621" s="1">
        <v>30000</v>
      </c>
      <c r="M1621" s="1" t="s">
        <v>1955</v>
      </c>
      <c r="N1621" s="1" t="s">
        <v>1433</v>
      </c>
      <c r="O1621" s="1">
        <v>0</v>
      </c>
      <c r="P1621" s="1" t="s">
        <v>2055</v>
      </c>
      <c r="Q1621" s="7" t="str">
        <f t="shared" ref="Q1621:Q1684" si="42">Q1159</f>
        <v>equipment/2112.png</v>
      </c>
      <c r="R1621" s="1">
        <v>0</v>
      </c>
    </row>
    <row r="1622" spans="1:18" ht="14.25" thickBot="1">
      <c r="A1622" s="1" t="s">
        <v>1314</v>
      </c>
      <c r="B1622" s="3">
        <v>1</v>
      </c>
      <c r="C1622" s="1" t="s">
        <v>2600</v>
      </c>
      <c r="D1622" s="1" t="s">
        <v>12</v>
      </c>
      <c r="E1622" s="1">
        <v>5</v>
      </c>
      <c r="F1622" s="1">
        <v>4</v>
      </c>
      <c r="G1622" s="1">
        <v>50</v>
      </c>
      <c r="H1622" s="10" t="s">
        <v>2121</v>
      </c>
      <c r="I1622" s="1">
        <v>50000</v>
      </c>
      <c r="J1622" s="1">
        <v>50</v>
      </c>
      <c r="K1622" s="1">
        <v>500</v>
      </c>
      <c r="L1622" s="1">
        <v>27500</v>
      </c>
      <c r="M1622" s="1" t="s">
        <v>1952</v>
      </c>
      <c r="N1622" s="1" t="s">
        <v>1433</v>
      </c>
      <c r="O1622" s="1">
        <v>0</v>
      </c>
      <c r="P1622" s="1" t="s">
        <v>2055</v>
      </c>
      <c r="Q1622" s="7" t="str">
        <f t="shared" si="42"/>
        <v>equipment/1218.png</v>
      </c>
      <c r="R1622" s="1">
        <v>0</v>
      </c>
    </row>
    <row r="1623" spans="1:18" ht="14.25" thickBot="1">
      <c r="A1623" s="1" t="s">
        <v>1315</v>
      </c>
      <c r="B1623" s="3">
        <v>1</v>
      </c>
      <c r="C1623" s="1" t="s">
        <v>2601</v>
      </c>
      <c r="D1623" s="1" t="s">
        <v>12</v>
      </c>
      <c r="E1623" s="1">
        <v>5</v>
      </c>
      <c r="F1623" s="1">
        <v>4</v>
      </c>
      <c r="G1623" s="1">
        <v>50</v>
      </c>
      <c r="H1623" s="10" t="s">
        <v>2121</v>
      </c>
      <c r="I1623" s="1">
        <v>53000</v>
      </c>
      <c r="J1623" s="1">
        <v>50</v>
      </c>
      <c r="K1623" s="1">
        <v>500</v>
      </c>
      <c r="L1623" s="1">
        <v>30000</v>
      </c>
      <c r="M1623" s="1" t="s">
        <v>1953</v>
      </c>
      <c r="N1623" s="1" t="s">
        <v>1433</v>
      </c>
      <c r="O1623" s="1">
        <v>0</v>
      </c>
      <c r="P1623" s="1" t="s">
        <v>2055</v>
      </c>
      <c r="Q1623" s="7" t="str">
        <f t="shared" si="42"/>
        <v>equipment/1221.png</v>
      </c>
      <c r="R1623" s="1">
        <v>0</v>
      </c>
    </row>
    <row r="1624" spans="1:18" ht="14.25" thickBot="1">
      <c r="A1624" s="1" t="s">
        <v>1316</v>
      </c>
      <c r="B1624" s="3">
        <v>1</v>
      </c>
      <c r="C1624" s="9" t="s">
        <v>2602</v>
      </c>
      <c r="D1624" s="1" t="s">
        <v>13</v>
      </c>
      <c r="E1624" s="1">
        <v>6</v>
      </c>
      <c r="F1624" s="1">
        <v>4</v>
      </c>
      <c r="G1624" s="1">
        <v>50</v>
      </c>
      <c r="H1624" s="10" t="s">
        <v>2121</v>
      </c>
      <c r="I1624" s="1">
        <v>50000</v>
      </c>
      <c r="J1624" s="1">
        <v>50</v>
      </c>
      <c r="K1624" s="1">
        <v>500</v>
      </c>
      <c r="L1624" s="1">
        <v>27500</v>
      </c>
      <c r="M1624" s="1" t="s">
        <v>1956</v>
      </c>
      <c r="N1624" s="1" t="s">
        <v>1433</v>
      </c>
      <c r="O1624" s="1">
        <v>0</v>
      </c>
      <c r="P1624" s="1" t="s">
        <v>2055</v>
      </c>
      <c r="Q1624" s="7" t="str">
        <f t="shared" si="42"/>
        <v>equipment/2210.png</v>
      </c>
      <c r="R1624" s="1">
        <v>0</v>
      </c>
    </row>
    <row r="1625" spans="1:18" ht="14.25" thickBot="1">
      <c r="A1625" s="1" t="s">
        <v>1317</v>
      </c>
      <c r="B1625" s="3">
        <v>1</v>
      </c>
      <c r="C1625" s="9" t="s">
        <v>2603</v>
      </c>
      <c r="D1625" s="1" t="s">
        <v>13</v>
      </c>
      <c r="E1625" s="1">
        <v>6</v>
      </c>
      <c r="F1625" s="1">
        <v>4</v>
      </c>
      <c r="G1625" s="1">
        <v>50</v>
      </c>
      <c r="H1625" s="10" t="s">
        <v>2121</v>
      </c>
      <c r="I1625" s="1">
        <v>53000</v>
      </c>
      <c r="J1625" s="1">
        <v>50</v>
      </c>
      <c r="K1625" s="1">
        <v>500</v>
      </c>
      <c r="L1625" s="1">
        <v>30000</v>
      </c>
      <c r="M1625" s="1" t="s">
        <v>1957</v>
      </c>
      <c r="N1625" s="1" t="s">
        <v>1433</v>
      </c>
      <c r="O1625" s="1">
        <v>0</v>
      </c>
      <c r="P1625" s="1" t="s">
        <v>2055</v>
      </c>
      <c r="Q1625" s="7" t="str">
        <f t="shared" si="42"/>
        <v>equipment/2212.png</v>
      </c>
      <c r="R1625" s="1">
        <v>0</v>
      </c>
    </row>
    <row r="1626" spans="1:18" ht="14.25" thickBot="1">
      <c r="A1626" s="1" t="s">
        <v>1318</v>
      </c>
      <c r="B1626" s="3">
        <v>1</v>
      </c>
      <c r="C1626" s="9" t="s">
        <v>2604</v>
      </c>
      <c r="D1626" s="1" t="s">
        <v>12</v>
      </c>
      <c r="E1626" s="1">
        <v>5</v>
      </c>
      <c r="F1626" s="1">
        <v>4</v>
      </c>
      <c r="G1626" s="1">
        <v>50</v>
      </c>
      <c r="H1626" s="10" t="s">
        <v>2122</v>
      </c>
      <c r="I1626" s="1">
        <v>50000</v>
      </c>
      <c r="J1626" s="1">
        <v>50</v>
      </c>
      <c r="K1626" s="1">
        <v>500</v>
      </c>
      <c r="L1626" s="1">
        <v>27500</v>
      </c>
      <c r="M1626" s="1" t="s">
        <v>1952</v>
      </c>
      <c r="N1626" s="1" t="s">
        <v>1433</v>
      </c>
      <c r="O1626" s="1">
        <v>0</v>
      </c>
      <c r="P1626" s="1" t="s">
        <v>2055</v>
      </c>
      <c r="Q1626" s="7" t="str">
        <f t="shared" si="42"/>
        <v>equipment/1319.png</v>
      </c>
      <c r="R1626" s="1">
        <v>0</v>
      </c>
    </row>
    <row r="1627" spans="1:18" ht="14.25" thickBot="1">
      <c r="A1627" s="1" t="s">
        <v>1319</v>
      </c>
      <c r="B1627" s="3">
        <v>1</v>
      </c>
      <c r="C1627" s="9" t="s">
        <v>2605</v>
      </c>
      <c r="D1627" s="1" t="s">
        <v>12</v>
      </c>
      <c r="E1627" s="1">
        <v>5</v>
      </c>
      <c r="F1627" s="1">
        <v>4</v>
      </c>
      <c r="G1627" s="1">
        <v>50</v>
      </c>
      <c r="H1627" s="10" t="s">
        <v>2122</v>
      </c>
      <c r="I1627" s="1">
        <v>53000</v>
      </c>
      <c r="J1627" s="1">
        <v>50</v>
      </c>
      <c r="K1627" s="1">
        <v>500</v>
      </c>
      <c r="L1627" s="1">
        <v>30000</v>
      </c>
      <c r="M1627" s="1" t="s">
        <v>1953</v>
      </c>
      <c r="N1627" s="1" t="s">
        <v>1433</v>
      </c>
      <c r="O1627" s="1">
        <v>0</v>
      </c>
      <c r="P1627" s="1" t="s">
        <v>2055</v>
      </c>
      <c r="Q1627" s="7" t="str">
        <f t="shared" si="42"/>
        <v>equipment/1320.png</v>
      </c>
      <c r="R1627" s="1">
        <v>0</v>
      </c>
    </row>
    <row r="1628" spans="1:18" ht="14.25" thickBot="1">
      <c r="A1628" s="1" t="s">
        <v>1320</v>
      </c>
      <c r="B1628" s="3">
        <v>1</v>
      </c>
      <c r="C1628" s="9" t="s">
        <v>2606</v>
      </c>
      <c r="D1628" s="1" t="s">
        <v>13</v>
      </c>
      <c r="E1628" s="1">
        <v>6</v>
      </c>
      <c r="F1628" s="1">
        <v>4</v>
      </c>
      <c r="G1628" s="1">
        <v>50</v>
      </c>
      <c r="H1628" s="10" t="s">
        <v>2122</v>
      </c>
      <c r="I1628" s="1">
        <v>50000</v>
      </c>
      <c r="J1628" s="1">
        <v>50</v>
      </c>
      <c r="K1628" s="1">
        <v>500</v>
      </c>
      <c r="L1628" s="1">
        <v>27500</v>
      </c>
      <c r="M1628" s="1" t="s">
        <v>1958</v>
      </c>
      <c r="N1628" s="1" t="s">
        <v>1433</v>
      </c>
      <c r="O1628" s="1">
        <v>0</v>
      </c>
      <c r="P1628" s="1" t="s">
        <v>2055</v>
      </c>
      <c r="Q1628" s="7" t="str">
        <f t="shared" si="42"/>
        <v>equipment/2311.png</v>
      </c>
      <c r="R1628" s="1">
        <v>0</v>
      </c>
    </row>
    <row r="1629" spans="1:18" ht="14.25" thickBot="1">
      <c r="A1629" s="1" t="s">
        <v>1321</v>
      </c>
      <c r="B1629" s="3">
        <v>1</v>
      </c>
      <c r="C1629" s="9" t="s">
        <v>2607</v>
      </c>
      <c r="D1629" s="1" t="s">
        <v>13</v>
      </c>
      <c r="E1629" s="1">
        <v>6</v>
      </c>
      <c r="F1629" s="1">
        <v>4</v>
      </c>
      <c r="G1629" s="1">
        <v>50</v>
      </c>
      <c r="H1629" s="10" t="s">
        <v>2122</v>
      </c>
      <c r="I1629" s="1">
        <v>53000</v>
      </c>
      <c r="J1629" s="1">
        <v>50</v>
      </c>
      <c r="K1629" s="1">
        <v>500</v>
      </c>
      <c r="L1629" s="1">
        <v>30000</v>
      </c>
      <c r="M1629" s="1" t="s">
        <v>1959</v>
      </c>
      <c r="N1629" s="1" t="s">
        <v>1433</v>
      </c>
      <c r="O1629" s="1">
        <v>0</v>
      </c>
      <c r="P1629" s="1" t="s">
        <v>2055</v>
      </c>
      <c r="Q1629" s="7" t="str">
        <f t="shared" si="42"/>
        <v>equipment/2312.png</v>
      </c>
      <c r="R1629" s="1">
        <v>0</v>
      </c>
    </row>
    <row r="1630" spans="1:18" ht="14.25" thickBot="1">
      <c r="A1630" s="1" t="s">
        <v>1322</v>
      </c>
      <c r="B1630" s="2">
        <v>1</v>
      </c>
      <c r="C1630" s="1" t="s">
        <v>2608</v>
      </c>
      <c r="D1630" s="1" t="s">
        <v>11</v>
      </c>
      <c r="E1630" s="1">
        <v>4</v>
      </c>
      <c r="F1630" s="1">
        <v>4</v>
      </c>
      <c r="G1630" s="1">
        <v>50</v>
      </c>
      <c r="H1630" s="10">
        <v>0</v>
      </c>
      <c r="I1630" s="1">
        <v>50000</v>
      </c>
      <c r="J1630" s="1">
        <v>50</v>
      </c>
      <c r="K1630" s="1">
        <v>500</v>
      </c>
      <c r="L1630" s="1">
        <v>27500</v>
      </c>
      <c r="M1630" s="1" t="s">
        <v>1960</v>
      </c>
      <c r="N1630" s="1" t="s">
        <v>1432</v>
      </c>
      <c r="O1630" s="1">
        <v>0</v>
      </c>
      <c r="P1630" s="1" t="s">
        <v>2055</v>
      </c>
      <c r="Q1630" s="7" t="str">
        <f t="shared" si="42"/>
        <v>equipment/5003.png</v>
      </c>
      <c r="R1630" s="1">
        <v>0</v>
      </c>
    </row>
    <row r="1631" spans="1:18" ht="14.25" thickBot="1">
      <c r="A1631" s="1" t="s">
        <v>1323</v>
      </c>
      <c r="B1631" s="2">
        <v>0</v>
      </c>
      <c r="C1631" s="1" t="s">
        <v>2499</v>
      </c>
      <c r="D1631" s="1" t="s">
        <v>11</v>
      </c>
      <c r="E1631" s="1">
        <v>4</v>
      </c>
      <c r="F1631" s="1">
        <v>4</v>
      </c>
      <c r="G1631" s="1">
        <v>50</v>
      </c>
      <c r="H1631" s="10">
        <v>0</v>
      </c>
      <c r="I1631" s="1">
        <v>53000</v>
      </c>
      <c r="J1631" s="1">
        <v>50</v>
      </c>
      <c r="K1631" s="1">
        <v>500</v>
      </c>
      <c r="L1631" s="1">
        <v>30000</v>
      </c>
      <c r="M1631" s="1" t="s">
        <v>1961</v>
      </c>
      <c r="N1631" s="1" t="s">
        <v>1432</v>
      </c>
      <c r="O1631" s="1">
        <v>0</v>
      </c>
      <c r="P1631" s="1" t="s">
        <v>2055</v>
      </c>
      <c r="Q1631" s="7" t="str">
        <f t="shared" si="42"/>
        <v>equipment/5001.png</v>
      </c>
      <c r="R1631" s="1">
        <v>0</v>
      </c>
    </row>
    <row r="1632" spans="1:18" ht="14.25" thickBot="1">
      <c r="A1632" s="1" t="s">
        <v>1324</v>
      </c>
      <c r="B1632" s="3">
        <v>1</v>
      </c>
      <c r="C1632" s="1" t="s">
        <v>2609</v>
      </c>
      <c r="D1632" s="1" t="s">
        <v>14</v>
      </c>
      <c r="E1632" s="1">
        <v>7</v>
      </c>
      <c r="F1632" s="1">
        <v>4</v>
      </c>
      <c r="G1632" s="1">
        <v>50</v>
      </c>
      <c r="H1632" s="10">
        <v>0</v>
      </c>
      <c r="I1632" s="1">
        <v>50000</v>
      </c>
      <c r="J1632" s="1">
        <v>50</v>
      </c>
      <c r="K1632" s="1">
        <v>500</v>
      </c>
      <c r="L1632" s="1">
        <v>27500</v>
      </c>
      <c r="M1632" s="1" t="s">
        <v>1944</v>
      </c>
      <c r="N1632" s="1" t="s">
        <v>1432</v>
      </c>
      <c r="O1632" s="1">
        <v>0</v>
      </c>
      <c r="P1632" s="1" t="s">
        <v>2055</v>
      </c>
      <c r="Q1632" s="7" t="str">
        <f t="shared" si="42"/>
        <v>equipment/7012.png</v>
      </c>
      <c r="R1632" s="1">
        <v>0</v>
      </c>
    </row>
    <row r="1633" spans="1:18" ht="14.25" thickBot="1">
      <c r="A1633" s="1" t="s">
        <v>1325</v>
      </c>
      <c r="B1633" s="2">
        <v>0</v>
      </c>
      <c r="C1633" s="1" t="s">
        <v>2501</v>
      </c>
      <c r="D1633" s="1" t="s">
        <v>14</v>
      </c>
      <c r="E1633" s="1">
        <v>7</v>
      </c>
      <c r="F1633" s="1">
        <v>4</v>
      </c>
      <c r="G1633" s="1">
        <v>50</v>
      </c>
      <c r="H1633" s="10">
        <v>0</v>
      </c>
      <c r="I1633" s="1">
        <v>53000</v>
      </c>
      <c r="J1633" s="1">
        <v>50</v>
      </c>
      <c r="K1633" s="1">
        <v>500</v>
      </c>
      <c r="L1633" s="1">
        <v>30000</v>
      </c>
      <c r="M1633" s="1" t="s">
        <v>1945</v>
      </c>
      <c r="N1633" s="1" t="s">
        <v>1432</v>
      </c>
      <c r="O1633" s="1">
        <v>0</v>
      </c>
      <c r="P1633" s="1" t="s">
        <v>2055</v>
      </c>
      <c r="Q1633" s="7" t="str">
        <f t="shared" si="42"/>
        <v>equipment/7001.png</v>
      </c>
      <c r="R1633" s="1">
        <v>0</v>
      </c>
    </row>
    <row r="1634" spans="1:18" ht="14.25" thickBot="1">
      <c r="A1634" s="1" t="s">
        <v>1326</v>
      </c>
      <c r="B1634" s="3">
        <v>1</v>
      </c>
      <c r="C1634" s="1" t="s">
        <v>2610</v>
      </c>
      <c r="D1634" s="1" t="s">
        <v>8</v>
      </c>
      <c r="E1634" s="1">
        <v>1</v>
      </c>
      <c r="F1634" s="1">
        <v>4</v>
      </c>
      <c r="G1634" s="1">
        <v>55</v>
      </c>
      <c r="H1634" s="10">
        <v>0</v>
      </c>
      <c r="I1634" s="1">
        <v>55000</v>
      </c>
      <c r="J1634" s="1">
        <v>50</v>
      </c>
      <c r="K1634" s="1">
        <v>500</v>
      </c>
      <c r="L1634" s="1">
        <v>30000</v>
      </c>
      <c r="M1634" s="1" t="s">
        <v>1962</v>
      </c>
      <c r="N1634" s="1" t="s">
        <v>1434</v>
      </c>
      <c r="O1634" s="1">
        <v>0</v>
      </c>
      <c r="P1634" s="1" t="s">
        <v>2056</v>
      </c>
      <c r="Q1634" s="7" t="str">
        <f t="shared" si="42"/>
        <v>equipment/3009.png</v>
      </c>
      <c r="R1634" s="1">
        <v>0</v>
      </c>
    </row>
    <row r="1635" spans="1:18" ht="14.25" thickBot="1">
      <c r="A1635" s="1" t="s">
        <v>1327</v>
      </c>
      <c r="B1635" s="3">
        <v>1</v>
      </c>
      <c r="C1635" s="1" t="s">
        <v>2611</v>
      </c>
      <c r="D1635" s="1" t="s">
        <v>9</v>
      </c>
      <c r="E1635" s="1">
        <v>2</v>
      </c>
      <c r="F1635" s="1">
        <v>4</v>
      </c>
      <c r="G1635" s="1">
        <v>55</v>
      </c>
      <c r="H1635" s="10">
        <v>0</v>
      </c>
      <c r="I1635" s="1">
        <v>55000</v>
      </c>
      <c r="J1635" s="1">
        <v>50</v>
      </c>
      <c r="K1635" s="1">
        <v>500</v>
      </c>
      <c r="L1635" s="1">
        <v>30000</v>
      </c>
      <c r="M1635" s="1" t="s">
        <v>1963</v>
      </c>
      <c r="N1635" s="1" t="s">
        <v>1434</v>
      </c>
      <c r="O1635" s="1">
        <v>0</v>
      </c>
      <c r="P1635" s="1" t="s">
        <v>2056</v>
      </c>
      <c r="Q1635" s="7" t="str">
        <f t="shared" si="42"/>
        <v>equipment/14009.png</v>
      </c>
      <c r="R1635" s="1">
        <v>0</v>
      </c>
    </row>
    <row r="1636" spans="1:18" ht="14.25" thickBot="1">
      <c r="A1636" s="1" t="s">
        <v>1328</v>
      </c>
      <c r="B1636" s="2">
        <v>1</v>
      </c>
      <c r="C1636" s="1" t="s">
        <v>2612</v>
      </c>
      <c r="D1636" s="1" t="s">
        <v>10</v>
      </c>
      <c r="E1636" s="1">
        <v>3</v>
      </c>
      <c r="F1636" s="1">
        <v>4</v>
      </c>
      <c r="G1636" s="1">
        <v>55</v>
      </c>
      <c r="H1636" s="10">
        <v>0</v>
      </c>
      <c r="I1636" s="1">
        <v>55000</v>
      </c>
      <c r="J1636" s="1">
        <v>50</v>
      </c>
      <c r="K1636" s="1">
        <v>500</v>
      </c>
      <c r="L1636" s="1">
        <v>30000</v>
      </c>
      <c r="M1636" s="1" t="s">
        <v>2475</v>
      </c>
      <c r="N1636" s="1" t="s">
        <v>1434</v>
      </c>
      <c r="O1636" s="1">
        <v>0</v>
      </c>
      <c r="P1636" s="1" t="s">
        <v>2056</v>
      </c>
      <c r="Q1636" s="7" t="str">
        <f t="shared" si="42"/>
        <v>equipment/6004.png</v>
      </c>
      <c r="R1636" s="1">
        <v>0</v>
      </c>
    </row>
    <row r="1637" spans="1:18" ht="14.25" thickBot="1">
      <c r="A1637" s="1" t="s">
        <v>1329</v>
      </c>
      <c r="B1637" s="3">
        <v>1</v>
      </c>
      <c r="C1637" s="1" t="s">
        <v>2613</v>
      </c>
      <c r="D1637" s="1" t="s">
        <v>15</v>
      </c>
      <c r="E1637" s="1">
        <v>8</v>
      </c>
      <c r="F1637" s="1">
        <v>4</v>
      </c>
      <c r="G1637" s="1">
        <v>55</v>
      </c>
      <c r="H1637" s="10">
        <v>0</v>
      </c>
      <c r="I1637" s="1">
        <v>55000</v>
      </c>
      <c r="J1637" s="1">
        <v>50</v>
      </c>
      <c r="K1637" s="1">
        <v>500</v>
      </c>
      <c r="L1637" s="1">
        <v>30000</v>
      </c>
      <c r="M1637" s="1" t="s">
        <v>1965</v>
      </c>
      <c r="N1637" s="1" t="s">
        <v>1434</v>
      </c>
      <c r="O1637" s="1">
        <v>0</v>
      </c>
      <c r="P1637" s="1" t="s">
        <v>2056</v>
      </c>
      <c r="Q1637" s="7" t="str">
        <f t="shared" si="42"/>
        <v>equipment/8009.png</v>
      </c>
      <c r="R1637" s="1">
        <v>0</v>
      </c>
    </row>
    <row r="1638" spans="1:18" ht="14.25" thickBot="1">
      <c r="A1638" s="1" t="s">
        <v>1330</v>
      </c>
      <c r="B1638" s="2">
        <v>0</v>
      </c>
      <c r="C1638" s="1" t="s">
        <v>2488</v>
      </c>
      <c r="D1638" s="1" t="s">
        <v>16</v>
      </c>
      <c r="E1638" s="1">
        <v>9</v>
      </c>
      <c r="F1638" s="1">
        <v>4</v>
      </c>
      <c r="G1638" s="1">
        <v>55</v>
      </c>
      <c r="H1638" s="10">
        <v>0</v>
      </c>
      <c r="I1638" s="1">
        <v>55000</v>
      </c>
      <c r="J1638" s="1">
        <v>50</v>
      </c>
      <c r="K1638" s="1">
        <v>500</v>
      </c>
      <c r="L1638" s="1">
        <v>30000</v>
      </c>
      <c r="M1638" s="1" t="s">
        <v>1950</v>
      </c>
      <c r="N1638" s="1" t="s">
        <v>1434</v>
      </c>
      <c r="O1638" s="1">
        <v>0</v>
      </c>
      <c r="P1638" s="1" t="s">
        <v>2056</v>
      </c>
      <c r="Q1638" s="7" t="str">
        <f t="shared" si="42"/>
        <v>equipment/10006.png</v>
      </c>
      <c r="R1638" s="1">
        <v>0</v>
      </c>
    </row>
    <row r="1639" spans="1:18" ht="14.25" thickBot="1">
      <c r="A1639" s="1" t="s">
        <v>1331</v>
      </c>
      <c r="B1639" s="3">
        <v>1</v>
      </c>
      <c r="C1639" s="1" t="s">
        <v>2614</v>
      </c>
      <c r="D1639" s="1" t="s">
        <v>17</v>
      </c>
      <c r="E1639" s="1">
        <v>10</v>
      </c>
      <c r="F1639" s="1">
        <v>4</v>
      </c>
      <c r="G1639" s="1">
        <v>55</v>
      </c>
      <c r="H1639" s="10">
        <v>0</v>
      </c>
      <c r="I1639" s="1">
        <v>55000</v>
      </c>
      <c r="J1639" s="1">
        <v>50</v>
      </c>
      <c r="K1639" s="1">
        <v>500</v>
      </c>
      <c r="L1639" s="1">
        <v>30000</v>
      </c>
      <c r="M1639" s="1" t="s">
        <v>1966</v>
      </c>
      <c r="N1639" s="1" t="s">
        <v>1434</v>
      </c>
      <c r="O1639" s="1">
        <v>0</v>
      </c>
      <c r="P1639" s="1" t="s">
        <v>2056</v>
      </c>
      <c r="Q1639" s="7" t="str">
        <f t="shared" si="42"/>
        <v>equipment/12009.png</v>
      </c>
      <c r="R1639" s="1">
        <v>0</v>
      </c>
    </row>
    <row r="1640" spans="1:18" ht="14.25" thickBot="1">
      <c r="A1640" s="1" t="s">
        <v>1332</v>
      </c>
      <c r="B1640" s="3">
        <v>1</v>
      </c>
      <c r="C1640" s="9" t="s">
        <v>2615</v>
      </c>
      <c r="D1640" s="1" t="s">
        <v>12</v>
      </c>
      <c r="E1640" s="1">
        <v>5</v>
      </c>
      <c r="F1640" s="1">
        <v>4</v>
      </c>
      <c r="G1640" s="1">
        <v>55</v>
      </c>
      <c r="H1640" s="10" t="s">
        <v>2120</v>
      </c>
      <c r="I1640" s="1">
        <v>55000</v>
      </c>
      <c r="J1640" s="1">
        <v>50</v>
      </c>
      <c r="K1640" s="1">
        <v>500</v>
      </c>
      <c r="L1640" s="1">
        <v>30000</v>
      </c>
      <c r="M1640" s="1" t="s">
        <v>2022</v>
      </c>
      <c r="N1640" s="1" t="s">
        <v>1435</v>
      </c>
      <c r="O1640" s="1">
        <v>0</v>
      </c>
      <c r="P1640" s="1" t="s">
        <v>2056</v>
      </c>
      <c r="Q1640" s="7" t="str">
        <f t="shared" si="42"/>
        <v>equipment/1121.png</v>
      </c>
      <c r="R1640" s="1">
        <v>0</v>
      </c>
    </row>
    <row r="1641" spans="1:18" ht="14.25" thickBot="1">
      <c r="A1641" s="1" t="s">
        <v>1333</v>
      </c>
      <c r="B1641" s="2">
        <v>0</v>
      </c>
      <c r="C1641" s="9" t="s">
        <v>2491</v>
      </c>
      <c r="D1641" s="1" t="s">
        <v>12</v>
      </c>
      <c r="E1641" s="1">
        <v>5</v>
      </c>
      <c r="F1641" s="1">
        <v>4</v>
      </c>
      <c r="G1641" s="1">
        <v>55</v>
      </c>
      <c r="H1641" s="10" t="s">
        <v>2120</v>
      </c>
      <c r="I1641" s="1">
        <v>58000</v>
      </c>
      <c r="J1641" s="1">
        <v>50</v>
      </c>
      <c r="K1641" s="1">
        <v>500</v>
      </c>
      <c r="L1641" s="1">
        <v>32500</v>
      </c>
      <c r="M1641" s="1" t="s">
        <v>2023</v>
      </c>
      <c r="N1641" s="1" t="s">
        <v>1435</v>
      </c>
      <c r="O1641" s="1">
        <v>0</v>
      </c>
      <c r="P1641" s="1" t="s">
        <v>2056</v>
      </c>
      <c r="Q1641" s="7" t="str">
        <f t="shared" si="42"/>
        <v>equipment/1101.png</v>
      </c>
      <c r="R1641" s="1">
        <v>0</v>
      </c>
    </row>
    <row r="1642" spans="1:18" ht="14.25" thickBot="1">
      <c r="A1642" s="1" t="s">
        <v>1334</v>
      </c>
      <c r="B1642" s="3">
        <v>1</v>
      </c>
      <c r="C1642" s="9" t="s">
        <v>2616</v>
      </c>
      <c r="D1642" s="1" t="s">
        <v>13</v>
      </c>
      <c r="E1642" s="1">
        <v>6</v>
      </c>
      <c r="F1642" s="1">
        <v>4</v>
      </c>
      <c r="G1642" s="1">
        <v>55</v>
      </c>
      <c r="H1642" s="10" t="s">
        <v>2120</v>
      </c>
      <c r="I1642" s="1">
        <v>55000</v>
      </c>
      <c r="J1642" s="1">
        <v>50</v>
      </c>
      <c r="K1642" s="1">
        <v>500</v>
      </c>
      <c r="L1642" s="1">
        <v>30000</v>
      </c>
      <c r="M1642" s="1" t="s">
        <v>1967</v>
      </c>
      <c r="N1642" s="1" t="s">
        <v>1435</v>
      </c>
      <c r="O1642" s="1">
        <v>0</v>
      </c>
      <c r="P1642" s="1" t="s">
        <v>2056</v>
      </c>
      <c r="Q1642" s="7" t="str">
        <f t="shared" si="42"/>
        <v>equipment/2113.png</v>
      </c>
      <c r="R1642" s="1">
        <v>0</v>
      </c>
    </row>
    <row r="1643" spans="1:18" ht="14.25" thickBot="1">
      <c r="A1643" s="1" t="s">
        <v>1335</v>
      </c>
      <c r="B1643" s="3">
        <v>1</v>
      </c>
      <c r="C1643" s="9" t="s">
        <v>2617</v>
      </c>
      <c r="D1643" s="1" t="s">
        <v>13</v>
      </c>
      <c r="E1643" s="1">
        <v>6</v>
      </c>
      <c r="F1643" s="1">
        <v>4</v>
      </c>
      <c r="G1643" s="1">
        <v>55</v>
      </c>
      <c r="H1643" s="10" t="s">
        <v>2120</v>
      </c>
      <c r="I1643" s="1">
        <v>58000</v>
      </c>
      <c r="J1643" s="1">
        <v>50</v>
      </c>
      <c r="K1643" s="1">
        <v>500</v>
      </c>
      <c r="L1643" s="1">
        <v>32500</v>
      </c>
      <c r="M1643" s="1" t="s">
        <v>1968</v>
      </c>
      <c r="N1643" s="1" t="s">
        <v>1435</v>
      </c>
      <c r="O1643" s="1">
        <v>0</v>
      </c>
      <c r="P1643" s="1" t="s">
        <v>2056</v>
      </c>
      <c r="Q1643" s="7" t="str">
        <f t="shared" si="42"/>
        <v>equipment/2114.png</v>
      </c>
      <c r="R1643" s="1">
        <v>0</v>
      </c>
    </row>
    <row r="1644" spans="1:18" ht="14.25" thickBot="1">
      <c r="A1644" s="1" t="s">
        <v>1336</v>
      </c>
      <c r="B1644" s="3">
        <v>1</v>
      </c>
      <c r="C1644" s="1" t="s">
        <v>2618</v>
      </c>
      <c r="D1644" s="1" t="s">
        <v>12</v>
      </c>
      <c r="E1644" s="1">
        <v>5</v>
      </c>
      <c r="F1644" s="1">
        <v>4</v>
      </c>
      <c r="G1644" s="1">
        <v>55</v>
      </c>
      <c r="H1644" s="10" t="s">
        <v>2121</v>
      </c>
      <c r="I1644" s="1">
        <v>55000</v>
      </c>
      <c r="J1644" s="1">
        <v>50</v>
      </c>
      <c r="K1644" s="1">
        <v>500</v>
      </c>
      <c r="L1644" s="1">
        <v>30000</v>
      </c>
      <c r="M1644" s="1" t="s">
        <v>2022</v>
      </c>
      <c r="N1644" s="1" t="s">
        <v>1435</v>
      </c>
      <c r="O1644" s="1">
        <v>0</v>
      </c>
      <c r="P1644" s="1" t="s">
        <v>2056</v>
      </c>
      <c r="Q1644" s="7" t="str">
        <f t="shared" si="42"/>
        <v>equipment/1219.png</v>
      </c>
      <c r="R1644" s="1">
        <v>0</v>
      </c>
    </row>
    <row r="1645" spans="1:18" ht="14.25" thickBot="1">
      <c r="A1645" s="1" t="s">
        <v>1337</v>
      </c>
      <c r="B1645" s="2">
        <v>0</v>
      </c>
      <c r="C1645" s="1" t="s">
        <v>2494</v>
      </c>
      <c r="D1645" s="1" t="s">
        <v>12</v>
      </c>
      <c r="E1645" s="1">
        <v>5</v>
      </c>
      <c r="F1645" s="1">
        <v>4</v>
      </c>
      <c r="G1645" s="1">
        <v>55</v>
      </c>
      <c r="H1645" s="10" t="s">
        <v>2121</v>
      </c>
      <c r="I1645" s="1">
        <v>58000</v>
      </c>
      <c r="J1645" s="1">
        <v>50</v>
      </c>
      <c r="K1645" s="1">
        <v>500</v>
      </c>
      <c r="L1645" s="1">
        <v>32500</v>
      </c>
      <c r="M1645" s="1" t="s">
        <v>2023</v>
      </c>
      <c r="N1645" s="1" t="s">
        <v>1435</v>
      </c>
      <c r="O1645" s="1">
        <v>0</v>
      </c>
      <c r="P1645" s="1" t="s">
        <v>2056</v>
      </c>
      <c r="Q1645" s="7" t="str">
        <f t="shared" si="42"/>
        <v>equipment/1201.png</v>
      </c>
      <c r="R1645" s="1">
        <v>0</v>
      </c>
    </row>
    <row r="1646" spans="1:18" ht="14.25" thickBot="1">
      <c r="A1646" s="1" t="s">
        <v>1338</v>
      </c>
      <c r="B1646" s="3">
        <v>1</v>
      </c>
      <c r="C1646" s="9" t="s">
        <v>2619</v>
      </c>
      <c r="D1646" s="1" t="s">
        <v>13</v>
      </c>
      <c r="E1646" s="1">
        <v>6</v>
      </c>
      <c r="F1646" s="1">
        <v>4</v>
      </c>
      <c r="G1646" s="1">
        <v>55</v>
      </c>
      <c r="H1646" s="10" t="s">
        <v>2121</v>
      </c>
      <c r="I1646" s="1">
        <v>55000</v>
      </c>
      <c r="J1646" s="1">
        <v>50</v>
      </c>
      <c r="K1646" s="1">
        <v>500</v>
      </c>
      <c r="L1646" s="1">
        <v>30000</v>
      </c>
      <c r="M1646" s="1" t="s">
        <v>1969</v>
      </c>
      <c r="N1646" s="1" t="s">
        <v>1435</v>
      </c>
      <c r="O1646" s="1">
        <v>0</v>
      </c>
      <c r="P1646" s="1" t="s">
        <v>2056</v>
      </c>
      <c r="Q1646" s="7" t="str">
        <f t="shared" si="42"/>
        <v>equipment/2213.png</v>
      </c>
      <c r="R1646" s="1">
        <v>0</v>
      </c>
    </row>
    <row r="1647" spans="1:18" ht="14.25" thickBot="1">
      <c r="A1647" s="1" t="s">
        <v>1339</v>
      </c>
      <c r="B1647" s="3">
        <v>1</v>
      </c>
      <c r="C1647" s="9" t="s">
        <v>2620</v>
      </c>
      <c r="D1647" s="1" t="s">
        <v>13</v>
      </c>
      <c r="E1647" s="1">
        <v>6</v>
      </c>
      <c r="F1647" s="1">
        <v>4</v>
      </c>
      <c r="G1647" s="1">
        <v>55</v>
      </c>
      <c r="H1647" s="10" t="s">
        <v>2121</v>
      </c>
      <c r="I1647" s="1">
        <v>58000</v>
      </c>
      <c r="J1647" s="1">
        <v>50</v>
      </c>
      <c r="K1647" s="1">
        <v>500</v>
      </c>
      <c r="L1647" s="1">
        <v>32500</v>
      </c>
      <c r="M1647" s="1" t="s">
        <v>1970</v>
      </c>
      <c r="N1647" s="1" t="s">
        <v>1435</v>
      </c>
      <c r="O1647" s="1">
        <v>0</v>
      </c>
      <c r="P1647" s="1" t="s">
        <v>2056</v>
      </c>
      <c r="Q1647" s="7" t="str">
        <f t="shared" si="42"/>
        <v>equipment/2214.png</v>
      </c>
      <c r="R1647" s="1">
        <v>0</v>
      </c>
    </row>
    <row r="1648" spans="1:18" ht="14.25" thickBot="1">
      <c r="A1648" s="1" t="s">
        <v>1340</v>
      </c>
      <c r="B1648" s="3">
        <v>1</v>
      </c>
      <c r="C1648" s="9" t="s">
        <v>2621</v>
      </c>
      <c r="D1648" s="1" t="s">
        <v>12</v>
      </c>
      <c r="E1648" s="1">
        <v>5</v>
      </c>
      <c r="F1648" s="1">
        <v>4</v>
      </c>
      <c r="G1648" s="1">
        <v>55</v>
      </c>
      <c r="H1648" s="10" t="s">
        <v>2122</v>
      </c>
      <c r="I1648" s="1">
        <v>55000</v>
      </c>
      <c r="J1648" s="1">
        <v>50</v>
      </c>
      <c r="K1648" s="1">
        <v>500</v>
      </c>
      <c r="L1648" s="1">
        <v>30000</v>
      </c>
      <c r="M1648" s="1" t="s">
        <v>2022</v>
      </c>
      <c r="N1648" s="1" t="s">
        <v>1435</v>
      </c>
      <c r="O1648" s="1">
        <v>0</v>
      </c>
      <c r="P1648" s="1" t="s">
        <v>2056</v>
      </c>
      <c r="Q1648" s="7" t="str">
        <f t="shared" si="42"/>
        <v>equipment/1321.png</v>
      </c>
      <c r="R1648" s="1">
        <v>0</v>
      </c>
    </row>
    <row r="1649" spans="1:18" ht="14.25" thickBot="1">
      <c r="A1649" s="1" t="s">
        <v>1341</v>
      </c>
      <c r="B1649" s="2">
        <v>0</v>
      </c>
      <c r="C1649" s="9" t="s">
        <v>2497</v>
      </c>
      <c r="D1649" s="1" t="s">
        <v>12</v>
      </c>
      <c r="E1649" s="1">
        <v>5</v>
      </c>
      <c r="F1649" s="1">
        <v>4</v>
      </c>
      <c r="G1649" s="1">
        <v>55</v>
      </c>
      <c r="H1649" s="10" t="s">
        <v>2122</v>
      </c>
      <c r="I1649" s="1">
        <v>58000</v>
      </c>
      <c r="J1649" s="1">
        <v>50</v>
      </c>
      <c r="K1649" s="1">
        <v>500</v>
      </c>
      <c r="L1649" s="1">
        <v>32500</v>
      </c>
      <c r="M1649" s="1" t="s">
        <v>2023</v>
      </c>
      <c r="N1649" s="1" t="s">
        <v>1435</v>
      </c>
      <c r="O1649" s="1">
        <v>0</v>
      </c>
      <c r="P1649" s="1" t="s">
        <v>2056</v>
      </c>
      <c r="Q1649" s="7" t="str">
        <f t="shared" si="42"/>
        <v>equipment/1301.png</v>
      </c>
      <c r="R1649" s="1">
        <v>0</v>
      </c>
    </row>
    <row r="1650" spans="1:18" ht="14.25" thickBot="1">
      <c r="A1650" s="1" t="s">
        <v>1342</v>
      </c>
      <c r="B1650" s="3">
        <v>1</v>
      </c>
      <c r="C1650" s="9" t="s">
        <v>2622</v>
      </c>
      <c r="D1650" s="1" t="s">
        <v>13</v>
      </c>
      <c r="E1650" s="1">
        <v>6</v>
      </c>
      <c r="F1650" s="1">
        <v>4</v>
      </c>
      <c r="G1650" s="1">
        <v>55</v>
      </c>
      <c r="H1650" s="10" t="s">
        <v>2122</v>
      </c>
      <c r="I1650" s="1">
        <v>55000</v>
      </c>
      <c r="J1650" s="1">
        <v>50</v>
      </c>
      <c r="K1650" s="1">
        <v>500</v>
      </c>
      <c r="L1650" s="1">
        <v>30000</v>
      </c>
      <c r="M1650" s="1" t="s">
        <v>1971</v>
      </c>
      <c r="N1650" s="1" t="s">
        <v>1435</v>
      </c>
      <c r="O1650" s="1">
        <v>0</v>
      </c>
      <c r="P1650" s="1" t="s">
        <v>2056</v>
      </c>
      <c r="Q1650" s="7" t="str">
        <f t="shared" si="42"/>
        <v>equipment/2313.png</v>
      </c>
      <c r="R1650" s="1">
        <v>0</v>
      </c>
    </row>
    <row r="1651" spans="1:18" ht="14.25" thickBot="1">
      <c r="A1651" s="1" t="s">
        <v>1343</v>
      </c>
      <c r="B1651" s="3">
        <v>1</v>
      </c>
      <c r="C1651" s="9" t="s">
        <v>2623</v>
      </c>
      <c r="D1651" s="1" t="s">
        <v>13</v>
      </c>
      <c r="E1651" s="1">
        <v>6</v>
      </c>
      <c r="F1651" s="1">
        <v>4</v>
      </c>
      <c r="G1651" s="1">
        <v>55</v>
      </c>
      <c r="H1651" s="10" t="s">
        <v>2122</v>
      </c>
      <c r="I1651" s="1">
        <v>58000</v>
      </c>
      <c r="J1651" s="1">
        <v>50</v>
      </c>
      <c r="K1651" s="1">
        <v>500</v>
      </c>
      <c r="L1651" s="1">
        <v>32500</v>
      </c>
      <c r="M1651" s="1" t="s">
        <v>1972</v>
      </c>
      <c r="N1651" s="1" t="s">
        <v>1435</v>
      </c>
      <c r="O1651" s="1">
        <v>0</v>
      </c>
      <c r="P1651" s="1" t="s">
        <v>2056</v>
      </c>
      <c r="Q1651" s="7" t="str">
        <f t="shared" si="42"/>
        <v>equipment/2316.png</v>
      </c>
      <c r="R1651" s="1">
        <v>0</v>
      </c>
    </row>
    <row r="1652" spans="1:18" ht="14.25" thickBot="1">
      <c r="A1652" s="1" t="s">
        <v>1344</v>
      </c>
      <c r="B1652" s="3">
        <v>1</v>
      </c>
      <c r="C1652" s="1" t="s">
        <v>2624</v>
      </c>
      <c r="D1652" s="1" t="s">
        <v>11</v>
      </c>
      <c r="E1652" s="1">
        <v>4</v>
      </c>
      <c r="F1652" s="1">
        <v>4</v>
      </c>
      <c r="G1652" s="1">
        <v>55</v>
      </c>
      <c r="H1652" s="10">
        <v>0</v>
      </c>
      <c r="I1652" s="1">
        <v>55000</v>
      </c>
      <c r="J1652" s="1">
        <v>50</v>
      </c>
      <c r="K1652" s="1">
        <v>500</v>
      </c>
      <c r="L1652" s="1">
        <v>30000</v>
      </c>
      <c r="M1652" s="1" t="s">
        <v>1973</v>
      </c>
      <c r="N1652" s="1" t="s">
        <v>1434</v>
      </c>
      <c r="O1652" s="1">
        <v>0</v>
      </c>
      <c r="P1652" s="1" t="s">
        <v>2056</v>
      </c>
      <c r="Q1652" s="7" t="str">
        <f t="shared" si="42"/>
        <v>equipment/5015.png</v>
      </c>
      <c r="R1652" s="1">
        <v>0</v>
      </c>
    </row>
    <row r="1653" spans="1:18" ht="14.25" thickBot="1">
      <c r="A1653" s="1" t="s">
        <v>1345</v>
      </c>
      <c r="B1653" s="2">
        <v>0</v>
      </c>
      <c r="C1653" s="1" t="s">
        <v>2499</v>
      </c>
      <c r="D1653" s="1" t="s">
        <v>11</v>
      </c>
      <c r="E1653" s="1">
        <v>4</v>
      </c>
      <c r="F1653" s="1">
        <v>4</v>
      </c>
      <c r="G1653" s="1">
        <v>55</v>
      </c>
      <c r="H1653" s="10">
        <v>0</v>
      </c>
      <c r="I1653" s="1">
        <v>58000</v>
      </c>
      <c r="J1653" s="1">
        <v>50</v>
      </c>
      <c r="K1653" s="1">
        <v>500</v>
      </c>
      <c r="L1653" s="1">
        <v>32500</v>
      </c>
      <c r="M1653" s="1" t="s">
        <v>1974</v>
      </c>
      <c r="N1653" s="1" t="s">
        <v>1434</v>
      </c>
      <c r="O1653" s="1">
        <v>0</v>
      </c>
      <c r="P1653" s="1" t="s">
        <v>2056</v>
      </c>
      <c r="Q1653" s="7" t="str">
        <f t="shared" si="42"/>
        <v>equipment/5001.png</v>
      </c>
      <c r="R1653" s="1">
        <v>0</v>
      </c>
    </row>
    <row r="1654" spans="1:18" ht="14.25" thickBot="1">
      <c r="A1654" s="1" t="s">
        <v>1346</v>
      </c>
      <c r="B1654" s="3">
        <v>1</v>
      </c>
      <c r="C1654" s="1" t="s">
        <v>2625</v>
      </c>
      <c r="D1654" s="1" t="s">
        <v>14</v>
      </c>
      <c r="E1654" s="1">
        <v>7</v>
      </c>
      <c r="F1654" s="1">
        <v>4</v>
      </c>
      <c r="G1654" s="1">
        <v>55</v>
      </c>
      <c r="H1654" s="10">
        <v>0</v>
      </c>
      <c r="I1654" s="1">
        <v>55000</v>
      </c>
      <c r="J1654" s="1">
        <v>50</v>
      </c>
      <c r="K1654" s="1">
        <v>500</v>
      </c>
      <c r="L1654" s="1">
        <v>30000</v>
      </c>
      <c r="M1654" s="1" t="s">
        <v>1960</v>
      </c>
      <c r="N1654" s="1" t="s">
        <v>1434</v>
      </c>
      <c r="O1654" s="1">
        <v>0</v>
      </c>
      <c r="P1654" s="1" t="s">
        <v>2056</v>
      </c>
      <c r="Q1654" s="7" t="str">
        <f t="shared" si="42"/>
        <v>equipment/7013.png</v>
      </c>
      <c r="R1654" s="1">
        <v>0</v>
      </c>
    </row>
    <row r="1655" spans="1:18" ht="14.25" thickBot="1">
      <c r="A1655" s="1" t="s">
        <v>1347</v>
      </c>
      <c r="B1655" s="2">
        <v>0</v>
      </c>
      <c r="C1655" s="1" t="s">
        <v>2501</v>
      </c>
      <c r="D1655" s="1" t="s">
        <v>14</v>
      </c>
      <c r="E1655" s="1">
        <v>7</v>
      </c>
      <c r="F1655" s="1">
        <v>4</v>
      </c>
      <c r="G1655" s="1">
        <v>55</v>
      </c>
      <c r="H1655" s="10">
        <v>0</v>
      </c>
      <c r="I1655" s="1">
        <v>58000</v>
      </c>
      <c r="J1655" s="1">
        <v>50</v>
      </c>
      <c r="K1655" s="1">
        <v>500</v>
      </c>
      <c r="L1655" s="1">
        <v>32500</v>
      </c>
      <c r="M1655" s="1" t="s">
        <v>1961</v>
      </c>
      <c r="N1655" s="1" t="s">
        <v>1434</v>
      </c>
      <c r="O1655" s="1">
        <v>0</v>
      </c>
      <c r="P1655" s="1" t="s">
        <v>2056</v>
      </c>
      <c r="Q1655" s="7" t="str">
        <f t="shared" si="42"/>
        <v>equipment/7001.png</v>
      </c>
      <c r="R1655" s="1">
        <v>0</v>
      </c>
    </row>
    <row r="1656" spans="1:18" ht="14.25" thickBot="1">
      <c r="A1656" s="1" t="s">
        <v>1348</v>
      </c>
      <c r="B1656" s="3">
        <v>1</v>
      </c>
      <c r="C1656" s="1" t="s">
        <v>2626</v>
      </c>
      <c r="D1656" s="1" t="s">
        <v>8</v>
      </c>
      <c r="E1656" s="1">
        <v>1</v>
      </c>
      <c r="F1656" s="1">
        <v>4</v>
      </c>
      <c r="G1656" s="1">
        <v>60</v>
      </c>
      <c r="H1656" s="10">
        <v>0</v>
      </c>
      <c r="I1656" s="1">
        <v>60000</v>
      </c>
      <c r="J1656" s="1">
        <v>50</v>
      </c>
      <c r="K1656" s="1">
        <v>500</v>
      </c>
      <c r="L1656" s="1">
        <v>32500</v>
      </c>
      <c r="M1656" s="1" t="s">
        <v>1975</v>
      </c>
      <c r="N1656" s="1" t="s">
        <v>1436</v>
      </c>
      <c r="O1656" s="1">
        <v>0</v>
      </c>
      <c r="P1656" s="1" t="s">
        <v>2057</v>
      </c>
      <c r="Q1656" s="7" t="str">
        <f t="shared" si="42"/>
        <v>equipment/3010.png</v>
      </c>
      <c r="R1656" s="1">
        <v>0</v>
      </c>
    </row>
    <row r="1657" spans="1:18" ht="14.25" thickBot="1">
      <c r="A1657" s="1" t="s">
        <v>1349</v>
      </c>
      <c r="B1657" s="3">
        <v>1</v>
      </c>
      <c r="C1657" s="1" t="s">
        <v>2627</v>
      </c>
      <c r="D1657" s="1" t="s">
        <v>9</v>
      </c>
      <c r="E1657" s="1">
        <v>2</v>
      </c>
      <c r="F1657" s="1">
        <v>4</v>
      </c>
      <c r="G1657" s="1">
        <v>60</v>
      </c>
      <c r="H1657" s="10">
        <v>0</v>
      </c>
      <c r="I1657" s="1">
        <v>60000</v>
      </c>
      <c r="J1657" s="1">
        <v>50</v>
      </c>
      <c r="K1657" s="1">
        <v>500</v>
      </c>
      <c r="L1657" s="1">
        <v>32500</v>
      </c>
      <c r="M1657" s="1" t="s">
        <v>1976</v>
      </c>
      <c r="N1657" s="1" t="s">
        <v>1436</v>
      </c>
      <c r="O1657" s="1">
        <v>0</v>
      </c>
      <c r="P1657" s="1" t="s">
        <v>2057</v>
      </c>
      <c r="Q1657" s="7" t="str">
        <f t="shared" si="42"/>
        <v>equipment/14010.png</v>
      </c>
      <c r="R1657" s="1">
        <v>0</v>
      </c>
    </row>
    <row r="1658" spans="1:18" ht="14.25" thickBot="1">
      <c r="A1658" s="1" t="s">
        <v>1350</v>
      </c>
      <c r="B1658" s="3">
        <v>1</v>
      </c>
      <c r="C1658" s="1" t="s">
        <v>2628</v>
      </c>
      <c r="D1658" s="1" t="s">
        <v>10</v>
      </c>
      <c r="E1658" s="1">
        <v>3</v>
      </c>
      <c r="F1658" s="1">
        <v>4</v>
      </c>
      <c r="G1658" s="1">
        <v>60</v>
      </c>
      <c r="H1658" s="10">
        <v>0</v>
      </c>
      <c r="I1658" s="1">
        <v>60000</v>
      </c>
      <c r="J1658" s="1">
        <v>50</v>
      </c>
      <c r="K1658" s="1">
        <v>500</v>
      </c>
      <c r="L1658" s="1">
        <v>32500</v>
      </c>
      <c r="M1658" s="1" t="s">
        <v>1964</v>
      </c>
      <c r="N1658" s="1" t="s">
        <v>1436</v>
      </c>
      <c r="O1658" s="1">
        <v>0</v>
      </c>
      <c r="P1658" s="1" t="s">
        <v>2057</v>
      </c>
      <c r="Q1658" s="7" t="str">
        <f t="shared" si="42"/>
        <v>equipment/6010.png</v>
      </c>
      <c r="R1658" s="1">
        <v>0</v>
      </c>
    </row>
    <row r="1659" spans="1:18" ht="14.25" thickBot="1">
      <c r="A1659" s="1" t="s">
        <v>1351</v>
      </c>
      <c r="B1659" s="3">
        <v>1</v>
      </c>
      <c r="C1659" s="1" t="s">
        <v>2629</v>
      </c>
      <c r="D1659" s="1" t="s">
        <v>15</v>
      </c>
      <c r="E1659" s="1">
        <v>8</v>
      </c>
      <c r="F1659" s="1">
        <v>4</v>
      </c>
      <c r="G1659" s="1">
        <v>60</v>
      </c>
      <c r="H1659" s="10">
        <v>0</v>
      </c>
      <c r="I1659" s="1">
        <v>60000</v>
      </c>
      <c r="J1659" s="1">
        <v>50</v>
      </c>
      <c r="K1659" s="1">
        <v>500</v>
      </c>
      <c r="L1659" s="1">
        <v>32500</v>
      </c>
      <c r="M1659" s="1" t="s">
        <v>1977</v>
      </c>
      <c r="N1659" s="1" t="s">
        <v>1436</v>
      </c>
      <c r="O1659" s="1">
        <v>0</v>
      </c>
      <c r="P1659" s="1" t="s">
        <v>2057</v>
      </c>
      <c r="Q1659" s="7" t="str">
        <f t="shared" si="42"/>
        <v>equipment/8010.png</v>
      </c>
      <c r="R1659" s="1">
        <v>0</v>
      </c>
    </row>
    <row r="1660" spans="1:18" ht="14.25" thickBot="1">
      <c r="A1660" s="1" t="s">
        <v>1352</v>
      </c>
      <c r="B1660" s="3">
        <v>1</v>
      </c>
      <c r="C1660" s="1" t="s">
        <v>2630</v>
      </c>
      <c r="D1660" s="1" t="s">
        <v>16</v>
      </c>
      <c r="E1660" s="1">
        <v>9</v>
      </c>
      <c r="F1660" s="1">
        <v>4</v>
      </c>
      <c r="G1660" s="1">
        <v>60</v>
      </c>
      <c r="H1660" s="10">
        <v>0</v>
      </c>
      <c r="I1660" s="1">
        <v>60000</v>
      </c>
      <c r="J1660" s="1">
        <v>50</v>
      </c>
      <c r="K1660" s="1">
        <v>500</v>
      </c>
      <c r="L1660" s="1">
        <v>32500</v>
      </c>
      <c r="M1660" s="1" t="s">
        <v>1978</v>
      </c>
      <c r="N1660" s="1" t="s">
        <v>1436</v>
      </c>
      <c r="O1660" s="1">
        <v>0</v>
      </c>
      <c r="P1660" s="1" t="s">
        <v>2057</v>
      </c>
      <c r="Q1660" s="7" t="str">
        <f t="shared" si="42"/>
        <v>equipment/10010.png</v>
      </c>
      <c r="R1660" s="1">
        <v>0</v>
      </c>
    </row>
    <row r="1661" spans="1:18" ht="14.25" thickBot="1">
      <c r="A1661" s="1" t="s">
        <v>1353</v>
      </c>
      <c r="B1661" s="3">
        <v>1</v>
      </c>
      <c r="C1661" s="1" t="s">
        <v>2631</v>
      </c>
      <c r="D1661" s="1" t="s">
        <v>17</v>
      </c>
      <c r="E1661" s="1">
        <v>10</v>
      </c>
      <c r="F1661" s="1">
        <v>4</v>
      </c>
      <c r="G1661" s="1">
        <v>60</v>
      </c>
      <c r="H1661" s="10">
        <v>0</v>
      </c>
      <c r="I1661" s="1">
        <v>60000</v>
      </c>
      <c r="J1661" s="1">
        <v>50</v>
      </c>
      <c r="K1661" s="1">
        <v>500</v>
      </c>
      <c r="L1661" s="1">
        <v>32500</v>
      </c>
      <c r="M1661" s="1" t="s">
        <v>1979</v>
      </c>
      <c r="N1661" s="1" t="s">
        <v>1436</v>
      </c>
      <c r="O1661" s="1">
        <v>0</v>
      </c>
      <c r="P1661" s="1" t="s">
        <v>2057</v>
      </c>
      <c r="Q1661" s="7" t="str">
        <f t="shared" si="42"/>
        <v>equipment/12010.png</v>
      </c>
      <c r="R1661" s="1">
        <v>0</v>
      </c>
    </row>
    <row r="1662" spans="1:18" ht="14.25" thickBot="1">
      <c r="A1662" s="1" t="s">
        <v>1354</v>
      </c>
      <c r="B1662" s="3">
        <v>1</v>
      </c>
      <c r="C1662" s="9" t="s">
        <v>2632</v>
      </c>
      <c r="D1662" s="1" t="s">
        <v>12</v>
      </c>
      <c r="E1662" s="1">
        <v>5</v>
      </c>
      <c r="F1662" s="1">
        <v>4</v>
      </c>
      <c r="G1662" s="1">
        <v>60</v>
      </c>
      <c r="H1662" s="10" t="s">
        <v>2120</v>
      </c>
      <c r="I1662" s="1">
        <v>60000</v>
      </c>
      <c r="J1662" s="1">
        <v>50</v>
      </c>
      <c r="K1662" s="1">
        <v>500</v>
      </c>
      <c r="L1662" s="1">
        <v>32500</v>
      </c>
      <c r="M1662" s="1" t="s">
        <v>1980</v>
      </c>
      <c r="N1662" s="1" t="s">
        <v>1437</v>
      </c>
      <c r="O1662" s="1">
        <v>0</v>
      </c>
      <c r="P1662" s="1" t="s">
        <v>2057</v>
      </c>
      <c r="Q1662" s="7" t="str">
        <f t="shared" si="42"/>
        <v>equipment/1118.png</v>
      </c>
      <c r="R1662" s="1">
        <v>0</v>
      </c>
    </row>
    <row r="1663" spans="1:18" ht="14.25" thickBot="1">
      <c r="A1663" s="1" t="s">
        <v>1355</v>
      </c>
      <c r="B1663" s="3">
        <v>1</v>
      </c>
      <c r="C1663" s="9" t="s">
        <v>2633</v>
      </c>
      <c r="D1663" s="1" t="s">
        <v>12</v>
      </c>
      <c r="E1663" s="1">
        <v>5</v>
      </c>
      <c r="F1663" s="1">
        <v>4</v>
      </c>
      <c r="G1663" s="1">
        <v>60</v>
      </c>
      <c r="H1663" s="10" t="s">
        <v>2120</v>
      </c>
      <c r="I1663" s="1">
        <v>63000</v>
      </c>
      <c r="J1663" s="1">
        <v>50</v>
      </c>
      <c r="K1663" s="1">
        <v>500</v>
      </c>
      <c r="L1663" s="1">
        <v>35000</v>
      </c>
      <c r="M1663" s="1" t="s">
        <v>1981</v>
      </c>
      <c r="N1663" s="1" t="s">
        <v>1437</v>
      </c>
      <c r="O1663" s="1">
        <v>0</v>
      </c>
      <c r="P1663" s="1" t="s">
        <v>2057</v>
      </c>
      <c r="Q1663" s="7" t="str">
        <f t="shared" si="42"/>
        <v>equipment/1122.png</v>
      </c>
      <c r="R1663" s="1">
        <v>0</v>
      </c>
    </row>
    <row r="1664" spans="1:18" ht="14.25" thickBot="1">
      <c r="A1664" s="1" t="s">
        <v>1356</v>
      </c>
      <c r="B1664" s="3">
        <v>1</v>
      </c>
      <c r="C1664" s="9" t="s">
        <v>2634</v>
      </c>
      <c r="D1664" s="1" t="s">
        <v>13</v>
      </c>
      <c r="E1664" s="1">
        <v>6</v>
      </c>
      <c r="F1664" s="1">
        <v>4</v>
      </c>
      <c r="G1664" s="1">
        <v>60</v>
      </c>
      <c r="H1664" s="10" t="s">
        <v>2120</v>
      </c>
      <c r="I1664" s="1">
        <v>60000</v>
      </c>
      <c r="J1664" s="1">
        <v>50</v>
      </c>
      <c r="K1664" s="1">
        <v>500</v>
      </c>
      <c r="L1664" s="1">
        <v>32500</v>
      </c>
      <c r="M1664" s="1" t="s">
        <v>1982</v>
      </c>
      <c r="N1664" s="1" t="s">
        <v>1437</v>
      </c>
      <c r="O1664" s="1">
        <v>0</v>
      </c>
      <c r="P1664" s="1" t="s">
        <v>2057</v>
      </c>
      <c r="Q1664" s="7" t="str">
        <f t="shared" si="42"/>
        <v>equipment/2115.png</v>
      </c>
      <c r="R1664" s="1">
        <v>0</v>
      </c>
    </row>
    <row r="1665" spans="1:18" ht="14.25" thickBot="1">
      <c r="A1665" s="1" t="s">
        <v>1357</v>
      </c>
      <c r="B1665" s="2">
        <v>0</v>
      </c>
      <c r="C1665" s="9" t="s">
        <v>2061</v>
      </c>
      <c r="D1665" s="1" t="s">
        <v>13</v>
      </c>
      <c r="E1665" s="1">
        <v>6</v>
      </c>
      <c r="F1665" s="1">
        <v>4</v>
      </c>
      <c r="G1665" s="1">
        <v>60</v>
      </c>
      <c r="H1665" s="10" t="s">
        <v>2120</v>
      </c>
      <c r="I1665" s="1">
        <v>63000</v>
      </c>
      <c r="J1665" s="1">
        <v>50</v>
      </c>
      <c r="K1665" s="1">
        <v>500</v>
      </c>
      <c r="L1665" s="1">
        <v>35000</v>
      </c>
      <c r="M1665" s="1" t="s">
        <v>1983</v>
      </c>
      <c r="N1665" s="1" t="s">
        <v>1437</v>
      </c>
      <c r="O1665" s="1">
        <v>0</v>
      </c>
      <c r="P1665" s="1" t="s">
        <v>2057</v>
      </c>
      <c r="Q1665" s="7" t="str">
        <f t="shared" si="42"/>
        <v>equipment/2101.png</v>
      </c>
      <c r="R1665" s="1">
        <v>0</v>
      </c>
    </row>
    <row r="1666" spans="1:18" ht="14.25" thickBot="1">
      <c r="A1666" s="1" t="s">
        <v>1358</v>
      </c>
      <c r="B1666" s="3">
        <v>1</v>
      </c>
      <c r="C1666" s="1" t="s">
        <v>2635</v>
      </c>
      <c r="D1666" s="1" t="s">
        <v>12</v>
      </c>
      <c r="E1666" s="1">
        <v>5</v>
      </c>
      <c r="F1666" s="1">
        <v>4</v>
      </c>
      <c r="G1666" s="1">
        <v>60</v>
      </c>
      <c r="H1666" s="10" t="s">
        <v>2121</v>
      </c>
      <c r="I1666" s="1">
        <v>60000</v>
      </c>
      <c r="J1666" s="1">
        <v>50</v>
      </c>
      <c r="K1666" s="1">
        <v>500</v>
      </c>
      <c r="L1666" s="1">
        <v>32500</v>
      </c>
      <c r="M1666" s="1" t="s">
        <v>1980</v>
      </c>
      <c r="N1666" s="1" t="s">
        <v>1437</v>
      </c>
      <c r="O1666" s="1">
        <v>0</v>
      </c>
      <c r="P1666" s="1" t="s">
        <v>2057</v>
      </c>
      <c r="Q1666" s="7" t="str">
        <f t="shared" si="42"/>
        <v>equipment/1220.png</v>
      </c>
      <c r="R1666" s="1">
        <v>0</v>
      </c>
    </row>
    <row r="1667" spans="1:18" ht="14.25" thickBot="1">
      <c r="A1667" s="1" t="s">
        <v>1359</v>
      </c>
      <c r="B1667" s="2">
        <v>0</v>
      </c>
      <c r="C1667" s="1" t="s">
        <v>2494</v>
      </c>
      <c r="D1667" s="1" t="s">
        <v>12</v>
      </c>
      <c r="E1667" s="1">
        <v>5</v>
      </c>
      <c r="F1667" s="1">
        <v>4</v>
      </c>
      <c r="G1667" s="1">
        <v>60</v>
      </c>
      <c r="H1667" s="10" t="s">
        <v>2121</v>
      </c>
      <c r="I1667" s="1">
        <v>63000</v>
      </c>
      <c r="J1667" s="1">
        <v>50</v>
      </c>
      <c r="K1667" s="1">
        <v>500</v>
      </c>
      <c r="L1667" s="1">
        <v>35000</v>
      </c>
      <c r="M1667" s="1" t="s">
        <v>1981</v>
      </c>
      <c r="N1667" s="1" t="s">
        <v>1437</v>
      </c>
      <c r="O1667" s="1">
        <v>0</v>
      </c>
      <c r="P1667" s="1" t="s">
        <v>2057</v>
      </c>
      <c r="Q1667" s="7" t="str">
        <f t="shared" si="42"/>
        <v>equipment/1201.png</v>
      </c>
      <c r="R1667" s="1">
        <v>0</v>
      </c>
    </row>
    <row r="1668" spans="1:18" ht="14.25" thickBot="1">
      <c r="A1668" s="1" t="s">
        <v>1360</v>
      </c>
      <c r="B1668" s="3">
        <v>1</v>
      </c>
      <c r="C1668" s="9" t="s">
        <v>2636</v>
      </c>
      <c r="D1668" s="1" t="s">
        <v>13</v>
      </c>
      <c r="E1668" s="1">
        <v>6</v>
      </c>
      <c r="F1668" s="1">
        <v>4</v>
      </c>
      <c r="G1668" s="1">
        <v>60</v>
      </c>
      <c r="H1668" s="10" t="s">
        <v>2121</v>
      </c>
      <c r="I1668" s="1">
        <v>60000</v>
      </c>
      <c r="J1668" s="1">
        <v>50</v>
      </c>
      <c r="K1668" s="1">
        <v>500</v>
      </c>
      <c r="L1668" s="1">
        <v>32500</v>
      </c>
      <c r="M1668" s="1" t="s">
        <v>1984</v>
      </c>
      <c r="N1668" s="1" t="s">
        <v>1437</v>
      </c>
      <c r="O1668" s="1">
        <v>0</v>
      </c>
      <c r="P1668" s="1" t="s">
        <v>2057</v>
      </c>
      <c r="Q1668" s="7" t="str">
        <f t="shared" si="42"/>
        <v>equipment/2215.png</v>
      </c>
      <c r="R1668" s="1">
        <v>0</v>
      </c>
    </row>
    <row r="1669" spans="1:18" ht="14.25" thickBot="1">
      <c r="A1669" s="1" t="s">
        <v>1361</v>
      </c>
      <c r="B1669" s="2">
        <v>0</v>
      </c>
      <c r="C1669" s="9" t="s">
        <v>2094</v>
      </c>
      <c r="D1669" s="1" t="s">
        <v>13</v>
      </c>
      <c r="E1669" s="1">
        <v>6</v>
      </c>
      <c r="F1669" s="1">
        <v>4</v>
      </c>
      <c r="G1669" s="1">
        <v>60</v>
      </c>
      <c r="H1669" s="10" t="s">
        <v>2121</v>
      </c>
      <c r="I1669" s="1">
        <v>63000</v>
      </c>
      <c r="J1669" s="1">
        <v>50</v>
      </c>
      <c r="K1669" s="1">
        <v>500</v>
      </c>
      <c r="L1669" s="1">
        <v>35000</v>
      </c>
      <c r="M1669" s="1" t="s">
        <v>1985</v>
      </c>
      <c r="N1669" s="1" t="s">
        <v>1437</v>
      </c>
      <c r="O1669" s="1">
        <v>0</v>
      </c>
      <c r="P1669" s="1" t="s">
        <v>2057</v>
      </c>
      <c r="Q1669" s="7" t="str">
        <f t="shared" si="42"/>
        <v>equipment/2201.png</v>
      </c>
      <c r="R1669" s="1">
        <v>0</v>
      </c>
    </row>
    <row r="1670" spans="1:18" ht="14.25" thickBot="1">
      <c r="A1670" s="1" t="s">
        <v>1362</v>
      </c>
      <c r="B1670" s="3">
        <v>1</v>
      </c>
      <c r="C1670" s="9" t="s">
        <v>2637</v>
      </c>
      <c r="D1670" s="1" t="s">
        <v>12</v>
      </c>
      <c r="E1670" s="1">
        <v>5</v>
      </c>
      <c r="F1670" s="1">
        <v>4</v>
      </c>
      <c r="G1670" s="1">
        <v>60</v>
      </c>
      <c r="H1670" s="10" t="s">
        <v>2122</v>
      </c>
      <c r="I1670" s="1">
        <v>60000</v>
      </c>
      <c r="J1670" s="1">
        <v>50</v>
      </c>
      <c r="K1670" s="1">
        <v>500</v>
      </c>
      <c r="L1670" s="1">
        <v>32500</v>
      </c>
      <c r="M1670" s="1" t="s">
        <v>1980</v>
      </c>
      <c r="N1670" s="1" t="s">
        <v>1437</v>
      </c>
      <c r="O1670" s="1">
        <v>0</v>
      </c>
      <c r="P1670" s="1" t="s">
        <v>2057</v>
      </c>
      <c r="Q1670" s="7" t="str">
        <f t="shared" si="42"/>
        <v>equipment/1322.png</v>
      </c>
      <c r="R1670" s="1">
        <v>0</v>
      </c>
    </row>
    <row r="1671" spans="1:18" ht="14.25" thickBot="1">
      <c r="A1671" s="1" t="s">
        <v>1363</v>
      </c>
      <c r="B1671" s="2">
        <v>0</v>
      </c>
      <c r="C1671" s="9" t="s">
        <v>2638</v>
      </c>
      <c r="D1671" s="1" t="s">
        <v>12</v>
      </c>
      <c r="E1671" s="1">
        <v>5</v>
      </c>
      <c r="F1671" s="1">
        <v>4</v>
      </c>
      <c r="G1671" s="1">
        <v>60</v>
      </c>
      <c r="H1671" s="10" t="s">
        <v>2122</v>
      </c>
      <c r="I1671" s="1">
        <v>63000</v>
      </c>
      <c r="J1671" s="1">
        <v>50</v>
      </c>
      <c r="K1671" s="1">
        <v>500</v>
      </c>
      <c r="L1671" s="1">
        <v>35000</v>
      </c>
      <c r="M1671" s="1" t="s">
        <v>1981</v>
      </c>
      <c r="N1671" s="1" t="s">
        <v>1437</v>
      </c>
      <c r="O1671" s="1">
        <v>0</v>
      </c>
      <c r="P1671" s="1" t="s">
        <v>2057</v>
      </c>
      <c r="Q1671" s="7" t="str">
        <f t="shared" si="42"/>
        <v>equipment/1301.png</v>
      </c>
      <c r="R1671" s="1">
        <v>0</v>
      </c>
    </row>
    <row r="1672" spans="1:18" ht="14.25" thickBot="1">
      <c r="A1672" s="1" t="s">
        <v>1364</v>
      </c>
      <c r="B1672" s="3">
        <v>1</v>
      </c>
      <c r="C1672" s="9" t="s">
        <v>2639</v>
      </c>
      <c r="D1672" s="1" t="s">
        <v>13</v>
      </c>
      <c r="E1672" s="1">
        <v>6</v>
      </c>
      <c r="F1672" s="1">
        <v>4</v>
      </c>
      <c r="G1672" s="1">
        <v>60</v>
      </c>
      <c r="H1672" s="10" t="s">
        <v>2122</v>
      </c>
      <c r="I1672" s="1">
        <v>60000</v>
      </c>
      <c r="J1672" s="1">
        <v>50</v>
      </c>
      <c r="K1672" s="1">
        <v>500</v>
      </c>
      <c r="L1672" s="1">
        <v>32500</v>
      </c>
      <c r="M1672" s="1" t="s">
        <v>1986</v>
      </c>
      <c r="N1672" s="1" t="s">
        <v>1437</v>
      </c>
      <c r="O1672" s="1">
        <v>0</v>
      </c>
      <c r="P1672" s="1" t="s">
        <v>2057</v>
      </c>
      <c r="Q1672" s="7" t="str">
        <f t="shared" si="42"/>
        <v>equipment/2315.png</v>
      </c>
      <c r="R1672" s="1">
        <v>0</v>
      </c>
    </row>
    <row r="1673" spans="1:18" ht="14.25" thickBot="1">
      <c r="A1673" s="1" t="s">
        <v>1365</v>
      </c>
      <c r="B1673" s="2">
        <v>0</v>
      </c>
      <c r="C1673" s="9" t="s">
        <v>2095</v>
      </c>
      <c r="D1673" s="1" t="s">
        <v>13</v>
      </c>
      <c r="E1673" s="1">
        <v>6</v>
      </c>
      <c r="F1673" s="1">
        <v>4</v>
      </c>
      <c r="G1673" s="1">
        <v>60</v>
      </c>
      <c r="H1673" s="10" t="s">
        <v>2122</v>
      </c>
      <c r="I1673" s="1">
        <v>63000</v>
      </c>
      <c r="J1673" s="1">
        <v>50</v>
      </c>
      <c r="K1673" s="1">
        <v>500</v>
      </c>
      <c r="L1673" s="1">
        <v>35000</v>
      </c>
      <c r="M1673" s="1" t="s">
        <v>1987</v>
      </c>
      <c r="N1673" s="1" t="s">
        <v>1437</v>
      </c>
      <c r="O1673" s="1">
        <v>0</v>
      </c>
      <c r="P1673" s="1" t="s">
        <v>2057</v>
      </c>
      <c r="Q1673" s="7" t="str">
        <f t="shared" si="42"/>
        <v>equipment/2301.png</v>
      </c>
      <c r="R1673" s="1">
        <v>0</v>
      </c>
    </row>
    <row r="1674" spans="1:18" ht="14.25" thickBot="1">
      <c r="A1674" s="1" t="s">
        <v>1366</v>
      </c>
      <c r="B1674" s="3">
        <v>1</v>
      </c>
      <c r="C1674" s="1" t="s">
        <v>2640</v>
      </c>
      <c r="D1674" s="1" t="s">
        <v>11</v>
      </c>
      <c r="E1674" s="1">
        <v>4</v>
      </c>
      <c r="F1674" s="1">
        <v>4</v>
      </c>
      <c r="G1674" s="1">
        <v>60</v>
      </c>
      <c r="H1674" s="10">
        <v>0</v>
      </c>
      <c r="I1674" s="1">
        <v>60000</v>
      </c>
      <c r="J1674" s="1">
        <v>50</v>
      </c>
      <c r="K1674" s="1">
        <v>500</v>
      </c>
      <c r="L1674" s="1">
        <v>32500</v>
      </c>
      <c r="M1674" s="1" t="s">
        <v>1988</v>
      </c>
      <c r="N1674" s="1" t="s">
        <v>1436</v>
      </c>
      <c r="O1674" s="1">
        <v>0</v>
      </c>
      <c r="P1674" s="1" t="s">
        <v>2057</v>
      </c>
      <c r="Q1674" s="7" t="str">
        <f t="shared" si="42"/>
        <v>equipment/5016.png</v>
      </c>
      <c r="R1674" s="1">
        <v>0</v>
      </c>
    </row>
    <row r="1675" spans="1:18" ht="14.25" thickBot="1">
      <c r="A1675" s="1" t="s">
        <v>1367</v>
      </c>
      <c r="B1675" s="2">
        <v>0</v>
      </c>
      <c r="C1675" s="1" t="s">
        <v>2641</v>
      </c>
      <c r="D1675" s="1" t="s">
        <v>11</v>
      </c>
      <c r="E1675" s="1">
        <v>4</v>
      </c>
      <c r="F1675" s="1">
        <v>4</v>
      </c>
      <c r="G1675" s="1">
        <v>60</v>
      </c>
      <c r="H1675" s="10">
        <v>0</v>
      </c>
      <c r="I1675" s="1">
        <v>63000</v>
      </c>
      <c r="J1675" s="1">
        <v>50</v>
      </c>
      <c r="K1675" s="1">
        <v>500</v>
      </c>
      <c r="L1675" s="1">
        <v>35000</v>
      </c>
      <c r="M1675" s="1" t="s">
        <v>1989</v>
      </c>
      <c r="N1675" s="1" t="s">
        <v>1436</v>
      </c>
      <c r="O1675" s="1">
        <v>0</v>
      </c>
      <c r="P1675" s="1" t="s">
        <v>2057</v>
      </c>
      <c r="Q1675" s="7" t="str">
        <f t="shared" si="42"/>
        <v>equipment/5001.png</v>
      </c>
      <c r="R1675" s="1">
        <v>0</v>
      </c>
    </row>
    <row r="1676" spans="1:18" ht="14.25" thickBot="1">
      <c r="A1676" s="1" t="s">
        <v>1368</v>
      </c>
      <c r="B1676" s="3">
        <v>1</v>
      </c>
      <c r="C1676" s="1" t="s">
        <v>2642</v>
      </c>
      <c r="D1676" s="1" t="s">
        <v>14</v>
      </c>
      <c r="E1676" s="1">
        <v>7</v>
      </c>
      <c r="F1676" s="1">
        <v>4</v>
      </c>
      <c r="G1676" s="1">
        <v>60</v>
      </c>
      <c r="H1676" s="10">
        <v>0</v>
      </c>
      <c r="I1676" s="1">
        <v>60000</v>
      </c>
      <c r="J1676" s="1">
        <v>50</v>
      </c>
      <c r="K1676" s="1">
        <v>500</v>
      </c>
      <c r="L1676" s="1">
        <v>32500</v>
      </c>
      <c r="M1676" s="1" t="s">
        <v>1990</v>
      </c>
      <c r="N1676" s="1" t="s">
        <v>1436</v>
      </c>
      <c r="O1676" s="1">
        <v>0</v>
      </c>
      <c r="P1676" s="1" t="s">
        <v>2057</v>
      </c>
      <c r="Q1676" s="7" t="str">
        <f t="shared" si="42"/>
        <v>equipment/7014.png</v>
      </c>
      <c r="R1676" s="1">
        <v>0</v>
      </c>
    </row>
    <row r="1677" spans="1:18" ht="14.25" thickBot="1">
      <c r="A1677" s="1" t="s">
        <v>1369</v>
      </c>
      <c r="B1677" s="3">
        <v>1</v>
      </c>
      <c r="C1677" s="1" t="s">
        <v>2643</v>
      </c>
      <c r="D1677" s="1" t="s">
        <v>14</v>
      </c>
      <c r="E1677" s="1">
        <v>7</v>
      </c>
      <c r="F1677" s="1">
        <v>4</v>
      </c>
      <c r="G1677" s="1">
        <v>60</v>
      </c>
      <c r="H1677" s="10">
        <v>0</v>
      </c>
      <c r="I1677" s="1">
        <v>63000</v>
      </c>
      <c r="J1677" s="1">
        <v>50</v>
      </c>
      <c r="K1677" s="1">
        <v>500</v>
      </c>
      <c r="L1677" s="1">
        <v>35000</v>
      </c>
      <c r="M1677" s="1" t="s">
        <v>1991</v>
      </c>
      <c r="N1677" s="1" t="s">
        <v>1436</v>
      </c>
      <c r="O1677" s="1">
        <v>0</v>
      </c>
      <c r="P1677" s="1" t="s">
        <v>2057</v>
      </c>
      <c r="Q1677" s="7" t="str">
        <f t="shared" si="42"/>
        <v>equipment/7015.png</v>
      </c>
      <c r="R1677" s="1">
        <v>0</v>
      </c>
    </row>
    <row r="1678" spans="1:18" ht="14.25" thickBot="1">
      <c r="A1678" s="1" t="s">
        <v>1370</v>
      </c>
      <c r="B1678" s="3">
        <v>1</v>
      </c>
      <c r="C1678" s="1" t="s">
        <v>2066</v>
      </c>
      <c r="D1678" s="1" t="s">
        <v>8</v>
      </c>
      <c r="E1678" s="1">
        <v>1</v>
      </c>
      <c r="F1678" s="1">
        <v>4</v>
      </c>
      <c r="G1678" s="1">
        <v>65</v>
      </c>
      <c r="H1678" s="10">
        <v>0</v>
      </c>
      <c r="I1678" s="1">
        <v>65000</v>
      </c>
      <c r="J1678" s="1">
        <v>50</v>
      </c>
      <c r="K1678" s="1">
        <v>500</v>
      </c>
      <c r="L1678" s="1">
        <v>35000</v>
      </c>
      <c r="M1678" s="1" t="s">
        <v>1992</v>
      </c>
      <c r="N1678" s="1" t="s">
        <v>1438</v>
      </c>
      <c r="O1678" s="1">
        <v>0</v>
      </c>
      <c r="P1678" s="1" t="s">
        <v>2058</v>
      </c>
      <c r="Q1678" s="7" t="str">
        <f t="shared" si="42"/>
        <v>equipment/3011.png</v>
      </c>
      <c r="R1678" s="1">
        <v>0</v>
      </c>
    </row>
    <row r="1679" spans="1:18" ht="14.25" thickBot="1">
      <c r="A1679" s="1" t="s">
        <v>1371</v>
      </c>
      <c r="B1679" s="3">
        <v>1</v>
      </c>
      <c r="C1679" s="1" t="s">
        <v>2644</v>
      </c>
      <c r="D1679" s="1" t="s">
        <v>9</v>
      </c>
      <c r="E1679" s="1">
        <v>2</v>
      </c>
      <c r="F1679" s="1">
        <v>4</v>
      </c>
      <c r="G1679" s="1">
        <v>65</v>
      </c>
      <c r="H1679" s="10">
        <v>0</v>
      </c>
      <c r="I1679" s="1">
        <v>65000</v>
      </c>
      <c r="J1679" s="1">
        <v>50</v>
      </c>
      <c r="K1679" s="1">
        <v>500</v>
      </c>
      <c r="L1679" s="1">
        <v>35000</v>
      </c>
      <c r="M1679" s="1" t="s">
        <v>1993</v>
      </c>
      <c r="N1679" s="1" t="s">
        <v>1438</v>
      </c>
      <c r="O1679" s="1">
        <v>0</v>
      </c>
      <c r="P1679" s="1" t="s">
        <v>2058</v>
      </c>
      <c r="Q1679" s="7" t="str">
        <f t="shared" si="42"/>
        <v>equipment/14011.png</v>
      </c>
      <c r="R1679" s="1">
        <v>0</v>
      </c>
    </row>
    <row r="1680" spans="1:18" ht="14.25" thickBot="1">
      <c r="A1680" s="1" t="s">
        <v>1372</v>
      </c>
      <c r="B1680" s="3">
        <v>1</v>
      </c>
      <c r="C1680" s="1" t="s">
        <v>2645</v>
      </c>
      <c r="D1680" s="1" t="s">
        <v>10</v>
      </c>
      <c r="E1680" s="1">
        <v>3</v>
      </c>
      <c r="F1680" s="1">
        <v>4</v>
      </c>
      <c r="G1680" s="1">
        <v>65</v>
      </c>
      <c r="H1680" s="10">
        <v>0</v>
      </c>
      <c r="I1680" s="1">
        <v>65000</v>
      </c>
      <c r="J1680" s="1">
        <v>50</v>
      </c>
      <c r="K1680" s="1">
        <v>500</v>
      </c>
      <c r="L1680" s="1">
        <v>35000</v>
      </c>
      <c r="M1680" s="1" t="s">
        <v>1994</v>
      </c>
      <c r="N1680" s="1" t="s">
        <v>1438</v>
      </c>
      <c r="O1680" s="1">
        <v>0</v>
      </c>
      <c r="P1680" s="1" t="s">
        <v>2058</v>
      </c>
      <c r="Q1680" s="7" t="str">
        <f t="shared" si="42"/>
        <v>equipment/6011.png</v>
      </c>
      <c r="R1680" s="1">
        <v>0</v>
      </c>
    </row>
    <row r="1681" spans="1:18" ht="14.25" thickBot="1">
      <c r="A1681" s="1" t="s">
        <v>1373</v>
      </c>
      <c r="B1681" s="3">
        <v>1</v>
      </c>
      <c r="C1681" s="1" t="s">
        <v>2646</v>
      </c>
      <c r="D1681" s="1" t="s">
        <v>15</v>
      </c>
      <c r="E1681" s="1">
        <v>8</v>
      </c>
      <c r="F1681" s="1">
        <v>4</v>
      </c>
      <c r="G1681" s="1">
        <v>65</v>
      </c>
      <c r="H1681" s="10">
        <v>0</v>
      </c>
      <c r="I1681" s="1">
        <v>65000</v>
      </c>
      <c r="J1681" s="1">
        <v>50</v>
      </c>
      <c r="K1681" s="1">
        <v>500</v>
      </c>
      <c r="L1681" s="1">
        <v>35000</v>
      </c>
      <c r="M1681" s="1" t="s">
        <v>1995</v>
      </c>
      <c r="N1681" s="1" t="s">
        <v>1438</v>
      </c>
      <c r="O1681" s="1">
        <v>0</v>
      </c>
      <c r="P1681" s="1" t="s">
        <v>2058</v>
      </c>
      <c r="Q1681" s="7" t="str">
        <f t="shared" si="42"/>
        <v>equipment/8011.png</v>
      </c>
      <c r="R1681" s="1">
        <v>0</v>
      </c>
    </row>
    <row r="1682" spans="1:18" ht="14.25" thickBot="1">
      <c r="A1682" s="1" t="s">
        <v>1374</v>
      </c>
      <c r="B1682" s="3">
        <v>1</v>
      </c>
      <c r="C1682" s="1" t="s">
        <v>2647</v>
      </c>
      <c r="D1682" s="1" t="s">
        <v>16</v>
      </c>
      <c r="E1682" s="1">
        <v>9</v>
      </c>
      <c r="F1682" s="1">
        <v>4</v>
      </c>
      <c r="G1682" s="1">
        <v>65</v>
      </c>
      <c r="H1682" s="10">
        <v>0</v>
      </c>
      <c r="I1682" s="1">
        <v>65000</v>
      </c>
      <c r="J1682" s="1">
        <v>50</v>
      </c>
      <c r="K1682" s="1">
        <v>500</v>
      </c>
      <c r="L1682" s="1">
        <v>35000</v>
      </c>
      <c r="M1682" s="1" t="s">
        <v>1996</v>
      </c>
      <c r="N1682" s="1" t="s">
        <v>1438</v>
      </c>
      <c r="O1682" s="1">
        <v>0</v>
      </c>
      <c r="P1682" s="1" t="s">
        <v>2058</v>
      </c>
      <c r="Q1682" s="7" t="str">
        <f t="shared" si="42"/>
        <v>equipment/10011.png</v>
      </c>
      <c r="R1682" s="1">
        <v>0</v>
      </c>
    </row>
    <row r="1683" spans="1:18" ht="14.25" thickBot="1">
      <c r="A1683" s="1" t="s">
        <v>1375</v>
      </c>
      <c r="B1683" s="3">
        <v>1</v>
      </c>
      <c r="C1683" s="1" t="s">
        <v>2648</v>
      </c>
      <c r="D1683" s="1" t="s">
        <v>17</v>
      </c>
      <c r="E1683" s="1">
        <v>10</v>
      </c>
      <c r="F1683" s="1">
        <v>4</v>
      </c>
      <c r="G1683" s="1">
        <v>65</v>
      </c>
      <c r="H1683" s="10">
        <v>0</v>
      </c>
      <c r="I1683" s="1">
        <v>65000</v>
      </c>
      <c r="J1683" s="1">
        <v>50</v>
      </c>
      <c r="K1683" s="1">
        <v>500</v>
      </c>
      <c r="L1683" s="1">
        <v>35000</v>
      </c>
      <c r="M1683" s="1" t="s">
        <v>1997</v>
      </c>
      <c r="N1683" s="1" t="s">
        <v>1438</v>
      </c>
      <c r="O1683" s="1">
        <v>0</v>
      </c>
      <c r="P1683" s="1" t="s">
        <v>2058</v>
      </c>
      <c r="Q1683" s="7" t="str">
        <f t="shared" si="42"/>
        <v>equipment/12011.png</v>
      </c>
      <c r="R1683" s="1">
        <v>0</v>
      </c>
    </row>
    <row r="1684" spans="1:18" ht="14.25" thickBot="1">
      <c r="A1684" s="1" t="s">
        <v>1376</v>
      </c>
      <c r="B1684" s="3">
        <v>1</v>
      </c>
      <c r="C1684" s="9" t="s">
        <v>2649</v>
      </c>
      <c r="D1684" s="1" t="s">
        <v>12</v>
      </c>
      <c r="E1684" s="1">
        <v>5</v>
      </c>
      <c r="F1684" s="1">
        <v>4</v>
      </c>
      <c r="G1684" s="1">
        <v>65</v>
      </c>
      <c r="H1684" s="10" t="s">
        <v>2120</v>
      </c>
      <c r="I1684" s="1">
        <v>65000</v>
      </c>
      <c r="J1684" s="1">
        <v>50</v>
      </c>
      <c r="K1684" s="1">
        <v>500</v>
      </c>
      <c r="L1684" s="1">
        <v>35000</v>
      </c>
      <c r="M1684" s="1" t="s">
        <v>2024</v>
      </c>
      <c r="N1684" s="1" t="s">
        <v>1439</v>
      </c>
      <c r="O1684" s="1">
        <v>0</v>
      </c>
      <c r="P1684" s="1" t="s">
        <v>2058</v>
      </c>
      <c r="Q1684" s="7" t="str">
        <f t="shared" si="42"/>
        <v>equipment/1123.png</v>
      </c>
      <c r="R1684" s="1">
        <v>0</v>
      </c>
    </row>
    <row r="1685" spans="1:18" ht="14.25" thickBot="1">
      <c r="A1685" s="1" t="s">
        <v>1377</v>
      </c>
      <c r="B1685" s="2">
        <v>0</v>
      </c>
      <c r="C1685" s="9" t="s">
        <v>2650</v>
      </c>
      <c r="D1685" s="1" t="s">
        <v>12</v>
      </c>
      <c r="E1685" s="1">
        <v>5</v>
      </c>
      <c r="F1685" s="1">
        <v>4</v>
      </c>
      <c r="G1685" s="1">
        <v>65</v>
      </c>
      <c r="H1685" s="10" t="s">
        <v>2120</v>
      </c>
      <c r="I1685" s="1">
        <v>68000</v>
      </c>
      <c r="J1685" s="1">
        <v>50</v>
      </c>
      <c r="K1685" s="1">
        <v>500</v>
      </c>
      <c r="L1685" s="1">
        <v>37500</v>
      </c>
      <c r="M1685" s="1" t="s">
        <v>1998</v>
      </c>
      <c r="N1685" s="1" t="s">
        <v>1439</v>
      </c>
      <c r="O1685" s="1">
        <v>0</v>
      </c>
      <c r="P1685" s="1" t="s">
        <v>2058</v>
      </c>
      <c r="Q1685" s="7" t="str">
        <f t="shared" ref="Q1685:Q1748" si="43">Q1223</f>
        <v>equipment/1101.png</v>
      </c>
      <c r="R1685" s="1">
        <v>0</v>
      </c>
    </row>
    <row r="1686" spans="1:18" ht="14.25" thickBot="1">
      <c r="A1686" s="1" t="s">
        <v>1378</v>
      </c>
      <c r="B1686" s="3">
        <v>1</v>
      </c>
      <c r="C1686" s="9" t="s">
        <v>2651</v>
      </c>
      <c r="D1686" s="1" t="s">
        <v>13</v>
      </c>
      <c r="E1686" s="1">
        <v>6</v>
      </c>
      <c r="F1686" s="1">
        <v>4</v>
      </c>
      <c r="G1686" s="1">
        <v>65</v>
      </c>
      <c r="H1686" s="10" t="s">
        <v>2120</v>
      </c>
      <c r="I1686" s="1">
        <v>65000</v>
      </c>
      <c r="J1686" s="1">
        <v>50</v>
      </c>
      <c r="K1686" s="1">
        <v>500</v>
      </c>
      <c r="L1686" s="1">
        <v>35000</v>
      </c>
      <c r="M1686" s="1" t="s">
        <v>1999</v>
      </c>
      <c r="N1686" s="1" t="s">
        <v>1439</v>
      </c>
      <c r="O1686" s="1">
        <v>0</v>
      </c>
      <c r="P1686" s="1" t="s">
        <v>2058</v>
      </c>
      <c r="Q1686" s="7" t="str">
        <f t="shared" si="43"/>
        <v>equipment/2116.png</v>
      </c>
      <c r="R1686" s="1">
        <v>0</v>
      </c>
    </row>
    <row r="1687" spans="1:18" ht="14.25" thickBot="1">
      <c r="A1687" s="1" t="s">
        <v>1379</v>
      </c>
      <c r="B1687" s="2">
        <v>0</v>
      </c>
      <c r="C1687" s="9" t="s">
        <v>2061</v>
      </c>
      <c r="D1687" s="1" t="s">
        <v>13</v>
      </c>
      <c r="E1687" s="1">
        <v>6</v>
      </c>
      <c r="F1687" s="1">
        <v>4</v>
      </c>
      <c r="G1687" s="1">
        <v>65</v>
      </c>
      <c r="H1687" s="10" t="s">
        <v>2120</v>
      </c>
      <c r="I1687" s="1">
        <v>68000</v>
      </c>
      <c r="J1687" s="1">
        <v>50</v>
      </c>
      <c r="K1687" s="1">
        <v>500</v>
      </c>
      <c r="L1687" s="1">
        <v>37500</v>
      </c>
      <c r="M1687" s="1" t="s">
        <v>1999</v>
      </c>
      <c r="N1687" s="1" t="s">
        <v>1439</v>
      </c>
      <c r="O1687" s="1">
        <v>0</v>
      </c>
      <c r="P1687" s="1" t="s">
        <v>2058</v>
      </c>
      <c r="Q1687" s="7" t="str">
        <f t="shared" si="43"/>
        <v>equipment/2101.png</v>
      </c>
      <c r="R1687" s="1">
        <v>0</v>
      </c>
    </row>
    <row r="1688" spans="1:18" ht="14.25" thickBot="1">
      <c r="A1688" s="1" t="s">
        <v>1380</v>
      </c>
      <c r="B1688" s="3">
        <v>1</v>
      </c>
      <c r="C1688" s="1" t="s">
        <v>2652</v>
      </c>
      <c r="D1688" s="1" t="s">
        <v>12</v>
      </c>
      <c r="E1688" s="1">
        <v>5</v>
      </c>
      <c r="F1688" s="1">
        <v>4</v>
      </c>
      <c r="G1688" s="1">
        <v>65</v>
      </c>
      <c r="H1688" s="10" t="s">
        <v>2121</v>
      </c>
      <c r="I1688" s="1">
        <v>65000</v>
      </c>
      <c r="J1688" s="1">
        <v>50</v>
      </c>
      <c r="K1688" s="1">
        <v>500</v>
      </c>
      <c r="L1688" s="1">
        <v>35000</v>
      </c>
      <c r="M1688" s="1" t="s">
        <v>2024</v>
      </c>
      <c r="N1688" s="1" t="s">
        <v>1439</v>
      </c>
      <c r="O1688" s="1">
        <v>0</v>
      </c>
      <c r="P1688" s="1" t="s">
        <v>2058</v>
      </c>
      <c r="Q1688" s="7" t="str">
        <f t="shared" si="43"/>
        <v>equipment/1224.png</v>
      </c>
      <c r="R1688" s="1">
        <v>0</v>
      </c>
    </row>
    <row r="1689" spans="1:18" ht="14.25" thickBot="1">
      <c r="A1689" s="1" t="s">
        <v>1381</v>
      </c>
      <c r="B1689" s="2">
        <v>0</v>
      </c>
      <c r="C1689" s="1" t="s">
        <v>2653</v>
      </c>
      <c r="D1689" s="1" t="s">
        <v>12</v>
      </c>
      <c r="E1689" s="1">
        <v>5</v>
      </c>
      <c r="F1689" s="1">
        <v>4</v>
      </c>
      <c r="G1689" s="1">
        <v>65</v>
      </c>
      <c r="H1689" s="10" t="s">
        <v>2121</v>
      </c>
      <c r="I1689" s="1">
        <v>68000</v>
      </c>
      <c r="J1689" s="1">
        <v>50</v>
      </c>
      <c r="K1689" s="1">
        <v>500</v>
      </c>
      <c r="L1689" s="1">
        <v>37500</v>
      </c>
      <c r="M1689" s="1" t="s">
        <v>1998</v>
      </c>
      <c r="N1689" s="1" t="s">
        <v>1439</v>
      </c>
      <c r="O1689" s="1">
        <v>0</v>
      </c>
      <c r="P1689" s="1" t="s">
        <v>2058</v>
      </c>
      <c r="Q1689" s="7" t="str">
        <f t="shared" si="43"/>
        <v>equipment/1201.png</v>
      </c>
      <c r="R1689" s="1">
        <v>0</v>
      </c>
    </row>
    <row r="1690" spans="1:18" ht="14.25" thickBot="1">
      <c r="A1690" s="1" t="s">
        <v>1382</v>
      </c>
      <c r="B1690" s="3">
        <v>1</v>
      </c>
      <c r="C1690" s="9" t="s">
        <v>2654</v>
      </c>
      <c r="D1690" s="1" t="s">
        <v>13</v>
      </c>
      <c r="E1690" s="1">
        <v>6</v>
      </c>
      <c r="F1690" s="1">
        <v>4</v>
      </c>
      <c r="G1690" s="1">
        <v>65</v>
      </c>
      <c r="H1690" s="10" t="s">
        <v>2121</v>
      </c>
      <c r="I1690" s="1">
        <v>65000</v>
      </c>
      <c r="J1690" s="1">
        <v>50</v>
      </c>
      <c r="K1690" s="1">
        <v>500</v>
      </c>
      <c r="L1690" s="1">
        <v>35000</v>
      </c>
      <c r="M1690" s="1" t="s">
        <v>2000</v>
      </c>
      <c r="N1690" s="1" t="s">
        <v>1439</v>
      </c>
      <c r="O1690" s="1">
        <v>0</v>
      </c>
      <c r="P1690" s="1" t="s">
        <v>2058</v>
      </c>
      <c r="Q1690" s="7" t="str">
        <f t="shared" si="43"/>
        <v>equipment/2216.png</v>
      </c>
      <c r="R1690" s="1">
        <v>0</v>
      </c>
    </row>
    <row r="1691" spans="1:18" ht="14.25" thickBot="1">
      <c r="A1691" s="1" t="s">
        <v>1383</v>
      </c>
      <c r="B1691" s="2">
        <v>0</v>
      </c>
      <c r="C1691" s="9" t="s">
        <v>2094</v>
      </c>
      <c r="D1691" s="1" t="s">
        <v>13</v>
      </c>
      <c r="E1691" s="1">
        <v>6</v>
      </c>
      <c r="F1691" s="1">
        <v>4</v>
      </c>
      <c r="G1691" s="1">
        <v>65</v>
      </c>
      <c r="H1691" s="10" t="s">
        <v>2121</v>
      </c>
      <c r="I1691" s="1">
        <v>68000</v>
      </c>
      <c r="J1691" s="1">
        <v>50</v>
      </c>
      <c r="K1691" s="1">
        <v>500</v>
      </c>
      <c r="L1691" s="1">
        <v>37500</v>
      </c>
      <c r="M1691" s="1" t="s">
        <v>2000</v>
      </c>
      <c r="N1691" s="1" t="s">
        <v>1439</v>
      </c>
      <c r="O1691" s="1">
        <v>0</v>
      </c>
      <c r="P1691" s="1" t="s">
        <v>2058</v>
      </c>
      <c r="Q1691" s="7" t="str">
        <f t="shared" si="43"/>
        <v>equipment/2201.png</v>
      </c>
      <c r="R1691" s="1">
        <v>0</v>
      </c>
    </row>
    <row r="1692" spans="1:18" ht="14.25" thickBot="1">
      <c r="A1692" s="1" t="s">
        <v>1384</v>
      </c>
      <c r="B1692" s="3">
        <v>1</v>
      </c>
      <c r="C1692" s="9" t="s">
        <v>2655</v>
      </c>
      <c r="D1692" s="1" t="s">
        <v>12</v>
      </c>
      <c r="E1692" s="1">
        <v>5</v>
      </c>
      <c r="F1692" s="1">
        <v>4</v>
      </c>
      <c r="G1692" s="1">
        <v>65</v>
      </c>
      <c r="H1692" s="10" t="s">
        <v>2122</v>
      </c>
      <c r="I1692" s="1">
        <v>65000</v>
      </c>
      <c r="J1692" s="1">
        <v>50</v>
      </c>
      <c r="K1692" s="1">
        <v>500</v>
      </c>
      <c r="L1692" s="1">
        <v>35000</v>
      </c>
      <c r="M1692" s="1" t="s">
        <v>2024</v>
      </c>
      <c r="N1692" s="1" t="s">
        <v>1439</v>
      </c>
      <c r="O1692" s="1">
        <v>0</v>
      </c>
      <c r="P1692" s="1" t="s">
        <v>2058</v>
      </c>
      <c r="Q1692" s="7" t="str">
        <f t="shared" si="43"/>
        <v>equipment/1323.png</v>
      </c>
      <c r="R1692" s="1">
        <v>0</v>
      </c>
    </row>
    <row r="1693" spans="1:18" ht="14.25" thickBot="1">
      <c r="A1693" s="1" t="s">
        <v>1385</v>
      </c>
      <c r="B1693" s="2">
        <v>0</v>
      </c>
      <c r="C1693" s="9" t="s">
        <v>2497</v>
      </c>
      <c r="D1693" s="1" t="s">
        <v>12</v>
      </c>
      <c r="E1693" s="1">
        <v>5</v>
      </c>
      <c r="F1693" s="1">
        <v>4</v>
      </c>
      <c r="G1693" s="1">
        <v>65</v>
      </c>
      <c r="H1693" s="10" t="s">
        <v>2122</v>
      </c>
      <c r="I1693" s="1">
        <v>68000</v>
      </c>
      <c r="J1693" s="1">
        <v>50</v>
      </c>
      <c r="K1693" s="1">
        <v>500</v>
      </c>
      <c r="L1693" s="1">
        <v>37500</v>
      </c>
      <c r="M1693" s="1" t="s">
        <v>1998</v>
      </c>
      <c r="N1693" s="1" t="s">
        <v>1439</v>
      </c>
      <c r="O1693" s="1">
        <v>0</v>
      </c>
      <c r="P1693" s="1" t="s">
        <v>2058</v>
      </c>
      <c r="Q1693" s="7" t="str">
        <f t="shared" si="43"/>
        <v>equipment/1301.png</v>
      </c>
      <c r="R1693" s="1">
        <v>0</v>
      </c>
    </row>
    <row r="1694" spans="1:18" ht="14.25" thickBot="1">
      <c r="A1694" s="1" t="s">
        <v>1386</v>
      </c>
      <c r="B1694" s="3">
        <v>1</v>
      </c>
      <c r="C1694" s="9" t="s">
        <v>2656</v>
      </c>
      <c r="D1694" s="1" t="s">
        <v>13</v>
      </c>
      <c r="E1694" s="1">
        <v>6</v>
      </c>
      <c r="F1694" s="1">
        <v>4</v>
      </c>
      <c r="G1694" s="1">
        <v>65</v>
      </c>
      <c r="H1694" s="10" t="s">
        <v>2122</v>
      </c>
      <c r="I1694" s="1">
        <v>65000</v>
      </c>
      <c r="J1694" s="1">
        <v>50</v>
      </c>
      <c r="K1694" s="1">
        <v>500</v>
      </c>
      <c r="L1694" s="1">
        <v>35000</v>
      </c>
      <c r="M1694" s="1" t="s">
        <v>2001</v>
      </c>
      <c r="N1694" s="1" t="s">
        <v>1439</v>
      </c>
      <c r="O1694" s="1">
        <v>0</v>
      </c>
      <c r="P1694" s="1" t="s">
        <v>2058</v>
      </c>
      <c r="Q1694" s="7" t="str">
        <f t="shared" si="43"/>
        <v>equipment/2317.png</v>
      </c>
      <c r="R1694" s="1">
        <v>0</v>
      </c>
    </row>
    <row r="1695" spans="1:18" ht="14.25" thickBot="1">
      <c r="A1695" s="1" t="s">
        <v>1387</v>
      </c>
      <c r="B1695" s="2">
        <v>0</v>
      </c>
      <c r="C1695" s="9" t="s">
        <v>2095</v>
      </c>
      <c r="D1695" s="1" t="s">
        <v>13</v>
      </c>
      <c r="E1695" s="1">
        <v>6</v>
      </c>
      <c r="F1695" s="1">
        <v>4</v>
      </c>
      <c r="G1695" s="1">
        <v>65</v>
      </c>
      <c r="H1695" s="10" t="s">
        <v>2122</v>
      </c>
      <c r="I1695" s="1">
        <v>68000</v>
      </c>
      <c r="J1695" s="1">
        <v>50</v>
      </c>
      <c r="K1695" s="1">
        <v>500</v>
      </c>
      <c r="L1695" s="1">
        <v>37500</v>
      </c>
      <c r="M1695" s="1" t="s">
        <v>2002</v>
      </c>
      <c r="N1695" s="1" t="s">
        <v>1439</v>
      </c>
      <c r="O1695" s="1">
        <v>0</v>
      </c>
      <c r="P1695" s="1" t="s">
        <v>2058</v>
      </c>
      <c r="Q1695" s="7" t="str">
        <f t="shared" si="43"/>
        <v>equipment/2301.png</v>
      </c>
      <c r="R1695" s="1">
        <v>0</v>
      </c>
    </row>
    <row r="1696" spans="1:18" ht="14.25" thickBot="1">
      <c r="A1696" s="1" t="s">
        <v>1388</v>
      </c>
      <c r="B1696" s="3">
        <v>1</v>
      </c>
      <c r="C1696" s="1" t="s">
        <v>2657</v>
      </c>
      <c r="D1696" s="1" t="s">
        <v>11</v>
      </c>
      <c r="E1696" s="1">
        <v>4</v>
      </c>
      <c r="F1696" s="1">
        <v>4</v>
      </c>
      <c r="G1696" s="1">
        <v>65</v>
      </c>
      <c r="H1696" s="10">
        <v>0</v>
      </c>
      <c r="I1696" s="1">
        <v>65000</v>
      </c>
      <c r="J1696" s="1">
        <v>50</v>
      </c>
      <c r="K1696" s="1">
        <v>500</v>
      </c>
      <c r="L1696" s="1">
        <v>35000</v>
      </c>
      <c r="M1696" s="1" t="s">
        <v>2003</v>
      </c>
      <c r="N1696" s="1" t="s">
        <v>1438</v>
      </c>
      <c r="O1696" s="1">
        <v>0</v>
      </c>
      <c r="P1696" s="1" t="s">
        <v>2058</v>
      </c>
      <c r="Q1696" s="7" t="str">
        <f t="shared" si="43"/>
        <v>equipment/5017.png</v>
      </c>
      <c r="R1696" s="1">
        <v>0</v>
      </c>
    </row>
    <row r="1697" spans="1:18" ht="14.25" thickBot="1">
      <c r="A1697" s="1" t="s">
        <v>1389</v>
      </c>
      <c r="B1697" s="2">
        <v>0</v>
      </c>
      <c r="C1697" s="1" t="s">
        <v>2499</v>
      </c>
      <c r="D1697" s="1" t="s">
        <v>11</v>
      </c>
      <c r="E1697" s="1">
        <v>4</v>
      </c>
      <c r="F1697" s="1">
        <v>4</v>
      </c>
      <c r="G1697" s="1">
        <v>65</v>
      </c>
      <c r="H1697" s="10">
        <v>0</v>
      </c>
      <c r="I1697" s="1">
        <v>68000</v>
      </c>
      <c r="J1697" s="1">
        <v>50</v>
      </c>
      <c r="K1697" s="1">
        <v>500</v>
      </c>
      <c r="L1697" s="1">
        <v>37500</v>
      </c>
      <c r="M1697" s="1" t="s">
        <v>2003</v>
      </c>
      <c r="N1697" s="1" t="s">
        <v>1438</v>
      </c>
      <c r="O1697" s="1">
        <v>0</v>
      </c>
      <c r="P1697" s="1" t="s">
        <v>2058</v>
      </c>
      <c r="Q1697" s="7" t="str">
        <f t="shared" si="43"/>
        <v>equipment/5001.png</v>
      </c>
      <c r="R1697" s="1">
        <v>0</v>
      </c>
    </row>
    <row r="1698" spans="1:18" ht="14.25" thickBot="1">
      <c r="A1698" s="1" t="s">
        <v>1390</v>
      </c>
      <c r="B1698" s="3">
        <v>1</v>
      </c>
      <c r="C1698" s="1" t="s">
        <v>2658</v>
      </c>
      <c r="D1698" s="1" t="s">
        <v>14</v>
      </c>
      <c r="E1698" s="1">
        <v>7</v>
      </c>
      <c r="F1698" s="1">
        <v>4</v>
      </c>
      <c r="G1698" s="1">
        <v>65</v>
      </c>
      <c r="H1698" s="10">
        <v>0</v>
      </c>
      <c r="I1698" s="1">
        <v>65000</v>
      </c>
      <c r="J1698" s="1">
        <v>50</v>
      </c>
      <c r="K1698" s="1">
        <v>500</v>
      </c>
      <c r="L1698" s="1">
        <v>35000</v>
      </c>
      <c r="M1698" s="1" t="s">
        <v>2004</v>
      </c>
      <c r="N1698" s="1" t="s">
        <v>1438</v>
      </c>
      <c r="O1698" s="1">
        <v>0</v>
      </c>
      <c r="P1698" s="1" t="s">
        <v>2058</v>
      </c>
      <c r="Q1698" s="7" t="str">
        <f t="shared" si="43"/>
        <v>equipment/7017.png</v>
      </c>
      <c r="R1698" s="1">
        <v>0</v>
      </c>
    </row>
    <row r="1699" spans="1:18" ht="14.25" thickBot="1">
      <c r="A1699" s="1" t="s">
        <v>1391</v>
      </c>
      <c r="B1699" s="2">
        <v>0</v>
      </c>
      <c r="C1699" s="1" t="s">
        <v>2501</v>
      </c>
      <c r="D1699" s="1" t="s">
        <v>14</v>
      </c>
      <c r="E1699" s="1">
        <v>7</v>
      </c>
      <c r="F1699" s="1">
        <v>4</v>
      </c>
      <c r="G1699" s="1">
        <v>65</v>
      </c>
      <c r="H1699" s="10">
        <v>0</v>
      </c>
      <c r="I1699" s="1">
        <v>68000</v>
      </c>
      <c r="J1699" s="1">
        <v>50</v>
      </c>
      <c r="K1699" s="1">
        <v>500</v>
      </c>
      <c r="L1699" s="1">
        <v>37500</v>
      </c>
      <c r="M1699" s="1" t="s">
        <v>2004</v>
      </c>
      <c r="N1699" s="1" t="s">
        <v>1438</v>
      </c>
      <c r="O1699" s="1">
        <v>0</v>
      </c>
      <c r="P1699" s="1" t="s">
        <v>2058</v>
      </c>
      <c r="Q1699" s="7" t="str">
        <f t="shared" si="43"/>
        <v>equipment/7001.png</v>
      </c>
      <c r="R1699" s="1">
        <v>0</v>
      </c>
    </row>
    <row r="1700" spans="1:18" ht="14.25" thickBot="1">
      <c r="A1700" s="1" t="s">
        <v>1392</v>
      </c>
      <c r="B1700" s="3">
        <v>1</v>
      </c>
      <c r="C1700" s="1" t="s">
        <v>2659</v>
      </c>
      <c r="D1700" s="1" t="s">
        <v>8</v>
      </c>
      <c r="E1700" s="1">
        <v>1</v>
      </c>
      <c r="F1700" s="1">
        <v>4</v>
      </c>
      <c r="G1700" s="1">
        <v>70</v>
      </c>
      <c r="H1700" s="10">
        <v>0</v>
      </c>
      <c r="I1700" s="1">
        <v>70000</v>
      </c>
      <c r="J1700" s="1">
        <v>50</v>
      </c>
      <c r="K1700" s="1">
        <v>500</v>
      </c>
      <c r="L1700" s="1">
        <v>37500</v>
      </c>
      <c r="M1700" s="1" t="s">
        <v>2477</v>
      </c>
      <c r="N1700" s="1" t="s">
        <v>1440</v>
      </c>
      <c r="O1700" s="1">
        <v>0</v>
      </c>
      <c r="P1700" s="1" t="s">
        <v>2059</v>
      </c>
      <c r="Q1700" s="7" t="str">
        <f t="shared" si="43"/>
        <v>equipment/3014.png</v>
      </c>
      <c r="R1700" s="1">
        <v>0</v>
      </c>
    </row>
    <row r="1701" spans="1:18" ht="14.25" thickBot="1">
      <c r="A1701" s="1" t="s">
        <v>1393</v>
      </c>
      <c r="B1701" s="3">
        <v>1</v>
      </c>
      <c r="C1701" s="1" t="s">
        <v>2660</v>
      </c>
      <c r="D1701" s="1" t="s">
        <v>9</v>
      </c>
      <c r="E1701" s="1">
        <v>2</v>
      </c>
      <c r="F1701" s="1">
        <v>4</v>
      </c>
      <c r="G1701" s="1">
        <v>70</v>
      </c>
      <c r="H1701" s="10">
        <v>0</v>
      </c>
      <c r="I1701" s="1">
        <v>70000</v>
      </c>
      <c r="J1701" s="1">
        <v>50</v>
      </c>
      <c r="K1701" s="1">
        <v>500</v>
      </c>
      <c r="L1701" s="1">
        <v>37500</v>
      </c>
      <c r="M1701" s="1" t="s">
        <v>2478</v>
      </c>
      <c r="N1701" s="1" t="s">
        <v>1440</v>
      </c>
      <c r="O1701" s="1">
        <v>0</v>
      </c>
      <c r="P1701" s="1" t="s">
        <v>2059</v>
      </c>
      <c r="Q1701" s="7" t="str">
        <f t="shared" si="43"/>
        <v>equipment/14012.png</v>
      </c>
      <c r="R1701" s="1">
        <v>0</v>
      </c>
    </row>
    <row r="1702" spans="1:18" ht="14.25" thickBot="1">
      <c r="A1702" s="1" t="s">
        <v>1394</v>
      </c>
      <c r="B1702" s="3">
        <v>1</v>
      </c>
      <c r="C1702" s="1" t="s">
        <v>2661</v>
      </c>
      <c r="D1702" s="1" t="s">
        <v>10</v>
      </c>
      <c r="E1702" s="1">
        <v>3</v>
      </c>
      <c r="F1702" s="1">
        <v>4</v>
      </c>
      <c r="G1702" s="1">
        <v>70</v>
      </c>
      <c r="H1702" s="10">
        <v>0</v>
      </c>
      <c r="I1702" s="1">
        <v>70000</v>
      </c>
      <c r="J1702" s="1">
        <v>50</v>
      </c>
      <c r="K1702" s="1">
        <v>500</v>
      </c>
      <c r="L1702" s="1">
        <v>37500</v>
      </c>
      <c r="M1702" s="1" t="s">
        <v>2479</v>
      </c>
      <c r="N1702" s="1" t="s">
        <v>1440</v>
      </c>
      <c r="O1702" s="1">
        <v>0</v>
      </c>
      <c r="P1702" s="1" t="s">
        <v>2059</v>
      </c>
      <c r="Q1702" s="7" t="str">
        <f t="shared" si="43"/>
        <v>equipment/6013.png</v>
      </c>
      <c r="R1702" s="1">
        <v>0</v>
      </c>
    </row>
    <row r="1703" spans="1:18" ht="14.25" thickBot="1">
      <c r="A1703" s="1" t="s">
        <v>1395</v>
      </c>
      <c r="B1703" s="3">
        <v>1</v>
      </c>
      <c r="C1703" s="1" t="s">
        <v>2662</v>
      </c>
      <c r="D1703" s="1" t="s">
        <v>15</v>
      </c>
      <c r="E1703" s="1">
        <v>8</v>
      </c>
      <c r="F1703" s="1">
        <v>4</v>
      </c>
      <c r="G1703" s="1">
        <v>70</v>
      </c>
      <c r="H1703" s="10">
        <v>0</v>
      </c>
      <c r="I1703" s="1">
        <v>70000</v>
      </c>
      <c r="J1703" s="1">
        <v>50</v>
      </c>
      <c r="K1703" s="1">
        <v>500</v>
      </c>
      <c r="L1703" s="1">
        <v>37500</v>
      </c>
      <c r="M1703" s="1" t="s">
        <v>2480</v>
      </c>
      <c r="N1703" s="1" t="s">
        <v>1440</v>
      </c>
      <c r="O1703" s="1">
        <v>0</v>
      </c>
      <c r="P1703" s="1" t="s">
        <v>2059</v>
      </c>
      <c r="Q1703" s="7" t="str">
        <f t="shared" si="43"/>
        <v>equipment/8012.png</v>
      </c>
      <c r="R1703" s="1">
        <v>0</v>
      </c>
    </row>
    <row r="1704" spans="1:18" ht="14.25" thickBot="1">
      <c r="A1704" s="1" t="s">
        <v>1396</v>
      </c>
      <c r="B1704" s="3">
        <v>1</v>
      </c>
      <c r="C1704" s="1" t="s">
        <v>2663</v>
      </c>
      <c r="D1704" s="1" t="s">
        <v>16</v>
      </c>
      <c r="E1704" s="1">
        <v>9</v>
      </c>
      <c r="F1704" s="1">
        <v>4</v>
      </c>
      <c r="G1704" s="1">
        <v>70</v>
      </c>
      <c r="H1704" s="10">
        <v>0</v>
      </c>
      <c r="I1704" s="1">
        <v>70000</v>
      </c>
      <c r="J1704" s="1">
        <v>50</v>
      </c>
      <c r="K1704" s="1">
        <v>500</v>
      </c>
      <c r="L1704" s="1">
        <v>37500</v>
      </c>
      <c r="M1704" s="1" t="s">
        <v>2481</v>
      </c>
      <c r="N1704" s="1" t="s">
        <v>1440</v>
      </c>
      <c r="O1704" s="1">
        <v>0</v>
      </c>
      <c r="P1704" s="1" t="s">
        <v>2059</v>
      </c>
      <c r="Q1704" s="7" t="str">
        <f t="shared" si="43"/>
        <v>equipment/10013.png</v>
      </c>
      <c r="R1704" s="1">
        <v>0</v>
      </c>
    </row>
    <row r="1705" spans="1:18" ht="14.25" thickBot="1">
      <c r="A1705" s="1" t="s">
        <v>1397</v>
      </c>
      <c r="B1705" s="3">
        <v>1</v>
      </c>
      <c r="C1705" s="1" t="s">
        <v>2664</v>
      </c>
      <c r="D1705" s="1" t="s">
        <v>17</v>
      </c>
      <c r="E1705" s="1">
        <v>10</v>
      </c>
      <c r="F1705" s="1">
        <v>4</v>
      </c>
      <c r="G1705" s="1">
        <v>70</v>
      </c>
      <c r="H1705" s="10">
        <v>0</v>
      </c>
      <c r="I1705" s="1">
        <v>70000</v>
      </c>
      <c r="J1705" s="1">
        <v>50</v>
      </c>
      <c r="K1705" s="1">
        <v>500</v>
      </c>
      <c r="L1705" s="1">
        <v>37500</v>
      </c>
      <c r="M1705" s="1" t="s">
        <v>2482</v>
      </c>
      <c r="N1705" s="1" t="s">
        <v>1440</v>
      </c>
      <c r="O1705" s="1">
        <v>0</v>
      </c>
      <c r="P1705" s="1" t="s">
        <v>2059</v>
      </c>
      <c r="Q1705" s="7" t="str">
        <f t="shared" si="43"/>
        <v>equipment/12014.png</v>
      </c>
      <c r="R1705" s="1">
        <v>0</v>
      </c>
    </row>
    <row r="1706" spans="1:18" ht="14.25" thickBot="1">
      <c r="A1706" s="1" t="s">
        <v>1398</v>
      </c>
      <c r="B1706" s="3">
        <v>1</v>
      </c>
      <c r="C1706" s="9" t="s">
        <v>2650</v>
      </c>
      <c r="D1706" s="1" t="s">
        <v>12</v>
      </c>
      <c r="E1706" s="1">
        <v>5</v>
      </c>
      <c r="F1706" s="1">
        <v>4</v>
      </c>
      <c r="G1706" s="1">
        <v>70</v>
      </c>
      <c r="H1706" s="10" t="s">
        <v>2120</v>
      </c>
      <c r="I1706" s="1">
        <v>70000</v>
      </c>
      <c r="J1706" s="1">
        <v>50</v>
      </c>
      <c r="K1706" s="1">
        <v>500</v>
      </c>
      <c r="L1706" s="1">
        <v>37500</v>
      </c>
      <c r="M1706" s="1" t="s">
        <v>2025</v>
      </c>
      <c r="N1706" s="1" t="s">
        <v>1441</v>
      </c>
      <c r="O1706" s="1">
        <v>0</v>
      </c>
      <c r="P1706" s="1" t="s">
        <v>2059</v>
      </c>
      <c r="Q1706" s="7" t="str">
        <f t="shared" si="43"/>
        <v>equipment/1124.png</v>
      </c>
      <c r="R1706" s="1">
        <v>0</v>
      </c>
    </row>
    <row r="1707" spans="1:18" ht="14.25" thickBot="1">
      <c r="A1707" s="1" t="s">
        <v>1399</v>
      </c>
      <c r="B1707" s="2">
        <v>0</v>
      </c>
      <c r="C1707" s="9" t="s">
        <v>2665</v>
      </c>
      <c r="D1707" s="1" t="s">
        <v>12</v>
      </c>
      <c r="E1707" s="1">
        <v>5</v>
      </c>
      <c r="F1707" s="1">
        <v>4</v>
      </c>
      <c r="G1707" s="1">
        <v>70</v>
      </c>
      <c r="H1707" s="10" t="s">
        <v>2120</v>
      </c>
      <c r="I1707" s="1">
        <v>73000</v>
      </c>
      <c r="J1707" s="1">
        <v>50</v>
      </c>
      <c r="K1707" s="1">
        <v>500</v>
      </c>
      <c r="L1707" s="1">
        <v>40000</v>
      </c>
      <c r="M1707" s="1" t="s">
        <v>2025</v>
      </c>
      <c r="N1707" s="1" t="s">
        <v>1441</v>
      </c>
      <c r="O1707" s="1">
        <v>0</v>
      </c>
      <c r="P1707" s="1" t="s">
        <v>2059</v>
      </c>
      <c r="Q1707" s="7" t="str">
        <f t="shared" si="43"/>
        <v>equipment/1101.png</v>
      </c>
      <c r="R1707" s="1">
        <v>0</v>
      </c>
    </row>
    <row r="1708" spans="1:18" ht="14.25" thickBot="1">
      <c r="A1708" s="1" t="s">
        <v>1400</v>
      </c>
      <c r="B1708" s="3">
        <v>1</v>
      </c>
      <c r="C1708" s="9" t="s">
        <v>2666</v>
      </c>
      <c r="D1708" s="1" t="s">
        <v>13</v>
      </c>
      <c r="E1708" s="1">
        <v>6</v>
      </c>
      <c r="F1708" s="1">
        <v>4</v>
      </c>
      <c r="G1708" s="1">
        <v>70</v>
      </c>
      <c r="H1708" s="10" t="s">
        <v>2120</v>
      </c>
      <c r="I1708" s="1">
        <v>70000</v>
      </c>
      <c r="J1708" s="1">
        <v>50</v>
      </c>
      <c r="K1708" s="1">
        <v>500</v>
      </c>
      <c r="L1708" s="1">
        <v>37500</v>
      </c>
      <c r="M1708" s="1" t="s">
        <v>2007</v>
      </c>
      <c r="N1708" s="1" t="s">
        <v>1441</v>
      </c>
      <c r="O1708" s="1">
        <v>0</v>
      </c>
      <c r="P1708" s="1" t="s">
        <v>2059</v>
      </c>
      <c r="Q1708" s="7" t="str">
        <f t="shared" si="43"/>
        <v>equipment/2118.png</v>
      </c>
      <c r="R1708" s="1">
        <v>0</v>
      </c>
    </row>
    <row r="1709" spans="1:18" ht="14.25" thickBot="1">
      <c r="A1709" s="1" t="s">
        <v>1401</v>
      </c>
      <c r="B1709" s="2">
        <v>0</v>
      </c>
      <c r="C1709" s="9" t="s">
        <v>2667</v>
      </c>
      <c r="D1709" s="1" t="s">
        <v>13</v>
      </c>
      <c r="E1709" s="1">
        <v>6</v>
      </c>
      <c r="F1709" s="1">
        <v>4</v>
      </c>
      <c r="G1709" s="1">
        <v>70</v>
      </c>
      <c r="H1709" s="10" t="s">
        <v>2120</v>
      </c>
      <c r="I1709" s="1">
        <v>73000</v>
      </c>
      <c r="J1709" s="1">
        <v>50</v>
      </c>
      <c r="K1709" s="1">
        <v>500</v>
      </c>
      <c r="L1709" s="1">
        <v>40000</v>
      </c>
      <c r="M1709" s="1" t="s">
        <v>2007</v>
      </c>
      <c r="N1709" s="1" t="s">
        <v>1441</v>
      </c>
      <c r="O1709" s="1">
        <v>0</v>
      </c>
      <c r="P1709" s="1" t="s">
        <v>2059</v>
      </c>
      <c r="Q1709" s="7" t="str">
        <f t="shared" si="43"/>
        <v>equipment/2101.png</v>
      </c>
      <c r="R1709" s="1">
        <v>0</v>
      </c>
    </row>
    <row r="1710" spans="1:18" ht="14.25" thickBot="1">
      <c r="A1710" s="1" t="s">
        <v>1402</v>
      </c>
      <c r="B1710" s="3">
        <v>1</v>
      </c>
      <c r="C1710" s="1" t="s">
        <v>2653</v>
      </c>
      <c r="D1710" s="1" t="s">
        <v>12</v>
      </c>
      <c r="E1710" s="1">
        <v>5</v>
      </c>
      <c r="F1710" s="1">
        <v>4</v>
      </c>
      <c r="G1710" s="1">
        <v>70</v>
      </c>
      <c r="H1710" s="10" t="s">
        <v>2121</v>
      </c>
      <c r="I1710" s="1">
        <v>70000</v>
      </c>
      <c r="J1710" s="1">
        <v>50</v>
      </c>
      <c r="K1710" s="1">
        <v>500</v>
      </c>
      <c r="L1710" s="1">
        <v>37500</v>
      </c>
      <c r="M1710" s="1" t="s">
        <v>2025</v>
      </c>
      <c r="N1710" s="1" t="s">
        <v>1441</v>
      </c>
      <c r="O1710" s="1">
        <v>0</v>
      </c>
      <c r="P1710" s="1" t="s">
        <v>2059</v>
      </c>
      <c r="Q1710" s="7" t="str">
        <f t="shared" si="43"/>
        <v>equipment/1222.png</v>
      </c>
      <c r="R1710" s="1">
        <v>0</v>
      </c>
    </row>
    <row r="1711" spans="1:18" ht="14.25" thickBot="1">
      <c r="A1711" s="1" t="s">
        <v>1403</v>
      </c>
      <c r="B1711" s="2">
        <v>0</v>
      </c>
      <c r="C1711" s="1" t="s">
        <v>2668</v>
      </c>
      <c r="D1711" s="1" t="s">
        <v>12</v>
      </c>
      <c r="E1711" s="1">
        <v>5</v>
      </c>
      <c r="F1711" s="1">
        <v>4</v>
      </c>
      <c r="G1711" s="1">
        <v>70</v>
      </c>
      <c r="H1711" s="10" t="s">
        <v>2121</v>
      </c>
      <c r="I1711" s="1">
        <v>73000</v>
      </c>
      <c r="J1711" s="1">
        <v>50</v>
      </c>
      <c r="K1711" s="1">
        <v>500</v>
      </c>
      <c r="L1711" s="1">
        <v>40000</v>
      </c>
      <c r="M1711" s="1" t="s">
        <v>2025</v>
      </c>
      <c r="N1711" s="1" t="s">
        <v>1441</v>
      </c>
      <c r="O1711" s="1">
        <v>0</v>
      </c>
      <c r="P1711" s="1" t="s">
        <v>2059</v>
      </c>
      <c r="Q1711" s="7" t="str">
        <f t="shared" si="43"/>
        <v>equipment/1201.png</v>
      </c>
      <c r="R1711" s="1">
        <v>0</v>
      </c>
    </row>
    <row r="1712" spans="1:18" ht="14.25" thickBot="1">
      <c r="A1712" s="1" t="s">
        <v>1404</v>
      </c>
      <c r="B1712" s="3">
        <v>1</v>
      </c>
      <c r="C1712" s="9" t="s">
        <v>2669</v>
      </c>
      <c r="D1712" s="1" t="s">
        <v>13</v>
      </c>
      <c r="E1712" s="1">
        <v>6</v>
      </c>
      <c r="F1712" s="1">
        <v>4</v>
      </c>
      <c r="G1712" s="1">
        <v>70</v>
      </c>
      <c r="H1712" s="10" t="s">
        <v>2121</v>
      </c>
      <c r="I1712" s="1">
        <v>70000</v>
      </c>
      <c r="J1712" s="1">
        <v>50</v>
      </c>
      <c r="K1712" s="1">
        <v>500</v>
      </c>
      <c r="L1712" s="1">
        <v>37500</v>
      </c>
      <c r="M1712" s="1" t="s">
        <v>2008</v>
      </c>
      <c r="N1712" s="1" t="s">
        <v>1441</v>
      </c>
      <c r="O1712" s="1">
        <v>0</v>
      </c>
      <c r="P1712" s="1" t="s">
        <v>2059</v>
      </c>
      <c r="Q1712" s="7" t="str">
        <f t="shared" si="43"/>
        <v>equipment/2218.png</v>
      </c>
      <c r="R1712" s="1">
        <v>0</v>
      </c>
    </row>
    <row r="1713" spans="1:18" ht="14.25" thickBot="1">
      <c r="A1713" s="1" t="s">
        <v>1405</v>
      </c>
      <c r="B1713" s="2">
        <v>0</v>
      </c>
      <c r="C1713" s="9" t="s">
        <v>2094</v>
      </c>
      <c r="D1713" s="1" t="s">
        <v>13</v>
      </c>
      <c r="E1713" s="1">
        <v>6</v>
      </c>
      <c r="F1713" s="1">
        <v>4</v>
      </c>
      <c r="G1713" s="1">
        <v>70</v>
      </c>
      <c r="H1713" s="10" t="s">
        <v>2121</v>
      </c>
      <c r="I1713" s="1">
        <v>73000</v>
      </c>
      <c r="J1713" s="1">
        <v>50</v>
      </c>
      <c r="K1713" s="1">
        <v>500</v>
      </c>
      <c r="L1713" s="1">
        <v>40000</v>
      </c>
      <c r="M1713" s="1" t="s">
        <v>2008</v>
      </c>
      <c r="N1713" s="1" t="s">
        <v>1441</v>
      </c>
      <c r="O1713" s="1">
        <v>0</v>
      </c>
      <c r="P1713" s="1" t="s">
        <v>2059</v>
      </c>
      <c r="Q1713" s="7" t="str">
        <f t="shared" si="43"/>
        <v>equipment/2201.png</v>
      </c>
      <c r="R1713" s="1">
        <v>0</v>
      </c>
    </row>
    <row r="1714" spans="1:18" ht="14.25" thickBot="1">
      <c r="A1714" s="1" t="s">
        <v>1406</v>
      </c>
      <c r="B1714" s="3">
        <v>1</v>
      </c>
      <c r="C1714" s="9" t="s">
        <v>2670</v>
      </c>
      <c r="D1714" s="1" t="s">
        <v>12</v>
      </c>
      <c r="E1714" s="1">
        <v>5</v>
      </c>
      <c r="F1714" s="1">
        <v>4</v>
      </c>
      <c r="G1714" s="1">
        <v>70</v>
      </c>
      <c r="H1714" s="10" t="s">
        <v>2122</v>
      </c>
      <c r="I1714" s="1">
        <v>70000</v>
      </c>
      <c r="J1714" s="1">
        <v>50</v>
      </c>
      <c r="K1714" s="1">
        <v>500</v>
      </c>
      <c r="L1714" s="1">
        <v>37500</v>
      </c>
      <c r="M1714" s="1" t="s">
        <v>2025</v>
      </c>
      <c r="N1714" s="1" t="s">
        <v>1441</v>
      </c>
      <c r="O1714" s="1">
        <v>0</v>
      </c>
      <c r="P1714" s="1" t="s">
        <v>2059</v>
      </c>
      <c r="Q1714" s="7" t="str">
        <f t="shared" si="43"/>
        <v>equipment/1324.png</v>
      </c>
      <c r="R1714" s="1">
        <v>0</v>
      </c>
    </row>
    <row r="1715" spans="1:18" ht="14.25" thickBot="1">
      <c r="A1715" s="1" t="s">
        <v>1407</v>
      </c>
      <c r="B1715" s="2">
        <v>0</v>
      </c>
      <c r="C1715" s="9" t="s">
        <v>2671</v>
      </c>
      <c r="D1715" s="1" t="s">
        <v>12</v>
      </c>
      <c r="E1715" s="1">
        <v>5</v>
      </c>
      <c r="F1715" s="1">
        <v>4</v>
      </c>
      <c r="G1715" s="1">
        <v>70</v>
      </c>
      <c r="H1715" s="10" t="s">
        <v>2122</v>
      </c>
      <c r="I1715" s="1">
        <v>73000</v>
      </c>
      <c r="J1715" s="1">
        <v>50</v>
      </c>
      <c r="K1715" s="1">
        <v>500</v>
      </c>
      <c r="L1715" s="1">
        <v>40000</v>
      </c>
      <c r="M1715" s="1" t="s">
        <v>2025</v>
      </c>
      <c r="N1715" s="1" t="s">
        <v>1441</v>
      </c>
      <c r="O1715" s="1">
        <v>0</v>
      </c>
      <c r="P1715" s="1" t="s">
        <v>2059</v>
      </c>
      <c r="Q1715" s="7" t="str">
        <f t="shared" si="43"/>
        <v>equipment/1301.png</v>
      </c>
      <c r="R1715" s="1">
        <v>0</v>
      </c>
    </row>
    <row r="1716" spans="1:18" ht="14.25" thickBot="1">
      <c r="A1716" s="1" t="s">
        <v>1408</v>
      </c>
      <c r="B1716" s="3">
        <v>1</v>
      </c>
      <c r="C1716" s="9" t="s">
        <v>2672</v>
      </c>
      <c r="D1716" s="1" t="s">
        <v>13</v>
      </c>
      <c r="E1716" s="1">
        <v>6</v>
      </c>
      <c r="F1716" s="1">
        <v>4</v>
      </c>
      <c r="G1716" s="1">
        <v>70</v>
      </c>
      <c r="H1716" s="10" t="s">
        <v>2122</v>
      </c>
      <c r="I1716" s="1">
        <v>70000</v>
      </c>
      <c r="J1716" s="1">
        <v>50</v>
      </c>
      <c r="K1716" s="1">
        <v>500</v>
      </c>
      <c r="L1716" s="1">
        <v>37500</v>
      </c>
      <c r="M1716" s="1" t="s">
        <v>2009</v>
      </c>
      <c r="N1716" s="1" t="s">
        <v>1441</v>
      </c>
      <c r="O1716" s="1">
        <v>0</v>
      </c>
      <c r="P1716" s="1" t="s">
        <v>2059</v>
      </c>
      <c r="Q1716" s="7" t="str">
        <f t="shared" si="43"/>
        <v>equipment/2318.png</v>
      </c>
      <c r="R1716" s="1">
        <v>0</v>
      </c>
    </row>
    <row r="1717" spans="1:18" ht="14.25" thickBot="1">
      <c r="A1717" s="1" t="s">
        <v>1409</v>
      </c>
      <c r="B1717" s="2">
        <v>0</v>
      </c>
      <c r="C1717" s="9" t="s">
        <v>2673</v>
      </c>
      <c r="D1717" s="1" t="s">
        <v>13</v>
      </c>
      <c r="E1717" s="1">
        <v>6</v>
      </c>
      <c r="F1717" s="1">
        <v>4</v>
      </c>
      <c r="G1717" s="1">
        <v>70</v>
      </c>
      <c r="H1717" s="10" t="s">
        <v>2122</v>
      </c>
      <c r="I1717" s="1">
        <v>73000</v>
      </c>
      <c r="J1717" s="1">
        <v>50</v>
      </c>
      <c r="K1717" s="1">
        <v>500</v>
      </c>
      <c r="L1717" s="1">
        <v>40000</v>
      </c>
      <c r="M1717" s="1" t="s">
        <v>2009</v>
      </c>
      <c r="N1717" s="1" t="s">
        <v>1441</v>
      </c>
      <c r="O1717" s="1">
        <v>0</v>
      </c>
      <c r="P1717" s="1" t="s">
        <v>2059</v>
      </c>
      <c r="Q1717" s="7" t="str">
        <f t="shared" si="43"/>
        <v>equipment/2301.png</v>
      </c>
      <c r="R1717" s="1">
        <v>0</v>
      </c>
    </row>
    <row r="1718" spans="1:18" ht="14.25" thickBot="1">
      <c r="A1718" s="1" t="s">
        <v>1410</v>
      </c>
      <c r="B1718" s="3">
        <v>1</v>
      </c>
      <c r="C1718" s="1" t="s">
        <v>2674</v>
      </c>
      <c r="D1718" s="1" t="s">
        <v>11</v>
      </c>
      <c r="E1718" s="1">
        <v>4</v>
      </c>
      <c r="F1718" s="1">
        <v>4</v>
      </c>
      <c r="G1718" s="1">
        <v>70</v>
      </c>
      <c r="H1718" s="10">
        <v>0</v>
      </c>
      <c r="I1718" s="1">
        <v>70000</v>
      </c>
      <c r="J1718" s="1">
        <v>50</v>
      </c>
      <c r="K1718" s="1">
        <v>500</v>
      </c>
      <c r="L1718" s="1">
        <v>37500</v>
      </c>
      <c r="M1718" s="1" t="s">
        <v>2483</v>
      </c>
      <c r="N1718" s="1" t="s">
        <v>1440</v>
      </c>
      <c r="O1718" s="1">
        <v>0</v>
      </c>
      <c r="P1718" s="1" t="s">
        <v>2059</v>
      </c>
      <c r="Q1718" s="7" t="str">
        <f t="shared" si="43"/>
        <v>equipment/5018.png</v>
      </c>
      <c r="R1718" s="1">
        <v>0</v>
      </c>
    </row>
    <row r="1719" spans="1:18" ht="14.25" thickBot="1">
      <c r="A1719" s="1" t="s">
        <v>1411</v>
      </c>
      <c r="B1719" s="2">
        <v>0</v>
      </c>
      <c r="C1719" s="1" t="s">
        <v>2675</v>
      </c>
      <c r="D1719" s="1" t="s">
        <v>11</v>
      </c>
      <c r="E1719" s="1">
        <v>4</v>
      </c>
      <c r="F1719" s="1">
        <v>4</v>
      </c>
      <c r="G1719" s="1">
        <v>70</v>
      </c>
      <c r="H1719" s="10">
        <v>0</v>
      </c>
      <c r="I1719" s="1">
        <v>73000</v>
      </c>
      <c r="J1719" s="1">
        <v>50</v>
      </c>
      <c r="K1719" s="1">
        <v>500</v>
      </c>
      <c r="L1719" s="1">
        <v>40000</v>
      </c>
      <c r="M1719" s="1" t="s">
        <v>1811</v>
      </c>
      <c r="N1719" s="1" t="s">
        <v>1440</v>
      </c>
      <c r="O1719" s="1">
        <v>0</v>
      </c>
      <c r="P1719" s="1" t="s">
        <v>2059</v>
      </c>
      <c r="Q1719" s="7" t="str">
        <f t="shared" si="43"/>
        <v>equipment/5001.png</v>
      </c>
      <c r="R1719" s="1">
        <v>0</v>
      </c>
    </row>
    <row r="1720" spans="1:18" ht="14.25" thickBot="1">
      <c r="A1720" s="1" t="s">
        <v>1412</v>
      </c>
      <c r="B1720" s="3">
        <v>1</v>
      </c>
      <c r="C1720" s="1" t="s">
        <v>2676</v>
      </c>
      <c r="D1720" s="1" t="s">
        <v>14</v>
      </c>
      <c r="E1720" s="1">
        <v>7</v>
      </c>
      <c r="F1720" s="1">
        <v>4</v>
      </c>
      <c r="G1720" s="1">
        <v>70</v>
      </c>
      <c r="H1720" s="10">
        <v>0</v>
      </c>
      <c r="I1720" s="1">
        <v>70000</v>
      </c>
      <c r="J1720" s="1">
        <v>50</v>
      </c>
      <c r="K1720" s="1">
        <v>500</v>
      </c>
      <c r="L1720" s="1">
        <v>37500</v>
      </c>
      <c r="M1720" s="1" t="s">
        <v>2483</v>
      </c>
      <c r="N1720" s="1" t="s">
        <v>1440</v>
      </c>
      <c r="O1720" s="1">
        <v>0</v>
      </c>
      <c r="P1720" s="1" t="s">
        <v>2059</v>
      </c>
      <c r="Q1720" s="7" t="str">
        <f t="shared" si="43"/>
        <v>equipment/7018.png</v>
      </c>
      <c r="R1720" s="1">
        <v>0</v>
      </c>
    </row>
    <row r="1721" spans="1:18" ht="14.25" thickBot="1">
      <c r="A1721" s="1" t="s">
        <v>1413</v>
      </c>
      <c r="B1721" s="2">
        <v>0</v>
      </c>
      <c r="C1721" s="1" t="s">
        <v>2677</v>
      </c>
      <c r="D1721" s="1" t="s">
        <v>14</v>
      </c>
      <c r="E1721" s="1">
        <v>7</v>
      </c>
      <c r="F1721" s="1">
        <v>4</v>
      </c>
      <c r="G1721" s="1">
        <v>70</v>
      </c>
      <c r="H1721" s="10">
        <v>0</v>
      </c>
      <c r="I1721" s="1">
        <v>73000</v>
      </c>
      <c r="J1721" s="1">
        <v>50</v>
      </c>
      <c r="K1721" s="1">
        <v>500</v>
      </c>
      <c r="L1721" s="1">
        <v>40000</v>
      </c>
      <c r="M1721" s="1" t="s">
        <v>1811</v>
      </c>
      <c r="N1721" s="1" t="s">
        <v>1440</v>
      </c>
      <c r="O1721" s="1">
        <v>0</v>
      </c>
      <c r="P1721" s="1" t="s">
        <v>2059</v>
      </c>
      <c r="Q1721" s="7" t="str">
        <f t="shared" si="43"/>
        <v>equipment/7001.png</v>
      </c>
      <c r="R1721" s="1">
        <v>0</v>
      </c>
    </row>
    <row r="1722" spans="1:18" ht="14.25" thickBot="1">
      <c r="A1722" s="1">
        <v>40750010</v>
      </c>
      <c r="B1722" s="3">
        <f>B1260</f>
        <v>1</v>
      </c>
      <c r="C1722" s="1" t="s">
        <v>2678</v>
      </c>
      <c r="D1722" s="1" t="s">
        <v>8</v>
      </c>
      <c r="E1722" s="1">
        <v>1</v>
      </c>
      <c r="F1722" s="1">
        <v>4</v>
      </c>
      <c r="G1722" s="1">
        <v>75</v>
      </c>
      <c r="H1722" s="10">
        <v>0</v>
      </c>
      <c r="I1722" s="1">
        <f>I336*10</f>
        <v>76000</v>
      </c>
      <c r="J1722" s="1">
        <v>50</v>
      </c>
      <c r="K1722" s="1">
        <v>500</v>
      </c>
      <c r="L1722" s="1">
        <v>40000</v>
      </c>
      <c r="M1722" s="1" t="str">
        <f>M1260</f>
        <v>106_2633_2633</v>
      </c>
      <c r="N1722" s="1" t="s">
        <v>2440</v>
      </c>
      <c r="O1722" s="1">
        <v>0</v>
      </c>
      <c r="P1722" s="1" t="s">
        <v>2059</v>
      </c>
      <c r="Q1722" s="7" t="str">
        <f t="shared" si="43"/>
        <v>equipment/3013.png</v>
      </c>
      <c r="R1722" s="1">
        <v>0</v>
      </c>
    </row>
    <row r="1723" spans="1:18" ht="14.25" thickBot="1">
      <c r="A1723" s="1">
        <v>40750020</v>
      </c>
      <c r="B1723" s="3">
        <f t="shared" ref="B1723:B1786" si="44">B1261</f>
        <v>1</v>
      </c>
      <c r="C1723" s="1" t="s">
        <v>2679</v>
      </c>
      <c r="D1723" s="1" t="s">
        <v>9</v>
      </c>
      <c r="E1723" s="1">
        <v>2</v>
      </c>
      <c r="F1723" s="1">
        <v>4</v>
      </c>
      <c r="G1723" s="1">
        <v>75</v>
      </c>
      <c r="H1723" s="10">
        <v>0</v>
      </c>
      <c r="I1723" s="1">
        <f t="shared" ref="I1723:I1786" si="45">I337*10</f>
        <v>76000</v>
      </c>
      <c r="J1723" s="1">
        <v>50</v>
      </c>
      <c r="K1723" s="1">
        <v>500</v>
      </c>
      <c r="L1723" s="1">
        <v>40000</v>
      </c>
      <c r="M1723" s="1" t="str">
        <f t="shared" ref="M1723:M1786" si="46">M1261</f>
        <v>102_1760_1760</v>
      </c>
      <c r="N1723" s="1" t="s">
        <v>2440</v>
      </c>
      <c r="O1723" s="1">
        <v>0</v>
      </c>
      <c r="P1723" s="1" t="s">
        <v>2059</v>
      </c>
      <c r="Q1723" s="7" t="str">
        <f t="shared" si="43"/>
        <v>equipment/14013.png</v>
      </c>
      <c r="R1723" s="1">
        <v>0</v>
      </c>
    </row>
    <row r="1724" spans="1:18" ht="14.25" thickBot="1">
      <c r="A1724" s="1">
        <v>40750030</v>
      </c>
      <c r="B1724" s="3">
        <f t="shared" si="44"/>
        <v>1</v>
      </c>
      <c r="C1724" s="1" t="s">
        <v>2680</v>
      </c>
      <c r="D1724" s="1" t="s">
        <v>10</v>
      </c>
      <c r="E1724" s="1">
        <v>3</v>
      </c>
      <c r="F1724" s="1">
        <v>4</v>
      </c>
      <c r="G1724" s="1">
        <v>75</v>
      </c>
      <c r="H1724" s="10">
        <v>0</v>
      </c>
      <c r="I1724" s="1">
        <f t="shared" si="45"/>
        <v>76000</v>
      </c>
      <c r="J1724" s="1">
        <v>50</v>
      </c>
      <c r="K1724" s="1">
        <v>500</v>
      </c>
      <c r="L1724" s="1">
        <v>40000</v>
      </c>
      <c r="M1724" s="1" t="str">
        <f t="shared" si="46"/>
        <v>101_21600_21600</v>
      </c>
      <c r="N1724" s="1" t="s">
        <v>2440</v>
      </c>
      <c r="O1724" s="1">
        <v>0</v>
      </c>
      <c r="P1724" s="1" t="s">
        <v>2059</v>
      </c>
      <c r="Q1724" s="7" t="str">
        <f t="shared" si="43"/>
        <v>equipment/6014.png</v>
      </c>
      <c r="R1724" s="1">
        <v>0</v>
      </c>
    </row>
    <row r="1725" spans="1:18" ht="14.25" thickBot="1">
      <c r="A1725" s="1">
        <v>40750080</v>
      </c>
      <c r="B1725" s="3">
        <f t="shared" si="44"/>
        <v>1</v>
      </c>
      <c r="C1725" s="1" t="s">
        <v>2681</v>
      </c>
      <c r="D1725" s="1" t="s">
        <v>15</v>
      </c>
      <c r="E1725" s="1">
        <v>8</v>
      </c>
      <c r="F1725" s="1">
        <v>4</v>
      </c>
      <c r="G1725" s="1">
        <v>75</v>
      </c>
      <c r="H1725" s="10">
        <v>0</v>
      </c>
      <c r="I1725" s="1">
        <f t="shared" si="45"/>
        <v>76000</v>
      </c>
      <c r="J1725" s="1">
        <v>50</v>
      </c>
      <c r="K1725" s="1">
        <v>500</v>
      </c>
      <c r="L1725" s="1">
        <v>40000</v>
      </c>
      <c r="M1725" s="1" t="str">
        <f t="shared" si="46"/>
        <v>110_515_515</v>
      </c>
      <c r="N1725" s="1" t="s">
        <v>2440</v>
      </c>
      <c r="O1725" s="1">
        <v>0</v>
      </c>
      <c r="P1725" s="1" t="s">
        <v>2059</v>
      </c>
      <c r="Q1725" s="7" t="str">
        <f t="shared" si="43"/>
        <v>equipment/8014.png</v>
      </c>
      <c r="R1725" s="1">
        <v>0</v>
      </c>
    </row>
    <row r="1726" spans="1:18" ht="14.25" thickBot="1">
      <c r="A1726" s="1">
        <v>40750090</v>
      </c>
      <c r="B1726" s="3">
        <f t="shared" si="44"/>
        <v>1</v>
      </c>
      <c r="C1726" s="1" t="s">
        <v>2682</v>
      </c>
      <c r="D1726" s="1" t="s">
        <v>16</v>
      </c>
      <c r="E1726" s="1">
        <v>9</v>
      </c>
      <c r="F1726" s="1">
        <v>4</v>
      </c>
      <c r="G1726" s="1">
        <v>75</v>
      </c>
      <c r="H1726" s="10">
        <v>0</v>
      </c>
      <c r="I1726" s="1">
        <f t="shared" si="45"/>
        <v>76000</v>
      </c>
      <c r="J1726" s="1">
        <v>50</v>
      </c>
      <c r="K1726" s="1">
        <v>500</v>
      </c>
      <c r="L1726" s="1">
        <v>40000</v>
      </c>
      <c r="M1726" s="1" t="str">
        <f t="shared" si="46"/>
        <v>108_4631_4631</v>
      </c>
      <c r="N1726" s="1" t="s">
        <v>2440</v>
      </c>
      <c r="O1726" s="1">
        <v>0</v>
      </c>
      <c r="P1726" s="1" t="s">
        <v>2059</v>
      </c>
      <c r="Q1726" s="7" t="str">
        <f t="shared" si="43"/>
        <v>equipment/10012.png</v>
      </c>
      <c r="R1726" s="1">
        <v>0</v>
      </c>
    </row>
    <row r="1727" spans="1:18" ht="14.25" thickBot="1">
      <c r="A1727" s="1">
        <v>40750100</v>
      </c>
      <c r="B1727" s="3">
        <f t="shared" si="44"/>
        <v>1</v>
      </c>
      <c r="C1727" s="1" t="s">
        <v>2683</v>
      </c>
      <c r="D1727" s="1" t="s">
        <v>17</v>
      </c>
      <c r="E1727" s="1">
        <v>10</v>
      </c>
      <c r="F1727" s="1">
        <v>4</v>
      </c>
      <c r="G1727" s="1">
        <v>75</v>
      </c>
      <c r="H1727" s="10">
        <v>0</v>
      </c>
      <c r="I1727" s="1">
        <f t="shared" si="45"/>
        <v>76000</v>
      </c>
      <c r="J1727" s="1">
        <v>50</v>
      </c>
      <c r="K1727" s="1">
        <v>500</v>
      </c>
      <c r="L1727" s="1">
        <v>40000</v>
      </c>
      <c r="M1727" s="1" t="str">
        <f t="shared" si="46"/>
        <v>107_2633_2633</v>
      </c>
      <c r="N1727" s="1" t="s">
        <v>2440</v>
      </c>
      <c r="O1727" s="1">
        <v>0</v>
      </c>
      <c r="P1727" s="1" t="s">
        <v>2059</v>
      </c>
      <c r="Q1727" s="7" t="str">
        <f t="shared" si="43"/>
        <v>equipment/12013.png</v>
      </c>
      <c r="R1727" s="1">
        <v>0</v>
      </c>
    </row>
    <row r="1728" spans="1:18" ht="14.25" thickBot="1">
      <c r="A1728" s="1">
        <v>40751050</v>
      </c>
      <c r="B1728" s="3">
        <f t="shared" si="44"/>
        <v>1</v>
      </c>
      <c r="C1728" s="9" t="s">
        <v>2684</v>
      </c>
      <c r="D1728" s="1" t="s">
        <v>12</v>
      </c>
      <c r="E1728" s="1">
        <v>5</v>
      </c>
      <c r="F1728" s="1">
        <v>4</v>
      </c>
      <c r="G1728" s="1">
        <v>75</v>
      </c>
      <c r="H1728" s="10" t="s">
        <v>2120</v>
      </c>
      <c r="I1728" s="1">
        <f t="shared" si="45"/>
        <v>76000</v>
      </c>
      <c r="J1728" s="1">
        <v>50</v>
      </c>
      <c r="K1728" s="1">
        <v>500</v>
      </c>
      <c r="L1728" s="1">
        <v>40000</v>
      </c>
      <c r="M1728" s="1" t="str">
        <f t="shared" si="46"/>
        <v>103_3811_3811,104_7622_7622</v>
      </c>
      <c r="N1728" s="1" t="s">
        <v>2441</v>
      </c>
      <c r="O1728" s="1">
        <v>0</v>
      </c>
      <c r="P1728" s="1" t="s">
        <v>2059</v>
      </c>
      <c r="Q1728" s="7" t="str">
        <f t="shared" si="43"/>
        <v>equipment/1126.png</v>
      </c>
      <c r="R1728" s="1">
        <v>0</v>
      </c>
    </row>
    <row r="1729" spans="1:18" ht="14.25" thickBot="1">
      <c r="A1729" s="1">
        <v>40751051</v>
      </c>
      <c r="B1729" s="3">
        <f t="shared" si="44"/>
        <v>1</v>
      </c>
      <c r="C1729" s="9" t="s">
        <v>2685</v>
      </c>
      <c r="D1729" s="1" t="s">
        <v>12</v>
      </c>
      <c r="E1729" s="1">
        <v>5</v>
      </c>
      <c r="F1729" s="1">
        <v>4</v>
      </c>
      <c r="G1729" s="1">
        <v>75</v>
      </c>
      <c r="H1729" s="10" t="s">
        <v>2120</v>
      </c>
      <c r="I1729" s="1">
        <f t="shared" si="45"/>
        <v>79000</v>
      </c>
      <c r="J1729" s="1">
        <v>50</v>
      </c>
      <c r="K1729" s="1">
        <v>500</v>
      </c>
      <c r="L1729" s="1">
        <v>42500</v>
      </c>
      <c r="M1729" s="1" t="str">
        <f t="shared" si="46"/>
        <v>103_4019_4019,104_8038_8038</v>
      </c>
      <c r="N1729" s="1" t="s">
        <v>2441</v>
      </c>
      <c r="O1729" s="1">
        <v>0</v>
      </c>
      <c r="P1729" s="1" t="s">
        <v>2059</v>
      </c>
      <c r="Q1729" s="7" t="str">
        <f t="shared" si="43"/>
        <v>equipment/1127.png</v>
      </c>
      <c r="R1729" s="1">
        <v>0</v>
      </c>
    </row>
    <row r="1730" spans="1:18" ht="14.25" thickBot="1">
      <c r="A1730" s="1">
        <v>40751060</v>
      </c>
      <c r="B1730" s="3">
        <f t="shared" si="44"/>
        <v>1</v>
      </c>
      <c r="C1730" s="9" t="s">
        <v>2686</v>
      </c>
      <c r="D1730" s="1" t="s">
        <v>13</v>
      </c>
      <c r="E1730" s="1">
        <v>6</v>
      </c>
      <c r="F1730" s="1">
        <v>4</v>
      </c>
      <c r="G1730" s="1">
        <v>75</v>
      </c>
      <c r="H1730" s="10" t="s">
        <v>2120</v>
      </c>
      <c r="I1730" s="1">
        <f t="shared" si="45"/>
        <v>76000</v>
      </c>
      <c r="J1730" s="1">
        <v>50</v>
      </c>
      <c r="K1730" s="1">
        <v>500</v>
      </c>
      <c r="L1730" s="1">
        <v>40000</v>
      </c>
      <c r="M1730" s="1" t="str">
        <f t="shared" si="46"/>
        <v>105_3945_3945</v>
      </c>
      <c r="N1730" s="1" t="s">
        <v>2441</v>
      </c>
      <c r="O1730" s="1">
        <v>0</v>
      </c>
      <c r="P1730" s="1" t="s">
        <v>2059</v>
      </c>
      <c r="Q1730" s="7" t="str">
        <f t="shared" si="43"/>
        <v>equipment/2121.png</v>
      </c>
      <c r="R1730" s="1">
        <v>0</v>
      </c>
    </row>
    <row r="1731" spans="1:18" ht="14.25" thickBot="1">
      <c r="A1731" s="1">
        <v>40751061</v>
      </c>
      <c r="B1731" s="3">
        <f t="shared" si="44"/>
        <v>1</v>
      </c>
      <c r="C1731" s="9" t="s">
        <v>2687</v>
      </c>
      <c r="D1731" s="1" t="s">
        <v>13</v>
      </c>
      <c r="E1731" s="1">
        <v>6</v>
      </c>
      <c r="F1731" s="1">
        <v>4</v>
      </c>
      <c r="G1731" s="1">
        <v>75</v>
      </c>
      <c r="H1731" s="10" t="s">
        <v>2120</v>
      </c>
      <c r="I1731" s="1">
        <f t="shared" si="45"/>
        <v>79000</v>
      </c>
      <c r="J1731" s="1">
        <v>50</v>
      </c>
      <c r="K1731" s="1">
        <v>500</v>
      </c>
      <c r="L1731" s="1">
        <v>42500</v>
      </c>
      <c r="M1731" s="1" t="str">
        <f t="shared" si="46"/>
        <v>105_4082_4082</v>
      </c>
      <c r="N1731" s="1" t="s">
        <v>2441</v>
      </c>
      <c r="O1731" s="1">
        <v>0</v>
      </c>
      <c r="P1731" s="1" t="s">
        <v>2059</v>
      </c>
      <c r="Q1731" s="7" t="str">
        <f t="shared" si="43"/>
        <v>equipment/2123.png</v>
      </c>
      <c r="R1731" s="1">
        <v>0</v>
      </c>
    </row>
    <row r="1732" spans="1:18" ht="14.25" thickBot="1">
      <c r="A1732" s="1">
        <v>40752050</v>
      </c>
      <c r="B1732" s="3">
        <f t="shared" si="44"/>
        <v>1</v>
      </c>
      <c r="C1732" s="1" t="s">
        <v>2688</v>
      </c>
      <c r="D1732" s="1" t="s">
        <v>12</v>
      </c>
      <c r="E1732" s="1">
        <v>5</v>
      </c>
      <c r="F1732" s="1">
        <v>4</v>
      </c>
      <c r="G1732" s="1">
        <v>75</v>
      </c>
      <c r="H1732" s="10" t="s">
        <v>2121</v>
      </c>
      <c r="I1732" s="1">
        <f t="shared" si="45"/>
        <v>76000</v>
      </c>
      <c r="J1732" s="1">
        <v>50</v>
      </c>
      <c r="K1732" s="1">
        <v>500</v>
      </c>
      <c r="L1732" s="1">
        <v>40000</v>
      </c>
      <c r="M1732" s="1" t="str">
        <f t="shared" si="46"/>
        <v>103_3811_3811,104_7622_7622</v>
      </c>
      <c r="N1732" s="1" t="s">
        <v>2441</v>
      </c>
      <c r="O1732" s="1">
        <v>0</v>
      </c>
      <c r="P1732" s="1" t="s">
        <v>2059</v>
      </c>
      <c r="Q1732" s="7" t="str">
        <f t="shared" si="43"/>
        <v>equipment/1225.png</v>
      </c>
      <c r="R1732" s="1">
        <v>0</v>
      </c>
    </row>
    <row r="1733" spans="1:18" ht="14.25" thickBot="1">
      <c r="A1733" s="1">
        <v>40752051</v>
      </c>
      <c r="B1733" s="3">
        <f t="shared" si="44"/>
        <v>1</v>
      </c>
      <c r="C1733" s="1" t="s">
        <v>2689</v>
      </c>
      <c r="D1733" s="1" t="s">
        <v>12</v>
      </c>
      <c r="E1733" s="1">
        <v>5</v>
      </c>
      <c r="F1733" s="1">
        <v>4</v>
      </c>
      <c r="G1733" s="1">
        <v>75</v>
      </c>
      <c r="H1733" s="10" t="s">
        <v>2121</v>
      </c>
      <c r="I1733" s="1">
        <f t="shared" si="45"/>
        <v>79000</v>
      </c>
      <c r="J1733" s="1">
        <v>50</v>
      </c>
      <c r="K1733" s="1">
        <v>500</v>
      </c>
      <c r="L1733" s="1">
        <v>42500</v>
      </c>
      <c r="M1733" s="1" t="str">
        <f t="shared" si="46"/>
        <v>103_4019_4019,104_8038_8038</v>
      </c>
      <c r="N1733" s="1" t="s">
        <v>2441</v>
      </c>
      <c r="O1733" s="1">
        <v>0</v>
      </c>
      <c r="P1733" s="1" t="s">
        <v>2059</v>
      </c>
      <c r="Q1733" s="7" t="str">
        <f t="shared" si="43"/>
        <v>equipment/1226.png</v>
      </c>
      <c r="R1733" s="1">
        <v>0</v>
      </c>
    </row>
    <row r="1734" spans="1:18" ht="14.25" thickBot="1">
      <c r="A1734" s="1">
        <v>40752060</v>
      </c>
      <c r="B1734" s="3">
        <f t="shared" si="44"/>
        <v>1</v>
      </c>
      <c r="C1734" s="9" t="s">
        <v>2690</v>
      </c>
      <c r="D1734" s="1" t="s">
        <v>13</v>
      </c>
      <c r="E1734" s="1">
        <v>6</v>
      </c>
      <c r="F1734" s="1">
        <v>4</v>
      </c>
      <c r="G1734" s="1">
        <v>75</v>
      </c>
      <c r="H1734" s="10" t="s">
        <v>2121</v>
      </c>
      <c r="I1734" s="1">
        <f t="shared" si="45"/>
        <v>76000</v>
      </c>
      <c r="J1734" s="1">
        <v>50</v>
      </c>
      <c r="K1734" s="1">
        <v>500</v>
      </c>
      <c r="L1734" s="1">
        <v>40000</v>
      </c>
      <c r="M1734" s="1" t="str">
        <f t="shared" si="46"/>
        <v>108_3945_3945</v>
      </c>
      <c r="N1734" s="1" t="s">
        <v>2441</v>
      </c>
      <c r="O1734" s="1">
        <v>0</v>
      </c>
      <c r="P1734" s="1" t="s">
        <v>2059</v>
      </c>
      <c r="Q1734" s="7" t="str">
        <f t="shared" si="43"/>
        <v>equipment/2219.png</v>
      </c>
      <c r="R1734" s="1">
        <v>0</v>
      </c>
    </row>
    <row r="1735" spans="1:18" ht="14.25" thickBot="1">
      <c r="A1735" s="1">
        <v>40752061</v>
      </c>
      <c r="B1735" s="3">
        <f t="shared" si="44"/>
        <v>1</v>
      </c>
      <c r="C1735" s="9" t="s">
        <v>2691</v>
      </c>
      <c r="D1735" s="1" t="s">
        <v>13</v>
      </c>
      <c r="E1735" s="1">
        <v>6</v>
      </c>
      <c r="F1735" s="1">
        <v>4</v>
      </c>
      <c r="G1735" s="1">
        <v>75</v>
      </c>
      <c r="H1735" s="10" t="s">
        <v>2121</v>
      </c>
      <c r="I1735" s="1">
        <f t="shared" si="45"/>
        <v>79000</v>
      </c>
      <c r="J1735" s="1">
        <v>50</v>
      </c>
      <c r="K1735" s="1">
        <v>500</v>
      </c>
      <c r="L1735" s="1">
        <v>42500</v>
      </c>
      <c r="M1735" s="1" t="str">
        <f t="shared" si="46"/>
        <v>108_4082_4082</v>
      </c>
      <c r="N1735" s="1" t="s">
        <v>2441</v>
      </c>
      <c r="O1735" s="1">
        <v>0</v>
      </c>
      <c r="P1735" s="1" t="s">
        <v>2059</v>
      </c>
      <c r="Q1735" s="7" t="str">
        <f t="shared" si="43"/>
        <v>equipment/2220.png</v>
      </c>
      <c r="R1735" s="1">
        <v>0</v>
      </c>
    </row>
    <row r="1736" spans="1:18" ht="14.25" thickBot="1">
      <c r="A1736" s="1">
        <v>40753050</v>
      </c>
      <c r="B1736" s="3">
        <f t="shared" si="44"/>
        <v>1</v>
      </c>
      <c r="C1736" s="9" t="s">
        <v>2692</v>
      </c>
      <c r="D1736" s="1" t="s">
        <v>12</v>
      </c>
      <c r="E1736" s="1">
        <v>5</v>
      </c>
      <c r="F1736" s="1">
        <v>4</v>
      </c>
      <c r="G1736" s="1">
        <v>75</v>
      </c>
      <c r="H1736" s="10" t="s">
        <v>2122</v>
      </c>
      <c r="I1736" s="1">
        <f t="shared" si="45"/>
        <v>76000</v>
      </c>
      <c r="J1736" s="1">
        <v>50</v>
      </c>
      <c r="K1736" s="1">
        <v>500</v>
      </c>
      <c r="L1736" s="1">
        <v>40000</v>
      </c>
      <c r="M1736" s="1" t="str">
        <f t="shared" si="46"/>
        <v>103_3811_3811,104_7622_7622</v>
      </c>
      <c r="N1736" s="1" t="s">
        <v>2441</v>
      </c>
      <c r="O1736" s="1">
        <v>0</v>
      </c>
      <c r="P1736" s="1" t="s">
        <v>2059</v>
      </c>
      <c r="Q1736" s="7" t="str">
        <f t="shared" si="43"/>
        <v>equipment/1326.png</v>
      </c>
      <c r="R1736" s="1">
        <v>0</v>
      </c>
    </row>
    <row r="1737" spans="1:18" ht="14.25" thickBot="1">
      <c r="A1737" s="1">
        <v>40753051</v>
      </c>
      <c r="B1737" s="3">
        <f t="shared" si="44"/>
        <v>1</v>
      </c>
      <c r="C1737" s="9" t="s">
        <v>2693</v>
      </c>
      <c r="D1737" s="1" t="s">
        <v>12</v>
      </c>
      <c r="E1737" s="1">
        <v>5</v>
      </c>
      <c r="F1737" s="1">
        <v>4</v>
      </c>
      <c r="G1737" s="1">
        <v>75</v>
      </c>
      <c r="H1737" s="10" t="s">
        <v>2122</v>
      </c>
      <c r="I1737" s="1">
        <f t="shared" si="45"/>
        <v>79000</v>
      </c>
      <c r="J1737" s="1">
        <v>50</v>
      </c>
      <c r="K1737" s="1">
        <v>500</v>
      </c>
      <c r="L1737" s="1">
        <v>42500</v>
      </c>
      <c r="M1737" s="1" t="str">
        <f t="shared" si="46"/>
        <v>103_4019_4019,104_8038_8038</v>
      </c>
      <c r="N1737" s="1" t="s">
        <v>2441</v>
      </c>
      <c r="O1737" s="1">
        <v>0</v>
      </c>
      <c r="P1737" s="1" t="s">
        <v>2059</v>
      </c>
      <c r="Q1737" s="7" t="str">
        <f t="shared" si="43"/>
        <v>equipment/1325.png</v>
      </c>
      <c r="R1737" s="1">
        <v>0</v>
      </c>
    </row>
    <row r="1738" spans="1:18" ht="14.25" thickBot="1">
      <c r="A1738" s="1">
        <v>40753060</v>
      </c>
      <c r="B1738" s="3">
        <f t="shared" si="44"/>
        <v>1</v>
      </c>
      <c r="C1738" s="9" t="s">
        <v>2694</v>
      </c>
      <c r="D1738" s="1" t="s">
        <v>13</v>
      </c>
      <c r="E1738" s="1">
        <v>6</v>
      </c>
      <c r="F1738" s="1">
        <v>4</v>
      </c>
      <c r="G1738" s="1">
        <v>75</v>
      </c>
      <c r="H1738" s="10" t="s">
        <v>2122</v>
      </c>
      <c r="I1738" s="1">
        <f t="shared" si="45"/>
        <v>76000</v>
      </c>
      <c r="J1738" s="1">
        <v>50</v>
      </c>
      <c r="K1738" s="1">
        <v>500</v>
      </c>
      <c r="L1738" s="1">
        <v>40000</v>
      </c>
      <c r="M1738" s="1" t="str">
        <f t="shared" si="46"/>
        <v>102_3350_3350</v>
      </c>
      <c r="N1738" s="1" t="s">
        <v>2441</v>
      </c>
      <c r="O1738" s="1">
        <v>0</v>
      </c>
      <c r="P1738" s="1" t="s">
        <v>2059</v>
      </c>
      <c r="Q1738" s="7" t="str">
        <f t="shared" si="43"/>
        <v>equipment/2319.png</v>
      </c>
      <c r="R1738" s="1">
        <v>0</v>
      </c>
    </row>
    <row r="1739" spans="1:18" ht="14.25" thickBot="1">
      <c r="A1739" s="1">
        <v>40753061</v>
      </c>
      <c r="B1739" s="3">
        <f t="shared" si="44"/>
        <v>1</v>
      </c>
      <c r="C1739" s="9" t="s">
        <v>2695</v>
      </c>
      <c r="D1739" s="1" t="s">
        <v>13</v>
      </c>
      <c r="E1739" s="1">
        <v>6</v>
      </c>
      <c r="F1739" s="1">
        <v>4</v>
      </c>
      <c r="G1739" s="1">
        <v>75</v>
      </c>
      <c r="H1739" s="10" t="s">
        <v>2122</v>
      </c>
      <c r="I1739" s="1">
        <f t="shared" si="45"/>
        <v>79000</v>
      </c>
      <c r="J1739" s="1">
        <v>50</v>
      </c>
      <c r="K1739" s="1">
        <v>500</v>
      </c>
      <c r="L1739" s="1">
        <v>42500</v>
      </c>
      <c r="M1739" s="1" t="str">
        <f t="shared" si="46"/>
        <v>102_3450_3450</v>
      </c>
      <c r="N1739" s="1" t="s">
        <v>2441</v>
      </c>
      <c r="O1739" s="1">
        <v>0</v>
      </c>
      <c r="P1739" s="1" t="s">
        <v>2059</v>
      </c>
      <c r="Q1739" s="7" t="str">
        <f t="shared" si="43"/>
        <v>equipment/2321.png</v>
      </c>
      <c r="R1739" s="1">
        <v>0</v>
      </c>
    </row>
    <row r="1740" spans="1:18" ht="14.25" thickBot="1">
      <c r="A1740" s="1">
        <v>40750040</v>
      </c>
      <c r="B1740" s="3">
        <f t="shared" si="44"/>
        <v>1</v>
      </c>
      <c r="C1740" s="1" t="s">
        <v>2696</v>
      </c>
      <c r="D1740" s="1" t="s">
        <v>11</v>
      </c>
      <c r="E1740" s="1">
        <v>4</v>
      </c>
      <c r="F1740" s="1">
        <v>4</v>
      </c>
      <c r="G1740" s="1">
        <v>75</v>
      </c>
      <c r="H1740" s="10">
        <v>0</v>
      </c>
      <c r="I1740" s="1">
        <f t="shared" si="45"/>
        <v>76000</v>
      </c>
      <c r="J1740" s="1">
        <v>50</v>
      </c>
      <c r="K1740" s="1">
        <v>500</v>
      </c>
      <c r="L1740" s="1">
        <v>40000</v>
      </c>
      <c r="M1740" s="1" t="str">
        <f t="shared" si="46"/>
        <v>105_2195_2195</v>
      </c>
      <c r="N1740" s="1" t="s">
        <v>2440</v>
      </c>
      <c r="O1740" s="1">
        <v>0</v>
      </c>
      <c r="P1740" s="1" t="s">
        <v>2059</v>
      </c>
      <c r="Q1740" s="7" t="str">
        <f t="shared" si="43"/>
        <v>equipment/5019.png</v>
      </c>
      <c r="R1740" s="1">
        <v>0</v>
      </c>
    </row>
    <row r="1741" spans="1:18" ht="14.25" thickBot="1">
      <c r="A1741" s="1">
        <v>40750041</v>
      </c>
      <c r="B1741" s="3">
        <f t="shared" si="44"/>
        <v>1</v>
      </c>
      <c r="C1741" s="1" t="s">
        <v>2697</v>
      </c>
      <c r="D1741" s="1" t="s">
        <v>11</v>
      </c>
      <c r="E1741" s="1">
        <v>4</v>
      </c>
      <c r="F1741" s="1">
        <v>4</v>
      </c>
      <c r="G1741" s="1">
        <v>75</v>
      </c>
      <c r="H1741" s="10">
        <v>0</v>
      </c>
      <c r="I1741" s="1">
        <f t="shared" si="45"/>
        <v>79000</v>
      </c>
      <c r="J1741" s="1">
        <v>50</v>
      </c>
      <c r="K1741" s="1">
        <v>500</v>
      </c>
      <c r="L1741" s="1">
        <v>42500</v>
      </c>
      <c r="M1741" s="1" t="str">
        <f t="shared" si="46"/>
        <v>105_2346_2346</v>
      </c>
      <c r="N1741" s="1" t="s">
        <v>2440</v>
      </c>
      <c r="O1741" s="1">
        <v>0</v>
      </c>
      <c r="P1741" s="1" t="s">
        <v>2059</v>
      </c>
      <c r="Q1741" s="7" t="str">
        <f t="shared" si="43"/>
        <v>equipment/5020.png</v>
      </c>
      <c r="R1741" s="1">
        <v>0</v>
      </c>
    </row>
    <row r="1742" spans="1:18" ht="14.25" thickBot="1">
      <c r="A1742" s="1">
        <v>40750070</v>
      </c>
      <c r="B1742" s="3">
        <f t="shared" si="44"/>
        <v>1</v>
      </c>
      <c r="C1742" s="1" t="s">
        <v>2698</v>
      </c>
      <c r="D1742" s="1" t="s">
        <v>14</v>
      </c>
      <c r="E1742" s="1">
        <v>7</v>
      </c>
      <c r="F1742" s="1">
        <v>4</v>
      </c>
      <c r="G1742" s="1">
        <v>75</v>
      </c>
      <c r="H1742" s="10">
        <v>0</v>
      </c>
      <c r="I1742" s="1">
        <f t="shared" si="45"/>
        <v>76000</v>
      </c>
      <c r="J1742" s="1">
        <v>50</v>
      </c>
      <c r="K1742" s="1">
        <v>500</v>
      </c>
      <c r="L1742" s="1">
        <v>40000</v>
      </c>
      <c r="M1742" s="1" t="str">
        <f t="shared" si="46"/>
        <v>105_2195_2195</v>
      </c>
      <c r="N1742" s="1" t="s">
        <v>2440</v>
      </c>
      <c r="O1742" s="1">
        <v>0</v>
      </c>
      <c r="P1742" s="1" t="s">
        <v>2059</v>
      </c>
      <c r="Q1742" s="7" t="str">
        <f t="shared" si="43"/>
        <v>equipment/7019.png</v>
      </c>
      <c r="R1742" s="1">
        <v>0</v>
      </c>
    </row>
    <row r="1743" spans="1:18" ht="14.25" thickBot="1">
      <c r="A1743" s="1">
        <v>40750071</v>
      </c>
      <c r="B1743" s="3">
        <f t="shared" si="44"/>
        <v>1</v>
      </c>
      <c r="C1743" s="1" t="s">
        <v>2699</v>
      </c>
      <c r="D1743" s="1" t="s">
        <v>14</v>
      </c>
      <c r="E1743" s="1">
        <v>7</v>
      </c>
      <c r="F1743" s="1">
        <v>4</v>
      </c>
      <c r="G1743" s="1">
        <v>75</v>
      </c>
      <c r="H1743" s="10">
        <v>0</v>
      </c>
      <c r="I1743" s="1">
        <f t="shared" si="45"/>
        <v>79000</v>
      </c>
      <c r="J1743" s="1">
        <v>50</v>
      </c>
      <c r="K1743" s="1">
        <v>500</v>
      </c>
      <c r="L1743" s="1">
        <v>42500</v>
      </c>
      <c r="M1743" s="1" t="str">
        <f t="shared" si="46"/>
        <v>105_2346_2346</v>
      </c>
      <c r="N1743" s="1" t="s">
        <v>2440</v>
      </c>
      <c r="O1743" s="1">
        <v>0</v>
      </c>
      <c r="P1743" s="1" t="s">
        <v>2059</v>
      </c>
      <c r="Q1743" s="7" t="str">
        <f t="shared" si="43"/>
        <v>equipment/7020.png</v>
      </c>
      <c r="R1743" s="1">
        <v>0</v>
      </c>
    </row>
    <row r="1744" spans="1:18" ht="14.25" thickBot="1">
      <c r="A1744" s="1">
        <v>40800010</v>
      </c>
      <c r="B1744" s="3">
        <f t="shared" si="44"/>
        <v>1</v>
      </c>
      <c r="C1744" s="1" t="s">
        <v>2700</v>
      </c>
      <c r="D1744" s="1" t="s">
        <v>8</v>
      </c>
      <c r="E1744" s="1">
        <v>1</v>
      </c>
      <c r="F1744" s="1">
        <v>4</v>
      </c>
      <c r="G1744" s="1">
        <v>80</v>
      </c>
      <c r="H1744" s="10">
        <v>0</v>
      </c>
      <c r="I1744" s="1">
        <f t="shared" si="45"/>
        <v>82000</v>
      </c>
      <c r="J1744" s="1">
        <v>50</v>
      </c>
      <c r="K1744" s="1">
        <v>500</v>
      </c>
      <c r="L1744" s="1">
        <v>42500</v>
      </c>
      <c r="M1744" s="1" t="str">
        <f t="shared" si="46"/>
        <v>106_3066_3066</v>
      </c>
      <c r="N1744" s="1" t="s">
        <v>2442</v>
      </c>
      <c r="O1744" s="1">
        <v>0</v>
      </c>
      <c r="P1744" s="1" t="s">
        <v>2059</v>
      </c>
      <c r="Q1744" s="7" t="str">
        <f t="shared" si="43"/>
        <v>equipment/3015.png</v>
      </c>
      <c r="R1744" s="1">
        <v>0</v>
      </c>
    </row>
    <row r="1745" spans="1:18" ht="14.25" thickBot="1">
      <c r="A1745" s="1">
        <v>40800020</v>
      </c>
      <c r="B1745" s="3">
        <f t="shared" si="44"/>
        <v>1</v>
      </c>
      <c r="C1745" s="1" t="s">
        <v>2701</v>
      </c>
      <c r="D1745" s="1" t="s">
        <v>9</v>
      </c>
      <c r="E1745" s="1">
        <v>2</v>
      </c>
      <c r="F1745" s="1">
        <v>4</v>
      </c>
      <c r="G1745" s="1">
        <v>80</v>
      </c>
      <c r="H1745" s="10">
        <v>0</v>
      </c>
      <c r="I1745" s="1">
        <f t="shared" si="45"/>
        <v>82000</v>
      </c>
      <c r="J1745" s="1">
        <v>50</v>
      </c>
      <c r="K1745" s="1">
        <v>500</v>
      </c>
      <c r="L1745" s="1">
        <v>42500</v>
      </c>
      <c r="M1745" s="1" t="str">
        <f t="shared" si="46"/>
        <v>102_1900_1900</v>
      </c>
      <c r="N1745" s="1" t="s">
        <v>2442</v>
      </c>
      <c r="O1745" s="1">
        <v>0</v>
      </c>
      <c r="P1745" s="1" t="s">
        <v>2059</v>
      </c>
      <c r="Q1745" s="7" t="str">
        <f t="shared" si="43"/>
        <v>equipment/14014.png</v>
      </c>
      <c r="R1745" s="1">
        <v>0</v>
      </c>
    </row>
    <row r="1746" spans="1:18" ht="14.25" thickBot="1">
      <c r="A1746" s="1">
        <v>40800030</v>
      </c>
      <c r="B1746" s="3">
        <f t="shared" si="44"/>
        <v>1</v>
      </c>
      <c r="C1746" s="1" t="s">
        <v>2702</v>
      </c>
      <c r="D1746" s="1" t="s">
        <v>10</v>
      </c>
      <c r="E1746" s="1">
        <v>3</v>
      </c>
      <c r="F1746" s="1">
        <v>4</v>
      </c>
      <c r="G1746" s="1">
        <v>80</v>
      </c>
      <c r="H1746" s="10">
        <v>0</v>
      </c>
      <c r="I1746" s="1">
        <f t="shared" si="45"/>
        <v>82000</v>
      </c>
      <c r="J1746" s="1">
        <v>50</v>
      </c>
      <c r="K1746" s="1">
        <v>500</v>
      </c>
      <c r="L1746" s="1">
        <v>42500</v>
      </c>
      <c r="M1746" s="1" t="str">
        <f t="shared" si="46"/>
        <v>101_24080_24080</v>
      </c>
      <c r="N1746" s="1" t="s">
        <v>2442</v>
      </c>
      <c r="O1746" s="1">
        <v>0</v>
      </c>
      <c r="P1746" s="1" t="s">
        <v>2059</v>
      </c>
      <c r="Q1746" s="7" t="str">
        <f t="shared" si="43"/>
        <v>equipment/6015.png</v>
      </c>
      <c r="R1746" s="1">
        <v>0</v>
      </c>
    </row>
    <row r="1747" spans="1:18" ht="14.25" thickBot="1">
      <c r="A1747" s="1">
        <v>40800080</v>
      </c>
      <c r="B1747" s="3">
        <f t="shared" si="44"/>
        <v>1</v>
      </c>
      <c r="C1747" s="1" t="s">
        <v>2703</v>
      </c>
      <c r="D1747" s="1" t="s">
        <v>15</v>
      </c>
      <c r="E1747" s="1">
        <v>8</v>
      </c>
      <c r="F1747" s="1">
        <v>4</v>
      </c>
      <c r="G1747" s="1">
        <v>80</v>
      </c>
      <c r="H1747" s="10">
        <v>0</v>
      </c>
      <c r="I1747" s="1">
        <f t="shared" si="45"/>
        <v>82000</v>
      </c>
      <c r="J1747" s="1">
        <v>50</v>
      </c>
      <c r="K1747" s="1">
        <v>500</v>
      </c>
      <c r="L1747" s="1">
        <v>42500</v>
      </c>
      <c r="M1747" s="1" t="str">
        <f t="shared" si="46"/>
        <v>110_568_568</v>
      </c>
      <c r="N1747" s="1" t="s">
        <v>2442</v>
      </c>
      <c r="O1747" s="1">
        <v>0</v>
      </c>
      <c r="P1747" s="1" t="s">
        <v>2059</v>
      </c>
      <c r="Q1747" s="7" t="str">
        <f t="shared" si="43"/>
        <v>equipment/8015.png</v>
      </c>
      <c r="R1747" s="1">
        <v>0</v>
      </c>
    </row>
    <row r="1748" spans="1:18" ht="14.25" thickBot="1">
      <c r="A1748" s="1">
        <v>40800090</v>
      </c>
      <c r="B1748" s="3">
        <f t="shared" si="44"/>
        <v>1</v>
      </c>
      <c r="C1748" s="1" t="s">
        <v>2704</v>
      </c>
      <c r="D1748" s="1" t="s">
        <v>16</v>
      </c>
      <c r="E1748" s="1">
        <v>9</v>
      </c>
      <c r="F1748" s="1">
        <v>4</v>
      </c>
      <c r="G1748" s="1">
        <v>80</v>
      </c>
      <c r="H1748" s="10">
        <v>0</v>
      </c>
      <c r="I1748" s="1">
        <f t="shared" si="45"/>
        <v>82000</v>
      </c>
      <c r="J1748" s="1">
        <v>50</v>
      </c>
      <c r="K1748" s="1">
        <v>500</v>
      </c>
      <c r="L1748" s="1">
        <v>42500</v>
      </c>
      <c r="M1748" s="1" t="str">
        <f t="shared" si="46"/>
        <v>108_5067_5067</v>
      </c>
      <c r="N1748" s="1" t="s">
        <v>2442</v>
      </c>
      <c r="O1748" s="1">
        <v>0</v>
      </c>
      <c r="P1748" s="1" t="s">
        <v>2059</v>
      </c>
      <c r="Q1748" s="7" t="str">
        <f t="shared" si="43"/>
        <v>equipment/10016.png</v>
      </c>
      <c r="R1748" s="1">
        <v>0</v>
      </c>
    </row>
    <row r="1749" spans="1:18" ht="14.25" thickBot="1">
      <c r="A1749" s="1">
        <v>40800100</v>
      </c>
      <c r="B1749" s="3">
        <f t="shared" si="44"/>
        <v>1</v>
      </c>
      <c r="C1749" s="1" t="s">
        <v>2705</v>
      </c>
      <c r="D1749" s="1" t="s">
        <v>17</v>
      </c>
      <c r="E1749" s="1">
        <v>10</v>
      </c>
      <c r="F1749" s="1">
        <v>4</v>
      </c>
      <c r="G1749" s="1">
        <v>80</v>
      </c>
      <c r="H1749" s="10">
        <v>0</v>
      </c>
      <c r="I1749" s="1">
        <f t="shared" si="45"/>
        <v>82000</v>
      </c>
      <c r="J1749" s="1">
        <v>50</v>
      </c>
      <c r="K1749" s="1">
        <v>500</v>
      </c>
      <c r="L1749" s="1">
        <v>42500</v>
      </c>
      <c r="M1749" s="1" t="str">
        <f t="shared" si="46"/>
        <v>107_3066_3066</v>
      </c>
      <c r="N1749" s="1" t="s">
        <v>2442</v>
      </c>
      <c r="O1749" s="1">
        <v>0</v>
      </c>
      <c r="P1749" s="1" t="s">
        <v>2059</v>
      </c>
      <c r="Q1749" s="7" t="str">
        <f t="shared" ref="Q1749:Q1812" si="47">Q1287</f>
        <v>equipment/12015.png</v>
      </c>
      <c r="R1749" s="1">
        <v>0</v>
      </c>
    </row>
    <row r="1750" spans="1:18" ht="14.25" thickBot="1">
      <c r="A1750" s="1">
        <v>40801050</v>
      </c>
      <c r="B1750" s="3">
        <f t="shared" si="44"/>
        <v>1</v>
      </c>
      <c r="C1750" s="9" t="s">
        <v>2706</v>
      </c>
      <c r="D1750" s="1" t="s">
        <v>12</v>
      </c>
      <c r="E1750" s="1">
        <v>5</v>
      </c>
      <c r="F1750" s="1">
        <v>4</v>
      </c>
      <c r="G1750" s="1">
        <v>80</v>
      </c>
      <c r="H1750" s="10" t="s">
        <v>2120</v>
      </c>
      <c r="I1750" s="1">
        <f t="shared" si="45"/>
        <v>82000</v>
      </c>
      <c r="J1750" s="1">
        <v>50</v>
      </c>
      <c r="K1750" s="1">
        <v>500</v>
      </c>
      <c r="L1750" s="1">
        <v>42500</v>
      </c>
      <c r="M1750" s="1" t="str">
        <f t="shared" si="46"/>
        <v>103_4331_4331,104_8662_8662</v>
      </c>
      <c r="N1750" s="1" t="s">
        <v>2443</v>
      </c>
      <c r="O1750" s="1">
        <v>0</v>
      </c>
      <c r="P1750" s="1" t="s">
        <v>2059</v>
      </c>
      <c r="Q1750" s="7" t="str">
        <f t="shared" si="47"/>
        <v>equipment/1130.png</v>
      </c>
      <c r="R1750" s="1">
        <v>0</v>
      </c>
    </row>
    <row r="1751" spans="1:18" ht="14.25" thickBot="1">
      <c r="A1751" s="1">
        <v>40801051</v>
      </c>
      <c r="B1751" s="3">
        <f t="shared" si="44"/>
        <v>1</v>
      </c>
      <c r="C1751" s="9" t="s">
        <v>2707</v>
      </c>
      <c r="D1751" s="1" t="s">
        <v>12</v>
      </c>
      <c r="E1751" s="1">
        <v>5</v>
      </c>
      <c r="F1751" s="1">
        <v>4</v>
      </c>
      <c r="G1751" s="1">
        <v>80</v>
      </c>
      <c r="H1751" s="10" t="s">
        <v>2120</v>
      </c>
      <c r="I1751" s="1">
        <f t="shared" si="45"/>
        <v>85000</v>
      </c>
      <c r="J1751" s="1">
        <v>50</v>
      </c>
      <c r="K1751" s="1">
        <v>500</v>
      </c>
      <c r="L1751" s="1">
        <v>45000</v>
      </c>
      <c r="M1751" s="1" t="str">
        <f t="shared" si="46"/>
        <v>103_4552_4552,104_9105_9105</v>
      </c>
      <c r="N1751" s="1" t="s">
        <v>2443</v>
      </c>
      <c r="O1751" s="1">
        <v>0</v>
      </c>
      <c r="P1751" s="1" t="s">
        <v>2059</v>
      </c>
      <c r="Q1751" s="7" t="str">
        <f t="shared" si="47"/>
        <v>equipment/1125.png</v>
      </c>
      <c r="R1751" s="1">
        <v>0</v>
      </c>
    </row>
    <row r="1752" spans="1:18" ht="14.25" thickBot="1">
      <c r="A1752" s="1">
        <v>40801060</v>
      </c>
      <c r="B1752" s="3">
        <f t="shared" si="44"/>
        <v>1</v>
      </c>
      <c r="C1752" s="9" t="s">
        <v>2708</v>
      </c>
      <c r="D1752" s="1" t="s">
        <v>13</v>
      </c>
      <c r="E1752" s="1">
        <v>6</v>
      </c>
      <c r="F1752" s="1">
        <v>4</v>
      </c>
      <c r="G1752" s="1">
        <v>80</v>
      </c>
      <c r="H1752" s="10" t="s">
        <v>2120</v>
      </c>
      <c r="I1752" s="1">
        <f t="shared" si="45"/>
        <v>82000</v>
      </c>
      <c r="J1752" s="1">
        <v>50</v>
      </c>
      <c r="K1752" s="1">
        <v>500</v>
      </c>
      <c r="L1752" s="1">
        <v>42500</v>
      </c>
      <c r="M1752" s="1" t="str">
        <f t="shared" si="46"/>
        <v>105_4288_4288</v>
      </c>
      <c r="N1752" s="1" t="s">
        <v>2443</v>
      </c>
      <c r="O1752" s="1">
        <v>0</v>
      </c>
      <c r="P1752" s="1" t="s">
        <v>2059</v>
      </c>
      <c r="Q1752" s="7" t="str">
        <f t="shared" si="47"/>
        <v>equipment/2122.png</v>
      </c>
      <c r="R1752" s="1">
        <v>0</v>
      </c>
    </row>
    <row r="1753" spans="1:18" ht="14.25" thickBot="1">
      <c r="A1753" s="1">
        <v>40801061</v>
      </c>
      <c r="B1753" s="3">
        <f t="shared" si="44"/>
        <v>1</v>
      </c>
      <c r="C1753" s="9" t="s">
        <v>2709</v>
      </c>
      <c r="D1753" s="1" t="s">
        <v>13</v>
      </c>
      <c r="E1753" s="1">
        <v>6</v>
      </c>
      <c r="F1753" s="1">
        <v>4</v>
      </c>
      <c r="G1753" s="1">
        <v>80</v>
      </c>
      <c r="H1753" s="10" t="s">
        <v>2120</v>
      </c>
      <c r="I1753" s="1">
        <f t="shared" si="45"/>
        <v>85000</v>
      </c>
      <c r="J1753" s="1">
        <v>50</v>
      </c>
      <c r="K1753" s="1">
        <v>500</v>
      </c>
      <c r="L1753" s="1">
        <v>45000</v>
      </c>
      <c r="M1753" s="1" t="str">
        <f t="shared" si="46"/>
        <v>105_4419_4419</v>
      </c>
      <c r="N1753" s="1" t="s">
        <v>2443</v>
      </c>
      <c r="O1753" s="1">
        <v>0</v>
      </c>
      <c r="P1753" s="1" t="s">
        <v>2059</v>
      </c>
      <c r="Q1753" s="7" t="str">
        <f t="shared" si="47"/>
        <v>equipment/2120.png</v>
      </c>
      <c r="R1753" s="1">
        <v>0</v>
      </c>
    </row>
    <row r="1754" spans="1:18" ht="14.25" thickBot="1">
      <c r="A1754" s="1">
        <v>40802050</v>
      </c>
      <c r="B1754" s="3">
        <f t="shared" si="44"/>
        <v>1</v>
      </c>
      <c r="C1754" s="1" t="s">
        <v>2710</v>
      </c>
      <c r="D1754" s="1" t="s">
        <v>12</v>
      </c>
      <c r="E1754" s="1">
        <v>5</v>
      </c>
      <c r="F1754" s="1">
        <v>4</v>
      </c>
      <c r="G1754" s="1">
        <v>80</v>
      </c>
      <c r="H1754" s="10" t="s">
        <v>2121</v>
      </c>
      <c r="I1754" s="1">
        <f t="shared" si="45"/>
        <v>82000</v>
      </c>
      <c r="J1754" s="1">
        <v>50</v>
      </c>
      <c r="K1754" s="1">
        <v>500</v>
      </c>
      <c r="L1754" s="1">
        <v>42500</v>
      </c>
      <c r="M1754" s="1" t="str">
        <f t="shared" si="46"/>
        <v>103_4331_4331,104_8662_8662</v>
      </c>
      <c r="N1754" s="1" t="s">
        <v>2443</v>
      </c>
      <c r="O1754" s="1">
        <v>0</v>
      </c>
      <c r="P1754" s="1" t="s">
        <v>2059</v>
      </c>
      <c r="Q1754" s="7" t="str">
        <f t="shared" si="47"/>
        <v>equipment/1227.png</v>
      </c>
      <c r="R1754" s="1">
        <v>0</v>
      </c>
    </row>
    <row r="1755" spans="1:18" ht="14.25" thickBot="1">
      <c r="A1755" s="1">
        <v>40802051</v>
      </c>
      <c r="B1755" s="3">
        <f t="shared" si="44"/>
        <v>1</v>
      </c>
      <c r="C1755" s="1" t="s">
        <v>2711</v>
      </c>
      <c r="D1755" s="1" t="s">
        <v>12</v>
      </c>
      <c r="E1755" s="1">
        <v>5</v>
      </c>
      <c r="F1755" s="1">
        <v>4</v>
      </c>
      <c r="G1755" s="1">
        <v>80</v>
      </c>
      <c r="H1755" s="10" t="s">
        <v>2121</v>
      </c>
      <c r="I1755" s="1">
        <f t="shared" si="45"/>
        <v>85000</v>
      </c>
      <c r="J1755" s="1">
        <v>50</v>
      </c>
      <c r="K1755" s="1">
        <v>500</v>
      </c>
      <c r="L1755" s="1">
        <v>45000</v>
      </c>
      <c r="M1755" s="1" t="str">
        <f t="shared" si="46"/>
        <v>103_4552_4552,104_9105_9105</v>
      </c>
      <c r="N1755" s="1" t="s">
        <v>2443</v>
      </c>
      <c r="O1755" s="1">
        <v>0</v>
      </c>
      <c r="P1755" s="1" t="s">
        <v>2059</v>
      </c>
      <c r="Q1755" s="7" t="str">
        <f t="shared" si="47"/>
        <v>equipment/1229.png</v>
      </c>
      <c r="R1755" s="1">
        <v>0</v>
      </c>
    </row>
    <row r="1756" spans="1:18" ht="14.25" thickBot="1">
      <c r="A1756" s="1">
        <v>40802060</v>
      </c>
      <c r="B1756" s="3">
        <f t="shared" si="44"/>
        <v>1</v>
      </c>
      <c r="C1756" s="9" t="s">
        <v>2712</v>
      </c>
      <c r="D1756" s="1" t="s">
        <v>13</v>
      </c>
      <c r="E1756" s="1">
        <v>6</v>
      </c>
      <c r="F1756" s="1">
        <v>4</v>
      </c>
      <c r="G1756" s="1">
        <v>80</v>
      </c>
      <c r="H1756" s="10" t="s">
        <v>2121</v>
      </c>
      <c r="I1756" s="1">
        <f t="shared" si="45"/>
        <v>82000</v>
      </c>
      <c r="J1756" s="1">
        <v>50</v>
      </c>
      <c r="K1756" s="1">
        <v>500</v>
      </c>
      <c r="L1756" s="1">
        <v>42500</v>
      </c>
      <c r="M1756" s="1" t="str">
        <f t="shared" si="46"/>
        <v>108_4288_4288</v>
      </c>
      <c r="N1756" s="1" t="s">
        <v>2443</v>
      </c>
      <c r="O1756" s="1">
        <v>0</v>
      </c>
      <c r="P1756" s="1" t="s">
        <v>2059</v>
      </c>
      <c r="Q1756" s="7" t="str">
        <f t="shared" si="47"/>
        <v>equipment/2222.png</v>
      </c>
      <c r="R1756" s="1">
        <v>0</v>
      </c>
    </row>
    <row r="1757" spans="1:18" ht="14.25" thickBot="1">
      <c r="A1757" s="1">
        <v>40802061</v>
      </c>
      <c r="B1757" s="3">
        <f t="shared" si="44"/>
        <v>1</v>
      </c>
      <c r="C1757" s="9" t="s">
        <v>2713</v>
      </c>
      <c r="D1757" s="1" t="s">
        <v>13</v>
      </c>
      <c r="E1757" s="1">
        <v>6</v>
      </c>
      <c r="F1757" s="1">
        <v>4</v>
      </c>
      <c r="G1757" s="1">
        <v>80</v>
      </c>
      <c r="H1757" s="10" t="s">
        <v>2121</v>
      </c>
      <c r="I1757" s="1">
        <f t="shared" si="45"/>
        <v>85000</v>
      </c>
      <c r="J1757" s="1">
        <v>50</v>
      </c>
      <c r="K1757" s="1">
        <v>500</v>
      </c>
      <c r="L1757" s="1">
        <v>45000</v>
      </c>
      <c r="M1757" s="1" t="str">
        <f t="shared" si="46"/>
        <v>108_4419_4419</v>
      </c>
      <c r="N1757" s="1" t="s">
        <v>2443</v>
      </c>
      <c r="O1757" s="1">
        <v>0</v>
      </c>
      <c r="P1757" s="1" t="s">
        <v>2059</v>
      </c>
      <c r="Q1757" s="7" t="str">
        <f t="shared" si="47"/>
        <v>equipment/2223.png</v>
      </c>
      <c r="R1757" s="1">
        <v>0</v>
      </c>
    </row>
    <row r="1758" spans="1:18" ht="14.25" thickBot="1">
      <c r="A1758" s="1">
        <v>40803050</v>
      </c>
      <c r="B1758" s="3">
        <f t="shared" si="44"/>
        <v>1</v>
      </c>
      <c r="C1758" s="9" t="s">
        <v>2714</v>
      </c>
      <c r="D1758" s="1" t="s">
        <v>12</v>
      </c>
      <c r="E1758" s="1">
        <v>5</v>
      </c>
      <c r="F1758" s="1">
        <v>4</v>
      </c>
      <c r="G1758" s="1">
        <v>80</v>
      </c>
      <c r="H1758" s="10" t="s">
        <v>2122</v>
      </c>
      <c r="I1758" s="1">
        <f t="shared" si="45"/>
        <v>82000</v>
      </c>
      <c r="J1758" s="1">
        <v>50</v>
      </c>
      <c r="K1758" s="1">
        <v>500</v>
      </c>
      <c r="L1758" s="1">
        <v>42500</v>
      </c>
      <c r="M1758" s="1" t="str">
        <f t="shared" si="46"/>
        <v>103_4331_4331,104_8662_8662</v>
      </c>
      <c r="N1758" s="1" t="s">
        <v>2443</v>
      </c>
      <c r="O1758" s="1">
        <v>0</v>
      </c>
      <c r="P1758" s="1" t="s">
        <v>2059</v>
      </c>
      <c r="Q1758" s="7" t="str">
        <f t="shared" si="47"/>
        <v>equipment/1327.png</v>
      </c>
      <c r="R1758" s="1">
        <v>0</v>
      </c>
    </row>
    <row r="1759" spans="1:18" ht="14.25" thickBot="1">
      <c r="A1759" s="1">
        <v>40803051</v>
      </c>
      <c r="B1759" s="3">
        <f t="shared" si="44"/>
        <v>1</v>
      </c>
      <c r="C1759" s="9" t="s">
        <v>2715</v>
      </c>
      <c r="D1759" s="1" t="s">
        <v>12</v>
      </c>
      <c r="E1759" s="1">
        <v>5</v>
      </c>
      <c r="F1759" s="1">
        <v>4</v>
      </c>
      <c r="G1759" s="1">
        <v>80</v>
      </c>
      <c r="H1759" s="10" t="s">
        <v>2122</v>
      </c>
      <c r="I1759" s="1">
        <f t="shared" si="45"/>
        <v>85000</v>
      </c>
      <c r="J1759" s="1">
        <v>50</v>
      </c>
      <c r="K1759" s="1">
        <v>500</v>
      </c>
      <c r="L1759" s="1">
        <v>45000</v>
      </c>
      <c r="M1759" s="1" t="str">
        <f t="shared" si="46"/>
        <v>103_4552_4552,104_9105_9105</v>
      </c>
      <c r="N1759" s="1" t="s">
        <v>2443</v>
      </c>
      <c r="O1759" s="1">
        <v>0</v>
      </c>
      <c r="P1759" s="1" t="s">
        <v>2059</v>
      </c>
      <c r="Q1759" s="7" t="str">
        <f t="shared" si="47"/>
        <v>equipment/1329.png</v>
      </c>
      <c r="R1759" s="1">
        <v>0</v>
      </c>
    </row>
    <row r="1760" spans="1:18" ht="14.25" thickBot="1">
      <c r="A1760" s="1">
        <v>40803060</v>
      </c>
      <c r="B1760" s="3">
        <f t="shared" si="44"/>
        <v>1</v>
      </c>
      <c r="C1760" s="9" t="s">
        <v>2716</v>
      </c>
      <c r="D1760" s="1" t="s">
        <v>13</v>
      </c>
      <c r="E1760" s="1">
        <v>6</v>
      </c>
      <c r="F1760" s="1">
        <v>4</v>
      </c>
      <c r="G1760" s="1">
        <v>80</v>
      </c>
      <c r="H1760" s="10" t="s">
        <v>2122</v>
      </c>
      <c r="I1760" s="1">
        <f t="shared" si="45"/>
        <v>82000</v>
      </c>
      <c r="J1760" s="1">
        <v>50</v>
      </c>
      <c r="K1760" s="1">
        <v>500</v>
      </c>
      <c r="L1760" s="1">
        <v>42500</v>
      </c>
      <c r="M1760" s="1" t="str">
        <f t="shared" si="46"/>
        <v>102_3610_3610</v>
      </c>
      <c r="N1760" s="1" t="s">
        <v>2443</v>
      </c>
      <c r="O1760" s="1">
        <v>0</v>
      </c>
      <c r="P1760" s="1" t="s">
        <v>2059</v>
      </c>
      <c r="Q1760" s="7" t="str">
        <f t="shared" si="47"/>
        <v>equipment/2320.png</v>
      </c>
      <c r="R1760" s="1">
        <v>0</v>
      </c>
    </row>
    <row r="1761" spans="1:18" ht="14.25" thickBot="1">
      <c r="A1761" s="1">
        <v>40803061</v>
      </c>
      <c r="B1761" s="3">
        <f t="shared" si="44"/>
        <v>1</v>
      </c>
      <c r="C1761" s="9" t="s">
        <v>2717</v>
      </c>
      <c r="D1761" s="1" t="s">
        <v>13</v>
      </c>
      <c r="E1761" s="1">
        <v>6</v>
      </c>
      <c r="F1761" s="1">
        <v>4</v>
      </c>
      <c r="G1761" s="1">
        <v>80</v>
      </c>
      <c r="H1761" s="10" t="s">
        <v>2122</v>
      </c>
      <c r="I1761" s="1">
        <f t="shared" si="45"/>
        <v>85000</v>
      </c>
      <c r="J1761" s="1">
        <v>50</v>
      </c>
      <c r="K1761" s="1">
        <v>500</v>
      </c>
      <c r="L1761" s="1">
        <v>45000</v>
      </c>
      <c r="M1761" s="1" t="str">
        <f t="shared" si="46"/>
        <v>102_3680_3680</v>
      </c>
      <c r="N1761" s="1" t="s">
        <v>2443</v>
      </c>
      <c r="O1761" s="1">
        <v>0</v>
      </c>
      <c r="P1761" s="1" t="s">
        <v>2059</v>
      </c>
      <c r="Q1761" s="7" t="str">
        <f t="shared" si="47"/>
        <v>equipment/2322.png</v>
      </c>
      <c r="R1761" s="1">
        <v>0</v>
      </c>
    </row>
    <row r="1762" spans="1:18" ht="14.25" thickBot="1">
      <c r="A1762" s="1">
        <v>40800040</v>
      </c>
      <c r="B1762" s="3">
        <f t="shared" si="44"/>
        <v>1</v>
      </c>
      <c r="C1762" s="1" t="s">
        <v>2718</v>
      </c>
      <c r="D1762" s="1" t="s">
        <v>11</v>
      </c>
      <c r="E1762" s="1">
        <v>4</v>
      </c>
      <c r="F1762" s="1">
        <v>4</v>
      </c>
      <c r="G1762" s="1">
        <v>80</v>
      </c>
      <c r="H1762" s="10">
        <v>0</v>
      </c>
      <c r="I1762" s="1">
        <f t="shared" si="45"/>
        <v>82000</v>
      </c>
      <c r="J1762" s="1">
        <v>50</v>
      </c>
      <c r="K1762" s="1">
        <v>500</v>
      </c>
      <c r="L1762" s="1">
        <v>42500</v>
      </c>
      <c r="M1762" s="1" t="str">
        <f t="shared" si="46"/>
        <v>105_2573_2573</v>
      </c>
      <c r="N1762" s="1" t="s">
        <v>2442</v>
      </c>
      <c r="O1762" s="1">
        <v>0</v>
      </c>
      <c r="P1762" s="1" t="s">
        <v>2059</v>
      </c>
      <c r="Q1762" s="7" t="str">
        <f t="shared" si="47"/>
        <v>equipment/5021.png</v>
      </c>
      <c r="R1762" s="1">
        <v>0</v>
      </c>
    </row>
    <row r="1763" spans="1:18" ht="14.25" thickBot="1">
      <c r="A1763" s="1">
        <v>40800041</v>
      </c>
      <c r="B1763" s="3">
        <f t="shared" si="44"/>
        <v>1</v>
      </c>
      <c r="C1763" s="1" t="s">
        <v>2719</v>
      </c>
      <c r="D1763" s="1" t="s">
        <v>11</v>
      </c>
      <c r="E1763" s="1">
        <v>4</v>
      </c>
      <c r="F1763" s="1">
        <v>4</v>
      </c>
      <c r="G1763" s="1">
        <v>80</v>
      </c>
      <c r="H1763" s="10">
        <v>0</v>
      </c>
      <c r="I1763" s="1">
        <f t="shared" si="45"/>
        <v>85000</v>
      </c>
      <c r="J1763" s="1">
        <v>50</v>
      </c>
      <c r="K1763" s="1">
        <v>500</v>
      </c>
      <c r="L1763" s="1">
        <v>45000</v>
      </c>
      <c r="M1763" s="1" t="str">
        <f t="shared" si="46"/>
        <v>105_2739_2739</v>
      </c>
      <c r="N1763" s="1" t="s">
        <v>2442</v>
      </c>
      <c r="O1763" s="1">
        <v>0</v>
      </c>
      <c r="P1763" s="1" t="s">
        <v>2059</v>
      </c>
      <c r="Q1763" s="7" t="str">
        <f t="shared" si="47"/>
        <v>equipment/5022.png</v>
      </c>
      <c r="R1763" s="1">
        <v>0</v>
      </c>
    </row>
    <row r="1764" spans="1:18" ht="14.25" thickBot="1">
      <c r="A1764" s="1">
        <v>40800070</v>
      </c>
      <c r="B1764" s="3">
        <f t="shared" si="44"/>
        <v>1</v>
      </c>
      <c r="C1764" s="1" t="s">
        <v>2720</v>
      </c>
      <c r="D1764" s="1" t="s">
        <v>14</v>
      </c>
      <c r="E1764" s="1">
        <v>7</v>
      </c>
      <c r="F1764" s="1">
        <v>4</v>
      </c>
      <c r="G1764" s="1">
        <v>80</v>
      </c>
      <c r="H1764" s="10">
        <v>0</v>
      </c>
      <c r="I1764" s="1">
        <f t="shared" si="45"/>
        <v>82000</v>
      </c>
      <c r="J1764" s="1">
        <v>50</v>
      </c>
      <c r="K1764" s="1">
        <v>500</v>
      </c>
      <c r="L1764" s="1">
        <v>42500</v>
      </c>
      <c r="M1764" s="1" t="str">
        <f t="shared" si="46"/>
        <v>105_2573_2573</v>
      </c>
      <c r="N1764" s="1" t="s">
        <v>2442</v>
      </c>
      <c r="O1764" s="1">
        <v>0</v>
      </c>
      <c r="P1764" s="1" t="s">
        <v>2059</v>
      </c>
      <c r="Q1764" s="7" t="str">
        <f t="shared" si="47"/>
        <v>equipment/7022.png</v>
      </c>
      <c r="R1764" s="1">
        <v>0</v>
      </c>
    </row>
    <row r="1765" spans="1:18" ht="14.25" thickBot="1">
      <c r="A1765" s="1">
        <v>40800071</v>
      </c>
      <c r="B1765" s="3">
        <f t="shared" si="44"/>
        <v>1</v>
      </c>
      <c r="C1765" s="1" t="s">
        <v>2721</v>
      </c>
      <c r="D1765" s="1" t="s">
        <v>14</v>
      </c>
      <c r="E1765" s="1">
        <v>7</v>
      </c>
      <c r="F1765" s="1">
        <v>4</v>
      </c>
      <c r="G1765" s="1">
        <v>80</v>
      </c>
      <c r="H1765" s="10">
        <v>0</v>
      </c>
      <c r="I1765" s="1">
        <f t="shared" si="45"/>
        <v>85000</v>
      </c>
      <c r="J1765" s="1">
        <v>50</v>
      </c>
      <c r="K1765" s="1">
        <v>500</v>
      </c>
      <c r="L1765" s="1">
        <v>45000</v>
      </c>
      <c r="M1765" s="1" t="str">
        <f t="shared" si="46"/>
        <v>105_2739_2739</v>
      </c>
      <c r="N1765" s="1" t="s">
        <v>2442</v>
      </c>
      <c r="O1765" s="1">
        <v>0</v>
      </c>
      <c r="P1765" s="1" t="s">
        <v>2059</v>
      </c>
      <c r="Q1765" s="7" t="str">
        <f t="shared" si="47"/>
        <v>equipment/7021.png</v>
      </c>
      <c r="R1765" s="1">
        <v>0</v>
      </c>
    </row>
    <row r="1766" spans="1:18" ht="14.25" thickBot="1">
      <c r="A1766" s="1">
        <v>40850010</v>
      </c>
      <c r="B1766" s="3">
        <f t="shared" si="44"/>
        <v>1</v>
      </c>
      <c r="C1766" s="1" t="s">
        <v>2722</v>
      </c>
      <c r="D1766" s="1" t="s">
        <v>8</v>
      </c>
      <c r="E1766" s="1">
        <v>1</v>
      </c>
      <c r="F1766" s="1">
        <v>4</v>
      </c>
      <c r="G1766" s="1">
        <v>85</v>
      </c>
      <c r="H1766" s="10">
        <v>0</v>
      </c>
      <c r="I1766" s="1">
        <f t="shared" si="45"/>
        <v>88000</v>
      </c>
      <c r="J1766" s="1">
        <v>50</v>
      </c>
      <c r="K1766" s="1">
        <v>500</v>
      </c>
      <c r="L1766" s="1">
        <v>45000</v>
      </c>
      <c r="M1766" s="1" t="str">
        <f t="shared" si="46"/>
        <v>106_3672_3672</v>
      </c>
      <c r="N1766" s="1" t="s">
        <v>2444</v>
      </c>
      <c r="O1766" s="1">
        <v>0</v>
      </c>
      <c r="P1766" s="1" t="s">
        <v>2059</v>
      </c>
      <c r="Q1766" s="7" t="str">
        <f t="shared" si="47"/>
        <v>equipment/3012.png</v>
      </c>
      <c r="R1766" s="1">
        <v>0</v>
      </c>
    </row>
    <row r="1767" spans="1:18" ht="14.25" thickBot="1">
      <c r="A1767" s="1">
        <v>40850020</v>
      </c>
      <c r="B1767" s="3">
        <f t="shared" si="44"/>
        <v>1</v>
      </c>
      <c r="C1767" s="1" t="s">
        <v>2723</v>
      </c>
      <c r="D1767" s="1" t="s">
        <v>9</v>
      </c>
      <c r="E1767" s="1">
        <v>2</v>
      </c>
      <c r="F1767" s="1">
        <v>4</v>
      </c>
      <c r="G1767" s="1">
        <v>85</v>
      </c>
      <c r="H1767" s="10">
        <v>0</v>
      </c>
      <c r="I1767" s="1">
        <f t="shared" si="45"/>
        <v>88000</v>
      </c>
      <c r="J1767" s="1">
        <v>50</v>
      </c>
      <c r="K1767" s="1">
        <v>500</v>
      </c>
      <c r="L1767" s="1">
        <v>45000</v>
      </c>
      <c r="M1767" s="1" t="str">
        <f t="shared" si="46"/>
        <v>102_2020_2020</v>
      </c>
      <c r="N1767" s="1" t="s">
        <v>2444</v>
      </c>
      <c r="O1767" s="1">
        <v>0</v>
      </c>
      <c r="P1767" s="1" t="s">
        <v>2059</v>
      </c>
      <c r="Q1767" s="7" t="str">
        <f t="shared" si="47"/>
        <v>equipment/14016.png</v>
      </c>
      <c r="R1767" s="1">
        <v>0</v>
      </c>
    </row>
    <row r="1768" spans="1:18" ht="14.25" thickBot="1">
      <c r="A1768" s="1">
        <v>40850030</v>
      </c>
      <c r="B1768" s="3">
        <f t="shared" si="44"/>
        <v>1</v>
      </c>
      <c r="C1768" s="1" t="s">
        <v>2724</v>
      </c>
      <c r="D1768" s="1" t="s">
        <v>10</v>
      </c>
      <c r="E1768" s="1">
        <v>3</v>
      </c>
      <c r="F1768" s="1">
        <v>4</v>
      </c>
      <c r="G1768" s="1">
        <v>85</v>
      </c>
      <c r="H1768" s="10">
        <v>0</v>
      </c>
      <c r="I1768" s="1">
        <f t="shared" si="45"/>
        <v>88000</v>
      </c>
      <c r="J1768" s="1">
        <v>50</v>
      </c>
      <c r="K1768" s="1">
        <v>500</v>
      </c>
      <c r="L1768" s="1">
        <v>45000</v>
      </c>
      <c r="M1768" s="1" t="str">
        <f t="shared" si="46"/>
        <v>101_27040_27040</v>
      </c>
      <c r="N1768" s="1" t="s">
        <v>2444</v>
      </c>
      <c r="O1768" s="1">
        <v>0</v>
      </c>
      <c r="P1768" s="1" t="s">
        <v>2059</v>
      </c>
      <c r="Q1768" s="7" t="str">
        <f t="shared" si="47"/>
        <v>equipment/6017.png</v>
      </c>
      <c r="R1768" s="1">
        <v>0</v>
      </c>
    </row>
    <row r="1769" spans="1:18" ht="14.25" thickBot="1">
      <c r="A1769" s="1">
        <v>40850080</v>
      </c>
      <c r="B1769" s="3">
        <f t="shared" si="44"/>
        <v>1</v>
      </c>
      <c r="C1769" s="1" t="s">
        <v>2725</v>
      </c>
      <c r="D1769" s="1" t="s">
        <v>15</v>
      </c>
      <c r="E1769" s="1">
        <v>8</v>
      </c>
      <c r="F1769" s="1">
        <v>4</v>
      </c>
      <c r="G1769" s="1">
        <v>85</v>
      </c>
      <c r="H1769" s="10">
        <v>0</v>
      </c>
      <c r="I1769" s="1">
        <f t="shared" si="45"/>
        <v>88000</v>
      </c>
      <c r="J1769" s="1">
        <v>50</v>
      </c>
      <c r="K1769" s="1">
        <v>500</v>
      </c>
      <c r="L1769" s="1">
        <v>45000</v>
      </c>
      <c r="M1769" s="1" t="str">
        <f t="shared" si="46"/>
        <v>110_661_661</v>
      </c>
      <c r="N1769" s="1" t="s">
        <v>2444</v>
      </c>
      <c r="O1769" s="1">
        <v>0</v>
      </c>
      <c r="P1769" s="1" t="s">
        <v>2059</v>
      </c>
      <c r="Q1769" s="7" t="str">
        <f t="shared" si="47"/>
        <v>equipment/8016.png</v>
      </c>
      <c r="R1769" s="1">
        <v>0</v>
      </c>
    </row>
    <row r="1770" spans="1:18" ht="14.25" thickBot="1">
      <c r="A1770" s="1">
        <v>40850090</v>
      </c>
      <c r="B1770" s="3">
        <f t="shared" si="44"/>
        <v>1</v>
      </c>
      <c r="C1770" s="1" t="s">
        <v>2726</v>
      </c>
      <c r="D1770" s="1" t="s">
        <v>16</v>
      </c>
      <c r="E1770" s="1">
        <v>9</v>
      </c>
      <c r="F1770" s="1">
        <v>4</v>
      </c>
      <c r="G1770" s="1">
        <v>85</v>
      </c>
      <c r="H1770" s="10">
        <v>0</v>
      </c>
      <c r="I1770" s="1">
        <f t="shared" si="45"/>
        <v>88000</v>
      </c>
      <c r="J1770" s="1">
        <v>50</v>
      </c>
      <c r="K1770" s="1">
        <v>500</v>
      </c>
      <c r="L1770" s="1">
        <v>45000</v>
      </c>
      <c r="M1770" s="1" t="str">
        <f t="shared" si="46"/>
        <v>108_5495_5495</v>
      </c>
      <c r="N1770" s="1" t="s">
        <v>2444</v>
      </c>
      <c r="O1770" s="1">
        <v>0</v>
      </c>
      <c r="P1770" s="1" t="s">
        <v>2059</v>
      </c>
      <c r="Q1770" s="7" t="str">
        <f t="shared" si="47"/>
        <v>equipment/10014.png</v>
      </c>
      <c r="R1770" s="1">
        <v>0</v>
      </c>
    </row>
    <row r="1771" spans="1:18" ht="14.25" thickBot="1">
      <c r="A1771" s="1">
        <v>40850100</v>
      </c>
      <c r="B1771" s="3">
        <f t="shared" si="44"/>
        <v>1</v>
      </c>
      <c r="C1771" s="1" t="s">
        <v>2727</v>
      </c>
      <c r="D1771" s="1" t="s">
        <v>17</v>
      </c>
      <c r="E1771" s="1">
        <v>10</v>
      </c>
      <c r="F1771" s="1">
        <v>4</v>
      </c>
      <c r="G1771" s="1">
        <v>85</v>
      </c>
      <c r="H1771" s="10">
        <v>0</v>
      </c>
      <c r="I1771" s="1">
        <f t="shared" si="45"/>
        <v>88000</v>
      </c>
      <c r="J1771" s="1">
        <v>50</v>
      </c>
      <c r="K1771" s="1">
        <v>500</v>
      </c>
      <c r="L1771" s="1">
        <v>45000</v>
      </c>
      <c r="M1771" s="1" t="str">
        <f t="shared" si="46"/>
        <v>107_3672_3672</v>
      </c>
      <c r="N1771" s="1" t="s">
        <v>2444</v>
      </c>
      <c r="O1771" s="1">
        <v>0</v>
      </c>
      <c r="P1771" s="1" t="s">
        <v>2059</v>
      </c>
      <c r="Q1771" s="7" t="str">
        <f t="shared" si="47"/>
        <v>equipment/12016.png</v>
      </c>
      <c r="R1771" s="1">
        <v>0</v>
      </c>
    </row>
    <row r="1772" spans="1:18" ht="14.25" thickBot="1">
      <c r="A1772" s="1">
        <v>40851050</v>
      </c>
      <c r="B1772" s="3">
        <f t="shared" si="44"/>
        <v>1</v>
      </c>
      <c r="C1772" s="9" t="s">
        <v>2728</v>
      </c>
      <c r="D1772" s="1" t="s">
        <v>12</v>
      </c>
      <c r="E1772" s="1">
        <v>5</v>
      </c>
      <c r="F1772" s="1">
        <v>4</v>
      </c>
      <c r="G1772" s="1">
        <v>85</v>
      </c>
      <c r="H1772" s="10" t="s">
        <v>2120</v>
      </c>
      <c r="I1772" s="1">
        <f t="shared" si="45"/>
        <v>88000</v>
      </c>
      <c r="J1772" s="1">
        <v>50</v>
      </c>
      <c r="K1772" s="1">
        <v>500</v>
      </c>
      <c r="L1772" s="1">
        <v>45000</v>
      </c>
      <c r="M1772" s="1" t="str">
        <f t="shared" si="46"/>
        <v>103_4884_4884,104_9769_9769</v>
      </c>
      <c r="N1772" s="1" t="s">
        <v>2445</v>
      </c>
      <c r="O1772" s="1">
        <v>0</v>
      </c>
      <c r="P1772" s="1" t="s">
        <v>2059</v>
      </c>
      <c r="Q1772" s="7" t="str">
        <f t="shared" si="47"/>
        <v>equipment/1128.png</v>
      </c>
      <c r="R1772" s="1">
        <v>0</v>
      </c>
    </row>
    <row r="1773" spans="1:18" ht="14.25" thickBot="1">
      <c r="A1773" s="1">
        <v>40851051</v>
      </c>
      <c r="B1773" s="3">
        <f t="shared" si="44"/>
        <v>0</v>
      </c>
      <c r="C1773" s="9" t="s">
        <v>2729</v>
      </c>
      <c r="D1773" s="1" t="s">
        <v>12</v>
      </c>
      <c r="E1773" s="1">
        <v>5</v>
      </c>
      <c r="F1773" s="1">
        <v>4</v>
      </c>
      <c r="G1773" s="1">
        <v>85</v>
      </c>
      <c r="H1773" s="10" t="s">
        <v>2120</v>
      </c>
      <c r="I1773" s="1">
        <f t="shared" si="45"/>
        <v>91000</v>
      </c>
      <c r="J1773" s="1">
        <v>50</v>
      </c>
      <c r="K1773" s="1">
        <v>500</v>
      </c>
      <c r="L1773" s="1">
        <v>47500</v>
      </c>
      <c r="M1773" s="1" t="str">
        <f t="shared" si="46"/>
        <v>103_5119_5119,104_10238_10238</v>
      </c>
      <c r="N1773" s="1" t="s">
        <v>2445</v>
      </c>
      <c r="O1773" s="1">
        <v>0</v>
      </c>
      <c r="P1773" s="1" t="s">
        <v>2059</v>
      </c>
      <c r="Q1773" s="7" t="str">
        <f t="shared" si="47"/>
        <v>equipment/1129.png</v>
      </c>
      <c r="R1773" s="1">
        <v>0</v>
      </c>
    </row>
    <row r="1774" spans="1:18" ht="14.25" thickBot="1">
      <c r="A1774" s="1">
        <v>40851060</v>
      </c>
      <c r="B1774" s="3">
        <f t="shared" si="44"/>
        <v>1</v>
      </c>
      <c r="C1774" s="9" t="s">
        <v>2730</v>
      </c>
      <c r="D1774" s="1" t="s">
        <v>13</v>
      </c>
      <c r="E1774" s="1">
        <v>6</v>
      </c>
      <c r="F1774" s="1">
        <v>4</v>
      </c>
      <c r="G1774" s="1">
        <v>85</v>
      </c>
      <c r="H1774" s="10" t="s">
        <v>2120</v>
      </c>
      <c r="I1774" s="1">
        <f t="shared" si="45"/>
        <v>88000</v>
      </c>
      <c r="J1774" s="1">
        <v>50</v>
      </c>
      <c r="K1774" s="1">
        <v>500</v>
      </c>
      <c r="L1774" s="1">
        <v>45000</v>
      </c>
      <c r="M1774" s="1" t="str">
        <f t="shared" si="46"/>
        <v>105_4616_4616</v>
      </c>
      <c r="N1774" s="1" t="s">
        <v>2445</v>
      </c>
      <c r="O1774" s="1">
        <v>0</v>
      </c>
      <c r="P1774" s="1" t="s">
        <v>2059</v>
      </c>
      <c r="Q1774" s="7" t="str">
        <f t="shared" si="47"/>
        <v>equipment/2124.png</v>
      </c>
      <c r="R1774" s="1">
        <v>0</v>
      </c>
    </row>
    <row r="1775" spans="1:18" ht="14.25" thickBot="1">
      <c r="A1775" s="1">
        <v>40851061</v>
      </c>
      <c r="B1775" s="3">
        <f t="shared" si="44"/>
        <v>0</v>
      </c>
      <c r="C1775" s="9" t="s">
        <v>2731</v>
      </c>
      <c r="D1775" s="1" t="s">
        <v>13</v>
      </c>
      <c r="E1775" s="1">
        <v>6</v>
      </c>
      <c r="F1775" s="1">
        <v>4</v>
      </c>
      <c r="G1775" s="1">
        <v>85</v>
      </c>
      <c r="H1775" s="10" t="s">
        <v>2120</v>
      </c>
      <c r="I1775" s="1">
        <f t="shared" si="45"/>
        <v>91000</v>
      </c>
      <c r="J1775" s="1">
        <v>50</v>
      </c>
      <c r="K1775" s="1">
        <v>500</v>
      </c>
      <c r="L1775" s="1">
        <v>47500</v>
      </c>
      <c r="M1775" s="1" t="str">
        <f t="shared" si="46"/>
        <v>105_4739_4739</v>
      </c>
      <c r="N1775" s="1" t="s">
        <v>2445</v>
      </c>
      <c r="O1775" s="1">
        <v>0</v>
      </c>
      <c r="P1775" s="1" t="s">
        <v>2059</v>
      </c>
      <c r="Q1775" s="7" t="str">
        <f t="shared" si="47"/>
        <v>equipment/2119.png</v>
      </c>
      <c r="R1775" s="1">
        <v>0</v>
      </c>
    </row>
    <row r="1776" spans="1:18" ht="14.25" thickBot="1">
      <c r="A1776" s="1">
        <v>40852050</v>
      </c>
      <c r="B1776" s="3">
        <f t="shared" si="44"/>
        <v>1</v>
      </c>
      <c r="C1776" s="1" t="s">
        <v>2732</v>
      </c>
      <c r="D1776" s="1" t="s">
        <v>12</v>
      </c>
      <c r="E1776" s="1">
        <v>5</v>
      </c>
      <c r="F1776" s="1">
        <v>4</v>
      </c>
      <c r="G1776" s="1">
        <v>85</v>
      </c>
      <c r="H1776" s="10" t="s">
        <v>2121</v>
      </c>
      <c r="I1776" s="1">
        <f t="shared" si="45"/>
        <v>88000</v>
      </c>
      <c r="J1776" s="1">
        <v>50</v>
      </c>
      <c r="K1776" s="1">
        <v>500</v>
      </c>
      <c r="L1776" s="1">
        <v>45000</v>
      </c>
      <c r="M1776" s="1" t="str">
        <f t="shared" si="46"/>
        <v>103_4884_4884,104_9769_9769</v>
      </c>
      <c r="N1776" s="1" t="s">
        <v>2445</v>
      </c>
      <c r="O1776" s="1">
        <v>0</v>
      </c>
      <c r="P1776" s="1" t="s">
        <v>2059</v>
      </c>
      <c r="Q1776" s="7" t="str">
        <f t="shared" si="47"/>
        <v>equipment/1228.png</v>
      </c>
      <c r="R1776" s="1">
        <v>0</v>
      </c>
    </row>
    <row r="1777" spans="1:18" ht="14.25" thickBot="1">
      <c r="A1777" s="1">
        <v>40852051</v>
      </c>
      <c r="B1777" s="3">
        <f t="shared" si="44"/>
        <v>0</v>
      </c>
      <c r="C1777" s="1" t="s">
        <v>2733</v>
      </c>
      <c r="D1777" s="1" t="s">
        <v>12</v>
      </c>
      <c r="E1777" s="1">
        <v>5</v>
      </c>
      <c r="F1777" s="1">
        <v>4</v>
      </c>
      <c r="G1777" s="1">
        <v>85</v>
      </c>
      <c r="H1777" s="10" t="s">
        <v>2121</v>
      </c>
      <c r="I1777" s="1">
        <f t="shared" si="45"/>
        <v>91000</v>
      </c>
      <c r="J1777" s="1">
        <v>50</v>
      </c>
      <c r="K1777" s="1">
        <v>500</v>
      </c>
      <c r="L1777" s="1">
        <v>47500</v>
      </c>
      <c r="M1777" s="1" t="str">
        <f t="shared" si="46"/>
        <v>103_5119_5119,104_10238_10238</v>
      </c>
      <c r="N1777" s="1" t="s">
        <v>2445</v>
      </c>
      <c r="O1777" s="1">
        <v>0</v>
      </c>
      <c r="P1777" s="1" t="s">
        <v>2059</v>
      </c>
      <c r="Q1777" s="7" t="str">
        <f t="shared" si="47"/>
        <v>equipment/1230.png</v>
      </c>
      <c r="R1777" s="1">
        <v>0</v>
      </c>
    </row>
    <row r="1778" spans="1:18" ht="14.25" thickBot="1">
      <c r="A1778" s="1">
        <v>40852060</v>
      </c>
      <c r="B1778" s="3">
        <f t="shared" si="44"/>
        <v>1</v>
      </c>
      <c r="C1778" s="9" t="s">
        <v>2734</v>
      </c>
      <c r="D1778" s="1" t="s">
        <v>13</v>
      </c>
      <c r="E1778" s="1">
        <v>6</v>
      </c>
      <c r="F1778" s="1">
        <v>4</v>
      </c>
      <c r="G1778" s="1">
        <v>85</v>
      </c>
      <c r="H1778" s="10" t="s">
        <v>2121</v>
      </c>
      <c r="I1778" s="1">
        <f t="shared" si="45"/>
        <v>88000</v>
      </c>
      <c r="J1778" s="1">
        <v>50</v>
      </c>
      <c r="K1778" s="1">
        <v>500</v>
      </c>
      <c r="L1778" s="1">
        <v>45000</v>
      </c>
      <c r="M1778" s="1" t="str">
        <f t="shared" si="46"/>
        <v>108_4616_4616</v>
      </c>
      <c r="N1778" s="1" t="s">
        <v>2445</v>
      </c>
      <c r="O1778" s="1">
        <v>0</v>
      </c>
      <c r="P1778" s="1" t="s">
        <v>2059</v>
      </c>
      <c r="Q1778" s="7" t="str">
        <f t="shared" si="47"/>
        <v>equipment/2224.png</v>
      </c>
      <c r="R1778" s="1">
        <v>0</v>
      </c>
    </row>
    <row r="1779" spans="1:18" ht="14.25" thickBot="1">
      <c r="A1779" s="1">
        <v>40852061</v>
      </c>
      <c r="B1779" s="3">
        <f t="shared" si="44"/>
        <v>0</v>
      </c>
      <c r="C1779" s="9" t="s">
        <v>2735</v>
      </c>
      <c r="D1779" s="1" t="s">
        <v>13</v>
      </c>
      <c r="E1779" s="1">
        <v>6</v>
      </c>
      <c r="F1779" s="1">
        <v>4</v>
      </c>
      <c r="G1779" s="1">
        <v>85</v>
      </c>
      <c r="H1779" s="10" t="s">
        <v>2121</v>
      </c>
      <c r="I1779" s="1">
        <f t="shared" si="45"/>
        <v>91000</v>
      </c>
      <c r="J1779" s="1">
        <v>50</v>
      </c>
      <c r="K1779" s="1">
        <v>500</v>
      </c>
      <c r="L1779" s="1">
        <v>47500</v>
      </c>
      <c r="M1779" s="1" t="str">
        <f t="shared" si="46"/>
        <v>108_4739_4739</v>
      </c>
      <c r="N1779" s="1" t="s">
        <v>2445</v>
      </c>
      <c r="O1779" s="1">
        <v>0</v>
      </c>
      <c r="P1779" s="1" t="s">
        <v>2059</v>
      </c>
      <c r="Q1779" s="7" t="str">
        <f t="shared" si="47"/>
        <v>equipment/2221.png</v>
      </c>
      <c r="R1779" s="1">
        <v>0</v>
      </c>
    </row>
    <row r="1780" spans="1:18" ht="14.25" thickBot="1">
      <c r="A1780" s="1">
        <v>40853050</v>
      </c>
      <c r="B1780" s="3">
        <f t="shared" si="44"/>
        <v>1</v>
      </c>
      <c r="C1780" s="9" t="s">
        <v>2736</v>
      </c>
      <c r="D1780" s="1" t="s">
        <v>12</v>
      </c>
      <c r="E1780" s="1">
        <v>5</v>
      </c>
      <c r="F1780" s="1">
        <v>4</v>
      </c>
      <c r="G1780" s="1">
        <v>85</v>
      </c>
      <c r="H1780" s="10" t="s">
        <v>2122</v>
      </c>
      <c r="I1780" s="1">
        <f t="shared" si="45"/>
        <v>88000</v>
      </c>
      <c r="J1780" s="1">
        <v>50</v>
      </c>
      <c r="K1780" s="1">
        <v>500</v>
      </c>
      <c r="L1780" s="1">
        <v>45000</v>
      </c>
      <c r="M1780" s="1" t="str">
        <f t="shared" si="46"/>
        <v>103_4884_4884,104_9769_9769</v>
      </c>
      <c r="N1780" s="1" t="s">
        <v>2445</v>
      </c>
      <c r="O1780" s="1">
        <v>0</v>
      </c>
      <c r="P1780" s="1" t="s">
        <v>2059</v>
      </c>
      <c r="Q1780" s="7" t="str">
        <f t="shared" si="47"/>
        <v>equipment/1329.png</v>
      </c>
      <c r="R1780" s="1">
        <v>0</v>
      </c>
    </row>
    <row r="1781" spans="1:18" ht="14.25" thickBot="1">
      <c r="A1781" s="1">
        <v>40853051</v>
      </c>
      <c r="B1781" s="3">
        <f t="shared" si="44"/>
        <v>0</v>
      </c>
      <c r="C1781" s="9" t="s">
        <v>2737</v>
      </c>
      <c r="D1781" s="1" t="s">
        <v>12</v>
      </c>
      <c r="E1781" s="1">
        <v>5</v>
      </c>
      <c r="F1781" s="1">
        <v>4</v>
      </c>
      <c r="G1781" s="1">
        <v>85</v>
      </c>
      <c r="H1781" s="10" t="s">
        <v>2122</v>
      </c>
      <c r="I1781" s="1">
        <f t="shared" si="45"/>
        <v>91000</v>
      </c>
      <c r="J1781" s="1">
        <v>50</v>
      </c>
      <c r="K1781" s="1">
        <v>500</v>
      </c>
      <c r="L1781" s="1">
        <v>47500</v>
      </c>
      <c r="M1781" s="1" t="str">
        <f t="shared" si="46"/>
        <v>103_5119_5119,104_10238_10238</v>
      </c>
      <c r="N1781" s="1" t="s">
        <v>2445</v>
      </c>
      <c r="O1781" s="1">
        <v>0</v>
      </c>
      <c r="P1781" s="1" t="s">
        <v>2059</v>
      </c>
      <c r="Q1781" s="7" t="str">
        <f t="shared" si="47"/>
        <v>equipment/1331.png</v>
      </c>
      <c r="R1781" s="1">
        <v>0</v>
      </c>
    </row>
    <row r="1782" spans="1:18" ht="14.25" thickBot="1">
      <c r="A1782" s="1">
        <v>40853060</v>
      </c>
      <c r="B1782" s="3">
        <f t="shared" si="44"/>
        <v>1</v>
      </c>
      <c r="C1782" s="9" t="s">
        <v>2738</v>
      </c>
      <c r="D1782" s="1" t="s">
        <v>13</v>
      </c>
      <c r="E1782" s="1">
        <v>6</v>
      </c>
      <c r="F1782" s="1">
        <v>4</v>
      </c>
      <c r="G1782" s="1">
        <v>85</v>
      </c>
      <c r="H1782" s="10" t="s">
        <v>2122</v>
      </c>
      <c r="I1782" s="1">
        <f t="shared" si="45"/>
        <v>88000</v>
      </c>
      <c r="J1782" s="1">
        <v>50</v>
      </c>
      <c r="K1782" s="1">
        <v>500</v>
      </c>
      <c r="L1782" s="1">
        <v>45000</v>
      </c>
      <c r="M1782" s="1" t="str">
        <f t="shared" si="46"/>
        <v>102_3790_3790</v>
      </c>
      <c r="N1782" s="1" t="s">
        <v>2445</v>
      </c>
      <c r="O1782" s="1">
        <v>0</v>
      </c>
      <c r="P1782" s="1" t="s">
        <v>2059</v>
      </c>
      <c r="Q1782" s="7" t="str">
        <f t="shared" si="47"/>
        <v>equipment/102301.png</v>
      </c>
      <c r="R1782" s="1">
        <v>0</v>
      </c>
    </row>
    <row r="1783" spans="1:18" ht="14.25" thickBot="1">
      <c r="A1783" s="1">
        <v>40853061</v>
      </c>
      <c r="B1783" s="3">
        <f t="shared" si="44"/>
        <v>0</v>
      </c>
      <c r="C1783" s="9" t="s">
        <v>2739</v>
      </c>
      <c r="D1783" s="1" t="s">
        <v>13</v>
      </c>
      <c r="E1783" s="1">
        <v>6</v>
      </c>
      <c r="F1783" s="1">
        <v>4</v>
      </c>
      <c r="G1783" s="1">
        <v>85</v>
      </c>
      <c r="H1783" s="10" t="s">
        <v>2122</v>
      </c>
      <c r="I1783" s="1">
        <f t="shared" si="45"/>
        <v>91000</v>
      </c>
      <c r="J1783" s="1">
        <v>50</v>
      </c>
      <c r="K1783" s="1">
        <v>500</v>
      </c>
      <c r="L1783" s="1">
        <v>47500</v>
      </c>
      <c r="M1783" s="1" t="str">
        <f t="shared" si="46"/>
        <v>102_3890_3890</v>
      </c>
      <c r="N1783" s="1" t="s">
        <v>2445</v>
      </c>
      <c r="O1783" s="1">
        <v>0</v>
      </c>
      <c r="P1783" s="1" t="s">
        <v>2059</v>
      </c>
      <c r="Q1783" s="7" t="str">
        <f t="shared" si="47"/>
        <v>equipment/2323.png</v>
      </c>
      <c r="R1783" s="1">
        <v>0</v>
      </c>
    </row>
    <row r="1784" spans="1:18" ht="14.25" thickBot="1">
      <c r="A1784" s="1">
        <v>40850040</v>
      </c>
      <c r="B1784" s="3">
        <f t="shared" si="44"/>
        <v>1</v>
      </c>
      <c r="C1784" s="1" t="s">
        <v>2740</v>
      </c>
      <c r="D1784" s="1" t="s">
        <v>11</v>
      </c>
      <c r="E1784" s="1">
        <v>4</v>
      </c>
      <c r="F1784" s="1">
        <v>4</v>
      </c>
      <c r="G1784" s="1">
        <v>85</v>
      </c>
      <c r="H1784" s="10">
        <v>0</v>
      </c>
      <c r="I1784" s="1">
        <f t="shared" si="45"/>
        <v>88000</v>
      </c>
      <c r="J1784" s="1">
        <v>50</v>
      </c>
      <c r="K1784" s="1">
        <v>500</v>
      </c>
      <c r="L1784" s="1">
        <v>45000</v>
      </c>
      <c r="M1784" s="1" t="str">
        <f t="shared" si="46"/>
        <v>105_2989_2989</v>
      </c>
      <c r="N1784" s="1" t="s">
        <v>2444</v>
      </c>
      <c r="O1784" s="1">
        <v>0</v>
      </c>
      <c r="P1784" s="1" t="s">
        <v>2059</v>
      </c>
      <c r="Q1784" s="7" t="str">
        <f t="shared" si="47"/>
        <v>equipment/105001.png</v>
      </c>
      <c r="R1784" s="1">
        <v>0</v>
      </c>
    </row>
    <row r="1785" spans="1:18" ht="14.25" thickBot="1">
      <c r="A1785" s="1">
        <v>40850041</v>
      </c>
      <c r="B1785" s="3">
        <f t="shared" si="44"/>
        <v>0</v>
      </c>
      <c r="C1785" s="1" t="s">
        <v>2741</v>
      </c>
      <c r="D1785" s="1" t="s">
        <v>11</v>
      </c>
      <c r="E1785" s="1">
        <v>4</v>
      </c>
      <c r="F1785" s="1">
        <v>4</v>
      </c>
      <c r="G1785" s="1">
        <v>85</v>
      </c>
      <c r="H1785" s="10">
        <v>0</v>
      </c>
      <c r="I1785" s="1">
        <f t="shared" si="45"/>
        <v>91000</v>
      </c>
      <c r="J1785" s="1">
        <v>50</v>
      </c>
      <c r="K1785" s="1">
        <v>500</v>
      </c>
      <c r="L1785" s="1">
        <v>47500</v>
      </c>
      <c r="M1785" s="1" t="str">
        <f t="shared" si="46"/>
        <v>105_3172_3172</v>
      </c>
      <c r="N1785" s="1" t="s">
        <v>2444</v>
      </c>
      <c r="O1785" s="1">
        <v>0</v>
      </c>
      <c r="P1785" s="1" t="s">
        <v>2059</v>
      </c>
      <c r="Q1785" s="7" t="str">
        <f t="shared" si="47"/>
        <v>equipment/5023.png</v>
      </c>
      <c r="R1785" s="1">
        <v>0</v>
      </c>
    </row>
    <row r="1786" spans="1:18" ht="14.25" thickBot="1">
      <c r="A1786" s="1">
        <v>40850070</v>
      </c>
      <c r="B1786" s="3">
        <f t="shared" si="44"/>
        <v>1</v>
      </c>
      <c r="C1786" s="1" t="s">
        <v>2742</v>
      </c>
      <c r="D1786" s="1" t="s">
        <v>14</v>
      </c>
      <c r="E1786" s="1">
        <v>7</v>
      </c>
      <c r="F1786" s="1">
        <v>4</v>
      </c>
      <c r="G1786" s="1">
        <v>85</v>
      </c>
      <c r="H1786" s="10">
        <v>0</v>
      </c>
      <c r="I1786" s="1">
        <f t="shared" si="45"/>
        <v>88000</v>
      </c>
      <c r="J1786" s="1">
        <v>50</v>
      </c>
      <c r="K1786" s="1">
        <v>500</v>
      </c>
      <c r="L1786" s="1">
        <v>45000</v>
      </c>
      <c r="M1786" s="1" t="str">
        <f t="shared" si="46"/>
        <v>105_2989_2989</v>
      </c>
      <c r="N1786" s="1" t="s">
        <v>2444</v>
      </c>
      <c r="O1786" s="1">
        <v>0</v>
      </c>
      <c r="P1786" s="1" t="s">
        <v>2059</v>
      </c>
      <c r="Q1786" s="7" t="str">
        <f t="shared" si="47"/>
        <v>equipment/7023.png</v>
      </c>
      <c r="R1786" s="1">
        <v>0</v>
      </c>
    </row>
    <row r="1787" spans="1:18" ht="14.25" thickBot="1">
      <c r="A1787" s="1">
        <v>40850071</v>
      </c>
      <c r="B1787" s="3">
        <f t="shared" ref="B1787:B1850" si="48">B1325</f>
        <v>0</v>
      </c>
      <c r="C1787" s="1" t="s">
        <v>2743</v>
      </c>
      <c r="D1787" s="1" t="s">
        <v>14</v>
      </c>
      <c r="E1787" s="1">
        <v>7</v>
      </c>
      <c r="F1787" s="1">
        <v>4</v>
      </c>
      <c r="G1787" s="1">
        <v>85</v>
      </c>
      <c r="H1787" s="10">
        <v>0</v>
      </c>
      <c r="I1787" s="1">
        <f t="shared" ref="I1787:I1850" si="49">I401*10</f>
        <v>91000</v>
      </c>
      <c r="J1787" s="1">
        <v>50</v>
      </c>
      <c r="K1787" s="1">
        <v>500</v>
      </c>
      <c r="L1787" s="1">
        <v>47500</v>
      </c>
      <c r="M1787" s="1" t="str">
        <f t="shared" ref="M1787:M1850" si="50">M1325</f>
        <v>105_3172_3172</v>
      </c>
      <c r="N1787" s="1" t="s">
        <v>2444</v>
      </c>
      <c r="O1787" s="1">
        <v>0</v>
      </c>
      <c r="P1787" s="1" t="s">
        <v>2059</v>
      </c>
      <c r="Q1787" s="7" t="str">
        <f t="shared" si="47"/>
        <v>equipment/107001.png</v>
      </c>
      <c r="R1787" s="1">
        <v>0</v>
      </c>
    </row>
    <row r="1788" spans="1:18" ht="14.25" thickBot="1">
      <c r="A1788" s="1">
        <v>40900010</v>
      </c>
      <c r="B1788" s="3">
        <f t="shared" si="48"/>
        <v>1</v>
      </c>
      <c r="C1788" s="1" t="s">
        <v>2744</v>
      </c>
      <c r="D1788" s="1" t="s">
        <v>8</v>
      </c>
      <c r="E1788" s="1">
        <v>1</v>
      </c>
      <c r="F1788" s="1">
        <v>4</v>
      </c>
      <c r="G1788" s="1">
        <v>90</v>
      </c>
      <c r="H1788" s="10">
        <v>0</v>
      </c>
      <c r="I1788" s="1">
        <f t="shared" si="49"/>
        <v>94000</v>
      </c>
      <c r="J1788" s="1">
        <v>50</v>
      </c>
      <c r="K1788" s="1">
        <v>500</v>
      </c>
      <c r="L1788" s="1">
        <v>47500</v>
      </c>
      <c r="M1788" s="1" t="str">
        <f t="shared" si="50"/>
        <v>106_4428_4428</v>
      </c>
      <c r="N1788" s="1" t="s">
        <v>2446</v>
      </c>
      <c r="O1788" s="1">
        <v>0</v>
      </c>
      <c r="P1788" s="1" t="s">
        <v>2059</v>
      </c>
      <c r="Q1788" s="7" t="str">
        <f t="shared" si="47"/>
        <v>equipment/3017.png</v>
      </c>
      <c r="R1788" s="1">
        <v>0</v>
      </c>
    </row>
    <row r="1789" spans="1:18" ht="14.25" thickBot="1">
      <c r="A1789" s="1">
        <v>40900020</v>
      </c>
      <c r="B1789" s="3">
        <f t="shared" si="48"/>
        <v>1</v>
      </c>
      <c r="C1789" s="1" t="s">
        <v>2745</v>
      </c>
      <c r="D1789" s="1" t="s">
        <v>9</v>
      </c>
      <c r="E1789" s="1">
        <v>2</v>
      </c>
      <c r="F1789" s="1">
        <v>4</v>
      </c>
      <c r="G1789" s="1">
        <v>90</v>
      </c>
      <c r="H1789" s="10">
        <v>0</v>
      </c>
      <c r="I1789" s="1">
        <f t="shared" si="49"/>
        <v>94000</v>
      </c>
      <c r="J1789" s="1">
        <v>50</v>
      </c>
      <c r="K1789" s="1">
        <v>500</v>
      </c>
      <c r="L1789" s="1">
        <v>47500</v>
      </c>
      <c r="M1789" s="1" t="str">
        <f t="shared" si="50"/>
        <v>102_2150_2150</v>
      </c>
      <c r="N1789" s="1" t="s">
        <v>2446</v>
      </c>
      <c r="O1789" s="1">
        <v>0</v>
      </c>
      <c r="P1789" s="1" t="s">
        <v>2059</v>
      </c>
      <c r="Q1789" s="7" t="str">
        <f t="shared" si="47"/>
        <v>equipment/14015.png</v>
      </c>
      <c r="R1789" s="1">
        <v>0</v>
      </c>
    </row>
    <row r="1790" spans="1:18" ht="14.25" thickBot="1">
      <c r="A1790" s="1">
        <v>40900030</v>
      </c>
      <c r="B1790" s="3">
        <f t="shared" si="48"/>
        <v>1</v>
      </c>
      <c r="C1790" s="1" t="s">
        <v>2746</v>
      </c>
      <c r="D1790" s="1" t="s">
        <v>10</v>
      </c>
      <c r="E1790" s="1">
        <v>3</v>
      </c>
      <c r="F1790" s="1">
        <v>4</v>
      </c>
      <c r="G1790" s="1">
        <v>90</v>
      </c>
      <c r="H1790" s="10">
        <v>0</v>
      </c>
      <c r="I1790" s="1">
        <f t="shared" si="49"/>
        <v>94000</v>
      </c>
      <c r="J1790" s="1">
        <v>50</v>
      </c>
      <c r="K1790" s="1">
        <v>500</v>
      </c>
      <c r="L1790" s="1">
        <v>47500</v>
      </c>
      <c r="M1790" s="1" t="str">
        <f t="shared" si="50"/>
        <v>101_29800_29800</v>
      </c>
      <c r="N1790" s="1" t="s">
        <v>2446</v>
      </c>
      <c r="O1790" s="1">
        <v>0</v>
      </c>
      <c r="P1790" s="1" t="s">
        <v>2059</v>
      </c>
      <c r="Q1790" s="7" t="str">
        <f t="shared" si="47"/>
        <v>equipment/6016.png</v>
      </c>
      <c r="R1790" s="1">
        <v>0</v>
      </c>
    </row>
    <row r="1791" spans="1:18" ht="14.25" thickBot="1">
      <c r="A1791" s="1">
        <v>40900080</v>
      </c>
      <c r="B1791" s="3">
        <f t="shared" si="48"/>
        <v>1</v>
      </c>
      <c r="C1791" s="1" t="s">
        <v>2747</v>
      </c>
      <c r="D1791" s="1" t="s">
        <v>15</v>
      </c>
      <c r="E1791" s="1">
        <v>8</v>
      </c>
      <c r="F1791" s="1">
        <v>4</v>
      </c>
      <c r="G1791" s="1">
        <v>90</v>
      </c>
      <c r="H1791" s="10">
        <v>0</v>
      </c>
      <c r="I1791" s="1">
        <f t="shared" si="49"/>
        <v>94000</v>
      </c>
      <c r="J1791" s="1">
        <v>50</v>
      </c>
      <c r="K1791" s="1">
        <v>500</v>
      </c>
      <c r="L1791" s="1">
        <v>47500</v>
      </c>
      <c r="M1791" s="1" t="str">
        <f t="shared" si="50"/>
        <v>110_715_715</v>
      </c>
      <c r="N1791" s="1" t="s">
        <v>2446</v>
      </c>
      <c r="O1791" s="1">
        <v>0</v>
      </c>
      <c r="P1791" s="1" t="s">
        <v>2059</v>
      </c>
      <c r="Q1791" s="7" t="str">
        <f t="shared" si="47"/>
        <v>equipment/8017.png</v>
      </c>
      <c r="R1791" s="1">
        <v>0</v>
      </c>
    </row>
    <row r="1792" spans="1:18" ht="14.25" thickBot="1">
      <c r="A1792" s="1">
        <v>40900090</v>
      </c>
      <c r="B1792" s="3">
        <f t="shared" si="48"/>
        <v>1</v>
      </c>
      <c r="C1792" s="1" t="s">
        <v>2748</v>
      </c>
      <c r="D1792" s="1" t="s">
        <v>16</v>
      </c>
      <c r="E1792" s="1">
        <v>9</v>
      </c>
      <c r="F1792" s="1">
        <v>4</v>
      </c>
      <c r="G1792" s="1">
        <v>90</v>
      </c>
      <c r="H1792" s="10">
        <v>0</v>
      </c>
      <c r="I1792" s="1">
        <f t="shared" si="49"/>
        <v>94000</v>
      </c>
      <c r="J1792" s="1">
        <v>50</v>
      </c>
      <c r="K1792" s="1">
        <v>500</v>
      </c>
      <c r="L1792" s="1">
        <v>47500</v>
      </c>
      <c r="M1792" s="1" t="str">
        <f t="shared" si="50"/>
        <v>108_6155_6155</v>
      </c>
      <c r="N1792" s="1" t="s">
        <v>2446</v>
      </c>
      <c r="O1792" s="1">
        <v>0</v>
      </c>
      <c r="P1792" s="1" t="s">
        <v>2059</v>
      </c>
      <c r="Q1792" s="7" t="str">
        <f t="shared" si="47"/>
        <v>equipment/10017.png</v>
      </c>
      <c r="R1792" s="1">
        <v>0</v>
      </c>
    </row>
    <row r="1793" spans="1:18" ht="14.25" thickBot="1">
      <c r="A1793" s="1">
        <v>40900100</v>
      </c>
      <c r="B1793" s="3">
        <f t="shared" si="48"/>
        <v>1</v>
      </c>
      <c r="C1793" s="1" t="s">
        <v>2749</v>
      </c>
      <c r="D1793" s="1" t="s">
        <v>17</v>
      </c>
      <c r="E1793" s="1">
        <v>10</v>
      </c>
      <c r="F1793" s="1">
        <v>4</v>
      </c>
      <c r="G1793" s="1">
        <v>90</v>
      </c>
      <c r="H1793" s="10">
        <v>0</v>
      </c>
      <c r="I1793" s="1">
        <f t="shared" si="49"/>
        <v>94000</v>
      </c>
      <c r="J1793" s="1">
        <v>50</v>
      </c>
      <c r="K1793" s="1">
        <v>500</v>
      </c>
      <c r="L1793" s="1">
        <v>47500</v>
      </c>
      <c r="M1793" s="1" t="str">
        <f t="shared" si="50"/>
        <v>107_4428_4428</v>
      </c>
      <c r="N1793" s="1" t="s">
        <v>2446</v>
      </c>
      <c r="O1793" s="1">
        <v>0</v>
      </c>
      <c r="P1793" s="1" t="s">
        <v>2059</v>
      </c>
      <c r="Q1793" s="7" t="str">
        <f t="shared" si="47"/>
        <v>equipment/12017.png</v>
      </c>
      <c r="R1793" s="1">
        <v>0</v>
      </c>
    </row>
    <row r="1794" spans="1:18" ht="14.25" thickBot="1">
      <c r="A1794" s="1">
        <v>40901050</v>
      </c>
      <c r="B1794" s="3">
        <f t="shared" si="48"/>
        <v>1</v>
      </c>
      <c r="C1794" s="9" t="s">
        <v>2751</v>
      </c>
      <c r="D1794" s="1" t="s">
        <v>12</v>
      </c>
      <c r="E1794" s="1">
        <v>5</v>
      </c>
      <c r="F1794" s="1">
        <v>4</v>
      </c>
      <c r="G1794" s="1">
        <v>90</v>
      </c>
      <c r="H1794" s="10" t="s">
        <v>2120</v>
      </c>
      <c r="I1794" s="1">
        <f t="shared" si="49"/>
        <v>94000</v>
      </c>
      <c r="J1794" s="1">
        <v>50</v>
      </c>
      <c r="K1794" s="1">
        <v>500</v>
      </c>
      <c r="L1794" s="1">
        <v>47500</v>
      </c>
      <c r="M1794" s="1" t="str">
        <f t="shared" si="50"/>
        <v>103_5471_5471,104_10942_10942</v>
      </c>
      <c r="N1794" s="1" t="s">
        <v>2447</v>
      </c>
      <c r="O1794" s="1">
        <v>0</v>
      </c>
      <c r="P1794" s="1" t="s">
        <v>2059</v>
      </c>
      <c r="Q1794" s="7" t="str">
        <f t="shared" si="47"/>
        <v>equipment/101101.png</v>
      </c>
      <c r="R1794" s="1">
        <v>0</v>
      </c>
    </row>
    <row r="1795" spans="1:18" ht="14.25" thickBot="1">
      <c r="A1795" s="1">
        <v>40901051</v>
      </c>
      <c r="B1795" s="3">
        <f t="shared" si="48"/>
        <v>0</v>
      </c>
      <c r="C1795" s="9" t="s">
        <v>2750</v>
      </c>
      <c r="D1795" s="1" t="s">
        <v>12</v>
      </c>
      <c r="E1795" s="1">
        <v>5</v>
      </c>
      <c r="F1795" s="1">
        <v>4</v>
      </c>
      <c r="G1795" s="1">
        <v>90</v>
      </c>
      <c r="H1795" s="10" t="s">
        <v>2120</v>
      </c>
      <c r="I1795" s="1">
        <f t="shared" si="49"/>
        <v>97000</v>
      </c>
      <c r="J1795" s="1">
        <v>50</v>
      </c>
      <c r="K1795" s="1">
        <v>500</v>
      </c>
      <c r="L1795" s="1">
        <v>50000</v>
      </c>
      <c r="M1795" s="1" t="str">
        <f t="shared" si="50"/>
        <v>103_5719_5719,104_11438_11438</v>
      </c>
      <c r="N1795" s="1" t="s">
        <v>2447</v>
      </c>
      <c r="O1795" s="1">
        <v>0</v>
      </c>
      <c r="P1795" s="1" t="s">
        <v>2059</v>
      </c>
      <c r="Q1795" s="7" t="str">
        <f t="shared" si="47"/>
        <v>equipment/1131.png</v>
      </c>
      <c r="R1795" s="1">
        <v>0</v>
      </c>
    </row>
    <row r="1796" spans="1:18" ht="14.25" thickBot="1">
      <c r="A1796" s="1">
        <v>40901060</v>
      </c>
      <c r="B1796" s="3">
        <f t="shared" si="48"/>
        <v>1</v>
      </c>
      <c r="C1796" s="9" t="s">
        <v>2752</v>
      </c>
      <c r="D1796" s="1" t="s">
        <v>13</v>
      </c>
      <c r="E1796" s="1">
        <v>6</v>
      </c>
      <c r="F1796" s="1">
        <v>4</v>
      </c>
      <c r="G1796" s="1">
        <v>90</v>
      </c>
      <c r="H1796" s="10" t="s">
        <v>2120</v>
      </c>
      <c r="I1796" s="1">
        <f t="shared" si="49"/>
        <v>94000</v>
      </c>
      <c r="J1796" s="1">
        <v>50</v>
      </c>
      <c r="K1796" s="1">
        <v>500</v>
      </c>
      <c r="L1796" s="1">
        <v>47500</v>
      </c>
      <c r="M1796" s="1" t="str">
        <f t="shared" si="50"/>
        <v>105_4924_4924</v>
      </c>
      <c r="N1796" s="1" t="s">
        <v>2447</v>
      </c>
      <c r="O1796" s="1">
        <v>0</v>
      </c>
      <c r="P1796" s="1" t="s">
        <v>2059</v>
      </c>
      <c r="Q1796" s="7" t="str">
        <f t="shared" si="47"/>
        <v>equipment/2125.png</v>
      </c>
      <c r="R1796" s="1">
        <v>0</v>
      </c>
    </row>
    <row r="1797" spans="1:18" ht="14.25" thickBot="1">
      <c r="A1797" s="1">
        <v>40901061</v>
      </c>
      <c r="B1797" s="3">
        <f t="shared" si="48"/>
        <v>0</v>
      </c>
      <c r="C1797" s="9" t="s">
        <v>2753</v>
      </c>
      <c r="D1797" s="1" t="s">
        <v>13</v>
      </c>
      <c r="E1797" s="1">
        <v>6</v>
      </c>
      <c r="F1797" s="1">
        <v>4</v>
      </c>
      <c r="G1797" s="1">
        <v>90</v>
      </c>
      <c r="H1797" s="10" t="s">
        <v>2120</v>
      </c>
      <c r="I1797" s="1">
        <f t="shared" si="49"/>
        <v>97000</v>
      </c>
      <c r="J1797" s="1">
        <v>50</v>
      </c>
      <c r="K1797" s="1">
        <v>500</v>
      </c>
      <c r="L1797" s="1">
        <v>50000</v>
      </c>
      <c r="M1797" s="1" t="str">
        <f t="shared" si="50"/>
        <v>105_5147_5147</v>
      </c>
      <c r="N1797" s="1" t="s">
        <v>2447</v>
      </c>
      <c r="O1797" s="1">
        <v>0</v>
      </c>
      <c r="P1797" s="1" t="s">
        <v>2059</v>
      </c>
      <c r="Q1797" s="7" t="str">
        <f t="shared" si="47"/>
        <v>equipment/102101.png</v>
      </c>
      <c r="R1797" s="1">
        <v>0</v>
      </c>
    </row>
    <row r="1798" spans="1:18" ht="14.25" thickBot="1">
      <c r="A1798" s="1">
        <v>40902050</v>
      </c>
      <c r="B1798" s="3">
        <f t="shared" si="48"/>
        <v>1</v>
      </c>
      <c r="C1798" s="1" t="s">
        <v>2754</v>
      </c>
      <c r="D1798" s="1" t="s">
        <v>12</v>
      </c>
      <c r="E1798" s="1">
        <v>5</v>
      </c>
      <c r="F1798" s="1">
        <v>4</v>
      </c>
      <c r="G1798" s="1">
        <v>90</v>
      </c>
      <c r="H1798" s="10" t="s">
        <v>2121</v>
      </c>
      <c r="I1798" s="1">
        <f t="shared" si="49"/>
        <v>94000</v>
      </c>
      <c r="J1798" s="1">
        <v>50</v>
      </c>
      <c r="K1798" s="1">
        <v>500</v>
      </c>
      <c r="L1798" s="1">
        <v>47500</v>
      </c>
      <c r="M1798" s="1" t="str">
        <f t="shared" si="50"/>
        <v>103_5471_5471,104_10942_10942</v>
      </c>
      <c r="N1798" s="1" t="s">
        <v>2447</v>
      </c>
      <c r="O1798" s="1">
        <v>0</v>
      </c>
      <c r="P1798" s="1" t="s">
        <v>2059</v>
      </c>
      <c r="Q1798" s="7" t="str">
        <f t="shared" si="47"/>
        <v>equipment/1231.png</v>
      </c>
      <c r="R1798" s="1">
        <v>0</v>
      </c>
    </row>
    <row r="1799" spans="1:18" ht="14.25" thickBot="1">
      <c r="A1799" s="1">
        <v>40902051</v>
      </c>
      <c r="B1799" s="3">
        <f t="shared" si="48"/>
        <v>0</v>
      </c>
      <c r="C1799" s="9" t="s">
        <v>2755</v>
      </c>
      <c r="D1799" s="1" t="s">
        <v>12</v>
      </c>
      <c r="E1799" s="1">
        <v>5</v>
      </c>
      <c r="F1799" s="1">
        <v>4</v>
      </c>
      <c r="G1799" s="1">
        <v>90</v>
      </c>
      <c r="H1799" s="10" t="s">
        <v>2121</v>
      </c>
      <c r="I1799" s="1">
        <f t="shared" si="49"/>
        <v>97000</v>
      </c>
      <c r="J1799" s="1">
        <v>50</v>
      </c>
      <c r="K1799" s="1">
        <v>500</v>
      </c>
      <c r="L1799" s="1">
        <v>50000</v>
      </c>
      <c r="M1799" s="1" t="str">
        <f t="shared" si="50"/>
        <v>103_5719_5719,104_11438_11438</v>
      </c>
      <c r="N1799" s="1" t="s">
        <v>2447</v>
      </c>
      <c r="O1799" s="1">
        <v>0</v>
      </c>
      <c r="P1799" s="1" t="s">
        <v>2059</v>
      </c>
      <c r="Q1799" s="7" t="str">
        <f t="shared" si="47"/>
        <v>equipment/101201.png</v>
      </c>
      <c r="R1799" s="1">
        <v>0</v>
      </c>
    </row>
    <row r="1800" spans="1:18" ht="14.25" thickBot="1">
      <c r="A1800" s="1">
        <v>40902060</v>
      </c>
      <c r="B1800" s="3">
        <f t="shared" si="48"/>
        <v>1</v>
      </c>
      <c r="C1800" s="9" t="s">
        <v>2756</v>
      </c>
      <c r="D1800" s="1" t="s">
        <v>13</v>
      </c>
      <c r="E1800" s="1">
        <v>6</v>
      </c>
      <c r="F1800" s="1">
        <v>4</v>
      </c>
      <c r="G1800" s="1">
        <v>90</v>
      </c>
      <c r="H1800" s="10" t="s">
        <v>2121</v>
      </c>
      <c r="I1800" s="1">
        <f t="shared" si="49"/>
        <v>94000</v>
      </c>
      <c r="J1800" s="1">
        <v>50</v>
      </c>
      <c r="K1800" s="1">
        <v>500</v>
      </c>
      <c r="L1800" s="1">
        <v>47500</v>
      </c>
      <c r="M1800" s="1" t="str">
        <f t="shared" si="50"/>
        <v>108_4924_4924</v>
      </c>
      <c r="N1800" s="1" t="s">
        <v>2447</v>
      </c>
      <c r="O1800" s="1">
        <v>0</v>
      </c>
      <c r="P1800" s="1" t="s">
        <v>2059</v>
      </c>
      <c r="Q1800" s="7" t="str">
        <f t="shared" si="47"/>
        <v>equipment/2225.png</v>
      </c>
      <c r="R1800" s="1">
        <v>0</v>
      </c>
    </row>
    <row r="1801" spans="1:18" ht="14.25" thickBot="1">
      <c r="A1801" s="1">
        <v>40902061</v>
      </c>
      <c r="B1801" s="3">
        <f t="shared" si="48"/>
        <v>0</v>
      </c>
      <c r="C1801" s="9" t="s">
        <v>2757</v>
      </c>
      <c r="D1801" s="1" t="s">
        <v>13</v>
      </c>
      <c r="E1801" s="1">
        <v>6</v>
      </c>
      <c r="F1801" s="1">
        <v>4</v>
      </c>
      <c r="G1801" s="1">
        <v>90</v>
      </c>
      <c r="H1801" s="10" t="s">
        <v>2121</v>
      </c>
      <c r="I1801" s="1">
        <f t="shared" si="49"/>
        <v>97000</v>
      </c>
      <c r="J1801" s="1">
        <v>50</v>
      </c>
      <c r="K1801" s="1">
        <v>500</v>
      </c>
      <c r="L1801" s="1">
        <v>50000</v>
      </c>
      <c r="M1801" s="1" t="str">
        <f t="shared" si="50"/>
        <v>108_5147_5147</v>
      </c>
      <c r="N1801" s="1" t="s">
        <v>2447</v>
      </c>
      <c r="O1801" s="1">
        <v>0</v>
      </c>
      <c r="P1801" s="1" t="s">
        <v>2059</v>
      </c>
      <c r="Q1801" s="7" t="str">
        <f t="shared" si="47"/>
        <v>equipment/2217.png</v>
      </c>
      <c r="R1801" s="1">
        <v>0</v>
      </c>
    </row>
    <row r="1802" spans="1:18" ht="14.25" thickBot="1">
      <c r="A1802" s="1">
        <v>40903050</v>
      </c>
      <c r="B1802" s="3">
        <f t="shared" si="48"/>
        <v>1</v>
      </c>
      <c r="C1802" s="9" t="s">
        <v>2758</v>
      </c>
      <c r="D1802" s="1" t="s">
        <v>12</v>
      </c>
      <c r="E1802" s="1">
        <v>5</v>
      </c>
      <c r="F1802" s="1">
        <v>4</v>
      </c>
      <c r="G1802" s="1">
        <v>90</v>
      </c>
      <c r="H1802" s="10" t="s">
        <v>2122</v>
      </c>
      <c r="I1802" s="1">
        <f t="shared" si="49"/>
        <v>94000</v>
      </c>
      <c r="J1802" s="1">
        <v>50</v>
      </c>
      <c r="K1802" s="1">
        <v>500</v>
      </c>
      <c r="L1802" s="1">
        <v>47500</v>
      </c>
      <c r="M1802" s="1" t="str">
        <f t="shared" si="50"/>
        <v>103_5471_5471,104_10942_10942</v>
      </c>
      <c r="N1802" s="1" t="s">
        <v>2447</v>
      </c>
      <c r="O1802" s="1">
        <v>0</v>
      </c>
      <c r="P1802" s="1" t="s">
        <v>2059</v>
      </c>
      <c r="Q1802" s="7" t="str">
        <f t="shared" si="47"/>
        <v>equipment/1330.png</v>
      </c>
      <c r="R1802" s="1">
        <v>0</v>
      </c>
    </row>
    <row r="1803" spans="1:18" ht="14.25" thickBot="1">
      <c r="A1803" s="1">
        <v>40903051</v>
      </c>
      <c r="B1803" s="3">
        <f t="shared" si="48"/>
        <v>0</v>
      </c>
      <c r="C1803" s="9" t="s">
        <v>2759</v>
      </c>
      <c r="D1803" s="1" t="s">
        <v>12</v>
      </c>
      <c r="E1803" s="1">
        <v>5</v>
      </c>
      <c r="F1803" s="1">
        <v>4</v>
      </c>
      <c r="G1803" s="1">
        <v>90</v>
      </c>
      <c r="H1803" s="10" t="s">
        <v>2122</v>
      </c>
      <c r="I1803" s="1">
        <f t="shared" si="49"/>
        <v>97000</v>
      </c>
      <c r="J1803" s="1">
        <v>50</v>
      </c>
      <c r="K1803" s="1">
        <v>500</v>
      </c>
      <c r="L1803" s="1">
        <v>50000</v>
      </c>
      <c r="M1803" s="1" t="str">
        <f t="shared" si="50"/>
        <v>103_5719_5719,104_11438_11438</v>
      </c>
      <c r="N1803" s="1" t="s">
        <v>2447</v>
      </c>
      <c r="O1803" s="1">
        <v>0</v>
      </c>
      <c r="P1803" s="1" t="s">
        <v>2059</v>
      </c>
      <c r="Q1803" s="7" t="str">
        <f t="shared" si="47"/>
        <v>equipment/1328.png</v>
      </c>
      <c r="R1803" s="1">
        <v>0</v>
      </c>
    </row>
    <row r="1804" spans="1:18" ht="14.25" thickBot="1">
      <c r="A1804" s="1">
        <v>40903060</v>
      </c>
      <c r="B1804" s="3">
        <f t="shared" si="48"/>
        <v>1</v>
      </c>
      <c r="C1804" s="9" t="s">
        <v>2760</v>
      </c>
      <c r="D1804" s="1" t="s">
        <v>13</v>
      </c>
      <c r="E1804" s="1">
        <v>6</v>
      </c>
      <c r="F1804" s="1">
        <v>4</v>
      </c>
      <c r="G1804" s="1">
        <v>90</v>
      </c>
      <c r="H1804" s="10" t="s">
        <v>2122</v>
      </c>
      <c r="I1804" s="1">
        <f t="shared" si="49"/>
        <v>94000</v>
      </c>
      <c r="J1804" s="1">
        <v>50</v>
      </c>
      <c r="K1804" s="1">
        <v>500</v>
      </c>
      <c r="L1804" s="1">
        <v>47500</v>
      </c>
      <c r="M1804" s="1" t="str">
        <f t="shared" si="50"/>
        <v>102_4040_4040</v>
      </c>
      <c r="N1804" s="1" t="s">
        <v>2447</v>
      </c>
      <c r="O1804" s="1">
        <v>0</v>
      </c>
      <c r="P1804" s="1" t="s">
        <v>2059</v>
      </c>
      <c r="Q1804" s="7" t="str">
        <f t="shared" si="47"/>
        <v>equipment/2325.png</v>
      </c>
      <c r="R1804" s="1">
        <v>0</v>
      </c>
    </row>
    <row r="1805" spans="1:18" ht="14.25" thickBot="1">
      <c r="A1805" s="1">
        <v>40903061</v>
      </c>
      <c r="B1805" s="3">
        <f t="shared" si="48"/>
        <v>0</v>
      </c>
      <c r="C1805" s="9" t="s">
        <v>2673</v>
      </c>
      <c r="D1805" s="1" t="s">
        <v>13</v>
      </c>
      <c r="E1805" s="1">
        <v>6</v>
      </c>
      <c r="F1805" s="1">
        <v>4</v>
      </c>
      <c r="G1805" s="1">
        <v>90</v>
      </c>
      <c r="H1805" s="10" t="s">
        <v>2122</v>
      </c>
      <c r="I1805" s="1">
        <f t="shared" si="49"/>
        <v>97000</v>
      </c>
      <c r="J1805" s="1">
        <v>50</v>
      </c>
      <c r="K1805" s="1">
        <v>500</v>
      </c>
      <c r="L1805" s="1">
        <v>50000</v>
      </c>
      <c r="M1805" s="1" t="str">
        <f t="shared" si="50"/>
        <v>102_4140_4140</v>
      </c>
      <c r="N1805" s="1" t="s">
        <v>2447</v>
      </c>
      <c r="O1805" s="1">
        <v>0</v>
      </c>
      <c r="P1805" s="1" t="s">
        <v>2059</v>
      </c>
      <c r="Q1805" s="7" t="str">
        <f t="shared" si="47"/>
        <v>equipment/2324.png</v>
      </c>
      <c r="R1805" s="1">
        <v>0</v>
      </c>
    </row>
    <row r="1806" spans="1:18" ht="14.25" thickBot="1">
      <c r="A1806" s="1">
        <v>40900040</v>
      </c>
      <c r="B1806" s="3">
        <f t="shared" si="48"/>
        <v>1</v>
      </c>
      <c r="C1806" s="1" t="s">
        <v>2761</v>
      </c>
      <c r="D1806" s="1" t="s">
        <v>11</v>
      </c>
      <c r="E1806" s="1">
        <v>4</v>
      </c>
      <c r="F1806" s="1">
        <v>4</v>
      </c>
      <c r="G1806" s="1">
        <v>90</v>
      </c>
      <c r="H1806" s="10">
        <v>0</v>
      </c>
      <c r="I1806" s="1">
        <f t="shared" si="49"/>
        <v>94000</v>
      </c>
      <c r="J1806" s="1">
        <v>50</v>
      </c>
      <c r="K1806" s="1">
        <v>500</v>
      </c>
      <c r="L1806" s="1">
        <v>47500</v>
      </c>
      <c r="M1806" s="1" t="str">
        <f t="shared" si="50"/>
        <v>105_3447_3447</v>
      </c>
      <c r="N1806" s="1" t="s">
        <v>2446</v>
      </c>
      <c r="O1806" s="1">
        <v>0</v>
      </c>
      <c r="P1806" s="1" t="s">
        <v>2059</v>
      </c>
      <c r="Q1806" s="7" t="str">
        <f t="shared" si="47"/>
        <v>equipment/5024.png</v>
      </c>
      <c r="R1806" s="1">
        <v>0</v>
      </c>
    </row>
    <row r="1807" spans="1:18" ht="14.25" thickBot="1">
      <c r="A1807" s="1">
        <v>40900041</v>
      </c>
      <c r="B1807" s="3">
        <f t="shared" si="48"/>
        <v>0</v>
      </c>
      <c r="C1807" s="1" t="s">
        <v>2762</v>
      </c>
      <c r="D1807" s="1" t="s">
        <v>11</v>
      </c>
      <c r="E1807" s="1">
        <v>4</v>
      </c>
      <c r="F1807" s="1">
        <v>4</v>
      </c>
      <c r="G1807" s="1">
        <v>90</v>
      </c>
      <c r="H1807" s="10">
        <v>0</v>
      </c>
      <c r="I1807" s="1">
        <f t="shared" si="49"/>
        <v>97000</v>
      </c>
      <c r="J1807" s="1">
        <v>50</v>
      </c>
      <c r="K1807" s="1">
        <v>500</v>
      </c>
      <c r="L1807" s="1">
        <v>50000</v>
      </c>
      <c r="M1807" s="1" t="str">
        <f t="shared" si="50"/>
        <v>105_3603_3603</v>
      </c>
      <c r="N1807" s="1" t="s">
        <v>2446</v>
      </c>
      <c r="O1807" s="1">
        <v>0</v>
      </c>
      <c r="P1807" s="1" t="s">
        <v>2059</v>
      </c>
      <c r="Q1807" s="7" t="str">
        <f t="shared" si="47"/>
        <v>equipment/5001.png</v>
      </c>
      <c r="R1807" s="1">
        <v>0</v>
      </c>
    </row>
    <row r="1808" spans="1:18" ht="14.25" thickBot="1">
      <c r="A1808" s="1">
        <v>40900070</v>
      </c>
      <c r="B1808" s="3">
        <f t="shared" si="48"/>
        <v>1</v>
      </c>
      <c r="C1808" s="1" t="s">
        <v>2763</v>
      </c>
      <c r="D1808" s="1" t="s">
        <v>14</v>
      </c>
      <c r="E1808" s="1">
        <v>7</v>
      </c>
      <c r="F1808" s="1">
        <v>4</v>
      </c>
      <c r="G1808" s="1">
        <v>90</v>
      </c>
      <c r="H1808" s="10">
        <v>0</v>
      </c>
      <c r="I1808" s="1">
        <f t="shared" si="49"/>
        <v>94000</v>
      </c>
      <c r="J1808" s="1">
        <v>50</v>
      </c>
      <c r="K1808" s="1">
        <v>500</v>
      </c>
      <c r="L1808" s="1">
        <v>47500</v>
      </c>
      <c r="M1808" s="1" t="str">
        <f t="shared" si="50"/>
        <v>105_3447_3447</v>
      </c>
      <c r="N1808" s="1" t="s">
        <v>2446</v>
      </c>
      <c r="O1808" s="1">
        <v>0</v>
      </c>
      <c r="P1808" s="1" t="s">
        <v>2059</v>
      </c>
      <c r="Q1808" s="7" t="str">
        <f t="shared" si="47"/>
        <v>equipment/7016.png</v>
      </c>
      <c r="R1808" s="1">
        <v>0</v>
      </c>
    </row>
    <row r="1809" spans="1:18" ht="14.25" thickBot="1">
      <c r="A1809" s="1">
        <v>40900071</v>
      </c>
      <c r="B1809" s="3">
        <f t="shared" si="48"/>
        <v>0</v>
      </c>
      <c r="C1809" s="1" t="s">
        <v>2764</v>
      </c>
      <c r="D1809" s="1" t="s">
        <v>14</v>
      </c>
      <c r="E1809" s="1">
        <v>7</v>
      </c>
      <c r="F1809" s="1">
        <v>4</v>
      </c>
      <c r="G1809" s="1">
        <v>90</v>
      </c>
      <c r="H1809" s="10">
        <v>0</v>
      </c>
      <c r="I1809" s="1">
        <f t="shared" si="49"/>
        <v>97000</v>
      </c>
      <c r="J1809" s="1">
        <v>50</v>
      </c>
      <c r="K1809" s="1">
        <v>500</v>
      </c>
      <c r="L1809" s="1">
        <v>50000</v>
      </c>
      <c r="M1809" s="1" t="str">
        <f t="shared" si="50"/>
        <v>105_3603_3603</v>
      </c>
      <c r="N1809" s="1" t="s">
        <v>2446</v>
      </c>
      <c r="O1809" s="1">
        <v>0</v>
      </c>
      <c r="P1809" s="1" t="s">
        <v>2059</v>
      </c>
      <c r="Q1809" s="7" t="str">
        <f t="shared" si="47"/>
        <v>equipment/7001.png</v>
      </c>
      <c r="R1809" s="1">
        <v>0</v>
      </c>
    </row>
    <row r="1810" spans="1:18" ht="14.25" thickBot="1">
      <c r="A1810" s="1">
        <v>40950010</v>
      </c>
      <c r="B1810" s="3">
        <f t="shared" si="48"/>
        <v>1</v>
      </c>
      <c r="C1810" s="1" t="s">
        <v>2765</v>
      </c>
      <c r="D1810" s="1" t="s">
        <v>8</v>
      </c>
      <c r="E1810" s="1">
        <v>1</v>
      </c>
      <c r="F1810" s="1">
        <v>4</v>
      </c>
      <c r="G1810" s="1">
        <v>95</v>
      </c>
      <c r="H1810" s="10">
        <v>0</v>
      </c>
      <c r="I1810" s="1">
        <f t="shared" si="49"/>
        <v>100000</v>
      </c>
      <c r="J1810" s="1">
        <v>50</v>
      </c>
      <c r="K1810" s="1">
        <v>500</v>
      </c>
      <c r="L1810" s="1">
        <v>50000</v>
      </c>
      <c r="M1810" s="1" t="str">
        <f t="shared" si="50"/>
        <v>106_5346_5346</v>
      </c>
      <c r="N1810" s="1" t="s">
        <v>2448</v>
      </c>
      <c r="O1810" s="1">
        <v>0</v>
      </c>
      <c r="P1810" s="1" t="s">
        <v>2059</v>
      </c>
      <c r="Q1810" s="7" t="str">
        <f t="shared" si="47"/>
        <v>equipment/3001.png</v>
      </c>
      <c r="R1810" s="1">
        <v>0</v>
      </c>
    </row>
    <row r="1811" spans="1:18" ht="14.25" thickBot="1">
      <c r="A1811" s="1">
        <v>40950020</v>
      </c>
      <c r="B1811" s="3">
        <f t="shared" si="48"/>
        <v>1</v>
      </c>
      <c r="C1811" s="1" t="s">
        <v>2766</v>
      </c>
      <c r="D1811" s="1" t="s">
        <v>9</v>
      </c>
      <c r="E1811" s="1">
        <v>2</v>
      </c>
      <c r="F1811" s="1">
        <v>4</v>
      </c>
      <c r="G1811" s="1">
        <v>95</v>
      </c>
      <c r="H1811" s="10">
        <v>0</v>
      </c>
      <c r="I1811" s="1">
        <f t="shared" si="49"/>
        <v>100000</v>
      </c>
      <c r="J1811" s="1">
        <v>50</v>
      </c>
      <c r="K1811" s="1">
        <v>500</v>
      </c>
      <c r="L1811" s="1">
        <v>50000</v>
      </c>
      <c r="M1811" s="1" t="str">
        <f t="shared" si="50"/>
        <v>102_2240_2240</v>
      </c>
      <c r="N1811" s="1" t="s">
        <v>2448</v>
      </c>
      <c r="O1811" s="1">
        <v>0</v>
      </c>
      <c r="P1811" s="1" t="s">
        <v>2059</v>
      </c>
      <c r="Q1811" s="7" t="str">
        <f t="shared" si="47"/>
        <v>equipment/14001.png</v>
      </c>
      <c r="R1811" s="1">
        <v>0</v>
      </c>
    </row>
    <row r="1812" spans="1:18" ht="14.25" thickBot="1">
      <c r="A1812" s="1">
        <v>40950030</v>
      </c>
      <c r="B1812" s="3">
        <f t="shared" si="48"/>
        <v>1</v>
      </c>
      <c r="C1812" s="1" t="s">
        <v>2767</v>
      </c>
      <c r="D1812" s="1" t="s">
        <v>10</v>
      </c>
      <c r="E1812" s="1">
        <v>3</v>
      </c>
      <c r="F1812" s="1">
        <v>4</v>
      </c>
      <c r="G1812" s="1">
        <v>95</v>
      </c>
      <c r="H1812" s="10">
        <v>0</v>
      </c>
      <c r="I1812" s="1">
        <f t="shared" si="49"/>
        <v>100000</v>
      </c>
      <c r="J1812" s="1">
        <v>50</v>
      </c>
      <c r="K1812" s="1">
        <v>500</v>
      </c>
      <c r="L1812" s="1">
        <v>50000</v>
      </c>
      <c r="M1812" s="1" t="str">
        <f t="shared" si="50"/>
        <v>101_32760_32760</v>
      </c>
      <c r="N1812" s="1" t="s">
        <v>2448</v>
      </c>
      <c r="O1812" s="1">
        <v>0</v>
      </c>
      <c r="P1812" s="1" t="s">
        <v>2059</v>
      </c>
      <c r="Q1812" s="7" t="str">
        <f t="shared" si="47"/>
        <v>equipment/6001.png</v>
      </c>
      <c r="R1812" s="1">
        <v>0</v>
      </c>
    </row>
    <row r="1813" spans="1:18" ht="14.25" thickBot="1">
      <c r="A1813" s="1">
        <v>40950080</v>
      </c>
      <c r="B1813" s="3">
        <f t="shared" si="48"/>
        <v>1</v>
      </c>
      <c r="C1813" s="1" t="s">
        <v>2768</v>
      </c>
      <c r="D1813" s="1" t="s">
        <v>15</v>
      </c>
      <c r="E1813" s="1">
        <v>8</v>
      </c>
      <c r="F1813" s="1">
        <v>4</v>
      </c>
      <c r="G1813" s="1">
        <v>95</v>
      </c>
      <c r="H1813" s="10">
        <v>0</v>
      </c>
      <c r="I1813" s="1">
        <f t="shared" si="49"/>
        <v>100000</v>
      </c>
      <c r="J1813" s="1">
        <v>50</v>
      </c>
      <c r="K1813" s="1">
        <v>500</v>
      </c>
      <c r="L1813" s="1">
        <v>50000</v>
      </c>
      <c r="M1813" s="1" t="str">
        <f t="shared" si="50"/>
        <v>110_786_786</v>
      </c>
      <c r="N1813" s="1" t="s">
        <v>2448</v>
      </c>
      <c r="O1813" s="1">
        <v>0</v>
      </c>
      <c r="P1813" s="1" t="s">
        <v>2059</v>
      </c>
      <c r="Q1813" s="7" t="str">
        <f t="shared" ref="Q1813:Q1876" si="51">Q1351</f>
        <v>equipment/8001.png</v>
      </c>
      <c r="R1813" s="1">
        <v>0</v>
      </c>
    </row>
    <row r="1814" spans="1:18" ht="14.25" thickBot="1">
      <c r="A1814" s="1">
        <v>40950090</v>
      </c>
      <c r="B1814" s="3">
        <f t="shared" si="48"/>
        <v>1</v>
      </c>
      <c r="C1814" s="1" t="s">
        <v>2769</v>
      </c>
      <c r="D1814" s="1" t="s">
        <v>16</v>
      </c>
      <c r="E1814" s="1">
        <v>9</v>
      </c>
      <c r="F1814" s="1">
        <v>4</v>
      </c>
      <c r="G1814" s="1">
        <v>95</v>
      </c>
      <c r="H1814" s="10">
        <v>0</v>
      </c>
      <c r="I1814" s="1">
        <f t="shared" si="49"/>
        <v>100000</v>
      </c>
      <c r="J1814" s="1">
        <v>50</v>
      </c>
      <c r="K1814" s="1">
        <v>500</v>
      </c>
      <c r="L1814" s="1">
        <v>50000</v>
      </c>
      <c r="M1814" s="1" t="str">
        <f t="shared" si="50"/>
        <v>108_6853_6853</v>
      </c>
      <c r="N1814" s="1" t="s">
        <v>2448</v>
      </c>
      <c r="O1814" s="1">
        <v>0</v>
      </c>
      <c r="P1814" s="1" t="s">
        <v>2059</v>
      </c>
      <c r="Q1814" s="7" t="str">
        <f t="shared" si="51"/>
        <v>equipment/10001.png</v>
      </c>
      <c r="R1814" s="1">
        <v>0</v>
      </c>
    </row>
    <row r="1815" spans="1:18" ht="14.25" thickBot="1">
      <c r="A1815" s="1">
        <v>40950100</v>
      </c>
      <c r="B1815" s="3">
        <f t="shared" si="48"/>
        <v>1</v>
      </c>
      <c r="C1815" s="1" t="s">
        <v>2770</v>
      </c>
      <c r="D1815" s="1" t="s">
        <v>17</v>
      </c>
      <c r="E1815" s="1">
        <v>10</v>
      </c>
      <c r="F1815" s="1">
        <v>4</v>
      </c>
      <c r="G1815" s="1">
        <v>95</v>
      </c>
      <c r="H1815" s="10">
        <v>0</v>
      </c>
      <c r="I1815" s="1">
        <f t="shared" si="49"/>
        <v>100000</v>
      </c>
      <c r="J1815" s="1">
        <v>50</v>
      </c>
      <c r="K1815" s="1">
        <v>500</v>
      </c>
      <c r="L1815" s="1">
        <v>50000</v>
      </c>
      <c r="M1815" s="1" t="str">
        <f t="shared" si="50"/>
        <v>107_5346_5346</v>
      </c>
      <c r="N1815" s="1" t="s">
        <v>2448</v>
      </c>
      <c r="O1815" s="1">
        <v>0</v>
      </c>
      <c r="P1815" s="1" t="s">
        <v>2059</v>
      </c>
      <c r="Q1815" s="7" t="str">
        <f t="shared" si="51"/>
        <v>equipment/12001.png</v>
      </c>
      <c r="R1815" s="1">
        <v>0</v>
      </c>
    </row>
    <row r="1816" spans="1:18" ht="14.25" thickBot="1">
      <c r="A1816" s="1">
        <v>40951050</v>
      </c>
      <c r="B1816" s="3">
        <f t="shared" si="48"/>
        <v>1</v>
      </c>
      <c r="C1816" s="9" t="s">
        <v>2771</v>
      </c>
      <c r="D1816" s="1" t="s">
        <v>12</v>
      </c>
      <c r="E1816" s="1">
        <v>5</v>
      </c>
      <c r="F1816" s="1">
        <v>4</v>
      </c>
      <c r="G1816" s="1">
        <v>95</v>
      </c>
      <c r="H1816" s="10" t="s">
        <v>2120</v>
      </c>
      <c r="I1816" s="1">
        <f t="shared" si="49"/>
        <v>100000</v>
      </c>
      <c r="J1816" s="1">
        <v>50</v>
      </c>
      <c r="K1816" s="1">
        <v>500</v>
      </c>
      <c r="L1816" s="1">
        <v>50000</v>
      </c>
      <c r="M1816" s="1" t="str">
        <f t="shared" si="50"/>
        <v>103_6091_6091,104_12182_12182</v>
      </c>
      <c r="N1816" s="1" t="s">
        <v>2449</v>
      </c>
      <c r="O1816" s="1">
        <v>0</v>
      </c>
      <c r="P1816" s="1" t="s">
        <v>2059</v>
      </c>
      <c r="Q1816" s="7" t="str">
        <f t="shared" si="51"/>
        <v>equipment/1124.png</v>
      </c>
      <c r="R1816" s="1">
        <v>0</v>
      </c>
    </row>
    <row r="1817" spans="1:18" ht="14.25" thickBot="1">
      <c r="A1817" s="1">
        <v>40951051</v>
      </c>
      <c r="B1817" s="3">
        <f t="shared" si="48"/>
        <v>0</v>
      </c>
      <c r="C1817" s="9" t="s">
        <v>2772</v>
      </c>
      <c r="D1817" s="1" t="s">
        <v>12</v>
      </c>
      <c r="E1817" s="1">
        <v>5</v>
      </c>
      <c r="F1817" s="1">
        <v>4</v>
      </c>
      <c r="G1817" s="1">
        <v>95</v>
      </c>
      <c r="H1817" s="10" t="s">
        <v>2120</v>
      </c>
      <c r="I1817" s="1">
        <f t="shared" si="49"/>
        <v>103000</v>
      </c>
      <c r="J1817" s="1">
        <v>50</v>
      </c>
      <c r="K1817" s="1">
        <v>500</v>
      </c>
      <c r="L1817" s="1">
        <v>52500</v>
      </c>
      <c r="M1817" s="1" t="str">
        <f t="shared" si="50"/>
        <v>103_6352_6352,104_12705_12705</v>
      </c>
      <c r="N1817" s="1" t="s">
        <v>2449</v>
      </c>
      <c r="O1817" s="1">
        <v>0</v>
      </c>
      <c r="P1817" s="1" t="s">
        <v>2059</v>
      </c>
      <c r="Q1817" s="7" t="str">
        <f t="shared" si="51"/>
        <v>equipment/1101.png</v>
      </c>
      <c r="R1817" s="1">
        <v>0</v>
      </c>
    </row>
    <row r="1818" spans="1:18" ht="14.25" thickBot="1">
      <c r="A1818" s="1">
        <v>40951060</v>
      </c>
      <c r="B1818" s="3">
        <f t="shared" si="48"/>
        <v>1</v>
      </c>
      <c r="C1818" s="9" t="s">
        <v>2773</v>
      </c>
      <c r="D1818" s="1" t="s">
        <v>13</v>
      </c>
      <c r="E1818" s="1">
        <v>6</v>
      </c>
      <c r="F1818" s="1">
        <v>4</v>
      </c>
      <c r="G1818" s="1">
        <v>95</v>
      </c>
      <c r="H1818" s="10" t="s">
        <v>2120</v>
      </c>
      <c r="I1818" s="1">
        <f t="shared" si="49"/>
        <v>100000</v>
      </c>
      <c r="J1818" s="1">
        <v>50</v>
      </c>
      <c r="K1818" s="1">
        <v>500</v>
      </c>
      <c r="L1818" s="1">
        <v>50000</v>
      </c>
      <c r="M1818" s="1" t="str">
        <f t="shared" si="50"/>
        <v>105_5482_5482</v>
      </c>
      <c r="N1818" s="1" t="s">
        <v>2449</v>
      </c>
      <c r="O1818" s="1">
        <v>0</v>
      </c>
      <c r="P1818" s="1" t="s">
        <v>2059</v>
      </c>
      <c r="Q1818" s="7" t="str">
        <f t="shared" si="51"/>
        <v>equipment/2118.png</v>
      </c>
      <c r="R1818" s="1">
        <v>0</v>
      </c>
    </row>
    <row r="1819" spans="1:18" ht="14.25" thickBot="1">
      <c r="A1819" s="1">
        <v>40951061</v>
      </c>
      <c r="B1819" s="3">
        <f t="shared" si="48"/>
        <v>0</v>
      </c>
      <c r="C1819" s="9" t="s">
        <v>2774</v>
      </c>
      <c r="D1819" s="1" t="s">
        <v>13</v>
      </c>
      <c r="E1819" s="1">
        <v>6</v>
      </c>
      <c r="F1819" s="1">
        <v>4</v>
      </c>
      <c r="G1819" s="1">
        <v>95</v>
      </c>
      <c r="H1819" s="10" t="s">
        <v>2120</v>
      </c>
      <c r="I1819" s="1">
        <f t="shared" si="49"/>
        <v>103000</v>
      </c>
      <c r="J1819" s="1">
        <v>50</v>
      </c>
      <c r="K1819" s="1">
        <v>500</v>
      </c>
      <c r="L1819" s="1">
        <v>52500</v>
      </c>
      <c r="M1819" s="1" t="str">
        <f t="shared" si="50"/>
        <v>105_5717_5717</v>
      </c>
      <c r="N1819" s="1" t="s">
        <v>2449</v>
      </c>
      <c r="O1819" s="1">
        <v>0</v>
      </c>
      <c r="P1819" s="1" t="s">
        <v>2059</v>
      </c>
      <c r="Q1819" s="7" t="str">
        <f t="shared" si="51"/>
        <v>equipment/2101.png</v>
      </c>
      <c r="R1819" s="1">
        <v>0</v>
      </c>
    </row>
    <row r="1820" spans="1:18" ht="14.25" thickBot="1">
      <c r="A1820" s="1">
        <v>40952050</v>
      </c>
      <c r="B1820" s="3">
        <f t="shared" si="48"/>
        <v>1</v>
      </c>
      <c r="C1820" s="1" t="s">
        <v>2775</v>
      </c>
      <c r="D1820" s="1" t="s">
        <v>12</v>
      </c>
      <c r="E1820" s="1">
        <v>5</v>
      </c>
      <c r="F1820" s="1">
        <v>4</v>
      </c>
      <c r="G1820" s="1">
        <v>95</v>
      </c>
      <c r="H1820" s="10" t="s">
        <v>2121</v>
      </c>
      <c r="I1820" s="1">
        <f t="shared" si="49"/>
        <v>100000</v>
      </c>
      <c r="J1820" s="1">
        <v>50</v>
      </c>
      <c r="K1820" s="1">
        <v>500</v>
      </c>
      <c r="L1820" s="1">
        <v>50000</v>
      </c>
      <c r="M1820" s="1" t="str">
        <f t="shared" si="50"/>
        <v>103_6091_6091,104_12182_12182</v>
      </c>
      <c r="N1820" s="1" t="s">
        <v>2449</v>
      </c>
      <c r="O1820" s="1">
        <v>0</v>
      </c>
      <c r="P1820" s="1" t="s">
        <v>2059</v>
      </c>
      <c r="Q1820" s="7" t="str">
        <f t="shared" si="51"/>
        <v>equipment/1222.png</v>
      </c>
      <c r="R1820" s="1">
        <v>0</v>
      </c>
    </row>
    <row r="1821" spans="1:18" ht="14.25" thickBot="1">
      <c r="A1821" s="1">
        <v>40952051</v>
      </c>
      <c r="B1821" s="3">
        <f t="shared" si="48"/>
        <v>0</v>
      </c>
      <c r="C1821" s="9" t="s">
        <v>2776</v>
      </c>
      <c r="D1821" s="1" t="s">
        <v>12</v>
      </c>
      <c r="E1821" s="1">
        <v>5</v>
      </c>
      <c r="F1821" s="1">
        <v>4</v>
      </c>
      <c r="G1821" s="1">
        <v>95</v>
      </c>
      <c r="H1821" s="10" t="s">
        <v>2121</v>
      </c>
      <c r="I1821" s="1">
        <f t="shared" si="49"/>
        <v>103000</v>
      </c>
      <c r="J1821" s="1">
        <v>50</v>
      </c>
      <c r="K1821" s="1">
        <v>500</v>
      </c>
      <c r="L1821" s="1">
        <v>52500</v>
      </c>
      <c r="M1821" s="1" t="str">
        <f t="shared" si="50"/>
        <v>103_6352_6352,104_12705_12705</v>
      </c>
      <c r="N1821" s="1" t="s">
        <v>2449</v>
      </c>
      <c r="O1821" s="1">
        <v>0</v>
      </c>
      <c r="P1821" s="1" t="s">
        <v>2059</v>
      </c>
      <c r="Q1821" s="7" t="str">
        <f t="shared" si="51"/>
        <v>equipment/1201.png</v>
      </c>
      <c r="R1821" s="1">
        <v>0</v>
      </c>
    </row>
    <row r="1822" spans="1:18" ht="14.25" thickBot="1">
      <c r="A1822" s="1">
        <v>40952060</v>
      </c>
      <c r="B1822" s="3">
        <f t="shared" si="48"/>
        <v>1</v>
      </c>
      <c r="C1822" s="9" t="s">
        <v>2777</v>
      </c>
      <c r="D1822" s="1" t="s">
        <v>13</v>
      </c>
      <c r="E1822" s="1">
        <v>6</v>
      </c>
      <c r="F1822" s="1">
        <v>4</v>
      </c>
      <c r="G1822" s="1">
        <v>95</v>
      </c>
      <c r="H1822" s="10" t="s">
        <v>2121</v>
      </c>
      <c r="I1822" s="1">
        <f t="shared" si="49"/>
        <v>100000</v>
      </c>
      <c r="J1822" s="1">
        <v>50</v>
      </c>
      <c r="K1822" s="1">
        <v>500</v>
      </c>
      <c r="L1822" s="1">
        <v>50000</v>
      </c>
      <c r="M1822" s="1" t="str">
        <f t="shared" si="50"/>
        <v>108_5482_5482</v>
      </c>
      <c r="N1822" s="1" t="s">
        <v>2449</v>
      </c>
      <c r="O1822" s="1">
        <v>0</v>
      </c>
      <c r="P1822" s="1" t="s">
        <v>2059</v>
      </c>
      <c r="Q1822" s="7" t="str">
        <f t="shared" si="51"/>
        <v>equipment/2218.png</v>
      </c>
      <c r="R1822" s="1">
        <v>0</v>
      </c>
    </row>
    <row r="1823" spans="1:18" ht="14.25" thickBot="1">
      <c r="A1823" s="1">
        <v>40952061</v>
      </c>
      <c r="B1823" s="3">
        <f t="shared" si="48"/>
        <v>0</v>
      </c>
      <c r="C1823" s="9" t="s">
        <v>2778</v>
      </c>
      <c r="D1823" s="1" t="s">
        <v>13</v>
      </c>
      <c r="E1823" s="1">
        <v>6</v>
      </c>
      <c r="F1823" s="1">
        <v>4</v>
      </c>
      <c r="G1823" s="1">
        <v>95</v>
      </c>
      <c r="H1823" s="10" t="s">
        <v>2121</v>
      </c>
      <c r="I1823" s="1">
        <f t="shared" si="49"/>
        <v>103000</v>
      </c>
      <c r="J1823" s="1">
        <v>50</v>
      </c>
      <c r="K1823" s="1">
        <v>500</v>
      </c>
      <c r="L1823" s="1">
        <v>52500</v>
      </c>
      <c r="M1823" s="1" t="str">
        <f t="shared" si="50"/>
        <v>108_5717_5717</v>
      </c>
      <c r="N1823" s="1" t="s">
        <v>2449</v>
      </c>
      <c r="O1823" s="1">
        <v>0</v>
      </c>
      <c r="P1823" s="1" t="s">
        <v>2059</v>
      </c>
      <c r="Q1823" s="7" t="str">
        <f t="shared" si="51"/>
        <v>equipment/2201.png</v>
      </c>
      <c r="R1823" s="1">
        <v>0</v>
      </c>
    </row>
    <row r="1824" spans="1:18" ht="14.25" thickBot="1">
      <c r="A1824" s="1">
        <v>40953050</v>
      </c>
      <c r="B1824" s="3">
        <f t="shared" si="48"/>
        <v>1</v>
      </c>
      <c r="C1824" s="9" t="s">
        <v>2779</v>
      </c>
      <c r="D1824" s="1" t="s">
        <v>12</v>
      </c>
      <c r="E1824" s="1">
        <v>5</v>
      </c>
      <c r="F1824" s="1">
        <v>4</v>
      </c>
      <c r="G1824" s="1">
        <v>95</v>
      </c>
      <c r="H1824" s="10" t="s">
        <v>2122</v>
      </c>
      <c r="I1824" s="1">
        <f t="shared" si="49"/>
        <v>100000</v>
      </c>
      <c r="J1824" s="1">
        <v>50</v>
      </c>
      <c r="K1824" s="1">
        <v>500</v>
      </c>
      <c r="L1824" s="1">
        <v>50000</v>
      </c>
      <c r="M1824" s="1" t="str">
        <f t="shared" si="50"/>
        <v>103_6091_6091,104_12182_12182</v>
      </c>
      <c r="N1824" s="1" t="s">
        <v>2449</v>
      </c>
      <c r="O1824" s="1">
        <v>0</v>
      </c>
      <c r="P1824" s="1" t="s">
        <v>2059</v>
      </c>
      <c r="Q1824" s="7" t="str">
        <f t="shared" si="51"/>
        <v>equipment/1324.png</v>
      </c>
      <c r="R1824" s="1">
        <v>0</v>
      </c>
    </row>
    <row r="1825" spans="1:18" ht="14.25" thickBot="1">
      <c r="A1825" s="1">
        <v>40953051</v>
      </c>
      <c r="B1825" s="3">
        <f t="shared" si="48"/>
        <v>0</v>
      </c>
      <c r="C1825" s="9" t="s">
        <v>2780</v>
      </c>
      <c r="D1825" s="1" t="s">
        <v>12</v>
      </c>
      <c r="E1825" s="1">
        <v>5</v>
      </c>
      <c r="F1825" s="1">
        <v>4</v>
      </c>
      <c r="G1825" s="1">
        <v>95</v>
      </c>
      <c r="H1825" s="10" t="s">
        <v>2122</v>
      </c>
      <c r="I1825" s="1">
        <f t="shared" si="49"/>
        <v>103000</v>
      </c>
      <c r="J1825" s="1">
        <v>50</v>
      </c>
      <c r="K1825" s="1">
        <v>500</v>
      </c>
      <c r="L1825" s="1">
        <v>52500</v>
      </c>
      <c r="M1825" s="1" t="str">
        <f t="shared" si="50"/>
        <v>103_6352_6352,104_12705_12705</v>
      </c>
      <c r="N1825" s="1" t="s">
        <v>2449</v>
      </c>
      <c r="O1825" s="1">
        <v>0</v>
      </c>
      <c r="P1825" s="1" t="s">
        <v>2059</v>
      </c>
      <c r="Q1825" s="7" t="str">
        <f t="shared" si="51"/>
        <v>equipment/1301.png</v>
      </c>
      <c r="R1825" s="1">
        <v>0</v>
      </c>
    </row>
    <row r="1826" spans="1:18" ht="14.25" thickBot="1">
      <c r="A1826" s="1">
        <v>40953060</v>
      </c>
      <c r="B1826" s="3">
        <f t="shared" si="48"/>
        <v>1</v>
      </c>
      <c r="C1826" s="9" t="s">
        <v>2781</v>
      </c>
      <c r="D1826" s="1" t="s">
        <v>13</v>
      </c>
      <c r="E1826" s="1">
        <v>6</v>
      </c>
      <c r="F1826" s="1">
        <v>4</v>
      </c>
      <c r="G1826" s="1">
        <v>95</v>
      </c>
      <c r="H1826" s="10" t="s">
        <v>2122</v>
      </c>
      <c r="I1826" s="1">
        <f t="shared" si="49"/>
        <v>100000</v>
      </c>
      <c r="J1826" s="1">
        <v>50</v>
      </c>
      <c r="K1826" s="1">
        <v>500</v>
      </c>
      <c r="L1826" s="1">
        <v>50000</v>
      </c>
      <c r="M1826" s="1" t="str">
        <f t="shared" si="50"/>
        <v>102_4280_4280</v>
      </c>
      <c r="N1826" s="1" t="s">
        <v>2449</v>
      </c>
      <c r="O1826" s="1">
        <v>0</v>
      </c>
      <c r="P1826" s="1" t="s">
        <v>2059</v>
      </c>
      <c r="Q1826" s="7" t="str">
        <f t="shared" si="51"/>
        <v>equipment/2318.png</v>
      </c>
      <c r="R1826" s="1">
        <v>0</v>
      </c>
    </row>
    <row r="1827" spans="1:18" ht="14.25" thickBot="1">
      <c r="A1827" s="1">
        <v>40953061</v>
      </c>
      <c r="B1827" s="3">
        <f t="shared" si="48"/>
        <v>0</v>
      </c>
      <c r="C1827" s="9" t="s">
        <v>2782</v>
      </c>
      <c r="D1827" s="1" t="s">
        <v>13</v>
      </c>
      <c r="E1827" s="1">
        <v>6</v>
      </c>
      <c r="F1827" s="1">
        <v>4</v>
      </c>
      <c r="G1827" s="1">
        <v>95</v>
      </c>
      <c r="H1827" s="10" t="s">
        <v>2122</v>
      </c>
      <c r="I1827" s="1">
        <f t="shared" si="49"/>
        <v>103000</v>
      </c>
      <c r="J1827" s="1">
        <v>50</v>
      </c>
      <c r="K1827" s="1">
        <v>500</v>
      </c>
      <c r="L1827" s="1">
        <v>52500</v>
      </c>
      <c r="M1827" s="1" t="str">
        <f t="shared" si="50"/>
        <v>102_4390_4390</v>
      </c>
      <c r="N1827" s="1" t="s">
        <v>2449</v>
      </c>
      <c r="O1827" s="1">
        <v>0</v>
      </c>
      <c r="P1827" s="1" t="s">
        <v>2059</v>
      </c>
      <c r="Q1827" s="7" t="str">
        <f t="shared" si="51"/>
        <v>equipment/2301.png</v>
      </c>
      <c r="R1827" s="1">
        <v>0</v>
      </c>
    </row>
    <row r="1828" spans="1:18" ht="14.25" thickBot="1">
      <c r="A1828" s="1">
        <v>40950040</v>
      </c>
      <c r="B1828" s="3">
        <f t="shared" si="48"/>
        <v>1</v>
      </c>
      <c r="C1828" s="1" t="s">
        <v>2783</v>
      </c>
      <c r="D1828" s="1" t="s">
        <v>11</v>
      </c>
      <c r="E1828" s="1">
        <v>4</v>
      </c>
      <c r="F1828" s="1">
        <v>4</v>
      </c>
      <c r="G1828" s="1">
        <v>95</v>
      </c>
      <c r="H1828" s="10">
        <v>0</v>
      </c>
      <c r="I1828" s="1">
        <f t="shared" si="49"/>
        <v>100000</v>
      </c>
      <c r="J1828" s="1">
        <v>50</v>
      </c>
      <c r="K1828" s="1">
        <v>500</v>
      </c>
      <c r="L1828" s="1">
        <v>50000</v>
      </c>
      <c r="M1828" s="1" t="str">
        <f t="shared" si="50"/>
        <v>105_3837_3837</v>
      </c>
      <c r="N1828" s="1" t="s">
        <v>2448</v>
      </c>
      <c r="O1828" s="1">
        <v>0</v>
      </c>
      <c r="P1828" s="1" t="s">
        <v>2059</v>
      </c>
      <c r="Q1828" s="7" t="str">
        <f t="shared" si="51"/>
        <v>equipment/5001.png</v>
      </c>
      <c r="R1828" s="1">
        <v>0</v>
      </c>
    </row>
    <row r="1829" spans="1:18" ht="14.25" thickBot="1">
      <c r="A1829" s="1">
        <v>40950041</v>
      </c>
      <c r="B1829" s="3">
        <f t="shared" si="48"/>
        <v>0</v>
      </c>
      <c r="C1829" s="1" t="s">
        <v>2784</v>
      </c>
      <c r="D1829" s="1" t="s">
        <v>11</v>
      </c>
      <c r="E1829" s="1">
        <v>4</v>
      </c>
      <c r="F1829" s="1">
        <v>4</v>
      </c>
      <c r="G1829" s="1">
        <v>95</v>
      </c>
      <c r="H1829" s="10">
        <v>0</v>
      </c>
      <c r="I1829" s="1">
        <f t="shared" si="49"/>
        <v>103000</v>
      </c>
      <c r="J1829" s="1">
        <v>50</v>
      </c>
      <c r="K1829" s="1">
        <v>500</v>
      </c>
      <c r="L1829" s="1">
        <v>52500</v>
      </c>
      <c r="M1829" s="1" t="str">
        <f t="shared" si="50"/>
        <v>105_4002_4002</v>
      </c>
      <c r="N1829" s="1" t="s">
        <v>2448</v>
      </c>
      <c r="O1829" s="1">
        <v>0</v>
      </c>
      <c r="P1829" s="1" t="s">
        <v>2059</v>
      </c>
      <c r="Q1829" s="7" t="str">
        <f t="shared" si="51"/>
        <v>equipment/5001.png</v>
      </c>
      <c r="R1829" s="1">
        <v>0</v>
      </c>
    </row>
    <row r="1830" spans="1:18" ht="14.25" thickBot="1">
      <c r="A1830" s="1">
        <v>40950070</v>
      </c>
      <c r="B1830" s="3">
        <f t="shared" si="48"/>
        <v>1</v>
      </c>
      <c r="C1830" s="1" t="s">
        <v>2785</v>
      </c>
      <c r="D1830" s="1" t="s">
        <v>14</v>
      </c>
      <c r="E1830" s="1">
        <v>7</v>
      </c>
      <c r="F1830" s="1">
        <v>4</v>
      </c>
      <c r="G1830" s="1">
        <v>95</v>
      </c>
      <c r="H1830" s="10">
        <v>0</v>
      </c>
      <c r="I1830" s="1">
        <f t="shared" si="49"/>
        <v>100000</v>
      </c>
      <c r="J1830" s="1">
        <v>50</v>
      </c>
      <c r="K1830" s="1">
        <v>500</v>
      </c>
      <c r="L1830" s="1">
        <v>50000</v>
      </c>
      <c r="M1830" s="1" t="str">
        <f t="shared" si="50"/>
        <v>105_3837_3837</v>
      </c>
      <c r="N1830" s="1" t="s">
        <v>2448</v>
      </c>
      <c r="O1830" s="1">
        <v>0</v>
      </c>
      <c r="P1830" s="1" t="s">
        <v>2059</v>
      </c>
      <c r="Q1830" s="7" t="str">
        <f t="shared" si="51"/>
        <v>equipment/7001.png</v>
      </c>
      <c r="R1830" s="1">
        <v>0</v>
      </c>
    </row>
    <row r="1831" spans="1:18" ht="14.25" thickBot="1">
      <c r="A1831" s="1">
        <v>40950071</v>
      </c>
      <c r="B1831" s="3">
        <f t="shared" si="48"/>
        <v>0</v>
      </c>
      <c r="C1831" s="1" t="s">
        <v>2677</v>
      </c>
      <c r="D1831" s="1" t="s">
        <v>14</v>
      </c>
      <c r="E1831" s="1">
        <v>7</v>
      </c>
      <c r="F1831" s="1">
        <v>4</v>
      </c>
      <c r="G1831" s="1">
        <v>95</v>
      </c>
      <c r="H1831" s="10">
        <v>0</v>
      </c>
      <c r="I1831" s="1">
        <f t="shared" si="49"/>
        <v>103000</v>
      </c>
      <c r="J1831" s="1">
        <v>50</v>
      </c>
      <c r="K1831" s="1">
        <v>500</v>
      </c>
      <c r="L1831" s="1">
        <v>52500</v>
      </c>
      <c r="M1831" s="1" t="str">
        <f t="shared" si="50"/>
        <v>105_4002_4002</v>
      </c>
      <c r="N1831" s="1" t="s">
        <v>2448</v>
      </c>
      <c r="O1831" s="1">
        <v>0</v>
      </c>
      <c r="P1831" s="1" t="s">
        <v>2059</v>
      </c>
      <c r="Q1831" s="7" t="str">
        <f t="shared" si="51"/>
        <v>equipment/7001.png</v>
      </c>
      <c r="R1831" s="1">
        <v>0</v>
      </c>
    </row>
    <row r="1832" spans="1:18" ht="14.25" thickBot="1">
      <c r="A1832" s="1">
        <v>41000010</v>
      </c>
      <c r="B1832" s="3">
        <f t="shared" si="48"/>
        <v>0</v>
      </c>
      <c r="C1832" s="1" t="s">
        <v>2786</v>
      </c>
      <c r="D1832" s="1" t="s">
        <v>8</v>
      </c>
      <c r="E1832" s="1">
        <v>1</v>
      </c>
      <c r="F1832" s="1">
        <v>4</v>
      </c>
      <c r="G1832" s="1">
        <v>100</v>
      </c>
      <c r="H1832" s="10">
        <v>0</v>
      </c>
      <c r="I1832" s="1">
        <f t="shared" si="49"/>
        <v>106000</v>
      </c>
      <c r="J1832" s="1">
        <v>50</v>
      </c>
      <c r="K1832" s="1">
        <v>500</v>
      </c>
      <c r="L1832" s="1">
        <v>52500</v>
      </c>
      <c r="M1832" s="1" t="str">
        <f t="shared" si="50"/>
        <v>106_6460_6460</v>
      </c>
      <c r="N1832" s="1" t="s">
        <v>2450</v>
      </c>
      <c r="O1832" s="1">
        <v>0</v>
      </c>
      <c r="P1832" s="1" t="s">
        <v>2059</v>
      </c>
      <c r="Q1832" s="7" t="str">
        <f t="shared" si="51"/>
        <v>equipment/3001.png</v>
      </c>
      <c r="R1832" s="1">
        <v>0</v>
      </c>
    </row>
    <row r="1833" spans="1:18" ht="14.25" thickBot="1">
      <c r="A1833" s="1">
        <v>41000020</v>
      </c>
      <c r="B1833" s="3">
        <f t="shared" si="48"/>
        <v>0</v>
      </c>
      <c r="C1833" s="1" t="s">
        <v>2787</v>
      </c>
      <c r="D1833" s="1" t="s">
        <v>9</v>
      </c>
      <c r="E1833" s="1">
        <v>2</v>
      </c>
      <c r="F1833" s="1">
        <v>4</v>
      </c>
      <c r="G1833" s="1">
        <v>100</v>
      </c>
      <c r="H1833" s="10">
        <v>0</v>
      </c>
      <c r="I1833" s="1">
        <f t="shared" si="49"/>
        <v>106000</v>
      </c>
      <c r="J1833" s="1">
        <v>50</v>
      </c>
      <c r="K1833" s="1">
        <v>500</v>
      </c>
      <c r="L1833" s="1">
        <v>52500</v>
      </c>
      <c r="M1833" s="1" t="str">
        <f t="shared" si="50"/>
        <v>102_2360_2360</v>
      </c>
      <c r="N1833" s="1" t="s">
        <v>2450</v>
      </c>
      <c r="O1833" s="1">
        <v>0</v>
      </c>
      <c r="P1833" s="1" t="s">
        <v>2059</v>
      </c>
      <c r="Q1833" s="7" t="str">
        <f t="shared" si="51"/>
        <v>equipment/14001.png</v>
      </c>
      <c r="R1833" s="1">
        <v>0</v>
      </c>
    </row>
    <row r="1834" spans="1:18" ht="14.25" thickBot="1">
      <c r="A1834" s="1">
        <v>41000030</v>
      </c>
      <c r="B1834" s="3">
        <f t="shared" si="48"/>
        <v>0</v>
      </c>
      <c r="C1834" s="1" t="s">
        <v>2788</v>
      </c>
      <c r="D1834" s="1" t="s">
        <v>10</v>
      </c>
      <c r="E1834" s="1">
        <v>3</v>
      </c>
      <c r="F1834" s="1">
        <v>4</v>
      </c>
      <c r="G1834" s="1">
        <v>100</v>
      </c>
      <c r="H1834" s="10">
        <v>0</v>
      </c>
      <c r="I1834" s="1">
        <f t="shared" si="49"/>
        <v>106000</v>
      </c>
      <c r="J1834" s="1">
        <v>50</v>
      </c>
      <c r="K1834" s="1">
        <v>500</v>
      </c>
      <c r="L1834" s="1">
        <v>52500</v>
      </c>
      <c r="M1834" s="1" t="str">
        <f t="shared" si="50"/>
        <v>101_36120_36120</v>
      </c>
      <c r="N1834" s="1" t="s">
        <v>2450</v>
      </c>
      <c r="O1834" s="1">
        <v>0</v>
      </c>
      <c r="P1834" s="1" t="s">
        <v>2059</v>
      </c>
      <c r="Q1834" s="7" t="str">
        <f t="shared" si="51"/>
        <v>equipment/6001.png</v>
      </c>
      <c r="R1834" s="1">
        <v>0</v>
      </c>
    </row>
    <row r="1835" spans="1:18" ht="14.25" thickBot="1">
      <c r="A1835" s="1">
        <v>41000080</v>
      </c>
      <c r="B1835" s="3">
        <f t="shared" si="48"/>
        <v>0</v>
      </c>
      <c r="C1835" s="1" t="s">
        <v>2789</v>
      </c>
      <c r="D1835" s="1" t="s">
        <v>15</v>
      </c>
      <c r="E1835" s="1">
        <v>8</v>
      </c>
      <c r="F1835" s="1">
        <v>4</v>
      </c>
      <c r="G1835" s="1">
        <v>100</v>
      </c>
      <c r="H1835" s="10">
        <v>0</v>
      </c>
      <c r="I1835" s="1">
        <f t="shared" si="49"/>
        <v>106000</v>
      </c>
      <c r="J1835" s="1">
        <v>50</v>
      </c>
      <c r="K1835" s="1">
        <v>500</v>
      </c>
      <c r="L1835" s="1">
        <v>52500</v>
      </c>
      <c r="M1835" s="1" t="str">
        <f t="shared" si="50"/>
        <v>110_871_871</v>
      </c>
      <c r="N1835" s="1" t="s">
        <v>2450</v>
      </c>
      <c r="O1835" s="1">
        <v>0</v>
      </c>
      <c r="P1835" s="1" t="s">
        <v>2059</v>
      </c>
      <c r="Q1835" s="7" t="str">
        <f t="shared" si="51"/>
        <v>equipment/8001.png</v>
      </c>
      <c r="R1835" s="1">
        <v>0</v>
      </c>
    </row>
    <row r="1836" spans="1:18" ht="14.25" thickBot="1">
      <c r="A1836" s="1">
        <v>41000090</v>
      </c>
      <c r="B1836" s="3">
        <f t="shared" si="48"/>
        <v>0</v>
      </c>
      <c r="C1836" s="1" t="s">
        <v>2790</v>
      </c>
      <c r="D1836" s="1" t="s">
        <v>16</v>
      </c>
      <c r="E1836" s="1">
        <v>9</v>
      </c>
      <c r="F1836" s="1">
        <v>4</v>
      </c>
      <c r="G1836" s="1">
        <v>100</v>
      </c>
      <c r="H1836" s="10">
        <v>0</v>
      </c>
      <c r="I1836" s="1">
        <f t="shared" si="49"/>
        <v>106000</v>
      </c>
      <c r="J1836" s="1">
        <v>50</v>
      </c>
      <c r="K1836" s="1">
        <v>500</v>
      </c>
      <c r="L1836" s="1">
        <v>52500</v>
      </c>
      <c r="M1836" s="1" t="str">
        <f t="shared" si="50"/>
        <v>108_7588_7588</v>
      </c>
      <c r="N1836" s="1" t="s">
        <v>2450</v>
      </c>
      <c r="O1836" s="1">
        <v>0</v>
      </c>
      <c r="P1836" s="1" t="s">
        <v>2059</v>
      </c>
      <c r="Q1836" s="7" t="str">
        <f t="shared" si="51"/>
        <v>equipment/10001.png</v>
      </c>
      <c r="R1836" s="1">
        <v>0</v>
      </c>
    </row>
    <row r="1837" spans="1:18" ht="14.25" thickBot="1">
      <c r="A1837" s="1">
        <v>41000100</v>
      </c>
      <c r="B1837" s="3">
        <f t="shared" si="48"/>
        <v>0</v>
      </c>
      <c r="C1837" s="1" t="s">
        <v>2791</v>
      </c>
      <c r="D1837" s="1" t="s">
        <v>17</v>
      </c>
      <c r="E1837" s="1">
        <v>10</v>
      </c>
      <c r="F1837" s="1">
        <v>4</v>
      </c>
      <c r="G1837" s="1">
        <v>100</v>
      </c>
      <c r="H1837" s="10">
        <v>0</v>
      </c>
      <c r="I1837" s="1">
        <f t="shared" si="49"/>
        <v>106000</v>
      </c>
      <c r="J1837" s="1">
        <v>50</v>
      </c>
      <c r="K1837" s="1">
        <v>500</v>
      </c>
      <c r="L1837" s="1">
        <v>52500</v>
      </c>
      <c r="M1837" s="1" t="str">
        <f t="shared" si="50"/>
        <v>107_6460_6460</v>
      </c>
      <c r="N1837" s="1" t="s">
        <v>2450</v>
      </c>
      <c r="O1837" s="1">
        <v>0</v>
      </c>
      <c r="P1837" s="1" t="s">
        <v>2059</v>
      </c>
      <c r="Q1837" s="7" t="str">
        <f t="shared" si="51"/>
        <v>equipment/12001.png</v>
      </c>
      <c r="R1837" s="1">
        <v>0</v>
      </c>
    </row>
    <row r="1838" spans="1:18" ht="14.25" thickBot="1">
      <c r="A1838" s="1">
        <v>41001050</v>
      </c>
      <c r="B1838" s="3">
        <f t="shared" si="48"/>
        <v>0</v>
      </c>
      <c r="C1838" s="9" t="s">
        <v>2792</v>
      </c>
      <c r="D1838" s="1" t="s">
        <v>12</v>
      </c>
      <c r="E1838" s="1">
        <v>5</v>
      </c>
      <c r="F1838" s="1">
        <v>4</v>
      </c>
      <c r="G1838" s="1">
        <v>100</v>
      </c>
      <c r="H1838" s="10" t="s">
        <v>2120</v>
      </c>
      <c r="I1838" s="1">
        <f t="shared" si="49"/>
        <v>106000</v>
      </c>
      <c r="J1838" s="1">
        <v>50</v>
      </c>
      <c r="K1838" s="1">
        <v>500</v>
      </c>
      <c r="L1838" s="1">
        <v>52500</v>
      </c>
      <c r="M1838" s="1" t="str">
        <f t="shared" si="50"/>
        <v>103_6744_6744,104_13489_13489</v>
      </c>
      <c r="N1838" s="1" t="s">
        <v>2451</v>
      </c>
      <c r="O1838" s="1">
        <v>0</v>
      </c>
      <c r="P1838" s="1" t="s">
        <v>2059</v>
      </c>
      <c r="Q1838" s="7" t="str">
        <f t="shared" si="51"/>
        <v>equipment/1124.png</v>
      </c>
      <c r="R1838" s="1">
        <v>0</v>
      </c>
    </row>
    <row r="1839" spans="1:18" ht="14.25" thickBot="1">
      <c r="A1839" s="1">
        <v>41001051</v>
      </c>
      <c r="B1839" s="3">
        <f t="shared" si="48"/>
        <v>0</v>
      </c>
      <c r="C1839" s="9" t="s">
        <v>2665</v>
      </c>
      <c r="D1839" s="1" t="s">
        <v>12</v>
      </c>
      <c r="E1839" s="1">
        <v>5</v>
      </c>
      <c r="F1839" s="1">
        <v>4</v>
      </c>
      <c r="G1839" s="1">
        <v>100</v>
      </c>
      <c r="H1839" s="10" t="s">
        <v>2120</v>
      </c>
      <c r="I1839" s="1">
        <f t="shared" si="49"/>
        <v>109000</v>
      </c>
      <c r="J1839" s="1">
        <v>50</v>
      </c>
      <c r="K1839" s="1">
        <v>500</v>
      </c>
      <c r="L1839" s="1">
        <v>55000</v>
      </c>
      <c r="M1839" s="1" t="str">
        <f t="shared" si="50"/>
        <v>103_0_0</v>
      </c>
      <c r="N1839" s="1" t="s">
        <v>2451</v>
      </c>
      <c r="O1839" s="1">
        <v>0</v>
      </c>
      <c r="P1839" s="1" t="s">
        <v>2059</v>
      </c>
      <c r="Q1839" s="7" t="str">
        <f t="shared" si="51"/>
        <v>equipment/1101.png</v>
      </c>
      <c r="R1839" s="1">
        <v>0</v>
      </c>
    </row>
    <row r="1840" spans="1:18" ht="14.25" thickBot="1">
      <c r="A1840" s="1">
        <v>41001060</v>
      </c>
      <c r="B1840" s="3">
        <f t="shared" si="48"/>
        <v>0</v>
      </c>
      <c r="C1840" s="9" t="s">
        <v>2793</v>
      </c>
      <c r="D1840" s="1" t="s">
        <v>13</v>
      </c>
      <c r="E1840" s="1">
        <v>6</v>
      </c>
      <c r="F1840" s="1">
        <v>4</v>
      </c>
      <c r="G1840" s="1">
        <v>100</v>
      </c>
      <c r="H1840" s="10" t="s">
        <v>2120</v>
      </c>
      <c r="I1840" s="1">
        <f t="shared" si="49"/>
        <v>106000</v>
      </c>
      <c r="J1840" s="1">
        <v>50</v>
      </c>
      <c r="K1840" s="1">
        <v>500</v>
      </c>
      <c r="L1840" s="1">
        <v>52500</v>
      </c>
      <c r="M1840" s="1" t="str">
        <f t="shared" si="50"/>
        <v>105_6070_6070</v>
      </c>
      <c r="N1840" s="1" t="s">
        <v>2451</v>
      </c>
      <c r="O1840" s="1">
        <v>0</v>
      </c>
      <c r="P1840" s="1" t="s">
        <v>2059</v>
      </c>
      <c r="Q1840" s="7" t="str">
        <f t="shared" si="51"/>
        <v>equipment/2118.png</v>
      </c>
      <c r="R1840" s="1">
        <v>0</v>
      </c>
    </row>
    <row r="1841" spans="1:18" ht="14.25" thickBot="1">
      <c r="A1841" s="1">
        <v>41001061</v>
      </c>
      <c r="B1841" s="3">
        <f t="shared" si="48"/>
        <v>0</v>
      </c>
      <c r="C1841" s="9" t="s">
        <v>2793</v>
      </c>
      <c r="D1841" s="1" t="s">
        <v>13</v>
      </c>
      <c r="E1841" s="1">
        <v>6</v>
      </c>
      <c r="F1841" s="1">
        <v>4</v>
      </c>
      <c r="G1841" s="1">
        <v>100</v>
      </c>
      <c r="H1841" s="10" t="s">
        <v>2120</v>
      </c>
      <c r="I1841" s="1">
        <f t="shared" si="49"/>
        <v>109000</v>
      </c>
      <c r="J1841" s="1">
        <v>50</v>
      </c>
      <c r="K1841" s="1">
        <v>500</v>
      </c>
      <c r="L1841" s="1">
        <v>55000</v>
      </c>
      <c r="M1841" s="1" t="str">
        <f t="shared" si="50"/>
        <v>105_0_0</v>
      </c>
      <c r="N1841" s="1" t="s">
        <v>2451</v>
      </c>
      <c r="O1841" s="1">
        <v>0</v>
      </c>
      <c r="P1841" s="1" t="s">
        <v>2059</v>
      </c>
      <c r="Q1841" s="7" t="str">
        <f t="shared" si="51"/>
        <v>equipment/2101.png</v>
      </c>
      <c r="R1841" s="1">
        <v>0</v>
      </c>
    </row>
    <row r="1842" spans="1:18" ht="14.25" thickBot="1">
      <c r="A1842" s="1">
        <v>41002050</v>
      </c>
      <c r="B1842" s="3">
        <f t="shared" si="48"/>
        <v>0</v>
      </c>
      <c r="C1842" s="1" t="s">
        <v>2794</v>
      </c>
      <c r="D1842" s="1" t="s">
        <v>12</v>
      </c>
      <c r="E1842" s="1">
        <v>5</v>
      </c>
      <c r="F1842" s="1">
        <v>4</v>
      </c>
      <c r="G1842" s="1">
        <v>100</v>
      </c>
      <c r="H1842" s="10" t="s">
        <v>2121</v>
      </c>
      <c r="I1842" s="1">
        <f t="shared" si="49"/>
        <v>106000</v>
      </c>
      <c r="J1842" s="1">
        <v>50</v>
      </c>
      <c r="K1842" s="1">
        <v>500</v>
      </c>
      <c r="L1842" s="1">
        <v>52500</v>
      </c>
      <c r="M1842" s="1" t="str">
        <f t="shared" si="50"/>
        <v>103_6744_6744,104_13489_13489</v>
      </c>
      <c r="N1842" s="1" t="s">
        <v>2451</v>
      </c>
      <c r="O1842" s="1">
        <v>0</v>
      </c>
      <c r="P1842" s="1" t="s">
        <v>2059</v>
      </c>
      <c r="Q1842" s="7" t="str">
        <f t="shared" si="51"/>
        <v>equipment/1222.png</v>
      </c>
      <c r="R1842" s="1">
        <v>0</v>
      </c>
    </row>
    <row r="1843" spans="1:18" ht="14.25" thickBot="1">
      <c r="A1843" s="1">
        <v>41002051</v>
      </c>
      <c r="B1843" s="3">
        <f t="shared" si="48"/>
        <v>0</v>
      </c>
      <c r="C1843" s="1" t="s">
        <v>2668</v>
      </c>
      <c r="D1843" s="1" t="s">
        <v>12</v>
      </c>
      <c r="E1843" s="1">
        <v>5</v>
      </c>
      <c r="F1843" s="1">
        <v>4</v>
      </c>
      <c r="G1843" s="1">
        <v>100</v>
      </c>
      <c r="H1843" s="10" t="s">
        <v>2121</v>
      </c>
      <c r="I1843" s="1">
        <f t="shared" si="49"/>
        <v>109000</v>
      </c>
      <c r="J1843" s="1">
        <v>50</v>
      </c>
      <c r="K1843" s="1">
        <v>500</v>
      </c>
      <c r="L1843" s="1">
        <v>55000</v>
      </c>
      <c r="M1843" s="1" t="str">
        <f t="shared" si="50"/>
        <v>103_0_0</v>
      </c>
      <c r="N1843" s="1" t="s">
        <v>2451</v>
      </c>
      <c r="O1843" s="1">
        <v>0</v>
      </c>
      <c r="P1843" s="1" t="s">
        <v>2059</v>
      </c>
      <c r="Q1843" s="7" t="str">
        <f t="shared" si="51"/>
        <v>equipment/1201.png</v>
      </c>
      <c r="R1843" s="1">
        <v>0</v>
      </c>
    </row>
    <row r="1844" spans="1:18" ht="14.25" thickBot="1">
      <c r="A1844" s="1">
        <v>41002060</v>
      </c>
      <c r="B1844" s="3">
        <f t="shared" si="48"/>
        <v>0</v>
      </c>
      <c r="C1844" s="9" t="s">
        <v>2795</v>
      </c>
      <c r="D1844" s="1" t="s">
        <v>13</v>
      </c>
      <c r="E1844" s="1">
        <v>6</v>
      </c>
      <c r="F1844" s="1">
        <v>4</v>
      </c>
      <c r="G1844" s="1">
        <v>100</v>
      </c>
      <c r="H1844" s="10" t="s">
        <v>2121</v>
      </c>
      <c r="I1844" s="1">
        <f t="shared" si="49"/>
        <v>106000</v>
      </c>
      <c r="J1844" s="1">
        <v>50</v>
      </c>
      <c r="K1844" s="1">
        <v>500</v>
      </c>
      <c r="L1844" s="1">
        <v>52500</v>
      </c>
      <c r="M1844" s="1" t="str">
        <f t="shared" si="50"/>
        <v>108_6070_6070</v>
      </c>
      <c r="N1844" s="1" t="s">
        <v>2451</v>
      </c>
      <c r="O1844" s="1">
        <v>0</v>
      </c>
      <c r="P1844" s="1" t="s">
        <v>2059</v>
      </c>
      <c r="Q1844" s="7" t="str">
        <f t="shared" si="51"/>
        <v>equipment/2218.png</v>
      </c>
      <c r="R1844" s="1">
        <v>0</v>
      </c>
    </row>
    <row r="1845" spans="1:18" ht="14.25" thickBot="1">
      <c r="A1845" s="1">
        <v>41002061</v>
      </c>
      <c r="B1845" s="3">
        <f t="shared" si="48"/>
        <v>0</v>
      </c>
      <c r="C1845" s="9" t="s">
        <v>2795</v>
      </c>
      <c r="D1845" s="1" t="s">
        <v>13</v>
      </c>
      <c r="E1845" s="1">
        <v>6</v>
      </c>
      <c r="F1845" s="1">
        <v>4</v>
      </c>
      <c r="G1845" s="1">
        <v>100</v>
      </c>
      <c r="H1845" s="10" t="s">
        <v>2121</v>
      </c>
      <c r="I1845" s="1">
        <f t="shared" si="49"/>
        <v>109000</v>
      </c>
      <c r="J1845" s="1">
        <v>50</v>
      </c>
      <c r="K1845" s="1">
        <v>500</v>
      </c>
      <c r="L1845" s="1">
        <v>55000</v>
      </c>
      <c r="M1845" s="1" t="str">
        <f t="shared" si="50"/>
        <v>108_0_0</v>
      </c>
      <c r="N1845" s="1" t="s">
        <v>2451</v>
      </c>
      <c r="O1845" s="1">
        <v>0</v>
      </c>
      <c r="P1845" s="1" t="s">
        <v>2059</v>
      </c>
      <c r="Q1845" s="7" t="str">
        <f t="shared" si="51"/>
        <v>equipment/2201.png</v>
      </c>
      <c r="R1845" s="1">
        <v>0</v>
      </c>
    </row>
    <row r="1846" spans="1:18" ht="14.25" thickBot="1">
      <c r="A1846" s="1">
        <v>41003050</v>
      </c>
      <c r="B1846" s="3">
        <f t="shared" si="48"/>
        <v>0</v>
      </c>
      <c r="C1846" s="9" t="s">
        <v>2796</v>
      </c>
      <c r="D1846" s="1" t="s">
        <v>12</v>
      </c>
      <c r="E1846" s="1">
        <v>5</v>
      </c>
      <c r="F1846" s="1">
        <v>4</v>
      </c>
      <c r="G1846" s="1">
        <v>100</v>
      </c>
      <c r="H1846" s="10" t="s">
        <v>2122</v>
      </c>
      <c r="I1846" s="1">
        <f t="shared" si="49"/>
        <v>106000</v>
      </c>
      <c r="J1846" s="1">
        <v>50</v>
      </c>
      <c r="K1846" s="1">
        <v>500</v>
      </c>
      <c r="L1846" s="1">
        <v>52500</v>
      </c>
      <c r="M1846" s="1" t="str">
        <f t="shared" si="50"/>
        <v>103_6744_6744,104_13489_13489</v>
      </c>
      <c r="N1846" s="1" t="s">
        <v>2451</v>
      </c>
      <c r="O1846" s="1">
        <v>0</v>
      </c>
      <c r="P1846" s="1" t="s">
        <v>2059</v>
      </c>
      <c r="Q1846" s="7" t="str">
        <f t="shared" si="51"/>
        <v>equipment/1324.png</v>
      </c>
      <c r="R1846" s="1">
        <v>0</v>
      </c>
    </row>
    <row r="1847" spans="1:18" ht="14.25" thickBot="1">
      <c r="A1847" s="1">
        <v>41003051</v>
      </c>
      <c r="B1847" s="3">
        <f t="shared" si="48"/>
        <v>0</v>
      </c>
      <c r="C1847" s="9" t="s">
        <v>2797</v>
      </c>
      <c r="D1847" s="1" t="s">
        <v>12</v>
      </c>
      <c r="E1847" s="1">
        <v>5</v>
      </c>
      <c r="F1847" s="1">
        <v>4</v>
      </c>
      <c r="G1847" s="1">
        <v>100</v>
      </c>
      <c r="H1847" s="10" t="s">
        <v>2122</v>
      </c>
      <c r="I1847" s="1">
        <f t="shared" si="49"/>
        <v>109000</v>
      </c>
      <c r="J1847" s="1">
        <v>50</v>
      </c>
      <c r="K1847" s="1">
        <v>500</v>
      </c>
      <c r="L1847" s="1">
        <v>55000</v>
      </c>
      <c r="M1847" s="1" t="str">
        <f t="shared" si="50"/>
        <v>103_0_0</v>
      </c>
      <c r="N1847" s="1" t="s">
        <v>2451</v>
      </c>
      <c r="O1847" s="1">
        <v>0</v>
      </c>
      <c r="P1847" s="1" t="s">
        <v>2059</v>
      </c>
      <c r="Q1847" s="7" t="str">
        <f t="shared" si="51"/>
        <v>equipment/1301.png</v>
      </c>
      <c r="R1847" s="1">
        <v>0</v>
      </c>
    </row>
    <row r="1848" spans="1:18" ht="14.25" thickBot="1">
      <c r="A1848" s="1">
        <v>41003060</v>
      </c>
      <c r="B1848" s="3">
        <f t="shared" si="48"/>
        <v>0</v>
      </c>
      <c r="C1848" s="9" t="s">
        <v>2798</v>
      </c>
      <c r="D1848" s="1" t="s">
        <v>13</v>
      </c>
      <c r="E1848" s="1">
        <v>6</v>
      </c>
      <c r="F1848" s="1">
        <v>4</v>
      </c>
      <c r="G1848" s="1">
        <v>100</v>
      </c>
      <c r="H1848" s="10" t="s">
        <v>2122</v>
      </c>
      <c r="I1848" s="1">
        <f t="shared" si="49"/>
        <v>106000</v>
      </c>
      <c r="J1848" s="1">
        <v>50</v>
      </c>
      <c r="K1848" s="1">
        <v>500</v>
      </c>
      <c r="L1848" s="1">
        <v>52500</v>
      </c>
      <c r="M1848" s="1" t="str">
        <f t="shared" si="50"/>
        <v>102_4560_4560</v>
      </c>
      <c r="N1848" s="1" t="s">
        <v>2451</v>
      </c>
      <c r="O1848" s="1">
        <v>0</v>
      </c>
      <c r="P1848" s="1" t="s">
        <v>2059</v>
      </c>
      <c r="Q1848" s="7" t="str">
        <f t="shared" si="51"/>
        <v>equipment/2318.png</v>
      </c>
      <c r="R1848" s="1">
        <v>0</v>
      </c>
    </row>
    <row r="1849" spans="1:18" ht="14.25" thickBot="1">
      <c r="A1849" s="1">
        <v>41003061</v>
      </c>
      <c r="B1849" s="3">
        <f t="shared" si="48"/>
        <v>0</v>
      </c>
      <c r="C1849" s="9" t="s">
        <v>2799</v>
      </c>
      <c r="D1849" s="1" t="s">
        <v>13</v>
      </c>
      <c r="E1849" s="1">
        <v>6</v>
      </c>
      <c r="F1849" s="1">
        <v>4</v>
      </c>
      <c r="G1849" s="1">
        <v>100</v>
      </c>
      <c r="H1849" s="10" t="s">
        <v>2122</v>
      </c>
      <c r="I1849" s="1">
        <f t="shared" si="49"/>
        <v>109000</v>
      </c>
      <c r="J1849" s="1">
        <v>50</v>
      </c>
      <c r="K1849" s="1">
        <v>500</v>
      </c>
      <c r="L1849" s="1">
        <v>55000</v>
      </c>
      <c r="M1849" s="1" t="str">
        <f t="shared" si="50"/>
        <v>102_0_0</v>
      </c>
      <c r="N1849" s="1" t="s">
        <v>2451</v>
      </c>
      <c r="O1849" s="1">
        <v>0</v>
      </c>
      <c r="P1849" s="1" t="s">
        <v>2059</v>
      </c>
      <c r="Q1849" s="7" t="str">
        <f t="shared" si="51"/>
        <v>equipment/2301.png</v>
      </c>
      <c r="R1849" s="1">
        <v>0</v>
      </c>
    </row>
    <row r="1850" spans="1:18" ht="14.25" thickBot="1">
      <c r="A1850" s="1">
        <v>41000040</v>
      </c>
      <c r="B1850" s="3">
        <f t="shared" si="48"/>
        <v>0</v>
      </c>
      <c r="C1850" s="1" t="s">
        <v>2800</v>
      </c>
      <c r="D1850" s="1" t="s">
        <v>11</v>
      </c>
      <c r="E1850" s="1">
        <v>4</v>
      </c>
      <c r="F1850" s="1">
        <v>4</v>
      </c>
      <c r="G1850" s="1">
        <v>100</v>
      </c>
      <c r="H1850" s="10">
        <v>0</v>
      </c>
      <c r="I1850" s="1">
        <f t="shared" si="49"/>
        <v>106000</v>
      </c>
      <c r="J1850" s="1">
        <v>50</v>
      </c>
      <c r="K1850" s="1">
        <v>500</v>
      </c>
      <c r="L1850" s="1">
        <v>52500</v>
      </c>
      <c r="M1850" s="1" t="str">
        <f t="shared" si="50"/>
        <v>105_4249_4249</v>
      </c>
      <c r="N1850" s="1" t="s">
        <v>2450</v>
      </c>
      <c r="O1850" s="1">
        <v>0</v>
      </c>
      <c r="P1850" s="1" t="s">
        <v>2059</v>
      </c>
      <c r="Q1850" s="7" t="str">
        <f t="shared" si="51"/>
        <v>equipment/5001.png</v>
      </c>
      <c r="R1850" s="1">
        <v>0</v>
      </c>
    </row>
    <row r="1851" spans="1:18" ht="14.25" thickBot="1">
      <c r="A1851" s="1">
        <v>41000041</v>
      </c>
      <c r="B1851" s="3">
        <f t="shared" ref="B1851:B1853" si="52">B1389</f>
        <v>0</v>
      </c>
      <c r="C1851" s="1" t="s">
        <v>2675</v>
      </c>
      <c r="D1851" s="1" t="s">
        <v>11</v>
      </c>
      <c r="E1851" s="1">
        <v>4</v>
      </c>
      <c r="F1851" s="1">
        <v>4</v>
      </c>
      <c r="G1851" s="1">
        <v>100</v>
      </c>
      <c r="H1851" s="10">
        <v>0</v>
      </c>
      <c r="I1851" s="1">
        <f t="shared" ref="I1851:I1853" si="53">I465*10</f>
        <v>109000</v>
      </c>
      <c r="J1851" s="1">
        <v>50</v>
      </c>
      <c r="K1851" s="1">
        <v>500</v>
      </c>
      <c r="L1851" s="1">
        <v>55000</v>
      </c>
      <c r="M1851" s="1" t="str">
        <f t="shared" ref="M1851:M1852" si="54">M1389</f>
        <v>105_0_0</v>
      </c>
      <c r="N1851" s="1" t="s">
        <v>2450</v>
      </c>
      <c r="O1851" s="1">
        <v>0</v>
      </c>
      <c r="P1851" s="1" t="s">
        <v>2059</v>
      </c>
      <c r="Q1851" s="7" t="str">
        <f t="shared" si="51"/>
        <v>equipment/5001.png</v>
      </c>
      <c r="R1851" s="1">
        <v>0</v>
      </c>
    </row>
    <row r="1852" spans="1:18" ht="14.25" thickBot="1">
      <c r="A1852" s="1">
        <v>41000070</v>
      </c>
      <c r="B1852" s="3">
        <f t="shared" si="52"/>
        <v>0</v>
      </c>
      <c r="C1852" s="1" t="s">
        <v>2801</v>
      </c>
      <c r="D1852" s="1" t="s">
        <v>14</v>
      </c>
      <c r="E1852" s="1">
        <v>7</v>
      </c>
      <c r="F1852" s="1">
        <v>4</v>
      </c>
      <c r="G1852" s="1">
        <v>100</v>
      </c>
      <c r="H1852" s="10">
        <v>0</v>
      </c>
      <c r="I1852" s="1">
        <f t="shared" si="53"/>
        <v>106000</v>
      </c>
      <c r="J1852" s="1">
        <v>50</v>
      </c>
      <c r="K1852" s="1">
        <v>500</v>
      </c>
      <c r="L1852" s="1">
        <v>52500</v>
      </c>
      <c r="M1852" s="1" t="str">
        <f t="shared" si="54"/>
        <v>105_4249_4249</v>
      </c>
      <c r="N1852" s="1" t="s">
        <v>2450</v>
      </c>
      <c r="O1852" s="1">
        <v>0</v>
      </c>
      <c r="P1852" s="1" t="s">
        <v>2059</v>
      </c>
      <c r="Q1852" s="7" t="str">
        <f t="shared" si="51"/>
        <v>equipment/7001.png</v>
      </c>
      <c r="R1852" s="1">
        <v>0</v>
      </c>
    </row>
    <row r="1853" spans="1:18" ht="14.25" thickBot="1">
      <c r="A1853" s="1">
        <v>41000071</v>
      </c>
      <c r="B1853" s="3">
        <f t="shared" si="52"/>
        <v>0</v>
      </c>
      <c r="C1853" s="1" t="s">
        <v>2802</v>
      </c>
      <c r="D1853" s="1" t="s">
        <v>14</v>
      </c>
      <c r="E1853" s="1">
        <v>7</v>
      </c>
      <c r="F1853" s="1">
        <v>4</v>
      </c>
      <c r="G1853" s="1">
        <v>100</v>
      </c>
      <c r="H1853" s="10">
        <v>0</v>
      </c>
      <c r="I1853" s="1">
        <f t="shared" si="53"/>
        <v>109000</v>
      </c>
      <c r="J1853" s="1">
        <v>50</v>
      </c>
      <c r="K1853" s="1">
        <v>500</v>
      </c>
      <c r="L1853" s="1">
        <v>55000</v>
      </c>
      <c r="M1853" s="1" t="str">
        <f>M1391</f>
        <v>105_0_0</v>
      </c>
      <c r="N1853" s="1" t="s">
        <v>2450</v>
      </c>
      <c r="O1853" s="1">
        <v>0</v>
      </c>
      <c r="P1853" s="1" t="s">
        <v>2059</v>
      </c>
      <c r="Q1853" s="7" t="str">
        <f t="shared" si="51"/>
        <v>equipment/7001.png</v>
      </c>
      <c r="R1853" s="1">
        <v>0</v>
      </c>
    </row>
    <row r="1854" spans="1:18" ht="14.25" thickBot="1">
      <c r="A1854" s="1" t="s">
        <v>1442</v>
      </c>
      <c r="B1854" s="2">
        <v>0</v>
      </c>
      <c r="C1854" s="1" t="str">
        <f t="shared" ref="C1854:C1876" si="55">C1392</f>
        <v>纹饰帽</v>
      </c>
      <c r="D1854" s="1" t="s">
        <v>8</v>
      </c>
      <c r="E1854" s="1">
        <v>1</v>
      </c>
      <c r="F1854" s="1">
        <v>5</v>
      </c>
      <c r="G1854" s="1">
        <v>1</v>
      </c>
      <c r="H1854" s="10">
        <v>0</v>
      </c>
      <c r="I1854" s="1">
        <v>2000</v>
      </c>
      <c r="J1854" s="1">
        <v>150</v>
      </c>
      <c r="K1854" s="1">
        <v>1500</v>
      </c>
      <c r="L1854" s="1">
        <v>0</v>
      </c>
      <c r="M1854" s="1" t="str">
        <f t="shared" ref="M1854:M1876" si="56">M1392</f>
        <v>106_0_0</v>
      </c>
      <c r="N1854" s="1" t="s">
        <v>1414</v>
      </c>
      <c r="O1854" s="1">
        <v>0</v>
      </c>
      <c r="P1854" s="1" t="s">
        <v>2045</v>
      </c>
      <c r="Q1854" s="7" t="str">
        <f t="shared" si="51"/>
        <v>equipment/3001.png</v>
      </c>
      <c r="R1854" s="1">
        <v>0</v>
      </c>
    </row>
    <row r="1855" spans="1:18" ht="14.25" thickBot="1">
      <c r="A1855" s="1" t="s">
        <v>1443</v>
      </c>
      <c r="B1855" s="2">
        <v>0</v>
      </c>
      <c r="C1855" s="1" t="str">
        <f t="shared" si="55"/>
        <v>金戒指</v>
      </c>
      <c r="D1855" s="1" t="s">
        <v>9</v>
      </c>
      <c r="E1855" s="1">
        <v>2</v>
      </c>
      <c r="F1855" s="1">
        <v>5</v>
      </c>
      <c r="G1855" s="1">
        <v>1</v>
      </c>
      <c r="H1855" s="10">
        <v>0</v>
      </c>
      <c r="I1855" s="1">
        <v>2000</v>
      </c>
      <c r="J1855" s="1">
        <v>150</v>
      </c>
      <c r="K1855" s="1">
        <v>1500</v>
      </c>
      <c r="L1855" s="1">
        <v>0</v>
      </c>
      <c r="M1855" s="1" t="str">
        <f t="shared" si="56"/>
        <v>102_20_20</v>
      </c>
      <c r="N1855" s="1" t="s">
        <v>1414</v>
      </c>
      <c r="O1855" s="1">
        <v>0</v>
      </c>
      <c r="P1855" s="1" t="s">
        <v>2045</v>
      </c>
      <c r="Q1855" s="7" t="str">
        <f t="shared" si="51"/>
        <v>equipment/14001.png</v>
      </c>
      <c r="R1855" s="1">
        <v>0</v>
      </c>
    </row>
    <row r="1856" spans="1:18" ht="14.25" thickBot="1">
      <c r="A1856" s="1" t="s">
        <v>1444</v>
      </c>
      <c r="B1856" s="2">
        <v>0</v>
      </c>
      <c r="C1856" s="1" t="str">
        <f t="shared" si="55"/>
        <v>兽皮腰带</v>
      </c>
      <c r="D1856" s="1" t="s">
        <v>10</v>
      </c>
      <c r="E1856" s="1">
        <v>3</v>
      </c>
      <c r="F1856" s="1">
        <v>5</v>
      </c>
      <c r="G1856" s="1">
        <v>1</v>
      </c>
      <c r="H1856" s="10">
        <v>0</v>
      </c>
      <c r="I1856" s="1">
        <v>2000</v>
      </c>
      <c r="J1856" s="1">
        <v>150</v>
      </c>
      <c r="K1856" s="1">
        <v>1500</v>
      </c>
      <c r="L1856" s="1">
        <v>0</v>
      </c>
      <c r="M1856" s="1" t="str">
        <f t="shared" si="56"/>
        <v>101_100_100</v>
      </c>
      <c r="N1856" s="1" t="s">
        <v>1414</v>
      </c>
      <c r="O1856" s="1">
        <v>0</v>
      </c>
      <c r="P1856" s="1" t="s">
        <v>2045</v>
      </c>
      <c r="Q1856" s="7" t="str">
        <f t="shared" si="51"/>
        <v>equipment/6001.png</v>
      </c>
      <c r="R1856" s="1">
        <v>0</v>
      </c>
    </row>
    <row r="1857" spans="1:18" ht="14.25" thickBot="1">
      <c r="A1857" s="1" t="s">
        <v>1445</v>
      </c>
      <c r="B1857" s="3">
        <v>1</v>
      </c>
      <c r="C1857" s="1" t="str">
        <f t="shared" si="55"/>
        <v>皮靴</v>
      </c>
      <c r="D1857" s="1" t="s">
        <v>15</v>
      </c>
      <c r="E1857" s="1">
        <v>8</v>
      </c>
      <c r="F1857" s="1">
        <v>5</v>
      </c>
      <c r="G1857" s="1">
        <v>1</v>
      </c>
      <c r="H1857" s="10">
        <v>0</v>
      </c>
      <c r="I1857" s="1">
        <v>2000</v>
      </c>
      <c r="J1857" s="1">
        <v>150</v>
      </c>
      <c r="K1857" s="1">
        <v>1500</v>
      </c>
      <c r="L1857" s="1">
        <v>0</v>
      </c>
      <c r="M1857" s="1" t="str">
        <f t="shared" si="56"/>
        <v>110_4_4</v>
      </c>
      <c r="N1857" s="1" t="s">
        <v>1414</v>
      </c>
      <c r="O1857" s="1">
        <v>0</v>
      </c>
      <c r="P1857" s="1" t="s">
        <v>2045</v>
      </c>
      <c r="Q1857" s="7" t="str">
        <f t="shared" si="51"/>
        <v>equipment/8001.png</v>
      </c>
      <c r="R1857" s="1">
        <v>0</v>
      </c>
    </row>
    <row r="1858" spans="1:18" ht="14.25" thickBot="1">
      <c r="A1858" s="1" t="s">
        <v>1446</v>
      </c>
      <c r="B1858" s="3">
        <v>1</v>
      </c>
      <c r="C1858" s="1" t="str">
        <f t="shared" si="55"/>
        <v>轻布手套</v>
      </c>
      <c r="D1858" s="1" t="s">
        <v>16</v>
      </c>
      <c r="E1858" s="1">
        <v>9</v>
      </c>
      <c r="F1858" s="1">
        <v>5</v>
      </c>
      <c r="G1858" s="1">
        <v>1</v>
      </c>
      <c r="H1858" s="10">
        <v>0</v>
      </c>
      <c r="I1858" s="1">
        <v>2000</v>
      </c>
      <c r="J1858" s="1">
        <v>150</v>
      </c>
      <c r="K1858" s="1">
        <v>1500</v>
      </c>
      <c r="L1858" s="1">
        <v>0</v>
      </c>
      <c r="M1858" s="1" t="str">
        <f t="shared" si="56"/>
        <v>108_9_9</v>
      </c>
      <c r="N1858" s="1" t="s">
        <v>1414</v>
      </c>
      <c r="O1858" s="1">
        <v>0</v>
      </c>
      <c r="P1858" s="1" t="s">
        <v>2045</v>
      </c>
      <c r="Q1858" s="7" t="str">
        <f t="shared" si="51"/>
        <v>equipment/10001.png</v>
      </c>
      <c r="R1858" s="1">
        <v>0</v>
      </c>
    </row>
    <row r="1859" spans="1:18" ht="14.25" thickBot="1">
      <c r="A1859" s="1" t="s">
        <v>1447</v>
      </c>
      <c r="B1859" s="2">
        <v>0</v>
      </c>
      <c r="C1859" s="1" t="str">
        <f t="shared" si="55"/>
        <v>贝壳项链</v>
      </c>
      <c r="D1859" s="1" t="s">
        <v>17</v>
      </c>
      <c r="E1859" s="1">
        <v>10</v>
      </c>
      <c r="F1859" s="1">
        <v>5</v>
      </c>
      <c r="G1859" s="1">
        <v>1</v>
      </c>
      <c r="H1859" s="10">
        <v>0</v>
      </c>
      <c r="I1859" s="1">
        <v>2000</v>
      </c>
      <c r="J1859" s="1">
        <v>150</v>
      </c>
      <c r="K1859" s="1">
        <v>1500</v>
      </c>
      <c r="L1859" s="1">
        <v>0</v>
      </c>
      <c r="M1859" s="1" t="str">
        <f t="shared" si="56"/>
        <v>107_0_0</v>
      </c>
      <c r="N1859" s="1" t="s">
        <v>1414</v>
      </c>
      <c r="O1859" s="1">
        <v>0</v>
      </c>
      <c r="P1859" s="1" t="s">
        <v>2045</v>
      </c>
      <c r="Q1859" s="7" t="str">
        <f t="shared" si="51"/>
        <v>equipment/12001.png</v>
      </c>
      <c r="R1859" s="1">
        <v>0</v>
      </c>
    </row>
    <row r="1860" spans="1:18" ht="14.25" thickBot="1">
      <c r="A1860" s="1" t="s">
        <v>1448</v>
      </c>
      <c r="B1860" s="3">
        <v>1</v>
      </c>
      <c r="C1860" s="1" t="str">
        <f t="shared" si="55"/>
        <v>短剑</v>
      </c>
      <c r="D1860" s="1" t="s">
        <v>12</v>
      </c>
      <c r="E1860" s="1">
        <v>5</v>
      </c>
      <c r="F1860" s="1">
        <v>5</v>
      </c>
      <c r="G1860" s="1">
        <v>1</v>
      </c>
      <c r="H1860" s="10" t="s">
        <v>2120</v>
      </c>
      <c r="I1860" s="1">
        <v>2000</v>
      </c>
      <c r="J1860" s="1">
        <v>150</v>
      </c>
      <c r="K1860" s="1">
        <v>1500</v>
      </c>
      <c r="L1860" s="1">
        <v>0</v>
      </c>
      <c r="M1860" s="1" t="str">
        <f t="shared" si="56"/>
        <v>103_2_2,104_6_6</v>
      </c>
      <c r="N1860" s="1" t="s">
        <v>1768</v>
      </c>
      <c r="O1860" s="1">
        <v>0</v>
      </c>
      <c r="P1860" s="1" t="s">
        <v>2045</v>
      </c>
      <c r="Q1860" s="7" t="str">
        <f t="shared" si="51"/>
        <v>equipment/1101.png</v>
      </c>
      <c r="R1860" s="1">
        <v>0</v>
      </c>
    </row>
    <row r="1861" spans="1:18" ht="14.25" thickBot="1">
      <c r="A1861" s="1" t="s">
        <v>1449</v>
      </c>
      <c r="B1861" s="3">
        <v>1</v>
      </c>
      <c r="C1861" s="1" t="str">
        <f t="shared" si="55"/>
        <v>军刀</v>
      </c>
      <c r="D1861" s="1" t="s">
        <v>12</v>
      </c>
      <c r="E1861" s="1">
        <v>5</v>
      </c>
      <c r="F1861" s="1">
        <v>5</v>
      </c>
      <c r="G1861" s="1">
        <v>1</v>
      </c>
      <c r="H1861" s="10" t="s">
        <v>2120</v>
      </c>
      <c r="I1861" s="1">
        <v>8000</v>
      </c>
      <c r="J1861" s="1">
        <v>150</v>
      </c>
      <c r="K1861" s="1">
        <v>1500</v>
      </c>
      <c r="L1861" s="1">
        <v>0</v>
      </c>
      <c r="M1861" s="1" t="str">
        <f t="shared" si="56"/>
        <v>103_5_5,104_12_12</v>
      </c>
      <c r="N1861" s="1" t="s">
        <v>1768</v>
      </c>
      <c r="O1861" s="1">
        <v>0</v>
      </c>
      <c r="P1861" s="1" t="s">
        <v>2045</v>
      </c>
      <c r="Q1861" s="7" t="str">
        <f t="shared" si="51"/>
        <v>equipment/1102.png</v>
      </c>
      <c r="R1861" s="1">
        <v>0</v>
      </c>
    </row>
    <row r="1862" spans="1:18" ht="14.25" thickBot="1">
      <c r="A1862" s="1" t="s">
        <v>1450</v>
      </c>
      <c r="B1862" s="3">
        <v>1</v>
      </c>
      <c r="C1862" s="1" t="str">
        <f t="shared" si="55"/>
        <v>小圆盾</v>
      </c>
      <c r="D1862" s="1" t="s">
        <v>13</v>
      </c>
      <c r="E1862" s="1">
        <v>6</v>
      </c>
      <c r="F1862" s="1">
        <v>5</v>
      </c>
      <c r="G1862" s="1">
        <v>1</v>
      </c>
      <c r="H1862" s="10" t="s">
        <v>2120</v>
      </c>
      <c r="I1862" s="1">
        <v>2000</v>
      </c>
      <c r="J1862" s="1">
        <v>150</v>
      </c>
      <c r="K1862" s="1">
        <v>1500</v>
      </c>
      <c r="L1862" s="1">
        <v>0</v>
      </c>
      <c r="M1862" s="1" t="str">
        <f t="shared" si="56"/>
        <v>105_4_4</v>
      </c>
      <c r="N1862" s="1" t="s">
        <v>1768</v>
      </c>
      <c r="O1862" s="1">
        <v>0</v>
      </c>
      <c r="P1862" s="1" t="s">
        <v>2045</v>
      </c>
      <c r="Q1862" s="7" t="str">
        <f t="shared" si="51"/>
        <v>equipment/2101.png</v>
      </c>
      <c r="R1862" s="1">
        <v>0</v>
      </c>
    </row>
    <row r="1863" spans="1:18" ht="14.25" thickBot="1">
      <c r="A1863" s="1" t="s">
        <v>1451</v>
      </c>
      <c r="B1863" s="2">
        <v>0</v>
      </c>
      <c r="C1863" s="1" t="str">
        <f t="shared" si="55"/>
        <v>尖头盾</v>
      </c>
      <c r="D1863" s="1" t="s">
        <v>13</v>
      </c>
      <c r="E1863" s="1">
        <v>6</v>
      </c>
      <c r="F1863" s="1">
        <v>5</v>
      </c>
      <c r="G1863" s="1">
        <v>1</v>
      </c>
      <c r="H1863" s="10" t="s">
        <v>2120</v>
      </c>
      <c r="I1863" s="1">
        <v>8000</v>
      </c>
      <c r="J1863" s="1">
        <v>150</v>
      </c>
      <c r="K1863" s="1">
        <v>1500</v>
      </c>
      <c r="L1863" s="1">
        <v>0</v>
      </c>
      <c r="M1863" s="1" t="str">
        <f t="shared" si="56"/>
        <v>105_7_7</v>
      </c>
      <c r="N1863" s="1" t="s">
        <v>1768</v>
      </c>
      <c r="O1863" s="1">
        <v>0</v>
      </c>
      <c r="P1863" s="1" t="s">
        <v>2045</v>
      </c>
      <c r="Q1863" s="7" t="str">
        <f t="shared" si="51"/>
        <v>equipment/2101.png</v>
      </c>
      <c r="R1863" s="1">
        <v>0</v>
      </c>
    </row>
    <row r="1864" spans="1:18" ht="14.25" thickBot="1">
      <c r="A1864" s="1" t="s">
        <v>1452</v>
      </c>
      <c r="B1864" s="3">
        <v>1</v>
      </c>
      <c r="C1864" s="1" t="str">
        <f t="shared" si="55"/>
        <v>短弓</v>
      </c>
      <c r="D1864" s="1" t="s">
        <v>12</v>
      </c>
      <c r="E1864" s="1">
        <v>5</v>
      </c>
      <c r="F1864" s="1">
        <v>5</v>
      </c>
      <c r="G1864" s="1">
        <v>1</v>
      </c>
      <c r="H1864" s="10" t="s">
        <v>2121</v>
      </c>
      <c r="I1864" s="1">
        <v>2000</v>
      </c>
      <c r="J1864" s="1">
        <v>150</v>
      </c>
      <c r="K1864" s="1">
        <v>1500</v>
      </c>
      <c r="L1864" s="1">
        <v>0</v>
      </c>
      <c r="M1864" s="1" t="str">
        <f t="shared" si="56"/>
        <v>103_2_2,104_6_6</v>
      </c>
      <c r="N1864" s="1" t="s">
        <v>1768</v>
      </c>
      <c r="O1864" s="1">
        <v>0</v>
      </c>
      <c r="P1864" s="1" t="s">
        <v>2045</v>
      </c>
      <c r="Q1864" s="7" t="str">
        <f t="shared" si="51"/>
        <v>equipment/1201.png</v>
      </c>
      <c r="R1864" s="1">
        <v>0</v>
      </c>
    </row>
    <row r="1865" spans="1:18" ht="14.25" thickBot="1">
      <c r="A1865" s="1" t="s">
        <v>1453</v>
      </c>
      <c r="B1865" s="3">
        <v>1</v>
      </c>
      <c r="C1865" s="1" t="str">
        <f t="shared" si="55"/>
        <v>棘木弓</v>
      </c>
      <c r="D1865" s="1" t="s">
        <v>12</v>
      </c>
      <c r="E1865" s="1">
        <v>5</v>
      </c>
      <c r="F1865" s="1">
        <v>5</v>
      </c>
      <c r="G1865" s="1">
        <v>1</v>
      </c>
      <c r="H1865" s="10" t="s">
        <v>2121</v>
      </c>
      <c r="I1865" s="1">
        <v>8000</v>
      </c>
      <c r="J1865" s="1">
        <v>150</v>
      </c>
      <c r="K1865" s="1">
        <v>1500</v>
      </c>
      <c r="L1865" s="1">
        <v>0</v>
      </c>
      <c r="M1865" s="1" t="str">
        <f t="shared" si="56"/>
        <v>103_5_5,104_12_12</v>
      </c>
      <c r="N1865" s="1" t="s">
        <v>1768</v>
      </c>
      <c r="O1865" s="1">
        <v>0</v>
      </c>
      <c r="P1865" s="1" t="s">
        <v>2045</v>
      </c>
      <c r="Q1865" s="7" t="str">
        <f t="shared" si="51"/>
        <v>equipment/1202.png</v>
      </c>
      <c r="R1865" s="1">
        <v>0</v>
      </c>
    </row>
    <row r="1866" spans="1:18" ht="14.25" thickBot="1">
      <c r="A1866" s="1" t="s">
        <v>1454</v>
      </c>
      <c r="B1866" s="3">
        <v>1</v>
      </c>
      <c r="C1866" s="1" t="str">
        <f t="shared" si="55"/>
        <v>小箭筒</v>
      </c>
      <c r="D1866" s="1" t="s">
        <v>13</v>
      </c>
      <c r="E1866" s="1">
        <v>6</v>
      </c>
      <c r="F1866" s="1">
        <v>5</v>
      </c>
      <c r="G1866" s="1">
        <v>1</v>
      </c>
      <c r="H1866" s="10" t="s">
        <v>2121</v>
      </c>
      <c r="I1866" s="1">
        <v>2000</v>
      </c>
      <c r="J1866" s="1">
        <v>150</v>
      </c>
      <c r="K1866" s="1">
        <v>1500</v>
      </c>
      <c r="L1866" s="1">
        <v>0</v>
      </c>
      <c r="M1866" s="1" t="str">
        <f t="shared" si="56"/>
        <v>108_4_4</v>
      </c>
      <c r="N1866" s="1" t="s">
        <v>1768</v>
      </c>
      <c r="O1866" s="1">
        <v>0</v>
      </c>
      <c r="P1866" s="1" t="s">
        <v>2045</v>
      </c>
      <c r="Q1866" s="7" t="str">
        <f t="shared" si="51"/>
        <v>equipment/2201.png</v>
      </c>
      <c r="R1866" s="1">
        <v>0</v>
      </c>
    </row>
    <row r="1867" spans="1:18" ht="14.25" thickBot="1">
      <c r="A1867" s="1" t="s">
        <v>1455</v>
      </c>
      <c r="B1867" s="2">
        <v>0</v>
      </c>
      <c r="C1867" s="1" t="str">
        <f t="shared" si="55"/>
        <v>箭筒</v>
      </c>
      <c r="D1867" s="1" t="s">
        <v>13</v>
      </c>
      <c r="E1867" s="1">
        <v>6</v>
      </c>
      <c r="F1867" s="1">
        <v>5</v>
      </c>
      <c r="G1867" s="1">
        <v>1</v>
      </c>
      <c r="H1867" s="10" t="s">
        <v>2121</v>
      </c>
      <c r="I1867" s="1">
        <v>8000</v>
      </c>
      <c r="J1867" s="1">
        <v>150</v>
      </c>
      <c r="K1867" s="1">
        <v>1500</v>
      </c>
      <c r="L1867" s="1">
        <v>0</v>
      </c>
      <c r="M1867" s="1" t="str">
        <f t="shared" si="56"/>
        <v>108_7_7</v>
      </c>
      <c r="N1867" s="1" t="s">
        <v>1768</v>
      </c>
      <c r="O1867" s="1">
        <v>0</v>
      </c>
      <c r="P1867" s="1" t="s">
        <v>2045</v>
      </c>
      <c r="Q1867" s="7" t="str">
        <f t="shared" si="51"/>
        <v>equipment/2201.png</v>
      </c>
      <c r="R1867" s="1">
        <v>0</v>
      </c>
    </row>
    <row r="1868" spans="1:18" ht="14.25" thickBot="1">
      <c r="A1868" s="1" t="s">
        <v>1456</v>
      </c>
      <c r="B1868" s="3">
        <v>1</v>
      </c>
      <c r="C1868" s="1" t="str">
        <f t="shared" si="55"/>
        <v>训练用杖</v>
      </c>
      <c r="D1868" s="1" t="s">
        <v>12</v>
      </c>
      <c r="E1868" s="1">
        <v>5</v>
      </c>
      <c r="F1868" s="1">
        <v>5</v>
      </c>
      <c r="G1868" s="1">
        <v>1</v>
      </c>
      <c r="H1868" s="10" t="s">
        <v>2122</v>
      </c>
      <c r="I1868" s="1">
        <v>2000</v>
      </c>
      <c r="J1868" s="1">
        <v>150</v>
      </c>
      <c r="K1868" s="1">
        <v>1500</v>
      </c>
      <c r="L1868" s="1">
        <v>0</v>
      </c>
      <c r="M1868" s="1" t="str">
        <f t="shared" si="56"/>
        <v>103_2_2,104_6_6</v>
      </c>
      <c r="N1868" s="1" t="s">
        <v>1768</v>
      </c>
      <c r="O1868" s="1">
        <v>0</v>
      </c>
      <c r="P1868" s="1" t="s">
        <v>2045</v>
      </c>
      <c r="Q1868" s="7" t="str">
        <f t="shared" si="51"/>
        <v>equipment/1301.png</v>
      </c>
      <c r="R1868" s="1">
        <v>0</v>
      </c>
    </row>
    <row r="1869" spans="1:18" ht="14.25" thickBot="1">
      <c r="A1869" s="1" t="s">
        <v>1457</v>
      </c>
      <c r="B1869" s="3">
        <v>1</v>
      </c>
      <c r="C1869" s="1" t="str">
        <f t="shared" si="55"/>
        <v>学徒法杖</v>
      </c>
      <c r="D1869" s="1" t="s">
        <v>12</v>
      </c>
      <c r="E1869" s="1">
        <v>5</v>
      </c>
      <c r="F1869" s="1">
        <v>5</v>
      </c>
      <c r="G1869" s="1">
        <v>1</v>
      </c>
      <c r="H1869" s="10" t="s">
        <v>2122</v>
      </c>
      <c r="I1869" s="1">
        <v>8000</v>
      </c>
      <c r="J1869" s="1">
        <v>150</v>
      </c>
      <c r="K1869" s="1">
        <v>1500</v>
      </c>
      <c r="L1869" s="1">
        <v>0</v>
      </c>
      <c r="M1869" s="1" t="str">
        <f t="shared" si="56"/>
        <v>103_5_5,104_12_12</v>
      </c>
      <c r="N1869" s="1" t="s">
        <v>1768</v>
      </c>
      <c r="O1869" s="1">
        <v>0</v>
      </c>
      <c r="P1869" s="1" t="s">
        <v>2045</v>
      </c>
      <c r="Q1869" s="7" t="str">
        <f t="shared" si="51"/>
        <v>equipment/1302.png</v>
      </c>
      <c r="R1869" s="1">
        <v>0</v>
      </c>
    </row>
    <row r="1870" spans="1:18" ht="14.25" thickBot="1">
      <c r="A1870" s="1" t="s">
        <v>1458</v>
      </c>
      <c r="B1870" s="3">
        <v>1</v>
      </c>
      <c r="C1870" s="1" t="str">
        <f t="shared" si="55"/>
        <v>学徒手册</v>
      </c>
      <c r="D1870" s="1" t="s">
        <v>13</v>
      </c>
      <c r="E1870" s="1">
        <v>6</v>
      </c>
      <c r="F1870" s="1">
        <v>5</v>
      </c>
      <c r="G1870" s="1">
        <v>1</v>
      </c>
      <c r="H1870" s="10" t="s">
        <v>2122</v>
      </c>
      <c r="I1870" s="1">
        <v>2000</v>
      </c>
      <c r="J1870" s="1">
        <v>150</v>
      </c>
      <c r="K1870" s="1">
        <v>1500</v>
      </c>
      <c r="L1870" s="1">
        <v>0</v>
      </c>
      <c r="M1870" s="1" t="str">
        <f t="shared" si="56"/>
        <v>102_30_30</v>
      </c>
      <c r="N1870" s="1" t="s">
        <v>1768</v>
      </c>
      <c r="O1870" s="1">
        <v>0</v>
      </c>
      <c r="P1870" s="1" t="s">
        <v>2045</v>
      </c>
      <c r="Q1870" s="7" t="str">
        <f t="shared" si="51"/>
        <v>equipment/2301.png</v>
      </c>
      <c r="R1870" s="1">
        <v>0</v>
      </c>
    </row>
    <row r="1871" spans="1:18" ht="14.25" thickBot="1">
      <c r="A1871" s="1" t="s">
        <v>1459</v>
      </c>
      <c r="B1871" s="2">
        <v>0</v>
      </c>
      <c r="C1871" s="1" t="str">
        <f t="shared" si="55"/>
        <v>法术指南</v>
      </c>
      <c r="D1871" s="1" t="s">
        <v>13</v>
      </c>
      <c r="E1871" s="1">
        <v>6</v>
      </c>
      <c r="F1871" s="1">
        <v>5</v>
      </c>
      <c r="G1871" s="1">
        <v>1</v>
      </c>
      <c r="H1871" s="10" t="s">
        <v>2122</v>
      </c>
      <c r="I1871" s="1">
        <v>8000</v>
      </c>
      <c r="J1871" s="1">
        <v>150</v>
      </c>
      <c r="K1871" s="1">
        <v>1500</v>
      </c>
      <c r="L1871" s="1">
        <v>0</v>
      </c>
      <c r="M1871" s="1" t="str">
        <f t="shared" si="56"/>
        <v>102_7_7</v>
      </c>
      <c r="N1871" s="1" t="s">
        <v>1768</v>
      </c>
      <c r="O1871" s="1">
        <v>0</v>
      </c>
      <c r="P1871" s="1" t="s">
        <v>2045</v>
      </c>
      <c r="Q1871" s="7" t="str">
        <f t="shared" si="51"/>
        <v>equipment/2301.png</v>
      </c>
      <c r="R1871" s="1">
        <v>0</v>
      </c>
    </row>
    <row r="1872" spans="1:18" ht="14.25" thickBot="1">
      <c r="A1872" s="1" t="s">
        <v>1460</v>
      </c>
      <c r="B1872" s="3">
        <v>1</v>
      </c>
      <c r="C1872" s="1" t="str">
        <f t="shared" si="55"/>
        <v>新兵外套</v>
      </c>
      <c r="D1872" s="1" t="s">
        <v>11</v>
      </c>
      <c r="E1872" s="1">
        <v>4</v>
      </c>
      <c r="F1872" s="1">
        <v>5</v>
      </c>
      <c r="G1872" s="1">
        <v>1</v>
      </c>
      <c r="H1872" s="10">
        <v>0</v>
      </c>
      <c r="I1872" s="1">
        <v>2000</v>
      </c>
      <c r="J1872" s="1">
        <v>150</v>
      </c>
      <c r="K1872" s="1">
        <v>1500</v>
      </c>
      <c r="L1872" s="1">
        <v>0</v>
      </c>
      <c r="M1872" s="1" t="str">
        <f t="shared" si="56"/>
        <v>105_3_3</v>
      </c>
      <c r="N1872" s="1" t="s">
        <v>1414</v>
      </c>
      <c r="O1872" s="1">
        <v>0</v>
      </c>
      <c r="P1872" s="1" t="s">
        <v>2045</v>
      </c>
      <c r="Q1872" s="7" t="str">
        <f t="shared" si="51"/>
        <v>equipment/5001.png</v>
      </c>
      <c r="R1872" s="1">
        <v>0</v>
      </c>
    </row>
    <row r="1873" spans="1:18" ht="14.25" thickBot="1">
      <c r="A1873" s="1" t="s">
        <v>1461</v>
      </c>
      <c r="B1873" s="2">
        <v>0</v>
      </c>
      <c r="C1873" s="1" t="str">
        <f t="shared" si="55"/>
        <v>新兵外套</v>
      </c>
      <c r="D1873" s="1" t="s">
        <v>11</v>
      </c>
      <c r="E1873" s="1">
        <v>4</v>
      </c>
      <c r="F1873" s="1">
        <v>5</v>
      </c>
      <c r="G1873" s="1">
        <v>1</v>
      </c>
      <c r="H1873" s="10">
        <v>0</v>
      </c>
      <c r="I1873" s="1">
        <v>8000</v>
      </c>
      <c r="J1873" s="1">
        <v>150</v>
      </c>
      <c r="K1873" s="1">
        <v>1500</v>
      </c>
      <c r="L1873" s="1">
        <v>0</v>
      </c>
      <c r="M1873" s="1" t="str">
        <f t="shared" si="56"/>
        <v>105_5_5</v>
      </c>
      <c r="N1873" s="1" t="s">
        <v>1414</v>
      </c>
      <c r="O1873" s="1">
        <v>0</v>
      </c>
      <c r="P1873" s="1" t="s">
        <v>2045</v>
      </c>
      <c r="Q1873" s="7" t="str">
        <f t="shared" si="51"/>
        <v>equipment/5001.png</v>
      </c>
      <c r="R1873" s="1">
        <v>0</v>
      </c>
    </row>
    <row r="1874" spans="1:18" ht="14.25" thickBot="1">
      <c r="A1874" s="1" t="s">
        <v>1462</v>
      </c>
      <c r="B1874" s="2">
        <v>0</v>
      </c>
      <c r="C1874" s="1" t="str">
        <f t="shared" si="55"/>
        <v>皮甲短裤</v>
      </c>
      <c r="D1874" s="1" t="s">
        <v>14</v>
      </c>
      <c r="E1874" s="1">
        <v>7</v>
      </c>
      <c r="F1874" s="1">
        <v>5</v>
      </c>
      <c r="G1874" s="1">
        <v>1</v>
      </c>
      <c r="H1874" s="10">
        <v>0</v>
      </c>
      <c r="I1874" s="1">
        <v>2000</v>
      </c>
      <c r="J1874" s="1">
        <v>150</v>
      </c>
      <c r="K1874" s="1">
        <v>1500</v>
      </c>
      <c r="L1874" s="1">
        <v>0</v>
      </c>
      <c r="M1874" s="1" t="str">
        <f t="shared" si="56"/>
        <v>105_0_0</v>
      </c>
      <c r="N1874" s="1" t="s">
        <v>1414</v>
      </c>
      <c r="O1874" s="1">
        <v>0</v>
      </c>
      <c r="P1874" s="1" t="s">
        <v>2045</v>
      </c>
      <c r="Q1874" s="7" t="str">
        <f t="shared" si="51"/>
        <v>equipment/7001.png</v>
      </c>
      <c r="R1874" s="1">
        <v>0</v>
      </c>
    </row>
    <row r="1875" spans="1:18" ht="14.25" thickBot="1">
      <c r="A1875" s="1" t="s">
        <v>1463</v>
      </c>
      <c r="B1875" s="2">
        <v>0</v>
      </c>
      <c r="C1875" s="1" t="str">
        <f t="shared" si="55"/>
        <v>学徒短裤</v>
      </c>
      <c r="D1875" s="1" t="s">
        <v>14</v>
      </c>
      <c r="E1875" s="1">
        <v>7</v>
      </c>
      <c r="F1875" s="1">
        <v>5</v>
      </c>
      <c r="G1875" s="1">
        <v>1</v>
      </c>
      <c r="H1875" s="10">
        <v>0</v>
      </c>
      <c r="I1875" s="1">
        <v>8000</v>
      </c>
      <c r="J1875" s="1">
        <v>150</v>
      </c>
      <c r="K1875" s="1">
        <v>1500</v>
      </c>
      <c r="L1875" s="1">
        <v>0</v>
      </c>
      <c r="M1875" s="1" t="str">
        <f t="shared" si="56"/>
        <v>105_1_1</v>
      </c>
      <c r="N1875" s="1" t="s">
        <v>1414</v>
      </c>
      <c r="O1875" s="1">
        <v>0</v>
      </c>
      <c r="P1875" s="1" t="s">
        <v>2045</v>
      </c>
      <c r="Q1875" s="7" t="str">
        <f t="shared" si="51"/>
        <v>equipment/7001.png</v>
      </c>
      <c r="R1875" s="1">
        <v>0</v>
      </c>
    </row>
    <row r="1876" spans="1:18" ht="14.25" thickBot="1">
      <c r="A1876" s="1" t="s">
        <v>1464</v>
      </c>
      <c r="B1876" s="3">
        <v>1</v>
      </c>
      <c r="C1876" s="1" t="str">
        <f t="shared" si="55"/>
        <v>纹饰帽</v>
      </c>
      <c r="D1876" s="1" t="s">
        <v>8</v>
      </c>
      <c r="E1876" s="1">
        <v>1</v>
      </c>
      <c r="F1876" s="1">
        <v>5</v>
      </c>
      <c r="G1876" s="1">
        <v>5</v>
      </c>
      <c r="H1876" s="10">
        <v>0</v>
      </c>
      <c r="I1876" s="1">
        <v>10000</v>
      </c>
      <c r="J1876" s="1">
        <v>150</v>
      </c>
      <c r="K1876" s="1">
        <v>1500</v>
      </c>
      <c r="L1876" s="1">
        <v>0</v>
      </c>
      <c r="M1876" s="1" t="str">
        <f t="shared" si="56"/>
        <v>106_20_20</v>
      </c>
      <c r="N1876" s="1" t="s">
        <v>1769</v>
      </c>
      <c r="O1876" s="1">
        <v>0</v>
      </c>
      <c r="P1876" s="1" t="s">
        <v>2046</v>
      </c>
      <c r="Q1876" s="7" t="str">
        <f t="shared" si="51"/>
        <v>equipment/3001.png</v>
      </c>
      <c r="R1876" s="1">
        <v>0</v>
      </c>
    </row>
    <row r="1877" spans="1:18" ht="14.25" thickBot="1">
      <c r="A1877" s="1" t="s">
        <v>1465</v>
      </c>
      <c r="B1877" s="3">
        <v>1</v>
      </c>
      <c r="C1877" s="1" t="str">
        <f t="shared" ref="C1877:C1940" si="57">C1415</f>
        <v>金戒指</v>
      </c>
      <c r="D1877" s="1" t="s">
        <v>9</v>
      </c>
      <c r="E1877" s="1">
        <v>2</v>
      </c>
      <c r="F1877" s="1">
        <v>5</v>
      </c>
      <c r="G1877" s="1">
        <v>5</v>
      </c>
      <c r="H1877" s="10">
        <v>0</v>
      </c>
      <c r="I1877" s="1">
        <v>10000</v>
      </c>
      <c r="J1877" s="1">
        <v>150</v>
      </c>
      <c r="K1877" s="1">
        <v>1500</v>
      </c>
      <c r="L1877" s="1">
        <v>0</v>
      </c>
      <c r="M1877" s="1" t="str">
        <f t="shared" ref="M1877:M1940" si="58">M1415</f>
        <v>102_80_80</v>
      </c>
      <c r="N1877" s="1" t="s">
        <v>1769</v>
      </c>
      <c r="O1877" s="1">
        <v>0</v>
      </c>
      <c r="P1877" s="1" t="s">
        <v>2046</v>
      </c>
      <c r="Q1877" s="7" t="str">
        <f t="shared" ref="Q1877:Q1940" si="59">Q1415</f>
        <v>equipment/14001.png</v>
      </c>
      <c r="R1877" s="1">
        <v>0</v>
      </c>
    </row>
    <row r="1878" spans="1:18" ht="14.25" thickBot="1">
      <c r="A1878" s="1" t="s">
        <v>1466</v>
      </c>
      <c r="B1878" s="3">
        <v>1</v>
      </c>
      <c r="C1878" s="1" t="str">
        <f t="shared" si="57"/>
        <v>兽皮腰带</v>
      </c>
      <c r="D1878" s="1" t="s">
        <v>10</v>
      </c>
      <c r="E1878" s="1">
        <v>3</v>
      </c>
      <c r="F1878" s="1">
        <v>5</v>
      </c>
      <c r="G1878" s="1">
        <v>5</v>
      </c>
      <c r="H1878" s="10">
        <v>0</v>
      </c>
      <c r="I1878" s="1">
        <v>10000</v>
      </c>
      <c r="J1878" s="1">
        <v>150</v>
      </c>
      <c r="K1878" s="1">
        <v>1500</v>
      </c>
      <c r="L1878" s="1">
        <v>0</v>
      </c>
      <c r="M1878" s="1" t="str">
        <f t="shared" si="58"/>
        <v>101_100_100</v>
      </c>
      <c r="N1878" s="1" t="s">
        <v>1769</v>
      </c>
      <c r="O1878" s="1">
        <v>0</v>
      </c>
      <c r="P1878" s="1" t="s">
        <v>2046</v>
      </c>
      <c r="Q1878" s="7" t="str">
        <f t="shared" si="59"/>
        <v>equipment/6001.png</v>
      </c>
      <c r="R1878" s="1">
        <v>0</v>
      </c>
    </row>
    <row r="1879" spans="1:18" ht="14.25" thickBot="1">
      <c r="A1879" s="1" t="s">
        <v>1467</v>
      </c>
      <c r="B1879" s="2">
        <v>0</v>
      </c>
      <c r="C1879" s="1" t="str">
        <f t="shared" si="57"/>
        <v>皮靴</v>
      </c>
      <c r="D1879" s="1" t="s">
        <v>15</v>
      </c>
      <c r="E1879" s="1">
        <v>8</v>
      </c>
      <c r="F1879" s="1">
        <v>5</v>
      </c>
      <c r="G1879" s="1">
        <v>5</v>
      </c>
      <c r="H1879" s="10">
        <v>0</v>
      </c>
      <c r="I1879" s="1">
        <v>10000</v>
      </c>
      <c r="J1879" s="1">
        <v>150</v>
      </c>
      <c r="K1879" s="1">
        <v>1500</v>
      </c>
      <c r="L1879" s="1">
        <v>0</v>
      </c>
      <c r="M1879" s="1" t="str">
        <f t="shared" si="58"/>
        <v>110_7_7</v>
      </c>
      <c r="N1879" s="1" t="s">
        <v>1769</v>
      </c>
      <c r="O1879" s="1">
        <v>0</v>
      </c>
      <c r="P1879" s="1" t="s">
        <v>2046</v>
      </c>
      <c r="Q1879" s="7" t="str">
        <f t="shared" si="59"/>
        <v>equipment/8001.png</v>
      </c>
      <c r="R1879" s="1">
        <v>0</v>
      </c>
    </row>
    <row r="1880" spans="1:18" ht="14.25" thickBot="1">
      <c r="A1880" s="1" t="s">
        <v>1468</v>
      </c>
      <c r="B1880" s="2">
        <v>0</v>
      </c>
      <c r="C1880" s="1" t="str">
        <f t="shared" si="57"/>
        <v>轻布手套</v>
      </c>
      <c r="D1880" s="1" t="s">
        <v>16</v>
      </c>
      <c r="E1880" s="1">
        <v>9</v>
      </c>
      <c r="F1880" s="1">
        <v>5</v>
      </c>
      <c r="G1880" s="1">
        <v>5</v>
      </c>
      <c r="H1880" s="10">
        <v>0</v>
      </c>
      <c r="I1880" s="1">
        <v>10000</v>
      </c>
      <c r="J1880" s="1">
        <v>150</v>
      </c>
      <c r="K1880" s="1">
        <v>1500</v>
      </c>
      <c r="L1880" s="1">
        <v>0</v>
      </c>
      <c r="M1880" s="1" t="str">
        <f t="shared" si="58"/>
        <v>108_23_23</v>
      </c>
      <c r="N1880" s="1" t="s">
        <v>1769</v>
      </c>
      <c r="O1880" s="1">
        <v>0</v>
      </c>
      <c r="P1880" s="1" t="s">
        <v>2046</v>
      </c>
      <c r="Q1880" s="7" t="str">
        <f t="shared" si="59"/>
        <v>equipment/10001.png</v>
      </c>
      <c r="R1880" s="1">
        <v>0</v>
      </c>
    </row>
    <row r="1881" spans="1:18" ht="14.25" thickBot="1">
      <c r="A1881" s="1" t="s">
        <v>1469</v>
      </c>
      <c r="B1881" s="3">
        <v>1</v>
      </c>
      <c r="C1881" s="1" t="str">
        <f t="shared" si="57"/>
        <v>贝壳项链</v>
      </c>
      <c r="D1881" s="1" t="s">
        <v>17</v>
      </c>
      <c r="E1881" s="1">
        <v>10</v>
      </c>
      <c r="F1881" s="1">
        <v>5</v>
      </c>
      <c r="G1881" s="1">
        <v>5</v>
      </c>
      <c r="H1881" s="10">
        <v>0</v>
      </c>
      <c r="I1881" s="1">
        <v>10000</v>
      </c>
      <c r="J1881" s="1">
        <v>150</v>
      </c>
      <c r="K1881" s="1">
        <v>1500</v>
      </c>
      <c r="L1881" s="1">
        <v>0</v>
      </c>
      <c r="M1881" s="1" t="str">
        <f t="shared" si="58"/>
        <v>107_20_20</v>
      </c>
      <c r="N1881" s="1" t="s">
        <v>1769</v>
      </c>
      <c r="O1881" s="1">
        <v>0</v>
      </c>
      <c r="P1881" s="1" t="s">
        <v>2046</v>
      </c>
      <c r="Q1881" s="7" t="str">
        <f t="shared" si="59"/>
        <v>equipment/12001.png</v>
      </c>
      <c r="R1881" s="1">
        <v>0</v>
      </c>
    </row>
    <row r="1882" spans="1:18" ht="14.25" thickBot="1">
      <c r="A1882" s="1" t="s">
        <v>1470</v>
      </c>
      <c r="B1882" s="3">
        <v>1</v>
      </c>
      <c r="C1882" s="1" t="str">
        <f t="shared" si="57"/>
        <v>长剑</v>
      </c>
      <c r="D1882" s="1" t="s">
        <v>12</v>
      </c>
      <c r="E1882" s="1">
        <v>5</v>
      </c>
      <c r="F1882" s="1">
        <v>5</v>
      </c>
      <c r="G1882" s="1">
        <v>5</v>
      </c>
      <c r="H1882" s="10" t="s">
        <v>2120</v>
      </c>
      <c r="I1882" s="1">
        <v>10000</v>
      </c>
      <c r="J1882" s="1">
        <v>150</v>
      </c>
      <c r="K1882" s="1">
        <v>1500</v>
      </c>
      <c r="L1882" s="1">
        <v>0</v>
      </c>
      <c r="M1882" s="1" t="str">
        <f t="shared" si="58"/>
        <v>103_10_10,104_20_20</v>
      </c>
      <c r="N1882" s="1" t="s">
        <v>1770</v>
      </c>
      <c r="O1882" s="1">
        <v>0</v>
      </c>
      <c r="P1882" s="1" t="s">
        <v>2046</v>
      </c>
      <c r="Q1882" s="7" t="str">
        <f t="shared" si="59"/>
        <v>equipment/1103.png</v>
      </c>
      <c r="R1882" s="1">
        <v>0</v>
      </c>
    </row>
    <row r="1883" spans="1:18" ht="14.25" thickBot="1">
      <c r="A1883" s="1" t="s">
        <v>1471</v>
      </c>
      <c r="B1883" s="3">
        <v>1</v>
      </c>
      <c r="C1883" s="1" t="str">
        <f t="shared" si="57"/>
        <v>双刃剑</v>
      </c>
      <c r="D1883" s="1" t="s">
        <v>12</v>
      </c>
      <c r="E1883" s="1">
        <v>5</v>
      </c>
      <c r="F1883" s="1">
        <v>5</v>
      </c>
      <c r="G1883" s="1">
        <v>5</v>
      </c>
      <c r="H1883" s="10" t="s">
        <v>2120</v>
      </c>
      <c r="I1883" s="1">
        <v>16000</v>
      </c>
      <c r="J1883" s="1">
        <v>150</v>
      </c>
      <c r="K1883" s="1">
        <v>1500</v>
      </c>
      <c r="L1883" s="1">
        <v>0</v>
      </c>
      <c r="M1883" s="1" t="str">
        <f t="shared" si="58"/>
        <v>103_18_18,104_38_38</v>
      </c>
      <c r="N1883" s="1" t="s">
        <v>1770</v>
      </c>
      <c r="O1883" s="1">
        <v>0</v>
      </c>
      <c r="P1883" s="1" t="s">
        <v>2046</v>
      </c>
      <c r="Q1883" s="7" t="str">
        <f t="shared" si="59"/>
        <v>equipment/1104.png</v>
      </c>
      <c r="R1883" s="1">
        <v>0</v>
      </c>
    </row>
    <row r="1884" spans="1:18" ht="14.25" thickBot="1">
      <c r="A1884" s="1" t="s">
        <v>1472</v>
      </c>
      <c r="B1884" s="3">
        <v>1</v>
      </c>
      <c r="C1884" s="1" t="str">
        <f t="shared" si="57"/>
        <v>尖头盾</v>
      </c>
      <c r="D1884" s="1" t="s">
        <v>13</v>
      </c>
      <c r="E1884" s="1">
        <v>6</v>
      </c>
      <c r="F1884" s="1">
        <v>5</v>
      </c>
      <c r="G1884" s="1">
        <v>5</v>
      </c>
      <c r="H1884" s="10" t="s">
        <v>2120</v>
      </c>
      <c r="I1884" s="1">
        <v>10000</v>
      </c>
      <c r="J1884" s="1">
        <v>150</v>
      </c>
      <c r="K1884" s="1">
        <v>1500</v>
      </c>
      <c r="L1884" s="1">
        <v>0</v>
      </c>
      <c r="M1884" s="1" t="str">
        <f t="shared" si="58"/>
        <v>105_12_12</v>
      </c>
      <c r="N1884" s="1" t="s">
        <v>1770</v>
      </c>
      <c r="O1884" s="1">
        <v>0</v>
      </c>
      <c r="P1884" s="1" t="s">
        <v>2046</v>
      </c>
      <c r="Q1884" s="7" t="str">
        <f t="shared" si="59"/>
        <v>equipment/2102.png</v>
      </c>
      <c r="R1884" s="1">
        <v>0</v>
      </c>
    </row>
    <row r="1885" spans="1:18" ht="14.25" thickBot="1">
      <c r="A1885" s="1" t="s">
        <v>1473</v>
      </c>
      <c r="B1885" s="2">
        <v>0</v>
      </c>
      <c r="C1885" s="1" t="str">
        <f t="shared" si="57"/>
        <v>尖头盾</v>
      </c>
      <c r="D1885" s="1" t="s">
        <v>13</v>
      </c>
      <c r="E1885" s="1">
        <v>6</v>
      </c>
      <c r="F1885" s="1">
        <v>5</v>
      </c>
      <c r="G1885" s="1">
        <v>5</v>
      </c>
      <c r="H1885" s="10" t="s">
        <v>2120</v>
      </c>
      <c r="I1885" s="1">
        <v>16000</v>
      </c>
      <c r="J1885" s="1">
        <v>150</v>
      </c>
      <c r="K1885" s="1">
        <v>1500</v>
      </c>
      <c r="L1885" s="1">
        <v>0</v>
      </c>
      <c r="M1885" s="1" t="str">
        <f t="shared" si="58"/>
        <v>105_19_19</v>
      </c>
      <c r="N1885" s="1" t="s">
        <v>1770</v>
      </c>
      <c r="O1885" s="1">
        <v>0</v>
      </c>
      <c r="P1885" s="1" t="s">
        <v>2046</v>
      </c>
      <c r="Q1885" s="7" t="str">
        <f t="shared" si="59"/>
        <v>equipment/2101.png</v>
      </c>
      <c r="R1885" s="1">
        <v>0</v>
      </c>
    </row>
    <row r="1886" spans="1:18" ht="14.25" thickBot="1">
      <c r="A1886" s="1" t="s">
        <v>1474</v>
      </c>
      <c r="B1886" s="3">
        <v>1</v>
      </c>
      <c r="C1886" s="1" t="str">
        <f t="shared" si="57"/>
        <v>硬弓</v>
      </c>
      <c r="D1886" s="1" t="s">
        <v>12</v>
      </c>
      <c r="E1886" s="1">
        <v>5</v>
      </c>
      <c r="F1886" s="1">
        <v>5</v>
      </c>
      <c r="G1886" s="1">
        <v>5</v>
      </c>
      <c r="H1886" s="10" t="s">
        <v>2121</v>
      </c>
      <c r="I1886" s="1">
        <v>10000</v>
      </c>
      <c r="J1886" s="1">
        <v>150</v>
      </c>
      <c r="K1886" s="1">
        <v>1500</v>
      </c>
      <c r="L1886" s="1">
        <v>0</v>
      </c>
      <c r="M1886" s="1" t="str">
        <f t="shared" si="58"/>
        <v>103_10_10,104_20_20</v>
      </c>
      <c r="N1886" s="1" t="s">
        <v>1770</v>
      </c>
      <c r="O1886" s="1">
        <v>0</v>
      </c>
      <c r="P1886" s="1" t="s">
        <v>2046</v>
      </c>
      <c r="Q1886" s="7" t="str">
        <f t="shared" si="59"/>
        <v>equipment/1204.png</v>
      </c>
      <c r="R1886" s="1">
        <v>0</v>
      </c>
    </row>
    <row r="1887" spans="1:18" ht="14.25" thickBot="1">
      <c r="A1887" s="1" t="s">
        <v>1475</v>
      </c>
      <c r="B1887" s="3">
        <v>1</v>
      </c>
      <c r="C1887" s="1" t="str">
        <f t="shared" si="57"/>
        <v>反曲弓</v>
      </c>
      <c r="D1887" s="1" t="s">
        <v>12</v>
      </c>
      <c r="E1887" s="1">
        <v>5</v>
      </c>
      <c r="F1887" s="1">
        <v>5</v>
      </c>
      <c r="G1887" s="1">
        <v>5</v>
      </c>
      <c r="H1887" s="10" t="s">
        <v>2121</v>
      </c>
      <c r="I1887" s="1">
        <v>16000</v>
      </c>
      <c r="J1887" s="1">
        <v>150</v>
      </c>
      <c r="K1887" s="1">
        <v>1500</v>
      </c>
      <c r="L1887" s="1">
        <v>0</v>
      </c>
      <c r="M1887" s="1" t="str">
        <f t="shared" si="58"/>
        <v>103_18_18,104_38_38</v>
      </c>
      <c r="N1887" s="1" t="s">
        <v>1770</v>
      </c>
      <c r="O1887" s="1">
        <v>0</v>
      </c>
      <c r="P1887" s="1" t="s">
        <v>2046</v>
      </c>
      <c r="Q1887" s="7" t="str">
        <f t="shared" si="59"/>
        <v>equipment/1203.png</v>
      </c>
      <c r="R1887" s="1">
        <v>0</v>
      </c>
    </row>
    <row r="1888" spans="1:18" ht="14.25" thickBot="1">
      <c r="A1888" s="1" t="s">
        <v>1476</v>
      </c>
      <c r="B1888" s="3">
        <v>1</v>
      </c>
      <c r="C1888" s="1" t="str">
        <f t="shared" si="57"/>
        <v>箭筒</v>
      </c>
      <c r="D1888" s="1" t="s">
        <v>13</v>
      </c>
      <c r="E1888" s="1">
        <v>6</v>
      </c>
      <c r="F1888" s="1">
        <v>5</v>
      </c>
      <c r="G1888" s="1">
        <v>5</v>
      </c>
      <c r="H1888" s="10" t="s">
        <v>2121</v>
      </c>
      <c r="I1888" s="1">
        <v>10000</v>
      </c>
      <c r="J1888" s="1">
        <v>150</v>
      </c>
      <c r="K1888" s="1">
        <v>1500</v>
      </c>
      <c r="L1888" s="1">
        <v>0</v>
      </c>
      <c r="M1888" s="1" t="str">
        <f t="shared" si="58"/>
        <v>108_12_12</v>
      </c>
      <c r="N1888" s="1" t="s">
        <v>1770</v>
      </c>
      <c r="O1888" s="1">
        <v>0</v>
      </c>
      <c r="P1888" s="1" t="s">
        <v>2046</v>
      </c>
      <c r="Q1888" s="7" t="str">
        <f t="shared" si="59"/>
        <v>equipment/2202.png</v>
      </c>
      <c r="R1888" s="1">
        <v>0</v>
      </c>
    </row>
    <row r="1889" spans="1:18" ht="14.25" thickBot="1">
      <c r="A1889" s="1" t="s">
        <v>1477</v>
      </c>
      <c r="B1889" s="2">
        <v>0</v>
      </c>
      <c r="C1889" s="1" t="str">
        <f t="shared" si="57"/>
        <v>箭筒</v>
      </c>
      <c r="D1889" s="1" t="s">
        <v>13</v>
      </c>
      <c r="E1889" s="1">
        <v>6</v>
      </c>
      <c r="F1889" s="1">
        <v>5</v>
      </c>
      <c r="G1889" s="1">
        <v>5</v>
      </c>
      <c r="H1889" s="10" t="s">
        <v>2121</v>
      </c>
      <c r="I1889" s="1">
        <v>16000</v>
      </c>
      <c r="J1889" s="1">
        <v>150</v>
      </c>
      <c r="K1889" s="1">
        <v>1500</v>
      </c>
      <c r="L1889" s="1">
        <v>0</v>
      </c>
      <c r="M1889" s="1" t="str">
        <f t="shared" si="58"/>
        <v>108_19_19</v>
      </c>
      <c r="N1889" s="1" t="s">
        <v>1770</v>
      </c>
      <c r="O1889" s="1">
        <v>0</v>
      </c>
      <c r="P1889" s="1" t="s">
        <v>2046</v>
      </c>
      <c r="Q1889" s="7" t="str">
        <f t="shared" si="59"/>
        <v>equipment/2201.png</v>
      </c>
      <c r="R1889" s="1">
        <v>0</v>
      </c>
    </row>
    <row r="1890" spans="1:18" ht="14.25" thickBot="1">
      <c r="A1890" s="1" t="s">
        <v>1478</v>
      </c>
      <c r="B1890" s="3">
        <v>1</v>
      </c>
      <c r="C1890" s="1" t="str">
        <f t="shared" si="57"/>
        <v>巫术之杖</v>
      </c>
      <c r="D1890" s="1" t="s">
        <v>12</v>
      </c>
      <c r="E1890" s="1">
        <v>5</v>
      </c>
      <c r="F1890" s="1">
        <v>5</v>
      </c>
      <c r="G1890" s="1">
        <v>5</v>
      </c>
      <c r="H1890" s="10" t="s">
        <v>2122</v>
      </c>
      <c r="I1890" s="1">
        <v>10000</v>
      </c>
      <c r="J1890" s="1">
        <v>150</v>
      </c>
      <c r="K1890" s="1">
        <v>1500</v>
      </c>
      <c r="L1890" s="1">
        <v>0</v>
      </c>
      <c r="M1890" s="1" t="str">
        <f t="shared" si="58"/>
        <v>103_10_10,104_20_20</v>
      </c>
      <c r="N1890" s="1" t="s">
        <v>1770</v>
      </c>
      <c r="O1890" s="1">
        <v>0</v>
      </c>
      <c r="P1890" s="1" t="s">
        <v>2046</v>
      </c>
      <c r="Q1890" s="7" t="str">
        <f t="shared" si="59"/>
        <v>equipment/1303.png</v>
      </c>
      <c r="R1890" s="1">
        <v>0</v>
      </c>
    </row>
    <row r="1891" spans="1:18" ht="14.25" thickBot="1">
      <c r="A1891" s="1" t="s">
        <v>1479</v>
      </c>
      <c r="B1891" s="3">
        <v>1</v>
      </c>
      <c r="C1891" s="1" t="str">
        <f t="shared" si="57"/>
        <v>秘术法杖</v>
      </c>
      <c r="D1891" s="1" t="s">
        <v>12</v>
      </c>
      <c r="E1891" s="1">
        <v>5</v>
      </c>
      <c r="F1891" s="1">
        <v>5</v>
      </c>
      <c r="G1891" s="1">
        <v>5</v>
      </c>
      <c r="H1891" s="10" t="s">
        <v>2122</v>
      </c>
      <c r="I1891" s="1">
        <v>16000</v>
      </c>
      <c r="J1891" s="1">
        <v>150</v>
      </c>
      <c r="K1891" s="1">
        <v>1500</v>
      </c>
      <c r="L1891" s="1">
        <v>0</v>
      </c>
      <c r="M1891" s="1" t="str">
        <f t="shared" si="58"/>
        <v>103_18_18,104_38_38</v>
      </c>
      <c r="N1891" s="1" t="s">
        <v>1770</v>
      </c>
      <c r="O1891" s="1">
        <v>0</v>
      </c>
      <c r="P1891" s="1" t="s">
        <v>2046</v>
      </c>
      <c r="Q1891" s="7" t="str">
        <f t="shared" si="59"/>
        <v>equipment/1304.png</v>
      </c>
      <c r="R1891" s="1">
        <v>0</v>
      </c>
    </row>
    <row r="1892" spans="1:18" ht="14.25" thickBot="1">
      <c r="A1892" s="1" t="s">
        <v>1480</v>
      </c>
      <c r="B1892" s="3">
        <v>1</v>
      </c>
      <c r="C1892" s="1" t="str">
        <f t="shared" si="57"/>
        <v>法术指南</v>
      </c>
      <c r="D1892" s="1" t="s">
        <v>13</v>
      </c>
      <c r="E1892" s="1">
        <v>6</v>
      </c>
      <c r="F1892" s="1">
        <v>5</v>
      </c>
      <c r="G1892" s="1">
        <v>5</v>
      </c>
      <c r="H1892" s="10" t="s">
        <v>2122</v>
      </c>
      <c r="I1892" s="1">
        <v>10000</v>
      </c>
      <c r="J1892" s="1">
        <v>150</v>
      </c>
      <c r="K1892" s="1">
        <v>1500</v>
      </c>
      <c r="L1892" s="1">
        <v>0</v>
      </c>
      <c r="M1892" s="1" t="str">
        <f t="shared" si="58"/>
        <v>102_110_110</v>
      </c>
      <c r="N1892" s="1" t="s">
        <v>1770</v>
      </c>
      <c r="O1892" s="1">
        <v>0</v>
      </c>
      <c r="P1892" s="1" t="s">
        <v>2046</v>
      </c>
      <c r="Q1892" s="7" t="str">
        <f t="shared" si="59"/>
        <v>equipment/2302.png</v>
      </c>
      <c r="R1892" s="1">
        <v>0</v>
      </c>
    </row>
    <row r="1893" spans="1:18" ht="14.25" thickBot="1">
      <c r="A1893" s="1" t="s">
        <v>1481</v>
      </c>
      <c r="B1893" s="2">
        <v>0</v>
      </c>
      <c r="C1893" s="1" t="str">
        <f t="shared" si="57"/>
        <v>法术指南</v>
      </c>
      <c r="D1893" s="1" t="s">
        <v>13</v>
      </c>
      <c r="E1893" s="1">
        <v>6</v>
      </c>
      <c r="F1893" s="1">
        <v>5</v>
      </c>
      <c r="G1893" s="1">
        <v>5</v>
      </c>
      <c r="H1893" s="10" t="s">
        <v>2122</v>
      </c>
      <c r="I1893" s="1">
        <v>16000</v>
      </c>
      <c r="J1893" s="1">
        <v>150</v>
      </c>
      <c r="K1893" s="1">
        <v>1500</v>
      </c>
      <c r="L1893" s="1">
        <v>0</v>
      </c>
      <c r="M1893" s="1" t="str">
        <f t="shared" si="58"/>
        <v>102_19_19</v>
      </c>
      <c r="N1893" s="1" t="s">
        <v>1770</v>
      </c>
      <c r="O1893" s="1">
        <v>0</v>
      </c>
      <c r="P1893" s="1" t="s">
        <v>2046</v>
      </c>
      <c r="Q1893" s="7" t="str">
        <f t="shared" si="59"/>
        <v>equipment/2301.png</v>
      </c>
      <c r="R1893" s="1">
        <v>0</v>
      </c>
    </row>
    <row r="1894" spans="1:18" ht="14.25" thickBot="1">
      <c r="A1894" s="1" t="s">
        <v>1482</v>
      </c>
      <c r="B1894" s="3">
        <v>1</v>
      </c>
      <c r="C1894" s="1" t="str">
        <f t="shared" si="57"/>
        <v>锁甲外套</v>
      </c>
      <c r="D1894" s="1" t="s">
        <v>11</v>
      </c>
      <c r="E1894" s="1">
        <v>4</v>
      </c>
      <c r="F1894" s="1">
        <v>5</v>
      </c>
      <c r="G1894" s="1">
        <v>5</v>
      </c>
      <c r="H1894" s="10">
        <v>0</v>
      </c>
      <c r="I1894" s="1">
        <v>10000</v>
      </c>
      <c r="J1894" s="1">
        <v>150</v>
      </c>
      <c r="K1894" s="1">
        <v>1500</v>
      </c>
      <c r="L1894" s="1">
        <v>0</v>
      </c>
      <c r="M1894" s="1" t="str">
        <f t="shared" si="58"/>
        <v>105_9_9</v>
      </c>
      <c r="N1894" s="1" t="s">
        <v>1769</v>
      </c>
      <c r="O1894" s="1">
        <v>0</v>
      </c>
      <c r="P1894" s="1" t="s">
        <v>2046</v>
      </c>
      <c r="Q1894" s="7" t="str">
        <f t="shared" si="59"/>
        <v>equipment/5002.png</v>
      </c>
      <c r="R1894" s="1">
        <v>0</v>
      </c>
    </row>
    <row r="1895" spans="1:18" ht="14.25" thickBot="1">
      <c r="A1895" s="1" t="s">
        <v>1483</v>
      </c>
      <c r="B1895" s="3">
        <v>1</v>
      </c>
      <c r="C1895" s="1" t="str">
        <f t="shared" si="57"/>
        <v>战士胸甲</v>
      </c>
      <c r="D1895" s="1" t="s">
        <v>11</v>
      </c>
      <c r="E1895" s="1">
        <v>4</v>
      </c>
      <c r="F1895" s="1">
        <v>5</v>
      </c>
      <c r="G1895" s="1">
        <v>5</v>
      </c>
      <c r="H1895" s="10">
        <v>0</v>
      </c>
      <c r="I1895" s="1">
        <v>16000</v>
      </c>
      <c r="J1895" s="1">
        <v>150</v>
      </c>
      <c r="K1895" s="1">
        <v>1500</v>
      </c>
      <c r="L1895" s="1">
        <v>0</v>
      </c>
      <c r="M1895" s="1" t="str">
        <f t="shared" si="58"/>
        <v>105_13_13</v>
      </c>
      <c r="N1895" s="1" t="s">
        <v>1769</v>
      </c>
      <c r="O1895" s="1">
        <v>0</v>
      </c>
      <c r="P1895" s="1" t="s">
        <v>2046</v>
      </c>
      <c r="Q1895" s="7" t="str">
        <f t="shared" si="59"/>
        <v>equipment/5003.png</v>
      </c>
      <c r="R1895" s="1">
        <v>0</v>
      </c>
    </row>
    <row r="1896" spans="1:18" ht="14.25" thickBot="1">
      <c r="A1896" s="1" t="s">
        <v>1484</v>
      </c>
      <c r="B1896" s="3">
        <v>1</v>
      </c>
      <c r="C1896" s="1" t="str">
        <f t="shared" si="57"/>
        <v>皮甲短裤</v>
      </c>
      <c r="D1896" s="1" t="s">
        <v>14</v>
      </c>
      <c r="E1896" s="1">
        <v>7</v>
      </c>
      <c r="F1896" s="1">
        <v>5</v>
      </c>
      <c r="G1896" s="1">
        <v>5</v>
      </c>
      <c r="H1896" s="10">
        <v>0</v>
      </c>
      <c r="I1896" s="1">
        <v>10000</v>
      </c>
      <c r="J1896" s="1">
        <v>150</v>
      </c>
      <c r="K1896" s="1">
        <v>1500</v>
      </c>
      <c r="L1896" s="1">
        <v>0</v>
      </c>
      <c r="M1896" s="1" t="str">
        <f t="shared" si="58"/>
        <v>105_3_3</v>
      </c>
      <c r="N1896" s="1" t="s">
        <v>1769</v>
      </c>
      <c r="O1896" s="1">
        <v>0</v>
      </c>
      <c r="P1896" s="1" t="s">
        <v>2046</v>
      </c>
      <c r="Q1896" s="7" t="str">
        <f t="shared" si="59"/>
        <v>equipment/7001.png</v>
      </c>
      <c r="R1896" s="1">
        <v>0</v>
      </c>
    </row>
    <row r="1897" spans="1:18" ht="14.25" thickBot="1">
      <c r="A1897" s="1" t="s">
        <v>1485</v>
      </c>
      <c r="B1897" s="3">
        <v>1</v>
      </c>
      <c r="C1897" s="1" t="str">
        <f t="shared" si="57"/>
        <v>学徒短裤</v>
      </c>
      <c r="D1897" s="1" t="s">
        <v>14</v>
      </c>
      <c r="E1897" s="1">
        <v>7</v>
      </c>
      <c r="F1897" s="1">
        <v>5</v>
      </c>
      <c r="G1897" s="1">
        <v>5</v>
      </c>
      <c r="H1897" s="10">
        <v>0</v>
      </c>
      <c r="I1897" s="1">
        <v>16000</v>
      </c>
      <c r="J1897" s="1">
        <v>150</v>
      </c>
      <c r="K1897" s="1">
        <v>1500</v>
      </c>
      <c r="L1897" s="1">
        <v>0</v>
      </c>
      <c r="M1897" s="1" t="str">
        <f t="shared" si="58"/>
        <v>105_10_10</v>
      </c>
      <c r="N1897" s="1" t="s">
        <v>1769</v>
      </c>
      <c r="O1897" s="1">
        <v>0</v>
      </c>
      <c r="P1897" s="1" t="s">
        <v>2046</v>
      </c>
      <c r="Q1897" s="7" t="str">
        <f t="shared" si="59"/>
        <v>equipment/7002.png</v>
      </c>
      <c r="R1897" s="1">
        <v>0</v>
      </c>
    </row>
    <row r="1898" spans="1:18" ht="14.25" thickBot="1">
      <c r="A1898" s="1" t="s">
        <v>1486</v>
      </c>
      <c r="B1898" s="3">
        <v>1</v>
      </c>
      <c r="C1898" s="1" t="str">
        <f t="shared" si="57"/>
        <v>轻便头盔</v>
      </c>
      <c r="D1898" s="1" t="s">
        <v>8</v>
      </c>
      <c r="E1898" s="1">
        <v>1</v>
      </c>
      <c r="F1898" s="1">
        <v>5</v>
      </c>
      <c r="G1898" s="1">
        <v>10</v>
      </c>
      <c r="H1898" s="10">
        <v>0</v>
      </c>
      <c r="I1898" s="1">
        <v>20000</v>
      </c>
      <c r="J1898" s="1">
        <v>150</v>
      </c>
      <c r="K1898" s="1">
        <v>1500</v>
      </c>
      <c r="L1898" s="1">
        <v>7500</v>
      </c>
      <c r="M1898" s="1" t="str">
        <f t="shared" si="58"/>
        <v>106_64_64</v>
      </c>
      <c r="N1898" s="1" t="s">
        <v>1771</v>
      </c>
      <c r="O1898" s="1">
        <v>0</v>
      </c>
      <c r="P1898" s="1" t="s">
        <v>2047</v>
      </c>
      <c r="Q1898" s="7" t="str">
        <f t="shared" si="59"/>
        <v>equipment/3002.png</v>
      </c>
      <c r="R1898" s="1">
        <v>0</v>
      </c>
    </row>
    <row r="1899" spans="1:18" ht="14.25" thickBot="1">
      <c r="A1899" s="1" t="s">
        <v>1487</v>
      </c>
      <c r="B1899" s="3">
        <v>1</v>
      </c>
      <c r="C1899" s="1" t="str">
        <f t="shared" si="57"/>
        <v>宝石戒指</v>
      </c>
      <c r="D1899" s="1" t="s">
        <v>9</v>
      </c>
      <c r="E1899" s="1">
        <v>2</v>
      </c>
      <c r="F1899" s="1">
        <v>5</v>
      </c>
      <c r="G1899" s="1">
        <v>10</v>
      </c>
      <c r="H1899" s="10">
        <v>0</v>
      </c>
      <c r="I1899" s="1">
        <v>20000</v>
      </c>
      <c r="J1899" s="1">
        <v>150</v>
      </c>
      <c r="K1899" s="1">
        <v>1500</v>
      </c>
      <c r="L1899" s="1">
        <v>7500</v>
      </c>
      <c r="M1899" s="1" t="str">
        <f t="shared" si="58"/>
        <v>102_150_150</v>
      </c>
      <c r="N1899" s="1" t="s">
        <v>1771</v>
      </c>
      <c r="O1899" s="1">
        <v>0</v>
      </c>
      <c r="P1899" s="1" t="s">
        <v>2047</v>
      </c>
      <c r="Q1899" s="7" t="str">
        <f t="shared" si="59"/>
        <v>equipment/14002.png</v>
      </c>
      <c r="R1899" s="1">
        <v>0</v>
      </c>
    </row>
    <row r="1900" spans="1:18" ht="14.25" thickBot="1">
      <c r="A1900" s="1" t="s">
        <v>1488</v>
      </c>
      <c r="B1900" s="3">
        <v>1</v>
      </c>
      <c r="C1900" s="1" t="str">
        <f t="shared" si="57"/>
        <v>坚硬皮带</v>
      </c>
      <c r="D1900" s="1" t="s">
        <v>10</v>
      </c>
      <c r="E1900" s="1">
        <v>3</v>
      </c>
      <c r="F1900" s="1">
        <v>5</v>
      </c>
      <c r="G1900" s="1">
        <v>10</v>
      </c>
      <c r="H1900" s="10">
        <v>0</v>
      </c>
      <c r="I1900" s="1">
        <v>20000</v>
      </c>
      <c r="J1900" s="1">
        <v>150</v>
      </c>
      <c r="K1900" s="1">
        <v>1500</v>
      </c>
      <c r="L1900" s="1">
        <v>7500</v>
      </c>
      <c r="M1900" s="1" t="str">
        <f t="shared" si="58"/>
        <v>101_480_480</v>
      </c>
      <c r="N1900" s="1" t="s">
        <v>1771</v>
      </c>
      <c r="O1900" s="1">
        <v>0</v>
      </c>
      <c r="P1900" s="1" t="s">
        <v>2047</v>
      </c>
      <c r="Q1900" s="7" t="str">
        <f t="shared" si="59"/>
        <v>equipment/6002.png</v>
      </c>
      <c r="R1900" s="1">
        <v>0</v>
      </c>
    </row>
    <row r="1901" spans="1:18" ht="14.25" thickBot="1">
      <c r="A1901" s="1" t="s">
        <v>1489</v>
      </c>
      <c r="B1901" s="3">
        <v>1</v>
      </c>
      <c r="C1901" s="1" t="str">
        <f t="shared" si="57"/>
        <v>软垫靴</v>
      </c>
      <c r="D1901" s="1" t="s">
        <v>15</v>
      </c>
      <c r="E1901" s="1">
        <v>8</v>
      </c>
      <c r="F1901" s="1">
        <v>5</v>
      </c>
      <c r="G1901" s="1">
        <v>10</v>
      </c>
      <c r="H1901" s="10">
        <v>0</v>
      </c>
      <c r="I1901" s="1">
        <v>20000</v>
      </c>
      <c r="J1901" s="1">
        <v>150</v>
      </c>
      <c r="K1901" s="1">
        <v>1500</v>
      </c>
      <c r="L1901" s="1">
        <v>7500</v>
      </c>
      <c r="M1901" s="1" t="str">
        <f t="shared" si="58"/>
        <v>110_12_12</v>
      </c>
      <c r="N1901" s="1" t="s">
        <v>1771</v>
      </c>
      <c r="O1901" s="1">
        <v>0</v>
      </c>
      <c r="P1901" s="1" t="s">
        <v>2047</v>
      </c>
      <c r="Q1901" s="7" t="str">
        <f t="shared" si="59"/>
        <v>equipment/8002.png</v>
      </c>
      <c r="R1901" s="1">
        <v>0</v>
      </c>
    </row>
    <row r="1902" spans="1:18" ht="14.25" thickBot="1">
      <c r="A1902" s="1" t="s">
        <v>1490</v>
      </c>
      <c r="B1902" s="3">
        <v>1</v>
      </c>
      <c r="C1902" s="1" t="str">
        <f t="shared" si="57"/>
        <v>步兵护手</v>
      </c>
      <c r="D1902" s="1" t="s">
        <v>16</v>
      </c>
      <c r="E1902" s="1">
        <v>9</v>
      </c>
      <c r="F1902" s="1">
        <v>5</v>
      </c>
      <c r="G1902" s="1">
        <v>10</v>
      </c>
      <c r="H1902" s="10">
        <v>0</v>
      </c>
      <c r="I1902" s="1">
        <v>20000</v>
      </c>
      <c r="J1902" s="1">
        <v>150</v>
      </c>
      <c r="K1902" s="1">
        <v>1500</v>
      </c>
      <c r="L1902" s="1">
        <v>7500</v>
      </c>
      <c r="M1902" s="1" t="str">
        <f t="shared" si="58"/>
        <v>108_43_43</v>
      </c>
      <c r="N1902" s="1" t="s">
        <v>1771</v>
      </c>
      <c r="O1902" s="1">
        <v>0</v>
      </c>
      <c r="P1902" s="1" t="s">
        <v>2047</v>
      </c>
      <c r="Q1902" s="7" t="str">
        <f t="shared" si="59"/>
        <v>equipment/10002.png</v>
      </c>
      <c r="R1902" s="1">
        <v>0</v>
      </c>
    </row>
    <row r="1903" spans="1:18" ht="14.25" thickBot="1">
      <c r="A1903" s="1" t="s">
        <v>1491</v>
      </c>
      <c r="B1903" s="2">
        <v>0</v>
      </c>
      <c r="C1903" s="1" t="str">
        <f t="shared" si="57"/>
        <v>贝壳项链</v>
      </c>
      <c r="D1903" s="1" t="s">
        <v>17</v>
      </c>
      <c r="E1903" s="1">
        <v>10</v>
      </c>
      <c r="F1903" s="1">
        <v>5</v>
      </c>
      <c r="G1903" s="1">
        <v>10</v>
      </c>
      <c r="H1903" s="10">
        <v>0</v>
      </c>
      <c r="I1903" s="1">
        <v>20000</v>
      </c>
      <c r="J1903" s="1">
        <v>150</v>
      </c>
      <c r="K1903" s="1">
        <v>1500</v>
      </c>
      <c r="L1903" s="1">
        <v>7500</v>
      </c>
      <c r="M1903" s="1" t="str">
        <f t="shared" si="58"/>
        <v>107_20_20</v>
      </c>
      <c r="N1903" s="1" t="s">
        <v>1771</v>
      </c>
      <c r="O1903" s="1">
        <v>0</v>
      </c>
      <c r="P1903" s="1" t="s">
        <v>2047</v>
      </c>
      <c r="Q1903" s="7" t="str">
        <f t="shared" si="59"/>
        <v>equipment/12001.png</v>
      </c>
      <c r="R1903" s="1">
        <v>0</v>
      </c>
    </row>
    <row r="1904" spans="1:18" ht="14.25" thickBot="1">
      <c r="A1904" s="1" t="s">
        <v>1492</v>
      </c>
      <c r="B1904" s="3">
        <v>1</v>
      </c>
      <c r="C1904" s="1" t="str">
        <f t="shared" si="57"/>
        <v>护卫之刃</v>
      </c>
      <c r="D1904" s="1" t="s">
        <v>12</v>
      </c>
      <c r="E1904" s="1">
        <v>5</v>
      </c>
      <c r="F1904" s="1">
        <v>5</v>
      </c>
      <c r="G1904" s="1">
        <v>10</v>
      </c>
      <c r="H1904" s="10" t="s">
        <v>2120</v>
      </c>
      <c r="I1904" s="1">
        <v>20000</v>
      </c>
      <c r="J1904" s="1">
        <v>150</v>
      </c>
      <c r="K1904" s="1">
        <v>1500</v>
      </c>
      <c r="L1904" s="1">
        <v>7500</v>
      </c>
      <c r="M1904" s="1" t="str">
        <f t="shared" si="58"/>
        <v>103_32_32,104_64_64</v>
      </c>
      <c r="N1904" s="1" t="s">
        <v>1772</v>
      </c>
      <c r="O1904" s="1">
        <v>0</v>
      </c>
      <c r="P1904" s="1" t="s">
        <v>2047</v>
      </c>
      <c r="Q1904" s="7" t="str">
        <f t="shared" si="59"/>
        <v>equipment/1105.png</v>
      </c>
      <c r="R1904" s="1">
        <v>0</v>
      </c>
    </row>
    <row r="1905" spans="1:18" ht="14.25" thickBot="1">
      <c r="A1905" s="1" t="s">
        <v>1493</v>
      </c>
      <c r="B1905" s="3">
        <v>1</v>
      </c>
      <c r="C1905" s="1" t="str">
        <f t="shared" si="57"/>
        <v>铜铸重剑</v>
      </c>
      <c r="D1905" s="1" t="s">
        <v>12</v>
      </c>
      <c r="E1905" s="1">
        <v>5</v>
      </c>
      <c r="F1905" s="1">
        <v>5</v>
      </c>
      <c r="G1905" s="1">
        <v>10</v>
      </c>
      <c r="H1905" s="10" t="s">
        <v>2120</v>
      </c>
      <c r="I1905" s="1">
        <v>26000</v>
      </c>
      <c r="J1905" s="1">
        <v>150</v>
      </c>
      <c r="K1905" s="1">
        <v>1500</v>
      </c>
      <c r="L1905" s="1">
        <v>10000</v>
      </c>
      <c r="M1905" s="1" t="str">
        <f t="shared" si="58"/>
        <v>103_40_40,104_80_80</v>
      </c>
      <c r="N1905" s="1" t="s">
        <v>1772</v>
      </c>
      <c r="O1905" s="1">
        <v>0</v>
      </c>
      <c r="P1905" s="1" t="s">
        <v>2047</v>
      </c>
      <c r="Q1905" s="7" t="str">
        <f t="shared" si="59"/>
        <v>equipment/1106.png</v>
      </c>
      <c r="R1905" s="1">
        <v>0</v>
      </c>
    </row>
    <row r="1906" spans="1:18" ht="14.25" thickBot="1">
      <c r="A1906" s="1" t="s">
        <v>1494</v>
      </c>
      <c r="B1906" s="3">
        <v>1</v>
      </c>
      <c r="C1906" s="1" t="str">
        <f t="shared" si="57"/>
        <v>金属大盾</v>
      </c>
      <c r="D1906" s="1" t="s">
        <v>13</v>
      </c>
      <c r="E1906" s="1">
        <v>6</v>
      </c>
      <c r="F1906" s="1">
        <v>5</v>
      </c>
      <c r="G1906" s="1">
        <v>10</v>
      </c>
      <c r="H1906" s="10" t="s">
        <v>2120</v>
      </c>
      <c r="I1906" s="1">
        <v>20000</v>
      </c>
      <c r="J1906" s="1">
        <v>150</v>
      </c>
      <c r="K1906" s="1">
        <v>1500</v>
      </c>
      <c r="L1906" s="1">
        <v>7500</v>
      </c>
      <c r="M1906" s="1" t="str">
        <f t="shared" si="58"/>
        <v>105_30_30</v>
      </c>
      <c r="N1906" s="1" t="s">
        <v>1772</v>
      </c>
      <c r="O1906" s="1">
        <v>0</v>
      </c>
      <c r="P1906" s="1" t="s">
        <v>2047</v>
      </c>
      <c r="Q1906" s="7" t="str">
        <f t="shared" si="59"/>
        <v>equipment/2103.png</v>
      </c>
      <c r="R1906" s="1">
        <v>0</v>
      </c>
    </row>
    <row r="1907" spans="1:18" ht="14.25" thickBot="1">
      <c r="A1907" s="1" t="s">
        <v>1495</v>
      </c>
      <c r="B1907" s="2">
        <v>0</v>
      </c>
      <c r="C1907" s="1" t="str">
        <f t="shared" si="57"/>
        <v>尖头盾</v>
      </c>
      <c r="D1907" s="1" t="s">
        <v>13</v>
      </c>
      <c r="E1907" s="1">
        <v>6</v>
      </c>
      <c r="F1907" s="1">
        <v>5</v>
      </c>
      <c r="G1907" s="1">
        <v>10</v>
      </c>
      <c r="H1907" s="10" t="s">
        <v>2120</v>
      </c>
      <c r="I1907" s="1">
        <v>26000</v>
      </c>
      <c r="J1907" s="1">
        <v>150</v>
      </c>
      <c r="K1907" s="1">
        <v>1500</v>
      </c>
      <c r="L1907" s="1">
        <v>10000</v>
      </c>
      <c r="M1907" s="1" t="str">
        <f t="shared" si="58"/>
        <v>105_59_59</v>
      </c>
      <c r="N1907" s="1" t="s">
        <v>1772</v>
      </c>
      <c r="O1907" s="1">
        <v>0</v>
      </c>
      <c r="P1907" s="1" t="s">
        <v>2047</v>
      </c>
      <c r="Q1907" s="7" t="str">
        <f t="shared" si="59"/>
        <v>equipment/2101.png</v>
      </c>
      <c r="R1907" s="1">
        <v>0</v>
      </c>
    </row>
    <row r="1908" spans="1:18" ht="14.25" thickBot="1">
      <c r="A1908" s="1" t="s">
        <v>1496</v>
      </c>
      <c r="B1908" s="3">
        <v>1</v>
      </c>
      <c r="C1908" s="1" t="str">
        <f t="shared" si="57"/>
        <v>猎手强弓</v>
      </c>
      <c r="D1908" s="1" t="s">
        <v>12</v>
      </c>
      <c r="E1908" s="1">
        <v>5</v>
      </c>
      <c r="F1908" s="1">
        <v>5</v>
      </c>
      <c r="G1908" s="1">
        <v>10</v>
      </c>
      <c r="H1908" s="10" t="s">
        <v>2121</v>
      </c>
      <c r="I1908" s="1">
        <v>20000</v>
      </c>
      <c r="J1908" s="1">
        <v>150</v>
      </c>
      <c r="K1908" s="1">
        <v>1500</v>
      </c>
      <c r="L1908" s="1">
        <v>7500</v>
      </c>
      <c r="M1908" s="1" t="str">
        <f t="shared" si="58"/>
        <v>103_32_32,104_64_64</v>
      </c>
      <c r="N1908" s="1" t="s">
        <v>1772</v>
      </c>
      <c r="O1908" s="1">
        <v>0</v>
      </c>
      <c r="P1908" s="1" t="s">
        <v>2047</v>
      </c>
      <c r="Q1908" s="7" t="str">
        <f t="shared" si="59"/>
        <v>equipment/1205.png</v>
      </c>
      <c r="R1908" s="1">
        <v>0</v>
      </c>
    </row>
    <row r="1909" spans="1:18" ht="14.25" thickBot="1">
      <c r="A1909" s="1" t="s">
        <v>1497</v>
      </c>
      <c r="B1909" s="3">
        <v>1</v>
      </c>
      <c r="C1909" s="1" t="str">
        <f t="shared" si="57"/>
        <v>灰木弓</v>
      </c>
      <c r="D1909" s="1" t="s">
        <v>12</v>
      </c>
      <c r="E1909" s="1">
        <v>5</v>
      </c>
      <c r="F1909" s="1">
        <v>5</v>
      </c>
      <c r="G1909" s="1">
        <v>10</v>
      </c>
      <c r="H1909" s="10" t="s">
        <v>2121</v>
      </c>
      <c r="I1909" s="1">
        <v>26000</v>
      </c>
      <c r="J1909" s="1">
        <v>150</v>
      </c>
      <c r="K1909" s="1">
        <v>1500</v>
      </c>
      <c r="L1909" s="1">
        <v>10000</v>
      </c>
      <c r="M1909" s="1" t="str">
        <f t="shared" si="58"/>
        <v>103_40_40,104_80_80</v>
      </c>
      <c r="N1909" s="1" t="s">
        <v>1772</v>
      </c>
      <c r="O1909" s="1">
        <v>0</v>
      </c>
      <c r="P1909" s="1" t="s">
        <v>2047</v>
      </c>
      <c r="Q1909" s="7" t="str">
        <f t="shared" si="59"/>
        <v>equipment/1206.png</v>
      </c>
      <c r="R1909" s="1">
        <v>0</v>
      </c>
    </row>
    <row r="1910" spans="1:18" ht="14.25" thickBot="1">
      <c r="A1910" s="1" t="s">
        <v>1498</v>
      </c>
      <c r="B1910" s="3">
        <v>1</v>
      </c>
      <c r="C1910" s="1" t="str">
        <f t="shared" si="57"/>
        <v>帆布箭筒</v>
      </c>
      <c r="D1910" s="1" t="s">
        <v>13</v>
      </c>
      <c r="E1910" s="1">
        <v>6</v>
      </c>
      <c r="F1910" s="1">
        <v>5</v>
      </c>
      <c r="G1910" s="1">
        <v>10</v>
      </c>
      <c r="H1910" s="10" t="s">
        <v>2121</v>
      </c>
      <c r="I1910" s="1">
        <v>20000</v>
      </c>
      <c r="J1910" s="1">
        <v>150</v>
      </c>
      <c r="K1910" s="1">
        <v>1500</v>
      </c>
      <c r="L1910" s="1">
        <v>7500</v>
      </c>
      <c r="M1910" s="1" t="str">
        <f t="shared" si="58"/>
        <v>108_30_30</v>
      </c>
      <c r="N1910" s="1" t="s">
        <v>1772</v>
      </c>
      <c r="O1910" s="1">
        <v>0</v>
      </c>
      <c r="P1910" s="1" t="s">
        <v>2047</v>
      </c>
      <c r="Q1910" s="7" t="str">
        <f t="shared" si="59"/>
        <v>equipment/2203.png</v>
      </c>
      <c r="R1910" s="1">
        <v>0</v>
      </c>
    </row>
    <row r="1911" spans="1:18" ht="14.25" thickBot="1">
      <c r="A1911" s="1" t="s">
        <v>1499</v>
      </c>
      <c r="B1911" s="2">
        <v>0</v>
      </c>
      <c r="C1911" s="1" t="str">
        <f t="shared" si="57"/>
        <v>箭筒</v>
      </c>
      <c r="D1911" s="1" t="s">
        <v>13</v>
      </c>
      <c r="E1911" s="1">
        <v>6</v>
      </c>
      <c r="F1911" s="1">
        <v>5</v>
      </c>
      <c r="G1911" s="1">
        <v>10</v>
      </c>
      <c r="H1911" s="10" t="s">
        <v>2121</v>
      </c>
      <c r="I1911" s="1">
        <v>26000</v>
      </c>
      <c r="J1911" s="1">
        <v>150</v>
      </c>
      <c r="K1911" s="1">
        <v>1500</v>
      </c>
      <c r="L1911" s="1">
        <v>10000</v>
      </c>
      <c r="M1911" s="1" t="str">
        <f t="shared" si="58"/>
        <v>108_59_59</v>
      </c>
      <c r="N1911" s="1" t="s">
        <v>1772</v>
      </c>
      <c r="O1911" s="1">
        <v>0</v>
      </c>
      <c r="P1911" s="1" t="s">
        <v>2047</v>
      </c>
      <c r="Q1911" s="7" t="str">
        <f t="shared" si="59"/>
        <v>equipment/2201.png</v>
      </c>
      <c r="R1911" s="1">
        <v>0</v>
      </c>
    </row>
    <row r="1912" spans="1:18" ht="14.25" thickBot="1">
      <c r="A1912" s="1" t="s">
        <v>1500</v>
      </c>
      <c r="B1912" s="3">
        <v>1</v>
      </c>
      <c r="C1912" s="1" t="str">
        <f t="shared" si="57"/>
        <v>附魔银棒</v>
      </c>
      <c r="D1912" s="1" t="s">
        <v>12</v>
      </c>
      <c r="E1912" s="1">
        <v>5</v>
      </c>
      <c r="F1912" s="1">
        <v>5</v>
      </c>
      <c r="G1912" s="1">
        <v>10</v>
      </c>
      <c r="H1912" s="10" t="s">
        <v>2122</v>
      </c>
      <c r="I1912" s="1">
        <v>20000</v>
      </c>
      <c r="J1912" s="1">
        <v>150</v>
      </c>
      <c r="K1912" s="1">
        <v>1500</v>
      </c>
      <c r="L1912" s="1">
        <v>7500</v>
      </c>
      <c r="M1912" s="1" t="str">
        <f t="shared" si="58"/>
        <v>103_32_32,104_64_64</v>
      </c>
      <c r="N1912" s="1" t="s">
        <v>1772</v>
      </c>
      <c r="O1912" s="1">
        <v>0</v>
      </c>
      <c r="P1912" s="1" t="s">
        <v>2047</v>
      </c>
      <c r="Q1912" s="7" t="str">
        <f t="shared" si="59"/>
        <v>equipment/1305.png</v>
      </c>
      <c r="R1912" s="1">
        <v>0</v>
      </c>
    </row>
    <row r="1913" spans="1:18" ht="14.25" thickBot="1">
      <c r="A1913" s="1" t="s">
        <v>1501</v>
      </c>
      <c r="B1913" s="3">
        <v>1</v>
      </c>
      <c r="C1913" s="1" t="str">
        <f t="shared" si="57"/>
        <v>魔导法杖</v>
      </c>
      <c r="D1913" s="1" t="s">
        <v>12</v>
      </c>
      <c r="E1913" s="1">
        <v>5</v>
      </c>
      <c r="F1913" s="1">
        <v>5</v>
      </c>
      <c r="G1913" s="1">
        <v>10</v>
      </c>
      <c r="H1913" s="10" t="s">
        <v>2122</v>
      </c>
      <c r="I1913" s="1">
        <v>26000</v>
      </c>
      <c r="J1913" s="1">
        <v>150</v>
      </c>
      <c r="K1913" s="1">
        <v>1500</v>
      </c>
      <c r="L1913" s="1">
        <v>10000</v>
      </c>
      <c r="M1913" s="1" t="str">
        <f t="shared" si="58"/>
        <v>103_40_40,104_80_80</v>
      </c>
      <c r="N1913" s="1" t="s">
        <v>1772</v>
      </c>
      <c r="O1913" s="1">
        <v>0</v>
      </c>
      <c r="P1913" s="1" t="s">
        <v>2047</v>
      </c>
      <c r="Q1913" s="7" t="str">
        <f t="shared" si="59"/>
        <v>equipment/1306.png</v>
      </c>
      <c r="R1913" s="1">
        <v>0</v>
      </c>
    </row>
    <row r="1914" spans="1:18" ht="14.25" thickBot="1">
      <c r="A1914" s="1" t="s">
        <v>1502</v>
      </c>
      <c r="B1914" s="3">
        <v>1</v>
      </c>
      <c r="C1914" s="1" t="str">
        <f t="shared" si="57"/>
        <v>奥术典籍</v>
      </c>
      <c r="D1914" s="1" t="s">
        <v>13</v>
      </c>
      <c r="E1914" s="1">
        <v>6</v>
      </c>
      <c r="F1914" s="1">
        <v>5</v>
      </c>
      <c r="G1914" s="1">
        <v>10</v>
      </c>
      <c r="H1914" s="10" t="s">
        <v>2122</v>
      </c>
      <c r="I1914" s="1">
        <v>20000</v>
      </c>
      <c r="J1914" s="1">
        <v>150</v>
      </c>
      <c r="K1914" s="1">
        <v>1500</v>
      </c>
      <c r="L1914" s="1">
        <v>7500</v>
      </c>
      <c r="M1914" s="1" t="str">
        <f t="shared" si="58"/>
        <v>102_240_240</v>
      </c>
      <c r="N1914" s="1" t="s">
        <v>1772</v>
      </c>
      <c r="O1914" s="1">
        <v>0</v>
      </c>
      <c r="P1914" s="1" t="s">
        <v>2047</v>
      </c>
      <c r="Q1914" s="7" t="str">
        <f t="shared" si="59"/>
        <v>equipment/2303.png</v>
      </c>
      <c r="R1914" s="1">
        <v>0</v>
      </c>
    </row>
    <row r="1915" spans="1:18" ht="14.25" thickBot="1">
      <c r="A1915" s="1" t="s">
        <v>1503</v>
      </c>
      <c r="B1915" s="2">
        <v>0</v>
      </c>
      <c r="C1915" s="1" t="str">
        <f t="shared" si="57"/>
        <v>法术指南</v>
      </c>
      <c r="D1915" s="1" t="s">
        <v>13</v>
      </c>
      <c r="E1915" s="1">
        <v>6</v>
      </c>
      <c r="F1915" s="1">
        <v>5</v>
      </c>
      <c r="G1915" s="1">
        <v>10</v>
      </c>
      <c r="H1915" s="10" t="s">
        <v>2122</v>
      </c>
      <c r="I1915" s="1">
        <v>26000</v>
      </c>
      <c r="J1915" s="1">
        <v>150</v>
      </c>
      <c r="K1915" s="1">
        <v>1500</v>
      </c>
      <c r="L1915" s="1">
        <v>10000</v>
      </c>
      <c r="M1915" s="1" t="str">
        <f t="shared" si="58"/>
        <v>102_59_59</v>
      </c>
      <c r="N1915" s="1" t="s">
        <v>1772</v>
      </c>
      <c r="O1915" s="1">
        <v>0</v>
      </c>
      <c r="P1915" s="1" t="s">
        <v>2047</v>
      </c>
      <c r="Q1915" s="7" t="str">
        <f t="shared" si="59"/>
        <v>equipment/2301.png</v>
      </c>
      <c r="R1915" s="1">
        <v>0</v>
      </c>
    </row>
    <row r="1916" spans="1:18" ht="14.25" thickBot="1">
      <c r="A1916" s="1" t="s">
        <v>1504</v>
      </c>
      <c r="B1916" s="3">
        <v>1</v>
      </c>
      <c r="C1916" s="1" t="str">
        <f t="shared" si="57"/>
        <v>硬皮外套</v>
      </c>
      <c r="D1916" s="1" t="s">
        <v>11</v>
      </c>
      <c r="E1916" s="1">
        <v>4</v>
      </c>
      <c r="F1916" s="1">
        <v>5</v>
      </c>
      <c r="G1916" s="1">
        <v>10</v>
      </c>
      <c r="H1916" s="10">
        <v>0</v>
      </c>
      <c r="I1916" s="1">
        <v>20000</v>
      </c>
      <c r="J1916" s="1">
        <v>150</v>
      </c>
      <c r="K1916" s="1">
        <v>1500</v>
      </c>
      <c r="L1916" s="1">
        <v>7500</v>
      </c>
      <c r="M1916" s="1" t="str">
        <f t="shared" si="58"/>
        <v>105_20_20</v>
      </c>
      <c r="N1916" s="1" t="s">
        <v>1771</v>
      </c>
      <c r="O1916" s="1">
        <v>0</v>
      </c>
      <c r="P1916" s="1" t="s">
        <v>2047</v>
      </c>
      <c r="Q1916" s="7" t="str">
        <f t="shared" si="59"/>
        <v>equipment/5003.png</v>
      </c>
      <c r="R1916" s="1">
        <v>0</v>
      </c>
    </row>
    <row r="1917" spans="1:18" ht="14.25" thickBot="1">
      <c r="A1917" s="1" t="s">
        <v>1505</v>
      </c>
      <c r="B1917" s="2">
        <v>0</v>
      </c>
      <c r="C1917" s="1" t="str">
        <f t="shared" si="57"/>
        <v>新兵外套</v>
      </c>
      <c r="D1917" s="1" t="s">
        <v>11</v>
      </c>
      <c r="E1917" s="1">
        <v>4</v>
      </c>
      <c r="F1917" s="1">
        <v>5</v>
      </c>
      <c r="G1917" s="1">
        <v>10</v>
      </c>
      <c r="H1917" s="10">
        <v>0</v>
      </c>
      <c r="I1917" s="1">
        <v>26000</v>
      </c>
      <c r="J1917" s="1">
        <v>150</v>
      </c>
      <c r="K1917" s="1">
        <v>1500</v>
      </c>
      <c r="L1917" s="1">
        <v>10000</v>
      </c>
      <c r="M1917" s="1" t="str">
        <f t="shared" si="58"/>
        <v>105_28_28</v>
      </c>
      <c r="N1917" s="1" t="s">
        <v>1771</v>
      </c>
      <c r="O1917" s="1">
        <v>0</v>
      </c>
      <c r="P1917" s="1" t="s">
        <v>2047</v>
      </c>
      <c r="Q1917" s="7" t="str">
        <f t="shared" si="59"/>
        <v>equipment/5001.png</v>
      </c>
      <c r="R1917" s="1">
        <v>0</v>
      </c>
    </row>
    <row r="1918" spans="1:18" ht="14.25" thickBot="1">
      <c r="A1918" s="1" t="s">
        <v>1506</v>
      </c>
      <c r="B1918" s="3">
        <v>1</v>
      </c>
      <c r="C1918" s="1" t="str">
        <f t="shared" si="57"/>
        <v>护卫短裤</v>
      </c>
      <c r="D1918" s="1" t="s">
        <v>14</v>
      </c>
      <c r="E1918" s="1">
        <v>7</v>
      </c>
      <c r="F1918" s="1">
        <v>5</v>
      </c>
      <c r="G1918" s="1">
        <v>10</v>
      </c>
      <c r="H1918" s="10">
        <v>0</v>
      </c>
      <c r="I1918" s="1">
        <v>20000</v>
      </c>
      <c r="J1918" s="1">
        <v>150</v>
      </c>
      <c r="K1918" s="1">
        <v>1500</v>
      </c>
      <c r="L1918" s="1">
        <v>7500</v>
      </c>
      <c r="M1918" s="1" t="str">
        <f t="shared" si="58"/>
        <v>105_20_20</v>
      </c>
      <c r="N1918" s="1" t="s">
        <v>1771</v>
      </c>
      <c r="O1918" s="1">
        <v>0</v>
      </c>
      <c r="P1918" s="1" t="s">
        <v>2047</v>
      </c>
      <c r="Q1918" s="7" t="str">
        <f t="shared" si="59"/>
        <v>equipment/7003.png</v>
      </c>
      <c r="R1918" s="1">
        <v>0</v>
      </c>
    </row>
    <row r="1919" spans="1:18" ht="14.25" thickBot="1">
      <c r="A1919" s="1" t="s">
        <v>1507</v>
      </c>
      <c r="B1919" s="2">
        <v>0</v>
      </c>
      <c r="C1919" s="1" t="str">
        <f t="shared" si="57"/>
        <v>学徒短裤</v>
      </c>
      <c r="D1919" s="1" t="s">
        <v>14</v>
      </c>
      <c r="E1919" s="1">
        <v>7</v>
      </c>
      <c r="F1919" s="1">
        <v>5</v>
      </c>
      <c r="G1919" s="1">
        <v>10</v>
      </c>
      <c r="H1919" s="10">
        <v>0</v>
      </c>
      <c r="I1919" s="1">
        <v>26000</v>
      </c>
      <c r="J1919" s="1">
        <v>150</v>
      </c>
      <c r="K1919" s="1">
        <v>1500</v>
      </c>
      <c r="L1919" s="1">
        <v>10000</v>
      </c>
      <c r="M1919" s="1" t="str">
        <f t="shared" si="58"/>
        <v>105_28_28</v>
      </c>
      <c r="N1919" s="1" t="s">
        <v>1771</v>
      </c>
      <c r="O1919" s="1">
        <v>0</v>
      </c>
      <c r="P1919" s="1" t="s">
        <v>2047</v>
      </c>
      <c r="Q1919" s="7" t="str">
        <f t="shared" si="59"/>
        <v>equipment/7001.png</v>
      </c>
      <c r="R1919" s="1">
        <v>0</v>
      </c>
    </row>
    <row r="1920" spans="1:18" ht="14.25" thickBot="1">
      <c r="A1920" s="1" t="s">
        <v>1508</v>
      </c>
      <c r="B1920" s="2">
        <v>0</v>
      </c>
      <c r="C1920" s="1" t="str">
        <f t="shared" si="57"/>
        <v>纹饰帽</v>
      </c>
      <c r="D1920" s="1" t="s">
        <v>8</v>
      </c>
      <c r="E1920" s="1">
        <v>1</v>
      </c>
      <c r="F1920" s="1">
        <v>5</v>
      </c>
      <c r="G1920" s="1">
        <v>15</v>
      </c>
      <c r="H1920" s="10">
        <v>0</v>
      </c>
      <c r="I1920" s="1">
        <v>30000</v>
      </c>
      <c r="J1920" s="1">
        <v>150</v>
      </c>
      <c r="K1920" s="1">
        <v>1500</v>
      </c>
      <c r="L1920" s="1">
        <v>10000</v>
      </c>
      <c r="M1920" s="1" t="str">
        <f t="shared" si="58"/>
        <v>106_64_64</v>
      </c>
      <c r="N1920" s="1" t="s">
        <v>1773</v>
      </c>
      <c r="O1920" s="1">
        <v>0</v>
      </c>
      <c r="P1920" s="1" t="s">
        <v>2048</v>
      </c>
      <c r="Q1920" s="7" t="str">
        <f t="shared" si="59"/>
        <v>equipment/3001.png</v>
      </c>
      <c r="R1920" s="1">
        <v>0</v>
      </c>
    </row>
    <row r="1921" spans="1:18" ht="14.25" thickBot="1">
      <c r="A1921" s="1" t="s">
        <v>1509</v>
      </c>
      <c r="B1921" s="2">
        <v>0</v>
      </c>
      <c r="C1921" s="1" t="str">
        <f t="shared" si="57"/>
        <v>金戒指</v>
      </c>
      <c r="D1921" s="1" t="s">
        <v>9</v>
      </c>
      <c r="E1921" s="1">
        <v>2</v>
      </c>
      <c r="F1921" s="1">
        <v>5</v>
      </c>
      <c r="G1921" s="1">
        <v>15</v>
      </c>
      <c r="H1921" s="10">
        <v>0</v>
      </c>
      <c r="I1921" s="1">
        <v>30000</v>
      </c>
      <c r="J1921" s="1">
        <v>150</v>
      </c>
      <c r="K1921" s="1">
        <v>1500</v>
      </c>
      <c r="L1921" s="1">
        <v>10000</v>
      </c>
      <c r="M1921" s="1" t="str">
        <f t="shared" si="58"/>
        <v>102_185_185</v>
      </c>
      <c r="N1921" s="1" t="s">
        <v>1773</v>
      </c>
      <c r="O1921" s="1">
        <v>0</v>
      </c>
      <c r="P1921" s="1" t="s">
        <v>2048</v>
      </c>
      <c r="Q1921" s="7" t="str">
        <f t="shared" si="59"/>
        <v>equipment/14001.png</v>
      </c>
      <c r="R1921" s="1">
        <v>0</v>
      </c>
    </row>
    <row r="1922" spans="1:18" ht="14.25" thickBot="1">
      <c r="A1922" s="1">
        <v>50150030</v>
      </c>
      <c r="B1922" s="3">
        <v>1</v>
      </c>
      <c r="C1922" s="1" t="str">
        <f t="shared" si="57"/>
        <v>铁锁腰带</v>
      </c>
      <c r="D1922" s="1" t="s">
        <v>10</v>
      </c>
      <c r="E1922" s="1">
        <v>3</v>
      </c>
      <c r="F1922" s="1">
        <v>5</v>
      </c>
      <c r="G1922" s="1">
        <v>15</v>
      </c>
      <c r="H1922" s="10">
        <v>0</v>
      </c>
      <c r="I1922" s="1">
        <v>30000</v>
      </c>
      <c r="J1922" s="1">
        <v>150</v>
      </c>
      <c r="K1922" s="1">
        <v>1500</v>
      </c>
      <c r="L1922" s="1">
        <v>10000</v>
      </c>
      <c r="M1922" s="1" t="str">
        <f t="shared" si="58"/>
        <v>101_1160_1160</v>
      </c>
      <c r="N1922" s="1" t="s">
        <v>1773</v>
      </c>
      <c r="O1922" s="1">
        <v>0</v>
      </c>
      <c r="P1922" s="1" t="s">
        <v>2048</v>
      </c>
      <c r="Q1922" s="7" t="str">
        <f t="shared" si="59"/>
        <v>equipment/6003.png</v>
      </c>
      <c r="R1922" s="1">
        <v>0</v>
      </c>
    </row>
    <row r="1923" spans="1:18" ht="14.25" thickBot="1">
      <c r="A1923" s="1" t="s">
        <v>1511</v>
      </c>
      <c r="B1923" s="3">
        <v>1</v>
      </c>
      <c r="C1923" s="1" t="str">
        <f t="shared" si="57"/>
        <v>链甲战靴</v>
      </c>
      <c r="D1923" s="1" t="s">
        <v>15</v>
      </c>
      <c r="E1923" s="1">
        <v>8</v>
      </c>
      <c r="F1923" s="1">
        <v>5</v>
      </c>
      <c r="G1923" s="1">
        <v>15</v>
      </c>
      <c r="H1923" s="10">
        <v>0</v>
      </c>
      <c r="I1923" s="1">
        <v>30000</v>
      </c>
      <c r="J1923" s="1">
        <v>150</v>
      </c>
      <c r="K1923" s="1">
        <v>1500</v>
      </c>
      <c r="L1923" s="1">
        <v>10000</v>
      </c>
      <c r="M1923" s="1" t="str">
        <f t="shared" si="58"/>
        <v>110_27_27</v>
      </c>
      <c r="N1923" s="1" t="s">
        <v>1773</v>
      </c>
      <c r="O1923" s="1">
        <v>0</v>
      </c>
      <c r="P1923" s="1" t="s">
        <v>2048</v>
      </c>
      <c r="Q1923" s="7" t="str">
        <f t="shared" si="59"/>
        <v>equipment/8003.png</v>
      </c>
      <c r="R1923" s="1">
        <v>0</v>
      </c>
    </row>
    <row r="1924" spans="1:18" ht="14.25" thickBot="1">
      <c r="A1924" s="1" t="s">
        <v>1512</v>
      </c>
      <c r="B1924" s="3">
        <v>1</v>
      </c>
      <c r="C1924" s="1" t="str">
        <f t="shared" si="57"/>
        <v>战痕手套</v>
      </c>
      <c r="D1924" s="1" t="s">
        <v>16</v>
      </c>
      <c r="E1924" s="1">
        <v>9</v>
      </c>
      <c r="F1924" s="1">
        <v>5</v>
      </c>
      <c r="G1924" s="1">
        <v>15</v>
      </c>
      <c r="H1924" s="10">
        <v>0</v>
      </c>
      <c r="I1924" s="1">
        <v>30000</v>
      </c>
      <c r="J1924" s="1">
        <v>150</v>
      </c>
      <c r="K1924" s="1">
        <v>1500</v>
      </c>
      <c r="L1924" s="1">
        <v>10000</v>
      </c>
      <c r="M1924" s="1" t="str">
        <f t="shared" si="58"/>
        <v>108_106_106</v>
      </c>
      <c r="N1924" s="1" t="s">
        <v>1773</v>
      </c>
      <c r="O1924" s="1">
        <v>0</v>
      </c>
      <c r="P1924" s="1" t="s">
        <v>2048</v>
      </c>
      <c r="Q1924" s="7" t="str">
        <f t="shared" si="59"/>
        <v>equipment/10003.png</v>
      </c>
      <c r="R1924" s="1">
        <v>0</v>
      </c>
    </row>
    <row r="1925" spans="1:18" ht="14.25" thickBot="1">
      <c r="A1925" s="1" t="s">
        <v>1513</v>
      </c>
      <c r="B1925" s="3">
        <v>1</v>
      </c>
      <c r="C1925" s="1" t="str">
        <f t="shared" si="57"/>
        <v>使者项链</v>
      </c>
      <c r="D1925" s="1" t="s">
        <v>17</v>
      </c>
      <c r="E1925" s="1">
        <v>10</v>
      </c>
      <c r="F1925" s="1">
        <v>5</v>
      </c>
      <c r="G1925" s="1">
        <v>15</v>
      </c>
      <c r="H1925" s="10">
        <v>0</v>
      </c>
      <c r="I1925" s="1">
        <v>30000</v>
      </c>
      <c r="J1925" s="1">
        <v>150</v>
      </c>
      <c r="K1925" s="1">
        <v>1500</v>
      </c>
      <c r="L1925" s="1">
        <v>10000</v>
      </c>
      <c r="M1925" s="1" t="str">
        <f t="shared" si="58"/>
        <v>107_64_64</v>
      </c>
      <c r="N1925" s="1" t="s">
        <v>1773</v>
      </c>
      <c r="O1925" s="1">
        <v>0</v>
      </c>
      <c r="P1925" s="1" t="s">
        <v>2048</v>
      </c>
      <c r="Q1925" s="7" t="str">
        <f t="shared" si="59"/>
        <v>equipment/12002.png</v>
      </c>
      <c r="R1925" s="1">
        <v>0</v>
      </c>
    </row>
    <row r="1926" spans="1:18" ht="14.25" thickBot="1">
      <c r="A1926" s="1" t="s">
        <v>1514</v>
      </c>
      <c r="B1926" s="3">
        <v>1</v>
      </c>
      <c r="C1926" s="1" t="str">
        <f t="shared" si="57"/>
        <v>宽刃剑</v>
      </c>
      <c r="D1926" s="1" t="s">
        <v>12</v>
      </c>
      <c r="E1926" s="1">
        <v>5</v>
      </c>
      <c r="F1926" s="1">
        <v>5</v>
      </c>
      <c r="G1926" s="1">
        <v>15</v>
      </c>
      <c r="H1926" s="10" t="s">
        <v>2120</v>
      </c>
      <c r="I1926" s="1">
        <v>30000</v>
      </c>
      <c r="J1926" s="1">
        <v>150</v>
      </c>
      <c r="K1926" s="1">
        <v>1500</v>
      </c>
      <c r="L1926" s="1">
        <v>10000</v>
      </c>
      <c r="M1926" s="1" t="str">
        <f t="shared" si="58"/>
        <v>103_52_52,104_104_104</v>
      </c>
      <c r="N1926" s="1" t="s">
        <v>1774</v>
      </c>
      <c r="O1926" s="1">
        <v>0</v>
      </c>
      <c r="P1926" s="1" t="s">
        <v>2048</v>
      </c>
      <c r="Q1926" s="7" t="str">
        <f t="shared" si="59"/>
        <v>equipment/1108.png</v>
      </c>
      <c r="R1926" s="1">
        <v>0</v>
      </c>
    </row>
    <row r="1927" spans="1:18" ht="14.25" thickBot="1">
      <c r="A1927" s="1" t="s">
        <v>1515</v>
      </c>
      <c r="B1927" s="3">
        <v>1</v>
      </c>
      <c r="C1927" s="1" t="str">
        <f t="shared" si="57"/>
        <v>游侠之刃</v>
      </c>
      <c r="D1927" s="1" t="s">
        <v>12</v>
      </c>
      <c r="E1927" s="1">
        <v>5</v>
      </c>
      <c r="F1927" s="1">
        <v>5</v>
      </c>
      <c r="G1927" s="1">
        <v>15</v>
      </c>
      <c r="H1927" s="10" t="s">
        <v>2120</v>
      </c>
      <c r="I1927" s="1">
        <v>36000</v>
      </c>
      <c r="J1927" s="1">
        <v>150</v>
      </c>
      <c r="K1927" s="1">
        <v>1500</v>
      </c>
      <c r="L1927" s="1">
        <v>12500</v>
      </c>
      <c r="M1927" s="1" t="str">
        <f t="shared" si="58"/>
        <v>103_76_76,104_152_152</v>
      </c>
      <c r="N1927" s="1" t="s">
        <v>1774</v>
      </c>
      <c r="O1927" s="1">
        <v>0</v>
      </c>
      <c r="P1927" s="1" t="s">
        <v>2048</v>
      </c>
      <c r="Q1927" s="7" t="str">
        <f t="shared" si="59"/>
        <v>equipment/1107.png</v>
      </c>
      <c r="R1927" s="1">
        <v>0</v>
      </c>
    </row>
    <row r="1928" spans="1:18" ht="14.25" thickBot="1">
      <c r="A1928" s="1" t="s">
        <v>1516</v>
      </c>
      <c r="B1928" s="3">
        <v>1</v>
      </c>
      <c r="C1928" s="1" t="str">
        <f t="shared" si="57"/>
        <v>鸢盾</v>
      </c>
      <c r="D1928" s="1" t="s">
        <v>13</v>
      </c>
      <c r="E1928" s="1">
        <v>6</v>
      </c>
      <c r="F1928" s="1">
        <v>5</v>
      </c>
      <c r="G1928" s="1">
        <v>15</v>
      </c>
      <c r="H1928" s="10" t="s">
        <v>2120</v>
      </c>
      <c r="I1928" s="1">
        <v>30000</v>
      </c>
      <c r="J1928" s="1">
        <v>150</v>
      </c>
      <c r="K1928" s="1">
        <v>1500</v>
      </c>
      <c r="L1928" s="1">
        <v>10000</v>
      </c>
      <c r="M1928" s="1" t="str">
        <f t="shared" si="58"/>
        <v>105_103_103</v>
      </c>
      <c r="N1928" s="1" t="s">
        <v>1774</v>
      </c>
      <c r="O1928" s="1">
        <v>0</v>
      </c>
      <c r="P1928" s="1" t="s">
        <v>2048</v>
      </c>
      <c r="Q1928" s="7" t="str">
        <f t="shared" si="59"/>
        <v>equipment/2105.png</v>
      </c>
      <c r="R1928" s="1">
        <v>0</v>
      </c>
    </row>
    <row r="1929" spans="1:18" ht="14.25" thickBot="1">
      <c r="A1929" s="1" t="s">
        <v>1517</v>
      </c>
      <c r="B1929" s="2">
        <v>0</v>
      </c>
      <c r="C1929" s="1" t="str">
        <f t="shared" si="57"/>
        <v>尖头盾</v>
      </c>
      <c r="D1929" s="1" t="s">
        <v>13</v>
      </c>
      <c r="E1929" s="1">
        <v>6</v>
      </c>
      <c r="F1929" s="1">
        <v>5</v>
      </c>
      <c r="G1929" s="1">
        <v>15</v>
      </c>
      <c r="H1929" s="10" t="s">
        <v>2120</v>
      </c>
      <c r="I1929" s="1">
        <v>36000</v>
      </c>
      <c r="J1929" s="1">
        <v>150</v>
      </c>
      <c r="K1929" s="1">
        <v>1500</v>
      </c>
      <c r="L1929" s="1">
        <v>12500</v>
      </c>
      <c r="M1929" s="1" t="str">
        <f t="shared" si="58"/>
        <v>105_130_130</v>
      </c>
      <c r="N1929" s="1" t="s">
        <v>1774</v>
      </c>
      <c r="O1929" s="1">
        <v>0</v>
      </c>
      <c r="P1929" s="1" t="s">
        <v>2048</v>
      </c>
      <c r="Q1929" s="7" t="str">
        <f t="shared" si="59"/>
        <v>equipment/2101.png</v>
      </c>
      <c r="R1929" s="1">
        <v>0</v>
      </c>
    </row>
    <row r="1930" spans="1:18" ht="14.25" thickBot="1">
      <c r="A1930" s="1" t="s">
        <v>1518</v>
      </c>
      <c r="B1930" s="3">
        <v>1</v>
      </c>
      <c r="C1930" s="1" t="str">
        <f t="shared" si="57"/>
        <v>狩猎之弓</v>
      </c>
      <c r="D1930" s="1" t="s">
        <v>12</v>
      </c>
      <c r="E1930" s="1">
        <v>5</v>
      </c>
      <c r="F1930" s="1">
        <v>5</v>
      </c>
      <c r="G1930" s="1">
        <v>15</v>
      </c>
      <c r="H1930" s="10" t="s">
        <v>2121</v>
      </c>
      <c r="I1930" s="1">
        <v>30000</v>
      </c>
      <c r="J1930" s="1">
        <v>150</v>
      </c>
      <c r="K1930" s="1">
        <v>1500</v>
      </c>
      <c r="L1930" s="1">
        <v>10000</v>
      </c>
      <c r="M1930" s="1" t="str">
        <f t="shared" si="58"/>
        <v>103_52_52,104_104_104</v>
      </c>
      <c r="N1930" s="1" t="s">
        <v>1774</v>
      </c>
      <c r="O1930" s="1">
        <v>0</v>
      </c>
      <c r="P1930" s="1" t="s">
        <v>2048</v>
      </c>
      <c r="Q1930" s="7" t="str">
        <f t="shared" si="59"/>
        <v>equipment/1207.png</v>
      </c>
      <c r="R1930" s="1">
        <v>0</v>
      </c>
    </row>
    <row r="1931" spans="1:18" ht="14.25" thickBot="1">
      <c r="A1931" s="1" t="s">
        <v>1519</v>
      </c>
      <c r="B1931" s="3">
        <v>1</v>
      </c>
      <c r="C1931" s="1" t="str">
        <f t="shared" si="57"/>
        <v>半人马长弓</v>
      </c>
      <c r="D1931" s="1" t="s">
        <v>12</v>
      </c>
      <c r="E1931" s="1">
        <v>5</v>
      </c>
      <c r="F1931" s="1">
        <v>5</v>
      </c>
      <c r="G1931" s="1">
        <v>15</v>
      </c>
      <c r="H1931" s="10" t="s">
        <v>2121</v>
      </c>
      <c r="I1931" s="1">
        <v>36000</v>
      </c>
      <c r="J1931" s="1">
        <v>150</v>
      </c>
      <c r="K1931" s="1">
        <v>1500</v>
      </c>
      <c r="L1931" s="1">
        <v>12500</v>
      </c>
      <c r="M1931" s="1" t="str">
        <f t="shared" si="58"/>
        <v>103_76_76,104_152_152</v>
      </c>
      <c r="N1931" s="1" t="s">
        <v>1774</v>
      </c>
      <c r="O1931" s="1">
        <v>0</v>
      </c>
      <c r="P1931" s="1" t="s">
        <v>2048</v>
      </c>
      <c r="Q1931" s="7" t="str">
        <f t="shared" si="59"/>
        <v>equipment/1208.png</v>
      </c>
      <c r="R1931" s="1">
        <v>0</v>
      </c>
    </row>
    <row r="1932" spans="1:18" ht="14.25" thickBot="1">
      <c r="A1932" s="1" t="s">
        <v>1520</v>
      </c>
      <c r="B1932" s="3">
        <v>1</v>
      </c>
      <c r="C1932" s="1" t="str">
        <f t="shared" si="57"/>
        <v>皮革箭筒</v>
      </c>
      <c r="D1932" s="1" t="s">
        <v>13</v>
      </c>
      <c r="E1932" s="1">
        <v>6</v>
      </c>
      <c r="F1932" s="1">
        <v>5</v>
      </c>
      <c r="G1932" s="1">
        <v>15</v>
      </c>
      <c r="H1932" s="10" t="s">
        <v>2121</v>
      </c>
      <c r="I1932" s="1">
        <v>30000</v>
      </c>
      <c r="J1932" s="1">
        <v>150</v>
      </c>
      <c r="K1932" s="1">
        <v>1500</v>
      </c>
      <c r="L1932" s="1">
        <v>10000</v>
      </c>
      <c r="M1932" s="1" t="str">
        <f t="shared" si="58"/>
        <v>108_103_103</v>
      </c>
      <c r="N1932" s="1" t="s">
        <v>1774</v>
      </c>
      <c r="O1932" s="1">
        <v>0</v>
      </c>
      <c r="P1932" s="1" t="s">
        <v>2048</v>
      </c>
      <c r="Q1932" s="7" t="str">
        <f t="shared" si="59"/>
        <v>equipment/2204.png</v>
      </c>
      <c r="R1932" s="1">
        <v>0</v>
      </c>
    </row>
    <row r="1933" spans="1:18" ht="14.25" thickBot="1">
      <c r="A1933" s="1" t="s">
        <v>1521</v>
      </c>
      <c r="B1933" s="2">
        <v>0</v>
      </c>
      <c r="C1933" s="1" t="str">
        <f t="shared" si="57"/>
        <v>箭筒</v>
      </c>
      <c r="D1933" s="1" t="s">
        <v>13</v>
      </c>
      <c r="E1933" s="1">
        <v>6</v>
      </c>
      <c r="F1933" s="1">
        <v>5</v>
      </c>
      <c r="G1933" s="1">
        <v>15</v>
      </c>
      <c r="H1933" s="10" t="s">
        <v>2121</v>
      </c>
      <c r="I1933" s="1">
        <v>36000</v>
      </c>
      <c r="J1933" s="1">
        <v>150</v>
      </c>
      <c r="K1933" s="1">
        <v>1500</v>
      </c>
      <c r="L1933" s="1">
        <v>12500</v>
      </c>
      <c r="M1933" s="1" t="str">
        <f t="shared" si="58"/>
        <v>108_130_130</v>
      </c>
      <c r="N1933" s="1" t="s">
        <v>1774</v>
      </c>
      <c r="O1933" s="1">
        <v>0</v>
      </c>
      <c r="P1933" s="1" t="s">
        <v>2048</v>
      </c>
      <c r="Q1933" s="7" t="str">
        <f t="shared" si="59"/>
        <v>equipment/2201.png</v>
      </c>
      <c r="R1933" s="1">
        <v>0</v>
      </c>
    </row>
    <row r="1934" spans="1:18" ht="14.25" thickBot="1">
      <c r="A1934" s="1" t="s">
        <v>1522</v>
      </c>
      <c r="B1934" s="3">
        <v>1</v>
      </c>
      <c r="C1934" s="1" t="str">
        <f t="shared" si="57"/>
        <v>风灵法杖</v>
      </c>
      <c r="D1934" s="1" t="s">
        <v>12</v>
      </c>
      <c r="E1934" s="1">
        <v>5</v>
      </c>
      <c r="F1934" s="1">
        <v>5</v>
      </c>
      <c r="G1934" s="1">
        <v>15</v>
      </c>
      <c r="H1934" s="10" t="s">
        <v>2122</v>
      </c>
      <c r="I1934" s="1">
        <v>30000</v>
      </c>
      <c r="J1934" s="1">
        <v>150</v>
      </c>
      <c r="K1934" s="1">
        <v>1500</v>
      </c>
      <c r="L1934" s="1">
        <v>10000</v>
      </c>
      <c r="M1934" s="1" t="str">
        <f t="shared" si="58"/>
        <v>103_52_52,104_104_104</v>
      </c>
      <c r="N1934" s="1" t="s">
        <v>1774</v>
      </c>
      <c r="O1934" s="1">
        <v>0</v>
      </c>
      <c r="P1934" s="1" t="s">
        <v>2048</v>
      </c>
      <c r="Q1934" s="7" t="str">
        <f t="shared" si="59"/>
        <v>equipment/1307.png</v>
      </c>
      <c r="R1934" s="1">
        <v>0</v>
      </c>
    </row>
    <row r="1935" spans="1:18" ht="14.25" thickBot="1">
      <c r="A1935" s="1" t="s">
        <v>1523</v>
      </c>
      <c r="B1935" s="3">
        <v>1</v>
      </c>
      <c r="C1935" s="1" t="str">
        <f t="shared" si="57"/>
        <v>禁锢之杖</v>
      </c>
      <c r="D1935" s="1" t="s">
        <v>12</v>
      </c>
      <c r="E1935" s="1">
        <v>5</v>
      </c>
      <c r="F1935" s="1">
        <v>5</v>
      </c>
      <c r="G1935" s="1">
        <v>15</v>
      </c>
      <c r="H1935" s="10" t="s">
        <v>2122</v>
      </c>
      <c r="I1935" s="1">
        <v>36000</v>
      </c>
      <c r="J1935" s="1">
        <v>150</v>
      </c>
      <c r="K1935" s="1">
        <v>1500</v>
      </c>
      <c r="L1935" s="1">
        <v>12500</v>
      </c>
      <c r="M1935" s="1" t="str">
        <f t="shared" si="58"/>
        <v>103_76_76,104_152_152</v>
      </c>
      <c r="N1935" s="1" t="s">
        <v>1774</v>
      </c>
      <c r="O1935" s="1">
        <v>0</v>
      </c>
      <c r="P1935" s="1" t="s">
        <v>2048</v>
      </c>
      <c r="Q1935" s="7" t="str">
        <f t="shared" si="59"/>
        <v>equipment/1308.png</v>
      </c>
      <c r="R1935" s="1">
        <v>0</v>
      </c>
    </row>
    <row r="1936" spans="1:18" ht="14.25" thickBot="1">
      <c r="A1936" s="1" t="s">
        <v>1524</v>
      </c>
      <c r="B1936" s="3">
        <v>1</v>
      </c>
      <c r="C1936" s="1" t="str">
        <f t="shared" si="57"/>
        <v>秘法之书</v>
      </c>
      <c r="D1936" s="1" t="s">
        <v>13</v>
      </c>
      <c r="E1936" s="1">
        <v>6</v>
      </c>
      <c r="F1936" s="1">
        <v>5</v>
      </c>
      <c r="G1936" s="1">
        <v>15</v>
      </c>
      <c r="H1936" s="10" t="s">
        <v>2122</v>
      </c>
      <c r="I1936" s="1">
        <v>30000</v>
      </c>
      <c r="J1936" s="1">
        <v>150</v>
      </c>
      <c r="K1936" s="1">
        <v>1500</v>
      </c>
      <c r="L1936" s="1">
        <v>10000</v>
      </c>
      <c r="M1936" s="1" t="str">
        <f t="shared" si="58"/>
        <v>102_420_420</v>
      </c>
      <c r="N1936" s="1" t="s">
        <v>1774</v>
      </c>
      <c r="O1936" s="1">
        <v>0</v>
      </c>
      <c r="P1936" s="1" t="s">
        <v>2048</v>
      </c>
      <c r="Q1936" s="7" t="str">
        <f t="shared" si="59"/>
        <v>equipment/2304.png</v>
      </c>
      <c r="R1936" s="1">
        <v>0</v>
      </c>
    </row>
    <row r="1937" spans="1:18" ht="14.25" thickBot="1">
      <c r="A1937" s="1" t="s">
        <v>1525</v>
      </c>
      <c r="B1937" s="2">
        <v>0</v>
      </c>
      <c r="C1937" s="1" t="str">
        <f t="shared" si="57"/>
        <v>法术指南</v>
      </c>
      <c r="D1937" s="1" t="s">
        <v>13</v>
      </c>
      <c r="E1937" s="1">
        <v>6</v>
      </c>
      <c r="F1937" s="1">
        <v>5</v>
      </c>
      <c r="G1937" s="1">
        <v>15</v>
      </c>
      <c r="H1937" s="10" t="s">
        <v>2122</v>
      </c>
      <c r="I1937" s="1">
        <v>36000</v>
      </c>
      <c r="J1937" s="1">
        <v>150</v>
      </c>
      <c r="K1937" s="1">
        <v>1500</v>
      </c>
      <c r="L1937" s="1">
        <v>12500</v>
      </c>
      <c r="M1937" s="1" t="str">
        <f t="shared" si="58"/>
        <v>102_472_472</v>
      </c>
      <c r="N1937" s="1" t="s">
        <v>1774</v>
      </c>
      <c r="O1937" s="1">
        <v>0</v>
      </c>
      <c r="P1937" s="1" t="s">
        <v>2048</v>
      </c>
      <c r="Q1937" s="7" t="str">
        <f t="shared" si="59"/>
        <v>equipment/2301.png</v>
      </c>
      <c r="R1937" s="1">
        <v>0</v>
      </c>
    </row>
    <row r="1938" spans="1:18" ht="14.25" thickBot="1">
      <c r="A1938" s="1" t="s">
        <v>1526</v>
      </c>
      <c r="B1938" s="3">
        <v>1</v>
      </c>
      <c r="C1938" s="1" t="str">
        <f t="shared" si="57"/>
        <v>暗石胸甲</v>
      </c>
      <c r="D1938" s="1" t="s">
        <v>11</v>
      </c>
      <c r="E1938" s="1">
        <v>4</v>
      </c>
      <c r="F1938" s="1">
        <v>5</v>
      </c>
      <c r="G1938" s="1">
        <v>15</v>
      </c>
      <c r="H1938" s="10">
        <v>0</v>
      </c>
      <c r="I1938" s="1">
        <v>30000</v>
      </c>
      <c r="J1938" s="1">
        <v>150</v>
      </c>
      <c r="K1938" s="1">
        <v>1500</v>
      </c>
      <c r="L1938" s="1">
        <v>10000</v>
      </c>
      <c r="M1938" s="1" t="str">
        <f t="shared" si="58"/>
        <v>105_39_39</v>
      </c>
      <c r="N1938" s="1" t="s">
        <v>1773</v>
      </c>
      <c r="O1938" s="1">
        <v>0</v>
      </c>
      <c r="P1938" s="1" t="s">
        <v>2048</v>
      </c>
      <c r="Q1938" s="7" t="str">
        <f t="shared" si="59"/>
        <v>equipment/5005.png</v>
      </c>
      <c r="R1938" s="1">
        <v>0</v>
      </c>
    </row>
    <row r="1939" spans="1:18" ht="14.25" thickBot="1">
      <c r="A1939" s="1" t="s">
        <v>1527</v>
      </c>
      <c r="B1939" s="2">
        <v>0</v>
      </c>
      <c r="C1939" s="1" t="str">
        <f t="shared" si="57"/>
        <v>新兵外套</v>
      </c>
      <c r="D1939" s="1" t="s">
        <v>11</v>
      </c>
      <c r="E1939" s="1">
        <v>4</v>
      </c>
      <c r="F1939" s="1">
        <v>5</v>
      </c>
      <c r="G1939" s="1">
        <v>15</v>
      </c>
      <c r="H1939" s="10">
        <v>0</v>
      </c>
      <c r="I1939" s="1">
        <v>36000</v>
      </c>
      <c r="J1939" s="1">
        <v>150</v>
      </c>
      <c r="K1939" s="1">
        <v>1500</v>
      </c>
      <c r="L1939" s="1">
        <v>12500</v>
      </c>
      <c r="M1939" s="1" t="str">
        <f t="shared" si="58"/>
        <v>105_64_64</v>
      </c>
      <c r="N1939" s="1" t="s">
        <v>1773</v>
      </c>
      <c r="O1939" s="1">
        <v>0</v>
      </c>
      <c r="P1939" s="1" t="s">
        <v>2048</v>
      </c>
      <c r="Q1939" s="7" t="str">
        <f t="shared" si="59"/>
        <v>equipment/5001.png</v>
      </c>
      <c r="R1939" s="1">
        <v>0</v>
      </c>
    </row>
    <row r="1940" spans="1:18" ht="14.25" thickBot="1">
      <c r="A1940" s="1" t="s">
        <v>1528</v>
      </c>
      <c r="B1940" s="3">
        <v>1</v>
      </c>
      <c r="C1940" s="1" t="str">
        <f t="shared" si="57"/>
        <v>荒野马裤</v>
      </c>
      <c r="D1940" s="1" t="s">
        <v>14</v>
      </c>
      <c r="E1940" s="1">
        <v>7</v>
      </c>
      <c r="F1940" s="1">
        <v>5</v>
      </c>
      <c r="G1940" s="1">
        <v>15</v>
      </c>
      <c r="H1940" s="10">
        <v>0</v>
      </c>
      <c r="I1940" s="1">
        <v>30000</v>
      </c>
      <c r="J1940" s="1">
        <v>150</v>
      </c>
      <c r="K1940" s="1">
        <v>1500</v>
      </c>
      <c r="L1940" s="1">
        <v>10000</v>
      </c>
      <c r="M1940" s="1" t="str">
        <f t="shared" si="58"/>
        <v>105_39_39</v>
      </c>
      <c r="N1940" s="1" t="s">
        <v>1773</v>
      </c>
      <c r="O1940" s="1">
        <v>0</v>
      </c>
      <c r="P1940" s="1" t="s">
        <v>2048</v>
      </c>
      <c r="Q1940" s="7" t="str">
        <f t="shared" si="59"/>
        <v>equipment/7003.png</v>
      </c>
      <c r="R1940" s="1">
        <v>0</v>
      </c>
    </row>
    <row r="1941" spans="1:18" ht="14.25" thickBot="1">
      <c r="A1941" s="1" t="s">
        <v>1529</v>
      </c>
      <c r="B1941" s="2">
        <v>0</v>
      </c>
      <c r="C1941" s="1" t="str">
        <f t="shared" ref="C1941:C2004" si="60">C1479</f>
        <v>学徒短裤</v>
      </c>
      <c r="D1941" s="1" t="s">
        <v>14</v>
      </c>
      <c r="E1941" s="1">
        <v>7</v>
      </c>
      <c r="F1941" s="1">
        <v>5</v>
      </c>
      <c r="G1941" s="1">
        <v>15</v>
      </c>
      <c r="H1941" s="10">
        <v>0</v>
      </c>
      <c r="I1941" s="1">
        <v>36000</v>
      </c>
      <c r="J1941" s="1">
        <v>150</v>
      </c>
      <c r="K1941" s="1">
        <v>1500</v>
      </c>
      <c r="L1941" s="1">
        <v>12500</v>
      </c>
      <c r="M1941" s="1" t="str">
        <f t="shared" ref="M1941:M2004" si="61">M1479</f>
        <v>105_50_50</v>
      </c>
      <c r="N1941" s="1" t="s">
        <v>1773</v>
      </c>
      <c r="O1941" s="1">
        <v>0</v>
      </c>
      <c r="P1941" s="1" t="s">
        <v>2048</v>
      </c>
      <c r="Q1941" s="7" t="str">
        <f t="shared" ref="Q1941:Q2004" si="62">Q1479</f>
        <v>equipment/7001.png</v>
      </c>
      <c r="R1941" s="1">
        <v>0</v>
      </c>
    </row>
    <row r="1942" spans="1:18" ht="14.25" thickBot="1">
      <c r="A1942" s="1" t="s">
        <v>1530</v>
      </c>
      <c r="B1942" s="3">
        <v>1</v>
      </c>
      <c r="C1942" s="1" t="str">
        <f t="shared" si="60"/>
        <v>卫士头盔</v>
      </c>
      <c r="D1942" s="1" t="s">
        <v>8</v>
      </c>
      <c r="E1942" s="1">
        <v>1</v>
      </c>
      <c r="F1942" s="1">
        <v>5</v>
      </c>
      <c r="G1942" s="1">
        <v>20</v>
      </c>
      <c r="H1942" s="10">
        <v>0</v>
      </c>
      <c r="I1942" s="1">
        <v>40000</v>
      </c>
      <c r="J1942" s="1">
        <v>150</v>
      </c>
      <c r="K1942" s="1">
        <v>1500</v>
      </c>
      <c r="L1942" s="1">
        <v>12500</v>
      </c>
      <c r="M1942" s="1" t="str">
        <f t="shared" si="61"/>
        <v>106_136_136</v>
      </c>
      <c r="N1942" s="1" t="s">
        <v>1775</v>
      </c>
      <c r="O1942" s="1">
        <v>0</v>
      </c>
      <c r="P1942" s="1" t="s">
        <v>2049</v>
      </c>
      <c r="Q1942" s="7" t="str">
        <f t="shared" si="62"/>
        <v>equipment/3003.png</v>
      </c>
      <c r="R1942" s="1">
        <v>0</v>
      </c>
    </row>
    <row r="1943" spans="1:18" ht="14.25" thickBot="1">
      <c r="A1943" s="1" t="s">
        <v>1531</v>
      </c>
      <c r="B1943" s="3">
        <v>1</v>
      </c>
      <c r="C1943" s="1" t="str">
        <f t="shared" si="60"/>
        <v>石岩指环</v>
      </c>
      <c r="D1943" s="1" t="s">
        <v>9</v>
      </c>
      <c r="E1943" s="1">
        <v>2</v>
      </c>
      <c r="F1943" s="1">
        <v>5</v>
      </c>
      <c r="G1943" s="1">
        <v>20</v>
      </c>
      <c r="H1943" s="10">
        <v>0</v>
      </c>
      <c r="I1943" s="1">
        <v>40000</v>
      </c>
      <c r="J1943" s="1">
        <v>150</v>
      </c>
      <c r="K1943" s="1">
        <v>1500</v>
      </c>
      <c r="L1943" s="1">
        <v>12500</v>
      </c>
      <c r="M1943" s="1" t="str">
        <f t="shared" si="61"/>
        <v>102_240_240</v>
      </c>
      <c r="N1943" s="1" t="s">
        <v>1775</v>
      </c>
      <c r="O1943" s="1">
        <v>0</v>
      </c>
      <c r="P1943" s="1" t="s">
        <v>2049</v>
      </c>
      <c r="Q1943" s="7" t="str">
        <f t="shared" si="62"/>
        <v>equipment/14003.png</v>
      </c>
      <c r="R1943" s="1">
        <v>0</v>
      </c>
    </row>
    <row r="1944" spans="1:18" ht="14.25" thickBot="1">
      <c r="A1944" s="1" t="s">
        <v>1532</v>
      </c>
      <c r="B1944" s="3">
        <v>1</v>
      </c>
      <c r="C1944" s="1" t="str">
        <f t="shared" si="60"/>
        <v>勇者束带</v>
      </c>
      <c r="D1944" s="1" t="s">
        <v>10</v>
      </c>
      <c r="E1944" s="1">
        <v>3</v>
      </c>
      <c r="F1944" s="1">
        <v>5</v>
      </c>
      <c r="G1944" s="1">
        <v>20</v>
      </c>
      <c r="H1944" s="10">
        <v>0</v>
      </c>
      <c r="I1944" s="1">
        <v>40000</v>
      </c>
      <c r="J1944" s="1">
        <v>150</v>
      </c>
      <c r="K1944" s="1">
        <v>1500</v>
      </c>
      <c r="L1944" s="1">
        <v>12500</v>
      </c>
      <c r="M1944" s="1" t="str">
        <f t="shared" si="61"/>
        <v>101_2120_2120</v>
      </c>
      <c r="N1944" s="1" t="s">
        <v>1775</v>
      </c>
      <c r="O1944" s="1">
        <v>0</v>
      </c>
      <c r="P1944" s="1" t="s">
        <v>2049</v>
      </c>
      <c r="Q1944" s="7" t="str">
        <f t="shared" si="62"/>
        <v>equipment/6004.png</v>
      </c>
      <c r="R1944" s="1">
        <v>0</v>
      </c>
    </row>
    <row r="1945" spans="1:18" ht="14.25" thickBot="1">
      <c r="A1945" s="1" t="s">
        <v>1533</v>
      </c>
      <c r="B1945" s="2">
        <v>1</v>
      </c>
      <c r="C1945" s="1" t="s">
        <v>2469</v>
      </c>
      <c r="D1945" s="1" t="s">
        <v>15</v>
      </c>
      <c r="E1945" s="1">
        <v>8</v>
      </c>
      <c r="F1945" s="1">
        <v>5</v>
      </c>
      <c r="G1945" s="1">
        <v>20</v>
      </c>
      <c r="H1945" s="10">
        <v>0</v>
      </c>
      <c r="I1945" s="1">
        <v>40000</v>
      </c>
      <c r="J1945" s="1">
        <v>150</v>
      </c>
      <c r="K1945" s="1">
        <v>1500</v>
      </c>
      <c r="L1945" s="1">
        <v>12500</v>
      </c>
      <c r="M1945" s="1" t="s">
        <v>2472</v>
      </c>
      <c r="N1945" s="1" t="s">
        <v>1775</v>
      </c>
      <c r="O1945" s="1">
        <v>0</v>
      </c>
      <c r="P1945" s="1" t="s">
        <v>2049</v>
      </c>
      <c r="Q1945" s="7" t="str">
        <f t="shared" si="62"/>
        <v>equipment/8003.png</v>
      </c>
      <c r="R1945" s="1">
        <v>0</v>
      </c>
    </row>
    <row r="1946" spans="1:18" ht="14.25" thickBot="1">
      <c r="A1946" s="1" t="s">
        <v>1534</v>
      </c>
      <c r="B1946" s="3">
        <v>1</v>
      </c>
      <c r="C1946" s="1" t="str">
        <f t="shared" si="60"/>
        <v>工程手套</v>
      </c>
      <c r="D1946" s="1" t="s">
        <v>16</v>
      </c>
      <c r="E1946" s="1">
        <v>9</v>
      </c>
      <c r="F1946" s="1">
        <v>5</v>
      </c>
      <c r="G1946" s="1">
        <v>20</v>
      </c>
      <c r="H1946" s="10">
        <v>0</v>
      </c>
      <c r="I1946" s="1">
        <v>40000</v>
      </c>
      <c r="J1946" s="1">
        <v>150</v>
      </c>
      <c r="K1946" s="1">
        <v>1500</v>
      </c>
      <c r="L1946" s="1">
        <v>12500</v>
      </c>
      <c r="M1946" s="1" t="str">
        <f t="shared" si="61"/>
        <v>108_211_211</v>
      </c>
      <c r="N1946" s="1" t="s">
        <v>1775</v>
      </c>
      <c r="O1946" s="1">
        <v>0</v>
      </c>
      <c r="P1946" s="1" t="s">
        <v>2049</v>
      </c>
      <c r="Q1946" s="7" t="str">
        <f t="shared" si="62"/>
        <v>equipment/10004.png</v>
      </c>
      <c r="R1946" s="1">
        <v>0</v>
      </c>
    </row>
    <row r="1947" spans="1:18" ht="14.25" thickBot="1">
      <c r="A1947" s="1" t="s">
        <v>1535</v>
      </c>
      <c r="B1947" s="3">
        <v>1</v>
      </c>
      <c r="C1947" s="1" t="str">
        <f t="shared" si="60"/>
        <v>翡翠项链</v>
      </c>
      <c r="D1947" s="1" t="s">
        <v>17</v>
      </c>
      <c r="E1947" s="1">
        <v>10</v>
      </c>
      <c r="F1947" s="1">
        <v>5</v>
      </c>
      <c r="G1947" s="1">
        <v>20</v>
      </c>
      <c r="H1947" s="10">
        <v>0</v>
      </c>
      <c r="I1947" s="1">
        <v>40000</v>
      </c>
      <c r="J1947" s="1">
        <v>150</v>
      </c>
      <c r="K1947" s="1">
        <v>1500</v>
      </c>
      <c r="L1947" s="1">
        <v>12500</v>
      </c>
      <c r="M1947" s="1" t="str">
        <f t="shared" si="61"/>
        <v>107_136_136</v>
      </c>
      <c r="N1947" s="1" t="s">
        <v>1775</v>
      </c>
      <c r="O1947" s="1">
        <v>0</v>
      </c>
      <c r="P1947" s="1" t="s">
        <v>2049</v>
      </c>
      <c r="Q1947" s="7" t="str">
        <f t="shared" si="62"/>
        <v>equipment/12003.png</v>
      </c>
      <c r="R1947" s="1">
        <v>0</v>
      </c>
    </row>
    <row r="1948" spans="1:18" ht="14.25" thickBot="1">
      <c r="A1948" s="1">
        <v>50201050</v>
      </c>
      <c r="B1948" s="3">
        <v>1</v>
      </c>
      <c r="C1948" s="1" t="str">
        <f t="shared" si="60"/>
        <v>勇者长剑</v>
      </c>
      <c r="D1948" s="1" t="s">
        <v>12</v>
      </c>
      <c r="E1948" s="1">
        <v>5</v>
      </c>
      <c r="F1948" s="1">
        <v>5</v>
      </c>
      <c r="G1948" s="1">
        <v>20</v>
      </c>
      <c r="H1948" s="10" t="s">
        <v>2120</v>
      </c>
      <c r="I1948" s="1">
        <v>40000</v>
      </c>
      <c r="J1948" s="1">
        <v>150</v>
      </c>
      <c r="K1948" s="1">
        <v>1500</v>
      </c>
      <c r="L1948" s="1">
        <v>12500</v>
      </c>
      <c r="M1948" s="1" t="str">
        <f t="shared" si="61"/>
        <v>103_113_113,104_226_226</v>
      </c>
      <c r="N1948" s="1" t="s">
        <v>1776</v>
      </c>
      <c r="O1948" s="1">
        <v>0</v>
      </c>
      <c r="P1948" s="1" t="s">
        <v>2049</v>
      </c>
      <c r="Q1948" s="7" t="str">
        <f t="shared" si="62"/>
        <v>equipment/1109.png</v>
      </c>
      <c r="R1948" s="1">
        <v>0</v>
      </c>
    </row>
    <row r="1949" spans="1:18" ht="14.25" thickBot="1">
      <c r="A1949" s="1" t="s">
        <v>1536</v>
      </c>
      <c r="B1949" s="2">
        <v>0</v>
      </c>
      <c r="C1949" s="1" t="str">
        <f t="shared" si="60"/>
        <v>军刀</v>
      </c>
      <c r="D1949" s="1" t="s">
        <v>12</v>
      </c>
      <c r="E1949" s="1">
        <v>5</v>
      </c>
      <c r="F1949" s="1">
        <v>5</v>
      </c>
      <c r="G1949" s="1">
        <v>20</v>
      </c>
      <c r="H1949" s="10" t="s">
        <v>2120</v>
      </c>
      <c r="I1949" s="1">
        <v>46000</v>
      </c>
      <c r="J1949" s="1">
        <v>150</v>
      </c>
      <c r="K1949" s="1">
        <v>1500</v>
      </c>
      <c r="L1949" s="1">
        <v>15000</v>
      </c>
      <c r="M1949" s="1" t="str">
        <f t="shared" si="61"/>
        <v>103_138_138,104_276_276</v>
      </c>
      <c r="N1949" s="1" t="s">
        <v>1776</v>
      </c>
      <c r="O1949" s="1">
        <v>0</v>
      </c>
      <c r="P1949" s="1" t="s">
        <v>2049</v>
      </c>
      <c r="Q1949" s="7" t="str">
        <f t="shared" si="62"/>
        <v>equipment/1101.png</v>
      </c>
      <c r="R1949" s="1">
        <v>0</v>
      </c>
    </row>
    <row r="1950" spans="1:18" ht="14.25" thickBot="1">
      <c r="A1950" s="1" t="s">
        <v>1537</v>
      </c>
      <c r="B1950" s="3">
        <v>1</v>
      </c>
      <c r="C1950" s="1" t="str">
        <f t="shared" si="60"/>
        <v>护卫之盾</v>
      </c>
      <c r="D1950" s="1" t="s">
        <v>13</v>
      </c>
      <c r="E1950" s="1">
        <v>6</v>
      </c>
      <c r="F1950" s="1">
        <v>5</v>
      </c>
      <c r="G1950" s="1">
        <v>20</v>
      </c>
      <c r="H1950" s="10" t="s">
        <v>2120</v>
      </c>
      <c r="I1950" s="1">
        <v>40000</v>
      </c>
      <c r="J1950" s="1">
        <v>150</v>
      </c>
      <c r="K1950" s="1">
        <v>1500</v>
      </c>
      <c r="L1950" s="1">
        <v>12500</v>
      </c>
      <c r="M1950" s="1" t="str">
        <f t="shared" si="61"/>
        <v>105_171_171</v>
      </c>
      <c r="N1950" s="1" t="s">
        <v>1776</v>
      </c>
      <c r="O1950" s="1">
        <v>0</v>
      </c>
      <c r="P1950" s="1" t="s">
        <v>2049</v>
      </c>
      <c r="Q1950" s="7" t="str">
        <f t="shared" si="62"/>
        <v>equipment/2104.png</v>
      </c>
      <c r="R1950" s="1">
        <v>0</v>
      </c>
    </row>
    <row r="1951" spans="1:18" ht="14.25" thickBot="1">
      <c r="A1951" s="1" t="s">
        <v>1538</v>
      </c>
      <c r="B1951" s="2">
        <v>0</v>
      </c>
      <c r="C1951" s="1" t="str">
        <f t="shared" si="60"/>
        <v>尖头盾</v>
      </c>
      <c r="D1951" s="1" t="s">
        <v>13</v>
      </c>
      <c r="E1951" s="1">
        <v>6</v>
      </c>
      <c r="F1951" s="1">
        <v>5</v>
      </c>
      <c r="G1951" s="1">
        <v>20</v>
      </c>
      <c r="H1951" s="10" t="s">
        <v>2120</v>
      </c>
      <c r="I1951" s="1">
        <v>46000</v>
      </c>
      <c r="J1951" s="1">
        <v>150</v>
      </c>
      <c r="K1951" s="1">
        <v>1500</v>
      </c>
      <c r="L1951" s="1">
        <v>15000</v>
      </c>
      <c r="M1951" s="1" t="str">
        <f t="shared" si="61"/>
        <v>105_205_205</v>
      </c>
      <c r="N1951" s="1" t="s">
        <v>1776</v>
      </c>
      <c r="O1951" s="1">
        <v>0</v>
      </c>
      <c r="P1951" s="1" t="s">
        <v>2049</v>
      </c>
      <c r="Q1951" s="7" t="str">
        <f t="shared" si="62"/>
        <v>equipment/2101.png</v>
      </c>
      <c r="R1951" s="1">
        <v>0</v>
      </c>
    </row>
    <row r="1952" spans="1:18" ht="14.25" thickBot="1">
      <c r="A1952" s="1">
        <v>50202050</v>
      </c>
      <c r="B1952" s="3">
        <v>1</v>
      </c>
      <c r="C1952" s="1" t="str">
        <f t="shared" si="60"/>
        <v>护卫之弓</v>
      </c>
      <c r="D1952" s="1" t="s">
        <v>12</v>
      </c>
      <c r="E1952" s="1">
        <v>5</v>
      </c>
      <c r="F1952" s="1">
        <v>5</v>
      </c>
      <c r="G1952" s="1">
        <v>20</v>
      </c>
      <c r="H1952" s="10" t="s">
        <v>2121</v>
      </c>
      <c r="I1952" s="1">
        <v>40000</v>
      </c>
      <c r="J1952" s="1">
        <v>150</v>
      </c>
      <c r="K1952" s="1">
        <v>1500</v>
      </c>
      <c r="L1952" s="1">
        <v>12500</v>
      </c>
      <c r="M1952" s="1" t="str">
        <f t="shared" si="61"/>
        <v>103_113_113,104_226_226</v>
      </c>
      <c r="N1952" s="1" t="s">
        <v>1776</v>
      </c>
      <c r="O1952" s="1">
        <v>0</v>
      </c>
      <c r="P1952" s="1" t="s">
        <v>2049</v>
      </c>
      <c r="Q1952" s="7" t="str">
        <f t="shared" si="62"/>
        <v>equipment/1209.png</v>
      </c>
      <c r="R1952" s="1">
        <v>0</v>
      </c>
    </row>
    <row r="1953" spans="1:18" ht="14.25" thickBot="1">
      <c r="A1953" s="1" t="s">
        <v>1539</v>
      </c>
      <c r="B1953" s="2">
        <v>0</v>
      </c>
      <c r="C1953" s="1" t="str">
        <f t="shared" si="60"/>
        <v>棘木弓</v>
      </c>
      <c r="D1953" s="1" t="s">
        <v>12</v>
      </c>
      <c r="E1953" s="1">
        <v>5</v>
      </c>
      <c r="F1953" s="1">
        <v>5</v>
      </c>
      <c r="G1953" s="1">
        <v>20</v>
      </c>
      <c r="H1953" s="10" t="s">
        <v>2121</v>
      </c>
      <c r="I1953" s="1">
        <v>46000</v>
      </c>
      <c r="J1953" s="1">
        <v>150</v>
      </c>
      <c r="K1953" s="1">
        <v>1500</v>
      </c>
      <c r="L1953" s="1">
        <v>15000</v>
      </c>
      <c r="M1953" s="1" t="str">
        <f t="shared" si="61"/>
        <v>103_138_138,104_276_276</v>
      </c>
      <c r="N1953" s="1" t="s">
        <v>1776</v>
      </c>
      <c r="O1953" s="1">
        <v>0</v>
      </c>
      <c r="P1953" s="1" t="s">
        <v>2049</v>
      </c>
      <c r="Q1953" s="7" t="str">
        <f t="shared" si="62"/>
        <v>equipment/1201.png</v>
      </c>
      <c r="R1953" s="1">
        <v>0</v>
      </c>
    </row>
    <row r="1954" spans="1:18" ht="14.25" thickBot="1">
      <c r="A1954" s="1" t="s">
        <v>1540</v>
      </c>
      <c r="B1954" s="3">
        <v>1</v>
      </c>
      <c r="C1954" s="1" t="str">
        <f t="shared" si="60"/>
        <v>狩猎箭筒</v>
      </c>
      <c r="D1954" s="1" t="s">
        <v>13</v>
      </c>
      <c r="E1954" s="1">
        <v>6</v>
      </c>
      <c r="F1954" s="1">
        <v>5</v>
      </c>
      <c r="G1954" s="1">
        <v>20</v>
      </c>
      <c r="H1954" s="10" t="s">
        <v>2121</v>
      </c>
      <c r="I1954" s="1">
        <v>40000</v>
      </c>
      <c r="J1954" s="1">
        <v>150</v>
      </c>
      <c r="K1954" s="1">
        <v>1500</v>
      </c>
      <c r="L1954" s="1">
        <v>12500</v>
      </c>
      <c r="M1954" s="1" t="str">
        <f t="shared" si="61"/>
        <v>108_171_171</v>
      </c>
      <c r="N1954" s="1" t="s">
        <v>1776</v>
      </c>
      <c r="O1954" s="1">
        <v>0</v>
      </c>
      <c r="P1954" s="1" t="s">
        <v>2049</v>
      </c>
      <c r="Q1954" s="7" t="str">
        <f t="shared" si="62"/>
        <v>equipment/2205.png</v>
      </c>
      <c r="R1954" s="1">
        <v>0</v>
      </c>
    </row>
    <row r="1955" spans="1:18" ht="14.25" thickBot="1">
      <c r="A1955" s="1" t="s">
        <v>1541</v>
      </c>
      <c r="B1955" s="2">
        <v>0</v>
      </c>
      <c r="C1955" s="1" t="str">
        <f t="shared" si="60"/>
        <v>箭筒</v>
      </c>
      <c r="D1955" s="1" t="s">
        <v>13</v>
      </c>
      <c r="E1955" s="1">
        <v>6</v>
      </c>
      <c r="F1955" s="1">
        <v>5</v>
      </c>
      <c r="G1955" s="1">
        <v>20</v>
      </c>
      <c r="H1955" s="10" t="s">
        <v>2121</v>
      </c>
      <c r="I1955" s="1">
        <v>46000</v>
      </c>
      <c r="J1955" s="1">
        <v>150</v>
      </c>
      <c r="K1955" s="1">
        <v>1500</v>
      </c>
      <c r="L1955" s="1">
        <v>15000</v>
      </c>
      <c r="M1955" s="1" t="str">
        <f t="shared" si="61"/>
        <v>108_205_205</v>
      </c>
      <c r="N1955" s="1" t="s">
        <v>1776</v>
      </c>
      <c r="O1955" s="1">
        <v>0</v>
      </c>
      <c r="P1955" s="1" t="s">
        <v>2049</v>
      </c>
      <c r="Q1955" s="7" t="str">
        <f t="shared" si="62"/>
        <v>equipment/2201.png</v>
      </c>
      <c r="R1955" s="1">
        <v>0</v>
      </c>
    </row>
    <row r="1956" spans="1:18" ht="14.25" thickBot="1">
      <c r="A1956" s="1" t="s">
        <v>1542</v>
      </c>
      <c r="B1956" s="3">
        <v>1</v>
      </c>
      <c r="C1956" s="1" t="str">
        <f t="shared" si="60"/>
        <v>保护法杖</v>
      </c>
      <c r="D1956" s="1" t="s">
        <v>12</v>
      </c>
      <c r="E1956" s="1">
        <v>5</v>
      </c>
      <c r="F1956" s="1">
        <v>5</v>
      </c>
      <c r="G1956" s="1">
        <v>20</v>
      </c>
      <c r="H1956" s="10" t="s">
        <v>2122</v>
      </c>
      <c r="I1956" s="1">
        <v>40000</v>
      </c>
      <c r="J1956" s="1">
        <v>150</v>
      </c>
      <c r="K1956" s="1">
        <v>1500</v>
      </c>
      <c r="L1956" s="1">
        <v>12500</v>
      </c>
      <c r="M1956" s="1" t="str">
        <f t="shared" si="61"/>
        <v>103_113_113,104_226_226</v>
      </c>
      <c r="N1956" s="1" t="s">
        <v>1776</v>
      </c>
      <c r="O1956" s="1">
        <v>0</v>
      </c>
      <c r="P1956" s="1" t="s">
        <v>2049</v>
      </c>
      <c r="Q1956" s="7" t="str">
        <f t="shared" si="62"/>
        <v>equipment/1309.png</v>
      </c>
      <c r="R1956" s="1">
        <v>0</v>
      </c>
    </row>
    <row r="1957" spans="1:18" ht="14.25" thickBot="1">
      <c r="A1957" s="1">
        <v>50203051</v>
      </c>
      <c r="B1957" s="3">
        <v>1</v>
      </c>
      <c r="C1957" s="1" t="str">
        <f t="shared" si="60"/>
        <v>火石法杖</v>
      </c>
      <c r="D1957" s="1" t="s">
        <v>12</v>
      </c>
      <c r="E1957" s="1">
        <v>5</v>
      </c>
      <c r="F1957" s="1">
        <v>5</v>
      </c>
      <c r="G1957" s="1">
        <v>20</v>
      </c>
      <c r="H1957" s="10" t="s">
        <v>2122</v>
      </c>
      <c r="I1957" s="1">
        <v>46000</v>
      </c>
      <c r="J1957" s="1">
        <v>150</v>
      </c>
      <c r="K1957" s="1">
        <v>1500</v>
      </c>
      <c r="L1957" s="1">
        <v>15000</v>
      </c>
      <c r="M1957" s="1" t="str">
        <f t="shared" si="61"/>
        <v>103_138_138,104_276_276</v>
      </c>
      <c r="N1957" s="1" t="s">
        <v>1776</v>
      </c>
      <c r="O1957" s="1">
        <v>0</v>
      </c>
      <c r="P1957" s="1" t="s">
        <v>2049</v>
      </c>
      <c r="Q1957" s="7" t="str">
        <f t="shared" si="62"/>
        <v>equipment/1310.png</v>
      </c>
      <c r="R1957" s="1">
        <v>0</v>
      </c>
    </row>
    <row r="1958" spans="1:18" ht="14.25" thickBot="1">
      <c r="A1958" s="1" t="s">
        <v>1543</v>
      </c>
      <c r="B1958" s="3">
        <v>1</v>
      </c>
      <c r="C1958" s="1" t="str">
        <f t="shared" si="60"/>
        <v>奥义之书</v>
      </c>
      <c r="D1958" s="1" t="s">
        <v>13</v>
      </c>
      <c r="E1958" s="1">
        <v>6</v>
      </c>
      <c r="F1958" s="1">
        <v>5</v>
      </c>
      <c r="G1958" s="1">
        <v>20</v>
      </c>
      <c r="H1958" s="10" t="s">
        <v>2122</v>
      </c>
      <c r="I1958" s="1">
        <v>40000</v>
      </c>
      <c r="J1958" s="1">
        <v>150</v>
      </c>
      <c r="K1958" s="1">
        <v>1500</v>
      </c>
      <c r="L1958" s="1">
        <v>12500</v>
      </c>
      <c r="M1958" s="1" t="str">
        <f t="shared" si="61"/>
        <v>102_550_550</v>
      </c>
      <c r="N1958" s="1" t="s">
        <v>1776</v>
      </c>
      <c r="O1958" s="1">
        <v>0</v>
      </c>
      <c r="P1958" s="1" t="s">
        <v>2049</v>
      </c>
      <c r="Q1958" s="7" t="str">
        <f t="shared" si="62"/>
        <v>equipment/2305.png</v>
      </c>
      <c r="R1958" s="1">
        <v>0</v>
      </c>
    </row>
    <row r="1959" spans="1:18" ht="14.25" thickBot="1">
      <c r="A1959" s="1" t="s">
        <v>1544</v>
      </c>
      <c r="B1959" s="2">
        <v>0</v>
      </c>
      <c r="C1959" s="1" t="str">
        <f t="shared" si="60"/>
        <v>法术指南</v>
      </c>
      <c r="D1959" s="1" t="s">
        <v>13</v>
      </c>
      <c r="E1959" s="1">
        <v>6</v>
      </c>
      <c r="F1959" s="1">
        <v>5</v>
      </c>
      <c r="G1959" s="1">
        <v>20</v>
      </c>
      <c r="H1959" s="10" t="s">
        <v>2122</v>
      </c>
      <c r="I1959" s="1">
        <v>46000</v>
      </c>
      <c r="J1959" s="1">
        <v>150</v>
      </c>
      <c r="K1959" s="1">
        <v>1500</v>
      </c>
      <c r="L1959" s="1">
        <v>15000</v>
      </c>
      <c r="M1959" s="1" t="str">
        <f t="shared" si="61"/>
        <v>102_606_606</v>
      </c>
      <c r="N1959" s="1" t="s">
        <v>1776</v>
      </c>
      <c r="O1959" s="1">
        <v>0</v>
      </c>
      <c r="P1959" s="1" t="s">
        <v>2049</v>
      </c>
      <c r="Q1959" s="7" t="str">
        <f t="shared" si="62"/>
        <v>equipment/2301.png</v>
      </c>
      <c r="R1959" s="1">
        <v>0</v>
      </c>
    </row>
    <row r="1960" spans="1:18" ht="14.25" thickBot="1">
      <c r="A1960" s="1" t="s">
        <v>1545</v>
      </c>
      <c r="B1960" s="3">
        <v>1</v>
      </c>
      <c r="C1960" s="1" t="str">
        <f t="shared" si="60"/>
        <v>卫兵胸甲</v>
      </c>
      <c r="D1960" s="1" t="s">
        <v>11</v>
      </c>
      <c r="E1960" s="1">
        <v>4</v>
      </c>
      <c r="F1960" s="1">
        <v>5</v>
      </c>
      <c r="G1960" s="1">
        <v>20</v>
      </c>
      <c r="H1960" s="10">
        <v>0</v>
      </c>
      <c r="I1960" s="1">
        <v>40000</v>
      </c>
      <c r="J1960" s="1">
        <v>150</v>
      </c>
      <c r="K1960" s="1">
        <v>1500</v>
      </c>
      <c r="L1960" s="1">
        <v>12500</v>
      </c>
      <c r="M1960" s="1" t="str">
        <f t="shared" si="61"/>
        <v>105_102_102</v>
      </c>
      <c r="N1960" s="1" t="s">
        <v>1775</v>
      </c>
      <c r="O1960" s="1">
        <v>0</v>
      </c>
      <c r="P1960" s="1" t="s">
        <v>2049</v>
      </c>
      <c r="Q1960" s="7" t="str">
        <f t="shared" si="62"/>
        <v>equipment/5004.png</v>
      </c>
      <c r="R1960" s="1">
        <v>0</v>
      </c>
    </row>
    <row r="1961" spans="1:18" ht="14.25" thickBot="1">
      <c r="A1961" s="1" t="s">
        <v>1546</v>
      </c>
      <c r="B1961" s="3">
        <v>1</v>
      </c>
      <c r="C1961" s="1" t="str">
        <f t="shared" si="60"/>
        <v>银月护甲</v>
      </c>
      <c r="D1961" s="1" t="s">
        <v>11</v>
      </c>
      <c r="E1961" s="1">
        <v>4</v>
      </c>
      <c r="F1961" s="1">
        <v>5</v>
      </c>
      <c r="G1961" s="1">
        <v>20</v>
      </c>
      <c r="H1961" s="10">
        <v>0</v>
      </c>
      <c r="I1961" s="1">
        <v>46000</v>
      </c>
      <c r="J1961" s="1">
        <v>150</v>
      </c>
      <c r="K1961" s="1">
        <v>1500</v>
      </c>
      <c r="L1961" s="1">
        <v>15000</v>
      </c>
      <c r="M1961" s="1" t="str">
        <f t="shared" si="61"/>
        <v>105_122_122</v>
      </c>
      <c r="N1961" s="1" t="s">
        <v>1775</v>
      </c>
      <c r="O1961" s="1">
        <v>0</v>
      </c>
      <c r="P1961" s="1" t="s">
        <v>2049</v>
      </c>
      <c r="Q1961" s="7" t="str">
        <f t="shared" si="62"/>
        <v>equipment/5006.png</v>
      </c>
      <c r="R1961" s="1">
        <v>0</v>
      </c>
    </row>
    <row r="1962" spans="1:18" ht="14.25" thickBot="1">
      <c r="A1962" s="1" t="s">
        <v>1547</v>
      </c>
      <c r="B1962" s="3">
        <v>1</v>
      </c>
      <c r="C1962" s="1" t="str">
        <f t="shared" si="60"/>
        <v>手工长裤</v>
      </c>
      <c r="D1962" s="1" t="s">
        <v>14</v>
      </c>
      <c r="E1962" s="1">
        <v>7</v>
      </c>
      <c r="F1962" s="1">
        <v>5</v>
      </c>
      <c r="G1962" s="1">
        <v>20</v>
      </c>
      <c r="H1962" s="10">
        <v>0</v>
      </c>
      <c r="I1962" s="1">
        <v>40000</v>
      </c>
      <c r="J1962" s="1">
        <v>150</v>
      </c>
      <c r="K1962" s="1">
        <v>1500</v>
      </c>
      <c r="L1962" s="1">
        <v>12500</v>
      </c>
      <c r="M1962" s="1" t="str">
        <f t="shared" si="61"/>
        <v>105_66_66</v>
      </c>
      <c r="N1962" s="1" t="s">
        <v>1775</v>
      </c>
      <c r="O1962" s="1">
        <v>0</v>
      </c>
      <c r="P1962" s="1" t="s">
        <v>2049</v>
      </c>
      <c r="Q1962" s="7" t="str">
        <f t="shared" si="62"/>
        <v>equipment/7005.png</v>
      </c>
      <c r="R1962" s="1">
        <v>0</v>
      </c>
    </row>
    <row r="1963" spans="1:18" ht="14.25" thickBot="1">
      <c r="A1963" s="1" t="s">
        <v>1548</v>
      </c>
      <c r="B1963" s="3">
        <v>1</v>
      </c>
      <c r="C1963" s="1" t="str">
        <f t="shared" si="60"/>
        <v>链甲护腿</v>
      </c>
      <c r="D1963" s="1" t="s">
        <v>14</v>
      </c>
      <c r="E1963" s="1">
        <v>7</v>
      </c>
      <c r="F1963" s="1">
        <v>5</v>
      </c>
      <c r="G1963" s="1">
        <v>20</v>
      </c>
      <c r="H1963" s="10">
        <v>0</v>
      </c>
      <c r="I1963" s="1">
        <v>46000</v>
      </c>
      <c r="J1963" s="1">
        <v>150</v>
      </c>
      <c r="K1963" s="1">
        <v>1500</v>
      </c>
      <c r="L1963" s="1">
        <v>15000</v>
      </c>
      <c r="M1963" s="1" t="str">
        <f t="shared" si="61"/>
        <v>105_81_81</v>
      </c>
      <c r="N1963" s="1" t="s">
        <v>1775</v>
      </c>
      <c r="O1963" s="1">
        <v>0</v>
      </c>
      <c r="P1963" s="1" t="s">
        <v>2049</v>
      </c>
      <c r="Q1963" s="7" t="str">
        <f t="shared" si="62"/>
        <v>equipment/7004.png</v>
      </c>
      <c r="R1963" s="1">
        <v>0</v>
      </c>
    </row>
    <row r="1964" spans="1:18" ht="14.25" thickBot="1">
      <c r="A1964" s="1" t="s">
        <v>1549</v>
      </c>
      <c r="B1964" s="3">
        <v>1</v>
      </c>
      <c r="C1964" s="1" t="str">
        <f t="shared" si="60"/>
        <v>盔帽</v>
      </c>
      <c r="D1964" s="1" t="s">
        <v>8</v>
      </c>
      <c r="E1964" s="1">
        <v>1</v>
      </c>
      <c r="F1964" s="1">
        <v>5</v>
      </c>
      <c r="G1964" s="1">
        <v>25</v>
      </c>
      <c r="H1964" s="10">
        <v>0</v>
      </c>
      <c r="I1964" s="1">
        <v>50000</v>
      </c>
      <c r="J1964" s="1">
        <v>150</v>
      </c>
      <c r="K1964" s="1">
        <v>1500</v>
      </c>
      <c r="L1964" s="1">
        <v>15000</v>
      </c>
      <c r="M1964" s="1" t="str">
        <f t="shared" si="61"/>
        <v>106_237_237</v>
      </c>
      <c r="N1964" s="1" t="s">
        <v>1777</v>
      </c>
      <c r="O1964" s="1">
        <v>0</v>
      </c>
      <c r="P1964" s="1" t="s">
        <v>2050</v>
      </c>
      <c r="Q1964" s="7" t="str">
        <f t="shared" si="62"/>
        <v>equipment/3005.png</v>
      </c>
      <c r="R1964" s="1">
        <v>0</v>
      </c>
    </row>
    <row r="1965" spans="1:18" ht="14.25" thickBot="1">
      <c r="A1965" s="1" t="s">
        <v>1550</v>
      </c>
      <c r="B1965" s="3">
        <v>1</v>
      </c>
      <c r="C1965" s="1" t="str">
        <f t="shared" si="60"/>
        <v>血岩戒指</v>
      </c>
      <c r="D1965" s="1" t="s">
        <v>9</v>
      </c>
      <c r="E1965" s="1">
        <v>2</v>
      </c>
      <c r="F1965" s="1">
        <v>5</v>
      </c>
      <c r="G1965" s="1">
        <v>25</v>
      </c>
      <c r="H1965" s="10">
        <v>0</v>
      </c>
      <c r="I1965" s="1">
        <v>50000</v>
      </c>
      <c r="J1965" s="1">
        <v>150</v>
      </c>
      <c r="K1965" s="1">
        <v>1500</v>
      </c>
      <c r="L1965" s="1">
        <v>15000</v>
      </c>
      <c r="M1965" s="1" t="str">
        <f t="shared" si="61"/>
        <v>102_330_330</v>
      </c>
      <c r="N1965" s="1" t="s">
        <v>1777</v>
      </c>
      <c r="O1965" s="1">
        <v>0</v>
      </c>
      <c r="P1965" s="1" t="s">
        <v>2050</v>
      </c>
      <c r="Q1965" s="7" t="str">
        <f t="shared" si="62"/>
        <v>equipment/14004.png</v>
      </c>
      <c r="R1965" s="1">
        <v>0</v>
      </c>
    </row>
    <row r="1966" spans="1:18" ht="14.25" thickBot="1">
      <c r="A1966" s="1" t="s">
        <v>1551</v>
      </c>
      <c r="B1966" s="3">
        <v>1</v>
      </c>
      <c r="C1966" s="1" t="str">
        <f t="shared" si="60"/>
        <v>前锋腰带</v>
      </c>
      <c r="D1966" s="1" t="s">
        <v>10</v>
      </c>
      <c r="E1966" s="1">
        <v>3</v>
      </c>
      <c r="F1966" s="1">
        <v>5</v>
      </c>
      <c r="G1966" s="1">
        <v>25</v>
      </c>
      <c r="H1966" s="10">
        <v>0</v>
      </c>
      <c r="I1966" s="1">
        <v>50000</v>
      </c>
      <c r="J1966" s="1">
        <v>150</v>
      </c>
      <c r="K1966" s="1">
        <v>1500</v>
      </c>
      <c r="L1966" s="1">
        <v>15000</v>
      </c>
      <c r="M1966" s="1" t="str">
        <f t="shared" si="61"/>
        <v>101_3360_3360</v>
      </c>
      <c r="N1966" s="1" t="s">
        <v>1777</v>
      </c>
      <c r="O1966" s="1">
        <v>0</v>
      </c>
      <c r="P1966" s="1" t="s">
        <v>2050</v>
      </c>
      <c r="Q1966" s="7" t="str">
        <f t="shared" si="62"/>
        <v>equipment/6005.png</v>
      </c>
      <c r="R1966" s="1">
        <v>0</v>
      </c>
    </row>
    <row r="1967" spans="1:18" ht="14.25" thickBot="1">
      <c r="A1967" s="1" t="s">
        <v>1552</v>
      </c>
      <c r="B1967" s="3">
        <v>1</v>
      </c>
      <c r="C1967" s="1" t="str">
        <f t="shared" si="60"/>
        <v>探寻者之靴</v>
      </c>
      <c r="D1967" s="1" t="s">
        <v>15</v>
      </c>
      <c r="E1967" s="1">
        <v>8</v>
      </c>
      <c r="F1967" s="1">
        <v>5</v>
      </c>
      <c r="G1967" s="1">
        <v>25</v>
      </c>
      <c r="H1967" s="10">
        <v>0</v>
      </c>
      <c r="I1967" s="1">
        <v>50000</v>
      </c>
      <c r="J1967" s="1">
        <v>150</v>
      </c>
      <c r="K1967" s="1">
        <v>1500</v>
      </c>
      <c r="L1967" s="1">
        <v>15000</v>
      </c>
      <c r="M1967" s="1" t="str">
        <f t="shared" si="61"/>
        <v>110_40_40</v>
      </c>
      <c r="N1967" s="1" t="s">
        <v>1777</v>
      </c>
      <c r="O1967" s="1">
        <v>0</v>
      </c>
      <c r="P1967" s="1" t="s">
        <v>2050</v>
      </c>
      <c r="Q1967" s="7" t="str">
        <f t="shared" si="62"/>
        <v>equipment/8004.png</v>
      </c>
      <c r="R1967" s="1">
        <v>0</v>
      </c>
    </row>
    <row r="1968" spans="1:18" ht="14.25" thickBot="1">
      <c r="A1968" s="1" t="s">
        <v>1553</v>
      </c>
      <c r="B1968" s="2">
        <v>1</v>
      </c>
      <c r="C1968" s="1" t="s">
        <v>2470</v>
      </c>
      <c r="D1968" s="1" t="s">
        <v>16</v>
      </c>
      <c r="E1968" s="1">
        <v>9</v>
      </c>
      <c r="F1968" s="1">
        <v>5</v>
      </c>
      <c r="G1968" s="1">
        <v>25</v>
      </c>
      <c r="H1968" s="10">
        <v>0</v>
      </c>
      <c r="I1968" s="1">
        <v>50000</v>
      </c>
      <c r="J1968" s="1">
        <v>150</v>
      </c>
      <c r="K1968" s="1">
        <v>1500</v>
      </c>
      <c r="L1968" s="1">
        <v>15000</v>
      </c>
      <c r="M1968" s="1" t="str">
        <f t="shared" si="61"/>
        <v>108_286_286</v>
      </c>
      <c r="N1968" s="1" t="s">
        <v>1777</v>
      </c>
      <c r="O1968" s="1">
        <v>0</v>
      </c>
      <c r="P1968" s="1" t="s">
        <v>2050</v>
      </c>
      <c r="Q1968" s="7" t="str">
        <f t="shared" si="62"/>
        <v>equipment/10003.png</v>
      </c>
      <c r="R1968" s="1">
        <v>0</v>
      </c>
    </row>
    <row r="1969" spans="1:18" ht="14.25" thickBot="1">
      <c r="A1969" s="1" t="s">
        <v>1554</v>
      </c>
      <c r="B1969" s="3">
        <v>1</v>
      </c>
      <c r="C1969" s="1" t="str">
        <f t="shared" si="60"/>
        <v>魔光项链</v>
      </c>
      <c r="D1969" s="1" t="s">
        <v>17</v>
      </c>
      <c r="E1969" s="1">
        <v>10</v>
      </c>
      <c r="F1969" s="1">
        <v>5</v>
      </c>
      <c r="G1969" s="1">
        <v>25</v>
      </c>
      <c r="H1969" s="10">
        <v>0</v>
      </c>
      <c r="I1969" s="1">
        <v>50000</v>
      </c>
      <c r="J1969" s="1">
        <v>150</v>
      </c>
      <c r="K1969" s="1">
        <v>1500</v>
      </c>
      <c r="L1969" s="1">
        <v>15000</v>
      </c>
      <c r="M1969" s="1" t="str">
        <f t="shared" si="61"/>
        <v>107_237_237</v>
      </c>
      <c r="N1969" s="1" t="s">
        <v>1777</v>
      </c>
      <c r="O1969" s="1">
        <v>0</v>
      </c>
      <c r="P1969" s="1" t="s">
        <v>2050</v>
      </c>
      <c r="Q1969" s="7" t="str">
        <f t="shared" si="62"/>
        <v>equipment/12004.png</v>
      </c>
      <c r="R1969" s="1">
        <v>0</v>
      </c>
    </row>
    <row r="1970" spans="1:18" ht="14.25" thickBot="1">
      <c r="A1970" s="1" t="s">
        <v>1555</v>
      </c>
      <c r="B1970" s="3">
        <v>1</v>
      </c>
      <c r="C1970" s="1" t="str">
        <f t="shared" si="60"/>
        <v>血刃</v>
      </c>
      <c r="D1970" s="1" t="s">
        <v>12</v>
      </c>
      <c r="E1970" s="1">
        <v>5</v>
      </c>
      <c r="F1970" s="1">
        <v>5</v>
      </c>
      <c r="G1970" s="1">
        <v>25</v>
      </c>
      <c r="H1970" s="10" t="s">
        <v>2120</v>
      </c>
      <c r="I1970" s="1">
        <v>50000</v>
      </c>
      <c r="J1970" s="1">
        <v>150</v>
      </c>
      <c r="K1970" s="1">
        <v>1500</v>
      </c>
      <c r="L1970" s="1">
        <v>15000</v>
      </c>
      <c r="M1970" s="1" t="str">
        <f t="shared" si="61"/>
        <v>103_177_177,104_354_354</v>
      </c>
      <c r="N1970" s="1" t="s">
        <v>1778</v>
      </c>
      <c r="O1970" s="1">
        <v>0</v>
      </c>
      <c r="P1970" s="1" t="s">
        <v>2050</v>
      </c>
      <c r="Q1970" s="7" t="str">
        <f t="shared" si="62"/>
        <v>equipment/1110.png</v>
      </c>
      <c r="R1970" s="1">
        <v>0</v>
      </c>
    </row>
    <row r="1971" spans="1:18" ht="14.25" thickBot="1">
      <c r="A1971" s="1" t="s">
        <v>1556</v>
      </c>
      <c r="B1971" s="3">
        <v>1</v>
      </c>
      <c r="C1971" s="1" t="str">
        <f t="shared" si="60"/>
        <v>游侠利刃</v>
      </c>
      <c r="D1971" s="1" t="s">
        <v>12</v>
      </c>
      <c r="E1971" s="1">
        <v>5</v>
      </c>
      <c r="F1971" s="1">
        <v>5</v>
      </c>
      <c r="G1971" s="1">
        <v>25</v>
      </c>
      <c r="H1971" s="10" t="s">
        <v>2120</v>
      </c>
      <c r="I1971" s="1">
        <v>56000</v>
      </c>
      <c r="J1971" s="1">
        <v>150</v>
      </c>
      <c r="K1971" s="1">
        <v>1500</v>
      </c>
      <c r="L1971" s="1">
        <v>17500</v>
      </c>
      <c r="M1971" s="1" t="str">
        <f t="shared" si="61"/>
        <v>103_216_216,104_432_432</v>
      </c>
      <c r="N1971" s="1" t="s">
        <v>1778</v>
      </c>
      <c r="O1971" s="1">
        <v>0</v>
      </c>
      <c r="P1971" s="1" t="s">
        <v>2050</v>
      </c>
      <c r="Q1971" s="7" t="str">
        <f t="shared" si="62"/>
        <v>equipment/1111.png</v>
      </c>
      <c r="R1971" s="1">
        <v>0</v>
      </c>
    </row>
    <row r="1972" spans="1:18" ht="14.25" thickBot="1">
      <c r="A1972" s="1" t="s">
        <v>1557</v>
      </c>
      <c r="B1972" s="3">
        <v>1</v>
      </c>
      <c r="C1972" s="1" t="str">
        <f t="shared" si="60"/>
        <v>坚固重盾</v>
      </c>
      <c r="D1972" s="1" t="s">
        <v>13</v>
      </c>
      <c r="E1972" s="1">
        <v>6</v>
      </c>
      <c r="F1972" s="1">
        <v>5</v>
      </c>
      <c r="G1972" s="1">
        <v>25</v>
      </c>
      <c r="H1972" s="10" t="s">
        <v>2120</v>
      </c>
      <c r="I1972" s="1">
        <v>50000</v>
      </c>
      <c r="J1972" s="1">
        <v>150</v>
      </c>
      <c r="K1972" s="1">
        <v>1500</v>
      </c>
      <c r="L1972" s="1">
        <v>15000</v>
      </c>
      <c r="M1972" s="1" t="str">
        <f t="shared" si="61"/>
        <v>105_256_256</v>
      </c>
      <c r="N1972" s="1" t="s">
        <v>1778</v>
      </c>
      <c r="O1972" s="1">
        <v>0</v>
      </c>
      <c r="P1972" s="1" t="s">
        <v>2050</v>
      </c>
      <c r="Q1972" s="7" t="str">
        <f t="shared" si="62"/>
        <v>equipment/2106.png</v>
      </c>
      <c r="R1972" s="1">
        <v>0</v>
      </c>
    </row>
    <row r="1973" spans="1:18" ht="14.25" thickBot="1">
      <c r="A1973" s="1" t="s">
        <v>1558</v>
      </c>
      <c r="B1973" s="2">
        <v>0</v>
      </c>
      <c r="C1973" s="1" t="str">
        <f t="shared" si="60"/>
        <v>尖头盾</v>
      </c>
      <c r="D1973" s="1" t="s">
        <v>13</v>
      </c>
      <c r="E1973" s="1">
        <v>6</v>
      </c>
      <c r="F1973" s="1">
        <v>5</v>
      </c>
      <c r="G1973" s="1">
        <v>25</v>
      </c>
      <c r="H1973" s="10" t="s">
        <v>2120</v>
      </c>
      <c r="I1973" s="1">
        <v>56000</v>
      </c>
      <c r="J1973" s="1">
        <v>150</v>
      </c>
      <c r="K1973" s="1">
        <v>1500</v>
      </c>
      <c r="L1973" s="1">
        <v>17500</v>
      </c>
      <c r="M1973" s="1" t="str">
        <f t="shared" si="61"/>
        <v>105_301_301</v>
      </c>
      <c r="N1973" s="1" t="s">
        <v>1778</v>
      </c>
      <c r="O1973" s="1">
        <v>0</v>
      </c>
      <c r="P1973" s="1" t="s">
        <v>2050</v>
      </c>
      <c r="Q1973" s="7" t="str">
        <f t="shared" si="62"/>
        <v>equipment/2101.png</v>
      </c>
      <c r="R1973" s="1">
        <v>0</v>
      </c>
    </row>
    <row r="1974" spans="1:18" ht="14.25" thickBot="1">
      <c r="A1974" s="1" t="s">
        <v>1559</v>
      </c>
      <c r="B1974" s="3">
        <v>1</v>
      </c>
      <c r="C1974" s="1" t="str">
        <f t="shared" si="60"/>
        <v>精准之弓</v>
      </c>
      <c r="D1974" s="1" t="s">
        <v>12</v>
      </c>
      <c r="E1974" s="1">
        <v>5</v>
      </c>
      <c r="F1974" s="1">
        <v>5</v>
      </c>
      <c r="G1974" s="1">
        <v>25</v>
      </c>
      <c r="H1974" s="10" t="s">
        <v>2121</v>
      </c>
      <c r="I1974" s="1">
        <v>50000</v>
      </c>
      <c r="J1974" s="1">
        <v>150</v>
      </c>
      <c r="K1974" s="1">
        <v>1500</v>
      </c>
      <c r="L1974" s="1">
        <v>15000</v>
      </c>
      <c r="M1974" s="1" t="str">
        <f t="shared" si="61"/>
        <v>103_177_177,104_354_354</v>
      </c>
      <c r="N1974" s="1" t="s">
        <v>1778</v>
      </c>
      <c r="O1974" s="1">
        <v>0</v>
      </c>
      <c r="P1974" s="1" t="s">
        <v>2050</v>
      </c>
      <c r="Q1974" s="7" t="str">
        <f t="shared" si="62"/>
        <v>equipment/1210.png</v>
      </c>
      <c r="R1974" s="1">
        <v>0</v>
      </c>
    </row>
    <row r="1975" spans="1:18" ht="14.25" thickBot="1">
      <c r="A1975" s="1" t="s">
        <v>1560</v>
      </c>
      <c r="B1975" s="3">
        <v>1</v>
      </c>
      <c r="C1975" s="1" t="str">
        <f t="shared" si="60"/>
        <v>行者弯弓</v>
      </c>
      <c r="D1975" s="1" t="s">
        <v>12</v>
      </c>
      <c r="E1975" s="1">
        <v>5</v>
      </c>
      <c r="F1975" s="1">
        <v>5</v>
      </c>
      <c r="G1975" s="1">
        <v>25</v>
      </c>
      <c r="H1975" s="10" t="s">
        <v>2121</v>
      </c>
      <c r="I1975" s="1">
        <v>56000</v>
      </c>
      <c r="J1975" s="1">
        <v>150</v>
      </c>
      <c r="K1975" s="1">
        <v>1500</v>
      </c>
      <c r="L1975" s="1">
        <v>17500</v>
      </c>
      <c r="M1975" s="1" t="str">
        <f t="shared" si="61"/>
        <v>103_216_216,104_432_432</v>
      </c>
      <c r="N1975" s="1" t="s">
        <v>1778</v>
      </c>
      <c r="O1975" s="1">
        <v>0</v>
      </c>
      <c r="P1975" s="1" t="s">
        <v>2050</v>
      </c>
      <c r="Q1975" s="7" t="str">
        <f t="shared" si="62"/>
        <v>equipment/1215.png</v>
      </c>
      <c r="R1975" s="1">
        <v>0</v>
      </c>
    </row>
    <row r="1976" spans="1:18" ht="14.25" thickBot="1">
      <c r="A1976" s="1" t="s">
        <v>1561</v>
      </c>
      <c r="B1976" s="3">
        <v>1</v>
      </c>
      <c r="C1976" s="1" t="str">
        <f t="shared" si="60"/>
        <v>刺客箭筒</v>
      </c>
      <c r="D1976" s="1" t="s">
        <v>13</v>
      </c>
      <c r="E1976" s="1">
        <v>6</v>
      </c>
      <c r="F1976" s="1">
        <v>5</v>
      </c>
      <c r="G1976" s="1">
        <v>25</v>
      </c>
      <c r="H1976" s="10" t="s">
        <v>2121</v>
      </c>
      <c r="I1976" s="1">
        <v>50000</v>
      </c>
      <c r="J1976" s="1">
        <v>150</v>
      </c>
      <c r="K1976" s="1">
        <v>1500</v>
      </c>
      <c r="L1976" s="1">
        <v>15000</v>
      </c>
      <c r="M1976" s="1" t="str">
        <f t="shared" si="61"/>
        <v>108_256_256</v>
      </c>
      <c r="N1976" s="1" t="s">
        <v>1778</v>
      </c>
      <c r="O1976" s="1">
        <v>0</v>
      </c>
      <c r="P1976" s="1" t="s">
        <v>2050</v>
      </c>
      <c r="Q1976" s="7" t="str">
        <f t="shared" si="62"/>
        <v>equipment/2206.png</v>
      </c>
      <c r="R1976" s="1">
        <v>0</v>
      </c>
    </row>
    <row r="1977" spans="1:18" ht="14.25" thickBot="1">
      <c r="A1977" s="1" t="s">
        <v>1562</v>
      </c>
      <c r="B1977" s="2">
        <v>0</v>
      </c>
      <c r="C1977" s="1" t="str">
        <f t="shared" si="60"/>
        <v>箭筒</v>
      </c>
      <c r="D1977" s="1" t="s">
        <v>13</v>
      </c>
      <c r="E1977" s="1">
        <v>6</v>
      </c>
      <c r="F1977" s="1">
        <v>5</v>
      </c>
      <c r="G1977" s="1">
        <v>25</v>
      </c>
      <c r="H1977" s="10" t="s">
        <v>2121</v>
      </c>
      <c r="I1977" s="1">
        <v>56000</v>
      </c>
      <c r="J1977" s="1">
        <v>150</v>
      </c>
      <c r="K1977" s="1">
        <v>1500</v>
      </c>
      <c r="L1977" s="1">
        <v>17500</v>
      </c>
      <c r="M1977" s="1" t="str">
        <f t="shared" si="61"/>
        <v>108_301_301</v>
      </c>
      <c r="N1977" s="1" t="s">
        <v>1778</v>
      </c>
      <c r="O1977" s="1">
        <v>0</v>
      </c>
      <c r="P1977" s="1" t="s">
        <v>2050</v>
      </c>
      <c r="Q1977" s="7" t="str">
        <f t="shared" si="62"/>
        <v>equipment/2201.png</v>
      </c>
      <c r="R1977" s="1">
        <v>0</v>
      </c>
    </row>
    <row r="1978" spans="1:18" ht="14.25" thickBot="1">
      <c r="A1978" s="1" t="s">
        <v>1563</v>
      </c>
      <c r="B1978" s="3">
        <v>1</v>
      </c>
      <c r="C1978" s="1" t="str">
        <f t="shared" si="60"/>
        <v>预言法杖</v>
      </c>
      <c r="D1978" s="1" t="s">
        <v>12</v>
      </c>
      <c r="E1978" s="1">
        <v>5</v>
      </c>
      <c r="F1978" s="1">
        <v>5</v>
      </c>
      <c r="G1978" s="1">
        <v>25</v>
      </c>
      <c r="H1978" s="10" t="s">
        <v>2122</v>
      </c>
      <c r="I1978" s="1">
        <v>50000</v>
      </c>
      <c r="J1978" s="1">
        <v>150</v>
      </c>
      <c r="K1978" s="1">
        <v>1500</v>
      </c>
      <c r="L1978" s="1">
        <v>15000</v>
      </c>
      <c r="M1978" s="1" t="str">
        <f t="shared" si="61"/>
        <v>103_177_177,104_354_354</v>
      </c>
      <c r="N1978" s="1" t="s">
        <v>1778</v>
      </c>
      <c r="O1978" s="1">
        <v>0</v>
      </c>
      <c r="P1978" s="1" t="s">
        <v>2050</v>
      </c>
      <c r="Q1978" s="7" t="str">
        <f t="shared" si="62"/>
        <v>equipment/1311.png</v>
      </c>
      <c r="R1978" s="1">
        <v>0</v>
      </c>
    </row>
    <row r="1979" spans="1:18" ht="14.25" thickBot="1">
      <c r="A1979" s="1" t="s">
        <v>1564</v>
      </c>
      <c r="B1979" s="2">
        <v>0</v>
      </c>
      <c r="C1979" s="1" t="str">
        <f t="shared" si="60"/>
        <v>荒骨法杖</v>
      </c>
      <c r="D1979" s="1" t="s">
        <v>12</v>
      </c>
      <c r="E1979" s="1">
        <v>5</v>
      </c>
      <c r="F1979" s="1">
        <v>5</v>
      </c>
      <c r="G1979" s="1">
        <v>25</v>
      </c>
      <c r="H1979" s="10" t="s">
        <v>2122</v>
      </c>
      <c r="I1979" s="1">
        <v>56000</v>
      </c>
      <c r="J1979" s="1">
        <v>150</v>
      </c>
      <c r="K1979" s="1">
        <v>1500</v>
      </c>
      <c r="L1979" s="1">
        <v>17500</v>
      </c>
      <c r="M1979" s="1" t="str">
        <f t="shared" si="61"/>
        <v>103_216_216,104_432_432</v>
      </c>
      <c r="N1979" s="1" t="s">
        <v>1778</v>
      </c>
      <c r="O1979" s="1">
        <v>0</v>
      </c>
      <c r="P1979" s="1" t="s">
        <v>2050</v>
      </c>
      <c r="Q1979" s="7" t="str">
        <f t="shared" si="62"/>
        <v>equipment/1312.png</v>
      </c>
      <c r="R1979" s="1">
        <v>0</v>
      </c>
    </row>
    <row r="1980" spans="1:18" ht="14.25" thickBot="1">
      <c r="A1980" s="1" t="s">
        <v>1565</v>
      </c>
      <c r="B1980" s="3">
        <v>1</v>
      </c>
      <c r="C1980" s="1" t="str">
        <f t="shared" si="60"/>
        <v>魔法秘典</v>
      </c>
      <c r="D1980" s="1" t="s">
        <v>13</v>
      </c>
      <c r="E1980" s="1">
        <v>6</v>
      </c>
      <c r="F1980" s="1">
        <v>5</v>
      </c>
      <c r="G1980" s="1">
        <v>25</v>
      </c>
      <c r="H1980" s="10" t="s">
        <v>2122</v>
      </c>
      <c r="I1980" s="1">
        <v>50000</v>
      </c>
      <c r="J1980" s="1">
        <v>150</v>
      </c>
      <c r="K1980" s="1">
        <v>1500</v>
      </c>
      <c r="L1980" s="1">
        <v>15000</v>
      </c>
      <c r="M1980" s="1" t="str">
        <f t="shared" si="61"/>
        <v>102_690_690</v>
      </c>
      <c r="N1980" s="1" t="s">
        <v>1778</v>
      </c>
      <c r="O1980" s="1">
        <v>0</v>
      </c>
      <c r="P1980" s="1" t="s">
        <v>2050</v>
      </c>
      <c r="Q1980" s="7" t="str">
        <f t="shared" si="62"/>
        <v>equipment/2306.png</v>
      </c>
      <c r="R1980" s="1">
        <v>0</v>
      </c>
    </row>
    <row r="1981" spans="1:18" ht="14.25" thickBot="1">
      <c r="A1981" s="1" t="s">
        <v>1566</v>
      </c>
      <c r="B1981" s="2">
        <v>0</v>
      </c>
      <c r="C1981" s="1" t="str">
        <f t="shared" si="60"/>
        <v>法术指南</v>
      </c>
      <c r="D1981" s="1" t="s">
        <v>13</v>
      </c>
      <c r="E1981" s="1">
        <v>6</v>
      </c>
      <c r="F1981" s="1">
        <v>5</v>
      </c>
      <c r="G1981" s="1">
        <v>25</v>
      </c>
      <c r="H1981" s="10" t="s">
        <v>2122</v>
      </c>
      <c r="I1981" s="1">
        <v>56000</v>
      </c>
      <c r="J1981" s="1">
        <v>150</v>
      </c>
      <c r="K1981" s="1">
        <v>1500</v>
      </c>
      <c r="L1981" s="1">
        <v>17500</v>
      </c>
      <c r="M1981" s="1" t="str">
        <f t="shared" si="61"/>
        <v>102_301_301</v>
      </c>
      <c r="N1981" s="1" t="s">
        <v>1778</v>
      </c>
      <c r="O1981" s="1">
        <v>0</v>
      </c>
      <c r="P1981" s="1" t="s">
        <v>2050</v>
      </c>
      <c r="Q1981" s="7" t="str">
        <f t="shared" si="62"/>
        <v>equipment/2301.png</v>
      </c>
      <c r="R1981" s="1">
        <v>0</v>
      </c>
    </row>
    <row r="1982" spans="1:18" ht="14.25" thickBot="1">
      <c r="A1982" s="1" t="s">
        <v>1567</v>
      </c>
      <c r="B1982" s="3">
        <v>1</v>
      </c>
      <c r="C1982" s="1" t="str">
        <f t="shared" si="60"/>
        <v>烙铁胸甲</v>
      </c>
      <c r="D1982" s="1" t="s">
        <v>11</v>
      </c>
      <c r="E1982" s="1">
        <v>4</v>
      </c>
      <c r="F1982" s="1">
        <v>5</v>
      </c>
      <c r="G1982" s="1">
        <v>25</v>
      </c>
      <c r="H1982" s="10">
        <v>0</v>
      </c>
      <c r="I1982" s="1">
        <v>50000</v>
      </c>
      <c r="J1982" s="1">
        <v>150</v>
      </c>
      <c r="K1982" s="1">
        <v>1500</v>
      </c>
      <c r="L1982" s="1">
        <v>15000</v>
      </c>
      <c r="M1982" s="1" t="str">
        <f t="shared" si="61"/>
        <v>105_153_153</v>
      </c>
      <c r="N1982" s="1" t="s">
        <v>1777</v>
      </c>
      <c r="O1982" s="1">
        <v>0</v>
      </c>
      <c r="P1982" s="1" t="s">
        <v>2050</v>
      </c>
      <c r="Q1982" s="7" t="str">
        <f t="shared" si="62"/>
        <v>equipment/5007.png</v>
      </c>
      <c r="R1982" s="1">
        <v>0</v>
      </c>
    </row>
    <row r="1983" spans="1:18" ht="14.25" thickBot="1">
      <c r="A1983" s="1" t="s">
        <v>1568</v>
      </c>
      <c r="B1983" s="2">
        <v>0</v>
      </c>
      <c r="C1983" s="1" t="str">
        <f t="shared" si="60"/>
        <v>新兵外套</v>
      </c>
      <c r="D1983" s="1" t="s">
        <v>11</v>
      </c>
      <c r="E1983" s="1">
        <v>4</v>
      </c>
      <c r="F1983" s="1">
        <v>5</v>
      </c>
      <c r="G1983" s="1">
        <v>25</v>
      </c>
      <c r="H1983" s="10">
        <v>0</v>
      </c>
      <c r="I1983" s="1">
        <v>56000</v>
      </c>
      <c r="J1983" s="1">
        <v>150</v>
      </c>
      <c r="K1983" s="1">
        <v>1500</v>
      </c>
      <c r="L1983" s="1">
        <v>17500</v>
      </c>
      <c r="M1983" s="1" t="str">
        <f t="shared" si="61"/>
        <v>105_178_178</v>
      </c>
      <c r="N1983" s="1" t="s">
        <v>1777</v>
      </c>
      <c r="O1983" s="1">
        <v>0</v>
      </c>
      <c r="P1983" s="1" t="s">
        <v>2050</v>
      </c>
      <c r="Q1983" s="7" t="str">
        <f t="shared" si="62"/>
        <v>equipment/5001.png</v>
      </c>
      <c r="R1983" s="1">
        <v>0</v>
      </c>
    </row>
    <row r="1984" spans="1:18" ht="14.25" thickBot="1">
      <c r="A1984" s="1" t="s">
        <v>1569</v>
      </c>
      <c r="B1984" s="3">
        <v>1</v>
      </c>
      <c r="C1984" s="1" t="str">
        <f t="shared" si="60"/>
        <v>勇气腿甲</v>
      </c>
      <c r="D1984" s="1" t="s">
        <v>14</v>
      </c>
      <c r="E1984" s="1">
        <v>7</v>
      </c>
      <c r="F1984" s="1">
        <v>5</v>
      </c>
      <c r="G1984" s="1">
        <v>25</v>
      </c>
      <c r="H1984" s="10">
        <v>0</v>
      </c>
      <c r="I1984" s="1">
        <v>50000</v>
      </c>
      <c r="J1984" s="1">
        <v>150</v>
      </c>
      <c r="K1984" s="1">
        <v>1500</v>
      </c>
      <c r="L1984" s="1">
        <v>15000</v>
      </c>
      <c r="M1984" s="1" t="str">
        <f t="shared" si="61"/>
        <v>105_104_104</v>
      </c>
      <c r="N1984" s="1" t="s">
        <v>1777</v>
      </c>
      <c r="O1984" s="1">
        <v>0</v>
      </c>
      <c r="P1984" s="1" t="s">
        <v>2050</v>
      </c>
      <c r="Q1984" s="7" t="str">
        <f t="shared" si="62"/>
        <v>equipment/7006.png</v>
      </c>
      <c r="R1984" s="1">
        <v>0</v>
      </c>
    </row>
    <row r="1985" spans="1:18" ht="14.25" thickBot="1">
      <c r="A1985" s="1" t="s">
        <v>1570</v>
      </c>
      <c r="B1985" s="2">
        <v>0</v>
      </c>
      <c r="C1985" s="1" t="str">
        <f t="shared" si="60"/>
        <v>学徒短裤</v>
      </c>
      <c r="D1985" s="1" t="s">
        <v>14</v>
      </c>
      <c r="E1985" s="1">
        <v>7</v>
      </c>
      <c r="F1985" s="1">
        <v>5</v>
      </c>
      <c r="G1985" s="1">
        <v>25</v>
      </c>
      <c r="H1985" s="10">
        <v>0</v>
      </c>
      <c r="I1985" s="1">
        <v>56000</v>
      </c>
      <c r="J1985" s="1">
        <v>150</v>
      </c>
      <c r="K1985" s="1">
        <v>1500</v>
      </c>
      <c r="L1985" s="1">
        <v>17500</v>
      </c>
      <c r="M1985" s="1" t="str">
        <f t="shared" si="61"/>
        <v>105_149_149</v>
      </c>
      <c r="N1985" s="1" t="s">
        <v>1777</v>
      </c>
      <c r="O1985" s="1">
        <v>0</v>
      </c>
      <c r="P1985" s="1" t="s">
        <v>2050</v>
      </c>
      <c r="Q1985" s="7" t="str">
        <f t="shared" si="62"/>
        <v>equipment/7001.png</v>
      </c>
      <c r="R1985" s="1">
        <v>0</v>
      </c>
    </row>
    <row r="1986" spans="1:18" ht="14.25" thickBot="1">
      <c r="A1986" s="1" t="s">
        <v>1571</v>
      </c>
      <c r="B1986" s="3">
        <v>1</v>
      </c>
      <c r="C1986" s="1" t="str">
        <f t="shared" si="60"/>
        <v>双链罩帽</v>
      </c>
      <c r="D1986" s="1" t="s">
        <v>8</v>
      </c>
      <c r="E1986" s="1">
        <v>1</v>
      </c>
      <c r="F1986" s="1">
        <v>5</v>
      </c>
      <c r="G1986" s="1">
        <v>30</v>
      </c>
      <c r="H1986" s="10">
        <v>0</v>
      </c>
      <c r="I1986" s="1">
        <v>60000</v>
      </c>
      <c r="J1986" s="1">
        <v>150</v>
      </c>
      <c r="K1986" s="1">
        <v>1500</v>
      </c>
      <c r="L1986" s="1">
        <v>17500</v>
      </c>
      <c r="M1986" s="1" t="str">
        <f t="shared" si="61"/>
        <v>106_372_372</v>
      </c>
      <c r="N1986" s="1" t="s">
        <v>1779</v>
      </c>
      <c r="O1986" s="1">
        <v>0</v>
      </c>
      <c r="P1986" s="1" t="s">
        <v>2051</v>
      </c>
      <c r="Q1986" s="7" t="str">
        <f t="shared" si="62"/>
        <v>equipment/3004.png</v>
      </c>
      <c r="R1986" s="1">
        <v>0</v>
      </c>
    </row>
    <row r="1987" spans="1:18" ht="14.25" thickBot="1">
      <c r="A1987" s="1" t="s">
        <v>1572</v>
      </c>
      <c r="B1987" s="3">
        <v>1</v>
      </c>
      <c r="C1987" s="1" t="str">
        <f t="shared" si="60"/>
        <v>繁星之戒</v>
      </c>
      <c r="D1987" s="1" t="s">
        <v>9</v>
      </c>
      <c r="E1987" s="1">
        <v>2</v>
      </c>
      <c r="F1987" s="1">
        <v>5</v>
      </c>
      <c r="G1987" s="1">
        <v>30</v>
      </c>
      <c r="H1987" s="10">
        <v>0</v>
      </c>
      <c r="I1987" s="1">
        <v>60000</v>
      </c>
      <c r="J1987" s="1">
        <v>150</v>
      </c>
      <c r="K1987" s="1">
        <v>1500</v>
      </c>
      <c r="L1987" s="1">
        <v>17500</v>
      </c>
      <c r="M1987" s="1" t="str">
        <f t="shared" si="61"/>
        <v>102_460_460</v>
      </c>
      <c r="N1987" s="1" t="s">
        <v>1779</v>
      </c>
      <c r="O1987" s="1">
        <v>0</v>
      </c>
      <c r="P1987" s="1" t="s">
        <v>2051</v>
      </c>
      <c r="Q1987" s="7" t="str">
        <f t="shared" si="62"/>
        <v>equipment/14005.png</v>
      </c>
      <c r="R1987" s="1">
        <v>0</v>
      </c>
    </row>
    <row r="1988" spans="1:18" ht="14.25" thickBot="1">
      <c r="A1988" s="1" t="s">
        <v>1573</v>
      </c>
      <c r="B1988" s="2">
        <v>1</v>
      </c>
      <c r="C1988" s="1" t="str">
        <f t="shared" si="60"/>
        <v>秘银腰带</v>
      </c>
      <c r="D1988" s="1" t="s">
        <v>10</v>
      </c>
      <c r="E1988" s="1">
        <v>3</v>
      </c>
      <c r="F1988" s="1">
        <v>5</v>
      </c>
      <c r="G1988" s="1">
        <v>30</v>
      </c>
      <c r="H1988" s="10">
        <v>0</v>
      </c>
      <c r="I1988" s="1">
        <v>60000</v>
      </c>
      <c r="J1988" s="1">
        <v>150</v>
      </c>
      <c r="K1988" s="1">
        <v>1500</v>
      </c>
      <c r="L1988" s="1">
        <v>17500</v>
      </c>
      <c r="M1988" s="1" t="s">
        <v>2474</v>
      </c>
      <c r="N1988" s="1" t="s">
        <v>1779</v>
      </c>
      <c r="O1988" s="1">
        <v>0</v>
      </c>
      <c r="P1988" s="1" t="s">
        <v>2051</v>
      </c>
      <c r="Q1988" s="7" t="str">
        <f t="shared" si="62"/>
        <v>equipment/6002.png</v>
      </c>
      <c r="R1988" s="1">
        <v>0</v>
      </c>
    </row>
    <row r="1989" spans="1:18" ht="14.25" thickBot="1">
      <c r="A1989" s="1" t="s">
        <v>1574</v>
      </c>
      <c r="B1989" s="3">
        <v>1</v>
      </c>
      <c r="C1989" s="1" t="str">
        <f t="shared" si="60"/>
        <v>镶饰胫甲</v>
      </c>
      <c r="D1989" s="1" t="s">
        <v>15</v>
      </c>
      <c r="E1989" s="1">
        <v>8</v>
      </c>
      <c r="F1989" s="1">
        <v>5</v>
      </c>
      <c r="G1989" s="1">
        <v>30</v>
      </c>
      <c r="H1989" s="10">
        <v>0</v>
      </c>
      <c r="I1989" s="1">
        <v>60000</v>
      </c>
      <c r="J1989" s="1">
        <v>150</v>
      </c>
      <c r="K1989" s="1">
        <v>1500</v>
      </c>
      <c r="L1989" s="1">
        <v>17500</v>
      </c>
      <c r="M1989" s="1" t="str">
        <f t="shared" si="61"/>
        <v>110_65_65</v>
      </c>
      <c r="N1989" s="1" t="s">
        <v>1779</v>
      </c>
      <c r="O1989" s="1">
        <v>0</v>
      </c>
      <c r="P1989" s="1" t="s">
        <v>2051</v>
      </c>
      <c r="Q1989" s="7" t="str">
        <f t="shared" si="62"/>
        <v>equipment/8005.png</v>
      </c>
      <c r="R1989" s="1">
        <v>0</v>
      </c>
    </row>
    <row r="1990" spans="1:18" ht="14.25" thickBot="1">
      <c r="A1990" s="1" t="s">
        <v>1575</v>
      </c>
      <c r="B1990" s="3">
        <v>1</v>
      </c>
      <c r="C1990" s="1" t="str">
        <f t="shared" si="60"/>
        <v>链甲手套</v>
      </c>
      <c r="D1990" s="1" t="s">
        <v>16</v>
      </c>
      <c r="E1990" s="1">
        <v>9</v>
      </c>
      <c r="F1990" s="1">
        <v>5</v>
      </c>
      <c r="G1990" s="1">
        <v>30</v>
      </c>
      <c r="H1990" s="10">
        <v>0</v>
      </c>
      <c r="I1990" s="1">
        <v>60000</v>
      </c>
      <c r="J1990" s="1">
        <v>150</v>
      </c>
      <c r="K1990" s="1">
        <v>1500</v>
      </c>
      <c r="L1990" s="1">
        <v>17500</v>
      </c>
      <c r="M1990" s="1" t="str">
        <f t="shared" si="61"/>
        <v>108_367_367</v>
      </c>
      <c r="N1990" s="1" t="s">
        <v>1779</v>
      </c>
      <c r="O1990" s="1">
        <v>0</v>
      </c>
      <c r="P1990" s="1" t="s">
        <v>2051</v>
      </c>
      <c r="Q1990" s="7" t="str">
        <f t="shared" si="62"/>
        <v>equipment/10005.png</v>
      </c>
      <c r="R1990" s="1">
        <v>0</v>
      </c>
    </row>
    <row r="1991" spans="1:18" ht="14.25" thickBot="1">
      <c r="A1991" s="1" t="s">
        <v>1576</v>
      </c>
      <c r="B1991" s="3">
        <v>1</v>
      </c>
      <c r="C1991" s="1" t="str">
        <f t="shared" si="60"/>
        <v>虎眼石项链</v>
      </c>
      <c r="D1991" s="1" t="s">
        <v>17</v>
      </c>
      <c r="E1991" s="1">
        <v>10</v>
      </c>
      <c r="F1991" s="1">
        <v>5</v>
      </c>
      <c r="G1991" s="1">
        <v>30</v>
      </c>
      <c r="H1991" s="10">
        <v>0</v>
      </c>
      <c r="I1991" s="1">
        <v>60000</v>
      </c>
      <c r="J1991" s="1">
        <v>150</v>
      </c>
      <c r="K1991" s="1">
        <v>1500</v>
      </c>
      <c r="L1991" s="1">
        <v>17500</v>
      </c>
      <c r="M1991" s="1" t="str">
        <f t="shared" si="61"/>
        <v>107_372_372</v>
      </c>
      <c r="N1991" s="1" t="s">
        <v>1779</v>
      </c>
      <c r="O1991" s="1">
        <v>0</v>
      </c>
      <c r="P1991" s="1" t="s">
        <v>2051</v>
      </c>
      <c r="Q1991" s="7" t="str">
        <f t="shared" si="62"/>
        <v>equipment/12005.png</v>
      </c>
      <c r="R1991" s="1">
        <v>0</v>
      </c>
    </row>
    <row r="1992" spans="1:18" ht="14.25" thickBot="1">
      <c r="A1992" s="1" t="s">
        <v>1577</v>
      </c>
      <c r="B1992" s="3">
        <v>1</v>
      </c>
      <c r="C1992" s="1" t="str">
        <f t="shared" si="60"/>
        <v>炽热长剑</v>
      </c>
      <c r="D1992" s="1" t="s">
        <v>12</v>
      </c>
      <c r="E1992" s="1">
        <v>5</v>
      </c>
      <c r="F1992" s="1">
        <v>5</v>
      </c>
      <c r="G1992" s="1">
        <v>30</v>
      </c>
      <c r="H1992" s="10" t="s">
        <v>2120</v>
      </c>
      <c r="I1992" s="1">
        <v>60000</v>
      </c>
      <c r="J1992" s="1">
        <v>150</v>
      </c>
      <c r="K1992" s="1">
        <v>1500</v>
      </c>
      <c r="L1992" s="1">
        <v>17500</v>
      </c>
      <c r="M1992" s="1" t="str">
        <f t="shared" si="61"/>
        <v>103_275_275,104_550_550</v>
      </c>
      <c r="N1992" s="1" t="s">
        <v>1780</v>
      </c>
      <c r="O1992" s="1">
        <v>0</v>
      </c>
      <c r="P1992" s="1" t="s">
        <v>2051</v>
      </c>
      <c r="Q1992" s="7" t="str">
        <f t="shared" si="62"/>
        <v>equipment/1112.png</v>
      </c>
      <c r="R1992" s="1">
        <v>0</v>
      </c>
    </row>
    <row r="1993" spans="1:18" ht="14.25" thickBot="1">
      <c r="A1993" s="1" t="s">
        <v>1578</v>
      </c>
      <c r="B1993" s="3">
        <v>1</v>
      </c>
      <c r="C1993" s="1" t="str">
        <f t="shared" si="60"/>
        <v>贵族阔剑</v>
      </c>
      <c r="D1993" s="1" t="s">
        <v>12</v>
      </c>
      <c r="E1993" s="1">
        <v>5</v>
      </c>
      <c r="F1993" s="1">
        <v>5</v>
      </c>
      <c r="G1993" s="1">
        <v>30</v>
      </c>
      <c r="H1993" s="10" t="s">
        <v>2120</v>
      </c>
      <c r="I1993" s="1">
        <v>66000</v>
      </c>
      <c r="J1993" s="1">
        <v>150</v>
      </c>
      <c r="K1993" s="1">
        <v>1500</v>
      </c>
      <c r="L1993" s="1">
        <v>20000</v>
      </c>
      <c r="M1993" s="1" t="str">
        <f t="shared" si="61"/>
        <v>103_342_342,104_684_684</v>
      </c>
      <c r="N1993" s="1" t="s">
        <v>1780</v>
      </c>
      <c r="O1993" s="1">
        <v>0</v>
      </c>
      <c r="P1993" s="1" t="s">
        <v>2051</v>
      </c>
      <c r="Q1993" s="7" t="str">
        <f t="shared" si="62"/>
        <v>equipment/1113.png</v>
      </c>
      <c r="R1993" s="1">
        <v>0</v>
      </c>
    </row>
    <row r="1994" spans="1:18" ht="14.25" thickBot="1">
      <c r="A1994" s="1" t="s">
        <v>1579</v>
      </c>
      <c r="B1994" s="3">
        <v>1</v>
      </c>
      <c r="C1994" s="1" t="str">
        <f t="shared" si="60"/>
        <v>耐久盾牌</v>
      </c>
      <c r="D1994" s="1" t="s">
        <v>13</v>
      </c>
      <c r="E1994" s="1">
        <v>6</v>
      </c>
      <c r="F1994" s="1">
        <v>5</v>
      </c>
      <c r="G1994" s="1">
        <v>30</v>
      </c>
      <c r="H1994" s="10" t="s">
        <v>2120</v>
      </c>
      <c r="I1994" s="1">
        <v>60000</v>
      </c>
      <c r="J1994" s="1">
        <v>150</v>
      </c>
      <c r="K1994" s="1">
        <v>1500</v>
      </c>
      <c r="L1994" s="1">
        <v>17500</v>
      </c>
      <c r="M1994" s="1" t="str">
        <f t="shared" si="61"/>
        <v>105_368_368</v>
      </c>
      <c r="N1994" s="1" t="s">
        <v>1780</v>
      </c>
      <c r="O1994" s="1">
        <v>0</v>
      </c>
      <c r="P1994" s="1" t="s">
        <v>2051</v>
      </c>
      <c r="Q1994" s="7" t="str">
        <f t="shared" si="62"/>
        <v>equipment/2107.png</v>
      </c>
      <c r="R1994" s="1">
        <v>0</v>
      </c>
    </row>
    <row r="1995" spans="1:18" ht="14.25" thickBot="1">
      <c r="A1995" s="1" t="s">
        <v>1580</v>
      </c>
      <c r="B1995" s="2">
        <v>0</v>
      </c>
      <c r="C1995" s="1" t="str">
        <f t="shared" si="60"/>
        <v>盐石盾牌</v>
      </c>
      <c r="D1995" s="1" t="s">
        <v>13</v>
      </c>
      <c r="E1995" s="1">
        <v>6</v>
      </c>
      <c r="F1995" s="1">
        <v>5</v>
      </c>
      <c r="G1995" s="1">
        <v>30</v>
      </c>
      <c r="H1995" s="10" t="s">
        <v>2120</v>
      </c>
      <c r="I1995" s="1">
        <v>66000</v>
      </c>
      <c r="J1995" s="1">
        <v>150</v>
      </c>
      <c r="K1995" s="1">
        <v>1500</v>
      </c>
      <c r="L1995" s="1">
        <v>20000</v>
      </c>
      <c r="M1995" s="1" t="str">
        <f t="shared" si="61"/>
        <v>105_491_491</v>
      </c>
      <c r="N1995" s="1" t="s">
        <v>1780</v>
      </c>
      <c r="O1995" s="1">
        <v>0</v>
      </c>
      <c r="P1995" s="1" t="s">
        <v>2051</v>
      </c>
      <c r="Q1995" s="7" t="str">
        <f t="shared" si="62"/>
        <v>equipment/2108.png</v>
      </c>
      <c r="R1995" s="1">
        <v>0</v>
      </c>
    </row>
    <row r="1996" spans="1:18" ht="14.25" thickBot="1">
      <c r="A1996" s="1" t="s">
        <v>1581</v>
      </c>
      <c r="B1996" s="3">
        <v>1</v>
      </c>
      <c r="C1996" s="1" t="str">
        <f t="shared" si="60"/>
        <v>红木长弓</v>
      </c>
      <c r="D1996" s="1" t="s">
        <v>12</v>
      </c>
      <c r="E1996" s="1">
        <v>5</v>
      </c>
      <c r="F1996" s="1">
        <v>5</v>
      </c>
      <c r="G1996" s="1">
        <v>30</v>
      </c>
      <c r="H1996" s="10" t="s">
        <v>2121</v>
      </c>
      <c r="I1996" s="1">
        <v>60000</v>
      </c>
      <c r="J1996" s="1">
        <v>150</v>
      </c>
      <c r="K1996" s="1">
        <v>1500</v>
      </c>
      <c r="L1996" s="1">
        <v>17500</v>
      </c>
      <c r="M1996" s="1" t="str">
        <f t="shared" si="61"/>
        <v>103_275_275,104_550_550</v>
      </c>
      <c r="N1996" s="1" t="s">
        <v>1780</v>
      </c>
      <c r="O1996" s="1">
        <v>0</v>
      </c>
      <c r="P1996" s="1" t="s">
        <v>2051</v>
      </c>
      <c r="Q1996" s="7" t="str">
        <f t="shared" si="62"/>
        <v>equipment/1211.png</v>
      </c>
      <c r="R1996" s="1">
        <v>0</v>
      </c>
    </row>
    <row r="1997" spans="1:18" ht="14.25" thickBot="1">
      <c r="A1997" s="1" t="s">
        <v>1582</v>
      </c>
      <c r="B1997" s="3">
        <v>1</v>
      </c>
      <c r="C1997" s="1" t="str">
        <f t="shared" si="60"/>
        <v>灼热弓</v>
      </c>
      <c r="D1997" s="1" t="s">
        <v>12</v>
      </c>
      <c r="E1997" s="1">
        <v>5</v>
      </c>
      <c r="F1997" s="1">
        <v>5</v>
      </c>
      <c r="G1997" s="1">
        <v>30</v>
      </c>
      <c r="H1997" s="10" t="s">
        <v>2121</v>
      </c>
      <c r="I1997" s="1">
        <v>66000</v>
      </c>
      <c r="J1997" s="1">
        <v>150</v>
      </c>
      <c r="K1997" s="1">
        <v>1500</v>
      </c>
      <c r="L1997" s="1">
        <v>20000</v>
      </c>
      <c r="M1997" s="1" t="str">
        <f t="shared" si="61"/>
        <v>103_342_342,104_684_684</v>
      </c>
      <c r="N1997" s="1" t="s">
        <v>1780</v>
      </c>
      <c r="O1997" s="1">
        <v>0</v>
      </c>
      <c r="P1997" s="1" t="s">
        <v>2051</v>
      </c>
      <c r="Q1997" s="7" t="str">
        <f t="shared" si="62"/>
        <v>equipment/1212.png</v>
      </c>
      <c r="R1997" s="1">
        <v>0</v>
      </c>
    </row>
    <row r="1998" spans="1:18" ht="14.25" thickBot="1">
      <c r="A1998" s="1" t="s">
        <v>1583</v>
      </c>
      <c r="B1998" s="3">
        <v>1</v>
      </c>
      <c r="C1998" s="1" t="str">
        <f t="shared" si="60"/>
        <v>倒刺箭筒</v>
      </c>
      <c r="D1998" s="1" t="s">
        <v>13</v>
      </c>
      <c r="E1998" s="1">
        <v>6</v>
      </c>
      <c r="F1998" s="1">
        <v>5</v>
      </c>
      <c r="G1998" s="1">
        <v>30</v>
      </c>
      <c r="H1998" s="10" t="s">
        <v>2121</v>
      </c>
      <c r="I1998" s="1">
        <v>60000</v>
      </c>
      <c r="J1998" s="1">
        <v>150</v>
      </c>
      <c r="K1998" s="1">
        <v>1500</v>
      </c>
      <c r="L1998" s="1">
        <v>17500</v>
      </c>
      <c r="M1998" s="1" t="str">
        <f t="shared" si="61"/>
        <v>108_368_368</v>
      </c>
      <c r="N1998" s="1" t="s">
        <v>1780</v>
      </c>
      <c r="O1998" s="1">
        <v>0</v>
      </c>
      <c r="P1998" s="1" t="s">
        <v>2051</v>
      </c>
      <c r="Q1998" s="7" t="str">
        <f t="shared" si="62"/>
        <v>equipment/2207.png</v>
      </c>
      <c r="R1998" s="1">
        <v>0</v>
      </c>
    </row>
    <row r="1999" spans="1:18" ht="14.25" thickBot="1">
      <c r="A1999" s="1" t="s">
        <v>1584</v>
      </c>
      <c r="B1999" s="2">
        <v>0</v>
      </c>
      <c r="C1999" s="1" t="str">
        <f t="shared" si="60"/>
        <v>崇圣箭筒</v>
      </c>
      <c r="D1999" s="1" t="s">
        <v>13</v>
      </c>
      <c r="E1999" s="1">
        <v>6</v>
      </c>
      <c r="F1999" s="1">
        <v>5</v>
      </c>
      <c r="G1999" s="1">
        <v>30</v>
      </c>
      <c r="H1999" s="10" t="s">
        <v>2121</v>
      </c>
      <c r="I1999" s="1">
        <v>66000</v>
      </c>
      <c r="J1999" s="1">
        <v>150</v>
      </c>
      <c r="K1999" s="1">
        <v>1500</v>
      </c>
      <c r="L1999" s="1">
        <v>20000</v>
      </c>
      <c r="M1999" s="1" t="str">
        <f t="shared" si="61"/>
        <v>108_491_491</v>
      </c>
      <c r="N1999" s="1" t="s">
        <v>1780</v>
      </c>
      <c r="O1999" s="1">
        <v>0</v>
      </c>
      <c r="P1999" s="1" t="s">
        <v>2051</v>
      </c>
      <c r="Q1999" s="7" t="str">
        <f t="shared" si="62"/>
        <v>equipment/2208.png</v>
      </c>
      <c r="R1999" s="1">
        <v>0</v>
      </c>
    </row>
    <row r="2000" spans="1:18" ht="14.25" thickBot="1">
      <c r="A2000" s="1" t="s">
        <v>1585</v>
      </c>
      <c r="B2000" s="3">
        <v>1</v>
      </c>
      <c r="C2000" s="1" t="str">
        <f t="shared" si="60"/>
        <v>荒骨法杖</v>
      </c>
      <c r="D2000" s="1" t="s">
        <v>12</v>
      </c>
      <c r="E2000" s="1">
        <v>5</v>
      </c>
      <c r="F2000" s="1">
        <v>5</v>
      </c>
      <c r="G2000" s="1">
        <v>30</v>
      </c>
      <c r="H2000" s="10" t="s">
        <v>2122</v>
      </c>
      <c r="I2000" s="1">
        <v>60000</v>
      </c>
      <c r="J2000" s="1">
        <v>150</v>
      </c>
      <c r="K2000" s="1">
        <v>1500</v>
      </c>
      <c r="L2000" s="1">
        <v>17500</v>
      </c>
      <c r="M2000" s="1" t="str">
        <f t="shared" si="61"/>
        <v>103_275_275,104_550_550</v>
      </c>
      <c r="N2000" s="1" t="s">
        <v>1780</v>
      </c>
      <c r="O2000" s="1">
        <v>0</v>
      </c>
      <c r="P2000" s="1" t="s">
        <v>2051</v>
      </c>
      <c r="Q2000" s="7" t="str">
        <f t="shared" si="62"/>
        <v>equipment/1312.png</v>
      </c>
      <c r="R2000" s="1">
        <v>0</v>
      </c>
    </row>
    <row r="2001" spans="1:18" ht="14.25" thickBot="1">
      <c r="A2001" s="1" t="s">
        <v>1586</v>
      </c>
      <c r="B2001" s="3">
        <v>1</v>
      </c>
      <c r="C2001" s="1" t="str">
        <f t="shared" si="60"/>
        <v>新月法杖</v>
      </c>
      <c r="D2001" s="1" t="s">
        <v>12</v>
      </c>
      <c r="E2001" s="1">
        <v>5</v>
      </c>
      <c r="F2001" s="1">
        <v>5</v>
      </c>
      <c r="G2001" s="1">
        <v>30</v>
      </c>
      <c r="H2001" s="10" t="s">
        <v>2122</v>
      </c>
      <c r="I2001" s="1">
        <v>66000</v>
      </c>
      <c r="J2001" s="1">
        <v>150</v>
      </c>
      <c r="K2001" s="1">
        <v>1500</v>
      </c>
      <c r="L2001" s="1">
        <v>20000</v>
      </c>
      <c r="M2001" s="1" t="str">
        <f t="shared" si="61"/>
        <v>103_342_342,104_684_684</v>
      </c>
      <c r="N2001" s="1" t="s">
        <v>1780</v>
      </c>
      <c r="O2001" s="1">
        <v>0</v>
      </c>
      <c r="P2001" s="1" t="s">
        <v>2051</v>
      </c>
      <c r="Q2001" s="7" t="str">
        <f t="shared" si="62"/>
        <v>equipment/1313.png</v>
      </c>
      <c r="R2001" s="1">
        <v>0</v>
      </c>
    </row>
    <row r="2002" spans="1:18" ht="14.25" thickBot="1">
      <c r="A2002" s="1" t="s">
        <v>1587</v>
      </c>
      <c r="B2002" s="3">
        <v>1</v>
      </c>
      <c r="C2002" s="1" t="str">
        <f t="shared" si="60"/>
        <v>神圣典籍</v>
      </c>
      <c r="D2002" s="1" t="s">
        <v>13</v>
      </c>
      <c r="E2002" s="1">
        <v>6</v>
      </c>
      <c r="F2002" s="1">
        <v>5</v>
      </c>
      <c r="G2002" s="1">
        <v>30</v>
      </c>
      <c r="H2002" s="10" t="s">
        <v>2122</v>
      </c>
      <c r="I2002" s="1">
        <v>60000</v>
      </c>
      <c r="J2002" s="1">
        <v>150</v>
      </c>
      <c r="K2002" s="1">
        <v>1500</v>
      </c>
      <c r="L2002" s="1">
        <v>17500</v>
      </c>
      <c r="M2002" s="1" t="str">
        <f t="shared" si="61"/>
        <v>102_880_880</v>
      </c>
      <c r="N2002" s="1" t="s">
        <v>1780</v>
      </c>
      <c r="O2002" s="1">
        <v>0</v>
      </c>
      <c r="P2002" s="1" t="s">
        <v>2051</v>
      </c>
      <c r="Q2002" s="7" t="str">
        <f t="shared" si="62"/>
        <v>equipment/2307.png</v>
      </c>
      <c r="R2002" s="1">
        <v>0</v>
      </c>
    </row>
    <row r="2003" spans="1:18" ht="14.25" thickBot="1">
      <c r="A2003" s="1" t="s">
        <v>1588</v>
      </c>
      <c r="B2003" s="2">
        <v>0</v>
      </c>
      <c r="C2003" s="1" t="str">
        <f t="shared" si="60"/>
        <v>召唤之书</v>
      </c>
      <c r="D2003" s="1" t="s">
        <v>13</v>
      </c>
      <c r="E2003" s="1">
        <v>6</v>
      </c>
      <c r="F2003" s="1">
        <v>5</v>
      </c>
      <c r="G2003" s="1">
        <v>30</v>
      </c>
      <c r="H2003" s="10" t="s">
        <v>2122</v>
      </c>
      <c r="I2003" s="1">
        <v>66000</v>
      </c>
      <c r="J2003" s="1">
        <v>150</v>
      </c>
      <c r="K2003" s="1">
        <v>1500</v>
      </c>
      <c r="L2003" s="1">
        <v>20000</v>
      </c>
      <c r="M2003" s="1" t="str">
        <f t="shared" si="61"/>
        <v>102_944_944</v>
      </c>
      <c r="N2003" s="1" t="s">
        <v>1780</v>
      </c>
      <c r="O2003" s="1">
        <v>0</v>
      </c>
      <c r="P2003" s="1" t="s">
        <v>2051</v>
      </c>
      <c r="Q2003" s="7" t="str">
        <f t="shared" si="62"/>
        <v>equipment/2308.png</v>
      </c>
      <c r="R2003" s="1">
        <v>0</v>
      </c>
    </row>
    <row r="2004" spans="1:18" ht="14.25" thickBot="1">
      <c r="A2004" s="1" t="s">
        <v>1589</v>
      </c>
      <c r="B2004" s="3">
        <v>1</v>
      </c>
      <c r="C2004" s="1" t="str">
        <f t="shared" si="60"/>
        <v>水滴胸铠</v>
      </c>
      <c r="D2004" s="1" t="s">
        <v>11</v>
      </c>
      <c r="E2004" s="1">
        <v>4</v>
      </c>
      <c r="F2004" s="1">
        <v>5</v>
      </c>
      <c r="G2004" s="1">
        <v>30</v>
      </c>
      <c r="H2004" s="10">
        <v>0</v>
      </c>
      <c r="I2004" s="1">
        <v>60000</v>
      </c>
      <c r="J2004" s="1">
        <v>150</v>
      </c>
      <c r="K2004" s="1">
        <v>1500</v>
      </c>
      <c r="L2004" s="1">
        <v>17500</v>
      </c>
      <c r="M2004" s="1" t="str">
        <f t="shared" si="61"/>
        <v>105_216_216</v>
      </c>
      <c r="N2004" s="1" t="s">
        <v>1779</v>
      </c>
      <c r="O2004" s="1">
        <v>0</v>
      </c>
      <c r="P2004" s="1" t="s">
        <v>2051</v>
      </c>
      <c r="Q2004" s="7" t="str">
        <f t="shared" si="62"/>
        <v>equipment/5008.png</v>
      </c>
      <c r="R2004" s="1">
        <v>0</v>
      </c>
    </row>
    <row r="2005" spans="1:18" ht="14.25" thickBot="1">
      <c r="A2005" s="1" t="s">
        <v>1590</v>
      </c>
      <c r="B2005" s="3">
        <v>1</v>
      </c>
      <c r="C2005" s="1" t="str">
        <f t="shared" ref="C2005:C2068" si="63">C1543</f>
        <v>防卫者外套</v>
      </c>
      <c r="D2005" s="1" t="s">
        <v>11</v>
      </c>
      <c r="E2005" s="1">
        <v>4</v>
      </c>
      <c r="F2005" s="1">
        <v>5</v>
      </c>
      <c r="G2005" s="1">
        <v>30</v>
      </c>
      <c r="H2005" s="10">
        <v>0</v>
      </c>
      <c r="I2005" s="1">
        <v>66000</v>
      </c>
      <c r="J2005" s="1">
        <v>150</v>
      </c>
      <c r="K2005" s="1">
        <v>1500</v>
      </c>
      <c r="L2005" s="1">
        <v>20000</v>
      </c>
      <c r="M2005" s="1" t="str">
        <f t="shared" ref="M2005:M2068" si="64">M1543</f>
        <v>105_247_247</v>
      </c>
      <c r="N2005" s="1" t="s">
        <v>1779</v>
      </c>
      <c r="O2005" s="1">
        <v>0</v>
      </c>
      <c r="P2005" s="1" t="s">
        <v>2051</v>
      </c>
      <c r="Q2005" s="7" t="str">
        <f t="shared" ref="Q2005:Q2068" si="65">Q1543</f>
        <v>equipment/5009.png</v>
      </c>
      <c r="R2005" s="1">
        <v>0</v>
      </c>
    </row>
    <row r="2006" spans="1:18" ht="14.25" thickBot="1">
      <c r="A2006" s="1" t="s">
        <v>1591</v>
      </c>
      <c r="B2006" s="3">
        <v>1</v>
      </c>
      <c r="C2006" s="1" t="str">
        <f t="shared" si="63"/>
        <v>游侠护腿</v>
      </c>
      <c r="D2006" s="1" t="s">
        <v>14</v>
      </c>
      <c r="E2006" s="1">
        <v>7</v>
      </c>
      <c r="F2006" s="1">
        <v>5</v>
      </c>
      <c r="G2006" s="1">
        <v>30</v>
      </c>
      <c r="H2006" s="10">
        <v>0</v>
      </c>
      <c r="I2006" s="1">
        <v>60000</v>
      </c>
      <c r="J2006" s="1">
        <v>150</v>
      </c>
      <c r="K2006" s="1">
        <v>1500</v>
      </c>
      <c r="L2006" s="1">
        <v>17500</v>
      </c>
      <c r="M2006" s="1" t="str">
        <f t="shared" si="64"/>
        <v>105_216_216</v>
      </c>
      <c r="N2006" s="1" t="s">
        <v>1779</v>
      </c>
      <c r="O2006" s="1">
        <v>0</v>
      </c>
      <c r="P2006" s="1" t="s">
        <v>2051</v>
      </c>
      <c r="Q2006" s="7" t="str">
        <f t="shared" si="65"/>
        <v>equipment/7007.png</v>
      </c>
      <c r="R2006" s="1">
        <v>0</v>
      </c>
    </row>
    <row r="2007" spans="1:18" ht="14.25" thickBot="1">
      <c r="A2007" s="1" t="s">
        <v>1592</v>
      </c>
      <c r="B2007" s="3">
        <v>1</v>
      </c>
      <c r="C2007" s="1" t="str">
        <f t="shared" si="63"/>
        <v>逐风护腿</v>
      </c>
      <c r="D2007" s="1" t="s">
        <v>14</v>
      </c>
      <c r="E2007" s="1">
        <v>7</v>
      </c>
      <c r="F2007" s="1">
        <v>5</v>
      </c>
      <c r="G2007" s="1">
        <v>30</v>
      </c>
      <c r="H2007" s="10">
        <v>0</v>
      </c>
      <c r="I2007" s="1">
        <v>66000</v>
      </c>
      <c r="J2007" s="1">
        <v>150</v>
      </c>
      <c r="K2007" s="1">
        <v>1500</v>
      </c>
      <c r="L2007" s="1">
        <v>20000</v>
      </c>
      <c r="M2007" s="1" t="str">
        <f t="shared" si="64"/>
        <v>105_247_247</v>
      </c>
      <c r="N2007" s="1" t="s">
        <v>1779</v>
      </c>
      <c r="O2007" s="1">
        <v>0</v>
      </c>
      <c r="P2007" s="1" t="s">
        <v>2051</v>
      </c>
      <c r="Q2007" s="7" t="str">
        <f t="shared" si="65"/>
        <v>equipment/7008.png</v>
      </c>
      <c r="R2007" s="1">
        <v>0</v>
      </c>
    </row>
    <row r="2008" spans="1:18" ht="14.25" thickBot="1">
      <c r="A2008" s="1" t="s">
        <v>1593</v>
      </c>
      <c r="B2008" s="3">
        <v>1</v>
      </c>
      <c r="C2008" s="1" t="str">
        <f t="shared" si="63"/>
        <v>镶带头盔</v>
      </c>
      <c r="D2008" s="1" t="s">
        <v>8</v>
      </c>
      <c r="E2008" s="1">
        <v>1</v>
      </c>
      <c r="F2008" s="1">
        <v>5</v>
      </c>
      <c r="G2008" s="1">
        <v>35</v>
      </c>
      <c r="H2008" s="10">
        <v>0</v>
      </c>
      <c r="I2008" s="1">
        <v>70000</v>
      </c>
      <c r="J2008" s="1">
        <v>150</v>
      </c>
      <c r="K2008" s="1">
        <v>1500</v>
      </c>
      <c r="L2008" s="1">
        <v>20000</v>
      </c>
      <c r="M2008" s="1" t="str">
        <f t="shared" si="64"/>
        <v>106_596_596</v>
      </c>
      <c r="N2008" s="1" t="s">
        <v>1781</v>
      </c>
      <c r="O2008" s="1">
        <v>0</v>
      </c>
      <c r="P2008" s="1" t="s">
        <v>2052</v>
      </c>
      <c r="Q2008" s="7" t="str">
        <f t="shared" si="65"/>
        <v>equipment/3006.png</v>
      </c>
      <c r="R2008" s="1">
        <v>0</v>
      </c>
    </row>
    <row r="2009" spans="1:18" ht="14.25" thickBot="1">
      <c r="A2009" s="1" t="s">
        <v>1594</v>
      </c>
      <c r="B2009" s="3">
        <v>1</v>
      </c>
      <c r="C2009" s="1" t="str">
        <f t="shared" si="63"/>
        <v>烈焰指环</v>
      </c>
      <c r="D2009" s="1" t="s">
        <v>9</v>
      </c>
      <c r="E2009" s="1">
        <v>2</v>
      </c>
      <c r="F2009" s="1">
        <v>5</v>
      </c>
      <c r="G2009" s="1">
        <v>35</v>
      </c>
      <c r="H2009" s="10">
        <v>0</v>
      </c>
      <c r="I2009" s="1">
        <v>70000</v>
      </c>
      <c r="J2009" s="1">
        <v>150</v>
      </c>
      <c r="K2009" s="1">
        <v>1500</v>
      </c>
      <c r="L2009" s="1">
        <v>20000</v>
      </c>
      <c r="M2009" s="1" t="str">
        <f t="shared" si="64"/>
        <v>102_590_590</v>
      </c>
      <c r="N2009" s="1" t="s">
        <v>1781</v>
      </c>
      <c r="O2009" s="1">
        <v>0</v>
      </c>
      <c r="P2009" s="1" t="s">
        <v>2052</v>
      </c>
      <c r="Q2009" s="7" t="str">
        <f t="shared" si="65"/>
        <v>equipment/14006.png</v>
      </c>
      <c r="R2009" s="1">
        <v>0</v>
      </c>
    </row>
    <row r="2010" spans="1:18" ht="14.25" thickBot="1">
      <c r="A2010" s="1" t="s">
        <v>1595</v>
      </c>
      <c r="B2010" s="3">
        <v>1</v>
      </c>
      <c r="C2010" s="1" t="str">
        <f t="shared" si="63"/>
        <v>斗士腰带</v>
      </c>
      <c r="D2010" s="1" t="s">
        <v>10</v>
      </c>
      <c r="E2010" s="1">
        <v>3</v>
      </c>
      <c r="F2010" s="1">
        <v>5</v>
      </c>
      <c r="G2010" s="1">
        <v>35</v>
      </c>
      <c r="H2010" s="10">
        <v>0</v>
      </c>
      <c r="I2010" s="1">
        <v>70000</v>
      </c>
      <c r="J2010" s="1">
        <v>150</v>
      </c>
      <c r="K2010" s="1">
        <v>1500</v>
      </c>
      <c r="L2010" s="1">
        <v>20000</v>
      </c>
      <c r="M2010" s="1" t="str">
        <f t="shared" si="64"/>
        <v>101_4900_4900</v>
      </c>
      <c r="N2010" s="1" t="s">
        <v>1781</v>
      </c>
      <c r="O2010" s="1">
        <v>0</v>
      </c>
      <c r="P2010" s="1" t="s">
        <v>2052</v>
      </c>
      <c r="Q2010" s="7" t="str">
        <f t="shared" si="65"/>
        <v>equipment/6006.png</v>
      </c>
      <c r="R2010" s="1">
        <v>0</v>
      </c>
    </row>
    <row r="2011" spans="1:18" ht="14.25" thickBot="1">
      <c r="A2011" s="1" t="s">
        <v>1596</v>
      </c>
      <c r="B2011" s="3">
        <v>1</v>
      </c>
      <c r="C2011" s="1" t="str">
        <f t="shared" si="63"/>
        <v>混乱之靴</v>
      </c>
      <c r="D2011" s="1" t="s">
        <v>15</v>
      </c>
      <c r="E2011" s="1">
        <v>8</v>
      </c>
      <c r="F2011" s="1">
        <v>5</v>
      </c>
      <c r="G2011" s="1">
        <v>35</v>
      </c>
      <c r="H2011" s="10">
        <v>0</v>
      </c>
      <c r="I2011" s="1">
        <v>70000</v>
      </c>
      <c r="J2011" s="1">
        <v>150</v>
      </c>
      <c r="K2011" s="1">
        <v>1500</v>
      </c>
      <c r="L2011" s="1">
        <v>20000</v>
      </c>
      <c r="M2011" s="1" t="str">
        <f t="shared" si="64"/>
        <v>110_82_82</v>
      </c>
      <c r="N2011" s="1" t="s">
        <v>1781</v>
      </c>
      <c r="O2011" s="1">
        <v>0</v>
      </c>
      <c r="P2011" s="1" t="s">
        <v>2052</v>
      </c>
      <c r="Q2011" s="7" t="str">
        <f t="shared" si="65"/>
        <v>equipment/8006.png</v>
      </c>
      <c r="R2011" s="1">
        <v>0</v>
      </c>
    </row>
    <row r="2012" spans="1:18" ht="14.25" thickBot="1">
      <c r="A2012" s="1" t="s">
        <v>1597</v>
      </c>
      <c r="B2012" s="3">
        <v>1</v>
      </c>
      <c r="C2012" s="1" t="str">
        <f t="shared" si="63"/>
        <v>激励手甲</v>
      </c>
      <c r="D2012" s="1" t="s">
        <v>16</v>
      </c>
      <c r="E2012" s="1">
        <v>9</v>
      </c>
      <c r="F2012" s="1">
        <v>5</v>
      </c>
      <c r="G2012" s="1">
        <v>35</v>
      </c>
      <c r="H2012" s="10">
        <v>0</v>
      </c>
      <c r="I2012" s="1">
        <v>70000</v>
      </c>
      <c r="J2012" s="1">
        <v>150</v>
      </c>
      <c r="K2012" s="1">
        <v>1500</v>
      </c>
      <c r="L2012" s="1">
        <v>20000</v>
      </c>
      <c r="M2012" s="1" t="str">
        <f t="shared" si="64"/>
        <v>108_588_588</v>
      </c>
      <c r="N2012" s="1" t="s">
        <v>1781</v>
      </c>
      <c r="O2012" s="1">
        <v>0</v>
      </c>
      <c r="P2012" s="1" t="s">
        <v>2052</v>
      </c>
      <c r="Q2012" s="7" t="str">
        <f t="shared" si="65"/>
        <v>equipment/10006.png</v>
      </c>
      <c r="R2012" s="1">
        <v>0</v>
      </c>
    </row>
    <row r="2013" spans="1:18" ht="14.25" thickBot="1">
      <c r="A2013" s="1" t="s">
        <v>1598</v>
      </c>
      <c r="B2013" s="3">
        <v>1</v>
      </c>
      <c r="C2013" s="1" t="str">
        <f t="shared" si="63"/>
        <v>苍蓝挂坠</v>
      </c>
      <c r="D2013" s="1" t="s">
        <v>17</v>
      </c>
      <c r="E2013" s="1">
        <v>10</v>
      </c>
      <c r="F2013" s="1">
        <v>5</v>
      </c>
      <c r="G2013" s="1">
        <v>35</v>
      </c>
      <c r="H2013" s="10">
        <v>0</v>
      </c>
      <c r="I2013" s="1">
        <v>70000</v>
      </c>
      <c r="J2013" s="1">
        <v>150</v>
      </c>
      <c r="K2013" s="1">
        <v>1500</v>
      </c>
      <c r="L2013" s="1">
        <v>20000</v>
      </c>
      <c r="M2013" s="1" t="str">
        <f t="shared" si="64"/>
        <v>107_542_542</v>
      </c>
      <c r="N2013" s="1" t="s">
        <v>1781</v>
      </c>
      <c r="O2013" s="1">
        <v>0</v>
      </c>
      <c r="P2013" s="1" t="s">
        <v>2052</v>
      </c>
      <c r="Q2013" s="7" t="str">
        <f t="shared" si="65"/>
        <v>equipment/12006.png</v>
      </c>
      <c r="R2013" s="1">
        <v>0</v>
      </c>
    </row>
    <row r="2014" spans="1:18" ht="14.25" thickBot="1">
      <c r="A2014" s="1" t="s">
        <v>1599</v>
      </c>
      <c r="B2014" s="3">
        <v>1</v>
      </c>
      <c r="C2014" s="1" t="str">
        <f t="shared" si="63"/>
        <v>水晶剑</v>
      </c>
      <c r="D2014" s="1" t="s">
        <v>12</v>
      </c>
      <c r="E2014" s="1">
        <v>5</v>
      </c>
      <c r="F2014" s="1">
        <v>5</v>
      </c>
      <c r="G2014" s="1">
        <v>35</v>
      </c>
      <c r="H2014" s="10" t="s">
        <v>2120</v>
      </c>
      <c r="I2014" s="1">
        <v>70000</v>
      </c>
      <c r="J2014" s="1">
        <v>150</v>
      </c>
      <c r="K2014" s="1">
        <v>1500</v>
      </c>
      <c r="L2014" s="1">
        <v>20000</v>
      </c>
      <c r="M2014" s="1" t="str">
        <f t="shared" si="64"/>
        <v>103_443_443,104_886_886</v>
      </c>
      <c r="N2014" s="1" t="s">
        <v>1782</v>
      </c>
      <c r="O2014" s="1">
        <v>0</v>
      </c>
      <c r="P2014" s="1" t="s">
        <v>2052</v>
      </c>
      <c r="Q2014" s="7" t="str">
        <f t="shared" si="65"/>
        <v>equipment/1114.png</v>
      </c>
      <c r="R2014" s="1">
        <v>0</v>
      </c>
    </row>
    <row r="2015" spans="1:18" ht="14.25" thickBot="1">
      <c r="A2015" s="1" t="s">
        <v>1600</v>
      </c>
      <c r="B2015" s="2">
        <v>0</v>
      </c>
      <c r="C2015" s="1" t="str">
        <f t="shared" si="63"/>
        <v>军刀</v>
      </c>
      <c r="D2015" s="1" t="s">
        <v>12</v>
      </c>
      <c r="E2015" s="1">
        <v>5</v>
      </c>
      <c r="F2015" s="1">
        <v>5</v>
      </c>
      <c r="G2015" s="1">
        <v>35</v>
      </c>
      <c r="H2015" s="10" t="s">
        <v>2120</v>
      </c>
      <c r="I2015" s="1">
        <v>76000</v>
      </c>
      <c r="J2015" s="1">
        <v>150</v>
      </c>
      <c r="K2015" s="1">
        <v>1500</v>
      </c>
      <c r="L2015" s="1">
        <v>22500</v>
      </c>
      <c r="M2015" s="1" t="str">
        <f t="shared" si="64"/>
        <v>103_533_533,104_1066_1066</v>
      </c>
      <c r="N2015" s="1" t="s">
        <v>1782</v>
      </c>
      <c r="O2015" s="1">
        <v>0</v>
      </c>
      <c r="P2015" s="1" t="s">
        <v>2052</v>
      </c>
      <c r="Q2015" s="7" t="str">
        <f t="shared" si="65"/>
        <v>equipment/1101.png</v>
      </c>
      <c r="R2015" s="1">
        <v>0</v>
      </c>
    </row>
    <row r="2016" spans="1:18" ht="14.25" thickBot="1">
      <c r="A2016" s="1" t="s">
        <v>1601</v>
      </c>
      <c r="B2016" s="3">
        <v>1</v>
      </c>
      <c r="C2016" s="1" t="str">
        <f t="shared" si="63"/>
        <v>符记盾牌</v>
      </c>
      <c r="D2016" s="1" t="s">
        <v>13</v>
      </c>
      <c r="E2016" s="1">
        <v>6</v>
      </c>
      <c r="F2016" s="1">
        <v>5</v>
      </c>
      <c r="G2016" s="1">
        <v>35</v>
      </c>
      <c r="H2016" s="10" t="s">
        <v>2120</v>
      </c>
      <c r="I2016" s="1">
        <v>70000</v>
      </c>
      <c r="J2016" s="1">
        <v>150</v>
      </c>
      <c r="K2016" s="1">
        <v>1500</v>
      </c>
      <c r="L2016" s="1">
        <v>20000</v>
      </c>
      <c r="M2016" s="1" t="str">
        <f t="shared" si="64"/>
        <v>105_676_676</v>
      </c>
      <c r="N2016" s="1" t="s">
        <v>1782</v>
      </c>
      <c r="O2016" s="1">
        <v>0</v>
      </c>
      <c r="P2016" s="1" t="s">
        <v>2052</v>
      </c>
      <c r="Q2016" s="7" t="str">
        <f t="shared" si="65"/>
        <v>equipment/2108.png</v>
      </c>
      <c r="R2016" s="1">
        <v>0</v>
      </c>
    </row>
    <row r="2017" spans="1:18" ht="14.25" thickBot="1">
      <c r="A2017" s="1" t="s">
        <v>1602</v>
      </c>
      <c r="B2017" s="3">
        <v>1</v>
      </c>
      <c r="C2017" s="1" t="str">
        <f t="shared" si="63"/>
        <v>秩序盾牌</v>
      </c>
      <c r="D2017" s="1" t="s">
        <v>13</v>
      </c>
      <c r="E2017" s="1">
        <v>6</v>
      </c>
      <c r="F2017" s="1">
        <v>5</v>
      </c>
      <c r="G2017" s="1">
        <v>35</v>
      </c>
      <c r="H2017" s="10" t="s">
        <v>2120</v>
      </c>
      <c r="I2017" s="1">
        <v>76000</v>
      </c>
      <c r="J2017" s="1">
        <v>150</v>
      </c>
      <c r="K2017" s="1">
        <v>1500</v>
      </c>
      <c r="L2017" s="1">
        <v>22500</v>
      </c>
      <c r="M2017" s="1" t="str">
        <f t="shared" si="64"/>
        <v>105_758_758</v>
      </c>
      <c r="N2017" s="1" t="s">
        <v>1782</v>
      </c>
      <c r="O2017" s="1">
        <v>0</v>
      </c>
      <c r="P2017" s="1" t="s">
        <v>2052</v>
      </c>
      <c r="Q2017" s="7" t="str">
        <f t="shared" si="65"/>
        <v>equipment/2117.png</v>
      </c>
      <c r="R2017" s="1">
        <v>0</v>
      </c>
    </row>
    <row r="2018" spans="1:18" ht="14.25" thickBot="1">
      <c r="A2018" s="1" t="s">
        <v>1603</v>
      </c>
      <c r="B2018" s="3">
        <v>1</v>
      </c>
      <c r="C2018" s="1" t="str">
        <f t="shared" si="63"/>
        <v>风语者弯弓</v>
      </c>
      <c r="D2018" s="1" t="s">
        <v>12</v>
      </c>
      <c r="E2018" s="1">
        <v>5</v>
      </c>
      <c r="F2018" s="1">
        <v>5</v>
      </c>
      <c r="G2018" s="1">
        <v>35</v>
      </c>
      <c r="H2018" s="10" t="s">
        <v>2121</v>
      </c>
      <c r="I2018" s="1">
        <v>70000</v>
      </c>
      <c r="J2018" s="1">
        <v>150</v>
      </c>
      <c r="K2018" s="1">
        <v>1500</v>
      </c>
      <c r="L2018" s="1">
        <v>20000</v>
      </c>
      <c r="M2018" s="1" t="str">
        <f t="shared" si="64"/>
        <v>103_443_443,104_886_886</v>
      </c>
      <c r="N2018" s="1" t="s">
        <v>1782</v>
      </c>
      <c r="O2018" s="1">
        <v>0</v>
      </c>
      <c r="P2018" s="1" t="s">
        <v>2052</v>
      </c>
      <c r="Q2018" s="7" t="str">
        <f t="shared" si="65"/>
        <v>equipment/1213.png</v>
      </c>
      <c r="R2018" s="1">
        <v>0</v>
      </c>
    </row>
    <row r="2019" spans="1:18" ht="14.25" thickBot="1">
      <c r="A2019" s="1" t="s">
        <v>1604</v>
      </c>
      <c r="B2019" s="2">
        <v>0</v>
      </c>
      <c r="C2019" s="1" t="str">
        <f t="shared" si="63"/>
        <v>棘木弓</v>
      </c>
      <c r="D2019" s="1" t="s">
        <v>12</v>
      </c>
      <c r="E2019" s="1">
        <v>5</v>
      </c>
      <c r="F2019" s="1">
        <v>5</v>
      </c>
      <c r="G2019" s="1">
        <v>35</v>
      </c>
      <c r="H2019" s="10" t="s">
        <v>2121</v>
      </c>
      <c r="I2019" s="1">
        <v>76000</v>
      </c>
      <c r="J2019" s="1">
        <v>150</v>
      </c>
      <c r="K2019" s="1">
        <v>1500</v>
      </c>
      <c r="L2019" s="1">
        <v>22500</v>
      </c>
      <c r="M2019" s="1" t="str">
        <f t="shared" si="64"/>
        <v>103_533_533,104_1066_1066</v>
      </c>
      <c r="N2019" s="1" t="s">
        <v>1782</v>
      </c>
      <c r="O2019" s="1">
        <v>0</v>
      </c>
      <c r="P2019" s="1" t="s">
        <v>2052</v>
      </c>
      <c r="Q2019" s="7" t="str">
        <f t="shared" si="65"/>
        <v>equipment/1201.png</v>
      </c>
      <c r="R2019" s="1">
        <v>0</v>
      </c>
    </row>
    <row r="2020" spans="1:18" ht="14.25" thickBot="1">
      <c r="A2020" s="1" t="s">
        <v>1605</v>
      </c>
      <c r="B2020" s="3">
        <v>1</v>
      </c>
      <c r="C2020" s="1" t="str">
        <f t="shared" si="63"/>
        <v>游侠箭筒</v>
      </c>
      <c r="D2020" s="1" t="s">
        <v>13</v>
      </c>
      <c r="E2020" s="1">
        <v>6</v>
      </c>
      <c r="F2020" s="1">
        <v>5</v>
      </c>
      <c r="G2020" s="1">
        <v>35</v>
      </c>
      <c r="H2020" s="10" t="s">
        <v>2121</v>
      </c>
      <c r="I2020" s="1">
        <v>70000</v>
      </c>
      <c r="J2020" s="1">
        <v>150</v>
      </c>
      <c r="K2020" s="1">
        <v>1500</v>
      </c>
      <c r="L2020" s="1">
        <v>20000</v>
      </c>
      <c r="M2020" s="1" t="str">
        <f t="shared" si="64"/>
        <v>108_676_676</v>
      </c>
      <c r="N2020" s="1" t="s">
        <v>1782</v>
      </c>
      <c r="O2020" s="1">
        <v>0</v>
      </c>
      <c r="P2020" s="1" t="s">
        <v>2052</v>
      </c>
      <c r="Q2020" s="7" t="str">
        <f t="shared" si="65"/>
        <v>equipment/2208.png</v>
      </c>
      <c r="R2020" s="1">
        <v>0</v>
      </c>
    </row>
    <row r="2021" spans="1:18" ht="14.25" thickBot="1">
      <c r="A2021" s="1" t="s">
        <v>1606</v>
      </c>
      <c r="B2021" s="3">
        <v>1</v>
      </c>
      <c r="C2021" s="1" t="str">
        <f t="shared" si="63"/>
        <v>风行者箭筒</v>
      </c>
      <c r="D2021" s="1" t="s">
        <v>13</v>
      </c>
      <c r="E2021" s="1">
        <v>6</v>
      </c>
      <c r="F2021" s="1">
        <v>5</v>
      </c>
      <c r="G2021" s="1">
        <v>35</v>
      </c>
      <c r="H2021" s="10" t="s">
        <v>2121</v>
      </c>
      <c r="I2021" s="1">
        <v>76000</v>
      </c>
      <c r="J2021" s="1">
        <v>150</v>
      </c>
      <c r="K2021" s="1">
        <v>1500</v>
      </c>
      <c r="L2021" s="1">
        <v>22500</v>
      </c>
      <c r="M2021" s="1" t="str">
        <f t="shared" si="64"/>
        <v>108_758_758</v>
      </c>
      <c r="N2021" s="1" t="s">
        <v>1782</v>
      </c>
      <c r="O2021" s="1">
        <v>0</v>
      </c>
      <c r="P2021" s="1" t="s">
        <v>2052</v>
      </c>
      <c r="Q2021" s="7" t="str">
        <f t="shared" si="65"/>
        <v>equipment/2201.png</v>
      </c>
      <c r="R2021" s="1">
        <v>0</v>
      </c>
    </row>
    <row r="2022" spans="1:18" ht="14.25" thickBot="1">
      <c r="A2022" s="1" t="s">
        <v>1607</v>
      </c>
      <c r="B2022" s="3">
        <v>1</v>
      </c>
      <c r="C2022" s="1" t="str">
        <f t="shared" si="63"/>
        <v>聚能之杖</v>
      </c>
      <c r="D2022" s="1" t="s">
        <v>12</v>
      </c>
      <c r="E2022" s="1">
        <v>5</v>
      </c>
      <c r="F2022" s="1">
        <v>5</v>
      </c>
      <c r="G2022" s="1">
        <v>35</v>
      </c>
      <c r="H2022" s="10" t="s">
        <v>2122</v>
      </c>
      <c r="I2022" s="1">
        <v>70000</v>
      </c>
      <c r="J2022" s="1">
        <v>150</v>
      </c>
      <c r="K2022" s="1">
        <v>1500</v>
      </c>
      <c r="L2022" s="1">
        <v>20000</v>
      </c>
      <c r="M2022" s="1" t="str">
        <f t="shared" si="64"/>
        <v>103_443_443,104_886_886</v>
      </c>
      <c r="N2022" s="1" t="s">
        <v>1782</v>
      </c>
      <c r="O2022" s="1">
        <v>0</v>
      </c>
      <c r="P2022" s="1" t="s">
        <v>2052</v>
      </c>
      <c r="Q2022" s="7" t="str">
        <f t="shared" si="65"/>
        <v>equipment/1314.png</v>
      </c>
      <c r="R2022" s="1">
        <v>0</v>
      </c>
    </row>
    <row r="2023" spans="1:18" ht="14.25" thickBot="1">
      <c r="A2023" s="1" t="s">
        <v>1608</v>
      </c>
      <c r="B2023" s="2">
        <v>0</v>
      </c>
      <c r="C2023" s="1" t="str">
        <f t="shared" si="63"/>
        <v>学徒法杖</v>
      </c>
      <c r="D2023" s="1" t="s">
        <v>12</v>
      </c>
      <c r="E2023" s="1">
        <v>5</v>
      </c>
      <c r="F2023" s="1">
        <v>5</v>
      </c>
      <c r="G2023" s="1">
        <v>35</v>
      </c>
      <c r="H2023" s="10" t="s">
        <v>2122</v>
      </c>
      <c r="I2023" s="1">
        <v>76000</v>
      </c>
      <c r="J2023" s="1">
        <v>150</v>
      </c>
      <c r="K2023" s="1">
        <v>1500</v>
      </c>
      <c r="L2023" s="1">
        <v>22500</v>
      </c>
      <c r="M2023" s="1" t="str">
        <f t="shared" si="64"/>
        <v>103_533_533,104_1066_1066</v>
      </c>
      <c r="N2023" s="1" t="s">
        <v>1782</v>
      </c>
      <c r="O2023" s="1">
        <v>0</v>
      </c>
      <c r="P2023" s="1" t="s">
        <v>2052</v>
      </c>
      <c r="Q2023" s="7" t="str">
        <f t="shared" si="65"/>
        <v>equipment/1301.png</v>
      </c>
      <c r="R2023" s="1">
        <v>0</v>
      </c>
    </row>
    <row r="2024" spans="1:18" ht="14.25" thickBot="1">
      <c r="A2024" s="1" t="s">
        <v>1609</v>
      </c>
      <c r="B2024" s="3">
        <v>1</v>
      </c>
      <c r="C2024" s="1" t="str">
        <f t="shared" si="63"/>
        <v>召唤魔典</v>
      </c>
      <c r="D2024" s="1" t="s">
        <v>13</v>
      </c>
      <c r="E2024" s="1">
        <v>6</v>
      </c>
      <c r="F2024" s="1">
        <v>5</v>
      </c>
      <c r="G2024" s="1">
        <v>35</v>
      </c>
      <c r="H2024" s="10" t="s">
        <v>2122</v>
      </c>
      <c r="I2024" s="1">
        <v>70000</v>
      </c>
      <c r="J2024" s="1">
        <v>150</v>
      </c>
      <c r="K2024" s="1">
        <v>1500</v>
      </c>
      <c r="L2024" s="1">
        <v>20000</v>
      </c>
      <c r="M2024" s="1" t="str">
        <f t="shared" si="64"/>
        <v>102_1040_1040</v>
      </c>
      <c r="N2024" s="1" t="s">
        <v>1782</v>
      </c>
      <c r="O2024" s="1">
        <v>0</v>
      </c>
      <c r="P2024" s="1" t="s">
        <v>2052</v>
      </c>
      <c r="Q2024" s="7" t="str">
        <f t="shared" si="65"/>
        <v>equipment/2308.png</v>
      </c>
      <c r="R2024" s="1">
        <v>0</v>
      </c>
    </row>
    <row r="2025" spans="1:18" ht="14.25" thickBot="1">
      <c r="A2025" s="1" t="s">
        <v>1610</v>
      </c>
      <c r="B2025" s="3">
        <v>1</v>
      </c>
      <c r="C2025" s="1" t="str">
        <f t="shared" si="63"/>
        <v>大法师之书</v>
      </c>
      <c r="D2025" s="1" t="s">
        <v>13</v>
      </c>
      <c r="E2025" s="1">
        <v>6</v>
      </c>
      <c r="F2025" s="1">
        <v>5</v>
      </c>
      <c r="G2025" s="1">
        <v>35</v>
      </c>
      <c r="H2025" s="10" t="s">
        <v>2122</v>
      </c>
      <c r="I2025" s="1">
        <v>76000</v>
      </c>
      <c r="J2025" s="1">
        <v>150</v>
      </c>
      <c r="K2025" s="1">
        <v>1500</v>
      </c>
      <c r="L2025" s="1">
        <v>22500</v>
      </c>
      <c r="M2025" s="1" t="str">
        <f t="shared" si="64"/>
        <v>102_1120_1120</v>
      </c>
      <c r="N2025" s="1" t="s">
        <v>1782</v>
      </c>
      <c r="O2025" s="1">
        <v>0</v>
      </c>
      <c r="P2025" s="1" t="s">
        <v>2052</v>
      </c>
      <c r="Q2025" s="7" t="str">
        <f t="shared" si="65"/>
        <v>equipment/2314.png</v>
      </c>
      <c r="R2025" s="1">
        <v>0</v>
      </c>
    </row>
    <row r="2026" spans="1:18" ht="14.25" thickBot="1">
      <c r="A2026" s="1" t="s">
        <v>1611</v>
      </c>
      <c r="B2026" s="3">
        <v>1</v>
      </c>
      <c r="C2026" s="1" t="str">
        <f t="shared" si="63"/>
        <v>蛮兽胸甲</v>
      </c>
      <c r="D2026" s="1" t="s">
        <v>11</v>
      </c>
      <c r="E2026" s="1">
        <v>4</v>
      </c>
      <c r="F2026" s="1">
        <v>5</v>
      </c>
      <c r="G2026" s="1">
        <v>35</v>
      </c>
      <c r="H2026" s="10">
        <v>0</v>
      </c>
      <c r="I2026" s="1">
        <v>70000</v>
      </c>
      <c r="J2026" s="1">
        <v>150</v>
      </c>
      <c r="K2026" s="1">
        <v>1500</v>
      </c>
      <c r="L2026" s="1">
        <v>20000</v>
      </c>
      <c r="M2026" s="1" t="str">
        <f t="shared" si="64"/>
        <v>105_293_293</v>
      </c>
      <c r="N2026" s="1" t="s">
        <v>1781</v>
      </c>
      <c r="O2026" s="1">
        <v>0</v>
      </c>
      <c r="P2026" s="1" t="s">
        <v>2052</v>
      </c>
      <c r="Q2026" s="7" t="str">
        <f t="shared" si="65"/>
        <v>equipment/5011.png</v>
      </c>
      <c r="R2026" s="1">
        <v>0</v>
      </c>
    </row>
    <row r="2027" spans="1:18" ht="14.25" thickBot="1">
      <c r="A2027" s="1" t="s">
        <v>1612</v>
      </c>
      <c r="B2027" s="3">
        <v>1</v>
      </c>
      <c r="C2027" s="1" t="str">
        <f t="shared" si="63"/>
        <v>魔鳞外衣</v>
      </c>
      <c r="D2027" s="1" t="s">
        <v>11</v>
      </c>
      <c r="E2027" s="1">
        <v>4</v>
      </c>
      <c r="F2027" s="1">
        <v>5</v>
      </c>
      <c r="G2027" s="1">
        <v>35</v>
      </c>
      <c r="H2027" s="10">
        <v>0</v>
      </c>
      <c r="I2027" s="1">
        <v>76000</v>
      </c>
      <c r="J2027" s="1">
        <v>150</v>
      </c>
      <c r="K2027" s="1">
        <v>1500</v>
      </c>
      <c r="L2027" s="1">
        <v>22500</v>
      </c>
      <c r="M2027" s="1" t="str">
        <f t="shared" si="64"/>
        <v>105_375_375</v>
      </c>
      <c r="N2027" s="1" t="s">
        <v>1781</v>
      </c>
      <c r="O2027" s="1">
        <v>0</v>
      </c>
      <c r="P2027" s="1" t="s">
        <v>2052</v>
      </c>
      <c r="Q2027" s="7" t="str">
        <f t="shared" si="65"/>
        <v>equipment/5001.png</v>
      </c>
      <c r="R2027" s="1">
        <v>0</v>
      </c>
    </row>
    <row r="2028" spans="1:18" ht="14.25" thickBot="1">
      <c r="A2028" s="1" t="s">
        <v>1613</v>
      </c>
      <c r="B2028" s="3">
        <v>1</v>
      </c>
      <c r="C2028" s="1" t="str">
        <f t="shared" si="63"/>
        <v>残忍腿甲</v>
      </c>
      <c r="D2028" s="1" t="s">
        <v>14</v>
      </c>
      <c r="E2028" s="1">
        <v>7</v>
      </c>
      <c r="F2028" s="1">
        <v>5</v>
      </c>
      <c r="G2028" s="1">
        <v>35</v>
      </c>
      <c r="H2028" s="10">
        <v>0</v>
      </c>
      <c r="I2028" s="1">
        <v>70000</v>
      </c>
      <c r="J2028" s="1">
        <v>150</v>
      </c>
      <c r="K2028" s="1">
        <v>1500</v>
      </c>
      <c r="L2028" s="1">
        <v>20000</v>
      </c>
      <c r="M2028" s="1" t="str">
        <f t="shared" si="64"/>
        <v>105_293_293</v>
      </c>
      <c r="N2028" s="1" t="s">
        <v>1781</v>
      </c>
      <c r="O2028" s="1">
        <v>0</v>
      </c>
      <c r="P2028" s="1" t="s">
        <v>2052</v>
      </c>
      <c r="Q2028" s="7" t="str">
        <f t="shared" si="65"/>
        <v>equipment/7008.png</v>
      </c>
      <c r="R2028" s="1">
        <v>0</v>
      </c>
    </row>
    <row r="2029" spans="1:18" ht="14.25" thickBot="1">
      <c r="A2029" s="1" t="s">
        <v>1614</v>
      </c>
      <c r="B2029" s="2">
        <v>0</v>
      </c>
      <c r="C2029" s="1" t="str">
        <f t="shared" si="63"/>
        <v>学徒短裤</v>
      </c>
      <c r="D2029" s="1" t="s">
        <v>14</v>
      </c>
      <c r="E2029" s="1">
        <v>7</v>
      </c>
      <c r="F2029" s="1">
        <v>5</v>
      </c>
      <c r="G2029" s="1">
        <v>35</v>
      </c>
      <c r="H2029" s="10">
        <v>0</v>
      </c>
      <c r="I2029" s="1">
        <v>76000</v>
      </c>
      <c r="J2029" s="1">
        <v>150</v>
      </c>
      <c r="K2029" s="1">
        <v>1500</v>
      </c>
      <c r="L2029" s="1">
        <v>22500</v>
      </c>
      <c r="M2029" s="1" t="str">
        <f t="shared" si="64"/>
        <v>105_331_331</v>
      </c>
      <c r="N2029" s="1" t="s">
        <v>1781</v>
      </c>
      <c r="O2029" s="1">
        <v>0</v>
      </c>
      <c r="P2029" s="1" t="s">
        <v>2052</v>
      </c>
      <c r="Q2029" s="7" t="str">
        <f t="shared" si="65"/>
        <v>equipment/7001.png</v>
      </c>
      <c r="R2029" s="1">
        <v>0</v>
      </c>
    </row>
    <row r="2030" spans="1:18" ht="14.25" thickBot="1">
      <c r="A2030" s="1" t="s">
        <v>1615</v>
      </c>
      <c r="B2030" s="3">
        <v>1</v>
      </c>
      <c r="C2030" s="1" t="str">
        <f t="shared" si="63"/>
        <v>烈焰头罩</v>
      </c>
      <c r="D2030" s="1" t="s">
        <v>8</v>
      </c>
      <c r="E2030" s="1">
        <v>1</v>
      </c>
      <c r="F2030" s="1">
        <v>5</v>
      </c>
      <c r="G2030" s="1">
        <v>40</v>
      </c>
      <c r="H2030" s="10">
        <v>0</v>
      </c>
      <c r="I2030" s="1">
        <v>80000</v>
      </c>
      <c r="J2030" s="1">
        <v>150</v>
      </c>
      <c r="K2030" s="1">
        <v>1500</v>
      </c>
      <c r="L2030" s="1">
        <v>22500</v>
      </c>
      <c r="M2030" s="1" t="str">
        <f t="shared" si="64"/>
        <v>106_751_751</v>
      </c>
      <c r="N2030" s="1" t="s">
        <v>1783</v>
      </c>
      <c r="O2030" s="1">
        <v>0</v>
      </c>
      <c r="P2030" s="1" t="s">
        <v>2053</v>
      </c>
      <c r="Q2030" s="7" t="str">
        <f t="shared" si="65"/>
        <v>equipment/3007.png</v>
      </c>
      <c r="R2030" s="1">
        <v>0</v>
      </c>
    </row>
    <row r="2031" spans="1:18" ht="14.25" thickBot="1">
      <c r="A2031" s="1" t="s">
        <v>1616</v>
      </c>
      <c r="B2031" s="3">
        <v>1</v>
      </c>
      <c r="C2031" s="1" t="str">
        <f t="shared" si="63"/>
        <v>龙纹戒指</v>
      </c>
      <c r="D2031" s="1" t="s">
        <v>9</v>
      </c>
      <c r="E2031" s="1">
        <v>2</v>
      </c>
      <c r="F2031" s="1">
        <v>5</v>
      </c>
      <c r="G2031" s="1">
        <v>40</v>
      </c>
      <c r="H2031" s="10">
        <v>0</v>
      </c>
      <c r="I2031" s="1">
        <v>80000</v>
      </c>
      <c r="J2031" s="1">
        <v>150</v>
      </c>
      <c r="K2031" s="1">
        <v>1500</v>
      </c>
      <c r="L2031" s="1">
        <v>22500</v>
      </c>
      <c r="M2031" s="1" t="str">
        <f t="shared" si="64"/>
        <v>102_740_740</v>
      </c>
      <c r="N2031" s="1" t="s">
        <v>1783</v>
      </c>
      <c r="O2031" s="1">
        <v>0</v>
      </c>
      <c r="P2031" s="1" t="s">
        <v>2053</v>
      </c>
      <c r="Q2031" s="7" t="str">
        <f t="shared" si="65"/>
        <v>equipment/14007.png</v>
      </c>
      <c r="R2031" s="1">
        <v>0</v>
      </c>
    </row>
    <row r="2032" spans="1:18" ht="14.25" thickBot="1">
      <c r="A2032" s="1" t="s">
        <v>1617</v>
      </c>
      <c r="B2032" s="3">
        <v>1</v>
      </c>
      <c r="C2032" s="1" t="str">
        <f t="shared" si="63"/>
        <v>力量腰带</v>
      </c>
      <c r="D2032" s="1" t="s">
        <v>10</v>
      </c>
      <c r="E2032" s="1">
        <v>3</v>
      </c>
      <c r="F2032" s="1">
        <v>5</v>
      </c>
      <c r="G2032" s="1">
        <v>40</v>
      </c>
      <c r="H2032" s="10">
        <v>0</v>
      </c>
      <c r="I2032" s="1">
        <v>80000</v>
      </c>
      <c r="J2032" s="1">
        <v>150</v>
      </c>
      <c r="K2032" s="1">
        <v>1500</v>
      </c>
      <c r="L2032" s="1">
        <v>22500</v>
      </c>
      <c r="M2032" s="1" t="str">
        <f t="shared" si="64"/>
        <v>101_6720_6720</v>
      </c>
      <c r="N2032" s="1" t="s">
        <v>1783</v>
      </c>
      <c r="O2032" s="1">
        <v>0</v>
      </c>
      <c r="P2032" s="1" t="s">
        <v>2053</v>
      </c>
      <c r="Q2032" s="7" t="str">
        <f t="shared" si="65"/>
        <v>equipment/6007.png</v>
      </c>
      <c r="R2032" s="1">
        <v>0</v>
      </c>
    </row>
    <row r="2033" spans="1:18" ht="14.25" thickBot="1">
      <c r="A2033" s="1" t="s">
        <v>1618</v>
      </c>
      <c r="B2033" s="3">
        <v>1</v>
      </c>
      <c r="C2033" s="1" t="str">
        <f t="shared" si="63"/>
        <v>征战之靴</v>
      </c>
      <c r="D2033" s="1" t="s">
        <v>15</v>
      </c>
      <c r="E2033" s="1">
        <v>8</v>
      </c>
      <c r="F2033" s="1">
        <v>5</v>
      </c>
      <c r="G2033" s="1">
        <v>40</v>
      </c>
      <c r="H2033" s="10">
        <v>0</v>
      </c>
      <c r="I2033" s="1">
        <v>80000</v>
      </c>
      <c r="J2033" s="1">
        <v>150</v>
      </c>
      <c r="K2033" s="1">
        <v>1500</v>
      </c>
      <c r="L2033" s="1">
        <v>22500</v>
      </c>
      <c r="M2033" s="1" t="str">
        <f t="shared" si="64"/>
        <v>110_108_108</v>
      </c>
      <c r="N2033" s="1" t="s">
        <v>1783</v>
      </c>
      <c r="O2033" s="1">
        <v>0</v>
      </c>
      <c r="P2033" s="1" t="s">
        <v>2053</v>
      </c>
      <c r="Q2033" s="7" t="str">
        <f t="shared" si="65"/>
        <v>equipment/8007.png</v>
      </c>
      <c r="R2033" s="1">
        <v>0</v>
      </c>
    </row>
    <row r="2034" spans="1:18" ht="14.25" thickBot="1">
      <c r="A2034" s="1" t="s">
        <v>1619</v>
      </c>
      <c r="B2034" s="3">
        <v>1</v>
      </c>
      <c r="C2034" s="1" t="str">
        <f t="shared" si="63"/>
        <v>重拳手套</v>
      </c>
      <c r="D2034" s="1" t="s">
        <v>16</v>
      </c>
      <c r="E2034" s="1">
        <v>9</v>
      </c>
      <c r="F2034" s="1">
        <v>5</v>
      </c>
      <c r="G2034" s="1">
        <v>40</v>
      </c>
      <c r="H2034" s="10">
        <v>0</v>
      </c>
      <c r="I2034" s="1">
        <v>80000</v>
      </c>
      <c r="J2034" s="1">
        <v>150</v>
      </c>
      <c r="K2034" s="1">
        <v>1500</v>
      </c>
      <c r="L2034" s="1">
        <v>22500</v>
      </c>
      <c r="M2034" s="1" t="str">
        <f t="shared" si="64"/>
        <v>108_880_880</v>
      </c>
      <c r="N2034" s="1" t="s">
        <v>1783</v>
      </c>
      <c r="O2034" s="1">
        <v>0</v>
      </c>
      <c r="P2034" s="1" t="s">
        <v>2053</v>
      </c>
      <c r="Q2034" s="7" t="str">
        <f t="shared" si="65"/>
        <v>equipment/10007.png</v>
      </c>
      <c r="R2034" s="1">
        <v>0</v>
      </c>
    </row>
    <row r="2035" spans="1:18" ht="14.25" thickBot="1">
      <c r="A2035" s="1" t="s">
        <v>1620</v>
      </c>
      <c r="B2035" s="2">
        <v>1</v>
      </c>
      <c r="C2035" s="1" t="str">
        <f t="shared" si="63"/>
        <v>迅捷项链</v>
      </c>
      <c r="D2035" s="1" t="s">
        <v>17</v>
      </c>
      <c r="E2035" s="1">
        <v>10</v>
      </c>
      <c r="F2035" s="1">
        <v>5</v>
      </c>
      <c r="G2035" s="1">
        <v>40</v>
      </c>
      <c r="H2035" s="10">
        <v>0</v>
      </c>
      <c r="I2035" s="1">
        <v>80000</v>
      </c>
      <c r="J2035" s="1">
        <v>150</v>
      </c>
      <c r="K2035" s="1">
        <v>1500</v>
      </c>
      <c r="L2035" s="1">
        <v>22500</v>
      </c>
      <c r="M2035" s="1" t="str">
        <f t="shared" si="64"/>
        <v>107_542_542</v>
      </c>
      <c r="N2035" s="1" t="s">
        <v>1783</v>
      </c>
      <c r="O2035" s="1">
        <v>0</v>
      </c>
      <c r="P2035" s="1" t="s">
        <v>2053</v>
      </c>
      <c r="Q2035" s="7" t="str">
        <f t="shared" si="65"/>
        <v>equipment/12012.png</v>
      </c>
      <c r="R2035" s="1">
        <v>0</v>
      </c>
    </row>
    <row r="2036" spans="1:18" ht="14.25" thickBot="1">
      <c r="A2036" s="1" t="s">
        <v>1621</v>
      </c>
      <c r="B2036" s="3">
        <v>1</v>
      </c>
      <c r="C2036" s="1" t="str">
        <f t="shared" si="63"/>
        <v>魔铁巨剑</v>
      </c>
      <c r="D2036" s="1" t="s">
        <v>12</v>
      </c>
      <c r="E2036" s="1">
        <v>5</v>
      </c>
      <c r="F2036" s="1">
        <v>5</v>
      </c>
      <c r="G2036" s="1">
        <v>40</v>
      </c>
      <c r="H2036" s="10" t="s">
        <v>2120</v>
      </c>
      <c r="I2036" s="1">
        <v>80000</v>
      </c>
      <c r="J2036" s="1">
        <v>150</v>
      </c>
      <c r="K2036" s="1">
        <v>1500</v>
      </c>
      <c r="L2036" s="1">
        <v>22500</v>
      </c>
      <c r="M2036" s="1" t="str">
        <f t="shared" si="64"/>
        <v>103_670_670,104_1340_1340</v>
      </c>
      <c r="N2036" s="1" t="s">
        <v>1784</v>
      </c>
      <c r="O2036" s="1">
        <v>0</v>
      </c>
      <c r="P2036" s="1" t="s">
        <v>2053</v>
      </c>
      <c r="Q2036" s="7" t="str">
        <f t="shared" si="65"/>
        <v>equipment/1115.png</v>
      </c>
      <c r="R2036" s="1">
        <v>0</v>
      </c>
    </row>
    <row r="2037" spans="1:18" ht="14.25" thickBot="1">
      <c r="A2037" s="1" t="s">
        <v>1622</v>
      </c>
      <c r="B2037" s="3">
        <v>1</v>
      </c>
      <c r="C2037" s="1" t="str">
        <f t="shared" si="63"/>
        <v>破咒之刃</v>
      </c>
      <c r="D2037" s="1" t="s">
        <v>12</v>
      </c>
      <c r="E2037" s="1">
        <v>5</v>
      </c>
      <c r="F2037" s="1">
        <v>5</v>
      </c>
      <c r="G2037" s="1">
        <v>40</v>
      </c>
      <c r="H2037" s="10" t="s">
        <v>2120</v>
      </c>
      <c r="I2037" s="1">
        <v>86000</v>
      </c>
      <c r="J2037" s="1">
        <v>150</v>
      </c>
      <c r="K2037" s="1">
        <v>1500</v>
      </c>
      <c r="L2037" s="1">
        <v>25000</v>
      </c>
      <c r="M2037" s="1" t="str">
        <f t="shared" si="64"/>
        <v>103_743_743,104_1486_1486</v>
      </c>
      <c r="N2037" s="1" t="s">
        <v>1784</v>
      </c>
      <c r="O2037" s="1">
        <v>0</v>
      </c>
      <c r="P2037" s="1" t="s">
        <v>2053</v>
      </c>
      <c r="Q2037" s="7" t="str">
        <f t="shared" si="65"/>
        <v>equipment/1116.png</v>
      </c>
      <c r="R2037" s="1">
        <v>0</v>
      </c>
    </row>
    <row r="2038" spans="1:18" ht="14.25" thickBot="1">
      <c r="A2038" s="1" t="s">
        <v>1623</v>
      </c>
      <c r="B2038" s="3">
        <v>1</v>
      </c>
      <c r="C2038" s="1" t="str">
        <f t="shared" si="63"/>
        <v>洛阿巨盾</v>
      </c>
      <c r="D2038" s="1" t="s">
        <v>13</v>
      </c>
      <c r="E2038" s="1">
        <v>6</v>
      </c>
      <c r="F2038" s="1">
        <v>5</v>
      </c>
      <c r="G2038" s="1">
        <v>40</v>
      </c>
      <c r="H2038" s="10" t="s">
        <v>2120</v>
      </c>
      <c r="I2038" s="1">
        <v>80000</v>
      </c>
      <c r="J2038" s="1">
        <v>150</v>
      </c>
      <c r="K2038" s="1">
        <v>1500</v>
      </c>
      <c r="L2038" s="1">
        <v>22500</v>
      </c>
      <c r="M2038" s="1" t="str">
        <f t="shared" si="64"/>
        <v>105_880_880</v>
      </c>
      <c r="N2038" s="1" t="s">
        <v>1784</v>
      </c>
      <c r="O2038" s="1">
        <v>0</v>
      </c>
      <c r="P2038" s="1" t="s">
        <v>2053</v>
      </c>
      <c r="Q2038" s="7" t="str">
        <f t="shared" si="65"/>
        <v>equipment/2109.png</v>
      </c>
      <c r="R2038" s="1">
        <v>0</v>
      </c>
    </row>
    <row r="2039" spans="1:18" ht="14.25" thickBot="1">
      <c r="A2039" s="1" t="s">
        <v>1624</v>
      </c>
      <c r="B2039" s="2">
        <v>0</v>
      </c>
      <c r="C2039" s="1" t="str">
        <f t="shared" si="63"/>
        <v>尖头盾</v>
      </c>
      <c r="D2039" s="1" t="s">
        <v>13</v>
      </c>
      <c r="E2039" s="1">
        <v>6</v>
      </c>
      <c r="F2039" s="1">
        <v>5</v>
      </c>
      <c r="G2039" s="1">
        <v>40</v>
      </c>
      <c r="H2039" s="10" t="s">
        <v>2120</v>
      </c>
      <c r="I2039" s="1">
        <v>86000</v>
      </c>
      <c r="J2039" s="1">
        <v>150</v>
      </c>
      <c r="K2039" s="1">
        <v>1500</v>
      </c>
      <c r="L2039" s="1">
        <v>25000</v>
      </c>
      <c r="M2039" s="1" t="str">
        <f t="shared" si="64"/>
        <v>105_1029_1029</v>
      </c>
      <c r="N2039" s="1" t="s">
        <v>1784</v>
      </c>
      <c r="O2039" s="1">
        <v>0</v>
      </c>
      <c r="P2039" s="1" t="s">
        <v>2053</v>
      </c>
      <c r="Q2039" s="7" t="str">
        <f t="shared" si="65"/>
        <v>equipment/2101.png</v>
      </c>
      <c r="R2039" s="1">
        <v>0</v>
      </c>
    </row>
    <row r="2040" spans="1:18" ht="14.25" thickBot="1">
      <c r="A2040" s="1" t="s">
        <v>1625</v>
      </c>
      <c r="B2040" s="3">
        <v>1</v>
      </c>
      <c r="C2040" s="1" t="str">
        <f t="shared" si="63"/>
        <v>强击之弓</v>
      </c>
      <c r="D2040" s="1" t="s">
        <v>12</v>
      </c>
      <c r="E2040" s="1">
        <v>5</v>
      </c>
      <c r="F2040" s="1">
        <v>5</v>
      </c>
      <c r="G2040" s="1">
        <v>40</v>
      </c>
      <c r="H2040" s="10" t="s">
        <v>2121</v>
      </c>
      <c r="I2040" s="1">
        <v>80000</v>
      </c>
      <c r="J2040" s="1">
        <v>150</v>
      </c>
      <c r="K2040" s="1">
        <v>1500</v>
      </c>
      <c r="L2040" s="1">
        <v>22500</v>
      </c>
      <c r="M2040" s="1" t="str">
        <f t="shared" si="64"/>
        <v>103_670_670,104_1340_1340</v>
      </c>
      <c r="N2040" s="1" t="s">
        <v>1784</v>
      </c>
      <c r="O2040" s="1">
        <v>0</v>
      </c>
      <c r="P2040" s="1" t="s">
        <v>2053</v>
      </c>
      <c r="Q2040" s="7" t="str">
        <f t="shared" si="65"/>
        <v>equipment/1216.png</v>
      </c>
      <c r="R2040" s="1">
        <v>0</v>
      </c>
    </row>
    <row r="2041" spans="1:18" ht="14.25" thickBot="1">
      <c r="A2041" s="1" t="s">
        <v>1626</v>
      </c>
      <c r="B2041" s="3">
        <v>1</v>
      </c>
      <c r="C2041" s="1" t="str">
        <f t="shared" si="63"/>
        <v>羽月长弓</v>
      </c>
      <c r="D2041" s="1" t="s">
        <v>12</v>
      </c>
      <c r="E2041" s="1">
        <v>5</v>
      </c>
      <c r="F2041" s="1">
        <v>5</v>
      </c>
      <c r="G2041" s="1">
        <v>40</v>
      </c>
      <c r="H2041" s="10" t="s">
        <v>2121</v>
      </c>
      <c r="I2041" s="1">
        <v>86000</v>
      </c>
      <c r="J2041" s="1">
        <v>150</v>
      </c>
      <c r="K2041" s="1">
        <v>1500</v>
      </c>
      <c r="L2041" s="1">
        <v>25000</v>
      </c>
      <c r="M2041" s="1" t="str">
        <f t="shared" si="64"/>
        <v>103_743_743,104_1486_1486</v>
      </c>
      <c r="N2041" s="1" t="s">
        <v>1784</v>
      </c>
      <c r="O2041" s="1">
        <v>0</v>
      </c>
      <c r="P2041" s="1" t="s">
        <v>2053</v>
      </c>
      <c r="Q2041" s="7" t="str">
        <f t="shared" si="65"/>
        <v>equipment/1214.png</v>
      </c>
      <c r="R2041" s="1">
        <v>0</v>
      </c>
    </row>
    <row r="2042" spans="1:18" ht="14.25" thickBot="1">
      <c r="A2042" s="1" t="s">
        <v>1627</v>
      </c>
      <c r="B2042" s="3">
        <v>1</v>
      </c>
      <c r="C2042" s="1" t="str">
        <f t="shared" si="63"/>
        <v>风怒箭筒</v>
      </c>
      <c r="D2042" s="1" t="s">
        <v>13</v>
      </c>
      <c r="E2042" s="1">
        <v>6</v>
      </c>
      <c r="F2042" s="1">
        <v>5</v>
      </c>
      <c r="G2042" s="1">
        <v>40</v>
      </c>
      <c r="H2042" s="10" t="s">
        <v>2121</v>
      </c>
      <c r="I2042" s="1">
        <v>80000</v>
      </c>
      <c r="J2042" s="1">
        <v>150</v>
      </c>
      <c r="K2042" s="1">
        <v>1500</v>
      </c>
      <c r="L2042" s="1">
        <v>22500</v>
      </c>
      <c r="M2042" s="1" t="str">
        <f t="shared" si="64"/>
        <v>108_880_880</v>
      </c>
      <c r="N2042" s="1" t="s">
        <v>1784</v>
      </c>
      <c r="O2042" s="1">
        <v>0</v>
      </c>
      <c r="P2042" s="1" t="s">
        <v>2053</v>
      </c>
      <c r="Q2042" s="7" t="str">
        <f t="shared" si="65"/>
        <v>equipment/2209.png</v>
      </c>
      <c r="R2042" s="1">
        <v>0</v>
      </c>
    </row>
    <row r="2043" spans="1:18" ht="14.25" thickBot="1">
      <c r="A2043" s="1" t="s">
        <v>1628</v>
      </c>
      <c r="B2043" s="2">
        <v>0</v>
      </c>
      <c r="C2043" s="1" t="str">
        <f t="shared" si="63"/>
        <v>箭筒</v>
      </c>
      <c r="D2043" s="1" t="s">
        <v>13</v>
      </c>
      <c r="E2043" s="1">
        <v>6</v>
      </c>
      <c r="F2043" s="1">
        <v>5</v>
      </c>
      <c r="G2043" s="1">
        <v>40</v>
      </c>
      <c r="H2043" s="10" t="s">
        <v>2121</v>
      </c>
      <c r="I2043" s="1">
        <v>86000</v>
      </c>
      <c r="J2043" s="1">
        <v>150</v>
      </c>
      <c r="K2043" s="1">
        <v>1500</v>
      </c>
      <c r="L2043" s="1">
        <v>25000</v>
      </c>
      <c r="M2043" s="1" t="str">
        <f t="shared" si="64"/>
        <v>108_1029_1029</v>
      </c>
      <c r="N2043" s="1" t="s">
        <v>1784</v>
      </c>
      <c r="O2043" s="1">
        <v>0</v>
      </c>
      <c r="P2043" s="1" t="s">
        <v>2053</v>
      </c>
      <c r="Q2043" s="7" t="str">
        <f t="shared" si="65"/>
        <v>equipment/2201.png</v>
      </c>
      <c r="R2043" s="1">
        <v>0</v>
      </c>
    </row>
    <row r="2044" spans="1:18" ht="14.25" thickBot="1">
      <c r="A2044" s="1" t="s">
        <v>1629</v>
      </c>
      <c r="B2044" s="3">
        <v>1</v>
      </c>
      <c r="C2044" s="1" t="str">
        <f t="shared" si="63"/>
        <v>符文魔杖</v>
      </c>
      <c r="D2044" s="1" t="s">
        <v>12</v>
      </c>
      <c r="E2044" s="1">
        <v>5</v>
      </c>
      <c r="F2044" s="1">
        <v>5</v>
      </c>
      <c r="G2044" s="1">
        <v>40</v>
      </c>
      <c r="H2044" s="10" t="s">
        <v>2122</v>
      </c>
      <c r="I2044" s="1">
        <v>80000</v>
      </c>
      <c r="J2044" s="1">
        <v>150</v>
      </c>
      <c r="K2044" s="1">
        <v>1500</v>
      </c>
      <c r="L2044" s="1">
        <v>22500</v>
      </c>
      <c r="M2044" s="1" t="str">
        <f t="shared" si="64"/>
        <v>103_670_670,104_1340_1340</v>
      </c>
      <c r="N2044" s="1" t="s">
        <v>1784</v>
      </c>
      <c r="O2044" s="1">
        <v>0</v>
      </c>
      <c r="P2044" s="1" t="s">
        <v>2053</v>
      </c>
      <c r="Q2044" s="7" t="str">
        <f t="shared" si="65"/>
        <v>equipment/1317.png</v>
      </c>
      <c r="R2044" s="1">
        <v>0</v>
      </c>
    </row>
    <row r="2045" spans="1:18" ht="14.25" thickBot="1">
      <c r="A2045" s="1" t="s">
        <v>1630</v>
      </c>
      <c r="B2045" s="3">
        <v>1</v>
      </c>
      <c r="C2045" s="1" t="str">
        <f t="shared" si="63"/>
        <v>真理之杖</v>
      </c>
      <c r="D2045" s="1" t="s">
        <v>12</v>
      </c>
      <c r="E2045" s="1">
        <v>5</v>
      </c>
      <c r="F2045" s="1">
        <v>5</v>
      </c>
      <c r="G2045" s="1">
        <v>40</v>
      </c>
      <c r="H2045" s="10" t="s">
        <v>2122</v>
      </c>
      <c r="I2045" s="1">
        <v>86000</v>
      </c>
      <c r="J2045" s="1">
        <v>150</v>
      </c>
      <c r="K2045" s="1">
        <v>1500</v>
      </c>
      <c r="L2045" s="1">
        <v>25000</v>
      </c>
      <c r="M2045" s="1" t="str">
        <f t="shared" si="64"/>
        <v>103_743_743,104_1486_1486</v>
      </c>
      <c r="N2045" s="1" t="s">
        <v>1784</v>
      </c>
      <c r="O2045" s="1">
        <v>0</v>
      </c>
      <c r="P2045" s="1" t="s">
        <v>2053</v>
      </c>
      <c r="Q2045" s="7" t="str">
        <f t="shared" si="65"/>
        <v>equipment/1315.png</v>
      </c>
      <c r="R2045" s="1">
        <v>0</v>
      </c>
    </row>
    <row r="2046" spans="1:18" ht="14.25" thickBot="1">
      <c r="A2046" s="1" t="s">
        <v>1631</v>
      </c>
      <c r="B2046" s="3">
        <v>1</v>
      </c>
      <c r="C2046" s="1" t="str">
        <f t="shared" si="63"/>
        <v>附魔秘典</v>
      </c>
      <c r="D2046" s="1" t="s">
        <v>13</v>
      </c>
      <c r="E2046" s="1">
        <v>6</v>
      </c>
      <c r="F2046" s="1">
        <v>5</v>
      </c>
      <c r="G2046" s="1">
        <v>40</v>
      </c>
      <c r="H2046" s="10" t="s">
        <v>2122</v>
      </c>
      <c r="I2046" s="1">
        <v>80000</v>
      </c>
      <c r="J2046" s="1">
        <v>150</v>
      </c>
      <c r="K2046" s="1">
        <v>1500</v>
      </c>
      <c r="L2046" s="1">
        <v>22500</v>
      </c>
      <c r="M2046" s="1" t="str">
        <f t="shared" si="64"/>
        <v>102_1240_1240</v>
      </c>
      <c r="N2046" s="1" t="s">
        <v>1784</v>
      </c>
      <c r="O2046" s="1">
        <v>0</v>
      </c>
      <c r="P2046" s="1" t="s">
        <v>2053</v>
      </c>
      <c r="Q2046" s="7" t="str">
        <f t="shared" si="65"/>
        <v>equipment/2309.png</v>
      </c>
      <c r="R2046" s="1">
        <v>0</v>
      </c>
    </row>
    <row r="2047" spans="1:18" ht="14.25" thickBot="1">
      <c r="A2047" s="1" t="s">
        <v>1632</v>
      </c>
      <c r="B2047" s="2">
        <v>0</v>
      </c>
      <c r="C2047" s="1" t="str">
        <f t="shared" si="63"/>
        <v>法术指南</v>
      </c>
      <c r="D2047" s="1" t="s">
        <v>13</v>
      </c>
      <c r="E2047" s="1">
        <v>6</v>
      </c>
      <c r="F2047" s="1">
        <v>5</v>
      </c>
      <c r="G2047" s="1">
        <v>40</v>
      </c>
      <c r="H2047" s="10" t="s">
        <v>2122</v>
      </c>
      <c r="I2047" s="1">
        <v>86000</v>
      </c>
      <c r="J2047" s="1">
        <v>150</v>
      </c>
      <c r="K2047" s="1">
        <v>1500</v>
      </c>
      <c r="L2047" s="1">
        <v>25000</v>
      </c>
      <c r="M2047" s="1" t="str">
        <f t="shared" si="64"/>
        <v>102_1029_1029</v>
      </c>
      <c r="N2047" s="1" t="s">
        <v>1784</v>
      </c>
      <c r="O2047" s="1">
        <v>0</v>
      </c>
      <c r="P2047" s="1" t="s">
        <v>2053</v>
      </c>
      <c r="Q2047" s="7" t="str">
        <f t="shared" si="65"/>
        <v>equipment/2301.png</v>
      </c>
      <c r="R2047" s="1">
        <v>0</v>
      </c>
    </row>
    <row r="2048" spans="1:18" ht="14.25" thickBot="1">
      <c r="A2048" s="1" t="s">
        <v>1633</v>
      </c>
      <c r="B2048" s="3">
        <v>1</v>
      </c>
      <c r="C2048" s="1" t="str">
        <f t="shared" si="63"/>
        <v>瑟银护甲</v>
      </c>
      <c r="D2048" s="1" t="s">
        <v>11</v>
      </c>
      <c r="E2048" s="1">
        <v>4</v>
      </c>
      <c r="F2048" s="1">
        <v>5</v>
      </c>
      <c r="G2048" s="1">
        <v>40</v>
      </c>
      <c r="H2048" s="10">
        <v>0</v>
      </c>
      <c r="I2048" s="1">
        <v>80000</v>
      </c>
      <c r="J2048" s="1">
        <v>150</v>
      </c>
      <c r="K2048" s="1">
        <v>1500</v>
      </c>
      <c r="L2048" s="1">
        <v>22500</v>
      </c>
      <c r="M2048" s="1" t="str">
        <f t="shared" si="64"/>
        <v>105_497_497</v>
      </c>
      <c r="N2048" s="1" t="s">
        <v>1783</v>
      </c>
      <c r="O2048" s="1">
        <v>0</v>
      </c>
      <c r="P2048" s="1" t="s">
        <v>2053</v>
      </c>
      <c r="Q2048" s="7" t="str">
        <f t="shared" si="65"/>
        <v>equipment/5012.png</v>
      </c>
      <c r="R2048" s="1">
        <v>0</v>
      </c>
    </row>
    <row r="2049" spans="1:18" ht="14.25" thickBot="1">
      <c r="A2049" s="1" t="s">
        <v>1634</v>
      </c>
      <c r="B2049" s="2">
        <v>0</v>
      </c>
      <c r="C2049" s="1" t="str">
        <f t="shared" si="63"/>
        <v>新兵外套</v>
      </c>
      <c r="D2049" s="1" t="s">
        <v>11</v>
      </c>
      <c r="E2049" s="1">
        <v>4</v>
      </c>
      <c r="F2049" s="1">
        <v>5</v>
      </c>
      <c r="G2049" s="1">
        <v>40</v>
      </c>
      <c r="H2049" s="10">
        <v>0</v>
      </c>
      <c r="I2049" s="1">
        <v>86000</v>
      </c>
      <c r="J2049" s="1">
        <v>150</v>
      </c>
      <c r="K2049" s="1">
        <v>1500</v>
      </c>
      <c r="L2049" s="1">
        <v>25000</v>
      </c>
      <c r="M2049" s="1" t="str">
        <f t="shared" si="64"/>
        <v>105_549_549</v>
      </c>
      <c r="N2049" s="1" t="s">
        <v>1783</v>
      </c>
      <c r="O2049" s="1">
        <v>0</v>
      </c>
      <c r="P2049" s="1" t="s">
        <v>2053</v>
      </c>
      <c r="Q2049" s="7" t="str">
        <f t="shared" si="65"/>
        <v>equipment/5001.png</v>
      </c>
      <c r="R2049" s="1">
        <v>0</v>
      </c>
    </row>
    <row r="2050" spans="1:18" ht="14.25" thickBot="1">
      <c r="A2050" s="1" t="s">
        <v>1635</v>
      </c>
      <c r="B2050" s="3">
        <v>1</v>
      </c>
      <c r="C2050" s="1" t="str">
        <f t="shared" si="63"/>
        <v>巨熊护腿</v>
      </c>
      <c r="D2050" s="1" t="s">
        <v>14</v>
      </c>
      <c r="E2050" s="1">
        <v>7</v>
      </c>
      <c r="F2050" s="1">
        <v>5</v>
      </c>
      <c r="G2050" s="1">
        <v>40</v>
      </c>
      <c r="H2050" s="10">
        <v>0</v>
      </c>
      <c r="I2050" s="1">
        <v>80000</v>
      </c>
      <c r="J2050" s="1">
        <v>150</v>
      </c>
      <c r="K2050" s="1">
        <v>1500</v>
      </c>
      <c r="L2050" s="1">
        <v>22500</v>
      </c>
      <c r="M2050" s="1" t="str">
        <f t="shared" si="64"/>
        <v>105_387_387</v>
      </c>
      <c r="N2050" s="1" t="s">
        <v>1783</v>
      </c>
      <c r="O2050" s="1">
        <v>0</v>
      </c>
      <c r="P2050" s="1" t="s">
        <v>2053</v>
      </c>
      <c r="Q2050" s="7" t="str">
        <f t="shared" si="65"/>
        <v>equipment/7009.png</v>
      </c>
      <c r="R2050" s="1">
        <v>0</v>
      </c>
    </row>
    <row r="2051" spans="1:18" ht="14.25" thickBot="1">
      <c r="A2051" s="1" t="s">
        <v>1636</v>
      </c>
      <c r="B2051" s="2">
        <v>0</v>
      </c>
      <c r="C2051" s="1" t="str">
        <f t="shared" si="63"/>
        <v>学徒短裤</v>
      </c>
      <c r="D2051" s="1" t="s">
        <v>14</v>
      </c>
      <c r="E2051" s="1">
        <v>7</v>
      </c>
      <c r="F2051" s="1">
        <v>5</v>
      </c>
      <c r="G2051" s="1">
        <v>40</v>
      </c>
      <c r="H2051" s="10">
        <v>0</v>
      </c>
      <c r="I2051" s="1">
        <v>86000</v>
      </c>
      <c r="J2051" s="1">
        <v>150</v>
      </c>
      <c r="K2051" s="1">
        <v>1500</v>
      </c>
      <c r="L2051" s="1">
        <v>25000</v>
      </c>
      <c r="M2051" s="1" t="str">
        <f t="shared" si="64"/>
        <v>105_431_431</v>
      </c>
      <c r="N2051" s="1" t="s">
        <v>1783</v>
      </c>
      <c r="O2051" s="1">
        <v>0</v>
      </c>
      <c r="P2051" s="1" t="s">
        <v>2053</v>
      </c>
      <c r="Q2051" s="7" t="str">
        <f t="shared" si="65"/>
        <v>equipment/7001.png</v>
      </c>
      <c r="R2051" s="1">
        <v>0</v>
      </c>
    </row>
    <row r="2052" spans="1:18" ht="14.25" thickBot="1">
      <c r="A2052" s="1" t="s">
        <v>1637</v>
      </c>
      <c r="B2052" s="2">
        <v>1</v>
      </c>
      <c r="C2052" s="1" t="str">
        <f t="shared" si="63"/>
        <v>战争头盔</v>
      </c>
      <c r="D2052" s="1" t="s">
        <v>8</v>
      </c>
      <c r="E2052" s="1">
        <v>1</v>
      </c>
      <c r="F2052" s="1">
        <v>5</v>
      </c>
      <c r="G2052" s="1">
        <v>45</v>
      </c>
      <c r="H2052" s="10">
        <v>0</v>
      </c>
      <c r="I2052" s="1">
        <v>90000</v>
      </c>
      <c r="J2052" s="1">
        <v>150</v>
      </c>
      <c r="K2052" s="1">
        <v>1500</v>
      </c>
      <c r="L2052" s="1">
        <v>25000</v>
      </c>
      <c r="M2052" s="1" t="str">
        <f t="shared" si="64"/>
        <v>106_751_751</v>
      </c>
      <c r="N2052" s="1" t="s">
        <v>1785</v>
      </c>
      <c r="O2052" s="1">
        <v>0</v>
      </c>
      <c r="P2052" s="1" t="s">
        <v>2054</v>
      </c>
      <c r="Q2052" s="7" t="str">
        <f t="shared" si="65"/>
        <v>equipment/3003.png</v>
      </c>
      <c r="R2052" s="1">
        <v>0</v>
      </c>
    </row>
    <row r="2053" spans="1:18" ht="14.25" thickBot="1">
      <c r="A2053" s="1" t="s">
        <v>1638</v>
      </c>
      <c r="B2053" s="2">
        <v>1</v>
      </c>
      <c r="C2053" s="1" t="str">
        <f t="shared" si="63"/>
        <v>洞察指环</v>
      </c>
      <c r="D2053" s="1" t="s">
        <v>9</v>
      </c>
      <c r="E2053" s="1">
        <v>2</v>
      </c>
      <c r="F2053" s="1">
        <v>5</v>
      </c>
      <c r="G2053" s="1">
        <v>45</v>
      </c>
      <c r="H2053" s="10">
        <v>0</v>
      </c>
      <c r="I2053" s="1">
        <v>90000</v>
      </c>
      <c r="J2053" s="1">
        <v>150</v>
      </c>
      <c r="K2053" s="1">
        <v>1500</v>
      </c>
      <c r="L2053" s="1">
        <v>25000</v>
      </c>
      <c r="M2053" s="1" t="str">
        <f t="shared" si="64"/>
        <v>102_740_740</v>
      </c>
      <c r="N2053" s="1" t="s">
        <v>1785</v>
      </c>
      <c r="O2053" s="1">
        <v>0</v>
      </c>
      <c r="P2053" s="1" t="s">
        <v>2054</v>
      </c>
      <c r="Q2053" s="7" t="str">
        <f t="shared" si="65"/>
        <v>equipment/14001.png</v>
      </c>
      <c r="R2053" s="1">
        <v>0</v>
      </c>
    </row>
    <row r="2054" spans="1:18" ht="14.25" thickBot="1">
      <c r="A2054" s="1" t="s">
        <v>1639</v>
      </c>
      <c r="B2054" s="3">
        <v>1</v>
      </c>
      <c r="C2054" s="1" t="str">
        <f t="shared" si="63"/>
        <v>督军腰带</v>
      </c>
      <c r="D2054" s="1" t="s">
        <v>10</v>
      </c>
      <c r="E2054" s="1">
        <v>3</v>
      </c>
      <c r="F2054" s="1">
        <v>5</v>
      </c>
      <c r="G2054" s="1">
        <v>45</v>
      </c>
      <c r="H2054" s="10">
        <v>0</v>
      </c>
      <c r="I2054" s="1">
        <v>90000</v>
      </c>
      <c r="J2054" s="1">
        <v>150</v>
      </c>
      <c r="K2054" s="1">
        <v>1500</v>
      </c>
      <c r="L2054" s="1">
        <v>25000</v>
      </c>
      <c r="M2054" s="1" t="str">
        <f t="shared" si="64"/>
        <v>101_8840_8840</v>
      </c>
      <c r="N2054" s="1" t="s">
        <v>1785</v>
      </c>
      <c r="O2054" s="1">
        <v>0</v>
      </c>
      <c r="P2054" s="1" t="s">
        <v>2054</v>
      </c>
      <c r="Q2054" s="7" t="str">
        <f t="shared" si="65"/>
        <v>equipment/6008.png</v>
      </c>
      <c r="R2054" s="1">
        <v>0</v>
      </c>
    </row>
    <row r="2055" spans="1:18" ht="14.25" thickBot="1">
      <c r="A2055" s="1" t="s">
        <v>1640</v>
      </c>
      <c r="B2055" s="3">
        <v>1</v>
      </c>
      <c r="C2055" s="1" t="str">
        <f t="shared" si="63"/>
        <v>浩劫长靴</v>
      </c>
      <c r="D2055" s="1" t="s">
        <v>15</v>
      </c>
      <c r="E2055" s="1">
        <v>8</v>
      </c>
      <c r="F2055" s="1">
        <v>5</v>
      </c>
      <c r="G2055" s="1">
        <v>45</v>
      </c>
      <c r="H2055" s="10">
        <v>0</v>
      </c>
      <c r="I2055" s="1">
        <v>90000</v>
      </c>
      <c r="J2055" s="1">
        <v>150</v>
      </c>
      <c r="K2055" s="1">
        <v>1500</v>
      </c>
      <c r="L2055" s="1">
        <v>25000</v>
      </c>
      <c r="M2055" s="1" t="str">
        <f t="shared" si="64"/>
        <v>110_137_137</v>
      </c>
      <c r="N2055" s="1" t="s">
        <v>1785</v>
      </c>
      <c r="O2055" s="1">
        <v>0</v>
      </c>
      <c r="P2055" s="1" t="s">
        <v>2054</v>
      </c>
      <c r="Q2055" s="7" t="str">
        <f t="shared" si="65"/>
        <v>equipment/8008.png</v>
      </c>
      <c r="R2055" s="1">
        <v>0</v>
      </c>
    </row>
    <row r="2056" spans="1:18" ht="14.25" thickBot="1">
      <c r="A2056" s="1" t="s">
        <v>1641</v>
      </c>
      <c r="B2056" s="3">
        <v>1</v>
      </c>
      <c r="C2056" s="1" t="str">
        <f t="shared" si="63"/>
        <v>愤怒护手</v>
      </c>
      <c r="D2056" s="1" t="s">
        <v>16</v>
      </c>
      <c r="E2056" s="1">
        <v>9</v>
      </c>
      <c r="F2056" s="1">
        <v>5</v>
      </c>
      <c r="G2056" s="1">
        <v>45</v>
      </c>
      <c r="H2056" s="10">
        <v>0</v>
      </c>
      <c r="I2056" s="1">
        <v>90000</v>
      </c>
      <c r="J2056" s="1">
        <v>150</v>
      </c>
      <c r="K2056" s="1">
        <v>1500</v>
      </c>
      <c r="L2056" s="1">
        <v>25000</v>
      </c>
      <c r="M2056" s="1" t="str">
        <f t="shared" si="64"/>
        <v>108_1255_1255</v>
      </c>
      <c r="N2056" s="1" t="s">
        <v>1785</v>
      </c>
      <c r="O2056" s="1">
        <v>0</v>
      </c>
      <c r="P2056" s="1" t="s">
        <v>2054</v>
      </c>
      <c r="Q2056" s="7" t="str">
        <f t="shared" si="65"/>
        <v>equipment/10008.png</v>
      </c>
      <c r="R2056" s="1">
        <v>0</v>
      </c>
    </row>
    <row r="2057" spans="1:18" ht="14.25" thickBot="1">
      <c r="A2057" s="1" t="s">
        <v>1642</v>
      </c>
      <c r="B2057" s="3">
        <v>1</v>
      </c>
      <c r="C2057" s="1" t="str">
        <f t="shared" si="63"/>
        <v>新月项链</v>
      </c>
      <c r="D2057" s="1" t="s">
        <v>17</v>
      </c>
      <c r="E2057" s="1">
        <v>10</v>
      </c>
      <c r="F2057" s="1">
        <v>5</v>
      </c>
      <c r="G2057" s="1">
        <v>45</v>
      </c>
      <c r="H2057" s="10">
        <v>0</v>
      </c>
      <c r="I2057" s="1">
        <v>90000</v>
      </c>
      <c r="J2057" s="1">
        <v>150</v>
      </c>
      <c r="K2057" s="1">
        <v>1500</v>
      </c>
      <c r="L2057" s="1">
        <v>25000</v>
      </c>
      <c r="M2057" s="1" t="str">
        <f t="shared" si="64"/>
        <v>107_751_751</v>
      </c>
      <c r="N2057" s="1" t="s">
        <v>1785</v>
      </c>
      <c r="O2057" s="1">
        <v>0</v>
      </c>
      <c r="P2057" s="1" t="s">
        <v>2054</v>
      </c>
      <c r="Q2057" s="7" t="str">
        <f t="shared" si="65"/>
        <v>equipment/12007.png</v>
      </c>
      <c r="R2057" s="1">
        <v>0</v>
      </c>
    </row>
    <row r="2058" spans="1:18" ht="14.25" thickBot="1">
      <c r="A2058" s="1" t="s">
        <v>1643</v>
      </c>
      <c r="B2058" s="3">
        <v>1</v>
      </c>
      <c r="C2058" s="1" t="str">
        <f t="shared" si="63"/>
        <v>龙纹之刃</v>
      </c>
      <c r="D2058" s="1" t="s">
        <v>12</v>
      </c>
      <c r="E2058" s="1">
        <v>5</v>
      </c>
      <c r="F2058" s="1">
        <v>5</v>
      </c>
      <c r="G2058" s="1">
        <v>45</v>
      </c>
      <c r="H2058" s="10" t="s">
        <v>2120</v>
      </c>
      <c r="I2058" s="1">
        <v>90000</v>
      </c>
      <c r="J2058" s="1">
        <v>150</v>
      </c>
      <c r="K2058" s="1">
        <v>1500</v>
      </c>
      <c r="L2058" s="1">
        <v>25000</v>
      </c>
      <c r="M2058" s="1" t="str">
        <f t="shared" si="64"/>
        <v>103_854_854,104_1708_1708</v>
      </c>
      <c r="N2058" s="1" t="s">
        <v>1786</v>
      </c>
      <c r="O2058" s="1">
        <v>0</v>
      </c>
      <c r="P2058" s="1" t="s">
        <v>2054</v>
      </c>
      <c r="Q2058" s="7" t="str">
        <f t="shared" si="65"/>
        <v>equipment/1117.png</v>
      </c>
      <c r="R2058" s="1">
        <v>0</v>
      </c>
    </row>
    <row r="2059" spans="1:18" ht="14.25" thickBot="1">
      <c r="A2059" s="1" t="s">
        <v>1644</v>
      </c>
      <c r="B2059" s="2">
        <v>0</v>
      </c>
      <c r="C2059" s="1" t="str">
        <f t="shared" si="63"/>
        <v>军刀</v>
      </c>
      <c r="D2059" s="1" t="s">
        <v>12</v>
      </c>
      <c r="E2059" s="1">
        <v>5</v>
      </c>
      <c r="F2059" s="1">
        <v>5</v>
      </c>
      <c r="G2059" s="1">
        <v>45</v>
      </c>
      <c r="H2059" s="10" t="s">
        <v>2120</v>
      </c>
      <c r="I2059" s="1">
        <v>96000</v>
      </c>
      <c r="J2059" s="1">
        <v>150</v>
      </c>
      <c r="K2059" s="1">
        <v>1500</v>
      </c>
      <c r="L2059" s="1">
        <v>27500</v>
      </c>
      <c r="M2059" s="1" t="str">
        <f t="shared" si="64"/>
        <v>103_951_951,104_1902_1902</v>
      </c>
      <c r="N2059" s="1" t="s">
        <v>1786</v>
      </c>
      <c r="O2059" s="1">
        <v>0</v>
      </c>
      <c r="P2059" s="1" t="s">
        <v>2054</v>
      </c>
      <c r="Q2059" s="7" t="str">
        <f t="shared" si="65"/>
        <v>equipment/1101.png</v>
      </c>
      <c r="R2059" s="1">
        <v>0</v>
      </c>
    </row>
    <row r="2060" spans="1:18" ht="14.25" thickBot="1">
      <c r="A2060" s="1" t="s">
        <v>1645</v>
      </c>
      <c r="B2060" s="3">
        <v>1</v>
      </c>
      <c r="C2060" s="1" t="str">
        <f t="shared" si="63"/>
        <v>正义壁垒</v>
      </c>
      <c r="D2060" s="1" t="s">
        <v>13</v>
      </c>
      <c r="E2060" s="1">
        <v>6</v>
      </c>
      <c r="F2060" s="1">
        <v>5</v>
      </c>
      <c r="G2060" s="1">
        <v>45</v>
      </c>
      <c r="H2060" s="10" t="s">
        <v>2120</v>
      </c>
      <c r="I2060" s="1">
        <v>90000</v>
      </c>
      <c r="J2060" s="1">
        <v>150</v>
      </c>
      <c r="K2060" s="1">
        <v>1500</v>
      </c>
      <c r="L2060" s="1">
        <v>25000</v>
      </c>
      <c r="M2060" s="1" t="str">
        <f t="shared" si="64"/>
        <v>105_1253_1253</v>
      </c>
      <c r="N2060" s="1" t="s">
        <v>1786</v>
      </c>
      <c r="O2060" s="1">
        <v>0</v>
      </c>
      <c r="P2060" s="1" t="s">
        <v>2054</v>
      </c>
      <c r="Q2060" s="7" t="str">
        <f t="shared" si="65"/>
        <v>equipment/2110.png</v>
      </c>
      <c r="R2060" s="1">
        <v>0</v>
      </c>
    </row>
    <row r="2061" spans="1:18" ht="14.25" thickBot="1">
      <c r="A2061" s="1" t="s">
        <v>1646</v>
      </c>
      <c r="B2061" s="2">
        <v>0</v>
      </c>
      <c r="C2061" s="1" t="str">
        <f t="shared" si="63"/>
        <v>尖头盾</v>
      </c>
      <c r="D2061" s="1" t="s">
        <v>13</v>
      </c>
      <c r="E2061" s="1">
        <v>6</v>
      </c>
      <c r="F2061" s="1">
        <v>5</v>
      </c>
      <c r="G2061" s="1">
        <v>45</v>
      </c>
      <c r="H2061" s="10" t="s">
        <v>2120</v>
      </c>
      <c r="I2061" s="1">
        <v>96000</v>
      </c>
      <c r="J2061" s="1">
        <v>150</v>
      </c>
      <c r="K2061" s="1">
        <v>1500</v>
      </c>
      <c r="L2061" s="1">
        <v>27500</v>
      </c>
      <c r="M2061" s="1" t="str">
        <f t="shared" si="64"/>
        <v>105_1312_1312</v>
      </c>
      <c r="N2061" s="1" t="s">
        <v>1786</v>
      </c>
      <c r="O2061" s="1">
        <v>0</v>
      </c>
      <c r="P2061" s="1" t="s">
        <v>2054</v>
      </c>
      <c r="Q2061" s="7" t="str">
        <f t="shared" si="65"/>
        <v>equipment/2101.png</v>
      </c>
      <c r="R2061" s="1">
        <v>0</v>
      </c>
    </row>
    <row r="2062" spans="1:18" ht="14.25" thickBot="1">
      <c r="A2062" s="1" t="s">
        <v>1647</v>
      </c>
      <c r="B2062" s="3">
        <v>1</v>
      </c>
      <c r="C2062" s="1" t="str">
        <f t="shared" si="63"/>
        <v>霜语长弓</v>
      </c>
      <c r="D2062" s="1" t="s">
        <v>12</v>
      </c>
      <c r="E2062" s="1">
        <v>5</v>
      </c>
      <c r="F2062" s="1">
        <v>5</v>
      </c>
      <c r="G2062" s="1">
        <v>45</v>
      </c>
      <c r="H2062" s="10" t="s">
        <v>2121</v>
      </c>
      <c r="I2062" s="1">
        <v>90000</v>
      </c>
      <c r="J2062" s="1">
        <v>150</v>
      </c>
      <c r="K2062" s="1">
        <v>1500</v>
      </c>
      <c r="L2062" s="1">
        <v>25000</v>
      </c>
      <c r="M2062" s="1" t="str">
        <f t="shared" si="64"/>
        <v>103_854_854,104_1708_1708</v>
      </c>
      <c r="N2062" s="1" t="s">
        <v>1786</v>
      </c>
      <c r="O2062" s="1">
        <v>0</v>
      </c>
      <c r="P2062" s="1" t="s">
        <v>2054</v>
      </c>
      <c r="Q2062" s="7" t="str">
        <f t="shared" si="65"/>
        <v>equipment/1217.png</v>
      </c>
      <c r="R2062" s="1">
        <v>0</v>
      </c>
    </row>
    <row r="2063" spans="1:18" ht="14.25" thickBot="1">
      <c r="A2063" s="1" t="s">
        <v>1648</v>
      </c>
      <c r="B2063" s="2">
        <v>0</v>
      </c>
      <c r="C2063" s="1" t="str">
        <f t="shared" si="63"/>
        <v>棘木弓</v>
      </c>
      <c r="D2063" s="1" t="s">
        <v>12</v>
      </c>
      <c r="E2063" s="1">
        <v>5</v>
      </c>
      <c r="F2063" s="1">
        <v>5</v>
      </c>
      <c r="G2063" s="1">
        <v>45</v>
      </c>
      <c r="H2063" s="10" t="s">
        <v>2121</v>
      </c>
      <c r="I2063" s="1">
        <v>96000</v>
      </c>
      <c r="J2063" s="1">
        <v>150</v>
      </c>
      <c r="K2063" s="1">
        <v>1500</v>
      </c>
      <c r="L2063" s="1">
        <v>27500</v>
      </c>
      <c r="M2063" s="1" t="str">
        <f t="shared" si="64"/>
        <v>103_951_951,104_1902_1902</v>
      </c>
      <c r="N2063" s="1" t="s">
        <v>1786</v>
      </c>
      <c r="O2063" s="1">
        <v>0</v>
      </c>
      <c r="P2063" s="1" t="s">
        <v>2054</v>
      </c>
      <c r="Q2063" s="7" t="str">
        <f t="shared" si="65"/>
        <v>equipment/1201.png</v>
      </c>
      <c r="R2063" s="1">
        <v>0</v>
      </c>
    </row>
    <row r="2064" spans="1:18" ht="14.25" thickBot="1">
      <c r="A2064" s="1" t="s">
        <v>1649</v>
      </c>
      <c r="B2064" s="3">
        <v>1</v>
      </c>
      <c r="C2064" s="1" t="str">
        <f t="shared" si="63"/>
        <v>月沐箭筒</v>
      </c>
      <c r="D2064" s="1" t="s">
        <v>13</v>
      </c>
      <c r="E2064" s="1">
        <v>6</v>
      </c>
      <c r="F2064" s="1">
        <v>5</v>
      </c>
      <c r="G2064" s="1">
        <v>45</v>
      </c>
      <c r="H2064" s="10" t="s">
        <v>2121</v>
      </c>
      <c r="I2064" s="1">
        <v>90000</v>
      </c>
      <c r="J2064" s="1">
        <v>150</v>
      </c>
      <c r="K2064" s="1">
        <v>1500</v>
      </c>
      <c r="L2064" s="1">
        <v>25000</v>
      </c>
      <c r="M2064" s="1" t="str">
        <f t="shared" si="64"/>
        <v>108_1253_1253</v>
      </c>
      <c r="N2064" s="1" t="s">
        <v>1786</v>
      </c>
      <c r="O2064" s="1">
        <v>0</v>
      </c>
      <c r="P2064" s="1" t="s">
        <v>2054</v>
      </c>
      <c r="Q2064" s="7" t="str">
        <f t="shared" si="65"/>
        <v>equipment/2211.png</v>
      </c>
      <c r="R2064" s="1">
        <v>0</v>
      </c>
    </row>
    <row r="2065" spans="1:18" ht="14.25" thickBot="1">
      <c r="A2065" s="1" t="s">
        <v>1650</v>
      </c>
      <c r="B2065" s="2">
        <v>0</v>
      </c>
      <c r="C2065" s="1" t="str">
        <f t="shared" si="63"/>
        <v>箭筒</v>
      </c>
      <c r="D2065" s="1" t="s">
        <v>13</v>
      </c>
      <c r="E2065" s="1">
        <v>6</v>
      </c>
      <c r="F2065" s="1">
        <v>5</v>
      </c>
      <c r="G2065" s="1">
        <v>45</v>
      </c>
      <c r="H2065" s="10" t="s">
        <v>2121</v>
      </c>
      <c r="I2065" s="1">
        <v>96000</v>
      </c>
      <c r="J2065" s="1">
        <v>150</v>
      </c>
      <c r="K2065" s="1">
        <v>1500</v>
      </c>
      <c r="L2065" s="1">
        <v>27500</v>
      </c>
      <c r="M2065" s="1" t="str">
        <f t="shared" si="64"/>
        <v>108_1312_1312</v>
      </c>
      <c r="N2065" s="1" t="s">
        <v>1786</v>
      </c>
      <c r="O2065" s="1">
        <v>0</v>
      </c>
      <c r="P2065" s="1" t="s">
        <v>2054</v>
      </c>
      <c r="Q2065" s="7" t="str">
        <f t="shared" si="65"/>
        <v>equipment/2201.png</v>
      </c>
      <c r="R2065" s="1">
        <v>0</v>
      </c>
    </row>
    <row r="2066" spans="1:18" ht="14.25" thickBot="1">
      <c r="A2066" s="1" t="s">
        <v>1651</v>
      </c>
      <c r="B2066" s="3">
        <v>1</v>
      </c>
      <c r="C2066" s="1" t="str">
        <f t="shared" si="63"/>
        <v>皇权之杖</v>
      </c>
      <c r="D2066" s="1" t="s">
        <v>12</v>
      </c>
      <c r="E2066" s="1">
        <v>5</v>
      </c>
      <c r="F2066" s="1">
        <v>5</v>
      </c>
      <c r="G2066" s="1">
        <v>45</v>
      </c>
      <c r="H2066" s="10" t="s">
        <v>2122</v>
      </c>
      <c r="I2066" s="1">
        <v>90000</v>
      </c>
      <c r="J2066" s="1">
        <v>150</v>
      </c>
      <c r="K2066" s="1">
        <v>1500</v>
      </c>
      <c r="L2066" s="1">
        <v>25000</v>
      </c>
      <c r="M2066" s="1" t="str">
        <f t="shared" si="64"/>
        <v>103_854_854,104_1708_1708</v>
      </c>
      <c r="N2066" s="1" t="s">
        <v>1786</v>
      </c>
      <c r="O2066" s="1">
        <v>0</v>
      </c>
      <c r="P2066" s="1" t="s">
        <v>2054</v>
      </c>
      <c r="Q2066" s="7" t="str">
        <f t="shared" si="65"/>
        <v>equipment/1316.png</v>
      </c>
      <c r="R2066" s="1">
        <v>0</v>
      </c>
    </row>
    <row r="2067" spans="1:18" ht="14.25" thickBot="1">
      <c r="A2067" s="1" t="s">
        <v>1652</v>
      </c>
      <c r="B2067" s="3">
        <v>1</v>
      </c>
      <c r="C2067" s="1" t="str">
        <f t="shared" si="63"/>
        <v>圣晶权杖</v>
      </c>
      <c r="D2067" s="1" t="s">
        <v>12</v>
      </c>
      <c r="E2067" s="1">
        <v>5</v>
      </c>
      <c r="F2067" s="1">
        <v>5</v>
      </c>
      <c r="G2067" s="1">
        <v>45</v>
      </c>
      <c r="H2067" s="10" t="s">
        <v>2122</v>
      </c>
      <c r="I2067" s="1">
        <v>96000</v>
      </c>
      <c r="J2067" s="1">
        <v>150</v>
      </c>
      <c r="K2067" s="1">
        <v>1500</v>
      </c>
      <c r="L2067" s="1">
        <v>27500</v>
      </c>
      <c r="M2067" s="1" t="str">
        <f t="shared" si="64"/>
        <v>103_951_951,104_1902_1902</v>
      </c>
      <c r="N2067" s="1" t="s">
        <v>1786</v>
      </c>
      <c r="O2067" s="1">
        <v>0</v>
      </c>
      <c r="P2067" s="1" t="s">
        <v>2054</v>
      </c>
      <c r="Q2067" s="7" t="str">
        <f t="shared" si="65"/>
        <v>equipment/1318.png</v>
      </c>
      <c r="R2067" s="1">
        <v>0</v>
      </c>
    </row>
    <row r="2068" spans="1:18" ht="14.25" thickBot="1">
      <c r="A2068" s="1" t="s">
        <v>1653</v>
      </c>
      <c r="B2068" s="3">
        <v>1</v>
      </c>
      <c r="C2068" s="1" t="str">
        <f t="shared" si="63"/>
        <v>占卜魔典</v>
      </c>
      <c r="D2068" s="1" t="s">
        <v>13</v>
      </c>
      <c r="E2068" s="1">
        <v>6</v>
      </c>
      <c r="F2068" s="1">
        <v>5</v>
      </c>
      <c r="G2068" s="1">
        <v>45</v>
      </c>
      <c r="H2068" s="10" t="s">
        <v>2122</v>
      </c>
      <c r="I2068" s="1">
        <v>90000</v>
      </c>
      <c r="J2068" s="1">
        <v>150</v>
      </c>
      <c r="K2068" s="1">
        <v>1500</v>
      </c>
      <c r="L2068" s="1">
        <v>25000</v>
      </c>
      <c r="M2068" s="1" t="str">
        <f t="shared" si="64"/>
        <v>102_1320_1320</v>
      </c>
      <c r="N2068" s="1" t="s">
        <v>1786</v>
      </c>
      <c r="O2068" s="1">
        <v>0</v>
      </c>
      <c r="P2068" s="1" t="s">
        <v>2054</v>
      </c>
      <c r="Q2068" s="7" t="str">
        <f t="shared" si="65"/>
        <v>equipment/2310.png</v>
      </c>
      <c r="R2068" s="1">
        <v>0</v>
      </c>
    </row>
    <row r="2069" spans="1:18" ht="14.25" thickBot="1">
      <c r="A2069" s="1" t="s">
        <v>1654</v>
      </c>
      <c r="B2069" s="2">
        <v>0</v>
      </c>
      <c r="C2069" s="1" t="str">
        <f t="shared" ref="C2069:C2132" si="66">C1607</f>
        <v>法术指南</v>
      </c>
      <c r="D2069" s="1" t="s">
        <v>13</v>
      </c>
      <c r="E2069" s="1">
        <v>6</v>
      </c>
      <c r="F2069" s="1">
        <v>5</v>
      </c>
      <c r="G2069" s="1">
        <v>45</v>
      </c>
      <c r="H2069" s="10" t="s">
        <v>2122</v>
      </c>
      <c r="I2069" s="1">
        <v>96000</v>
      </c>
      <c r="J2069" s="1">
        <v>150</v>
      </c>
      <c r="K2069" s="1">
        <v>1500</v>
      </c>
      <c r="L2069" s="1">
        <v>27500</v>
      </c>
      <c r="M2069" s="1" t="str">
        <f t="shared" ref="M2069:M2132" si="67">M1607</f>
        <v>102_1312_1312</v>
      </c>
      <c r="N2069" s="1" t="s">
        <v>1786</v>
      </c>
      <c r="O2069" s="1">
        <v>0</v>
      </c>
      <c r="P2069" s="1" t="s">
        <v>2054</v>
      </c>
      <c r="Q2069" s="7" t="str">
        <f t="shared" ref="Q2069:Q2132" si="68">Q1607</f>
        <v>equipment/2301.png</v>
      </c>
      <c r="R2069" s="1">
        <v>0</v>
      </c>
    </row>
    <row r="2070" spans="1:18" ht="14.25" thickBot="1">
      <c r="A2070" s="1" t="s">
        <v>1655</v>
      </c>
      <c r="B2070" s="3">
        <v>1</v>
      </c>
      <c r="C2070" s="1" t="str">
        <f t="shared" si="66"/>
        <v>执政官胸甲</v>
      </c>
      <c r="D2070" s="1" t="s">
        <v>11</v>
      </c>
      <c r="E2070" s="1">
        <v>4</v>
      </c>
      <c r="F2070" s="1">
        <v>5</v>
      </c>
      <c r="G2070" s="1">
        <v>45</v>
      </c>
      <c r="H2070" s="10">
        <v>0</v>
      </c>
      <c r="I2070" s="1">
        <v>90000</v>
      </c>
      <c r="J2070" s="1">
        <v>150</v>
      </c>
      <c r="K2070" s="1">
        <v>1500</v>
      </c>
      <c r="L2070" s="1">
        <v>25000</v>
      </c>
      <c r="M2070" s="1" t="str">
        <f t="shared" si="67"/>
        <v>105_628_628</v>
      </c>
      <c r="N2070" s="1" t="s">
        <v>1785</v>
      </c>
      <c r="O2070" s="1">
        <v>0</v>
      </c>
      <c r="P2070" s="1" t="s">
        <v>2054</v>
      </c>
      <c r="Q2070" s="7" t="str">
        <f t="shared" si="68"/>
        <v>equipment/5013.png</v>
      </c>
      <c r="R2070" s="1">
        <v>0</v>
      </c>
    </row>
    <row r="2071" spans="1:18" ht="14.25" thickBot="1">
      <c r="A2071" s="1" t="s">
        <v>1656</v>
      </c>
      <c r="B2071" s="3">
        <v>1</v>
      </c>
      <c r="C2071" s="1" t="str">
        <f t="shared" si="66"/>
        <v>军团胸甲</v>
      </c>
      <c r="D2071" s="1" t="s">
        <v>11</v>
      </c>
      <c r="E2071" s="1">
        <v>4</v>
      </c>
      <c r="F2071" s="1">
        <v>5</v>
      </c>
      <c r="G2071" s="1">
        <v>45</v>
      </c>
      <c r="H2071" s="10">
        <v>0</v>
      </c>
      <c r="I2071" s="1">
        <v>96000</v>
      </c>
      <c r="J2071" s="1">
        <v>150</v>
      </c>
      <c r="K2071" s="1">
        <v>1500</v>
      </c>
      <c r="L2071" s="1">
        <v>27500</v>
      </c>
      <c r="M2071" s="1" t="str">
        <f t="shared" si="67"/>
        <v>105_689_689</v>
      </c>
      <c r="N2071" s="1" t="s">
        <v>1785</v>
      </c>
      <c r="O2071" s="1">
        <v>0</v>
      </c>
      <c r="P2071" s="1" t="s">
        <v>2054</v>
      </c>
      <c r="Q2071" s="7" t="str">
        <f t="shared" si="68"/>
        <v>equipment/5014.png</v>
      </c>
      <c r="R2071" s="1">
        <v>0</v>
      </c>
    </row>
    <row r="2072" spans="1:18" ht="14.25" thickBot="1">
      <c r="A2072" s="1" t="s">
        <v>1657</v>
      </c>
      <c r="B2072" s="3">
        <v>1</v>
      </c>
      <c r="C2072" s="1" t="str">
        <f t="shared" si="66"/>
        <v>冰铸腿铠</v>
      </c>
      <c r="D2072" s="1" t="s">
        <v>14</v>
      </c>
      <c r="E2072" s="1">
        <v>7</v>
      </c>
      <c r="F2072" s="1">
        <v>5</v>
      </c>
      <c r="G2072" s="1">
        <v>45</v>
      </c>
      <c r="H2072" s="10">
        <v>0</v>
      </c>
      <c r="I2072" s="1">
        <v>90000</v>
      </c>
      <c r="J2072" s="1">
        <v>150</v>
      </c>
      <c r="K2072" s="1">
        <v>1500</v>
      </c>
      <c r="L2072" s="1">
        <v>25000</v>
      </c>
      <c r="M2072" s="1" t="str">
        <f t="shared" si="67"/>
        <v>105_497_497</v>
      </c>
      <c r="N2072" s="1" t="s">
        <v>1785</v>
      </c>
      <c r="O2072" s="1">
        <v>0</v>
      </c>
      <c r="P2072" s="1" t="s">
        <v>2054</v>
      </c>
      <c r="Q2072" s="7" t="str">
        <f t="shared" si="68"/>
        <v>equipment/7011.png</v>
      </c>
      <c r="R2072" s="1">
        <v>0</v>
      </c>
    </row>
    <row r="2073" spans="1:18" ht="14.25" thickBot="1">
      <c r="A2073" s="1" t="s">
        <v>1658</v>
      </c>
      <c r="B2073" s="3">
        <v>1</v>
      </c>
      <c r="C2073" s="1" t="str">
        <f t="shared" si="66"/>
        <v>织灵护腿</v>
      </c>
      <c r="D2073" s="1" t="s">
        <v>14</v>
      </c>
      <c r="E2073" s="1">
        <v>7</v>
      </c>
      <c r="F2073" s="1">
        <v>5</v>
      </c>
      <c r="G2073" s="1">
        <v>45</v>
      </c>
      <c r="H2073" s="10">
        <v>0</v>
      </c>
      <c r="I2073" s="1">
        <v>96000</v>
      </c>
      <c r="J2073" s="1">
        <v>150</v>
      </c>
      <c r="K2073" s="1">
        <v>1500</v>
      </c>
      <c r="L2073" s="1">
        <v>27500</v>
      </c>
      <c r="M2073" s="1" t="str">
        <f t="shared" si="67"/>
        <v>105_549_549</v>
      </c>
      <c r="N2073" s="1" t="s">
        <v>1785</v>
      </c>
      <c r="O2073" s="1">
        <v>0</v>
      </c>
      <c r="P2073" s="1" t="s">
        <v>2054</v>
      </c>
      <c r="Q2073" s="7" t="str">
        <f t="shared" si="68"/>
        <v>equipment/7010.png</v>
      </c>
      <c r="R2073" s="1">
        <v>0</v>
      </c>
    </row>
    <row r="2074" spans="1:18" ht="14.25" thickBot="1">
      <c r="A2074" s="1" t="s">
        <v>1659</v>
      </c>
      <c r="B2074" s="3">
        <v>1</v>
      </c>
      <c r="C2074" s="1" t="str">
        <f t="shared" si="66"/>
        <v>战痕头盔</v>
      </c>
      <c r="D2074" s="1" t="s">
        <v>8</v>
      </c>
      <c r="E2074" s="1">
        <v>1</v>
      </c>
      <c r="F2074" s="1">
        <v>5</v>
      </c>
      <c r="G2074" s="1">
        <v>50</v>
      </c>
      <c r="H2074" s="10">
        <v>0</v>
      </c>
      <c r="I2074" s="1">
        <v>100000</v>
      </c>
      <c r="J2074" s="1">
        <v>150</v>
      </c>
      <c r="K2074" s="1">
        <v>1500</v>
      </c>
      <c r="L2074" s="1">
        <v>27500</v>
      </c>
      <c r="M2074" s="1" t="str">
        <f t="shared" si="67"/>
        <v>106_1000_1000</v>
      </c>
      <c r="N2074" s="1" t="s">
        <v>1787</v>
      </c>
      <c r="O2074" s="1">
        <v>0</v>
      </c>
      <c r="P2074" s="1" t="s">
        <v>2055</v>
      </c>
      <c r="Q2074" s="7" t="str">
        <f t="shared" si="68"/>
        <v>equipment/3008.png</v>
      </c>
      <c r="R2074" s="1">
        <v>0</v>
      </c>
    </row>
    <row r="2075" spans="1:18" ht="14.25" thickBot="1">
      <c r="A2075" s="1" t="s">
        <v>1660</v>
      </c>
      <c r="B2075" s="3">
        <v>1</v>
      </c>
      <c r="C2075" s="1" t="str">
        <f t="shared" si="66"/>
        <v>灵风之戒</v>
      </c>
      <c r="D2075" s="1" t="s">
        <v>9</v>
      </c>
      <c r="E2075" s="1">
        <v>2</v>
      </c>
      <c r="F2075" s="1">
        <v>5</v>
      </c>
      <c r="G2075" s="1">
        <v>50</v>
      </c>
      <c r="H2075" s="10">
        <v>0</v>
      </c>
      <c r="I2075" s="1">
        <v>100000</v>
      </c>
      <c r="J2075" s="1">
        <v>150</v>
      </c>
      <c r="K2075" s="1">
        <v>1500</v>
      </c>
      <c r="L2075" s="1">
        <v>27500</v>
      </c>
      <c r="M2075" s="1" t="str">
        <f t="shared" si="67"/>
        <v>102_975_975</v>
      </c>
      <c r="N2075" s="1" t="s">
        <v>1787</v>
      </c>
      <c r="O2075" s="1">
        <v>0</v>
      </c>
      <c r="P2075" s="1" t="s">
        <v>2055</v>
      </c>
      <c r="Q2075" s="7" t="str">
        <f t="shared" si="68"/>
        <v>equipment/14008.png</v>
      </c>
      <c r="R2075" s="1">
        <v>0</v>
      </c>
    </row>
    <row r="2076" spans="1:18" ht="14.25" thickBot="1">
      <c r="A2076" s="1" t="s">
        <v>1661</v>
      </c>
      <c r="B2076" s="3">
        <v>1</v>
      </c>
      <c r="C2076" s="1" t="str">
        <f t="shared" si="66"/>
        <v>生命腰带</v>
      </c>
      <c r="D2076" s="1" t="s">
        <v>10</v>
      </c>
      <c r="E2076" s="1">
        <v>3</v>
      </c>
      <c r="F2076" s="1">
        <v>5</v>
      </c>
      <c r="G2076" s="1">
        <v>50</v>
      </c>
      <c r="H2076" s="10">
        <v>0</v>
      </c>
      <c r="I2076" s="1">
        <v>100000</v>
      </c>
      <c r="J2076" s="1">
        <v>150</v>
      </c>
      <c r="K2076" s="1">
        <v>1500</v>
      </c>
      <c r="L2076" s="1">
        <v>27500</v>
      </c>
      <c r="M2076" s="1" t="str">
        <f t="shared" si="67"/>
        <v>101_11560_11560</v>
      </c>
      <c r="N2076" s="1" t="s">
        <v>1787</v>
      </c>
      <c r="O2076" s="1">
        <v>0</v>
      </c>
      <c r="P2076" s="1" t="s">
        <v>2055</v>
      </c>
      <c r="Q2076" s="7" t="str">
        <f t="shared" si="68"/>
        <v>equipment/6009.png</v>
      </c>
      <c r="R2076" s="1">
        <v>0</v>
      </c>
    </row>
    <row r="2077" spans="1:18" ht="14.25" thickBot="1">
      <c r="A2077" s="1" t="s">
        <v>1662</v>
      </c>
      <c r="B2077" s="2">
        <v>1</v>
      </c>
      <c r="C2077" s="1" t="str">
        <f t="shared" si="66"/>
        <v>龙鳞护胫</v>
      </c>
      <c r="D2077" s="1" t="s">
        <v>15</v>
      </c>
      <c r="E2077" s="1">
        <v>8</v>
      </c>
      <c r="F2077" s="1">
        <v>5</v>
      </c>
      <c r="G2077" s="1">
        <v>50</v>
      </c>
      <c r="H2077" s="10">
        <v>0</v>
      </c>
      <c r="I2077" s="1">
        <v>100000</v>
      </c>
      <c r="J2077" s="1">
        <v>150</v>
      </c>
      <c r="K2077" s="1">
        <v>1500</v>
      </c>
      <c r="L2077" s="1">
        <v>27500</v>
      </c>
      <c r="M2077" s="1" t="str">
        <f t="shared" si="67"/>
        <v>110_172_172</v>
      </c>
      <c r="N2077" s="1" t="s">
        <v>1787</v>
      </c>
      <c r="O2077" s="1">
        <v>0</v>
      </c>
      <c r="P2077" s="1" t="s">
        <v>2055</v>
      </c>
      <c r="Q2077" s="7" t="str">
        <f t="shared" si="68"/>
        <v>equipment/8004.png</v>
      </c>
      <c r="R2077" s="1">
        <v>0</v>
      </c>
    </row>
    <row r="2078" spans="1:18" ht="14.25" thickBot="1">
      <c r="A2078" s="1" t="s">
        <v>1663</v>
      </c>
      <c r="B2078" s="3">
        <v>1</v>
      </c>
      <c r="C2078" s="1" t="str">
        <f t="shared" si="66"/>
        <v>血拳手套</v>
      </c>
      <c r="D2078" s="1" t="s">
        <v>16</v>
      </c>
      <c r="E2078" s="1">
        <v>9</v>
      </c>
      <c r="F2078" s="1">
        <v>5</v>
      </c>
      <c r="G2078" s="1">
        <v>50</v>
      </c>
      <c r="H2078" s="10">
        <v>0</v>
      </c>
      <c r="I2078" s="1">
        <v>100000</v>
      </c>
      <c r="J2078" s="1">
        <v>150</v>
      </c>
      <c r="K2078" s="1">
        <v>1500</v>
      </c>
      <c r="L2078" s="1">
        <v>27500</v>
      </c>
      <c r="M2078" s="1" t="str">
        <f t="shared" si="67"/>
        <v>108_1726_1726</v>
      </c>
      <c r="N2078" s="1" t="s">
        <v>1787</v>
      </c>
      <c r="O2078" s="1">
        <v>0</v>
      </c>
      <c r="P2078" s="1" t="s">
        <v>2055</v>
      </c>
      <c r="Q2078" s="7" t="str">
        <f t="shared" si="68"/>
        <v>equipment/10009.png</v>
      </c>
      <c r="R2078" s="1">
        <v>0</v>
      </c>
    </row>
    <row r="2079" spans="1:18" ht="14.25" thickBot="1">
      <c r="A2079" s="1" t="s">
        <v>1664</v>
      </c>
      <c r="B2079" s="3">
        <v>1</v>
      </c>
      <c r="C2079" s="1" t="str">
        <f t="shared" si="66"/>
        <v>誓言护坠</v>
      </c>
      <c r="D2079" s="1" t="s">
        <v>17</v>
      </c>
      <c r="E2079" s="1">
        <v>10</v>
      </c>
      <c r="F2079" s="1">
        <v>5</v>
      </c>
      <c r="G2079" s="1">
        <v>50</v>
      </c>
      <c r="H2079" s="10">
        <v>0</v>
      </c>
      <c r="I2079" s="1">
        <v>100000</v>
      </c>
      <c r="J2079" s="1">
        <v>150</v>
      </c>
      <c r="K2079" s="1">
        <v>1500</v>
      </c>
      <c r="L2079" s="1">
        <v>27500</v>
      </c>
      <c r="M2079" s="1" t="str">
        <f t="shared" si="67"/>
        <v>107_1000_1000</v>
      </c>
      <c r="N2079" s="1" t="s">
        <v>1787</v>
      </c>
      <c r="O2079" s="1">
        <v>0</v>
      </c>
      <c r="P2079" s="1" t="s">
        <v>2055</v>
      </c>
      <c r="Q2079" s="7" t="str">
        <f t="shared" si="68"/>
        <v>equipment/12008.png</v>
      </c>
      <c r="R2079" s="1">
        <v>0</v>
      </c>
    </row>
    <row r="2080" spans="1:18" ht="14.25" thickBot="1">
      <c r="A2080" s="1" t="s">
        <v>1665</v>
      </c>
      <c r="B2080" s="3">
        <v>1</v>
      </c>
      <c r="C2080" s="1" t="str">
        <f t="shared" si="66"/>
        <v>黎明之刃</v>
      </c>
      <c r="D2080" s="1" t="s">
        <v>12</v>
      </c>
      <c r="E2080" s="1">
        <v>5</v>
      </c>
      <c r="F2080" s="1">
        <v>5</v>
      </c>
      <c r="G2080" s="1">
        <v>50</v>
      </c>
      <c r="H2080" s="10" t="s">
        <v>2120</v>
      </c>
      <c r="I2080" s="1">
        <v>100000</v>
      </c>
      <c r="J2080" s="1">
        <v>150</v>
      </c>
      <c r="K2080" s="1">
        <v>1500</v>
      </c>
      <c r="L2080" s="1">
        <v>27500</v>
      </c>
      <c r="M2080" s="1" t="str">
        <f t="shared" si="67"/>
        <v>103_1097_1097,104_2194_2194</v>
      </c>
      <c r="N2080" s="1" t="s">
        <v>1788</v>
      </c>
      <c r="O2080" s="1">
        <v>0</v>
      </c>
      <c r="P2080" s="1" t="s">
        <v>2055</v>
      </c>
      <c r="Q2080" s="7" t="str">
        <f t="shared" si="68"/>
        <v>equipment/1119.png</v>
      </c>
      <c r="R2080" s="1">
        <v>0</v>
      </c>
    </row>
    <row r="2081" spans="1:18" ht="14.25" thickBot="1">
      <c r="A2081" s="1" t="s">
        <v>1666</v>
      </c>
      <c r="B2081" s="3">
        <v>1</v>
      </c>
      <c r="C2081" s="1" t="str">
        <f t="shared" si="66"/>
        <v>放逐者之刃</v>
      </c>
      <c r="D2081" s="1" t="s">
        <v>12</v>
      </c>
      <c r="E2081" s="1">
        <v>5</v>
      </c>
      <c r="F2081" s="1">
        <v>5</v>
      </c>
      <c r="G2081" s="1">
        <v>50</v>
      </c>
      <c r="H2081" s="10" t="s">
        <v>2120</v>
      </c>
      <c r="I2081" s="1">
        <v>106000</v>
      </c>
      <c r="J2081" s="1">
        <v>150</v>
      </c>
      <c r="K2081" s="1">
        <v>1500</v>
      </c>
      <c r="L2081" s="1">
        <v>30000</v>
      </c>
      <c r="M2081" s="1" t="str">
        <f t="shared" si="67"/>
        <v>103_1222_1222,104_2444_2444</v>
      </c>
      <c r="N2081" s="1" t="s">
        <v>1788</v>
      </c>
      <c r="O2081" s="1">
        <v>0</v>
      </c>
      <c r="P2081" s="1" t="s">
        <v>2055</v>
      </c>
      <c r="Q2081" s="7" t="str">
        <f t="shared" si="68"/>
        <v>equipment/1120.png</v>
      </c>
      <c r="R2081" s="1">
        <v>0</v>
      </c>
    </row>
    <row r="2082" spans="1:18" ht="14.25" thickBot="1">
      <c r="A2082" s="1" t="s">
        <v>1667</v>
      </c>
      <c r="B2082" s="3">
        <v>1</v>
      </c>
      <c r="C2082" s="1" t="str">
        <f t="shared" si="66"/>
        <v>魂祭之盾</v>
      </c>
      <c r="D2082" s="1" t="s">
        <v>13</v>
      </c>
      <c r="E2082" s="1">
        <v>6</v>
      </c>
      <c r="F2082" s="1">
        <v>5</v>
      </c>
      <c r="G2082" s="1">
        <v>50</v>
      </c>
      <c r="H2082" s="10" t="s">
        <v>2120</v>
      </c>
      <c r="I2082" s="1">
        <v>100000</v>
      </c>
      <c r="J2082" s="1">
        <v>150</v>
      </c>
      <c r="K2082" s="1">
        <v>1500</v>
      </c>
      <c r="L2082" s="1">
        <v>27500</v>
      </c>
      <c r="M2082" s="1" t="str">
        <f t="shared" si="67"/>
        <v>105_1401_1401</v>
      </c>
      <c r="N2082" s="1" t="s">
        <v>1788</v>
      </c>
      <c r="O2082" s="1">
        <v>0</v>
      </c>
      <c r="P2082" s="1" t="s">
        <v>2055</v>
      </c>
      <c r="Q2082" s="7" t="str">
        <f t="shared" si="68"/>
        <v>equipment/2111.png</v>
      </c>
      <c r="R2082" s="1">
        <v>0</v>
      </c>
    </row>
    <row r="2083" spans="1:18" ht="14.25" thickBot="1">
      <c r="A2083" s="1" t="s">
        <v>1668</v>
      </c>
      <c r="B2083" s="3">
        <v>1</v>
      </c>
      <c r="C2083" s="1" t="str">
        <f t="shared" si="66"/>
        <v>氪金大盾</v>
      </c>
      <c r="D2083" s="1" t="s">
        <v>13</v>
      </c>
      <c r="E2083" s="1">
        <v>6</v>
      </c>
      <c r="F2083" s="1">
        <v>5</v>
      </c>
      <c r="G2083" s="1">
        <v>50</v>
      </c>
      <c r="H2083" s="10" t="s">
        <v>2120</v>
      </c>
      <c r="I2083" s="1">
        <v>106000</v>
      </c>
      <c r="J2083" s="1">
        <v>150</v>
      </c>
      <c r="K2083" s="1">
        <v>1500</v>
      </c>
      <c r="L2083" s="1">
        <v>30000</v>
      </c>
      <c r="M2083" s="1" t="str">
        <f t="shared" si="67"/>
        <v>105_1633_1633</v>
      </c>
      <c r="N2083" s="1" t="s">
        <v>1788</v>
      </c>
      <c r="O2083" s="1">
        <v>0</v>
      </c>
      <c r="P2083" s="1" t="s">
        <v>2055</v>
      </c>
      <c r="Q2083" s="7" t="str">
        <f t="shared" si="68"/>
        <v>equipment/2112.png</v>
      </c>
      <c r="R2083" s="1">
        <v>0</v>
      </c>
    </row>
    <row r="2084" spans="1:18" ht="14.25" thickBot="1">
      <c r="A2084" s="1" t="s">
        <v>1669</v>
      </c>
      <c r="B2084" s="3">
        <v>1</v>
      </c>
      <c r="C2084" s="1" t="str">
        <f t="shared" si="66"/>
        <v>觅心者长弓</v>
      </c>
      <c r="D2084" s="1" t="s">
        <v>12</v>
      </c>
      <c r="E2084" s="1">
        <v>5</v>
      </c>
      <c r="F2084" s="1">
        <v>5</v>
      </c>
      <c r="G2084" s="1">
        <v>50</v>
      </c>
      <c r="H2084" s="10" t="s">
        <v>2121</v>
      </c>
      <c r="I2084" s="1">
        <v>100000</v>
      </c>
      <c r="J2084" s="1">
        <v>150</v>
      </c>
      <c r="K2084" s="1">
        <v>1500</v>
      </c>
      <c r="L2084" s="1">
        <v>27500</v>
      </c>
      <c r="M2084" s="1" t="str">
        <f t="shared" si="67"/>
        <v>103_1097_1097,104_2194_2194</v>
      </c>
      <c r="N2084" s="1" t="s">
        <v>1788</v>
      </c>
      <c r="O2084" s="1">
        <v>0</v>
      </c>
      <c r="P2084" s="1" t="s">
        <v>2055</v>
      </c>
      <c r="Q2084" s="7" t="str">
        <f t="shared" si="68"/>
        <v>equipment/1218.png</v>
      </c>
      <c r="R2084" s="1">
        <v>0</v>
      </c>
    </row>
    <row r="2085" spans="1:18" ht="14.25" thickBot="1">
      <c r="A2085" s="1" t="s">
        <v>1670</v>
      </c>
      <c r="B2085" s="3">
        <v>1</v>
      </c>
      <c r="C2085" s="1" t="str">
        <f t="shared" si="66"/>
        <v>阳炎之弓</v>
      </c>
      <c r="D2085" s="1" t="s">
        <v>12</v>
      </c>
      <c r="E2085" s="1">
        <v>5</v>
      </c>
      <c r="F2085" s="1">
        <v>5</v>
      </c>
      <c r="G2085" s="1">
        <v>50</v>
      </c>
      <c r="H2085" s="10" t="s">
        <v>2121</v>
      </c>
      <c r="I2085" s="1">
        <v>106000</v>
      </c>
      <c r="J2085" s="1">
        <v>150</v>
      </c>
      <c r="K2085" s="1">
        <v>1500</v>
      </c>
      <c r="L2085" s="1">
        <v>30000</v>
      </c>
      <c r="M2085" s="1" t="str">
        <f t="shared" si="67"/>
        <v>103_1222_1222,104_2444_2444</v>
      </c>
      <c r="N2085" s="1" t="s">
        <v>1788</v>
      </c>
      <c r="O2085" s="1">
        <v>0</v>
      </c>
      <c r="P2085" s="1" t="s">
        <v>2055</v>
      </c>
      <c r="Q2085" s="7" t="str">
        <f t="shared" si="68"/>
        <v>equipment/1221.png</v>
      </c>
      <c r="R2085" s="1">
        <v>0</v>
      </c>
    </row>
    <row r="2086" spans="1:18" ht="14.25" thickBot="1">
      <c r="A2086" s="1" t="s">
        <v>1671</v>
      </c>
      <c r="B2086" s="3">
        <v>1</v>
      </c>
      <c r="C2086" s="1" t="str">
        <f t="shared" si="66"/>
        <v>黑骨箭袋</v>
      </c>
      <c r="D2086" s="1" t="s">
        <v>13</v>
      </c>
      <c r="E2086" s="1">
        <v>6</v>
      </c>
      <c r="F2086" s="1">
        <v>5</v>
      </c>
      <c r="G2086" s="1">
        <v>50</v>
      </c>
      <c r="H2086" s="10" t="s">
        <v>2121</v>
      </c>
      <c r="I2086" s="1">
        <v>100000</v>
      </c>
      <c r="J2086" s="1">
        <v>150</v>
      </c>
      <c r="K2086" s="1">
        <v>1500</v>
      </c>
      <c r="L2086" s="1">
        <v>27500</v>
      </c>
      <c r="M2086" s="1" t="str">
        <f t="shared" si="67"/>
        <v>108_1401_1401</v>
      </c>
      <c r="N2086" s="1" t="s">
        <v>1788</v>
      </c>
      <c r="O2086" s="1">
        <v>0</v>
      </c>
      <c r="P2086" s="1" t="s">
        <v>2055</v>
      </c>
      <c r="Q2086" s="7" t="str">
        <f t="shared" si="68"/>
        <v>equipment/2210.png</v>
      </c>
      <c r="R2086" s="1">
        <v>0</v>
      </c>
    </row>
    <row r="2087" spans="1:18" ht="14.25" thickBot="1">
      <c r="A2087" s="1" t="s">
        <v>1672</v>
      </c>
      <c r="B2087" s="3">
        <v>1</v>
      </c>
      <c r="C2087" s="1" t="str">
        <f t="shared" si="66"/>
        <v>符文箭筒</v>
      </c>
      <c r="D2087" s="1" t="s">
        <v>13</v>
      </c>
      <c r="E2087" s="1">
        <v>6</v>
      </c>
      <c r="F2087" s="1">
        <v>5</v>
      </c>
      <c r="G2087" s="1">
        <v>50</v>
      </c>
      <c r="H2087" s="10" t="s">
        <v>2121</v>
      </c>
      <c r="I2087" s="1">
        <v>106000</v>
      </c>
      <c r="J2087" s="1">
        <v>150</v>
      </c>
      <c r="K2087" s="1">
        <v>1500</v>
      </c>
      <c r="L2087" s="1">
        <v>30000</v>
      </c>
      <c r="M2087" s="1" t="str">
        <f t="shared" si="67"/>
        <v>108_1633_1633</v>
      </c>
      <c r="N2087" s="1" t="s">
        <v>1788</v>
      </c>
      <c r="O2087" s="1">
        <v>0</v>
      </c>
      <c r="P2087" s="1" t="s">
        <v>2055</v>
      </c>
      <c r="Q2087" s="7" t="str">
        <f t="shared" si="68"/>
        <v>equipment/2212.png</v>
      </c>
      <c r="R2087" s="1">
        <v>0</v>
      </c>
    </row>
    <row r="2088" spans="1:18" ht="14.25" thickBot="1">
      <c r="A2088" s="1" t="s">
        <v>1673</v>
      </c>
      <c r="B2088" s="3">
        <v>1</v>
      </c>
      <c r="C2088" s="1" t="str">
        <f t="shared" si="66"/>
        <v>虚灵法杖</v>
      </c>
      <c r="D2088" s="1" t="s">
        <v>12</v>
      </c>
      <c r="E2088" s="1">
        <v>5</v>
      </c>
      <c r="F2088" s="1">
        <v>5</v>
      </c>
      <c r="G2088" s="1">
        <v>50</v>
      </c>
      <c r="H2088" s="10" t="s">
        <v>2122</v>
      </c>
      <c r="I2088" s="1">
        <v>100000</v>
      </c>
      <c r="J2088" s="1">
        <v>150</v>
      </c>
      <c r="K2088" s="1">
        <v>1500</v>
      </c>
      <c r="L2088" s="1">
        <v>27500</v>
      </c>
      <c r="M2088" s="1" t="str">
        <f t="shared" si="67"/>
        <v>103_1097_1097,104_2194_2194</v>
      </c>
      <c r="N2088" s="1" t="s">
        <v>1788</v>
      </c>
      <c r="O2088" s="1">
        <v>0</v>
      </c>
      <c r="P2088" s="1" t="s">
        <v>2055</v>
      </c>
      <c r="Q2088" s="7" t="str">
        <f t="shared" si="68"/>
        <v>equipment/1319.png</v>
      </c>
      <c r="R2088" s="1">
        <v>0</v>
      </c>
    </row>
    <row r="2089" spans="1:18" ht="14.25" thickBot="1">
      <c r="A2089" s="1" t="s">
        <v>1674</v>
      </c>
      <c r="B2089" s="3">
        <v>1</v>
      </c>
      <c r="C2089" s="1" t="str">
        <f t="shared" si="66"/>
        <v>恒光巨杖</v>
      </c>
      <c r="D2089" s="1" t="s">
        <v>12</v>
      </c>
      <c r="E2089" s="1">
        <v>5</v>
      </c>
      <c r="F2089" s="1">
        <v>5</v>
      </c>
      <c r="G2089" s="1">
        <v>50</v>
      </c>
      <c r="H2089" s="10" t="s">
        <v>2122</v>
      </c>
      <c r="I2089" s="1">
        <v>106000</v>
      </c>
      <c r="J2089" s="1">
        <v>150</v>
      </c>
      <c r="K2089" s="1">
        <v>1500</v>
      </c>
      <c r="L2089" s="1">
        <v>30000</v>
      </c>
      <c r="M2089" s="1" t="str">
        <f t="shared" si="67"/>
        <v>103_1222_1222,104_2444_2444</v>
      </c>
      <c r="N2089" s="1" t="s">
        <v>1788</v>
      </c>
      <c r="O2089" s="1">
        <v>0</v>
      </c>
      <c r="P2089" s="1" t="s">
        <v>2055</v>
      </c>
      <c r="Q2089" s="7" t="str">
        <f t="shared" si="68"/>
        <v>equipment/1320.png</v>
      </c>
      <c r="R2089" s="1">
        <v>0</v>
      </c>
    </row>
    <row r="2090" spans="1:18" ht="14.25" thickBot="1">
      <c r="A2090" s="1" t="s">
        <v>1675</v>
      </c>
      <c r="B2090" s="3">
        <v>1</v>
      </c>
      <c r="C2090" s="1" t="str">
        <f t="shared" si="66"/>
        <v>幻术之书</v>
      </c>
      <c r="D2090" s="1" t="s">
        <v>13</v>
      </c>
      <c r="E2090" s="1">
        <v>6</v>
      </c>
      <c r="F2090" s="1">
        <v>5</v>
      </c>
      <c r="G2090" s="1">
        <v>50</v>
      </c>
      <c r="H2090" s="10" t="s">
        <v>2122</v>
      </c>
      <c r="I2090" s="1">
        <v>100000</v>
      </c>
      <c r="J2090" s="1">
        <v>150</v>
      </c>
      <c r="K2090" s="1">
        <v>1500</v>
      </c>
      <c r="L2090" s="1">
        <v>27500</v>
      </c>
      <c r="M2090" s="1" t="str">
        <f t="shared" si="67"/>
        <v>102_1440_1440</v>
      </c>
      <c r="N2090" s="1" t="s">
        <v>1788</v>
      </c>
      <c r="O2090" s="1">
        <v>0</v>
      </c>
      <c r="P2090" s="1" t="s">
        <v>2055</v>
      </c>
      <c r="Q2090" s="7" t="str">
        <f t="shared" si="68"/>
        <v>equipment/2311.png</v>
      </c>
      <c r="R2090" s="1">
        <v>0</v>
      </c>
    </row>
    <row r="2091" spans="1:18" ht="14.25" thickBot="1">
      <c r="A2091" s="1" t="s">
        <v>1676</v>
      </c>
      <c r="B2091" s="3">
        <v>1</v>
      </c>
      <c r="C2091" s="1" t="str">
        <f t="shared" si="66"/>
        <v>护咒之书</v>
      </c>
      <c r="D2091" s="1" t="s">
        <v>13</v>
      </c>
      <c r="E2091" s="1">
        <v>6</v>
      </c>
      <c r="F2091" s="1">
        <v>5</v>
      </c>
      <c r="G2091" s="1">
        <v>50</v>
      </c>
      <c r="H2091" s="10" t="s">
        <v>2122</v>
      </c>
      <c r="I2091" s="1">
        <v>106000</v>
      </c>
      <c r="J2091" s="1">
        <v>150</v>
      </c>
      <c r="K2091" s="1">
        <v>1500</v>
      </c>
      <c r="L2091" s="1">
        <v>30000</v>
      </c>
      <c r="M2091" s="1" t="str">
        <f t="shared" si="67"/>
        <v>102_1633_1633</v>
      </c>
      <c r="N2091" s="1" t="s">
        <v>1788</v>
      </c>
      <c r="O2091" s="1">
        <v>0</v>
      </c>
      <c r="P2091" s="1" t="s">
        <v>2055</v>
      </c>
      <c r="Q2091" s="7" t="str">
        <f t="shared" si="68"/>
        <v>equipment/2312.png</v>
      </c>
      <c r="R2091" s="1">
        <v>0</v>
      </c>
    </row>
    <row r="2092" spans="1:18" ht="14.25" thickBot="1">
      <c r="A2092" s="1" t="s">
        <v>1677</v>
      </c>
      <c r="B2092" s="2">
        <v>1</v>
      </c>
      <c r="C2092" s="1" t="str">
        <f t="shared" si="66"/>
        <v>皇家护胸</v>
      </c>
      <c r="D2092" s="1" t="s">
        <v>11</v>
      </c>
      <c r="E2092" s="1">
        <v>4</v>
      </c>
      <c r="F2092" s="1">
        <v>5</v>
      </c>
      <c r="G2092" s="1">
        <v>50</v>
      </c>
      <c r="H2092" s="10">
        <v>0</v>
      </c>
      <c r="I2092" s="1">
        <v>100000</v>
      </c>
      <c r="J2092" s="1">
        <v>150</v>
      </c>
      <c r="K2092" s="1">
        <v>1500</v>
      </c>
      <c r="L2092" s="1">
        <v>27500</v>
      </c>
      <c r="M2092" s="1" t="str">
        <f t="shared" si="67"/>
        <v>105_780_780</v>
      </c>
      <c r="N2092" s="1" t="s">
        <v>1787</v>
      </c>
      <c r="O2092" s="1">
        <v>0</v>
      </c>
      <c r="P2092" s="1" t="s">
        <v>2055</v>
      </c>
      <c r="Q2092" s="7" t="str">
        <f t="shared" si="68"/>
        <v>equipment/5003.png</v>
      </c>
      <c r="R2092" s="1">
        <v>0</v>
      </c>
    </row>
    <row r="2093" spans="1:18" ht="14.25" thickBot="1">
      <c r="A2093" s="1" t="s">
        <v>1678</v>
      </c>
      <c r="B2093" s="2">
        <v>0</v>
      </c>
      <c r="C2093" s="1" t="str">
        <f t="shared" si="66"/>
        <v>新兵外套</v>
      </c>
      <c r="D2093" s="1" t="s">
        <v>11</v>
      </c>
      <c r="E2093" s="1">
        <v>4</v>
      </c>
      <c r="F2093" s="1">
        <v>5</v>
      </c>
      <c r="G2093" s="1">
        <v>50</v>
      </c>
      <c r="H2093" s="10">
        <v>0</v>
      </c>
      <c r="I2093" s="1">
        <v>106000</v>
      </c>
      <c r="J2093" s="1">
        <v>150</v>
      </c>
      <c r="K2093" s="1">
        <v>1500</v>
      </c>
      <c r="L2093" s="1">
        <v>30000</v>
      </c>
      <c r="M2093" s="1" t="str">
        <f t="shared" si="67"/>
        <v>105_929_929</v>
      </c>
      <c r="N2093" s="1" t="s">
        <v>1787</v>
      </c>
      <c r="O2093" s="1">
        <v>0</v>
      </c>
      <c r="P2093" s="1" t="s">
        <v>2055</v>
      </c>
      <c r="Q2093" s="7" t="str">
        <f t="shared" si="68"/>
        <v>equipment/5001.png</v>
      </c>
      <c r="R2093" s="1">
        <v>0</v>
      </c>
    </row>
    <row r="2094" spans="1:18" ht="14.25" thickBot="1">
      <c r="A2094" s="1" t="s">
        <v>1679</v>
      </c>
      <c r="B2094" s="3">
        <v>1</v>
      </c>
      <c r="C2094" s="1" t="str">
        <f t="shared" si="66"/>
        <v>凯旋腿甲</v>
      </c>
      <c r="D2094" s="1" t="s">
        <v>14</v>
      </c>
      <c r="E2094" s="1">
        <v>7</v>
      </c>
      <c r="F2094" s="1">
        <v>5</v>
      </c>
      <c r="G2094" s="1">
        <v>50</v>
      </c>
      <c r="H2094" s="10">
        <v>0</v>
      </c>
      <c r="I2094" s="1">
        <v>100000</v>
      </c>
      <c r="J2094" s="1">
        <v>150</v>
      </c>
      <c r="K2094" s="1">
        <v>1500</v>
      </c>
      <c r="L2094" s="1">
        <v>27500</v>
      </c>
      <c r="M2094" s="1" t="str">
        <f t="shared" si="67"/>
        <v>105_628_628</v>
      </c>
      <c r="N2094" s="1" t="s">
        <v>1787</v>
      </c>
      <c r="O2094" s="1">
        <v>0</v>
      </c>
      <c r="P2094" s="1" t="s">
        <v>2055</v>
      </c>
      <c r="Q2094" s="7" t="str">
        <f t="shared" si="68"/>
        <v>equipment/7012.png</v>
      </c>
      <c r="R2094" s="1">
        <v>0</v>
      </c>
    </row>
    <row r="2095" spans="1:18" ht="14.25" thickBot="1">
      <c r="A2095" s="1" t="s">
        <v>1680</v>
      </c>
      <c r="B2095" s="2">
        <v>0</v>
      </c>
      <c r="C2095" s="1" t="str">
        <f t="shared" si="66"/>
        <v>学徒短裤</v>
      </c>
      <c r="D2095" s="1" t="s">
        <v>14</v>
      </c>
      <c r="E2095" s="1">
        <v>7</v>
      </c>
      <c r="F2095" s="1">
        <v>5</v>
      </c>
      <c r="G2095" s="1">
        <v>50</v>
      </c>
      <c r="H2095" s="10">
        <v>0</v>
      </c>
      <c r="I2095" s="1">
        <v>106000</v>
      </c>
      <c r="J2095" s="1">
        <v>150</v>
      </c>
      <c r="K2095" s="1">
        <v>1500</v>
      </c>
      <c r="L2095" s="1">
        <v>30000</v>
      </c>
      <c r="M2095" s="1" t="str">
        <f t="shared" si="67"/>
        <v>105_689_689</v>
      </c>
      <c r="N2095" s="1" t="s">
        <v>1787</v>
      </c>
      <c r="O2095" s="1">
        <v>0</v>
      </c>
      <c r="P2095" s="1" t="s">
        <v>2055</v>
      </c>
      <c r="Q2095" s="7" t="str">
        <f t="shared" si="68"/>
        <v>equipment/7001.png</v>
      </c>
      <c r="R2095" s="1">
        <v>0</v>
      </c>
    </row>
    <row r="2096" spans="1:18" ht="14.25" thickBot="1">
      <c r="A2096" s="1" t="s">
        <v>1681</v>
      </c>
      <c r="B2096" s="3">
        <v>1</v>
      </c>
      <c r="C2096" s="1" t="str">
        <f t="shared" si="66"/>
        <v>银月头盔</v>
      </c>
      <c r="D2096" s="1" t="s">
        <v>8</v>
      </c>
      <c r="E2096" s="1">
        <v>1</v>
      </c>
      <c r="F2096" s="1">
        <v>5</v>
      </c>
      <c r="G2096" s="1">
        <v>55</v>
      </c>
      <c r="H2096" s="10">
        <v>0</v>
      </c>
      <c r="I2096" s="1">
        <v>110000</v>
      </c>
      <c r="J2096" s="1">
        <v>150</v>
      </c>
      <c r="K2096" s="1">
        <v>1500</v>
      </c>
      <c r="L2096" s="1">
        <v>30000</v>
      </c>
      <c r="M2096" s="1" t="str">
        <f t="shared" si="67"/>
        <v>106_1291_1291</v>
      </c>
      <c r="N2096" s="1" t="s">
        <v>1789</v>
      </c>
      <c r="O2096" s="1">
        <v>0</v>
      </c>
      <c r="P2096" s="1" t="s">
        <v>2056</v>
      </c>
      <c r="Q2096" s="7" t="str">
        <f t="shared" si="68"/>
        <v>equipment/3009.png</v>
      </c>
      <c r="R2096" s="1">
        <v>0</v>
      </c>
    </row>
    <row r="2097" spans="1:18" ht="14.25" thickBot="1">
      <c r="A2097" s="1" t="s">
        <v>1682</v>
      </c>
      <c r="B2097" s="3">
        <v>1</v>
      </c>
      <c r="C2097" s="1" t="str">
        <f t="shared" si="66"/>
        <v>镇魂之戒</v>
      </c>
      <c r="D2097" s="1" t="s">
        <v>9</v>
      </c>
      <c r="E2097" s="1">
        <v>2</v>
      </c>
      <c r="F2097" s="1">
        <v>5</v>
      </c>
      <c r="G2097" s="1">
        <v>55</v>
      </c>
      <c r="H2097" s="10">
        <v>0</v>
      </c>
      <c r="I2097" s="1">
        <v>110000</v>
      </c>
      <c r="J2097" s="1">
        <v>150</v>
      </c>
      <c r="K2097" s="1">
        <v>1500</v>
      </c>
      <c r="L2097" s="1">
        <v>30000</v>
      </c>
      <c r="M2097" s="1" t="str">
        <f t="shared" si="67"/>
        <v>102_1080_1080</v>
      </c>
      <c r="N2097" s="1" t="s">
        <v>1789</v>
      </c>
      <c r="O2097" s="1">
        <v>0</v>
      </c>
      <c r="P2097" s="1" t="s">
        <v>2056</v>
      </c>
      <c r="Q2097" s="7" t="str">
        <f t="shared" si="68"/>
        <v>equipment/14009.png</v>
      </c>
      <c r="R2097" s="1">
        <v>0</v>
      </c>
    </row>
    <row r="2098" spans="1:18" ht="14.25" thickBot="1">
      <c r="A2098" s="1" t="s">
        <v>1683</v>
      </c>
      <c r="B2098" s="2">
        <v>1</v>
      </c>
      <c r="C2098" s="1" t="str">
        <f t="shared" si="66"/>
        <v>魔鳞腰带</v>
      </c>
      <c r="D2098" s="1" t="s">
        <v>10</v>
      </c>
      <c r="E2098" s="1">
        <v>3</v>
      </c>
      <c r="F2098" s="1">
        <v>5</v>
      </c>
      <c r="G2098" s="1">
        <v>55</v>
      </c>
      <c r="H2098" s="10">
        <v>0</v>
      </c>
      <c r="I2098" s="1">
        <v>110000</v>
      </c>
      <c r="J2098" s="1">
        <v>150</v>
      </c>
      <c r="K2098" s="1">
        <v>1500</v>
      </c>
      <c r="L2098" s="1">
        <v>30000</v>
      </c>
      <c r="M2098" s="1" t="s">
        <v>2476</v>
      </c>
      <c r="N2098" s="1" t="s">
        <v>1789</v>
      </c>
      <c r="O2098" s="1">
        <v>0</v>
      </c>
      <c r="P2098" s="1" t="s">
        <v>2056</v>
      </c>
      <c r="Q2098" s="7" t="str">
        <f t="shared" si="68"/>
        <v>equipment/6004.png</v>
      </c>
      <c r="R2098" s="1">
        <v>0</v>
      </c>
    </row>
    <row r="2099" spans="1:18" ht="14.25" thickBot="1">
      <c r="A2099" s="1" t="s">
        <v>1684</v>
      </c>
      <c r="B2099" s="3">
        <v>1</v>
      </c>
      <c r="C2099" s="1" t="str">
        <f t="shared" si="66"/>
        <v>天行者之靴</v>
      </c>
      <c r="D2099" s="1" t="s">
        <v>15</v>
      </c>
      <c r="E2099" s="1">
        <v>8</v>
      </c>
      <c r="F2099" s="1">
        <v>5</v>
      </c>
      <c r="G2099" s="1">
        <v>55</v>
      </c>
      <c r="H2099" s="10">
        <v>0</v>
      </c>
      <c r="I2099" s="1">
        <v>110000</v>
      </c>
      <c r="J2099" s="1">
        <v>150</v>
      </c>
      <c r="K2099" s="1">
        <v>1500</v>
      </c>
      <c r="L2099" s="1">
        <v>30000</v>
      </c>
      <c r="M2099" s="1" t="str">
        <f t="shared" si="67"/>
        <v>110_219_219</v>
      </c>
      <c r="N2099" s="1" t="s">
        <v>1789</v>
      </c>
      <c r="O2099" s="1">
        <v>0</v>
      </c>
      <c r="P2099" s="1" t="s">
        <v>2056</v>
      </c>
      <c r="Q2099" s="7" t="str">
        <f t="shared" si="68"/>
        <v>equipment/8009.png</v>
      </c>
      <c r="R2099" s="1">
        <v>0</v>
      </c>
    </row>
    <row r="2100" spans="1:18" ht="14.25" thickBot="1">
      <c r="A2100" s="1">
        <v>50550090</v>
      </c>
      <c r="B2100" s="2">
        <v>0</v>
      </c>
      <c r="C2100" s="1" t="s">
        <v>2866</v>
      </c>
      <c r="D2100" s="1" t="s">
        <v>16</v>
      </c>
      <c r="E2100" s="1">
        <v>9</v>
      </c>
      <c r="F2100" s="1">
        <v>5</v>
      </c>
      <c r="G2100" s="1">
        <v>55</v>
      </c>
      <c r="H2100" s="10">
        <v>0</v>
      </c>
      <c r="I2100" s="1">
        <v>110000</v>
      </c>
      <c r="J2100" s="1">
        <v>150</v>
      </c>
      <c r="K2100" s="1">
        <v>1500</v>
      </c>
      <c r="L2100" s="1">
        <v>30000</v>
      </c>
      <c r="M2100" s="1" t="str">
        <f t="shared" si="67"/>
        <v>108_1726_1726</v>
      </c>
      <c r="N2100" s="1" t="s">
        <v>1789</v>
      </c>
      <c r="O2100" s="1">
        <v>0</v>
      </c>
      <c r="P2100" s="1" t="s">
        <v>2056</v>
      </c>
      <c r="Q2100" s="7" t="str">
        <f t="shared" si="68"/>
        <v>equipment/10006.png</v>
      </c>
      <c r="R2100" s="1">
        <v>0</v>
      </c>
    </row>
    <row r="2101" spans="1:18" ht="14.25" thickBot="1">
      <c r="A2101" s="1" t="s">
        <v>1685</v>
      </c>
      <c r="B2101" s="3">
        <v>1</v>
      </c>
      <c r="C2101" s="1" t="str">
        <f t="shared" si="66"/>
        <v>遗忘石坠</v>
      </c>
      <c r="D2101" s="1" t="s">
        <v>17</v>
      </c>
      <c r="E2101" s="1">
        <v>10</v>
      </c>
      <c r="F2101" s="1">
        <v>5</v>
      </c>
      <c r="G2101" s="1">
        <v>55</v>
      </c>
      <c r="H2101" s="10">
        <v>0</v>
      </c>
      <c r="I2101" s="1">
        <v>110000</v>
      </c>
      <c r="J2101" s="1">
        <v>150</v>
      </c>
      <c r="K2101" s="1">
        <v>1500</v>
      </c>
      <c r="L2101" s="1">
        <v>30000</v>
      </c>
      <c r="M2101" s="1" t="str">
        <f t="shared" si="67"/>
        <v>107_1291_1291</v>
      </c>
      <c r="N2101" s="1" t="s">
        <v>1789</v>
      </c>
      <c r="O2101" s="1">
        <v>0</v>
      </c>
      <c r="P2101" s="1" t="s">
        <v>2056</v>
      </c>
      <c r="Q2101" s="7" t="str">
        <f t="shared" si="68"/>
        <v>equipment/12009.png</v>
      </c>
      <c r="R2101" s="1">
        <v>0</v>
      </c>
    </row>
    <row r="2102" spans="1:18" ht="14.25" thickBot="1">
      <c r="A2102" s="1" t="s">
        <v>1686</v>
      </c>
      <c r="B2102" s="3">
        <v>1</v>
      </c>
      <c r="C2102" s="1" t="str">
        <f t="shared" si="66"/>
        <v>噬魂符剑</v>
      </c>
      <c r="D2102" s="1" t="s">
        <v>12</v>
      </c>
      <c r="E2102" s="1">
        <v>5</v>
      </c>
      <c r="F2102" s="1">
        <v>5</v>
      </c>
      <c r="G2102" s="1">
        <v>55</v>
      </c>
      <c r="H2102" s="10" t="s">
        <v>2120</v>
      </c>
      <c r="I2102" s="1">
        <v>110000</v>
      </c>
      <c r="J2102" s="1">
        <v>150</v>
      </c>
      <c r="K2102" s="1">
        <v>1500</v>
      </c>
      <c r="L2102" s="1">
        <v>30000</v>
      </c>
      <c r="M2102" s="1" t="str">
        <f t="shared" si="67"/>
        <v>103_1409_1409,104_2818_2818</v>
      </c>
      <c r="N2102" s="1" t="s">
        <v>1790</v>
      </c>
      <c r="O2102" s="1">
        <v>0</v>
      </c>
      <c r="P2102" s="1" t="s">
        <v>2056</v>
      </c>
      <c r="Q2102" s="7" t="str">
        <f t="shared" si="68"/>
        <v>equipment/1121.png</v>
      </c>
      <c r="R2102" s="1">
        <v>0</v>
      </c>
    </row>
    <row r="2103" spans="1:18" ht="14.25" thickBot="1">
      <c r="A2103" s="1" t="s">
        <v>1687</v>
      </c>
      <c r="B2103" s="2">
        <v>0</v>
      </c>
      <c r="C2103" s="1" t="str">
        <f t="shared" si="66"/>
        <v>军刀</v>
      </c>
      <c r="D2103" s="1" t="s">
        <v>12</v>
      </c>
      <c r="E2103" s="1">
        <v>5</v>
      </c>
      <c r="F2103" s="1">
        <v>5</v>
      </c>
      <c r="G2103" s="1">
        <v>55</v>
      </c>
      <c r="H2103" s="10" t="s">
        <v>2120</v>
      </c>
      <c r="I2103" s="1">
        <v>116000</v>
      </c>
      <c r="J2103" s="1">
        <v>150</v>
      </c>
      <c r="K2103" s="1">
        <v>1500</v>
      </c>
      <c r="L2103" s="1">
        <v>32500</v>
      </c>
      <c r="M2103" s="1" t="str">
        <f t="shared" si="67"/>
        <v>103_1648_1648,104_3296_3296</v>
      </c>
      <c r="N2103" s="1" t="s">
        <v>1790</v>
      </c>
      <c r="O2103" s="1">
        <v>0</v>
      </c>
      <c r="P2103" s="1" t="s">
        <v>2056</v>
      </c>
      <c r="Q2103" s="7" t="str">
        <f t="shared" si="68"/>
        <v>equipment/1101.png</v>
      </c>
      <c r="R2103" s="1">
        <v>0</v>
      </c>
    </row>
    <row r="2104" spans="1:18" ht="14.25" thickBot="1">
      <c r="A2104" s="1" t="s">
        <v>1688</v>
      </c>
      <c r="B2104" s="3">
        <v>1</v>
      </c>
      <c r="C2104" s="1" t="str">
        <f t="shared" si="66"/>
        <v>反射壁垒</v>
      </c>
      <c r="D2104" s="1" t="s">
        <v>13</v>
      </c>
      <c r="E2104" s="1">
        <v>6</v>
      </c>
      <c r="F2104" s="1">
        <v>5</v>
      </c>
      <c r="G2104" s="1">
        <v>55</v>
      </c>
      <c r="H2104" s="10" t="s">
        <v>2120</v>
      </c>
      <c r="I2104" s="1">
        <v>110000</v>
      </c>
      <c r="J2104" s="1">
        <v>150</v>
      </c>
      <c r="K2104" s="1">
        <v>1500</v>
      </c>
      <c r="L2104" s="1">
        <v>30000</v>
      </c>
      <c r="M2104" s="1" t="str">
        <f t="shared" si="67"/>
        <v>105_1981_1981</v>
      </c>
      <c r="N2104" s="1" t="s">
        <v>1790</v>
      </c>
      <c r="O2104" s="1">
        <v>0</v>
      </c>
      <c r="P2104" s="1" t="s">
        <v>2056</v>
      </c>
      <c r="Q2104" s="7" t="str">
        <f t="shared" si="68"/>
        <v>equipment/2113.png</v>
      </c>
      <c r="R2104" s="1">
        <v>0</v>
      </c>
    </row>
    <row r="2105" spans="1:18" ht="14.25" thickBot="1">
      <c r="A2105" s="1" t="s">
        <v>1689</v>
      </c>
      <c r="B2105" s="3">
        <v>1</v>
      </c>
      <c r="C2105" s="1" t="str">
        <f t="shared" si="66"/>
        <v>巨龙之盾</v>
      </c>
      <c r="D2105" s="1" t="s">
        <v>13</v>
      </c>
      <c r="E2105" s="1">
        <v>6</v>
      </c>
      <c r="F2105" s="1">
        <v>5</v>
      </c>
      <c r="G2105" s="1">
        <v>55</v>
      </c>
      <c r="H2105" s="10" t="s">
        <v>2120</v>
      </c>
      <c r="I2105" s="1">
        <v>116000</v>
      </c>
      <c r="J2105" s="1">
        <v>150</v>
      </c>
      <c r="K2105" s="1">
        <v>1500</v>
      </c>
      <c r="L2105" s="1">
        <v>32500</v>
      </c>
      <c r="M2105" s="1" t="str">
        <f t="shared" si="67"/>
        <v>105_2195_2195</v>
      </c>
      <c r="N2105" s="1" t="s">
        <v>1790</v>
      </c>
      <c r="O2105" s="1">
        <v>0</v>
      </c>
      <c r="P2105" s="1" t="s">
        <v>2056</v>
      </c>
      <c r="Q2105" s="7" t="str">
        <f t="shared" si="68"/>
        <v>equipment/2114.png</v>
      </c>
      <c r="R2105" s="1">
        <v>0</v>
      </c>
    </row>
    <row r="2106" spans="1:18" ht="14.25" thickBot="1">
      <c r="A2106" s="1" t="s">
        <v>1690</v>
      </c>
      <c r="B2106" s="3">
        <v>1</v>
      </c>
      <c r="C2106" s="1" t="str">
        <f t="shared" si="66"/>
        <v>魂击长弓</v>
      </c>
      <c r="D2106" s="1" t="s">
        <v>12</v>
      </c>
      <c r="E2106" s="1">
        <v>5</v>
      </c>
      <c r="F2106" s="1">
        <v>5</v>
      </c>
      <c r="G2106" s="1">
        <v>55</v>
      </c>
      <c r="H2106" s="10" t="s">
        <v>2121</v>
      </c>
      <c r="I2106" s="1">
        <v>110000</v>
      </c>
      <c r="J2106" s="1">
        <v>150</v>
      </c>
      <c r="K2106" s="1">
        <v>1500</v>
      </c>
      <c r="L2106" s="1">
        <v>30000</v>
      </c>
      <c r="M2106" s="1" t="str">
        <f t="shared" si="67"/>
        <v>103_1409_1409,104_2818_2818</v>
      </c>
      <c r="N2106" s="1" t="s">
        <v>1790</v>
      </c>
      <c r="O2106" s="1">
        <v>0</v>
      </c>
      <c r="P2106" s="1" t="s">
        <v>2056</v>
      </c>
      <c r="Q2106" s="7" t="str">
        <f t="shared" si="68"/>
        <v>equipment/1219.png</v>
      </c>
      <c r="R2106" s="1">
        <v>0</v>
      </c>
    </row>
    <row r="2107" spans="1:18" ht="14.25" thickBot="1">
      <c r="A2107" s="1" t="s">
        <v>1691</v>
      </c>
      <c r="B2107" s="2">
        <v>0</v>
      </c>
      <c r="C2107" s="1" t="str">
        <f t="shared" si="66"/>
        <v>棘木弓</v>
      </c>
      <c r="D2107" s="1" t="s">
        <v>12</v>
      </c>
      <c r="E2107" s="1">
        <v>5</v>
      </c>
      <c r="F2107" s="1">
        <v>5</v>
      </c>
      <c r="G2107" s="1">
        <v>55</v>
      </c>
      <c r="H2107" s="10" t="s">
        <v>2121</v>
      </c>
      <c r="I2107" s="1">
        <v>116000</v>
      </c>
      <c r="J2107" s="1">
        <v>150</v>
      </c>
      <c r="K2107" s="1">
        <v>1500</v>
      </c>
      <c r="L2107" s="1">
        <v>32500</v>
      </c>
      <c r="M2107" s="1" t="str">
        <f t="shared" si="67"/>
        <v>103_1648_1648,104_3296_3296</v>
      </c>
      <c r="N2107" s="1" t="s">
        <v>1790</v>
      </c>
      <c r="O2107" s="1">
        <v>0</v>
      </c>
      <c r="P2107" s="1" t="s">
        <v>2056</v>
      </c>
      <c r="Q2107" s="7" t="str">
        <f t="shared" si="68"/>
        <v>equipment/1201.png</v>
      </c>
      <c r="R2107" s="1">
        <v>0</v>
      </c>
    </row>
    <row r="2108" spans="1:18" ht="14.25" thickBot="1">
      <c r="A2108" s="1" t="s">
        <v>1692</v>
      </c>
      <c r="B2108" s="3">
        <v>1</v>
      </c>
      <c r="C2108" s="1" t="str">
        <f t="shared" si="66"/>
        <v>银矢箭筒</v>
      </c>
      <c r="D2108" s="1" t="s">
        <v>13</v>
      </c>
      <c r="E2108" s="1">
        <v>6</v>
      </c>
      <c r="F2108" s="1">
        <v>5</v>
      </c>
      <c r="G2108" s="1">
        <v>55</v>
      </c>
      <c r="H2108" s="10" t="s">
        <v>2121</v>
      </c>
      <c r="I2108" s="1">
        <v>110000</v>
      </c>
      <c r="J2108" s="1">
        <v>150</v>
      </c>
      <c r="K2108" s="1">
        <v>1500</v>
      </c>
      <c r="L2108" s="1">
        <v>30000</v>
      </c>
      <c r="M2108" s="1" t="str">
        <f t="shared" si="67"/>
        <v>108_1981_1981</v>
      </c>
      <c r="N2108" s="1" t="s">
        <v>1790</v>
      </c>
      <c r="O2108" s="1">
        <v>0</v>
      </c>
      <c r="P2108" s="1" t="s">
        <v>2056</v>
      </c>
      <c r="Q2108" s="7" t="str">
        <f t="shared" si="68"/>
        <v>equipment/2213.png</v>
      </c>
      <c r="R2108" s="1">
        <v>0</v>
      </c>
    </row>
    <row r="2109" spans="1:18" ht="14.25" thickBot="1">
      <c r="A2109" s="1" t="s">
        <v>1693</v>
      </c>
      <c r="B2109" s="3">
        <v>1</v>
      </c>
      <c r="C2109" s="1" t="str">
        <f t="shared" si="66"/>
        <v>日怒箭筒</v>
      </c>
      <c r="D2109" s="1" t="s">
        <v>13</v>
      </c>
      <c r="E2109" s="1">
        <v>6</v>
      </c>
      <c r="F2109" s="1">
        <v>5</v>
      </c>
      <c r="G2109" s="1">
        <v>55</v>
      </c>
      <c r="H2109" s="10" t="s">
        <v>2121</v>
      </c>
      <c r="I2109" s="1">
        <v>116000</v>
      </c>
      <c r="J2109" s="1">
        <v>150</v>
      </c>
      <c r="K2109" s="1">
        <v>1500</v>
      </c>
      <c r="L2109" s="1">
        <v>32500</v>
      </c>
      <c r="M2109" s="1" t="str">
        <f t="shared" si="67"/>
        <v>108_2195_2195</v>
      </c>
      <c r="N2109" s="1" t="s">
        <v>1790</v>
      </c>
      <c r="O2109" s="1">
        <v>0</v>
      </c>
      <c r="P2109" s="1" t="s">
        <v>2056</v>
      </c>
      <c r="Q2109" s="7" t="str">
        <f t="shared" si="68"/>
        <v>equipment/2214.png</v>
      </c>
      <c r="R2109" s="1">
        <v>0</v>
      </c>
    </row>
    <row r="2110" spans="1:18" ht="14.25" thickBot="1">
      <c r="A2110" s="1" t="s">
        <v>1694</v>
      </c>
      <c r="B2110" s="3">
        <v>1</v>
      </c>
      <c r="C2110" s="1" t="str">
        <f t="shared" si="66"/>
        <v>寒霜之怒</v>
      </c>
      <c r="D2110" s="1" t="s">
        <v>12</v>
      </c>
      <c r="E2110" s="1">
        <v>5</v>
      </c>
      <c r="F2110" s="1">
        <v>5</v>
      </c>
      <c r="G2110" s="1">
        <v>55</v>
      </c>
      <c r="H2110" s="10" t="s">
        <v>2122</v>
      </c>
      <c r="I2110" s="1">
        <v>110000</v>
      </c>
      <c r="J2110" s="1">
        <v>150</v>
      </c>
      <c r="K2110" s="1">
        <v>1500</v>
      </c>
      <c r="L2110" s="1">
        <v>30000</v>
      </c>
      <c r="M2110" s="1" t="str">
        <f t="shared" si="67"/>
        <v>103_1409_1409,104_2818_2818</v>
      </c>
      <c r="N2110" s="1" t="s">
        <v>1790</v>
      </c>
      <c r="O2110" s="1">
        <v>0</v>
      </c>
      <c r="P2110" s="1" t="s">
        <v>2056</v>
      </c>
      <c r="Q2110" s="7" t="str">
        <f t="shared" si="68"/>
        <v>equipment/1321.png</v>
      </c>
      <c r="R2110" s="1">
        <v>0</v>
      </c>
    </row>
    <row r="2111" spans="1:18" ht="14.25" thickBot="1">
      <c r="A2111" s="1" t="s">
        <v>1695</v>
      </c>
      <c r="B2111" s="2">
        <v>0</v>
      </c>
      <c r="C2111" s="1" t="str">
        <f t="shared" si="66"/>
        <v>学徒法杖</v>
      </c>
      <c r="D2111" s="1" t="s">
        <v>12</v>
      </c>
      <c r="E2111" s="1">
        <v>5</v>
      </c>
      <c r="F2111" s="1">
        <v>5</v>
      </c>
      <c r="G2111" s="1">
        <v>55</v>
      </c>
      <c r="H2111" s="10" t="s">
        <v>2122</v>
      </c>
      <c r="I2111" s="1">
        <v>116000</v>
      </c>
      <c r="J2111" s="1">
        <v>150</v>
      </c>
      <c r="K2111" s="1">
        <v>1500</v>
      </c>
      <c r="L2111" s="1">
        <v>32500</v>
      </c>
      <c r="M2111" s="1" t="str">
        <f t="shared" si="67"/>
        <v>103_1648_1648,104_3296_3296</v>
      </c>
      <c r="N2111" s="1" t="s">
        <v>1790</v>
      </c>
      <c r="O2111" s="1">
        <v>0</v>
      </c>
      <c r="P2111" s="1" t="s">
        <v>2056</v>
      </c>
      <c r="Q2111" s="7" t="str">
        <f t="shared" si="68"/>
        <v>equipment/1301.png</v>
      </c>
      <c r="R2111" s="1">
        <v>0</v>
      </c>
    </row>
    <row r="2112" spans="1:18" ht="14.25" thickBot="1">
      <c r="A2112" s="1" t="s">
        <v>1696</v>
      </c>
      <c r="B2112" s="3">
        <v>1</v>
      </c>
      <c r="C2112" s="1" t="str">
        <f t="shared" si="66"/>
        <v>遗忘魔典</v>
      </c>
      <c r="D2112" s="1" t="s">
        <v>13</v>
      </c>
      <c r="E2112" s="1">
        <v>6</v>
      </c>
      <c r="F2112" s="1">
        <v>5</v>
      </c>
      <c r="G2112" s="1">
        <v>55</v>
      </c>
      <c r="H2112" s="10" t="s">
        <v>2122</v>
      </c>
      <c r="I2112" s="1">
        <v>110000</v>
      </c>
      <c r="J2112" s="1">
        <v>150</v>
      </c>
      <c r="K2112" s="1">
        <v>1500</v>
      </c>
      <c r="L2112" s="1">
        <v>30000</v>
      </c>
      <c r="M2112" s="1" t="str">
        <f t="shared" si="67"/>
        <v>102_1780_1780</v>
      </c>
      <c r="N2112" s="1" t="s">
        <v>1790</v>
      </c>
      <c r="O2112" s="1">
        <v>0</v>
      </c>
      <c r="P2112" s="1" t="s">
        <v>2056</v>
      </c>
      <c r="Q2112" s="7" t="str">
        <f t="shared" si="68"/>
        <v>equipment/2313.png</v>
      </c>
      <c r="R2112" s="1">
        <v>0</v>
      </c>
    </row>
    <row r="2113" spans="1:18" ht="14.25" thickBot="1">
      <c r="A2113" s="1" t="s">
        <v>1697</v>
      </c>
      <c r="B2113" s="3">
        <v>1</v>
      </c>
      <c r="C2113" s="1" t="str">
        <f t="shared" si="66"/>
        <v>龙语入门</v>
      </c>
      <c r="D2113" s="1" t="s">
        <v>13</v>
      </c>
      <c r="E2113" s="1">
        <v>6</v>
      </c>
      <c r="F2113" s="1">
        <v>5</v>
      </c>
      <c r="G2113" s="1">
        <v>55</v>
      </c>
      <c r="H2113" s="10" t="s">
        <v>2122</v>
      </c>
      <c r="I2113" s="1">
        <v>116000</v>
      </c>
      <c r="J2113" s="1">
        <v>150</v>
      </c>
      <c r="K2113" s="1">
        <v>1500</v>
      </c>
      <c r="L2113" s="1">
        <v>32500</v>
      </c>
      <c r="M2113" s="1" t="str">
        <f t="shared" si="67"/>
        <v>102_1972_1972</v>
      </c>
      <c r="N2113" s="1" t="s">
        <v>1790</v>
      </c>
      <c r="O2113" s="1">
        <v>0</v>
      </c>
      <c r="P2113" s="1" t="s">
        <v>2056</v>
      </c>
      <c r="Q2113" s="7" t="str">
        <f t="shared" si="68"/>
        <v>equipment/2316.png</v>
      </c>
      <c r="R2113" s="1">
        <v>0</v>
      </c>
    </row>
    <row r="2114" spans="1:18" ht="14.25" thickBot="1">
      <c r="A2114" s="1" t="s">
        <v>1698</v>
      </c>
      <c r="B2114" s="3">
        <v>1</v>
      </c>
      <c r="C2114" s="1" t="str">
        <f t="shared" si="66"/>
        <v>血卫胸甲</v>
      </c>
      <c r="D2114" s="1" t="s">
        <v>11</v>
      </c>
      <c r="E2114" s="1">
        <v>4</v>
      </c>
      <c r="F2114" s="1">
        <v>5</v>
      </c>
      <c r="G2114" s="1">
        <v>55</v>
      </c>
      <c r="H2114" s="10">
        <v>0</v>
      </c>
      <c r="I2114" s="1">
        <v>110000</v>
      </c>
      <c r="J2114" s="1">
        <v>150</v>
      </c>
      <c r="K2114" s="1">
        <v>1500</v>
      </c>
      <c r="L2114" s="1">
        <v>30000</v>
      </c>
      <c r="M2114" s="1" t="str">
        <f t="shared" si="67"/>
        <v>105_1153_1153</v>
      </c>
      <c r="N2114" s="1" t="s">
        <v>1789</v>
      </c>
      <c r="O2114" s="1">
        <v>0</v>
      </c>
      <c r="P2114" s="1" t="s">
        <v>2056</v>
      </c>
      <c r="Q2114" s="7" t="str">
        <f t="shared" si="68"/>
        <v>equipment/5015.png</v>
      </c>
      <c r="R2114" s="1">
        <v>0</v>
      </c>
    </row>
    <row r="2115" spans="1:18" ht="14.25" thickBot="1">
      <c r="A2115" s="1" t="s">
        <v>1699</v>
      </c>
      <c r="B2115" s="2">
        <v>0</v>
      </c>
      <c r="C2115" s="1" t="str">
        <f t="shared" si="66"/>
        <v>新兵外套</v>
      </c>
      <c r="D2115" s="1" t="s">
        <v>11</v>
      </c>
      <c r="E2115" s="1">
        <v>4</v>
      </c>
      <c r="F2115" s="1">
        <v>5</v>
      </c>
      <c r="G2115" s="1">
        <v>55</v>
      </c>
      <c r="H2115" s="10">
        <v>0</v>
      </c>
      <c r="I2115" s="1">
        <v>116000</v>
      </c>
      <c r="J2115" s="1">
        <v>150</v>
      </c>
      <c r="K2115" s="1">
        <v>1500</v>
      </c>
      <c r="L2115" s="1">
        <v>32500</v>
      </c>
      <c r="M2115" s="1" t="str">
        <f t="shared" si="67"/>
        <v>105_1243_1243</v>
      </c>
      <c r="N2115" s="1" t="s">
        <v>1789</v>
      </c>
      <c r="O2115" s="1">
        <v>0</v>
      </c>
      <c r="P2115" s="1" t="s">
        <v>2056</v>
      </c>
      <c r="Q2115" s="7" t="str">
        <f t="shared" si="68"/>
        <v>equipment/5001.png</v>
      </c>
      <c r="R2115" s="1">
        <v>0</v>
      </c>
    </row>
    <row r="2116" spans="1:18" ht="14.25" thickBot="1">
      <c r="A2116" s="1" t="s">
        <v>1700</v>
      </c>
      <c r="B2116" s="3">
        <v>1</v>
      </c>
      <c r="C2116" s="1" t="str">
        <f t="shared" si="66"/>
        <v>征服者护腿</v>
      </c>
      <c r="D2116" s="1" t="s">
        <v>14</v>
      </c>
      <c r="E2116" s="1">
        <v>7</v>
      </c>
      <c r="F2116" s="1">
        <v>5</v>
      </c>
      <c r="G2116" s="1">
        <v>55</v>
      </c>
      <c r="H2116" s="10">
        <v>0</v>
      </c>
      <c r="I2116" s="1">
        <v>110000</v>
      </c>
      <c r="J2116" s="1">
        <v>150</v>
      </c>
      <c r="K2116" s="1">
        <v>1500</v>
      </c>
      <c r="L2116" s="1">
        <v>30000</v>
      </c>
      <c r="M2116" s="1" t="str">
        <f t="shared" si="67"/>
        <v>105_780_780</v>
      </c>
      <c r="N2116" s="1" t="s">
        <v>1789</v>
      </c>
      <c r="O2116" s="1">
        <v>0</v>
      </c>
      <c r="P2116" s="1" t="s">
        <v>2056</v>
      </c>
      <c r="Q2116" s="7" t="str">
        <f t="shared" si="68"/>
        <v>equipment/7013.png</v>
      </c>
      <c r="R2116" s="1">
        <v>0</v>
      </c>
    </row>
    <row r="2117" spans="1:18" ht="14.25" thickBot="1">
      <c r="A2117" s="1" t="s">
        <v>1701</v>
      </c>
      <c r="B2117" s="2">
        <v>0</v>
      </c>
      <c r="C2117" s="1" t="str">
        <f t="shared" si="66"/>
        <v>学徒短裤</v>
      </c>
      <c r="D2117" s="1" t="s">
        <v>14</v>
      </c>
      <c r="E2117" s="1">
        <v>7</v>
      </c>
      <c r="F2117" s="1">
        <v>5</v>
      </c>
      <c r="G2117" s="1">
        <v>55</v>
      </c>
      <c r="H2117" s="10">
        <v>0</v>
      </c>
      <c r="I2117" s="1">
        <v>116000</v>
      </c>
      <c r="J2117" s="1">
        <v>150</v>
      </c>
      <c r="K2117" s="1">
        <v>1500</v>
      </c>
      <c r="L2117" s="1">
        <v>32500</v>
      </c>
      <c r="M2117" s="1" t="str">
        <f t="shared" si="67"/>
        <v>105_929_929</v>
      </c>
      <c r="N2117" s="1" t="s">
        <v>1789</v>
      </c>
      <c r="O2117" s="1">
        <v>0</v>
      </c>
      <c r="P2117" s="1" t="s">
        <v>2056</v>
      </c>
      <c r="Q2117" s="7" t="str">
        <f t="shared" si="68"/>
        <v>equipment/7001.png</v>
      </c>
      <c r="R2117" s="1">
        <v>0</v>
      </c>
    </row>
    <row r="2118" spans="1:18" ht="14.25" thickBot="1">
      <c r="A2118" s="1" t="s">
        <v>1702</v>
      </c>
      <c r="B2118" s="3">
        <v>1</v>
      </c>
      <c r="C2118" s="1" t="str">
        <f t="shared" si="66"/>
        <v>英勇战盔</v>
      </c>
      <c r="D2118" s="1" t="s">
        <v>8</v>
      </c>
      <c r="E2118" s="1">
        <v>1</v>
      </c>
      <c r="F2118" s="1">
        <v>5</v>
      </c>
      <c r="G2118" s="1">
        <v>60</v>
      </c>
      <c r="H2118" s="10">
        <v>0</v>
      </c>
      <c r="I2118" s="1">
        <v>120000</v>
      </c>
      <c r="J2118" s="1">
        <v>150</v>
      </c>
      <c r="K2118" s="1">
        <v>1500</v>
      </c>
      <c r="L2118" s="1">
        <v>32500</v>
      </c>
      <c r="M2118" s="1" t="str">
        <f t="shared" si="67"/>
        <v>106_1628_1628</v>
      </c>
      <c r="N2118" s="1" t="s">
        <v>1791</v>
      </c>
      <c r="O2118" s="1">
        <v>0</v>
      </c>
      <c r="P2118" s="1" t="s">
        <v>2057</v>
      </c>
      <c r="Q2118" s="7" t="str">
        <f t="shared" si="68"/>
        <v>equipment/3010.png</v>
      </c>
      <c r="R2118" s="1">
        <v>0</v>
      </c>
    </row>
    <row r="2119" spans="1:18" ht="14.25" thickBot="1">
      <c r="A2119" s="1" t="s">
        <v>1703</v>
      </c>
      <c r="B2119" s="3">
        <v>1</v>
      </c>
      <c r="C2119" s="1" t="str">
        <f t="shared" si="66"/>
        <v>星宇指环</v>
      </c>
      <c r="D2119" s="1" t="s">
        <v>9</v>
      </c>
      <c r="E2119" s="1">
        <v>2</v>
      </c>
      <c r="F2119" s="1">
        <v>5</v>
      </c>
      <c r="G2119" s="1">
        <v>60</v>
      </c>
      <c r="H2119" s="10">
        <v>0</v>
      </c>
      <c r="I2119" s="1">
        <v>120000</v>
      </c>
      <c r="J2119" s="1">
        <v>150</v>
      </c>
      <c r="K2119" s="1">
        <v>1500</v>
      </c>
      <c r="L2119" s="1">
        <v>32500</v>
      </c>
      <c r="M2119" s="1" t="str">
        <f t="shared" si="67"/>
        <v>102_1260_1260</v>
      </c>
      <c r="N2119" s="1" t="s">
        <v>1791</v>
      </c>
      <c r="O2119" s="1">
        <v>0</v>
      </c>
      <c r="P2119" s="1" t="s">
        <v>2057</v>
      </c>
      <c r="Q2119" s="7" t="str">
        <f t="shared" si="68"/>
        <v>equipment/14010.png</v>
      </c>
      <c r="R2119" s="1">
        <v>0</v>
      </c>
    </row>
    <row r="2120" spans="1:18" ht="14.25" thickBot="1">
      <c r="A2120" s="1" t="s">
        <v>1704</v>
      </c>
      <c r="B2120" s="3">
        <v>1</v>
      </c>
      <c r="C2120" s="1" t="str">
        <f t="shared" si="66"/>
        <v>远征腰带</v>
      </c>
      <c r="D2120" s="1" t="s">
        <v>10</v>
      </c>
      <c r="E2120" s="1">
        <v>3</v>
      </c>
      <c r="F2120" s="1">
        <v>5</v>
      </c>
      <c r="G2120" s="1">
        <v>60</v>
      </c>
      <c r="H2120" s="10">
        <v>0</v>
      </c>
      <c r="I2120" s="1">
        <v>120000</v>
      </c>
      <c r="J2120" s="1">
        <v>150</v>
      </c>
      <c r="K2120" s="1">
        <v>1500</v>
      </c>
      <c r="L2120" s="1">
        <v>32500</v>
      </c>
      <c r="M2120" s="1" t="str">
        <f t="shared" si="67"/>
        <v>101_13920_13920</v>
      </c>
      <c r="N2120" s="1" t="s">
        <v>1791</v>
      </c>
      <c r="O2120" s="1">
        <v>0</v>
      </c>
      <c r="P2120" s="1" t="s">
        <v>2057</v>
      </c>
      <c r="Q2120" s="7" t="str">
        <f t="shared" si="68"/>
        <v>equipment/6010.png</v>
      </c>
      <c r="R2120" s="1">
        <v>0</v>
      </c>
    </row>
    <row r="2121" spans="1:18" ht="14.25" thickBot="1">
      <c r="A2121" s="1" t="s">
        <v>1705</v>
      </c>
      <c r="B2121" s="3">
        <v>1</v>
      </c>
      <c r="C2121" s="1" t="str">
        <f t="shared" si="66"/>
        <v>风暴长靴</v>
      </c>
      <c r="D2121" s="1" t="s">
        <v>15</v>
      </c>
      <c r="E2121" s="1">
        <v>8</v>
      </c>
      <c r="F2121" s="1">
        <v>5</v>
      </c>
      <c r="G2121" s="1">
        <v>60</v>
      </c>
      <c r="H2121" s="10">
        <v>0</v>
      </c>
      <c r="I2121" s="1">
        <v>120000</v>
      </c>
      <c r="J2121" s="1">
        <v>150</v>
      </c>
      <c r="K2121" s="1">
        <v>1500</v>
      </c>
      <c r="L2121" s="1">
        <v>32500</v>
      </c>
      <c r="M2121" s="1" t="str">
        <f t="shared" si="67"/>
        <v>110_271_271</v>
      </c>
      <c r="N2121" s="1" t="s">
        <v>1791</v>
      </c>
      <c r="O2121" s="1">
        <v>0</v>
      </c>
      <c r="P2121" s="1" t="s">
        <v>2057</v>
      </c>
      <c r="Q2121" s="7" t="str">
        <f t="shared" si="68"/>
        <v>equipment/8010.png</v>
      </c>
      <c r="R2121" s="1">
        <v>0</v>
      </c>
    </row>
    <row r="2122" spans="1:18" ht="14.25" thickBot="1">
      <c r="A2122" s="1" t="s">
        <v>1706</v>
      </c>
      <c r="B2122" s="3">
        <v>1</v>
      </c>
      <c r="C2122" s="1" t="str">
        <f t="shared" si="66"/>
        <v>远征军护手</v>
      </c>
      <c r="D2122" s="1" t="s">
        <v>16</v>
      </c>
      <c r="E2122" s="1">
        <v>9</v>
      </c>
      <c r="F2122" s="1">
        <v>5</v>
      </c>
      <c r="G2122" s="1">
        <v>60</v>
      </c>
      <c r="H2122" s="10">
        <v>0</v>
      </c>
      <c r="I2122" s="1">
        <v>120000</v>
      </c>
      <c r="J2122" s="1">
        <v>150</v>
      </c>
      <c r="K2122" s="1">
        <v>1500</v>
      </c>
      <c r="L2122" s="1">
        <v>32500</v>
      </c>
      <c r="M2122" s="1" t="str">
        <f t="shared" si="67"/>
        <v>108_2300_2300</v>
      </c>
      <c r="N2122" s="1" t="s">
        <v>1791</v>
      </c>
      <c r="O2122" s="1">
        <v>0</v>
      </c>
      <c r="P2122" s="1" t="s">
        <v>2057</v>
      </c>
      <c r="Q2122" s="7" t="str">
        <f t="shared" si="68"/>
        <v>equipment/10010.png</v>
      </c>
      <c r="R2122" s="1">
        <v>0</v>
      </c>
    </row>
    <row r="2123" spans="1:18" ht="14.25" thickBot="1">
      <c r="A2123" s="1" t="s">
        <v>1707</v>
      </c>
      <c r="B2123" s="3">
        <v>1</v>
      </c>
      <c r="C2123" s="1" t="str">
        <f t="shared" si="66"/>
        <v>悔恨之链</v>
      </c>
      <c r="D2123" s="1" t="s">
        <v>17</v>
      </c>
      <c r="E2123" s="1">
        <v>10</v>
      </c>
      <c r="F2123" s="1">
        <v>5</v>
      </c>
      <c r="G2123" s="1">
        <v>60</v>
      </c>
      <c r="H2123" s="10">
        <v>0</v>
      </c>
      <c r="I2123" s="1">
        <v>120000</v>
      </c>
      <c r="J2123" s="1">
        <v>150</v>
      </c>
      <c r="K2123" s="1">
        <v>1500</v>
      </c>
      <c r="L2123" s="1">
        <v>32500</v>
      </c>
      <c r="M2123" s="1" t="str">
        <f t="shared" si="67"/>
        <v>107_1628_1628</v>
      </c>
      <c r="N2123" s="1" t="s">
        <v>1791</v>
      </c>
      <c r="O2123" s="1">
        <v>0</v>
      </c>
      <c r="P2123" s="1" t="s">
        <v>2057</v>
      </c>
      <c r="Q2123" s="7" t="str">
        <f t="shared" si="68"/>
        <v>equipment/12010.png</v>
      </c>
      <c r="R2123" s="1">
        <v>0</v>
      </c>
    </row>
    <row r="2124" spans="1:18" ht="14.25" thickBot="1">
      <c r="A2124" s="1" t="s">
        <v>1708</v>
      </c>
      <c r="B2124" s="3">
        <v>1</v>
      </c>
      <c r="C2124" s="1" t="str">
        <f t="shared" si="66"/>
        <v>毁灭之刃</v>
      </c>
      <c r="D2124" s="1" t="s">
        <v>12</v>
      </c>
      <c r="E2124" s="1">
        <v>5</v>
      </c>
      <c r="F2124" s="1">
        <v>5</v>
      </c>
      <c r="G2124" s="1">
        <v>60</v>
      </c>
      <c r="H2124" s="10" t="s">
        <v>2120</v>
      </c>
      <c r="I2124" s="1">
        <v>120000</v>
      </c>
      <c r="J2124" s="1">
        <v>150</v>
      </c>
      <c r="K2124" s="1">
        <v>1500</v>
      </c>
      <c r="L2124" s="1">
        <v>32500</v>
      </c>
      <c r="M2124" s="1" t="str">
        <f t="shared" si="67"/>
        <v>103_2007_2007,104_4014_4014</v>
      </c>
      <c r="N2124" s="1" t="s">
        <v>1792</v>
      </c>
      <c r="O2124" s="1">
        <v>0</v>
      </c>
      <c r="P2124" s="1" t="s">
        <v>2057</v>
      </c>
      <c r="Q2124" s="7" t="str">
        <f t="shared" si="68"/>
        <v>equipment/1118.png</v>
      </c>
      <c r="R2124" s="1">
        <v>0</v>
      </c>
    </row>
    <row r="2125" spans="1:18" ht="14.25" thickBot="1">
      <c r="A2125" s="1" t="s">
        <v>1709</v>
      </c>
      <c r="B2125" s="3">
        <v>1</v>
      </c>
      <c r="C2125" s="1" t="str">
        <f t="shared" si="66"/>
        <v>逐光巨剑</v>
      </c>
      <c r="D2125" s="1" t="s">
        <v>12</v>
      </c>
      <c r="E2125" s="1">
        <v>5</v>
      </c>
      <c r="F2125" s="1">
        <v>5</v>
      </c>
      <c r="G2125" s="1">
        <v>60</v>
      </c>
      <c r="H2125" s="10" t="s">
        <v>2120</v>
      </c>
      <c r="I2125" s="1">
        <v>126000</v>
      </c>
      <c r="J2125" s="1">
        <v>150</v>
      </c>
      <c r="K2125" s="1">
        <v>1500</v>
      </c>
      <c r="L2125" s="1">
        <v>35000</v>
      </c>
      <c r="M2125" s="1" t="str">
        <f t="shared" si="67"/>
        <v>103_2252_2252,104_4504_4504</v>
      </c>
      <c r="N2125" s="1" t="s">
        <v>1792</v>
      </c>
      <c r="O2125" s="1">
        <v>0</v>
      </c>
      <c r="P2125" s="1" t="s">
        <v>2057</v>
      </c>
      <c r="Q2125" s="7" t="str">
        <f t="shared" si="68"/>
        <v>equipment/1122.png</v>
      </c>
      <c r="R2125" s="1">
        <v>0</v>
      </c>
    </row>
    <row r="2126" spans="1:18" ht="14.25" thickBot="1">
      <c r="A2126" s="1" t="s">
        <v>1710</v>
      </c>
      <c r="B2126" s="3">
        <v>1</v>
      </c>
      <c r="C2126" s="1" t="str">
        <f t="shared" si="66"/>
        <v>灵魂壁垒</v>
      </c>
      <c r="D2126" s="1" t="s">
        <v>13</v>
      </c>
      <c r="E2126" s="1">
        <v>6</v>
      </c>
      <c r="F2126" s="1">
        <v>5</v>
      </c>
      <c r="G2126" s="1">
        <v>60</v>
      </c>
      <c r="H2126" s="10" t="s">
        <v>2120</v>
      </c>
      <c r="I2126" s="1">
        <v>120000</v>
      </c>
      <c r="J2126" s="1">
        <v>150</v>
      </c>
      <c r="K2126" s="1">
        <v>1500</v>
      </c>
      <c r="L2126" s="1">
        <v>32500</v>
      </c>
      <c r="M2126" s="1" t="str">
        <f t="shared" si="67"/>
        <v>105_2515_2515</v>
      </c>
      <c r="N2126" s="1" t="s">
        <v>1792</v>
      </c>
      <c r="O2126" s="1">
        <v>0</v>
      </c>
      <c r="P2126" s="1" t="s">
        <v>2057</v>
      </c>
      <c r="Q2126" s="7" t="str">
        <f t="shared" si="68"/>
        <v>equipment/2115.png</v>
      </c>
      <c r="R2126" s="1">
        <v>0</v>
      </c>
    </row>
    <row r="2127" spans="1:18" ht="14.25" thickBot="1">
      <c r="A2127" s="1" t="s">
        <v>1711</v>
      </c>
      <c r="B2127" s="2">
        <v>0</v>
      </c>
      <c r="C2127" s="1" t="str">
        <f t="shared" si="66"/>
        <v>尖头盾</v>
      </c>
      <c r="D2127" s="1" t="s">
        <v>13</v>
      </c>
      <c r="E2127" s="1">
        <v>6</v>
      </c>
      <c r="F2127" s="1">
        <v>5</v>
      </c>
      <c r="G2127" s="1">
        <v>60</v>
      </c>
      <c r="H2127" s="10" t="s">
        <v>2120</v>
      </c>
      <c r="I2127" s="1">
        <v>126000</v>
      </c>
      <c r="J2127" s="1">
        <v>150</v>
      </c>
      <c r="K2127" s="1">
        <v>1500</v>
      </c>
      <c r="L2127" s="1">
        <v>35000</v>
      </c>
      <c r="M2127" s="1" t="str">
        <f t="shared" si="67"/>
        <v>105_2704_2704</v>
      </c>
      <c r="N2127" s="1" t="s">
        <v>1792</v>
      </c>
      <c r="O2127" s="1">
        <v>0</v>
      </c>
      <c r="P2127" s="1" t="s">
        <v>2057</v>
      </c>
      <c r="Q2127" s="7" t="str">
        <f t="shared" si="68"/>
        <v>equipment/2101.png</v>
      </c>
      <c r="R2127" s="1">
        <v>0</v>
      </c>
    </row>
    <row r="2128" spans="1:18" ht="14.25" thickBot="1">
      <c r="A2128" s="1" t="s">
        <v>1712</v>
      </c>
      <c r="B2128" s="3">
        <v>1</v>
      </c>
      <c r="C2128" s="1" t="str">
        <f t="shared" si="66"/>
        <v>暗之追猎者</v>
      </c>
      <c r="D2128" s="1" t="s">
        <v>12</v>
      </c>
      <c r="E2128" s="1">
        <v>5</v>
      </c>
      <c r="F2128" s="1">
        <v>5</v>
      </c>
      <c r="G2128" s="1">
        <v>60</v>
      </c>
      <c r="H2128" s="10" t="s">
        <v>2121</v>
      </c>
      <c r="I2128" s="1">
        <v>120000</v>
      </c>
      <c r="J2128" s="1">
        <v>150</v>
      </c>
      <c r="K2128" s="1">
        <v>1500</v>
      </c>
      <c r="L2128" s="1">
        <v>32500</v>
      </c>
      <c r="M2128" s="1" t="str">
        <f t="shared" si="67"/>
        <v>103_2007_2007,104_4014_4014</v>
      </c>
      <c r="N2128" s="1" t="s">
        <v>1792</v>
      </c>
      <c r="O2128" s="1">
        <v>0</v>
      </c>
      <c r="P2128" s="1" t="s">
        <v>2057</v>
      </c>
      <c r="Q2128" s="7" t="str">
        <f t="shared" si="68"/>
        <v>equipment/1220.png</v>
      </c>
      <c r="R2128" s="1">
        <v>0</v>
      </c>
    </row>
    <row r="2129" spans="1:18" ht="14.25" thickBot="1">
      <c r="A2129" s="1" t="s">
        <v>1713</v>
      </c>
      <c r="B2129" s="2">
        <v>0</v>
      </c>
      <c r="C2129" s="1" t="str">
        <f t="shared" si="66"/>
        <v>棘木弓</v>
      </c>
      <c r="D2129" s="1" t="s">
        <v>12</v>
      </c>
      <c r="E2129" s="1">
        <v>5</v>
      </c>
      <c r="F2129" s="1">
        <v>5</v>
      </c>
      <c r="G2129" s="1">
        <v>60</v>
      </c>
      <c r="H2129" s="10" t="s">
        <v>2121</v>
      </c>
      <c r="I2129" s="1">
        <v>126000</v>
      </c>
      <c r="J2129" s="1">
        <v>150</v>
      </c>
      <c r="K2129" s="1">
        <v>1500</v>
      </c>
      <c r="L2129" s="1">
        <v>35000</v>
      </c>
      <c r="M2129" s="1" t="str">
        <f t="shared" si="67"/>
        <v>103_2252_2252,104_4504_4504</v>
      </c>
      <c r="N2129" s="1" t="s">
        <v>1792</v>
      </c>
      <c r="O2129" s="1">
        <v>0</v>
      </c>
      <c r="P2129" s="1" t="s">
        <v>2057</v>
      </c>
      <c r="Q2129" s="7" t="str">
        <f t="shared" si="68"/>
        <v>equipment/1201.png</v>
      </c>
      <c r="R2129" s="1">
        <v>0</v>
      </c>
    </row>
    <row r="2130" spans="1:18" ht="14.25" thickBot="1">
      <c r="A2130" s="1" t="s">
        <v>1714</v>
      </c>
      <c r="B2130" s="3">
        <v>1</v>
      </c>
      <c r="C2130" s="1" t="str">
        <f t="shared" si="66"/>
        <v>猎星箭袋</v>
      </c>
      <c r="D2130" s="1" t="s">
        <v>13</v>
      </c>
      <c r="E2130" s="1">
        <v>6</v>
      </c>
      <c r="F2130" s="1">
        <v>5</v>
      </c>
      <c r="G2130" s="1">
        <v>60</v>
      </c>
      <c r="H2130" s="10" t="s">
        <v>2121</v>
      </c>
      <c r="I2130" s="1">
        <v>120000</v>
      </c>
      <c r="J2130" s="1">
        <v>150</v>
      </c>
      <c r="K2130" s="1">
        <v>1500</v>
      </c>
      <c r="L2130" s="1">
        <v>32500</v>
      </c>
      <c r="M2130" s="1" t="str">
        <f t="shared" si="67"/>
        <v>108_2515_2515</v>
      </c>
      <c r="N2130" s="1" t="s">
        <v>1792</v>
      </c>
      <c r="O2130" s="1">
        <v>0</v>
      </c>
      <c r="P2130" s="1" t="s">
        <v>2057</v>
      </c>
      <c r="Q2130" s="7" t="str">
        <f t="shared" si="68"/>
        <v>equipment/2215.png</v>
      </c>
      <c r="R2130" s="1">
        <v>0</v>
      </c>
    </row>
    <row r="2131" spans="1:18" ht="14.25" thickBot="1">
      <c r="A2131" s="1" t="s">
        <v>1715</v>
      </c>
      <c r="B2131" s="2">
        <v>0</v>
      </c>
      <c r="C2131" s="1" t="str">
        <f t="shared" si="66"/>
        <v>箭筒</v>
      </c>
      <c r="D2131" s="1" t="s">
        <v>13</v>
      </c>
      <c r="E2131" s="1">
        <v>6</v>
      </c>
      <c r="F2131" s="1">
        <v>5</v>
      </c>
      <c r="G2131" s="1">
        <v>60</v>
      </c>
      <c r="H2131" s="10" t="s">
        <v>2121</v>
      </c>
      <c r="I2131" s="1">
        <v>126000</v>
      </c>
      <c r="J2131" s="1">
        <v>150</v>
      </c>
      <c r="K2131" s="1">
        <v>1500</v>
      </c>
      <c r="L2131" s="1">
        <v>35000</v>
      </c>
      <c r="M2131" s="1" t="str">
        <f t="shared" si="67"/>
        <v>108_2704_2704</v>
      </c>
      <c r="N2131" s="1" t="s">
        <v>1792</v>
      </c>
      <c r="O2131" s="1">
        <v>0</v>
      </c>
      <c r="P2131" s="1" t="s">
        <v>2057</v>
      </c>
      <c r="Q2131" s="7" t="str">
        <f t="shared" si="68"/>
        <v>equipment/2201.png</v>
      </c>
      <c r="R2131" s="1">
        <v>0</v>
      </c>
    </row>
    <row r="2132" spans="1:18" ht="14.25" thickBot="1">
      <c r="A2132" s="1" t="s">
        <v>1716</v>
      </c>
      <c r="B2132" s="3">
        <v>1</v>
      </c>
      <c r="C2132" s="1" t="str">
        <f t="shared" si="66"/>
        <v>无尽回响之杖</v>
      </c>
      <c r="D2132" s="1" t="s">
        <v>12</v>
      </c>
      <c r="E2132" s="1">
        <v>5</v>
      </c>
      <c r="F2132" s="1">
        <v>5</v>
      </c>
      <c r="G2132" s="1">
        <v>60</v>
      </c>
      <c r="H2132" s="10" t="s">
        <v>2122</v>
      </c>
      <c r="I2132" s="1">
        <v>120000</v>
      </c>
      <c r="J2132" s="1">
        <v>150</v>
      </c>
      <c r="K2132" s="1">
        <v>1500</v>
      </c>
      <c r="L2132" s="1">
        <v>32500</v>
      </c>
      <c r="M2132" s="1" t="str">
        <f t="shared" si="67"/>
        <v>103_2007_2007,104_4014_4014</v>
      </c>
      <c r="N2132" s="1" t="s">
        <v>1792</v>
      </c>
      <c r="O2132" s="1">
        <v>0</v>
      </c>
      <c r="P2132" s="1" t="s">
        <v>2057</v>
      </c>
      <c r="Q2132" s="7" t="str">
        <f t="shared" si="68"/>
        <v>equipment/1322.png</v>
      </c>
      <c r="R2132" s="1">
        <v>0</v>
      </c>
    </row>
    <row r="2133" spans="1:18" ht="14.25" thickBot="1">
      <c r="A2133" s="1" t="s">
        <v>1717</v>
      </c>
      <c r="B2133" s="2">
        <v>0</v>
      </c>
      <c r="C2133" s="1" t="str">
        <f t="shared" ref="C2133:C2196" si="69">C1671</f>
        <v>日辉法杖</v>
      </c>
      <c r="D2133" s="1" t="s">
        <v>12</v>
      </c>
      <c r="E2133" s="1">
        <v>5</v>
      </c>
      <c r="F2133" s="1">
        <v>5</v>
      </c>
      <c r="G2133" s="1">
        <v>60</v>
      </c>
      <c r="H2133" s="10" t="s">
        <v>2122</v>
      </c>
      <c r="I2133" s="1">
        <v>126000</v>
      </c>
      <c r="J2133" s="1">
        <v>150</v>
      </c>
      <c r="K2133" s="1">
        <v>1500</v>
      </c>
      <c r="L2133" s="1">
        <v>35000</v>
      </c>
      <c r="M2133" s="1" t="str">
        <f t="shared" ref="M2133:M2183" si="70">M1671</f>
        <v>103_2252_2252,104_4504_4504</v>
      </c>
      <c r="N2133" s="1" t="s">
        <v>1792</v>
      </c>
      <c r="O2133" s="1">
        <v>0</v>
      </c>
      <c r="P2133" s="1" t="s">
        <v>2057</v>
      </c>
      <c r="Q2133" s="7" t="str">
        <f t="shared" ref="Q2133:Q2196" si="71">Q1671</f>
        <v>equipment/1301.png</v>
      </c>
      <c r="R2133" s="1">
        <v>0</v>
      </c>
    </row>
    <row r="2134" spans="1:18" ht="14.25" thickBot="1">
      <c r="A2134" s="1" t="s">
        <v>1718</v>
      </c>
      <c r="B2134" s="3">
        <v>1</v>
      </c>
      <c r="C2134" s="1" t="str">
        <f t="shared" si="69"/>
        <v>星图指南</v>
      </c>
      <c r="D2134" s="1" t="s">
        <v>13</v>
      </c>
      <c r="E2134" s="1">
        <v>6</v>
      </c>
      <c r="F2134" s="1">
        <v>5</v>
      </c>
      <c r="G2134" s="1">
        <v>60</v>
      </c>
      <c r="H2134" s="10" t="s">
        <v>2122</v>
      </c>
      <c r="I2134" s="1">
        <v>120000</v>
      </c>
      <c r="J2134" s="1">
        <v>150</v>
      </c>
      <c r="K2134" s="1">
        <v>1500</v>
      </c>
      <c r="L2134" s="1">
        <v>32500</v>
      </c>
      <c r="M2134" s="1" t="str">
        <f t="shared" si="70"/>
        <v>102_2260_2260</v>
      </c>
      <c r="N2134" s="1" t="s">
        <v>1792</v>
      </c>
      <c r="O2134" s="1">
        <v>0</v>
      </c>
      <c r="P2134" s="1" t="s">
        <v>2057</v>
      </c>
      <c r="Q2134" s="7" t="str">
        <f t="shared" si="71"/>
        <v>equipment/2315.png</v>
      </c>
      <c r="R2134" s="1">
        <v>0</v>
      </c>
    </row>
    <row r="2135" spans="1:18" ht="14.25" thickBot="1">
      <c r="A2135" s="1" t="s">
        <v>1719</v>
      </c>
      <c r="B2135" s="2">
        <v>0</v>
      </c>
      <c r="C2135" s="1" t="str">
        <f t="shared" si="69"/>
        <v>法术指南</v>
      </c>
      <c r="D2135" s="1" t="s">
        <v>13</v>
      </c>
      <c r="E2135" s="1">
        <v>6</v>
      </c>
      <c r="F2135" s="1">
        <v>5</v>
      </c>
      <c r="G2135" s="1">
        <v>60</v>
      </c>
      <c r="H2135" s="10" t="s">
        <v>2122</v>
      </c>
      <c r="I2135" s="1">
        <v>126000</v>
      </c>
      <c r="J2135" s="1">
        <v>150</v>
      </c>
      <c r="K2135" s="1">
        <v>1500</v>
      </c>
      <c r="L2135" s="1">
        <v>35000</v>
      </c>
      <c r="M2135" s="1" t="str">
        <f t="shared" si="70"/>
        <v>102_2704_2704</v>
      </c>
      <c r="N2135" s="1" t="s">
        <v>1792</v>
      </c>
      <c r="O2135" s="1">
        <v>0</v>
      </c>
      <c r="P2135" s="1" t="s">
        <v>2057</v>
      </c>
      <c r="Q2135" s="7" t="str">
        <f t="shared" si="71"/>
        <v>equipment/2301.png</v>
      </c>
      <c r="R2135" s="1">
        <v>0</v>
      </c>
    </row>
    <row r="2136" spans="1:18" ht="14.25" thickBot="1">
      <c r="A2136" s="1" t="s">
        <v>1720</v>
      </c>
      <c r="B2136" s="3">
        <v>1</v>
      </c>
      <c r="C2136" s="1" t="str">
        <f t="shared" si="69"/>
        <v>明光战甲</v>
      </c>
      <c r="D2136" s="1" t="s">
        <v>11</v>
      </c>
      <c r="E2136" s="1">
        <v>4</v>
      </c>
      <c r="F2136" s="1">
        <v>5</v>
      </c>
      <c r="G2136" s="1">
        <v>60</v>
      </c>
      <c r="H2136" s="10">
        <v>0</v>
      </c>
      <c r="I2136" s="1">
        <v>120000</v>
      </c>
      <c r="J2136" s="1">
        <v>150</v>
      </c>
      <c r="K2136" s="1">
        <v>1500</v>
      </c>
      <c r="L2136" s="1">
        <v>32500</v>
      </c>
      <c r="M2136" s="1" t="str">
        <f t="shared" si="70"/>
        <v>105_1377_1377</v>
      </c>
      <c r="N2136" s="1" t="s">
        <v>1791</v>
      </c>
      <c r="O2136" s="1">
        <v>0</v>
      </c>
      <c r="P2136" s="1" t="s">
        <v>2057</v>
      </c>
      <c r="Q2136" s="7" t="str">
        <f t="shared" si="71"/>
        <v>equipment/5016.png</v>
      </c>
      <c r="R2136" s="1">
        <v>0</v>
      </c>
    </row>
    <row r="2137" spans="1:18" ht="14.25" thickBot="1">
      <c r="A2137" s="1" t="s">
        <v>1721</v>
      </c>
      <c r="B2137" s="2">
        <v>0</v>
      </c>
      <c r="C2137" s="1" t="str">
        <f t="shared" si="69"/>
        <v>龙骑战甲</v>
      </c>
      <c r="D2137" s="1" t="s">
        <v>11</v>
      </c>
      <c r="E2137" s="1">
        <v>4</v>
      </c>
      <c r="F2137" s="1">
        <v>5</v>
      </c>
      <c r="G2137" s="1">
        <v>60</v>
      </c>
      <c r="H2137" s="10">
        <v>0</v>
      </c>
      <c r="I2137" s="1">
        <v>126000</v>
      </c>
      <c r="J2137" s="1">
        <v>150</v>
      </c>
      <c r="K2137" s="1">
        <v>1500</v>
      </c>
      <c r="L2137" s="1">
        <v>35000</v>
      </c>
      <c r="M2137" s="1" t="str">
        <f t="shared" si="70"/>
        <v>105_1477_1477</v>
      </c>
      <c r="N2137" s="1" t="s">
        <v>1791</v>
      </c>
      <c r="O2137" s="1">
        <v>0</v>
      </c>
      <c r="P2137" s="1" t="s">
        <v>2057</v>
      </c>
      <c r="Q2137" s="7" t="str">
        <f t="shared" si="71"/>
        <v>equipment/5001.png</v>
      </c>
      <c r="R2137" s="1">
        <v>0</v>
      </c>
    </row>
    <row r="2138" spans="1:18" ht="14.25" thickBot="1">
      <c r="A2138" s="1" t="s">
        <v>1722</v>
      </c>
      <c r="B2138" s="3">
        <v>1</v>
      </c>
      <c r="C2138" s="1" t="str">
        <f t="shared" si="69"/>
        <v>深渊护腿</v>
      </c>
      <c r="D2138" s="1" t="s">
        <v>14</v>
      </c>
      <c r="E2138" s="1">
        <v>7</v>
      </c>
      <c r="F2138" s="1">
        <v>5</v>
      </c>
      <c r="G2138" s="1">
        <v>60</v>
      </c>
      <c r="H2138" s="10">
        <v>0</v>
      </c>
      <c r="I2138" s="1">
        <v>120000</v>
      </c>
      <c r="J2138" s="1">
        <v>150</v>
      </c>
      <c r="K2138" s="1">
        <v>1500</v>
      </c>
      <c r="L2138" s="1">
        <v>32500</v>
      </c>
      <c r="M2138" s="1" t="str">
        <f t="shared" si="70"/>
        <v>105_1152_1152</v>
      </c>
      <c r="N2138" s="1" t="s">
        <v>1791</v>
      </c>
      <c r="O2138" s="1">
        <v>0</v>
      </c>
      <c r="P2138" s="1" t="s">
        <v>2057</v>
      </c>
      <c r="Q2138" s="7" t="str">
        <f t="shared" si="71"/>
        <v>equipment/7014.png</v>
      </c>
      <c r="R2138" s="1">
        <v>0</v>
      </c>
    </row>
    <row r="2139" spans="1:18" ht="14.25" thickBot="1">
      <c r="A2139" s="1" t="s">
        <v>1723</v>
      </c>
      <c r="B2139" s="3">
        <v>1</v>
      </c>
      <c r="C2139" s="1" t="str">
        <f t="shared" si="69"/>
        <v>光耀腿甲</v>
      </c>
      <c r="D2139" s="1" t="s">
        <v>14</v>
      </c>
      <c r="E2139" s="1">
        <v>7</v>
      </c>
      <c r="F2139" s="1">
        <v>5</v>
      </c>
      <c r="G2139" s="1">
        <v>60</v>
      </c>
      <c r="H2139" s="10">
        <v>0</v>
      </c>
      <c r="I2139" s="1">
        <v>126000</v>
      </c>
      <c r="J2139" s="1">
        <v>150</v>
      </c>
      <c r="K2139" s="1">
        <v>1500</v>
      </c>
      <c r="L2139" s="1">
        <v>35000</v>
      </c>
      <c r="M2139" s="1" t="str">
        <f t="shared" si="70"/>
        <v>105_1342_1342</v>
      </c>
      <c r="N2139" s="1" t="s">
        <v>1791</v>
      </c>
      <c r="O2139" s="1">
        <v>0</v>
      </c>
      <c r="P2139" s="1" t="s">
        <v>2057</v>
      </c>
      <c r="Q2139" s="7" t="str">
        <f t="shared" si="71"/>
        <v>equipment/7015.png</v>
      </c>
      <c r="R2139" s="1">
        <v>0</v>
      </c>
    </row>
    <row r="2140" spans="1:18" ht="14.25" thickBot="1">
      <c r="A2140" s="1" t="s">
        <v>1724</v>
      </c>
      <c r="B2140" s="3">
        <v>1</v>
      </c>
      <c r="C2140" s="1" t="str">
        <f t="shared" si="69"/>
        <v>虚空之冠</v>
      </c>
      <c r="D2140" s="1" t="s">
        <v>8</v>
      </c>
      <c r="E2140" s="1">
        <v>1</v>
      </c>
      <c r="F2140" s="1">
        <v>5</v>
      </c>
      <c r="G2140" s="1">
        <v>65</v>
      </c>
      <c r="H2140" s="10">
        <v>0</v>
      </c>
      <c r="I2140" s="1">
        <v>130000</v>
      </c>
      <c r="J2140" s="1">
        <v>150</v>
      </c>
      <c r="K2140" s="1">
        <v>1500</v>
      </c>
      <c r="L2140" s="1">
        <v>35000</v>
      </c>
      <c r="M2140" s="1" t="str">
        <f t="shared" si="70"/>
        <v>106_2015_2015</v>
      </c>
      <c r="N2140" s="1" t="s">
        <v>1793</v>
      </c>
      <c r="O2140" s="1">
        <v>0</v>
      </c>
      <c r="P2140" s="1" t="s">
        <v>2058</v>
      </c>
      <c r="Q2140" s="7" t="str">
        <f t="shared" si="71"/>
        <v>equipment/3011.png</v>
      </c>
      <c r="R2140" s="1">
        <v>0</v>
      </c>
    </row>
    <row r="2141" spans="1:18" ht="14.25" thickBot="1">
      <c r="A2141" s="1" t="s">
        <v>1725</v>
      </c>
      <c r="B2141" s="3">
        <v>1</v>
      </c>
      <c r="C2141" s="1" t="str">
        <f t="shared" si="69"/>
        <v>圣火指环</v>
      </c>
      <c r="D2141" s="1" t="s">
        <v>9</v>
      </c>
      <c r="E2141" s="1">
        <v>2</v>
      </c>
      <c r="F2141" s="1">
        <v>5</v>
      </c>
      <c r="G2141" s="1">
        <v>65</v>
      </c>
      <c r="H2141" s="10">
        <v>0</v>
      </c>
      <c r="I2141" s="1">
        <v>130000</v>
      </c>
      <c r="J2141" s="1">
        <v>150</v>
      </c>
      <c r="K2141" s="1">
        <v>1500</v>
      </c>
      <c r="L2141" s="1">
        <v>35000</v>
      </c>
      <c r="M2141" s="1" t="str">
        <f t="shared" si="70"/>
        <v>102_1470_1470</v>
      </c>
      <c r="N2141" s="1" t="s">
        <v>1793</v>
      </c>
      <c r="O2141" s="1">
        <v>0</v>
      </c>
      <c r="P2141" s="1" t="s">
        <v>2058</v>
      </c>
      <c r="Q2141" s="7" t="str">
        <f t="shared" si="71"/>
        <v>equipment/14011.png</v>
      </c>
      <c r="R2141" s="1">
        <v>0</v>
      </c>
    </row>
    <row r="2142" spans="1:18" ht="14.25" thickBot="1">
      <c r="A2142" s="1" t="s">
        <v>1726</v>
      </c>
      <c r="B2142" s="3">
        <v>1</v>
      </c>
      <c r="C2142" s="1" t="str">
        <f t="shared" si="69"/>
        <v>统御腰带</v>
      </c>
      <c r="D2142" s="1" t="s">
        <v>10</v>
      </c>
      <c r="E2142" s="1">
        <v>3</v>
      </c>
      <c r="F2142" s="1">
        <v>5</v>
      </c>
      <c r="G2142" s="1">
        <v>65</v>
      </c>
      <c r="H2142" s="10">
        <v>0</v>
      </c>
      <c r="I2142" s="1">
        <v>130000</v>
      </c>
      <c r="J2142" s="1">
        <v>150</v>
      </c>
      <c r="K2142" s="1">
        <v>1500</v>
      </c>
      <c r="L2142" s="1">
        <v>35000</v>
      </c>
      <c r="M2142" s="1" t="str">
        <f t="shared" si="70"/>
        <v>101_16900_16900</v>
      </c>
      <c r="N2142" s="1" t="s">
        <v>1793</v>
      </c>
      <c r="O2142" s="1">
        <v>0</v>
      </c>
      <c r="P2142" s="1" t="s">
        <v>2058</v>
      </c>
      <c r="Q2142" s="7" t="str">
        <f t="shared" si="71"/>
        <v>equipment/6011.png</v>
      </c>
      <c r="R2142" s="1">
        <v>0</v>
      </c>
    </row>
    <row r="2143" spans="1:18" ht="14.25" thickBot="1">
      <c r="A2143" s="1" t="s">
        <v>1727</v>
      </c>
      <c r="B2143" s="3">
        <v>1</v>
      </c>
      <c r="C2143" s="1" t="str">
        <f t="shared" si="69"/>
        <v>狱火战靴</v>
      </c>
      <c r="D2143" s="1" t="s">
        <v>15</v>
      </c>
      <c r="E2143" s="1">
        <v>8</v>
      </c>
      <c r="F2143" s="1">
        <v>5</v>
      </c>
      <c r="G2143" s="1">
        <v>65</v>
      </c>
      <c r="H2143" s="10">
        <v>0</v>
      </c>
      <c r="I2143" s="1">
        <v>130000</v>
      </c>
      <c r="J2143" s="1">
        <v>150</v>
      </c>
      <c r="K2143" s="1">
        <v>1500</v>
      </c>
      <c r="L2143" s="1">
        <v>35000</v>
      </c>
      <c r="M2143" s="1" t="str">
        <f t="shared" si="70"/>
        <v>110_352_352</v>
      </c>
      <c r="N2143" s="1" t="s">
        <v>1793</v>
      </c>
      <c r="O2143" s="1">
        <v>0</v>
      </c>
      <c r="P2143" s="1" t="s">
        <v>2058</v>
      </c>
      <c r="Q2143" s="7" t="str">
        <f t="shared" si="71"/>
        <v>equipment/8011.png</v>
      </c>
      <c r="R2143" s="1">
        <v>0</v>
      </c>
    </row>
    <row r="2144" spans="1:18" ht="14.25" thickBot="1">
      <c r="A2144" s="1" t="s">
        <v>1728</v>
      </c>
      <c r="B2144" s="3">
        <v>1</v>
      </c>
      <c r="C2144" s="1" t="str">
        <f t="shared" si="69"/>
        <v>荣耀先驱护手</v>
      </c>
      <c r="D2144" s="1" t="s">
        <v>16</v>
      </c>
      <c r="E2144" s="1">
        <v>9</v>
      </c>
      <c r="F2144" s="1">
        <v>5</v>
      </c>
      <c r="G2144" s="1">
        <v>65</v>
      </c>
      <c r="H2144" s="10">
        <v>0</v>
      </c>
      <c r="I2144" s="1">
        <v>130000</v>
      </c>
      <c r="J2144" s="1">
        <v>150</v>
      </c>
      <c r="K2144" s="1">
        <v>1500</v>
      </c>
      <c r="L2144" s="1">
        <v>35000</v>
      </c>
      <c r="M2144" s="1" t="str">
        <f t="shared" si="70"/>
        <v>108_3884_3884</v>
      </c>
      <c r="N2144" s="1" t="s">
        <v>1793</v>
      </c>
      <c r="O2144" s="1">
        <v>0</v>
      </c>
      <c r="P2144" s="1" t="s">
        <v>2058</v>
      </c>
      <c r="Q2144" s="7" t="str">
        <f t="shared" si="71"/>
        <v>equipment/10011.png</v>
      </c>
      <c r="R2144" s="1">
        <v>0</v>
      </c>
    </row>
    <row r="2145" spans="1:18" ht="14.25" thickBot="1">
      <c r="A2145" s="1" t="s">
        <v>1729</v>
      </c>
      <c r="B2145" s="3">
        <v>1</v>
      </c>
      <c r="C2145" s="1" t="str">
        <f t="shared" si="69"/>
        <v>救赎坠饰</v>
      </c>
      <c r="D2145" s="1" t="s">
        <v>17</v>
      </c>
      <c r="E2145" s="1">
        <v>10</v>
      </c>
      <c r="F2145" s="1">
        <v>5</v>
      </c>
      <c r="G2145" s="1">
        <v>65</v>
      </c>
      <c r="H2145" s="10">
        <v>0</v>
      </c>
      <c r="I2145" s="1">
        <v>130000</v>
      </c>
      <c r="J2145" s="1">
        <v>150</v>
      </c>
      <c r="K2145" s="1">
        <v>1500</v>
      </c>
      <c r="L2145" s="1">
        <v>35000</v>
      </c>
      <c r="M2145" s="1" t="str">
        <f t="shared" si="70"/>
        <v>107_2015_2015</v>
      </c>
      <c r="N2145" s="1" t="s">
        <v>1793</v>
      </c>
      <c r="O2145" s="1">
        <v>0</v>
      </c>
      <c r="P2145" s="1" t="s">
        <v>2058</v>
      </c>
      <c r="Q2145" s="7" t="str">
        <f t="shared" si="71"/>
        <v>equipment/12011.png</v>
      </c>
      <c r="R2145" s="1">
        <v>0</v>
      </c>
    </row>
    <row r="2146" spans="1:18" ht="14.25" thickBot="1">
      <c r="A2146" s="1" t="s">
        <v>1730</v>
      </c>
      <c r="B2146" s="3">
        <v>1</v>
      </c>
      <c r="C2146" s="1" t="str">
        <f t="shared" si="69"/>
        <v>魂歌之刃</v>
      </c>
      <c r="D2146" s="1" t="s">
        <v>12</v>
      </c>
      <c r="E2146" s="1">
        <v>5</v>
      </c>
      <c r="F2146" s="1">
        <v>5</v>
      </c>
      <c r="G2146" s="1">
        <v>65</v>
      </c>
      <c r="H2146" s="10" t="s">
        <v>2120</v>
      </c>
      <c r="I2146" s="1">
        <v>130000</v>
      </c>
      <c r="J2146" s="1">
        <v>150</v>
      </c>
      <c r="K2146" s="1">
        <v>1500</v>
      </c>
      <c r="L2146" s="1">
        <v>35000</v>
      </c>
      <c r="M2146" s="1" t="str">
        <f t="shared" si="70"/>
        <v>103_2619_2619,104_5238_5238</v>
      </c>
      <c r="N2146" s="1" t="s">
        <v>1794</v>
      </c>
      <c r="O2146" s="1">
        <v>0</v>
      </c>
      <c r="P2146" s="1" t="s">
        <v>2058</v>
      </c>
      <c r="Q2146" s="7" t="str">
        <f t="shared" si="71"/>
        <v>equipment/1123.png</v>
      </c>
      <c r="R2146" s="1">
        <v>0</v>
      </c>
    </row>
    <row r="2147" spans="1:18" ht="14.25" thickBot="1">
      <c r="A2147" s="1" t="s">
        <v>1731</v>
      </c>
      <c r="B2147" s="2">
        <v>0</v>
      </c>
      <c r="C2147" s="1" t="str">
        <f t="shared" si="69"/>
        <v>命运</v>
      </c>
      <c r="D2147" s="1" t="s">
        <v>12</v>
      </c>
      <c r="E2147" s="1">
        <v>5</v>
      </c>
      <c r="F2147" s="1">
        <v>5</v>
      </c>
      <c r="G2147" s="1">
        <v>65</v>
      </c>
      <c r="H2147" s="10" t="s">
        <v>2120</v>
      </c>
      <c r="I2147" s="1">
        <v>136000</v>
      </c>
      <c r="J2147" s="1">
        <v>150</v>
      </c>
      <c r="K2147" s="1">
        <v>1500</v>
      </c>
      <c r="L2147" s="1">
        <v>37500</v>
      </c>
      <c r="M2147" s="1" t="str">
        <f t="shared" si="70"/>
        <v>103_2854_2854,104_5708_5708</v>
      </c>
      <c r="N2147" s="1" t="s">
        <v>1794</v>
      </c>
      <c r="O2147" s="1">
        <v>0</v>
      </c>
      <c r="P2147" s="1" t="s">
        <v>2058</v>
      </c>
      <c r="Q2147" s="7" t="str">
        <f t="shared" si="71"/>
        <v>equipment/1101.png</v>
      </c>
      <c r="R2147" s="1">
        <v>0</v>
      </c>
    </row>
    <row r="2148" spans="1:18" ht="14.25" thickBot="1">
      <c r="A2148" s="1" t="s">
        <v>1732</v>
      </c>
      <c r="B2148" s="3">
        <v>1</v>
      </c>
      <c r="C2148" s="1" t="str">
        <f t="shared" si="69"/>
        <v>日怒之盾</v>
      </c>
      <c r="D2148" s="1" t="s">
        <v>13</v>
      </c>
      <c r="E2148" s="1">
        <v>6</v>
      </c>
      <c r="F2148" s="1">
        <v>5</v>
      </c>
      <c r="G2148" s="1">
        <v>65</v>
      </c>
      <c r="H2148" s="10" t="s">
        <v>2120</v>
      </c>
      <c r="I2148" s="1">
        <v>130000</v>
      </c>
      <c r="J2148" s="1">
        <v>150</v>
      </c>
      <c r="K2148" s="1">
        <v>1500</v>
      </c>
      <c r="L2148" s="1">
        <v>35000</v>
      </c>
      <c r="M2148" s="1" t="str">
        <f t="shared" si="70"/>
        <v>105_2988_2988</v>
      </c>
      <c r="N2148" s="1" t="s">
        <v>1794</v>
      </c>
      <c r="O2148" s="1">
        <v>0</v>
      </c>
      <c r="P2148" s="1" t="s">
        <v>2058</v>
      </c>
      <c r="Q2148" s="7" t="str">
        <f t="shared" si="71"/>
        <v>equipment/2116.png</v>
      </c>
      <c r="R2148" s="1">
        <v>0</v>
      </c>
    </row>
    <row r="2149" spans="1:18" ht="14.25" thickBot="1">
      <c r="A2149" s="1" t="s">
        <v>1733</v>
      </c>
      <c r="B2149" s="2">
        <v>0</v>
      </c>
      <c r="C2149" s="1" t="str">
        <f t="shared" si="69"/>
        <v>尖头盾</v>
      </c>
      <c r="D2149" s="1" t="s">
        <v>13</v>
      </c>
      <c r="E2149" s="1">
        <v>6</v>
      </c>
      <c r="F2149" s="1">
        <v>5</v>
      </c>
      <c r="G2149" s="1">
        <v>65</v>
      </c>
      <c r="H2149" s="10" t="s">
        <v>2120</v>
      </c>
      <c r="I2149" s="1">
        <v>136000</v>
      </c>
      <c r="J2149" s="1">
        <v>150</v>
      </c>
      <c r="K2149" s="1">
        <v>1500</v>
      </c>
      <c r="L2149" s="1">
        <v>37500</v>
      </c>
      <c r="M2149" s="1" t="str">
        <f t="shared" si="70"/>
        <v>105_2988_2988</v>
      </c>
      <c r="N2149" s="1" t="s">
        <v>1794</v>
      </c>
      <c r="O2149" s="1">
        <v>0</v>
      </c>
      <c r="P2149" s="1" t="s">
        <v>2058</v>
      </c>
      <c r="Q2149" s="7" t="str">
        <f t="shared" si="71"/>
        <v>equipment/2101.png</v>
      </c>
      <c r="R2149" s="1">
        <v>0</v>
      </c>
    </row>
    <row r="2150" spans="1:18" ht="14.25" thickBot="1">
      <c r="A2150" s="1" t="s">
        <v>1734</v>
      </c>
      <c r="B2150" s="3">
        <v>1</v>
      </c>
      <c r="C2150" s="1" t="str">
        <f t="shared" si="69"/>
        <v>憎恨之击</v>
      </c>
      <c r="D2150" s="1" t="s">
        <v>12</v>
      </c>
      <c r="E2150" s="1">
        <v>5</v>
      </c>
      <c r="F2150" s="1">
        <v>5</v>
      </c>
      <c r="G2150" s="1">
        <v>65</v>
      </c>
      <c r="H2150" s="10" t="s">
        <v>2121</v>
      </c>
      <c r="I2150" s="1">
        <v>130000</v>
      </c>
      <c r="J2150" s="1">
        <v>150</v>
      </c>
      <c r="K2150" s="1">
        <v>1500</v>
      </c>
      <c r="L2150" s="1">
        <v>35000</v>
      </c>
      <c r="M2150" s="1" t="str">
        <f t="shared" si="70"/>
        <v>103_2619_2619,104_5238_5238</v>
      </c>
      <c r="N2150" s="1" t="s">
        <v>1794</v>
      </c>
      <c r="O2150" s="1">
        <v>0</v>
      </c>
      <c r="P2150" s="1" t="s">
        <v>2058</v>
      </c>
      <c r="Q2150" s="7" t="str">
        <f t="shared" si="71"/>
        <v>equipment/1224.png</v>
      </c>
      <c r="R2150" s="1">
        <v>0</v>
      </c>
    </row>
    <row r="2151" spans="1:18" ht="14.25" thickBot="1">
      <c r="A2151" s="1" t="s">
        <v>1735</v>
      </c>
      <c r="B2151" s="2">
        <v>0</v>
      </c>
      <c r="C2151" s="1" t="str">
        <f t="shared" si="69"/>
        <v>日怒凰弓</v>
      </c>
      <c r="D2151" s="1" t="s">
        <v>12</v>
      </c>
      <c r="E2151" s="1">
        <v>5</v>
      </c>
      <c r="F2151" s="1">
        <v>5</v>
      </c>
      <c r="G2151" s="1">
        <v>65</v>
      </c>
      <c r="H2151" s="10" t="s">
        <v>2121</v>
      </c>
      <c r="I2151" s="1">
        <v>136000</v>
      </c>
      <c r="J2151" s="1">
        <v>150</v>
      </c>
      <c r="K2151" s="1">
        <v>1500</v>
      </c>
      <c r="L2151" s="1">
        <v>37500</v>
      </c>
      <c r="M2151" s="1" t="str">
        <f t="shared" si="70"/>
        <v>103_2854_2854,104_5708_5708</v>
      </c>
      <c r="N2151" s="1" t="s">
        <v>1794</v>
      </c>
      <c r="O2151" s="1">
        <v>0</v>
      </c>
      <c r="P2151" s="1" t="s">
        <v>2058</v>
      </c>
      <c r="Q2151" s="7" t="str">
        <f t="shared" si="71"/>
        <v>equipment/1201.png</v>
      </c>
      <c r="R2151" s="1">
        <v>0</v>
      </c>
    </row>
    <row r="2152" spans="1:18" ht="14.25" thickBot="1">
      <c r="A2152" s="1" t="s">
        <v>1736</v>
      </c>
      <c r="B2152" s="3">
        <v>1</v>
      </c>
      <c r="C2152" s="1" t="str">
        <f t="shared" si="69"/>
        <v>追噬之矢</v>
      </c>
      <c r="D2152" s="1" t="s">
        <v>13</v>
      </c>
      <c r="E2152" s="1">
        <v>6</v>
      </c>
      <c r="F2152" s="1">
        <v>5</v>
      </c>
      <c r="G2152" s="1">
        <v>65</v>
      </c>
      <c r="H2152" s="10" t="s">
        <v>2121</v>
      </c>
      <c r="I2152" s="1">
        <v>130000</v>
      </c>
      <c r="J2152" s="1">
        <v>150</v>
      </c>
      <c r="K2152" s="1">
        <v>1500</v>
      </c>
      <c r="L2152" s="1">
        <v>35000</v>
      </c>
      <c r="M2152" s="1" t="str">
        <f t="shared" si="70"/>
        <v>108_2988_2988</v>
      </c>
      <c r="N2152" s="1" t="s">
        <v>1794</v>
      </c>
      <c r="O2152" s="1">
        <v>0</v>
      </c>
      <c r="P2152" s="1" t="s">
        <v>2058</v>
      </c>
      <c r="Q2152" s="7" t="str">
        <f t="shared" si="71"/>
        <v>equipment/2216.png</v>
      </c>
      <c r="R2152" s="1">
        <v>0</v>
      </c>
    </row>
    <row r="2153" spans="1:18" ht="14.25" thickBot="1">
      <c r="A2153" s="1" t="s">
        <v>1737</v>
      </c>
      <c r="B2153" s="2">
        <v>0</v>
      </c>
      <c r="C2153" s="1" t="str">
        <f t="shared" si="69"/>
        <v>箭筒</v>
      </c>
      <c r="D2153" s="1" t="s">
        <v>13</v>
      </c>
      <c r="E2153" s="1">
        <v>6</v>
      </c>
      <c r="F2153" s="1">
        <v>5</v>
      </c>
      <c r="G2153" s="1">
        <v>65</v>
      </c>
      <c r="H2153" s="10" t="s">
        <v>2121</v>
      </c>
      <c r="I2153" s="1">
        <v>136000</v>
      </c>
      <c r="J2153" s="1">
        <v>150</v>
      </c>
      <c r="K2153" s="1">
        <v>1500</v>
      </c>
      <c r="L2153" s="1">
        <v>37500</v>
      </c>
      <c r="M2153" s="1" t="str">
        <f t="shared" si="70"/>
        <v>108_2988_2988</v>
      </c>
      <c r="N2153" s="1" t="s">
        <v>1794</v>
      </c>
      <c r="O2153" s="1">
        <v>0</v>
      </c>
      <c r="P2153" s="1" t="s">
        <v>2058</v>
      </c>
      <c r="Q2153" s="7" t="str">
        <f t="shared" si="71"/>
        <v>equipment/2201.png</v>
      </c>
      <c r="R2153" s="1">
        <v>0</v>
      </c>
    </row>
    <row r="2154" spans="1:18" ht="14.25" thickBot="1">
      <c r="A2154" s="1" t="s">
        <v>1738</v>
      </c>
      <c r="B2154" s="3">
        <v>1</v>
      </c>
      <c r="C2154" s="1" t="str">
        <f t="shared" si="69"/>
        <v>时轮金杖</v>
      </c>
      <c r="D2154" s="1" t="s">
        <v>12</v>
      </c>
      <c r="E2154" s="1">
        <v>5</v>
      </c>
      <c r="F2154" s="1">
        <v>5</v>
      </c>
      <c r="G2154" s="1">
        <v>65</v>
      </c>
      <c r="H2154" s="10" t="s">
        <v>2122</v>
      </c>
      <c r="I2154" s="1">
        <v>130000</v>
      </c>
      <c r="J2154" s="1">
        <v>150</v>
      </c>
      <c r="K2154" s="1">
        <v>1500</v>
      </c>
      <c r="L2154" s="1">
        <v>35000</v>
      </c>
      <c r="M2154" s="1" t="str">
        <f t="shared" si="70"/>
        <v>103_2619_2619,104_5238_5238</v>
      </c>
      <c r="N2154" s="1" t="s">
        <v>1794</v>
      </c>
      <c r="O2154" s="1">
        <v>0</v>
      </c>
      <c r="P2154" s="1" t="s">
        <v>2058</v>
      </c>
      <c r="Q2154" s="7" t="str">
        <f t="shared" si="71"/>
        <v>equipment/1323.png</v>
      </c>
      <c r="R2154" s="1">
        <v>0</v>
      </c>
    </row>
    <row r="2155" spans="1:18" ht="14.25" thickBot="1">
      <c r="A2155" s="1" t="s">
        <v>1739</v>
      </c>
      <c r="B2155" s="2">
        <v>0</v>
      </c>
      <c r="C2155" s="1" t="str">
        <f t="shared" si="69"/>
        <v>学徒法杖</v>
      </c>
      <c r="D2155" s="1" t="s">
        <v>12</v>
      </c>
      <c r="E2155" s="1">
        <v>5</v>
      </c>
      <c r="F2155" s="1">
        <v>5</v>
      </c>
      <c r="G2155" s="1">
        <v>65</v>
      </c>
      <c r="H2155" s="10" t="s">
        <v>2122</v>
      </c>
      <c r="I2155" s="1">
        <v>136000</v>
      </c>
      <c r="J2155" s="1">
        <v>150</v>
      </c>
      <c r="K2155" s="1">
        <v>1500</v>
      </c>
      <c r="L2155" s="1">
        <v>37500</v>
      </c>
      <c r="M2155" s="1" t="str">
        <f t="shared" si="70"/>
        <v>103_2854_2854,104_5708_5708</v>
      </c>
      <c r="N2155" s="1" t="s">
        <v>1794</v>
      </c>
      <c r="O2155" s="1">
        <v>0</v>
      </c>
      <c r="P2155" s="1" t="s">
        <v>2058</v>
      </c>
      <c r="Q2155" s="7" t="str">
        <f t="shared" si="71"/>
        <v>equipment/1301.png</v>
      </c>
      <c r="R2155" s="1">
        <v>0</v>
      </c>
    </row>
    <row r="2156" spans="1:18" ht="14.25" thickBot="1">
      <c r="A2156" s="1" t="s">
        <v>1740</v>
      </c>
      <c r="B2156" s="3">
        <v>1</v>
      </c>
      <c r="C2156" s="1" t="str">
        <f t="shared" si="69"/>
        <v>龙语秘典</v>
      </c>
      <c r="D2156" s="1" t="s">
        <v>13</v>
      </c>
      <c r="E2156" s="1">
        <v>6</v>
      </c>
      <c r="F2156" s="1">
        <v>5</v>
      </c>
      <c r="G2156" s="1">
        <v>65</v>
      </c>
      <c r="H2156" s="10" t="s">
        <v>2122</v>
      </c>
      <c r="I2156" s="1">
        <v>130000</v>
      </c>
      <c r="J2156" s="1">
        <v>150</v>
      </c>
      <c r="K2156" s="1">
        <v>1500</v>
      </c>
      <c r="L2156" s="1">
        <v>35000</v>
      </c>
      <c r="M2156" s="1" t="str">
        <f t="shared" si="70"/>
        <v>102_2620_2620</v>
      </c>
      <c r="N2156" s="1" t="s">
        <v>1794</v>
      </c>
      <c r="O2156" s="1">
        <v>0</v>
      </c>
      <c r="P2156" s="1" t="s">
        <v>2058</v>
      </c>
      <c r="Q2156" s="7" t="str">
        <f t="shared" si="71"/>
        <v>equipment/2317.png</v>
      </c>
      <c r="R2156" s="1">
        <v>0</v>
      </c>
    </row>
    <row r="2157" spans="1:18" ht="14.25" thickBot="1">
      <c r="A2157" s="1" t="s">
        <v>1741</v>
      </c>
      <c r="B2157" s="2">
        <v>0</v>
      </c>
      <c r="C2157" s="1" t="str">
        <f t="shared" si="69"/>
        <v>法术指南</v>
      </c>
      <c r="D2157" s="1" t="s">
        <v>13</v>
      </c>
      <c r="E2157" s="1">
        <v>6</v>
      </c>
      <c r="F2157" s="1">
        <v>5</v>
      </c>
      <c r="G2157" s="1">
        <v>65</v>
      </c>
      <c r="H2157" s="10" t="s">
        <v>2122</v>
      </c>
      <c r="I2157" s="1">
        <v>136000</v>
      </c>
      <c r="J2157" s="1">
        <v>150</v>
      </c>
      <c r="K2157" s="1">
        <v>1500</v>
      </c>
      <c r="L2157" s="1">
        <v>37500</v>
      </c>
      <c r="M2157" s="1" t="str">
        <f t="shared" si="70"/>
        <v>102_2988_2988</v>
      </c>
      <c r="N2157" s="1" t="s">
        <v>1794</v>
      </c>
      <c r="O2157" s="1">
        <v>0</v>
      </c>
      <c r="P2157" s="1" t="s">
        <v>2058</v>
      </c>
      <c r="Q2157" s="7" t="str">
        <f t="shared" si="71"/>
        <v>equipment/2301.png</v>
      </c>
      <c r="R2157" s="1">
        <v>0</v>
      </c>
    </row>
    <row r="2158" spans="1:18" ht="14.25" thickBot="1">
      <c r="A2158" s="1" t="s">
        <v>1742</v>
      </c>
      <c r="B2158" s="3">
        <v>1</v>
      </c>
      <c r="C2158" s="1" t="str">
        <f t="shared" si="69"/>
        <v>末世胸铠</v>
      </c>
      <c r="D2158" s="1" t="s">
        <v>11</v>
      </c>
      <c r="E2158" s="1">
        <v>4</v>
      </c>
      <c r="F2158" s="1">
        <v>5</v>
      </c>
      <c r="G2158" s="1">
        <v>65</v>
      </c>
      <c r="H2158" s="10">
        <v>0</v>
      </c>
      <c r="I2158" s="1">
        <v>130000</v>
      </c>
      <c r="J2158" s="1">
        <v>150</v>
      </c>
      <c r="K2158" s="1">
        <v>1500</v>
      </c>
      <c r="L2158" s="1">
        <v>35000</v>
      </c>
      <c r="M2158" s="1" t="str">
        <f t="shared" si="70"/>
        <v>105_1628_1628</v>
      </c>
      <c r="N2158" s="1" t="s">
        <v>1793</v>
      </c>
      <c r="O2158" s="1">
        <v>0</v>
      </c>
      <c r="P2158" s="1" t="s">
        <v>2058</v>
      </c>
      <c r="Q2158" s="7" t="str">
        <f t="shared" si="71"/>
        <v>equipment/5017.png</v>
      </c>
      <c r="R2158" s="1">
        <v>0</v>
      </c>
    </row>
    <row r="2159" spans="1:18" ht="14.25" thickBot="1">
      <c r="A2159" s="1" t="s">
        <v>1743</v>
      </c>
      <c r="B2159" s="2">
        <v>0</v>
      </c>
      <c r="C2159" s="1" t="str">
        <f t="shared" si="69"/>
        <v>新兵外套</v>
      </c>
      <c r="D2159" s="1" t="s">
        <v>11</v>
      </c>
      <c r="E2159" s="1">
        <v>4</v>
      </c>
      <c r="F2159" s="1">
        <v>5</v>
      </c>
      <c r="G2159" s="1">
        <v>65</v>
      </c>
      <c r="H2159" s="10">
        <v>0</v>
      </c>
      <c r="I2159" s="1">
        <v>136000</v>
      </c>
      <c r="J2159" s="1">
        <v>150</v>
      </c>
      <c r="K2159" s="1">
        <v>1500</v>
      </c>
      <c r="L2159" s="1">
        <v>37500</v>
      </c>
      <c r="M2159" s="1" t="str">
        <f t="shared" si="70"/>
        <v>105_1628_1628</v>
      </c>
      <c r="N2159" s="1" t="s">
        <v>1793</v>
      </c>
      <c r="O2159" s="1">
        <v>0</v>
      </c>
      <c r="P2159" s="1" t="s">
        <v>2058</v>
      </c>
      <c r="Q2159" s="7" t="str">
        <f t="shared" si="71"/>
        <v>equipment/5001.png</v>
      </c>
      <c r="R2159" s="1">
        <v>0</v>
      </c>
    </row>
    <row r="2160" spans="1:18" ht="14.25" thickBot="1">
      <c r="A2160" s="1" t="s">
        <v>1744</v>
      </c>
      <c r="B2160" s="3">
        <v>1</v>
      </c>
      <c r="C2160" s="1" t="str">
        <f t="shared" si="69"/>
        <v>止战腿甲</v>
      </c>
      <c r="D2160" s="1" t="s">
        <v>14</v>
      </c>
      <c r="E2160" s="1">
        <v>7</v>
      </c>
      <c r="F2160" s="1">
        <v>5</v>
      </c>
      <c r="G2160" s="1">
        <v>65</v>
      </c>
      <c r="H2160" s="10">
        <v>0</v>
      </c>
      <c r="I2160" s="1">
        <v>130000</v>
      </c>
      <c r="J2160" s="1">
        <v>150</v>
      </c>
      <c r="K2160" s="1">
        <v>1500</v>
      </c>
      <c r="L2160" s="1">
        <v>35000</v>
      </c>
      <c r="M2160" s="1" t="str">
        <f t="shared" si="70"/>
        <v>105_1627_1627</v>
      </c>
      <c r="N2160" s="1" t="s">
        <v>1793</v>
      </c>
      <c r="O2160" s="1">
        <v>0</v>
      </c>
      <c r="P2160" s="1" t="s">
        <v>2058</v>
      </c>
      <c r="Q2160" s="7" t="str">
        <f t="shared" si="71"/>
        <v>equipment/7017.png</v>
      </c>
      <c r="R2160" s="1">
        <v>0</v>
      </c>
    </row>
    <row r="2161" spans="1:18" ht="14.25" thickBot="1">
      <c r="A2161" s="1" t="s">
        <v>1745</v>
      </c>
      <c r="B2161" s="2">
        <v>0</v>
      </c>
      <c r="C2161" s="1" t="str">
        <f t="shared" si="69"/>
        <v>学徒短裤</v>
      </c>
      <c r="D2161" s="1" t="s">
        <v>14</v>
      </c>
      <c r="E2161" s="1">
        <v>7</v>
      </c>
      <c r="F2161" s="1">
        <v>5</v>
      </c>
      <c r="G2161" s="1">
        <v>65</v>
      </c>
      <c r="H2161" s="10">
        <v>0</v>
      </c>
      <c r="I2161" s="1">
        <v>136000</v>
      </c>
      <c r="J2161" s="1">
        <v>150</v>
      </c>
      <c r="K2161" s="1">
        <v>1500</v>
      </c>
      <c r="L2161" s="1">
        <v>37500</v>
      </c>
      <c r="M2161" s="1" t="str">
        <f t="shared" si="70"/>
        <v>105_1627_1627</v>
      </c>
      <c r="N2161" s="1" t="s">
        <v>1793</v>
      </c>
      <c r="O2161" s="1">
        <v>0</v>
      </c>
      <c r="P2161" s="1" t="s">
        <v>2058</v>
      </c>
      <c r="Q2161" s="7" t="str">
        <f t="shared" si="71"/>
        <v>equipment/7001.png</v>
      </c>
      <c r="R2161" s="1">
        <v>0</v>
      </c>
    </row>
    <row r="2162" spans="1:18" ht="14.25" thickBot="1">
      <c r="A2162" s="1" t="s">
        <v>1746</v>
      </c>
      <c r="B2162" s="2">
        <v>1</v>
      </c>
      <c r="C2162" s="1" t="str">
        <f t="shared" si="69"/>
        <v>破碎之冠</v>
      </c>
      <c r="D2162" s="1" t="s">
        <v>8</v>
      </c>
      <c r="E2162" s="1">
        <v>1</v>
      </c>
      <c r="F2162" s="1">
        <v>5</v>
      </c>
      <c r="G2162" s="1">
        <v>70</v>
      </c>
      <c r="H2162" s="10">
        <v>0</v>
      </c>
      <c r="I2162" s="1">
        <v>140000</v>
      </c>
      <c r="J2162" s="1">
        <v>150</v>
      </c>
      <c r="K2162" s="1">
        <v>1500</v>
      </c>
      <c r="L2162" s="1">
        <v>37500</v>
      </c>
      <c r="M2162" s="1" t="str">
        <f t="shared" si="70"/>
        <v>106_2256_2256</v>
      </c>
      <c r="N2162" s="1" t="s">
        <v>1795</v>
      </c>
      <c r="O2162" s="1">
        <v>0</v>
      </c>
      <c r="P2162" s="1" t="s">
        <v>2059</v>
      </c>
      <c r="Q2162" s="7" t="str">
        <f t="shared" si="71"/>
        <v>equipment/3014.png</v>
      </c>
      <c r="R2162" s="1">
        <v>0</v>
      </c>
    </row>
    <row r="2163" spans="1:18" ht="14.25" thickBot="1">
      <c r="A2163" s="1" t="s">
        <v>1747</v>
      </c>
      <c r="B2163" s="2">
        <v>1</v>
      </c>
      <c r="C2163" s="1" t="str">
        <f t="shared" si="69"/>
        <v>灵谕之戒</v>
      </c>
      <c r="D2163" s="1" t="s">
        <v>9</v>
      </c>
      <c r="E2163" s="1">
        <v>2</v>
      </c>
      <c r="F2163" s="1">
        <v>5</v>
      </c>
      <c r="G2163" s="1">
        <v>70</v>
      </c>
      <c r="H2163" s="10">
        <v>0</v>
      </c>
      <c r="I2163" s="1">
        <v>140000</v>
      </c>
      <c r="J2163" s="1">
        <v>150</v>
      </c>
      <c r="K2163" s="1">
        <v>1500</v>
      </c>
      <c r="L2163" s="1">
        <v>37500</v>
      </c>
      <c r="M2163" s="1" t="str">
        <f t="shared" si="70"/>
        <v>102_1620_1620</v>
      </c>
      <c r="N2163" s="1" t="s">
        <v>1795</v>
      </c>
      <c r="O2163" s="1">
        <v>0</v>
      </c>
      <c r="P2163" s="1" t="s">
        <v>2059</v>
      </c>
      <c r="Q2163" s="7" t="str">
        <f t="shared" si="71"/>
        <v>equipment/14012.png</v>
      </c>
      <c r="R2163" s="1">
        <v>0</v>
      </c>
    </row>
    <row r="2164" spans="1:18" ht="14.25" thickBot="1">
      <c r="A2164" s="1" t="s">
        <v>1748</v>
      </c>
      <c r="B2164" s="2">
        <v>1</v>
      </c>
      <c r="C2164" s="1" t="str">
        <f t="shared" si="69"/>
        <v>怒涛腰带</v>
      </c>
      <c r="D2164" s="1" t="s">
        <v>10</v>
      </c>
      <c r="E2164" s="1">
        <v>3</v>
      </c>
      <c r="F2164" s="1">
        <v>5</v>
      </c>
      <c r="G2164" s="1">
        <v>70</v>
      </c>
      <c r="H2164" s="10">
        <v>0</v>
      </c>
      <c r="I2164" s="1">
        <v>140000</v>
      </c>
      <c r="J2164" s="1">
        <v>150</v>
      </c>
      <c r="K2164" s="1">
        <v>1500</v>
      </c>
      <c r="L2164" s="1">
        <v>37500</v>
      </c>
      <c r="M2164" s="1" t="str">
        <f t="shared" si="70"/>
        <v>101_19200_19200</v>
      </c>
      <c r="N2164" s="1" t="s">
        <v>1795</v>
      </c>
      <c r="O2164" s="1">
        <v>0</v>
      </c>
      <c r="P2164" s="1" t="s">
        <v>2059</v>
      </c>
      <c r="Q2164" s="7" t="str">
        <f t="shared" si="71"/>
        <v>equipment/6013.png</v>
      </c>
      <c r="R2164" s="1">
        <v>0</v>
      </c>
    </row>
    <row r="2165" spans="1:18" ht="14.25" thickBot="1">
      <c r="A2165" s="1" t="s">
        <v>1749</v>
      </c>
      <c r="B2165" s="2">
        <v>1</v>
      </c>
      <c r="C2165" s="1" t="str">
        <f t="shared" si="69"/>
        <v>无影轻靴</v>
      </c>
      <c r="D2165" s="1" t="s">
        <v>15</v>
      </c>
      <c r="E2165" s="1">
        <v>8</v>
      </c>
      <c r="F2165" s="1">
        <v>5</v>
      </c>
      <c r="G2165" s="1">
        <v>70</v>
      </c>
      <c r="H2165" s="10">
        <v>0</v>
      </c>
      <c r="I2165" s="1">
        <v>140000</v>
      </c>
      <c r="J2165" s="1">
        <v>150</v>
      </c>
      <c r="K2165" s="1">
        <v>1500</v>
      </c>
      <c r="L2165" s="1">
        <v>37500</v>
      </c>
      <c r="M2165" s="1" t="str">
        <f t="shared" si="70"/>
        <v>110_442_442</v>
      </c>
      <c r="N2165" s="1" t="s">
        <v>1795</v>
      </c>
      <c r="O2165" s="1">
        <v>0</v>
      </c>
      <c r="P2165" s="1" t="s">
        <v>2059</v>
      </c>
      <c r="Q2165" s="7" t="str">
        <f t="shared" si="71"/>
        <v>equipment/8012.png</v>
      </c>
      <c r="R2165" s="1">
        <v>0</v>
      </c>
    </row>
    <row r="2166" spans="1:18" ht="14.25" thickBot="1">
      <c r="A2166" s="1" t="s">
        <v>1750</v>
      </c>
      <c r="B2166" s="2">
        <v>1</v>
      </c>
      <c r="C2166" s="1" t="str">
        <f t="shared" si="69"/>
        <v>裂隙之手</v>
      </c>
      <c r="D2166" s="1" t="s">
        <v>16</v>
      </c>
      <c r="E2166" s="1">
        <v>9</v>
      </c>
      <c r="F2166" s="1">
        <v>5</v>
      </c>
      <c r="G2166" s="1">
        <v>70</v>
      </c>
      <c r="H2166" s="10">
        <v>0</v>
      </c>
      <c r="I2166" s="1">
        <v>140000</v>
      </c>
      <c r="J2166" s="1">
        <v>150</v>
      </c>
      <c r="K2166" s="1">
        <v>1500</v>
      </c>
      <c r="L2166" s="1">
        <v>37500</v>
      </c>
      <c r="M2166" s="1" t="str">
        <f t="shared" si="70"/>
        <v>108_4189_4189</v>
      </c>
      <c r="N2166" s="1" t="s">
        <v>1795</v>
      </c>
      <c r="O2166" s="1">
        <v>0</v>
      </c>
      <c r="P2166" s="1" t="s">
        <v>2059</v>
      </c>
      <c r="Q2166" s="7" t="str">
        <f t="shared" si="71"/>
        <v>equipment/10013.png</v>
      </c>
      <c r="R2166" s="1">
        <v>0</v>
      </c>
    </row>
    <row r="2167" spans="1:18" ht="14.25" thickBot="1">
      <c r="A2167" s="1" t="s">
        <v>1751</v>
      </c>
      <c r="B2167" s="2">
        <v>1</v>
      </c>
      <c r="C2167" s="1" t="str">
        <f t="shared" si="69"/>
        <v>岁月永恒护符</v>
      </c>
      <c r="D2167" s="1" t="s">
        <v>17</v>
      </c>
      <c r="E2167" s="1">
        <v>10</v>
      </c>
      <c r="F2167" s="1">
        <v>5</v>
      </c>
      <c r="G2167" s="1">
        <v>70</v>
      </c>
      <c r="H2167" s="10">
        <v>0</v>
      </c>
      <c r="I2167" s="1">
        <v>140000</v>
      </c>
      <c r="J2167" s="1">
        <v>150</v>
      </c>
      <c r="K2167" s="1">
        <v>1500</v>
      </c>
      <c r="L2167" s="1">
        <v>37500</v>
      </c>
      <c r="M2167" s="1" t="str">
        <f t="shared" si="70"/>
        <v>107_2256_2256</v>
      </c>
      <c r="N2167" s="1" t="s">
        <v>1795</v>
      </c>
      <c r="O2167" s="1">
        <v>0</v>
      </c>
      <c r="P2167" s="1" t="s">
        <v>2059</v>
      </c>
      <c r="Q2167" s="7" t="str">
        <f t="shared" si="71"/>
        <v>equipment/12014.png</v>
      </c>
      <c r="R2167" s="1">
        <v>0</v>
      </c>
    </row>
    <row r="2168" spans="1:18" ht="14.25" thickBot="1">
      <c r="A2168" s="1" t="s">
        <v>1752</v>
      </c>
      <c r="B2168" s="3">
        <v>1</v>
      </c>
      <c r="C2168" s="1" t="str">
        <f t="shared" si="69"/>
        <v>命运</v>
      </c>
      <c r="D2168" s="1" t="s">
        <v>12</v>
      </c>
      <c r="E2168" s="1">
        <v>5</v>
      </c>
      <c r="F2168" s="1">
        <v>5</v>
      </c>
      <c r="G2168" s="1">
        <v>70</v>
      </c>
      <c r="H2168" s="10" t="s">
        <v>2120</v>
      </c>
      <c r="I2168" s="1">
        <v>140000</v>
      </c>
      <c r="J2168" s="1">
        <v>150</v>
      </c>
      <c r="K2168" s="1">
        <v>1500</v>
      </c>
      <c r="L2168" s="1">
        <v>37500</v>
      </c>
      <c r="M2168" s="1" t="str">
        <f t="shared" si="70"/>
        <v>103_3269_3269,104_6538_6538</v>
      </c>
      <c r="N2168" s="1" t="s">
        <v>1796</v>
      </c>
      <c r="O2168" s="1">
        <v>0</v>
      </c>
      <c r="P2168" s="1" t="s">
        <v>2059</v>
      </c>
      <c r="Q2168" s="7" t="str">
        <f t="shared" si="71"/>
        <v>equipment/1124.png</v>
      </c>
      <c r="R2168" s="1">
        <v>0</v>
      </c>
    </row>
    <row r="2169" spans="1:18" ht="14.25" thickBot="1">
      <c r="A2169" s="1" t="s">
        <v>1753</v>
      </c>
      <c r="B2169" s="2">
        <v>0</v>
      </c>
      <c r="C2169" s="1" t="str">
        <f t="shared" si="69"/>
        <v>灰烬使者</v>
      </c>
      <c r="D2169" s="1" t="s">
        <v>12</v>
      </c>
      <c r="E2169" s="1">
        <v>5</v>
      </c>
      <c r="F2169" s="1">
        <v>5</v>
      </c>
      <c r="G2169" s="1">
        <v>70</v>
      </c>
      <c r="H2169" s="10" t="s">
        <v>2120</v>
      </c>
      <c r="I2169" s="1">
        <v>146000</v>
      </c>
      <c r="J2169" s="1">
        <v>150</v>
      </c>
      <c r="K2169" s="1">
        <v>1500</v>
      </c>
      <c r="L2169" s="1">
        <v>40000</v>
      </c>
      <c r="M2169" s="1" t="str">
        <f t="shared" si="70"/>
        <v>103_3269_3269,104_6538_6538</v>
      </c>
      <c r="N2169" s="1" t="s">
        <v>1796</v>
      </c>
      <c r="O2169" s="1">
        <v>0</v>
      </c>
      <c r="P2169" s="1" t="s">
        <v>2059</v>
      </c>
      <c r="Q2169" s="7" t="str">
        <f t="shared" si="71"/>
        <v>equipment/1101.png</v>
      </c>
      <c r="R2169" s="1">
        <v>0</v>
      </c>
    </row>
    <row r="2170" spans="1:18" ht="14.25" thickBot="1">
      <c r="A2170" s="1" t="s">
        <v>1754</v>
      </c>
      <c r="B2170" s="3">
        <v>1</v>
      </c>
      <c r="C2170" s="1" t="str">
        <f t="shared" si="69"/>
        <v>永恒之盾</v>
      </c>
      <c r="D2170" s="1" t="s">
        <v>13</v>
      </c>
      <c r="E2170" s="1">
        <v>6</v>
      </c>
      <c r="F2170" s="1">
        <v>5</v>
      </c>
      <c r="G2170" s="1">
        <v>70</v>
      </c>
      <c r="H2170" s="10" t="s">
        <v>2120</v>
      </c>
      <c r="I2170" s="1">
        <v>140000</v>
      </c>
      <c r="J2170" s="1">
        <v>150</v>
      </c>
      <c r="K2170" s="1">
        <v>1500</v>
      </c>
      <c r="L2170" s="1">
        <v>37500</v>
      </c>
      <c r="M2170" s="1" t="str">
        <f t="shared" si="70"/>
        <v>105_3522_3522</v>
      </c>
      <c r="N2170" s="1" t="s">
        <v>1796</v>
      </c>
      <c r="O2170" s="1">
        <v>0</v>
      </c>
      <c r="P2170" s="1" t="s">
        <v>2059</v>
      </c>
      <c r="Q2170" s="7" t="str">
        <f t="shared" si="71"/>
        <v>equipment/2118.png</v>
      </c>
      <c r="R2170" s="1">
        <v>0</v>
      </c>
    </row>
    <row r="2171" spans="1:18" ht="14.25" thickBot="1">
      <c r="A2171" s="1" t="s">
        <v>1755</v>
      </c>
      <c r="B2171" s="2">
        <v>0</v>
      </c>
      <c r="C2171" s="1" t="str">
        <f t="shared" si="69"/>
        <v>相位壁垒</v>
      </c>
      <c r="D2171" s="1" t="s">
        <v>13</v>
      </c>
      <c r="E2171" s="1">
        <v>6</v>
      </c>
      <c r="F2171" s="1">
        <v>5</v>
      </c>
      <c r="G2171" s="1">
        <v>70</v>
      </c>
      <c r="H2171" s="10" t="s">
        <v>2120</v>
      </c>
      <c r="I2171" s="1">
        <v>146000</v>
      </c>
      <c r="J2171" s="1">
        <v>150</v>
      </c>
      <c r="K2171" s="1">
        <v>1500</v>
      </c>
      <c r="L2171" s="1">
        <v>40000</v>
      </c>
      <c r="M2171" s="1" t="str">
        <f t="shared" si="70"/>
        <v>105_3522_3522</v>
      </c>
      <c r="N2171" s="1" t="s">
        <v>1796</v>
      </c>
      <c r="O2171" s="1">
        <v>0</v>
      </c>
      <c r="P2171" s="1" t="s">
        <v>2059</v>
      </c>
      <c r="Q2171" s="7" t="str">
        <f t="shared" si="71"/>
        <v>equipment/2101.png</v>
      </c>
      <c r="R2171" s="1">
        <v>0</v>
      </c>
    </row>
    <row r="2172" spans="1:18" ht="14.25" thickBot="1">
      <c r="A2172" s="1" t="s">
        <v>1756</v>
      </c>
      <c r="B2172" s="3">
        <v>1</v>
      </c>
      <c r="C2172" s="1" t="str">
        <f t="shared" si="69"/>
        <v>日怒凰弓</v>
      </c>
      <c r="D2172" s="1" t="s">
        <v>12</v>
      </c>
      <c r="E2172" s="1">
        <v>5</v>
      </c>
      <c r="F2172" s="1">
        <v>5</v>
      </c>
      <c r="G2172" s="1">
        <v>70</v>
      </c>
      <c r="H2172" s="10" t="s">
        <v>2121</v>
      </c>
      <c r="I2172" s="1">
        <v>140000</v>
      </c>
      <c r="J2172" s="1">
        <v>150</v>
      </c>
      <c r="K2172" s="1">
        <v>1500</v>
      </c>
      <c r="L2172" s="1">
        <v>37500</v>
      </c>
      <c r="M2172" s="1" t="str">
        <f t="shared" si="70"/>
        <v>103_3269_3269,104_6538_6538</v>
      </c>
      <c r="N2172" s="1" t="s">
        <v>1796</v>
      </c>
      <c r="O2172" s="1">
        <v>0</v>
      </c>
      <c r="P2172" s="1" t="s">
        <v>2059</v>
      </c>
      <c r="Q2172" s="7" t="str">
        <f t="shared" si="71"/>
        <v>equipment/1222.png</v>
      </c>
      <c r="R2172" s="1">
        <v>0</v>
      </c>
    </row>
    <row r="2173" spans="1:18" ht="14.25" thickBot="1">
      <c r="A2173" s="1" t="s">
        <v>1757</v>
      </c>
      <c r="B2173" s="2">
        <v>0</v>
      </c>
      <c r="C2173" s="1" t="str">
        <f t="shared" si="69"/>
        <v>群星之怒</v>
      </c>
      <c r="D2173" s="1" t="s">
        <v>12</v>
      </c>
      <c r="E2173" s="1">
        <v>5</v>
      </c>
      <c r="F2173" s="1">
        <v>5</v>
      </c>
      <c r="G2173" s="1">
        <v>70</v>
      </c>
      <c r="H2173" s="10" t="s">
        <v>2121</v>
      </c>
      <c r="I2173" s="1">
        <v>146000</v>
      </c>
      <c r="J2173" s="1">
        <v>150</v>
      </c>
      <c r="K2173" s="1">
        <v>1500</v>
      </c>
      <c r="L2173" s="1">
        <v>40000</v>
      </c>
      <c r="M2173" s="1" t="str">
        <f t="shared" si="70"/>
        <v>103_3269_3269,104_6538_6538</v>
      </c>
      <c r="N2173" s="1" t="s">
        <v>1796</v>
      </c>
      <c r="O2173" s="1">
        <v>0</v>
      </c>
      <c r="P2173" s="1" t="s">
        <v>2059</v>
      </c>
      <c r="Q2173" s="7" t="str">
        <f t="shared" si="71"/>
        <v>equipment/1201.png</v>
      </c>
      <c r="R2173" s="1">
        <v>0</v>
      </c>
    </row>
    <row r="2174" spans="1:18" ht="14.25" thickBot="1">
      <c r="A2174" s="1" t="s">
        <v>1758</v>
      </c>
      <c r="B2174" s="3">
        <v>1</v>
      </c>
      <c r="C2174" s="1" t="str">
        <f t="shared" si="69"/>
        <v>逐日之矢</v>
      </c>
      <c r="D2174" s="1" t="s">
        <v>13</v>
      </c>
      <c r="E2174" s="1">
        <v>6</v>
      </c>
      <c r="F2174" s="1">
        <v>5</v>
      </c>
      <c r="G2174" s="1">
        <v>70</v>
      </c>
      <c r="H2174" s="10" t="s">
        <v>2121</v>
      </c>
      <c r="I2174" s="1">
        <v>140000</v>
      </c>
      <c r="J2174" s="1">
        <v>150</v>
      </c>
      <c r="K2174" s="1">
        <v>1500</v>
      </c>
      <c r="L2174" s="1">
        <v>37500</v>
      </c>
      <c r="M2174" s="1" t="str">
        <f t="shared" si="70"/>
        <v>108_3522_3522</v>
      </c>
      <c r="N2174" s="1" t="s">
        <v>1796</v>
      </c>
      <c r="O2174" s="1">
        <v>0</v>
      </c>
      <c r="P2174" s="1" t="s">
        <v>2059</v>
      </c>
      <c r="Q2174" s="7" t="str">
        <f t="shared" si="71"/>
        <v>equipment/2218.png</v>
      </c>
      <c r="R2174" s="1">
        <v>0</v>
      </c>
    </row>
    <row r="2175" spans="1:18" ht="14.25" thickBot="1">
      <c r="A2175" s="1" t="s">
        <v>1759</v>
      </c>
      <c r="B2175" s="2">
        <v>0</v>
      </c>
      <c r="C2175" s="1" t="str">
        <f t="shared" si="69"/>
        <v>箭筒</v>
      </c>
      <c r="D2175" s="1" t="s">
        <v>13</v>
      </c>
      <c r="E2175" s="1">
        <v>6</v>
      </c>
      <c r="F2175" s="1">
        <v>5</v>
      </c>
      <c r="G2175" s="1">
        <v>70</v>
      </c>
      <c r="H2175" s="10" t="s">
        <v>2121</v>
      </c>
      <c r="I2175" s="1">
        <v>146000</v>
      </c>
      <c r="J2175" s="1">
        <v>150</v>
      </c>
      <c r="K2175" s="1">
        <v>1500</v>
      </c>
      <c r="L2175" s="1">
        <v>40000</v>
      </c>
      <c r="M2175" s="1" t="str">
        <f t="shared" si="70"/>
        <v>108_3522_3522</v>
      </c>
      <c r="N2175" s="1" t="s">
        <v>1796</v>
      </c>
      <c r="O2175" s="1">
        <v>0</v>
      </c>
      <c r="P2175" s="1" t="s">
        <v>2059</v>
      </c>
      <c r="Q2175" s="7" t="str">
        <f t="shared" si="71"/>
        <v>equipment/2201.png</v>
      </c>
      <c r="R2175" s="1">
        <v>0</v>
      </c>
    </row>
    <row r="2176" spans="1:18" ht="14.25" thickBot="1">
      <c r="A2176" s="1" t="s">
        <v>1760</v>
      </c>
      <c r="B2176" s="3">
        <v>1</v>
      </c>
      <c r="C2176" s="1" t="str">
        <f t="shared" si="69"/>
        <v>瓦解法杖</v>
      </c>
      <c r="D2176" s="1" t="s">
        <v>12</v>
      </c>
      <c r="E2176" s="1">
        <v>5</v>
      </c>
      <c r="F2176" s="1">
        <v>5</v>
      </c>
      <c r="G2176" s="1">
        <v>70</v>
      </c>
      <c r="H2176" s="10" t="s">
        <v>2122</v>
      </c>
      <c r="I2176" s="1">
        <v>140000</v>
      </c>
      <c r="J2176" s="1">
        <v>150</v>
      </c>
      <c r="K2176" s="1">
        <v>1500</v>
      </c>
      <c r="L2176" s="1">
        <v>37500</v>
      </c>
      <c r="M2176" s="1" t="str">
        <f t="shared" si="70"/>
        <v>103_3269_3269,104_6538_6538</v>
      </c>
      <c r="N2176" s="1" t="s">
        <v>1796</v>
      </c>
      <c r="O2176" s="1">
        <v>0</v>
      </c>
      <c r="P2176" s="1" t="s">
        <v>2059</v>
      </c>
      <c r="Q2176" s="7" t="str">
        <f t="shared" si="71"/>
        <v>equipment/1324.png</v>
      </c>
      <c r="R2176" s="1">
        <v>0</v>
      </c>
    </row>
    <row r="2177" spans="1:18" ht="14.25" thickBot="1">
      <c r="A2177" s="1" t="s">
        <v>1761</v>
      </c>
      <c r="B2177" s="2">
        <v>0</v>
      </c>
      <c r="C2177" s="1" t="str">
        <f t="shared" si="69"/>
        <v>守护者之杖</v>
      </c>
      <c r="D2177" s="1" t="s">
        <v>12</v>
      </c>
      <c r="E2177" s="1">
        <v>5</v>
      </c>
      <c r="F2177" s="1">
        <v>5</v>
      </c>
      <c r="G2177" s="1">
        <v>70</v>
      </c>
      <c r="H2177" s="10" t="s">
        <v>2122</v>
      </c>
      <c r="I2177" s="1">
        <v>146000</v>
      </c>
      <c r="J2177" s="1">
        <v>150</v>
      </c>
      <c r="K2177" s="1">
        <v>1500</v>
      </c>
      <c r="L2177" s="1">
        <v>40000</v>
      </c>
      <c r="M2177" s="1" t="str">
        <f t="shared" si="70"/>
        <v>103_3269_3269,104_6538_6538</v>
      </c>
      <c r="N2177" s="1" t="s">
        <v>1796</v>
      </c>
      <c r="O2177" s="1">
        <v>0</v>
      </c>
      <c r="P2177" s="1" t="s">
        <v>2059</v>
      </c>
      <c r="Q2177" s="7" t="str">
        <f t="shared" si="71"/>
        <v>equipment/1301.png</v>
      </c>
      <c r="R2177" s="1">
        <v>0</v>
      </c>
    </row>
    <row r="2178" spans="1:18" ht="14.25" thickBot="1">
      <c r="A2178" s="1" t="s">
        <v>1762</v>
      </c>
      <c r="B2178" s="3">
        <v>1</v>
      </c>
      <c r="C2178" s="1" t="str">
        <f t="shared" si="69"/>
        <v>虚空魔典</v>
      </c>
      <c r="D2178" s="1" t="s">
        <v>13</v>
      </c>
      <c r="E2178" s="1">
        <v>6</v>
      </c>
      <c r="F2178" s="1">
        <v>5</v>
      </c>
      <c r="G2178" s="1">
        <v>70</v>
      </c>
      <c r="H2178" s="10" t="s">
        <v>2122</v>
      </c>
      <c r="I2178" s="1">
        <v>140000</v>
      </c>
      <c r="J2178" s="1">
        <v>150</v>
      </c>
      <c r="K2178" s="1">
        <v>1500</v>
      </c>
      <c r="L2178" s="1">
        <v>37500</v>
      </c>
      <c r="M2178" s="1" t="str">
        <f t="shared" si="70"/>
        <v>102_3080_3080</v>
      </c>
      <c r="N2178" s="1" t="s">
        <v>1796</v>
      </c>
      <c r="O2178" s="1">
        <v>0</v>
      </c>
      <c r="P2178" s="1" t="s">
        <v>2059</v>
      </c>
      <c r="Q2178" s="7" t="str">
        <f t="shared" si="71"/>
        <v>equipment/2318.png</v>
      </c>
      <c r="R2178" s="1">
        <v>0</v>
      </c>
    </row>
    <row r="2179" spans="1:18" ht="14.25" thickBot="1">
      <c r="A2179" s="1" t="s">
        <v>1763</v>
      </c>
      <c r="B2179" s="2">
        <v>0</v>
      </c>
      <c r="C2179" s="1" t="str">
        <f t="shared" si="69"/>
        <v>星界之书</v>
      </c>
      <c r="D2179" s="1" t="s">
        <v>13</v>
      </c>
      <c r="E2179" s="1">
        <v>6</v>
      </c>
      <c r="F2179" s="1">
        <v>5</v>
      </c>
      <c r="G2179" s="1">
        <v>70</v>
      </c>
      <c r="H2179" s="10" t="s">
        <v>2122</v>
      </c>
      <c r="I2179" s="1">
        <v>146000</v>
      </c>
      <c r="J2179" s="1">
        <v>150</v>
      </c>
      <c r="K2179" s="1">
        <v>1500</v>
      </c>
      <c r="L2179" s="1">
        <v>40000</v>
      </c>
      <c r="M2179" s="1" t="str">
        <f t="shared" si="70"/>
        <v>102_3080_3080</v>
      </c>
      <c r="N2179" s="1" t="s">
        <v>1796</v>
      </c>
      <c r="O2179" s="1">
        <v>0</v>
      </c>
      <c r="P2179" s="1" t="s">
        <v>2059</v>
      </c>
      <c r="Q2179" s="7" t="str">
        <f t="shared" si="71"/>
        <v>equipment/2301.png</v>
      </c>
      <c r="R2179" s="1">
        <v>0</v>
      </c>
    </row>
    <row r="2180" spans="1:18" ht="14.25" thickBot="1">
      <c r="A2180" s="1" t="s">
        <v>1764</v>
      </c>
      <c r="B2180" s="2">
        <v>1</v>
      </c>
      <c r="C2180" s="1" t="str">
        <f t="shared" si="69"/>
        <v>光铸胸甲</v>
      </c>
      <c r="D2180" s="1" t="s">
        <v>11</v>
      </c>
      <c r="E2180" s="1">
        <v>4</v>
      </c>
      <c r="F2180" s="1">
        <v>5</v>
      </c>
      <c r="G2180" s="1">
        <v>70</v>
      </c>
      <c r="H2180" s="10">
        <v>0</v>
      </c>
      <c r="I2180" s="1">
        <v>140000</v>
      </c>
      <c r="J2180" s="1">
        <v>150</v>
      </c>
      <c r="K2180" s="1">
        <v>1500</v>
      </c>
      <c r="L2180" s="1">
        <v>37500</v>
      </c>
      <c r="M2180" s="1" t="str">
        <f t="shared" si="70"/>
        <v>105_1844_1844</v>
      </c>
      <c r="N2180" s="1" t="s">
        <v>1795</v>
      </c>
      <c r="O2180" s="1">
        <v>0</v>
      </c>
      <c r="P2180" s="1" t="s">
        <v>2059</v>
      </c>
      <c r="Q2180" s="7" t="str">
        <f t="shared" si="71"/>
        <v>equipment/5018.png</v>
      </c>
      <c r="R2180" s="1">
        <v>0</v>
      </c>
    </row>
    <row r="2181" spans="1:18" ht="14.25" thickBot="1">
      <c r="A2181" s="1" t="s">
        <v>1765</v>
      </c>
      <c r="B2181" s="2">
        <v>0</v>
      </c>
      <c r="C2181" s="1" t="str">
        <f t="shared" si="69"/>
        <v>碎界之铠</v>
      </c>
      <c r="D2181" s="1" t="s">
        <v>11</v>
      </c>
      <c r="E2181" s="1">
        <v>4</v>
      </c>
      <c r="F2181" s="1">
        <v>5</v>
      </c>
      <c r="G2181" s="1">
        <v>70</v>
      </c>
      <c r="H2181" s="10">
        <v>0</v>
      </c>
      <c r="I2181" s="1">
        <v>146000</v>
      </c>
      <c r="J2181" s="1">
        <v>150</v>
      </c>
      <c r="K2181" s="1">
        <v>1500</v>
      </c>
      <c r="L2181" s="1">
        <v>40000</v>
      </c>
      <c r="M2181" s="1" t="str">
        <f t="shared" si="70"/>
        <v>105_0_0</v>
      </c>
      <c r="N2181" s="1" t="s">
        <v>1795</v>
      </c>
      <c r="O2181" s="1">
        <v>0</v>
      </c>
      <c r="P2181" s="1" t="s">
        <v>2059</v>
      </c>
      <c r="Q2181" s="7" t="str">
        <f t="shared" si="71"/>
        <v>equipment/5001.png</v>
      </c>
      <c r="R2181" s="1">
        <v>0</v>
      </c>
    </row>
    <row r="2182" spans="1:18" ht="14.25" thickBot="1">
      <c r="A2182" s="1" t="s">
        <v>1766</v>
      </c>
      <c r="B2182" s="2">
        <v>1</v>
      </c>
      <c r="C2182" s="1" t="str">
        <f t="shared" si="69"/>
        <v>虚灵护腿</v>
      </c>
      <c r="D2182" s="1" t="s">
        <v>14</v>
      </c>
      <c r="E2182" s="1">
        <v>7</v>
      </c>
      <c r="F2182" s="1">
        <v>5</v>
      </c>
      <c r="G2182" s="1">
        <v>70</v>
      </c>
      <c r="H2182" s="10">
        <v>0</v>
      </c>
      <c r="I2182" s="1">
        <v>140000</v>
      </c>
      <c r="J2182" s="1">
        <v>150</v>
      </c>
      <c r="K2182" s="1">
        <v>1500</v>
      </c>
      <c r="L2182" s="1">
        <v>37500</v>
      </c>
      <c r="M2182" s="1" t="str">
        <f t="shared" si="70"/>
        <v>105_1844_1844</v>
      </c>
      <c r="N2182" s="1" t="s">
        <v>1795</v>
      </c>
      <c r="O2182" s="1">
        <v>0</v>
      </c>
      <c r="P2182" s="1" t="s">
        <v>2059</v>
      </c>
      <c r="Q2182" s="7" t="str">
        <f t="shared" si="71"/>
        <v>equipment/7018.png</v>
      </c>
      <c r="R2182" s="1">
        <v>0</v>
      </c>
    </row>
    <row r="2183" spans="1:18" ht="14.25" thickBot="1">
      <c r="A2183" s="1" t="s">
        <v>1767</v>
      </c>
      <c r="B2183" s="2">
        <v>0</v>
      </c>
      <c r="C2183" s="1" t="str">
        <f t="shared" si="69"/>
        <v>不朽护腿</v>
      </c>
      <c r="D2183" s="1" t="s">
        <v>14</v>
      </c>
      <c r="E2183" s="1">
        <v>7</v>
      </c>
      <c r="F2183" s="1">
        <v>5</v>
      </c>
      <c r="G2183" s="1">
        <v>70</v>
      </c>
      <c r="H2183" s="10">
        <v>0</v>
      </c>
      <c r="I2183" s="1">
        <v>146000</v>
      </c>
      <c r="J2183" s="1">
        <v>150</v>
      </c>
      <c r="K2183" s="1">
        <v>1500</v>
      </c>
      <c r="L2183" s="1">
        <v>40000</v>
      </c>
      <c r="M2183" s="1" t="str">
        <f t="shared" si="70"/>
        <v>105_0_0</v>
      </c>
      <c r="N2183" s="1" t="s">
        <v>1795</v>
      </c>
      <c r="O2183" s="1">
        <v>0</v>
      </c>
      <c r="P2183" s="1" t="s">
        <v>2059</v>
      </c>
      <c r="Q2183" s="7" t="str">
        <f t="shared" si="71"/>
        <v>equipment/7001.png</v>
      </c>
      <c r="R2183" s="1">
        <v>0</v>
      </c>
    </row>
    <row r="2184" spans="1:18" ht="14.25" thickBot="1">
      <c r="A2184" s="1">
        <v>50750010</v>
      </c>
      <c r="B2184" s="3">
        <f>B1722</f>
        <v>1</v>
      </c>
      <c r="C2184" s="1" t="str">
        <f t="shared" si="69"/>
        <v>凛冬头盔</v>
      </c>
      <c r="D2184" s="1" t="s">
        <v>8</v>
      </c>
      <c r="E2184" s="1">
        <v>1</v>
      </c>
      <c r="F2184" s="1">
        <v>5</v>
      </c>
      <c r="G2184" s="1">
        <v>75</v>
      </c>
      <c r="H2184" s="10">
        <v>0</v>
      </c>
      <c r="I2184" s="1">
        <f>I336*20</f>
        <v>152000</v>
      </c>
      <c r="J2184" s="1">
        <v>150</v>
      </c>
      <c r="K2184" s="1">
        <v>1500</v>
      </c>
      <c r="L2184" s="1">
        <v>40000</v>
      </c>
      <c r="M2184" s="1" t="str">
        <f>M1722</f>
        <v>106_2633_2633</v>
      </c>
      <c r="N2184" s="1" t="s">
        <v>2452</v>
      </c>
      <c r="O2184" s="1">
        <v>0</v>
      </c>
      <c r="P2184" s="1" t="s">
        <v>2059</v>
      </c>
      <c r="Q2184" s="7" t="str">
        <f t="shared" si="71"/>
        <v>equipment/3013.png</v>
      </c>
      <c r="R2184" s="1">
        <v>0</v>
      </c>
    </row>
    <row r="2185" spans="1:18" ht="14.25" thickBot="1">
      <c r="A2185" s="1">
        <v>50750020</v>
      </c>
      <c r="B2185" s="3">
        <f t="shared" ref="B2185:B2248" si="72">B1723</f>
        <v>1</v>
      </c>
      <c r="C2185" s="1" t="str">
        <f t="shared" si="69"/>
        <v>地脉之环</v>
      </c>
      <c r="D2185" s="1" t="s">
        <v>9</v>
      </c>
      <c r="E2185" s="1">
        <v>2</v>
      </c>
      <c r="F2185" s="1">
        <v>5</v>
      </c>
      <c r="G2185" s="1">
        <v>75</v>
      </c>
      <c r="H2185" s="10">
        <v>0</v>
      </c>
      <c r="I2185" s="1">
        <f t="shared" ref="I2185:I2248" si="73">I337*20</f>
        <v>152000</v>
      </c>
      <c r="J2185" s="1">
        <v>150</v>
      </c>
      <c r="K2185" s="1">
        <v>1500</v>
      </c>
      <c r="L2185" s="1">
        <v>40000</v>
      </c>
      <c r="M2185" s="1" t="str">
        <f t="shared" ref="M2185:M2248" si="74">M1723</f>
        <v>102_1760_1760</v>
      </c>
      <c r="N2185" s="1" t="s">
        <v>2452</v>
      </c>
      <c r="O2185" s="1">
        <v>0</v>
      </c>
      <c r="P2185" s="1" t="s">
        <v>2059</v>
      </c>
      <c r="Q2185" s="7" t="str">
        <f t="shared" si="71"/>
        <v>equipment/14013.png</v>
      </c>
      <c r="R2185" s="1">
        <v>0</v>
      </c>
    </row>
    <row r="2186" spans="1:18" ht="14.25" thickBot="1">
      <c r="A2186" s="1">
        <v>50750030</v>
      </c>
      <c r="B2186" s="3">
        <f t="shared" si="72"/>
        <v>1</v>
      </c>
      <c r="C2186" s="1" t="str">
        <f t="shared" si="69"/>
        <v>缚誓护腰</v>
      </c>
      <c r="D2186" s="1" t="s">
        <v>10</v>
      </c>
      <c r="E2186" s="1">
        <v>3</v>
      </c>
      <c r="F2186" s="1">
        <v>5</v>
      </c>
      <c r="G2186" s="1">
        <v>75</v>
      </c>
      <c r="H2186" s="10">
        <v>0</v>
      </c>
      <c r="I2186" s="1">
        <f t="shared" si="73"/>
        <v>152000</v>
      </c>
      <c r="J2186" s="1">
        <v>150</v>
      </c>
      <c r="K2186" s="1">
        <v>1500</v>
      </c>
      <c r="L2186" s="1">
        <v>40000</v>
      </c>
      <c r="M2186" s="1" t="str">
        <f t="shared" si="74"/>
        <v>101_21600_21600</v>
      </c>
      <c r="N2186" s="1" t="s">
        <v>2452</v>
      </c>
      <c r="O2186" s="1">
        <v>0</v>
      </c>
      <c r="P2186" s="1" t="s">
        <v>2059</v>
      </c>
      <c r="Q2186" s="7" t="str">
        <f t="shared" si="71"/>
        <v>equipment/6014.png</v>
      </c>
      <c r="R2186" s="1">
        <v>0</v>
      </c>
    </row>
    <row r="2187" spans="1:18" ht="14.25" thickBot="1">
      <c r="A2187" s="1">
        <v>50750080</v>
      </c>
      <c r="B2187" s="3">
        <f t="shared" si="72"/>
        <v>1</v>
      </c>
      <c r="C2187" s="1" t="str">
        <f t="shared" si="69"/>
        <v>踏冰长靴</v>
      </c>
      <c r="D2187" s="1" t="s">
        <v>15</v>
      </c>
      <c r="E2187" s="1">
        <v>8</v>
      </c>
      <c r="F2187" s="1">
        <v>5</v>
      </c>
      <c r="G2187" s="1">
        <v>75</v>
      </c>
      <c r="H2187" s="10">
        <v>0</v>
      </c>
      <c r="I2187" s="1">
        <f t="shared" si="73"/>
        <v>152000</v>
      </c>
      <c r="J2187" s="1">
        <v>150</v>
      </c>
      <c r="K2187" s="1">
        <v>1500</v>
      </c>
      <c r="L2187" s="1">
        <v>40000</v>
      </c>
      <c r="M2187" s="1" t="str">
        <f t="shared" si="74"/>
        <v>110_515_515</v>
      </c>
      <c r="N2187" s="1" t="s">
        <v>2452</v>
      </c>
      <c r="O2187" s="1">
        <v>0</v>
      </c>
      <c r="P2187" s="1" t="s">
        <v>2059</v>
      </c>
      <c r="Q2187" s="7" t="str">
        <f t="shared" si="71"/>
        <v>equipment/8014.png</v>
      </c>
      <c r="R2187" s="1">
        <v>0</v>
      </c>
    </row>
    <row r="2188" spans="1:18" ht="14.25" thickBot="1">
      <c r="A2188" s="1">
        <v>50750090</v>
      </c>
      <c r="B2188" s="3">
        <f t="shared" si="72"/>
        <v>1</v>
      </c>
      <c r="C2188" s="1" t="str">
        <f t="shared" si="69"/>
        <v>薄霜护手</v>
      </c>
      <c r="D2188" s="1" t="s">
        <v>16</v>
      </c>
      <c r="E2188" s="1">
        <v>9</v>
      </c>
      <c r="F2188" s="1">
        <v>5</v>
      </c>
      <c r="G2188" s="1">
        <v>75</v>
      </c>
      <c r="H2188" s="10">
        <v>0</v>
      </c>
      <c r="I2188" s="1">
        <f t="shared" si="73"/>
        <v>152000</v>
      </c>
      <c r="J2188" s="1">
        <v>150</v>
      </c>
      <c r="K2188" s="1">
        <v>1500</v>
      </c>
      <c r="L2188" s="1">
        <v>40000</v>
      </c>
      <c r="M2188" s="1" t="str">
        <f t="shared" si="74"/>
        <v>108_4631_4631</v>
      </c>
      <c r="N2188" s="1" t="s">
        <v>2452</v>
      </c>
      <c r="O2188" s="1">
        <v>0</v>
      </c>
      <c r="P2188" s="1" t="s">
        <v>2059</v>
      </c>
      <c r="Q2188" s="7" t="str">
        <f t="shared" si="71"/>
        <v>equipment/10012.png</v>
      </c>
      <c r="R2188" s="1">
        <v>0</v>
      </c>
    </row>
    <row r="2189" spans="1:18" ht="14.25" thickBot="1">
      <c r="A2189" s="1">
        <v>50750100</v>
      </c>
      <c r="B2189" s="3">
        <f t="shared" si="72"/>
        <v>1</v>
      </c>
      <c r="C2189" s="1" t="str">
        <f t="shared" si="69"/>
        <v>极光挂坠</v>
      </c>
      <c r="D2189" s="1" t="s">
        <v>17</v>
      </c>
      <c r="E2189" s="1">
        <v>10</v>
      </c>
      <c r="F2189" s="1">
        <v>5</v>
      </c>
      <c r="G2189" s="1">
        <v>75</v>
      </c>
      <c r="H2189" s="10">
        <v>0</v>
      </c>
      <c r="I2189" s="1">
        <f t="shared" si="73"/>
        <v>152000</v>
      </c>
      <c r="J2189" s="1">
        <v>150</v>
      </c>
      <c r="K2189" s="1">
        <v>1500</v>
      </c>
      <c r="L2189" s="1">
        <v>40000</v>
      </c>
      <c r="M2189" s="1" t="str">
        <f t="shared" si="74"/>
        <v>107_2633_2633</v>
      </c>
      <c r="N2189" s="1" t="s">
        <v>2452</v>
      </c>
      <c r="O2189" s="1">
        <v>0</v>
      </c>
      <c r="P2189" s="1" t="s">
        <v>2059</v>
      </c>
      <c r="Q2189" s="7" t="str">
        <f t="shared" si="71"/>
        <v>equipment/12013.png</v>
      </c>
      <c r="R2189" s="1">
        <v>0</v>
      </c>
    </row>
    <row r="2190" spans="1:18" ht="14.25" thickBot="1">
      <c r="A2190" s="1">
        <v>50751050</v>
      </c>
      <c r="B2190" s="3">
        <f t="shared" si="72"/>
        <v>1</v>
      </c>
      <c r="C2190" s="1" t="str">
        <f t="shared" si="69"/>
        <v>凌风之刃</v>
      </c>
      <c r="D2190" s="1" t="s">
        <v>12</v>
      </c>
      <c r="E2190" s="1">
        <v>5</v>
      </c>
      <c r="F2190" s="1">
        <v>5</v>
      </c>
      <c r="G2190" s="1">
        <v>75</v>
      </c>
      <c r="H2190" s="10" t="s">
        <v>2120</v>
      </c>
      <c r="I2190" s="1">
        <f t="shared" si="73"/>
        <v>152000</v>
      </c>
      <c r="J2190" s="1">
        <v>150</v>
      </c>
      <c r="K2190" s="1">
        <v>1500</v>
      </c>
      <c r="L2190" s="1">
        <v>40000</v>
      </c>
      <c r="M2190" s="1" t="str">
        <f t="shared" si="74"/>
        <v>103_3811_3811,104_7622_7622</v>
      </c>
      <c r="N2190" s="1" t="s">
        <v>2453</v>
      </c>
      <c r="O2190" s="1">
        <v>0</v>
      </c>
      <c r="P2190" s="1" t="s">
        <v>2059</v>
      </c>
      <c r="Q2190" s="7" t="str">
        <f t="shared" si="71"/>
        <v>equipment/1126.png</v>
      </c>
      <c r="R2190" s="1">
        <v>0</v>
      </c>
    </row>
    <row r="2191" spans="1:18" ht="14.25" thickBot="1">
      <c r="A2191" s="1">
        <v>50751051</v>
      </c>
      <c r="B2191" s="3">
        <f t="shared" si="72"/>
        <v>1</v>
      </c>
      <c r="C2191" s="1" t="str">
        <f t="shared" si="69"/>
        <v>鸣醒之剑</v>
      </c>
      <c r="D2191" s="1" t="s">
        <v>12</v>
      </c>
      <c r="E2191" s="1">
        <v>5</v>
      </c>
      <c r="F2191" s="1">
        <v>5</v>
      </c>
      <c r="G2191" s="1">
        <v>75</v>
      </c>
      <c r="H2191" s="10" t="s">
        <v>2120</v>
      </c>
      <c r="I2191" s="1">
        <f t="shared" si="73"/>
        <v>158000</v>
      </c>
      <c r="J2191" s="1">
        <v>150</v>
      </c>
      <c r="K2191" s="1">
        <v>1500</v>
      </c>
      <c r="L2191" s="1">
        <v>42500</v>
      </c>
      <c r="M2191" s="1" t="str">
        <f t="shared" si="74"/>
        <v>103_4019_4019,104_8038_8038</v>
      </c>
      <c r="N2191" s="1" t="s">
        <v>2453</v>
      </c>
      <c r="O2191" s="1">
        <v>0</v>
      </c>
      <c r="P2191" s="1" t="s">
        <v>2059</v>
      </c>
      <c r="Q2191" s="7" t="str">
        <f t="shared" si="71"/>
        <v>equipment/1127.png</v>
      </c>
      <c r="R2191" s="1">
        <v>0</v>
      </c>
    </row>
    <row r="2192" spans="1:18" ht="14.25" thickBot="1">
      <c r="A2192" s="1">
        <v>50751060</v>
      </c>
      <c r="B2192" s="3">
        <f t="shared" si="72"/>
        <v>1</v>
      </c>
      <c r="C2192" s="1" t="str">
        <f t="shared" si="69"/>
        <v>凯旋护盾</v>
      </c>
      <c r="D2192" s="1" t="s">
        <v>13</v>
      </c>
      <c r="E2192" s="1">
        <v>6</v>
      </c>
      <c r="F2192" s="1">
        <v>5</v>
      </c>
      <c r="G2192" s="1">
        <v>75</v>
      </c>
      <c r="H2192" s="10" t="s">
        <v>2120</v>
      </c>
      <c r="I2192" s="1">
        <f t="shared" si="73"/>
        <v>152000</v>
      </c>
      <c r="J2192" s="1">
        <v>150</v>
      </c>
      <c r="K2192" s="1">
        <v>1500</v>
      </c>
      <c r="L2192" s="1">
        <v>40000</v>
      </c>
      <c r="M2192" s="1" t="str">
        <f t="shared" si="74"/>
        <v>105_3945_3945</v>
      </c>
      <c r="N2192" s="1" t="s">
        <v>2453</v>
      </c>
      <c r="O2192" s="1">
        <v>0</v>
      </c>
      <c r="P2192" s="1" t="s">
        <v>2059</v>
      </c>
      <c r="Q2192" s="7" t="str">
        <f t="shared" si="71"/>
        <v>equipment/2121.png</v>
      </c>
      <c r="R2192" s="1">
        <v>0</v>
      </c>
    </row>
    <row r="2193" spans="1:18" ht="14.25" thickBot="1">
      <c r="A2193" s="1">
        <v>50751061</v>
      </c>
      <c r="B2193" s="3">
        <f t="shared" si="72"/>
        <v>1</v>
      </c>
      <c r="C2193" s="1" t="str">
        <f t="shared" si="69"/>
        <v>集结护盾</v>
      </c>
      <c r="D2193" s="1" t="s">
        <v>13</v>
      </c>
      <c r="E2193" s="1">
        <v>6</v>
      </c>
      <c r="F2193" s="1">
        <v>5</v>
      </c>
      <c r="G2193" s="1">
        <v>75</v>
      </c>
      <c r="H2193" s="10" t="s">
        <v>2120</v>
      </c>
      <c r="I2193" s="1">
        <f t="shared" si="73"/>
        <v>158000</v>
      </c>
      <c r="J2193" s="1">
        <v>150</v>
      </c>
      <c r="K2193" s="1">
        <v>1500</v>
      </c>
      <c r="L2193" s="1">
        <v>42500</v>
      </c>
      <c r="M2193" s="1" t="str">
        <f t="shared" si="74"/>
        <v>105_4082_4082</v>
      </c>
      <c r="N2193" s="1" t="s">
        <v>2453</v>
      </c>
      <c r="O2193" s="1">
        <v>0</v>
      </c>
      <c r="P2193" s="1" t="s">
        <v>2059</v>
      </c>
      <c r="Q2193" s="7" t="str">
        <f t="shared" si="71"/>
        <v>equipment/2123.png</v>
      </c>
      <c r="R2193" s="1">
        <v>0</v>
      </c>
    </row>
    <row r="2194" spans="1:18" ht="14.25" thickBot="1">
      <c r="A2194" s="1">
        <v>50752050</v>
      </c>
      <c r="B2194" s="3">
        <f t="shared" si="72"/>
        <v>1</v>
      </c>
      <c r="C2194" s="1" t="str">
        <f t="shared" si="69"/>
        <v>嚎风之息</v>
      </c>
      <c r="D2194" s="1" t="s">
        <v>12</v>
      </c>
      <c r="E2194" s="1">
        <v>5</v>
      </c>
      <c r="F2194" s="1">
        <v>5</v>
      </c>
      <c r="G2194" s="1">
        <v>75</v>
      </c>
      <c r="H2194" s="10" t="s">
        <v>2121</v>
      </c>
      <c r="I2194" s="1">
        <f t="shared" si="73"/>
        <v>152000</v>
      </c>
      <c r="J2194" s="1">
        <v>150</v>
      </c>
      <c r="K2194" s="1">
        <v>1500</v>
      </c>
      <c r="L2194" s="1">
        <v>40000</v>
      </c>
      <c r="M2194" s="1" t="str">
        <f t="shared" si="74"/>
        <v>103_3811_3811,104_7622_7622</v>
      </c>
      <c r="N2194" s="1" t="s">
        <v>2453</v>
      </c>
      <c r="O2194" s="1">
        <v>0</v>
      </c>
      <c r="P2194" s="1" t="s">
        <v>2059</v>
      </c>
      <c r="Q2194" s="7" t="str">
        <f t="shared" si="71"/>
        <v>equipment/1225.png</v>
      </c>
      <c r="R2194" s="1">
        <v>0</v>
      </c>
    </row>
    <row r="2195" spans="1:18" ht="14.25" thickBot="1">
      <c r="A2195" s="1">
        <v>50752051</v>
      </c>
      <c r="B2195" s="3">
        <f t="shared" si="72"/>
        <v>1</v>
      </c>
      <c r="C2195" s="1" t="str">
        <f t="shared" si="69"/>
        <v>瞭天长弓</v>
      </c>
      <c r="D2195" s="1" t="s">
        <v>12</v>
      </c>
      <c r="E2195" s="1">
        <v>5</v>
      </c>
      <c r="F2195" s="1">
        <v>5</v>
      </c>
      <c r="G2195" s="1">
        <v>75</v>
      </c>
      <c r="H2195" s="10" t="s">
        <v>2121</v>
      </c>
      <c r="I2195" s="1">
        <f t="shared" si="73"/>
        <v>158000</v>
      </c>
      <c r="J2195" s="1">
        <v>150</v>
      </c>
      <c r="K2195" s="1">
        <v>1500</v>
      </c>
      <c r="L2195" s="1">
        <v>42500</v>
      </c>
      <c r="M2195" s="1" t="str">
        <f t="shared" si="74"/>
        <v>103_4019_4019,104_8038_8038</v>
      </c>
      <c r="N2195" s="1" t="s">
        <v>2453</v>
      </c>
      <c r="O2195" s="1">
        <v>0</v>
      </c>
      <c r="P2195" s="1" t="s">
        <v>2059</v>
      </c>
      <c r="Q2195" s="7" t="str">
        <f t="shared" si="71"/>
        <v>equipment/1226.png</v>
      </c>
      <c r="R2195" s="1">
        <v>0</v>
      </c>
    </row>
    <row r="2196" spans="1:18" ht="14.25" thickBot="1">
      <c r="A2196" s="1">
        <v>50752060</v>
      </c>
      <c r="B2196" s="3">
        <f t="shared" si="72"/>
        <v>1</v>
      </c>
      <c r="C2196" s="1" t="str">
        <f t="shared" si="69"/>
        <v>疾鹰箭袋</v>
      </c>
      <c r="D2196" s="1" t="s">
        <v>13</v>
      </c>
      <c r="E2196" s="1">
        <v>6</v>
      </c>
      <c r="F2196" s="1">
        <v>5</v>
      </c>
      <c r="G2196" s="1">
        <v>75</v>
      </c>
      <c r="H2196" s="10" t="s">
        <v>2121</v>
      </c>
      <c r="I2196" s="1">
        <f t="shared" si="73"/>
        <v>152000</v>
      </c>
      <c r="J2196" s="1">
        <v>150</v>
      </c>
      <c r="K2196" s="1">
        <v>1500</v>
      </c>
      <c r="L2196" s="1">
        <v>40000</v>
      </c>
      <c r="M2196" s="1" t="str">
        <f t="shared" si="74"/>
        <v>108_3945_3945</v>
      </c>
      <c r="N2196" s="1" t="s">
        <v>2453</v>
      </c>
      <c r="O2196" s="1">
        <v>0</v>
      </c>
      <c r="P2196" s="1" t="s">
        <v>2059</v>
      </c>
      <c r="Q2196" s="7" t="str">
        <f t="shared" si="71"/>
        <v>equipment/2219.png</v>
      </c>
      <c r="R2196" s="1">
        <v>0</v>
      </c>
    </row>
    <row r="2197" spans="1:18" ht="14.25" thickBot="1">
      <c r="A2197" s="1">
        <v>50752061</v>
      </c>
      <c r="B2197" s="3">
        <f t="shared" si="72"/>
        <v>1</v>
      </c>
      <c r="C2197" s="1" t="str">
        <f t="shared" ref="C2197:C2255" si="75">C1735</f>
        <v>灵犀箭筒</v>
      </c>
      <c r="D2197" s="1" t="s">
        <v>13</v>
      </c>
      <c r="E2197" s="1">
        <v>6</v>
      </c>
      <c r="F2197" s="1">
        <v>5</v>
      </c>
      <c r="G2197" s="1">
        <v>75</v>
      </c>
      <c r="H2197" s="10" t="s">
        <v>2121</v>
      </c>
      <c r="I2197" s="1">
        <f t="shared" si="73"/>
        <v>158000</v>
      </c>
      <c r="J2197" s="1">
        <v>150</v>
      </c>
      <c r="K2197" s="1">
        <v>1500</v>
      </c>
      <c r="L2197" s="1">
        <v>42500</v>
      </c>
      <c r="M2197" s="1" t="str">
        <f t="shared" si="74"/>
        <v>108_4082_4082</v>
      </c>
      <c r="N2197" s="1" t="s">
        <v>2453</v>
      </c>
      <c r="O2197" s="1">
        <v>0</v>
      </c>
      <c r="P2197" s="1" t="s">
        <v>2059</v>
      </c>
      <c r="Q2197" s="7" t="str">
        <f t="shared" ref="Q2197:Q2260" si="76">Q1735</f>
        <v>equipment/2220.png</v>
      </c>
      <c r="R2197" s="1">
        <v>0</v>
      </c>
    </row>
    <row r="2198" spans="1:18" ht="14.25" thickBot="1">
      <c r="A2198" s="1">
        <v>50753050</v>
      </c>
      <c r="B2198" s="3">
        <f t="shared" si="72"/>
        <v>1</v>
      </c>
      <c r="C2198" s="1" t="str">
        <f t="shared" si="75"/>
        <v>唤海长杖</v>
      </c>
      <c r="D2198" s="1" t="s">
        <v>12</v>
      </c>
      <c r="E2198" s="1">
        <v>5</v>
      </c>
      <c r="F2198" s="1">
        <v>5</v>
      </c>
      <c r="G2198" s="1">
        <v>75</v>
      </c>
      <c r="H2198" s="10" t="s">
        <v>2122</v>
      </c>
      <c r="I2198" s="1">
        <f t="shared" si="73"/>
        <v>152000</v>
      </c>
      <c r="J2198" s="1">
        <v>150</v>
      </c>
      <c r="K2198" s="1">
        <v>1500</v>
      </c>
      <c r="L2198" s="1">
        <v>40000</v>
      </c>
      <c r="M2198" s="1" t="str">
        <f t="shared" si="74"/>
        <v>103_3811_3811,104_7622_7622</v>
      </c>
      <c r="N2198" s="1" t="s">
        <v>2453</v>
      </c>
      <c r="O2198" s="1">
        <v>0</v>
      </c>
      <c r="P2198" s="1" t="s">
        <v>2059</v>
      </c>
      <c r="Q2198" s="7" t="str">
        <f t="shared" si="76"/>
        <v>equipment/1326.png</v>
      </c>
      <c r="R2198" s="1">
        <v>0</v>
      </c>
    </row>
    <row r="2199" spans="1:18" ht="14.25" thickBot="1">
      <c r="A2199" s="1">
        <v>50753051</v>
      </c>
      <c r="B2199" s="3">
        <f t="shared" si="72"/>
        <v>1</v>
      </c>
      <c r="C2199" s="1" t="str">
        <f t="shared" si="75"/>
        <v>奥核之杖</v>
      </c>
      <c r="D2199" s="1" t="s">
        <v>12</v>
      </c>
      <c r="E2199" s="1">
        <v>5</v>
      </c>
      <c r="F2199" s="1">
        <v>5</v>
      </c>
      <c r="G2199" s="1">
        <v>75</v>
      </c>
      <c r="H2199" s="10" t="s">
        <v>2122</v>
      </c>
      <c r="I2199" s="1">
        <f t="shared" si="73"/>
        <v>158000</v>
      </c>
      <c r="J2199" s="1">
        <v>150</v>
      </c>
      <c r="K2199" s="1">
        <v>1500</v>
      </c>
      <c r="L2199" s="1">
        <v>42500</v>
      </c>
      <c r="M2199" s="1" t="str">
        <f t="shared" si="74"/>
        <v>103_4019_4019,104_8038_8038</v>
      </c>
      <c r="N2199" s="1" t="s">
        <v>2453</v>
      </c>
      <c r="O2199" s="1">
        <v>0</v>
      </c>
      <c r="P2199" s="1" t="s">
        <v>2059</v>
      </c>
      <c r="Q2199" s="7" t="str">
        <f t="shared" si="76"/>
        <v>equipment/1325.png</v>
      </c>
      <c r="R2199" s="1">
        <v>0</v>
      </c>
    </row>
    <row r="2200" spans="1:18" ht="14.25" thickBot="1">
      <c r="A2200" s="1">
        <v>50753060</v>
      </c>
      <c r="B2200" s="3">
        <f t="shared" si="72"/>
        <v>1</v>
      </c>
      <c r="C2200" s="1" t="str">
        <f t="shared" si="75"/>
        <v>尘封遗典</v>
      </c>
      <c r="D2200" s="1" t="s">
        <v>13</v>
      </c>
      <c r="E2200" s="1">
        <v>6</v>
      </c>
      <c r="F2200" s="1">
        <v>5</v>
      </c>
      <c r="G2200" s="1">
        <v>75</v>
      </c>
      <c r="H2200" s="10" t="s">
        <v>2122</v>
      </c>
      <c r="I2200" s="1">
        <f t="shared" si="73"/>
        <v>152000</v>
      </c>
      <c r="J2200" s="1">
        <v>150</v>
      </c>
      <c r="K2200" s="1">
        <v>1500</v>
      </c>
      <c r="L2200" s="1">
        <v>40000</v>
      </c>
      <c r="M2200" s="1" t="str">
        <f t="shared" si="74"/>
        <v>102_3350_3350</v>
      </c>
      <c r="N2200" s="1" t="s">
        <v>2453</v>
      </c>
      <c r="O2200" s="1">
        <v>0</v>
      </c>
      <c r="P2200" s="1" t="s">
        <v>2059</v>
      </c>
      <c r="Q2200" s="7" t="str">
        <f t="shared" si="76"/>
        <v>equipment/2319.png</v>
      </c>
      <c r="R2200" s="1">
        <v>0</v>
      </c>
    </row>
    <row r="2201" spans="1:18" ht="14.25" thickBot="1">
      <c r="A2201" s="1">
        <v>50753061</v>
      </c>
      <c r="B2201" s="3">
        <f t="shared" si="72"/>
        <v>1</v>
      </c>
      <c r="C2201" s="1" t="str">
        <f t="shared" si="75"/>
        <v>魔枢秘典</v>
      </c>
      <c r="D2201" s="1" t="s">
        <v>13</v>
      </c>
      <c r="E2201" s="1">
        <v>6</v>
      </c>
      <c r="F2201" s="1">
        <v>5</v>
      </c>
      <c r="G2201" s="1">
        <v>75</v>
      </c>
      <c r="H2201" s="10" t="s">
        <v>2122</v>
      </c>
      <c r="I2201" s="1">
        <f t="shared" si="73"/>
        <v>158000</v>
      </c>
      <c r="J2201" s="1">
        <v>150</v>
      </c>
      <c r="K2201" s="1">
        <v>1500</v>
      </c>
      <c r="L2201" s="1">
        <v>42500</v>
      </c>
      <c r="M2201" s="1" t="str">
        <f t="shared" si="74"/>
        <v>102_3450_3450</v>
      </c>
      <c r="N2201" s="1" t="s">
        <v>2453</v>
      </c>
      <c r="O2201" s="1">
        <v>0</v>
      </c>
      <c r="P2201" s="1" t="s">
        <v>2059</v>
      </c>
      <c r="Q2201" s="7" t="str">
        <f t="shared" si="76"/>
        <v>equipment/2321.png</v>
      </c>
      <c r="R2201" s="1">
        <v>0</v>
      </c>
    </row>
    <row r="2202" spans="1:18" ht="14.25" thickBot="1">
      <c r="A2202" s="1">
        <v>50750040</v>
      </c>
      <c r="B2202" s="3">
        <f t="shared" si="72"/>
        <v>1</v>
      </c>
      <c r="C2202" s="1" t="str">
        <f t="shared" si="75"/>
        <v>守望胸甲</v>
      </c>
      <c r="D2202" s="1" t="s">
        <v>11</v>
      </c>
      <c r="E2202" s="1">
        <v>4</v>
      </c>
      <c r="F2202" s="1">
        <v>5</v>
      </c>
      <c r="G2202" s="1">
        <v>75</v>
      </c>
      <c r="H2202" s="10">
        <v>0</v>
      </c>
      <c r="I2202" s="1">
        <f t="shared" si="73"/>
        <v>152000</v>
      </c>
      <c r="J2202" s="1">
        <v>150</v>
      </c>
      <c r="K2202" s="1">
        <v>1500</v>
      </c>
      <c r="L2202" s="1">
        <v>40000</v>
      </c>
      <c r="M2202" s="1" t="str">
        <f t="shared" si="74"/>
        <v>105_2195_2195</v>
      </c>
      <c r="N2202" s="1" t="s">
        <v>2452</v>
      </c>
      <c r="O2202" s="1">
        <v>0</v>
      </c>
      <c r="P2202" s="1" t="s">
        <v>2059</v>
      </c>
      <c r="Q2202" s="7" t="str">
        <f t="shared" si="76"/>
        <v>equipment/5019.png</v>
      </c>
      <c r="R2202" s="1">
        <v>0</v>
      </c>
    </row>
    <row r="2203" spans="1:18" ht="14.25" thickBot="1">
      <c r="A2203" s="1">
        <v>50750041</v>
      </c>
      <c r="B2203" s="3">
        <f t="shared" si="72"/>
        <v>1</v>
      </c>
      <c r="C2203" s="1" t="str">
        <f t="shared" si="75"/>
        <v>冥铸之铠</v>
      </c>
      <c r="D2203" s="1" t="s">
        <v>11</v>
      </c>
      <c r="E2203" s="1">
        <v>4</v>
      </c>
      <c r="F2203" s="1">
        <v>5</v>
      </c>
      <c r="G2203" s="1">
        <v>75</v>
      </c>
      <c r="H2203" s="10">
        <v>0</v>
      </c>
      <c r="I2203" s="1">
        <f t="shared" si="73"/>
        <v>158000</v>
      </c>
      <c r="J2203" s="1">
        <v>150</v>
      </c>
      <c r="K2203" s="1">
        <v>1500</v>
      </c>
      <c r="L2203" s="1">
        <v>42500</v>
      </c>
      <c r="M2203" s="1" t="str">
        <f t="shared" si="74"/>
        <v>105_2346_2346</v>
      </c>
      <c r="N2203" s="1" t="s">
        <v>2452</v>
      </c>
      <c r="O2203" s="1">
        <v>0</v>
      </c>
      <c r="P2203" s="1" t="s">
        <v>2059</v>
      </c>
      <c r="Q2203" s="7" t="str">
        <f t="shared" si="76"/>
        <v>equipment/5020.png</v>
      </c>
      <c r="R2203" s="1">
        <v>0</v>
      </c>
    </row>
    <row r="2204" spans="1:18" ht="14.25" thickBot="1">
      <c r="A2204" s="1">
        <v>50750070</v>
      </c>
      <c r="B2204" s="3">
        <f t="shared" si="72"/>
        <v>1</v>
      </c>
      <c r="C2204" s="1" t="str">
        <f t="shared" si="75"/>
        <v>怜悯护腿</v>
      </c>
      <c r="D2204" s="1" t="s">
        <v>14</v>
      </c>
      <c r="E2204" s="1">
        <v>7</v>
      </c>
      <c r="F2204" s="1">
        <v>5</v>
      </c>
      <c r="G2204" s="1">
        <v>75</v>
      </c>
      <c r="H2204" s="10">
        <v>0</v>
      </c>
      <c r="I2204" s="1">
        <f t="shared" si="73"/>
        <v>152000</v>
      </c>
      <c r="J2204" s="1">
        <v>150</v>
      </c>
      <c r="K2204" s="1">
        <v>1500</v>
      </c>
      <c r="L2204" s="1">
        <v>40000</v>
      </c>
      <c r="M2204" s="1" t="str">
        <f t="shared" si="74"/>
        <v>105_2195_2195</v>
      </c>
      <c r="N2204" s="1" t="s">
        <v>2452</v>
      </c>
      <c r="O2204" s="1">
        <v>0</v>
      </c>
      <c r="P2204" s="1" t="s">
        <v>2059</v>
      </c>
      <c r="Q2204" s="7" t="str">
        <f t="shared" si="76"/>
        <v>equipment/7019.png</v>
      </c>
      <c r="R2204" s="1">
        <v>0</v>
      </c>
    </row>
    <row r="2205" spans="1:18" ht="14.25" thickBot="1">
      <c r="A2205" s="1">
        <v>50750071</v>
      </c>
      <c r="B2205" s="3">
        <f t="shared" si="72"/>
        <v>1</v>
      </c>
      <c r="C2205" s="1" t="str">
        <f t="shared" si="75"/>
        <v>魔痕护腿</v>
      </c>
      <c r="D2205" s="1" t="s">
        <v>14</v>
      </c>
      <c r="E2205" s="1">
        <v>7</v>
      </c>
      <c r="F2205" s="1">
        <v>5</v>
      </c>
      <c r="G2205" s="1">
        <v>75</v>
      </c>
      <c r="H2205" s="10">
        <v>0</v>
      </c>
      <c r="I2205" s="1">
        <f t="shared" si="73"/>
        <v>158000</v>
      </c>
      <c r="J2205" s="1">
        <v>150</v>
      </c>
      <c r="K2205" s="1">
        <v>1500</v>
      </c>
      <c r="L2205" s="1">
        <v>42500</v>
      </c>
      <c r="M2205" s="1" t="str">
        <f t="shared" si="74"/>
        <v>105_2346_2346</v>
      </c>
      <c r="N2205" s="1" t="s">
        <v>2452</v>
      </c>
      <c r="O2205" s="1">
        <v>0</v>
      </c>
      <c r="P2205" s="1" t="s">
        <v>2059</v>
      </c>
      <c r="Q2205" s="7" t="str">
        <f t="shared" si="76"/>
        <v>equipment/7020.png</v>
      </c>
      <c r="R2205" s="1">
        <v>0</v>
      </c>
    </row>
    <row r="2206" spans="1:18" ht="14.25" thickBot="1">
      <c r="A2206" s="1">
        <v>50800010</v>
      </c>
      <c r="B2206" s="3">
        <f t="shared" si="72"/>
        <v>1</v>
      </c>
      <c r="C2206" s="1" t="str">
        <f t="shared" si="75"/>
        <v>浴火战盔</v>
      </c>
      <c r="D2206" s="1" t="s">
        <v>8</v>
      </c>
      <c r="E2206" s="1">
        <v>1</v>
      </c>
      <c r="F2206" s="1">
        <v>5</v>
      </c>
      <c r="G2206" s="1">
        <v>80</v>
      </c>
      <c r="H2206" s="10">
        <v>0</v>
      </c>
      <c r="I2206" s="1">
        <f t="shared" si="73"/>
        <v>164000</v>
      </c>
      <c r="J2206" s="1">
        <v>150</v>
      </c>
      <c r="K2206" s="1">
        <v>1500</v>
      </c>
      <c r="L2206" s="1">
        <v>42500</v>
      </c>
      <c r="M2206" s="1" t="str">
        <f t="shared" si="74"/>
        <v>106_3066_3066</v>
      </c>
      <c r="N2206" s="1" t="s">
        <v>2454</v>
      </c>
      <c r="O2206" s="1">
        <v>0</v>
      </c>
      <c r="P2206" s="1" t="s">
        <v>2059</v>
      </c>
      <c r="Q2206" s="7" t="str">
        <f t="shared" si="76"/>
        <v>equipment/3015.png</v>
      </c>
      <c r="R2206" s="1">
        <v>0</v>
      </c>
    </row>
    <row r="2207" spans="1:18" ht="14.25" thickBot="1">
      <c r="A2207" s="1">
        <v>50800020</v>
      </c>
      <c r="B2207" s="3">
        <f t="shared" si="72"/>
        <v>1</v>
      </c>
      <c r="C2207" s="1" t="str">
        <f t="shared" si="75"/>
        <v>联合徽记</v>
      </c>
      <c r="D2207" s="1" t="s">
        <v>9</v>
      </c>
      <c r="E2207" s="1">
        <v>2</v>
      </c>
      <c r="F2207" s="1">
        <v>5</v>
      </c>
      <c r="G2207" s="1">
        <v>80</v>
      </c>
      <c r="H2207" s="10">
        <v>0</v>
      </c>
      <c r="I2207" s="1">
        <f t="shared" si="73"/>
        <v>164000</v>
      </c>
      <c r="J2207" s="1">
        <v>150</v>
      </c>
      <c r="K2207" s="1">
        <v>1500</v>
      </c>
      <c r="L2207" s="1">
        <v>42500</v>
      </c>
      <c r="M2207" s="1" t="str">
        <f t="shared" si="74"/>
        <v>102_1900_1900</v>
      </c>
      <c r="N2207" s="1" t="s">
        <v>2454</v>
      </c>
      <c r="O2207" s="1">
        <v>0</v>
      </c>
      <c r="P2207" s="1" t="s">
        <v>2059</v>
      </c>
      <c r="Q2207" s="7" t="str">
        <f t="shared" si="76"/>
        <v>equipment/14014.png</v>
      </c>
      <c r="R2207" s="1">
        <v>0</v>
      </c>
    </row>
    <row r="2208" spans="1:18" ht="14.25" thickBot="1">
      <c r="A2208" s="1">
        <v>50800030</v>
      </c>
      <c r="B2208" s="3">
        <f t="shared" si="72"/>
        <v>1</v>
      </c>
      <c r="C2208" s="1" t="str">
        <f t="shared" si="75"/>
        <v>怒岩腰带</v>
      </c>
      <c r="D2208" s="1" t="s">
        <v>10</v>
      </c>
      <c r="E2208" s="1">
        <v>3</v>
      </c>
      <c r="F2208" s="1">
        <v>5</v>
      </c>
      <c r="G2208" s="1">
        <v>80</v>
      </c>
      <c r="H2208" s="10">
        <v>0</v>
      </c>
      <c r="I2208" s="1">
        <f t="shared" si="73"/>
        <v>164000</v>
      </c>
      <c r="J2208" s="1">
        <v>150</v>
      </c>
      <c r="K2208" s="1">
        <v>1500</v>
      </c>
      <c r="L2208" s="1">
        <v>42500</v>
      </c>
      <c r="M2208" s="1" t="str">
        <f t="shared" si="74"/>
        <v>101_24080_24080</v>
      </c>
      <c r="N2208" s="1" t="s">
        <v>2454</v>
      </c>
      <c r="O2208" s="1">
        <v>0</v>
      </c>
      <c r="P2208" s="1" t="s">
        <v>2059</v>
      </c>
      <c r="Q2208" s="7" t="str">
        <f t="shared" si="76"/>
        <v>equipment/6015.png</v>
      </c>
      <c r="R2208" s="1">
        <v>0</v>
      </c>
    </row>
    <row r="2209" spans="1:18" ht="14.25" thickBot="1">
      <c r="A2209" s="1">
        <v>50800080</v>
      </c>
      <c r="B2209" s="3">
        <f t="shared" si="72"/>
        <v>1</v>
      </c>
      <c r="C2209" s="1" t="str">
        <f t="shared" si="75"/>
        <v>缚法之靴</v>
      </c>
      <c r="D2209" s="1" t="s">
        <v>15</v>
      </c>
      <c r="E2209" s="1">
        <v>8</v>
      </c>
      <c r="F2209" s="1">
        <v>5</v>
      </c>
      <c r="G2209" s="1">
        <v>80</v>
      </c>
      <c r="H2209" s="10">
        <v>0</v>
      </c>
      <c r="I2209" s="1">
        <f t="shared" si="73"/>
        <v>164000</v>
      </c>
      <c r="J2209" s="1">
        <v>150</v>
      </c>
      <c r="K2209" s="1">
        <v>1500</v>
      </c>
      <c r="L2209" s="1">
        <v>42500</v>
      </c>
      <c r="M2209" s="1" t="str">
        <f t="shared" si="74"/>
        <v>110_568_568</v>
      </c>
      <c r="N2209" s="1" t="s">
        <v>2454</v>
      </c>
      <c r="O2209" s="1">
        <v>0</v>
      </c>
      <c r="P2209" s="1" t="s">
        <v>2059</v>
      </c>
      <c r="Q2209" s="7" t="str">
        <f t="shared" si="76"/>
        <v>equipment/8015.png</v>
      </c>
      <c r="R2209" s="1">
        <v>0</v>
      </c>
    </row>
    <row r="2210" spans="1:18" ht="14.25" thickBot="1">
      <c r="A2210" s="1">
        <v>50800090</v>
      </c>
      <c r="B2210" s="3">
        <f t="shared" si="72"/>
        <v>1</v>
      </c>
      <c r="C2210" s="1" t="str">
        <f t="shared" si="75"/>
        <v>梦境护手</v>
      </c>
      <c r="D2210" s="1" t="s">
        <v>16</v>
      </c>
      <c r="E2210" s="1">
        <v>9</v>
      </c>
      <c r="F2210" s="1">
        <v>5</v>
      </c>
      <c r="G2210" s="1">
        <v>80</v>
      </c>
      <c r="H2210" s="10">
        <v>0</v>
      </c>
      <c r="I2210" s="1">
        <f t="shared" si="73"/>
        <v>164000</v>
      </c>
      <c r="J2210" s="1">
        <v>150</v>
      </c>
      <c r="K2210" s="1">
        <v>1500</v>
      </c>
      <c r="L2210" s="1">
        <v>42500</v>
      </c>
      <c r="M2210" s="1" t="str">
        <f t="shared" si="74"/>
        <v>108_5067_5067</v>
      </c>
      <c r="N2210" s="1" t="s">
        <v>2454</v>
      </c>
      <c r="O2210" s="1">
        <v>0</v>
      </c>
      <c r="P2210" s="1" t="s">
        <v>2059</v>
      </c>
      <c r="Q2210" s="7" t="str">
        <f t="shared" si="76"/>
        <v>equipment/10016.png</v>
      </c>
      <c r="R2210" s="1">
        <v>0</v>
      </c>
    </row>
    <row r="2211" spans="1:18" ht="14.25" thickBot="1">
      <c r="A2211" s="1">
        <v>50800100</v>
      </c>
      <c r="B2211" s="3">
        <f t="shared" si="72"/>
        <v>1</v>
      </c>
      <c r="C2211" s="1" t="str">
        <f t="shared" si="75"/>
        <v>亏蚀项链</v>
      </c>
      <c r="D2211" s="1" t="s">
        <v>17</v>
      </c>
      <c r="E2211" s="1">
        <v>10</v>
      </c>
      <c r="F2211" s="1">
        <v>5</v>
      </c>
      <c r="G2211" s="1">
        <v>80</v>
      </c>
      <c r="H2211" s="10">
        <v>0</v>
      </c>
      <c r="I2211" s="1">
        <f t="shared" si="73"/>
        <v>164000</v>
      </c>
      <c r="J2211" s="1">
        <v>150</v>
      </c>
      <c r="K2211" s="1">
        <v>1500</v>
      </c>
      <c r="L2211" s="1">
        <v>42500</v>
      </c>
      <c r="M2211" s="1" t="str">
        <f t="shared" si="74"/>
        <v>107_3066_3066</v>
      </c>
      <c r="N2211" s="1" t="s">
        <v>2454</v>
      </c>
      <c r="O2211" s="1">
        <v>0</v>
      </c>
      <c r="P2211" s="1" t="s">
        <v>2059</v>
      </c>
      <c r="Q2211" s="7" t="str">
        <f t="shared" si="76"/>
        <v>equipment/12015.png</v>
      </c>
      <c r="R2211" s="1">
        <v>0</v>
      </c>
    </row>
    <row r="2212" spans="1:18" ht="14.25" thickBot="1">
      <c r="A2212" s="1">
        <v>50801050</v>
      </c>
      <c r="B2212" s="3">
        <f t="shared" si="72"/>
        <v>1</v>
      </c>
      <c r="C2212" s="1" t="str">
        <f t="shared" si="75"/>
        <v>死寂之剑</v>
      </c>
      <c r="D2212" s="1" t="s">
        <v>12</v>
      </c>
      <c r="E2212" s="1">
        <v>5</v>
      </c>
      <c r="F2212" s="1">
        <v>5</v>
      </c>
      <c r="G2212" s="1">
        <v>80</v>
      </c>
      <c r="H2212" s="10" t="s">
        <v>2120</v>
      </c>
      <c r="I2212" s="1">
        <f t="shared" si="73"/>
        <v>164000</v>
      </c>
      <c r="J2212" s="1">
        <v>150</v>
      </c>
      <c r="K2212" s="1">
        <v>1500</v>
      </c>
      <c r="L2212" s="1">
        <v>42500</v>
      </c>
      <c r="M2212" s="1" t="str">
        <f t="shared" si="74"/>
        <v>103_4331_4331,104_8662_8662</v>
      </c>
      <c r="N2212" s="1" t="s">
        <v>2455</v>
      </c>
      <c r="O2212" s="1">
        <v>0</v>
      </c>
      <c r="P2212" s="1" t="s">
        <v>2059</v>
      </c>
      <c r="Q2212" s="7" t="str">
        <f t="shared" si="76"/>
        <v>equipment/1130.png</v>
      </c>
      <c r="R2212" s="1">
        <v>0</v>
      </c>
    </row>
    <row r="2213" spans="1:18" ht="14.25" thickBot="1">
      <c r="A2213" s="1">
        <v>50801051</v>
      </c>
      <c r="B2213" s="3">
        <f t="shared" si="72"/>
        <v>1</v>
      </c>
      <c r="C2213" s="1" t="str">
        <f t="shared" si="75"/>
        <v>千魂之刃</v>
      </c>
      <c r="D2213" s="1" t="s">
        <v>12</v>
      </c>
      <c r="E2213" s="1">
        <v>5</v>
      </c>
      <c r="F2213" s="1">
        <v>5</v>
      </c>
      <c r="G2213" s="1">
        <v>80</v>
      </c>
      <c r="H2213" s="10" t="s">
        <v>2120</v>
      </c>
      <c r="I2213" s="1">
        <f t="shared" si="73"/>
        <v>170000</v>
      </c>
      <c r="J2213" s="1">
        <v>150</v>
      </c>
      <c r="K2213" s="1">
        <v>1500</v>
      </c>
      <c r="L2213" s="1">
        <v>45000</v>
      </c>
      <c r="M2213" s="1" t="str">
        <f t="shared" si="74"/>
        <v>103_4552_4552,104_9105_9105</v>
      </c>
      <c r="N2213" s="1" t="s">
        <v>2455</v>
      </c>
      <c r="O2213" s="1">
        <v>0</v>
      </c>
      <c r="P2213" s="1" t="s">
        <v>2059</v>
      </c>
      <c r="Q2213" s="7" t="str">
        <f t="shared" si="76"/>
        <v>equipment/1125.png</v>
      </c>
      <c r="R2213" s="1">
        <v>0</v>
      </c>
    </row>
    <row r="2214" spans="1:18" ht="14.25" thickBot="1">
      <c r="A2214" s="1">
        <v>50801060</v>
      </c>
      <c r="B2214" s="3">
        <f t="shared" si="72"/>
        <v>1</v>
      </c>
      <c r="C2214" s="1" t="str">
        <f t="shared" si="75"/>
        <v>折戟之盾</v>
      </c>
      <c r="D2214" s="1" t="s">
        <v>13</v>
      </c>
      <c r="E2214" s="1">
        <v>6</v>
      </c>
      <c r="F2214" s="1">
        <v>5</v>
      </c>
      <c r="G2214" s="1">
        <v>80</v>
      </c>
      <c r="H2214" s="10" t="s">
        <v>2120</v>
      </c>
      <c r="I2214" s="1">
        <f t="shared" si="73"/>
        <v>164000</v>
      </c>
      <c r="J2214" s="1">
        <v>150</v>
      </c>
      <c r="K2214" s="1">
        <v>1500</v>
      </c>
      <c r="L2214" s="1">
        <v>42500</v>
      </c>
      <c r="M2214" s="1" t="str">
        <f t="shared" si="74"/>
        <v>105_4288_4288</v>
      </c>
      <c r="N2214" s="1" t="s">
        <v>2455</v>
      </c>
      <c r="O2214" s="1">
        <v>0</v>
      </c>
      <c r="P2214" s="1" t="s">
        <v>2059</v>
      </c>
      <c r="Q2214" s="7" t="str">
        <f t="shared" si="76"/>
        <v>equipment/2122.png</v>
      </c>
      <c r="R2214" s="1">
        <v>0</v>
      </c>
    </row>
    <row r="2215" spans="1:18" ht="14.25" thickBot="1">
      <c r="A2215" s="1">
        <v>50801061</v>
      </c>
      <c r="B2215" s="3">
        <f t="shared" si="72"/>
        <v>1</v>
      </c>
      <c r="C2215" s="1" t="str">
        <f t="shared" si="75"/>
        <v>古石壁垒</v>
      </c>
      <c r="D2215" s="1" t="s">
        <v>13</v>
      </c>
      <c r="E2215" s="1">
        <v>6</v>
      </c>
      <c r="F2215" s="1">
        <v>5</v>
      </c>
      <c r="G2215" s="1">
        <v>80</v>
      </c>
      <c r="H2215" s="10" t="s">
        <v>2120</v>
      </c>
      <c r="I2215" s="1">
        <f t="shared" si="73"/>
        <v>170000</v>
      </c>
      <c r="J2215" s="1">
        <v>150</v>
      </c>
      <c r="K2215" s="1">
        <v>1500</v>
      </c>
      <c r="L2215" s="1">
        <v>45000</v>
      </c>
      <c r="M2215" s="1" t="str">
        <f t="shared" si="74"/>
        <v>105_4419_4419</v>
      </c>
      <c r="N2215" s="1" t="s">
        <v>2455</v>
      </c>
      <c r="O2215" s="1">
        <v>0</v>
      </c>
      <c r="P2215" s="1" t="s">
        <v>2059</v>
      </c>
      <c r="Q2215" s="7" t="str">
        <f t="shared" si="76"/>
        <v>equipment/2120.png</v>
      </c>
      <c r="R2215" s="1">
        <v>0</v>
      </c>
    </row>
    <row r="2216" spans="1:18" ht="14.25" thickBot="1">
      <c r="A2216" s="1">
        <v>50802050</v>
      </c>
      <c r="B2216" s="3">
        <f t="shared" si="72"/>
        <v>1</v>
      </c>
      <c r="C2216" s="1" t="str">
        <f t="shared" si="75"/>
        <v>龙骨弯弓</v>
      </c>
      <c r="D2216" s="1" t="s">
        <v>12</v>
      </c>
      <c r="E2216" s="1">
        <v>5</v>
      </c>
      <c r="F2216" s="1">
        <v>5</v>
      </c>
      <c r="G2216" s="1">
        <v>80</v>
      </c>
      <c r="H2216" s="10" t="s">
        <v>2121</v>
      </c>
      <c r="I2216" s="1">
        <f t="shared" si="73"/>
        <v>164000</v>
      </c>
      <c r="J2216" s="1">
        <v>150</v>
      </c>
      <c r="K2216" s="1">
        <v>1500</v>
      </c>
      <c r="L2216" s="1">
        <v>42500</v>
      </c>
      <c r="M2216" s="1" t="str">
        <f t="shared" si="74"/>
        <v>103_4331_4331,104_8662_8662</v>
      </c>
      <c r="N2216" s="1" t="s">
        <v>2455</v>
      </c>
      <c r="O2216" s="1">
        <v>0</v>
      </c>
      <c r="P2216" s="1" t="s">
        <v>2059</v>
      </c>
      <c r="Q2216" s="7" t="str">
        <f t="shared" si="76"/>
        <v>equipment/1227.png</v>
      </c>
      <c r="R2216" s="1">
        <v>0</v>
      </c>
    </row>
    <row r="2217" spans="1:18" ht="14.25" thickBot="1">
      <c r="A2217" s="1">
        <v>50802051</v>
      </c>
      <c r="B2217" s="3">
        <f t="shared" si="72"/>
        <v>1</v>
      </c>
      <c r="C2217" s="1" t="str">
        <f t="shared" si="75"/>
        <v>川流长弓</v>
      </c>
      <c r="D2217" s="1" t="s">
        <v>12</v>
      </c>
      <c r="E2217" s="1">
        <v>5</v>
      </c>
      <c r="F2217" s="1">
        <v>5</v>
      </c>
      <c r="G2217" s="1">
        <v>80</v>
      </c>
      <c r="H2217" s="10" t="s">
        <v>2121</v>
      </c>
      <c r="I2217" s="1">
        <f t="shared" si="73"/>
        <v>170000</v>
      </c>
      <c r="J2217" s="1">
        <v>150</v>
      </c>
      <c r="K2217" s="1">
        <v>1500</v>
      </c>
      <c r="L2217" s="1">
        <v>45000</v>
      </c>
      <c r="M2217" s="1" t="str">
        <f t="shared" si="74"/>
        <v>103_4552_4552,104_9105_9105</v>
      </c>
      <c r="N2217" s="1" t="s">
        <v>2455</v>
      </c>
      <c r="O2217" s="1">
        <v>0</v>
      </c>
      <c r="P2217" s="1" t="s">
        <v>2059</v>
      </c>
      <c r="Q2217" s="7" t="str">
        <f t="shared" si="76"/>
        <v>equipment/1229.png</v>
      </c>
      <c r="R2217" s="1">
        <v>0</v>
      </c>
    </row>
    <row r="2218" spans="1:18" ht="14.25" thickBot="1">
      <c r="A2218" s="1">
        <v>50802060</v>
      </c>
      <c r="B2218" s="3">
        <f t="shared" si="72"/>
        <v>1</v>
      </c>
      <c r="C2218" s="1" t="str">
        <f t="shared" si="75"/>
        <v>荒原箭袋</v>
      </c>
      <c r="D2218" s="1" t="s">
        <v>13</v>
      </c>
      <c r="E2218" s="1">
        <v>6</v>
      </c>
      <c r="F2218" s="1">
        <v>5</v>
      </c>
      <c r="G2218" s="1">
        <v>80</v>
      </c>
      <c r="H2218" s="10" t="s">
        <v>2121</v>
      </c>
      <c r="I2218" s="1">
        <f t="shared" si="73"/>
        <v>164000</v>
      </c>
      <c r="J2218" s="1">
        <v>150</v>
      </c>
      <c r="K2218" s="1">
        <v>1500</v>
      </c>
      <c r="L2218" s="1">
        <v>42500</v>
      </c>
      <c r="M2218" s="1" t="str">
        <f t="shared" si="74"/>
        <v>108_4288_4288</v>
      </c>
      <c r="N2218" s="1" t="s">
        <v>2455</v>
      </c>
      <c r="O2218" s="1">
        <v>0</v>
      </c>
      <c r="P2218" s="1" t="s">
        <v>2059</v>
      </c>
      <c r="Q2218" s="7" t="str">
        <f t="shared" si="76"/>
        <v>equipment/2222.png</v>
      </c>
      <c r="R2218" s="1">
        <v>0</v>
      </c>
    </row>
    <row r="2219" spans="1:18" ht="14.25" thickBot="1">
      <c r="A2219" s="1">
        <v>50802061</v>
      </c>
      <c r="B2219" s="3">
        <f t="shared" si="72"/>
        <v>1</v>
      </c>
      <c r="C2219" s="1" t="str">
        <f t="shared" si="75"/>
        <v>追逝箭袋</v>
      </c>
      <c r="D2219" s="1" t="s">
        <v>13</v>
      </c>
      <c r="E2219" s="1">
        <v>6</v>
      </c>
      <c r="F2219" s="1">
        <v>5</v>
      </c>
      <c r="G2219" s="1">
        <v>80</v>
      </c>
      <c r="H2219" s="10" t="s">
        <v>2121</v>
      </c>
      <c r="I2219" s="1">
        <f t="shared" si="73"/>
        <v>170000</v>
      </c>
      <c r="J2219" s="1">
        <v>150</v>
      </c>
      <c r="K2219" s="1">
        <v>1500</v>
      </c>
      <c r="L2219" s="1">
        <v>45000</v>
      </c>
      <c r="M2219" s="1" t="str">
        <f t="shared" si="74"/>
        <v>108_4419_4419</v>
      </c>
      <c r="N2219" s="1" t="s">
        <v>2455</v>
      </c>
      <c r="O2219" s="1">
        <v>0</v>
      </c>
      <c r="P2219" s="1" t="s">
        <v>2059</v>
      </c>
      <c r="Q2219" s="7" t="str">
        <f t="shared" si="76"/>
        <v>equipment/2223.png</v>
      </c>
      <c r="R2219" s="1">
        <v>0</v>
      </c>
    </row>
    <row r="2220" spans="1:18" ht="14.25" thickBot="1">
      <c r="A2220" s="1">
        <v>50803050</v>
      </c>
      <c r="B2220" s="3">
        <f t="shared" si="72"/>
        <v>1</v>
      </c>
      <c r="C2220" s="1" t="str">
        <f t="shared" si="75"/>
        <v>显像符杖</v>
      </c>
      <c r="D2220" s="1" t="s">
        <v>12</v>
      </c>
      <c r="E2220" s="1">
        <v>5</v>
      </c>
      <c r="F2220" s="1">
        <v>5</v>
      </c>
      <c r="G2220" s="1">
        <v>80</v>
      </c>
      <c r="H2220" s="10" t="s">
        <v>2122</v>
      </c>
      <c r="I2220" s="1">
        <f t="shared" si="73"/>
        <v>164000</v>
      </c>
      <c r="J2220" s="1">
        <v>150</v>
      </c>
      <c r="K2220" s="1">
        <v>1500</v>
      </c>
      <c r="L2220" s="1">
        <v>42500</v>
      </c>
      <c r="M2220" s="1" t="str">
        <f t="shared" si="74"/>
        <v>103_4331_4331,104_8662_8662</v>
      </c>
      <c r="N2220" s="1" t="s">
        <v>2455</v>
      </c>
      <c r="O2220" s="1">
        <v>0</v>
      </c>
      <c r="P2220" s="1" t="s">
        <v>2059</v>
      </c>
      <c r="Q2220" s="7" t="str">
        <f t="shared" si="76"/>
        <v>equipment/1327.png</v>
      </c>
      <c r="R2220" s="1">
        <v>0</v>
      </c>
    </row>
    <row r="2221" spans="1:18" ht="14.25" thickBot="1">
      <c r="A2221" s="1">
        <v>50803051</v>
      </c>
      <c r="B2221" s="3">
        <f t="shared" si="72"/>
        <v>1</v>
      </c>
      <c r="C2221" s="1" t="str">
        <f t="shared" si="75"/>
        <v>幻灭之杖</v>
      </c>
      <c r="D2221" s="1" t="s">
        <v>12</v>
      </c>
      <c r="E2221" s="1">
        <v>5</v>
      </c>
      <c r="F2221" s="1">
        <v>5</v>
      </c>
      <c r="G2221" s="1">
        <v>80</v>
      </c>
      <c r="H2221" s="10" t="s">
        <v>2122</v>
      </c>
      <c r="I2221" s="1">
        <f t="shared" si="73"/>
        <v>170000</v>
      </c>
      <c r="J2221" s="1">
        <v>150</v>
      </c>
      <c r="K2221" s="1">
        <v>1500</v>
      </c>
      <c r="L2221" s="1">
        <v>45000</v>
      </c>
      <c r="M2221" s="1" t="str">
        <f t="shared" si="74"/>
        <v>103_4552_4552,104_9105_9105</v>
      </c>
      <c r="N2221" s="1" t="s">
        <v>2455</v>
      </c>
      <c r="O2221" s="1">
        <v>0</v>
      </c>
      <c r="P2221" s="1" t="s">
        <v>2059</v>
      </c>
      <c r="Q2221" s="7" t="str">
        <f t="shared" si="76"/>
        <v>equipment/1329.png</v>
      </c>
      <c r="R2221" s="1">
        <v>0</v>
      </c>
    </row>
    <row r="2222" spans="1:18" ht="14.25" thickBot="1">
      <c r="A2222" s="1">
        <v>50803060</v>
      </c>
      <c r="B2222" s="3">
        <f t="shared" si="72"/>
        <v>1</v>
      </c>
      <c r="C2222" s="1" t="str">
        <f t="shared" si="75"/>
        <v>王国古书</v>
      </c>
      <c r="D2222" s="1" t="s">
        <v>13</v>
      </c>
      <c r="E2222" s="1">
        <v>6</v>
      </c>
      <c r="F2222" s="1">
        <v>5</v>
      </c>
      <c r="G2222" s="1">
        <v>80</v>
      </c>
      <c r="H2222" s="10" t="s">
        <v>2122</v>
      </c>
      <c r="I2222" s="1">
        <f t="shared" si="73"/>
        <v>164000</v>
      </c>
      <c r="J2222" s="1">
        <v>150</v>
      </c>
      <c r="K2222" s="1">
        <v>1500</v>
      </c>
      <c r="L2222" s="1">
        <v>42500</v>
      </c>
      <c r="M2222" s="1" t="str">
        <f t="shared" si="74"/>
        <v>102_3610_3610</v>
      </c>
      <c r="N2222" s="1" t="s">
        <v>2455</v>
      </c>
      <c r="O2222" s="1">
        <v>0</v>
      </c>
      <c r="P2222" s="1" t="s">
        <v>2059</v>
      </c>
      <c r="Q2222" s="7" t="str">
        <f t="shared" si="76"/>
        <v>equipment/2320.png</v>
      </c>
      <c r="R2222" s="1">
        <v>0</v>
      </c>
    </row>
    <row r="2223" spans="1:18" ht="14.25" thickBot="1">
      <c r="A2223" s="1">
        <v>50803061</v>
      </c>
      <c r="B2223" s="3">
        <f t="shared" si="72"/>
        <v>1</v>
      </c>
      <c r="C2223" s="1" t="str">
        <f t="shared" si="75"/>
        <v>上古纪事</v>
      </c>
      <c r="D2223" s="1" t="s">
        <v>13</v>
      </c>
      <c r="E2223" s="1">
        <v>6</v>
      </c>
      <c r="F2223" s="1">
        <v>5</v>
      </c>
      <c r="G2223" s="1">
        <v>80</v>
      </c>
      <c r="H2223" s="10" t="s">
        <v>2122</v>
      </c>
      <c r="I2223" s="1">
        <f t="shared" si="73"/>
        <v>170000</v>
      </c>
      <c r="J2223" s="1">
        <v>150</v>
      </c>
      <c r="K2223" s="1">
        <v>1500</v>
      </c>
      <c r="L2223" s="1">
        <v>45000</v>
      </c>
      <c r="M2223" s="1" t="str">
        <f t="shared" si="74"/>
        <v>102_3680_3680</v>
      </c>
      <c r="N2223" s="1" t="s">
        <v>2455</v>
      </c>
      <c r="O2223" s="1">
        <v>0</v>
      </c>
      <c r="P2223" s="1" t="s">
        <v>2059</v>
      </c>
      <c r="Q2223" s="7" t="str">
        <f t="shared" si="76"/>
        <v>equipment/2322.png</v>
      </c>
      <c r="R2223" s="1">
        <v>0</v>
      </c>
    </row>
    <row r="2224" spans="1:18" ht="14.25" thickBot="1">
      <c r="A2224" s="1">
        <v>50800040</v>
      </c>
      <c r="B2224" s="3">
        <f t="shared" si="72"/>
        <v>1</v>
      </c>
      <c r="C2224" s="1" t="str">
        <f t="shared" si="75"/>
        <v>复仇战甲</v>
      </c>
      <c r="D2224" s="1" t="s">
        <v>11</v>
      </c>
      <c r="E2224" s="1">
        <v>4</v>
      </c>
      <c r="F2224" s="1">
        <v>5</v>
      </c>
      <c r="G2224" s="1">
        <v>80</v>
      </c>
      <c r="H2224" s="10">
        <v>0</v>
      </c>
      <c r="I2224" s="1">
        <f t="shared" si="73"/>
        <v>164000</v>
      </c>
      <c r="J2224" s="1">
        <v>150</v>
      </c>
      <c r="K2224" s="1">
        <v>1500</v>
      </c>
      <c r="L2224" s="1">
        <v>42500</v>
      </c>
      <c r="M2224" s="1" t="str">
        <f t="shared" si="74"/>
        <v>105_2573_2573</v>
      </c>
      <c r="N2224" s="1" t="s">
        <v>2454</v>
      </c>
      <c r="O2224" s="1">
        <v>0</v>
      </c>
      <c r="P2224" s="1" t="s">
        <v>2059</v>
      </c>
      <c r="Q2224" s="7" t="str">
        <f t="shared" si="76"/>
        <v>equipment/5021.png</v>
      </c>
      <c r="R2224" s="1">
        <v>0</v>
      </c>
    </row>
    <row r="2225" spans="1:18" ht="14.25" thickBot="1">
      <c r="A2225" s="1">
        <v>50800041</v>
      </c>
      <c r="B2225" s="3">
        <f t="shared" si="72"/>
        <v>1</v>
      </c>
      <c r="C2225" s="1" t="str">
        <f t="shared" si="75"/>
        <v>预兆胸甲</v>
      </c>
      <c r="D2225" s="1" t="s">
        <v>11</v>
      </c>
      <c r="E2225" s="1">
        <v>4</v>
      </c>
      <c r="F2225" s="1">
        <v>5</v>
      </c>
      <c r="G2225" s="1">
        <v>80</v>
      </c>
      <c r="H2225" s="10">
        <v>0</v>
      </c>
      <c r="I2225" s="1">
        <f t="shared" si="73"/>
        <v>170000</v>
      </c>
      <c r="J2225" s="1">
        <v>150</v>
      </c>
      <c r="K2225" s="1">
        <v>1500</v>
      </c>
      <c r="L2225" s="1">
        <v>45000</v>
      </c>
      <c r="M2225" s="1" t="str">
        <f t="shared" si="74"/>
        <v>105_2739_2739</v>
      </c>
      <c r="N2225" s="1" t="s">
        <v>2454</v>
      </c>
      <c r="O2225" s="1">
        <v>0</v>
      </c>
      <c r="P2225" s="1" t="s">
        <v>2059</v>
      </c>
      <c r="Q2225" s="7" t="str">
        <f t="shared" si="76"/>
        <v>equipment/5022.png</v>
      </c>
      <c r="R2225" s="1">
        <v>0</v>
      </c>
    </row>
    <row r="2226" spans="1:18" ht="14.25" thickBot="1">
      <c r="A2226" s="1">
        <v>50800070</v>
      </c>
      <c r="B2226" s="3">
        <f t="shared" si="72"/>
        <v>1</v>
      </c>
      <c r="C2226" s="1" t="str">
        <f t="shared" si="75"/>
        <v>迷失护腿</v>
      </c>
      <c r="D2226" s="1" t="s">
        <v>14</v>
      </c>
      <c r="E2226" s="1">
        <v>7</v>
      </c>
      <c r="F2226" s="1">
        <v>5</v>
      </c>
      <c r="G2226" s="1">
        <v>80</v>
      </c>
      <c r="H2226" s="10">
        <v>0</v>
      </c>
      <c r="I2226" s="1">
        <f t="shared" si="73"/>
        <v>164000</v>
      </c>
      <c r="J2226" s="1">
        <v>150</v>
      </c>
      <c r="K2226" s="1">
        <v>1500</v>
      </c>
      <c r="L2226" s="1">
        <v>42500</v>
      </c>
      <c r="M2226" s="1" t="str">
        <f t="shared" si="74"/>
        <v>105_2573_2573</v>
      </c>
      <c r="N2226" s="1" t="s">
        <v>2454</v>
      </c>
      <c r="O2226" s="1">
        <v>0</v>
      </c>
      <c r="P2226" s="1" t="s">
        <v>2059</v>
      </c>
      <c r="Q2226" s="7" t="str">
        <f t="shared" si="76"/>
        <v>equipment/7022.png</v>
      </c>
      <c r="R2226" s="1">
        <v>0</v>
      </c>
    </row>
    <row r="2227" spans="1:18" ht="14.25" thickBot="1">
      <c r="A2227" s="1">
        <v>50800071</v>
      </c>
      <c r="B2227" s="3">
        <f t="shared" si="72"/>
        <v>1</v>
      </c>
      <c r="C2227" s="1" t="str">
        <f t="shared" si="75"/>
        <v>幽影腿甲</v>
      </c>
      <c r="D2227" s="1" t="s">
        <v>14</v>
      </c>
      <c r="E2227" s="1">
        <v>7</v>
      </c>
      <c r="F2227" s="1">
        <v>5</v>
      </c>
      <c r="G2227" s="1">
        <v>80</v>
      </c>
      <c r="H2227" s="10">
        <v>0</v>
      </c>
      <c r="I2227" s="1">
        <f t="shared" si="73"/>
        <v>170000</v>
      </c>
      <c r="J2227" s="1">
        <v>150</v>
      </c>
      <c r="K2227" s="1">
        <v>1500</v>
      </c>
      <c r="L2227" s="1">
        <v>45000</v>
      </c>
      <c r="M2227" s="1" t="str">
        <f t="shared" si="74"/>
        <v>105_2739_2739</v>
      </c>
      <c r="N2227" s="1" t="s">
        <v>2454</v>
      </c>
      <c r="O2227" s="1">
        <v>0</v>
      </c>
      <c r="P2227" s="1" t="s">
        <v>2059</v>
      </c>
      <c r="Q2227" s="7" t="str">
        <f t="shared" si="76"/>
        <v>equipment/7021.png</v>
      </c>
      <c r="R2227" s="1">
        <v>0</v>
      </c>
    </row>
    <row r="2228" spans="1:18" ht="14.25" thickBot="1">
      <c r="A2228" s="1">
        <v>50850010</v>
      </c>
      <c r="B2228" s="3">
        <f t="shared" si="72"/>
        <v>1</v>
      </c>
      <c r="C2228" s="1" t="str">
        <f t="shared" si="75"/>
        <v>低语之冠</v>
      </c>
      <c r="D2228" s="1" t="s">
        <v>8</v>
      </c>
      <c r="E2228" s="1">
        <v>1</v>
      </c>
      <c r="F2228" s="1">
        <v>5</v>
      </c>
      <c r="G2228" s="1">
        <v>85</v>
      </c>
      <c r="H2228" s="10">
        <v>0</v>
      </c>
      <c r="I2228" s="1">
        <f t="shared" si="73"/>
        <v>176000</v>
      </c>
      <c r="J2228" s="1">
        <v>150</v>
      </c>
      <c r="K2228" s="1">
        <v>1500</v>
      </c>
      <c r="L2228" s="1">
        <v>45000</v>
      </c>
      <c r="M2228" s="1" t="str">
        <f t="shared" si="74"/>
        <v>106_3672_3672</v>
      </c>
      <c r="N2228" s="1" t="s">
        <v>2456</v>
      </c>
      <c r="O2228" s="1">
        <v>0</v>
      </c>
      <c r="P2228" s="1" t="s">
        <v>2059</v>
      </c>
      <c r="Q2228" s="7" t="str">
        <f t="shared" si="76"/>
        <v>equipment/3012.png</v>
      </c>
      <c r="R2228" s="1">
        <v>0</v>
      </c>
    </row>
    <row r="2229" spans="1:18" ht="14.25" thickBot="1">
      <c r="A2229" s="1">
        <v>50850020</v>
      </c>
      <c r="B2229" s="3">
        <f t="shared" si="72"/>
        <v>1</v>
      </c>
      <c r="C2229" s="1" t="str">
        <f t="shared" si="75"/>
        <v>神迹指环</v>
      </c>
      <c r="D2229" s="1" t="s">
        <v>9</v>
      </c>
      <c r="E2229" s="1">
        <v>2</v>
      </c>
      <c r="F2229" s="1">
        <v>5</v>
      </c>
      <c r="G2229" s="1">
        <v>85</v>
      </c>
      <c r="H2229" s="10">
        <v>0</v>
      </c>
      <c r="I2229" s="1">
        <f t="shared" si="73"/>
        <v>176000</v>
      </c>
      <c r="J2229" s="1">
        <v>150</v>
      </c>
      <c r="K2229" s="1">
        <v>1500</v>
      </c>
      <c r="L2229" s="1">
        <v>45000</v>
      </c>
      <c r="M2229" s="1" t="str">
        <f t="shared" si="74"/>
        <v>102_2020_2020</v>
      </c>
      <c r="N2229" s="1" t="s">
        <v>2456</v>
      </c>
      <c r="O2229" s="1">
        <v>0</v>
      </c>
      <c r="P2229" s="1" t="s">
        <v>2059</v>
      </c>
      <c r="Q2229" s="7" t="str">
        <f t="shared" si="76"/>
        <v>equipment/14016.png</v>
      </c>
      <c r="R2229" s="1">
        <v>0</v>
      </c>
    </row>
    <row r="2230" spans="1:18" ht="14.25" thickBot="1">
      <c r="A2230" s="1">
        <v>50850030</v>
      </c>
      <c r="B2230" s="3">
        <f t="shared" si="72"/>
        <v>1</v>
      </c>
      <c r="C2230" s="1" t="str">
        <f t="shared" si="75"/>
        <v>威严腰带</v>
      </c>
      <c r="D2230" s="1" t="s">
        <v>10</v>
      </c>
      <c r="E2230" s="1">
        <v>3</v>
      </c>
      <c r="F2230" s="1">
        <v>5</v>
      </c>
      <c r="G2230" s="1">
        <v>85</v>
      </c>
      <c r="H2230" s="10">
        <v>0</v>
      </c>
      <c r="I2230" s="1">
        <f t="shared" si="73"/>
        <v>176000</v>
      </c>
      <c r="J2230" s="1">
        <v>150</v>
      </c>
      <c r="K2230" s="1">
        <v>1500</v>
      </c>
      <c r="L2230" s="1">
        <v>45000</v>
      </c>
      <c r="M2230" s="1" t="str">
        <f t="shared" si="74"/>
        <v>101_27040_27040</v>
      </c>
      <c r="N2230" s="1" t="s">
        <v>2456</v>
      </c>
      <c r="O2230" s="1">
        <v>0</v>
      </c>
      <c r="P2230" s="1" t="s">
        <v>2059</v>
      </c>
      <c r="Q2230" s="7" t="str">
        <f t="shared" si="76"/>
        <v>equipment/6017.png</v>
      </c>
      <c r="R2230" s="1">
        <v>0</v>
      </c>
    </row>
    <row r="2231" spans="1:18" ht="14.25" thickBot="1">
      <c r="A2231" s="1">
        <v>50850080</v>
      </c>
      <c r="B2231" s="3">
        <f t="shared" si="72"/>
        <v>1</v>
      </c>
      <c r="C2231" s="1" t="str">
        <f t="shared" si="75"/>
        <v>统治长靴</v>
      </c>
      <c r="D2231" s="1" t="s">
        <v>15</v>
      </c>
      <c r="E2231" s="1">
        <v>8</v>
      </c>
      <c r="F2231" s="1">
        <v>5</v>
      </c>
      <c r="G2231" s="1">
        <v>85</v>
      </c>
      <c r="H2231" s="10">
        <v>0</v>
      </c>
      <c r="I2231" s="1">
        <f t="shared" si="73"/>
        <v>176000</v>
      </c>
      <c r="J2231" s="1">
        <v>150</v>
      </c>
      <c r="K2231" s="1">
        <v>1500</v>
      </c>
      <c r="L2231" s="1">
        <v>45000</v>
      </c>
      <c r="M2231" s="1" t="str">
        <f t="shared" si="74"/>
        <v>110_661_661</v>
      </c>
      <c r="N2231" s="1" t="s">
        <v>2456</v>
      </c>
      <c r="O2231" s="1">
        <v>0</v>
      </c>
      <c r="P2231" s="1" t="s">
        <v>2059</v>
      </c>
      <c r="Q2231" s="7" t="str">
        <f t="shared" si="76"/>
        <v>equipment/8016.png</v>
      </c>
      <c r="R2231" s="1">
        <v>0</v>
      </c>
    </row>
    <row r="2232" spans="1:18" ht="14.25" thickBot="1">
      <c r="A2232" s="1">
        <v>50850090</v>
      </c>
      <c r="B2232" s="3">
        <f t="shared" si="72"/>
        <v>1</v>
      </c>
      <c r="C2232" s="1" t="str">
        <f t="shared" si="75"/>
        <v>誓烈手甲</v>
      </c>
      <c r="D2232" s="1" t="s">
        <v>16</v>
      </c>
      <c r="E2232" s="1">
        <v>9</v>
      </c>
      <c r="F2232" s="1">
        <v>5</v>
      </c>
      <c r="G2232" s="1">
        <v>85</v>
      </c>
      <c r="H2232" s="10">
        <v>0</v>
      </c>
      <c r="I2232" s="1">
        <f t="shared" si="73"/>
        <v>176000</v>
      </c>
      <c r="J2232" s="1">
        <v>150</v>
      </c>
      <c r="K2232" s="1">
        <v>1500</v>
      </c>
      <c r="L2232" s="1">
        <v>45000</v>
      </c>
      <c r="M2232" s="1" t="str">
        <f t="shared" si="74"/>
        <v>108_5495_5495</v>
      </c>
      <c r="N2232" s="1" t="s">
        <v>2456</v>
      </c>
      <c r="O2232" s="1">
        <v>0</v>
      </c>
      <c r="P2232" s="1" t="s">
        <v>2059</v>
      </c>
      <c r="Q2232" s="7" t="str">
        <f t="shared" si="76"/>
        <v>equipment/10014.png</v>
      </c>
      <c r="R2232" s="1">
        <v>0</v>
      </c>
    </row>
    <row r="2233" spans="1:18" ht="14.25" thickBot="1">
      <c r="A2233" s="1">
        <v>50850100</v>
      </c>
      <c r="B2233" s="3">
        <f t="shared" si="72"/>
        <v>1</v>
      </c>
      <c r="C2233" s="1" t="str">
        <f t="shared" si="75"/>
        <v>漂泊者之链</v>
      </c>
      <c r="D2233" s="1" t="s">
        <v>17</v>
      </c>
      <c r="E2233" s="1">
        <v>10</v>
      </c>
      <c r="F2233" s="1">
        <v>5</v>
      </c>
      <c r="G2233" s="1">
        <v>85</v>
      </c>
      <c r="H2233" s="10">
        <v>0</v>
      </c>
      <c r="I2233" s="1">
        <f t="shared" si="73"/>
        <v>176000</v>
      </c>
      <c r="J2233" s="1">
        <v>150</v>
      </c>
      <c r="K2233" s="1">
        <v>1500</v>
      </c>
      <c r="L2233" s="1">
        <v>45000</v>
      </c>
      <c r="M2233" s="1" t="str">
        <f t="shared" si="74"/>
        <v>107_3672_3672</v>
      </c>
      <c r="N2233" s="1" t="s">
        <v>2456</v>
      </c>
      <c r="O2233" s="1">
        <v>0</v>
      </c>
      <c r="P2233" s="1" t="s">
        <v>2059</v>
      </c>
      <c r="Q2233" s="7" t="str">
        <f t="shared" si="76"/>
        <v>equipment/12016.png</v>
      </c>
      <c r="R2233" s="1">
        <v>0</v>
      </c>
    </row>
    <row r="2234" spans="1:18" ht="14.25" thickBot="1">
      <c r="A2234" s="1">
        <v>50851050</v>
      </c>
      <c r="B2234" s="3">
        <f t="shared" si="72"/>
        <v>1</v>
      </c>
      <c r="C2234" s="1" t="str">
        <f t="shared" si="75"/>
        <v>谦逊之剑</v>
      </c>
      <c r="D2234" s="1" t="s">
        <v>12</v>
      </c>
      <c r="E2234" s="1">
        <v>5</v>
      </c>
      <c r="F2234" s="1">
        <v>5</v>
      </c>
      <c r="G2234" s="1">
        <v>85</v>
      </c>
      <c r="H2234" s="10" t="s">
        <v>2120</v>
      </c>
      <c r="I2234" s="1">
        <f t="shared" si="73"/>
        <v>176000</v>
      </c>
      <c r="J2234" s="1">
        <v>150</v>
      </c>
      <c r="K2234" s="1">
        <v>1500</v>
      </c>
      <c r="L2234" s="1">
        <v>45000</v>
      </c>
      <c r="M2234" s="1" t="str">
        <f t="shared" si="74"/>
        <v>103_4884_4884,104_9769_9769</v>
      </c>
      <c r="N2234" s="1" t="s">
        <v>2457</v>
      </c>
      <c r="O2234" s="1">
        <v>0</v>
      </c>
      <c r="P2234" s="1" t="s">
        <v>2059</v>
      </c>
      <c r="Q2234" s="7" t="str">
        <f t="shared" si="76"/>
        <v>equipment/1128.png</v>
      </c>
      <c r="R2234" s="1">
        <v>0</v>
      </c>
    </row>
    <row r="2235" spans="1:18" ht="14.25" thickBot="1">
      <c r="A2235" s="1">
        <v>50851051</v>
      </c>
      <c r="B2235" s="3">
        <f t="shared" si="72"/>
        <v>0</v>
      </c>
      <c r="C2235" s="1" t="str">
        <f t="shared" si="75"/>
        <v>破壁之刃</v>
      </c>
      <c r="D2235" s="1" t="s">
        <v>12</v>
      </c>
      <c r="E2235" s="1">
        <v>5</v>
      </c>
      <c r="F2235" s="1">
        <v>5</v>
      </c>
      <c r="G2235" s="1">
        <v>85</v>
      </c>
      <c r="H2235" s="10" t="s">
        <v>2120</v>
      </c>
      <c r="I2235" s="1">
        <f t="shared" si="73"/>
        <v>182000</v>
      </c>
      <c r="J2235" s="1">
        <v>150</v>
      </c>
      <c r="K2235" s="1">
        <v>1500</v>
      </c>
      <c r="L2235" s="1">
        <v>47500</v>
      </c>
      <c r="M2235" s="1" t="str">
        <f t="shared" si="74"/>
        <v>103_5119_5119,104_10238_10238</v>
      </c>
      <c r="N2235" s="1" t="s">
        <v>2457</v>
      </c>
      <c r="O2235" s="1">
        <v>0</v>
      </c>
      <c r="P2235" s="1" t="s">
        <v>2059</v>
      </c>
      <c r="Q2235" s="7" t="str">
        <f t="shared" si="76"/>
        <v>equipment/1129.png</v>
      </c>
      <c r="R2235" s="1">
        <v>0</v>
      </c>
    </row>
    <row r="2236" spans="1:18" ht="14.25" thickBot="1">
      <c r="A2236" s="1">
        <v>50851060</v>
      </c>
      <c r="B2236" s="3">
        <f t="shared" si="72"/>
        <v>1</v>
      </c>
      <c r="C2236" s="1" t="str">
        <f t="shared" si="75"/>
        <v>邪铁盾牌</v>
      </c>
      <c r="D2236" s="1" t="s">
        <v>13</v>
      </c>
      <c r="E2236" s="1">
        <v>6</v>
      </c>
      <c r="F2236" s="1">
        <v>5</v>
      </c>
      <c r="G2236" s="1">
        <v>85</v>
      </c>
      <c r="H2236" s="10" t="s">
        <v>2120</v>
      </c>
      <c r="I2236" s="1">
        <f t="shared" si="73"/>
        <v>176000</v>
      </c>
      <c r="J2236" s="1">
        <v>150</v>
      </c>
      <c r="K2236" s="1">
        <v>1500</v>
      </c>
      <c r="L2236" s="1">
        <v>45000</v>
      </c>
      <c r="M2236" s="1" t="str">
        <f t="shared" si="74"/>
        <v>105_4616_4616</v>
      </c>
      <c r="N2236" s="1" t="s">
        <v>2457</v>
      </c>
      <c r="O2236" s="1">
        <v>0</v>
      </c>
      <c r="P2236" s="1" t="s">
        <v>2059</v>
      </c>
      <c r="Q2236" s="7" t="str">
        <f t="shared" si="76"/>
        <v>equipment/2124.png</v>
      </c>
      <c r="R2236" s="1">
        <v>0</v>
      </c>
    </row>
    <row r="2237" spans="1:18" ht="14.25" thickBot="1">
      <c r="A2237" s="1">
        <v>50851061</v>
      </c>
      <c r="B2237" s="3">
        <f t="shared" si="72"/>
        <v>0</v>
      </c>
      <c r="C2237" s="1" t="str">
        <f t="shared" si="75"/>
        <v>埋骨之盾</v>
      </c>
      <c r="D2237" s="1" t="s">
        <v>13</v>
      </c>
      <c r="E2237" s="1">
        <v>6</v>
      </c>
      <c r="F2237" s="1">
        <v>5</v>
      </c>
      <c r="G2237" s="1">
        <v>85</v>
      </c>
      <c r="H2237" s="10" t="s">
        <v>2120</v>
      </c>
      <c r="I2237" s="1">
        <f t="shared" si="73"/>
        <v>182000</v>
      </c>
      <c r="J2237" s="1">
        <v>150</v>
      </c>
      <c r="K2237" s="1">
        <v>1500</v>
      </c>
      <c r="L2237" s="1">
        <v>47500</v>
      </c>
      <c r="M2237" s="1" t="str">
        <f t="shared" si="74"/>
        <v>105_4739_4739</v>
      </c>
      <c r="N2237" s="1" t="s">
        <v>2457</v>
      </c>
      <c r="O2237" s="1">
        <v>0</v>
      </c>
      <c r="P2237" s="1" t="s">
        <v>2059</v>
      </c>
      <c r="Q2237" s="7" t="str">
        <f t="shared" si="76"/>
        <v>equipment/2119.png</v>
      </c>
      <c r="R2237" s="1">
        <v>0</v>
      </c>
    </row>
    <row r="2238" spans="1:18" ht="14.25" thickBot="1">
      <c r="A2238" s="1">
        <v>50852050</v>
      </c>
      <c r="B2238" s="3">
        <f t="shared" si="72"/>
        <v>1</v>
      </c>
      <c r="C2238" s="1" t="str">
        <f t="shared" si="75"/>
        <v>悔恨长弓</v>
      </c>
      <c r="D2238" s="1" t="s">
        <v>12</v>
      </c>
      <c r="E2238" s="1">
        <v>5</v>
      </c>
      <c r="F2238" s="1">
        <v>5</v>
      </c>
      <c r="G2238" s="1">
        <v>85</v>
      </c>
      <c r="H2238" s="10" t="s">
        <v>2121</v>
      </c>
      <c r="I2238" s="1">
        <f t="shared" si="73"/>
        <v>176000</v>
      </c>
      <c r="J2238" s="1">
        <v>150</v>
      </c>
      <c r="K2238" s="1">
        <v>1500</v>
      </c>
      <c r="L2238" s="1">
        <v>45000</v>
      </c>
      <c r="M2238" s="1" t="str">
        <f t="shared" si="74"/>
        <v>103_4884_4884,104_9769_9769</v>
      </c>
      <c r="N2238" s="1" t="s">
        <v>2457</v>
      </c>
      <c r="O2238" s="1">
        <v>0</v>
      </c>
      <c r="P2238" s="1" t="s">
        <v>2059</v>
      </c>
      <c r="Q2238" s="7" t="str">
        <f t="shared" si="76"/>
        <v>equipment/1228.png</v>
      </c>
      <c r="R2238" s="1">
        <v>0</v>
      </c>
    </row>
    <row r="2239" spans="1:18" ht="14.25" thickBot="1">
      <c r="A2239" s="1">
        <v>50852051</v>
      </c>
      <c r="B2239" s="3">
        <f t="shared" si="72"/>
        <v>0</v>
      </c>
      <c r="C2239" s="1" t="str">
        <f t="shared" si="75"/>
        <v>祈圣之弓</v>
      </c>
      <c r="D2239" s="1" t="s">
        <v>12</v>
      </c>
      <c r="E2239" s="1">
        <v>5</v>
      </c>
      <c r="F2239" s="1">
        <v>5</v>
      </c>
      <c r="G2239" s="1">
        <v>85</v>
      </c>
      <c r="H2239" s="10" t="s">
        <v>2121</v>
      </c>
      <c r="I2239" s="1">
        <f t="shared" si="73"/>
        <v>182000</v>
      </c>
      <c r="J2239" s="1">
        <v>150</v>
      </c>
      <c r="K2239" s="1">
        <v>1500</v>
      </c>
      <c r="L2239" s="1">
        <v>47500</v>
      </c>
      <c r="M2239" s="1" t="str">
        <f t="shared" si="74"/>
        <v>103_5119_5119,104_10238_10238</v>
      </c>
      <c r="N2239" s="1" t="s">
        <v>2457</v>
      </c>
      <c r="O2239" s="1">
        <v>0</v>
      </c>
      <c r="P2239" s="1" t="s">
        <v>2059</v>
      </c>
      <c r="Q2239" s="7" t="str">
        <f t="shared" si="76"/>
        <v>equipment/1230.png</v>
      </c>
      <c r="R2239" s="1">
        <v>0</v>
      </c>
    </row>
    <row r="2240" spans="1:18" ht="14.25" thickBot="1">
      <c r="A2240" s="1">
        <v>50852060</v>
      </c>
      <c r="B2240" s="3">
        <f t="shared" si="72"/>
        <v>1</v>
      </c>
      <c r="C2240" s="1" t="str">
        <f t="shared" si="75"/>
        <v>悲鸣箭筒</v>
      </c>
      <c r="D2240" s="1" t="s">
        <v>13</v>
      </c>
      <c r="E2240" s="1">
        <v>6</v>
      </c>
      <c r="F2240" s="1">
        <v>5</v>
      </c>
      <c r="G2240" s="1">
        <v>85</v>
      </c>
      <c r="H2240" s="10" t="s">
        <v>2121</v>
      </c>
      <c r="I2240" s="1">
        <f t="shared" si="73"/>
        <v>176000</v>
      </c>
      <c r="J2240" s="1">
        <v>150</v>
      </c>
      <c r="K2240" s="1">
        <v>1500</v>
      </c>
      <c r="L2240" s="1">
        <v>45000</v>
      </c>
      <c r="M2240" s="1" t="str">
        <f t="shared" si="74"/>
        <v>108_4616_4616</v>
      </c>
      <c r="N2240" s="1" t="s">
        <v>2457</v>
      </c>
      <c r="O2240" s="1">
        <v>0</v>
      </c>
      <c r="P2240" s="1" t="s">
        <v>2059</v>
      </c>
      <c r="Q2240" s="7" t="str">
        <f t="shared" si="76"/>
        <v>equipment/2224.png</v>
      </c>
      <c r="R2240" s="1">
        <v>0</v>
      </c>
    </row>
    <row r="2241" spans="1:18" ht="14.25" thickBot="1">
      <c r="A2241" s="1">
        <v>50852061</v>
      </c>
      <c r="B2241" s="3">
        <f t="shared" si="72"/>
        <v>0</v>
      </c>
      <c r="C2241" s="1" t="str">
        <f t="shared" si="75"/>
        <v>咒逐箭筒</v>
      </c>
      <c r="D2241" s="1" t="s">
        <v>13</v>
      </c>
      <c r="E2241" s="1">
        <v>6</v>
      </c>
      <c r="F2241" s="1">
        <v>5</v>
      </c>
      <c r="G2241" s="1">
        <v>85</v>
      </c>
      <c r="H2241" s="10" t="s">
        <v>2121</v>
      </c>
      <c r="I2241" s="1">
        <f t="shared" si="73"/>
        <v>182000</v>
      </c>
      <c r="J2241" s="1">
        <v>150</v>
      </c>
      <c r="K2241" s="1">
        <v>1500</v>
      </c>
      <c r="L2241" s="1">
        <v>47500</v>
      </c>
      <c r="M2241" s="1" t="str">
        <f t="shared" si="74"/>
        <v>108_4739_4739</v>
      </c>
      <c r="N2241" s="1" t="s">
        <v>2457</v>
      </c>
      <c r="O2241" s="1">
        <v>0</v>
      </c>
      <c r="P2241" s="1" t="s">
        <v>2059</v>
      </c>
      <c r="Q2241" s="7" t="str">
        <f t="shared" si="76"/>
        <v>equipment/2221.png</v>
      </c>
      <c r="R2241" s="1">
        <v>0</v>
      </c>
    </row>
    <row r="2242" spans="1:18" ht="14.25" thickBot="1">
      <c r="A2242" s="1">
        <v>50853050</v>
      </c>
      <c r="B2242" s="3">
        <f t="shared" si="72"/>
        <v>1</v>
      </c>
      <c r="C2242" s="1" t="str">
        <f t="shared" si="75"/>
        <v>归还法杖</v>
      </c>
      <c r="D2242" s="1" t="s">
        <v>12</v>
      </c>
      <c r="E2242" s="1">
        <v>5</v>
      </c>
      <c r="F2242" s="1">
        <v>5</v>
      </c>
      <c r="G2242" s="1">
        <v>85</v>
      </c>
      <c r="H2242" s="10" t="s">
        <v>2122</v>
      </c>
      <c r="I2242" s="1">
        <f t="shared" si="73"/>
        <v>176000</v>
      </c>
      <c r="J2242" s="1">
        <v>150</v>
      </c>
      <c r="K2242" s="1">
        <v>1500</v>
      </c>
      <c r="L2242" s="1">
        <v>45000</v>
      </c>
      <c r="M2242" s="1" t="str">
        <f t="shared" si="74"/>
        <v>103_4884_4884,104_9769_9769</v>
      </c>
      <c r="N2242" s="1" t="s">
        <v>2457</v>
      </c>
      <c r="O2242" s="1">
        <v>0</v>
      </c>
      <c r="P2242" s="1" t="s">
        <v>2059</v>
      </c>
      <c r="Q2242" s="7" t="str">
        <f t="shared" si="76"/>
        <v>equipment/1329.png</v>
      </c>
      <c r="R2242" s="1">
        <v>0</v>
      </c>
    </row>
    <row r="2243" spans="1:18" ht="14.25" thickBot="1">
      <c r="A2243" s="1">
        <v>50853051</v>
      </c>
      <c r="B2243" s="3">
        <f t="shared" si="72"/>
        <v>0</v>
      </c>
      <c r="C2243" s="1" t="str">
        <f t="shared" si="75"/>
        <v>荒寂之杖</v>
      </c>
      <c r="D2243" s="1" t="s">
        <v>12</v>
      </c>
      <c r="E2243" s="1">
        <v>5</v>
      </c>
      <c r="F2243" s="1">
        <v>5</v>
      </c>
      <c r="G2243" s="1">
        <v>85</v>
      </c>
      <c r="H2243" s="10" t="s">
        <v>2122</v>
      </c>
      <c r="I2243" s="1">
        <f t="shared" si="73"/>
        <v>182000</v>
      </c>
      <c r="J2243" s="1">
        <v>150</v>
      </c>
      <c r="K2243" s="1">
        <v>1500</v>
      </c>
      <c r="L2243" s="1">
        <v>47500</v>
      </c>
      <c r="M2243" s="1" t="str">
        <f t="shared" si="74"/>
        <v>103_5119_5119,104_10238_10238</v>
      </c>
      <c r="N2243" s="1" t="s">
        <v>2457</v>
      </c>
      <c r="O2243" s="1">
        <v>0</v>
      </c>
      <c r="P2243" s="1" t="s">
        <v>2059</v>
      </c>
      <c r="Q2243" s="7" t="str">
        <f t="shared" si="76"/>
        <v>equipment/1331.png</v>
      </c>
      <c r="R2243" s="1">
        <v>0</v>
      </c>
    </row>
    <row r="2244" spans="1:18" ht="14.25" thickBot="1">
      <c r="A2244" s="1">
        <v>50853060</v>
      </c>
      <c r="B2244" s="3">
        <f t="shared" si="72"/>
        <v>1</v>
      </c>
      <c r="C2244" s="1" t="str">
        <f t="shared" si="75"/>
        <v>幻咒秘语</v>
      </c>
      <c r="D2244" s="1" t="s">
        <v>13</v>
      </c>
      <c r="E2244" s="1">
        <v>6</v>
      </c>
      <c r="F2244" s="1">
        <v>5</v>
      </c>
      <c r="G2244" s="1">
        <v>85</v>
      </c>
      <c r="H2244" s="10" t="s">
        <v>2122</v>
      </c>
      <c r="I2244" s="1">
        <f t="shared" si="73"/>
        <v>176000</v>
      </c>
      <c r="J2244" s="1">
        <v>150</v>
      </c>
      <c r="K2244" s="1">
        <v>1500</v>
      </c>
      <c r="L2244" s="1">
        <v>45000</v>
      </c>
      <c r="M2244" s="1" t="str">
        <f t="shared" si="74"/>
        <v>102_3790_3790</v>
      </c>
      <c r="N2244" s="1" t="s">
        <v>2457</v>
      </c>
      <c r="O2244" s="1">
        <v>0</v>
      </c>
      <c r="P2244" s="1" t="s">
        <v>2059</v>
      </c>
      <c r="Q2244" s="7" t="str">
        <f t="shared" si="76"/>
        <v>equipment/102301.png</v>
      </c>
      <c r="R2244" s="1">
        <v>0</v>
      </c>
    </row>
    <row r="2245" spans="1:18" ht="14.25" thickBot="1">
      <c r="A2245" s="1">
        <v>50853061</v>
      </c>
      <c r="B2245" s="3">
        <f t="shared" si="72"/>
        <v>0</v>
      </c>
      <c r="C2245" s="1" t="str">
        <f t="shared" si="75"/>
        <v>岁月之书</v>
      </c>
      <c r="D2245" s="1" t="s">
        <v>13</v>
      </c>
      <c r="E2245" s="1">
        <v>6</v>
      </c>
      <c r="F2245" s="1">
        <v>5</v>
      </c>
      <c r="G2245" s="1">
        <v>85</v>
      </c>
      <c r="H2245" s="10" t="s">
        <v>2122</v>
      </c>
      <c r="I2245" s="1">
        <f t="shared" si="73"/>
        <v>182000</v>
      </c>
      <c r="J2245" s="1">
        <v>150</v>
      </c>
      <c r="K2245" s="1">
        <v>1500</v>
      </c>
      <c r="L2245" s="1">
        <v>47500</v>
      </c>
      <c r="M2245" s="1" t="str">
        <f t="shared" si="74"/>
        <v>102_3890_3890</v>
      </c>
      <c r="N2245" s="1" t="s">
        <v>2457</v>
      </c>
      <c r="O2245" s="1">
        <v>0</v>
      </c>
      <c r="P2245" s="1" t="s">
        <v>2059</v>
      </c>
      <c r="Q2245" s="7" t="str">
        <f t="shared" si="76"/>
        <v>equipment/2323.png</v>
      </c>
      <c r="R2245" s="1">
        <v>0</v>
      </c>
    </row>
    <row r="2246" spans="1:18" ht="14.25" thickBot="1">
      <c r="A2246" s="1">
        <v>50850040</v>
      </c>
      <c r="B2246" s="3">
        <f t="shared" si="72"/>
        <v>1</v>
      </c>
      <c r="C2246" s="1" t="str">
        <f t="shared" si="75"/>
        <v>梦魇胸甲</v>
      </c>
      <c r="D2246" s="1" t="s">
        <v>11</v>
      </c>
      <c r="E2246" s="1">
        <v>4</v>
      </c>
      <c r="F2246" s="1">
        <v>5</v>
      </c>
      <c r="G2246" s="1">
        <v>85</v>
      </c>
      <c r="H2246" s="10">
        <v>0</v>
      </c>
      <c r="I2246" s="1">
        <f t="shared" si="73"/>
        <v>176000</v>
      </c>
      <c r="J2246" s="1">
        <v>150</v>
      </c>
      <c r="K2246" s="1">
        <v>1500</v>
      </c>
      <c r="L2246" s="1">
        <v>45000</v>
      </c>
      <c r="M2246" s="1" t="str">
        <f t="shared" si="74"/>
        <v>105_2989_2989</v>
      </c>
      <c r="N2246" s="1" t="s">
        <v>2456</v>
      </c>
      <c r="O2246" s="1">
        <v>0</v>
      </c>
      <c r="P2246" s="1" t="s">
        <v>2059</v>
      </c>
      <c r="Q2246" s="7" t="str">
        <f t="shared" si="76"/>
        <v>equipment/105001.png</v>
      </c>
      <c r="R2246" s="1">
        <v>0</v>
      </c>
    </row>
    <row r="2247" spans="1:18" ht="14.25" thickBot="1">
      <c r="A2247" s="1">
        <v>50850041</v>
      </c>
      <c r="B2247" s="3">
        <f t="shared" si="72"/>
        <v>0</v>
      </c>
      <c r="C2247" s="1" t="str">
        <f t="shared" si="75"/>
        <v>鬼域战铠</v>
      </c>
      <c r="D2247" s="1" t="s">
        <v>11</v>
      </c>
      <c r="E2247" s="1">
        <v>4</v>
      </c>
      <c r="F2247" s="1">
        <v>5</v>
      </c>
      <c r="G2247" s="1">
        <v>85</v>
      </c>
      <c r="H2247" s="10">
        <v>0</v>
      </c>
      <c r="I2247" s="1">
        <f t="shared" si="73"/>
        <v>182000</v>
      </c>
      <c r="J2247" s="1">
        <v>150</v>
      </c>
      <c r="K2247" s="1">
        <v>1500</v>
      </c>
      <c r="L2247" s="1">
        <v>47500</v>
      </c>
      <c r="M2247" s="1" t="str">
        <f t="shared" si="74"/>
        <v>105_3172_3172</v>
      </c>
      <c r="N2247" s="1" t="s">
        <v>2456</v>
      </c>
      <c r="O2247" s="1">
        <v>0</v>
      </c>
      <c r="P2247" s="1" t="s">
        <v>2059</v>
      </c>
      <c r="Q2247" s="7" t="str">
        <f t="shared" si="76"/>
        <v>equipment/5023.png</v>
      </c>
      <c r="R2247" s="1">
        <v>0</v>
      </c>
    </row>
    <row r="2248" spans="1:18" ht="14.25" thickBot="1">
      <c r="A2248" s="1">
        <v>50850070</v>
      </c>
      <c r="B2248" s="3">
        <f t="shared" si="72"/>
        <v>1</v>
      </c>
      <c r="C2248" s="1" t="str">
        <f t="shared" si="75"/>
        <v>逝亡护腿</v>
      </c>
      <c r="D2248" s="1" t="s">
        <v>14</v>
      </c>
      <c r="E2248" s="1">
        <v>7</v>
      </c>
      <c r="F2248" s="1">
        <v>5</v>
      </c>
      <c r="G2248" s="1">
        <v>85</v>
      </c>
      <c r="H2248" s="10">
        <v>0</v>
      </c>
      <c r="I2248" s="1">
        <f t="shared" si="73"/>
        <v>176000</v>
      </c>
      <c r="J2248" s="1">
        <v>150</v>
      </c>
      <c r="K2248" s="1">
        <v>1500</v>
      </c>
      <c r="L2248" s="1">
        <v>45000</v>
      </c>
      <c r="M2248" s="1" t="str">
        <f t="shared" si="74"/>
        <v>105_2989_2989</v>
      </c>
      <c r="N2248" s="1" t="s">
        <v>2456</v>
      </c>
      <c r="O2248" s="1">
        <v>0</v>
      </c>
      <c r="P2248" s="1" t="s">
        <v>2059</v>
      </c>
      <c r="Q2248" s="7" t="str">
        <f t="shared" si="76"/>
        <v>equipment/7023.png</v>
      </c>
      <c r="R2248" s="1">
        <v>0</v>
      </c>
    </row>
    <row r="2249" spans="1:18" ht="14.25" thickBot="1">
      <c r="A2249" s="1">
        <v>50850071</v>
      </c>
      <c r="B2249" s="3">
        <f t="shared" ref="B2249:B2312" si="77">B1787</f>
        <v>0</v>
      </c>
      <c r="C2249" s="1" t="str">
        <f t="shared" si="75"/>
        <v>泯灭护腿</v>
      </c>
      <c r="D2249" s="1" t="s">
        <v>14</v>
      </c>
      <c r="E2249" s="1">
        <v>7</v>
      </c>
      <c r="F2249" s="1">
        <v>5</v>
      </c>
      <c r="G2249" s="1">
        <v>85</v>
      </c>
      <c r="H2249" s="10">
        <v>0</v>
      </c>
      <c r="I2249" s="1">
        <f t="shared" ref="I2249:I2312" si="78">I401*20</f>
        <v>182000</v>
      </c>
      <c r="J2249" s="1">
        <v>150</v>
      </c>
      <c r="K2249" s="1">
        <v>1500</v>
      </c>
      <c r="L2249" s="1">
        <v>47500</v>
      </c>
      <c r="M2249" s="1" t="str">
        <f t="shared" ref="M2249:M2312" si="79">M1787</f>
        <v>105_3172_3172</v>
      </c>
      <c r="N2249" s="1" t="s">
        <v>2456</v>
      </c>
      <c r="O2249" s="1">
        <v>0</v>
      </c>
      <c r="P2249" s="1" t="s">
        <v>2059</v>
      </c>
      <c r="Q2249" s="7" t="str">
        <f t="shared" si="76"/>
        <v>equipment/107001.png</v>
      </c>
      <c r="R2249" s="1">
        <v>0</v>
      </c>
    </row>
    <row r="2250" spans="1:18" ht="14.25" thickBot="1">
      <c r="A2250" s="1">
        <v>50900010</v>
      </c>
      <c r="B2250" s="3">
        <f t="shared" si="77"/>
        <v>1</v>
      </c>
      <c r="C2250" s="1" t="str">
        <f t="shared" si="75"/>
        <v>风暴之冠</v>
      </c>
      <c r="D2250" s="1" t="s">
        <v>8</v>
      </c>
      <c r="E2250" s="1">
        <v>1</v>
      </c>
      <c r="F2250" s="1">
        <v>5</v>
      </c>
      <c r="G2250" s="1">
        <v>90</v>
      </c>
      <c r="H2250" s="10">
        <v>0</v>
      </c>
      <c r="I2250" s="1">
        <f t="shared" si="78"/>
        <v>188000</v>
      </c>
      <c r="J2250" s="1">
        <v>150</v>
      </c>
      <c r="K2250" s="1">
        <v>1500</v>
      </c>
      <c r="L2250" s="1">
        <v>47500</v>
      </c>
      <c r="M2250" s="1" t="str">
        <f t="shared" si="79"/>
        <v>106_4428_4428</v>
      </c>
      <c r="N2250" s="1" t="s">
        <v>2458</v>
      </c>
      <c r="O2250" s="1">
        <v>0</v>
      </c>
      <c r="P2250" s="1" t="s">
        <v>2059</v>
      </c>
      <c r="Q2250" s="7" t="str">
        <f t="shared" si="76"/>
        <v>equipment/3017.png</v>
      </c>
      <c r="R2250" s="1">
        <v>0</v>
      </c>
    </row>
    <row r="2251" spans="1:18" ht="14.25" thickBot="1">
      <c r="A2251" s="1">
        <v>50900020</v>
      </c>
      <c r="B2251" s="3">
        <f t="shared" si="77"/>
        <v>1</v>
      </c>
      <c r="C2251" s="1" t="str">
        <f t="shared" si="75"/>
        <v>无尽智慧指环</v>
      </c>
      <c r="D2251" s="1" t="s">
        <v>9</v>
      </c>
      <c r="E2251" s="1">
        <v>2</v>
      </c>
      <c r="F2251" s="1">
        <v>5</v>
      </c>
      <c r="G2251" s="1">
        <v>90</v>
      </c>
      <c r="H2251" s="10">
        <v>0</v>
      </c>
      <c r="I2251" s="1">
        <f t="shared" si="78"/>
        <v>188000</v>
      </c>
      <c r="J2251" s="1">
        <v>150</v>
      </c>
      <c r="K2251" s="1">
        <v>1500</v>
      </c>
      <c r="L2251" s="1">
        <v>47500</v>
      </c>
      <c r="M2251" s="1" t="str">
        <f t="shared" si="79"/>
        <v>102_2150_2150</v>
      </c>
      <c r="N2251" s="1" t="s">
        <v>2458</v>
      </c>
      <c r="O2251" s="1">
        <v>0</v>
      </c>
      <c r="P2251" s="1" t="s">
        <v>2059</v>
      </c>
      <c r="Q2251" s="7" t="str">
        <f t="shared" si="76"/>
        <v>equipment/14015.png</v>
      </c>
      <c r="R2251" s="1">
        <v>0</v>
      </c>
    </row>
    <row r="2252" spans="1:18" ht="14.25" thickBot="1">
      <c r="A2252" s="1">
        <v>50900030</v>
      </c>
      <c r="B2252" s="3">
        <f t="shared" si="77"/>
        <v>1</v>
      </c>
      <c r="C2252" s="1" t="str">
        <f t="shared" si="75"/>
        <v>丰饶腰带</v>
      </c>
      <c r="D2252" s="1" t="s">
        <v>10</v>
      </c>
      <c r="E2252" s="1">
        <v>3</v>
      </c>
      <c r="F2252" s="1">
        <v>5</v>
      </c>
      <c r="G2252" s="1">
        <v>90</v>
      </c>
      <c r="H2252" s="10">
        <v>0</v>
      </c>
      <c r="I2252" s="1">
        <f t="shared" si="78"/>
        <v>188000</v>
      </c>
      <c r="J2252" s="1">
        <v>150</v>
      </c>
      <c r="K2252" s="1">
        <v>1500</v>
      </c>
      <c r="L2252" s="1">
        <v>47500</v>
      </c>
      <c r="M2252" s="1" t="str">
        <f t="shared" si="79"/>
        <v>101_29800_29800</v>
      </c>
      <c r="N2252" s="1" t="s">
        <v>2458</v>
      </c>
      <c r="O2252" s="1">
        <v>0</v>
      </c>
      <c r="P2252" s="1" t="s">
        <v>2059</v>
      </c>
      <c r="Q2252" s="7" t="str">
        <f t="shared" si="76"/>
        <v>equipment/6016.png</v>
      </c>
      <c r="R2252" s="1">
        <v>0</v>
      </c>
    </row>
    <row r="2253" spans="1:18" ht="14.25" thickBot="1">
      <c r="A2253" s="1">
        <v>50900080</v>
      </c>
      <c r="B2253" s="3">
        <f t="shared" si="77"/>
        <v>1</v>
      </c>
      <c r="C2253" s="1" t="str">
        <f t="shared" si="75"/>
        <v>秩序战靴</v>
      </c>
      <c r="D2253" s="1" t="s">
        <v>15</v>
      </c>
      <c r="E2253" s="1">
        <v>8</v>
      </c>
      <c r="F2253" s="1">
        <v>5</v>
      </c>
      <c r="G2253" s="1">
        <v>90</v>
      </c>
      <c r="H2253" s="10">
        <v>0</v>
      </c>
      <c r="I2253" s="1">
        <f t="shared" si="78"/>
        <v>188000</v>
      </c>
      <c r="J2253" s="1">
        <v>150</v>
      </c>
      <c r="K2253" s="1">
        <v>1500</v>
      </c>
      <c r="L2253" s="1">
        <v>47500</v>
      </c>
      <c r="M2253" s="1" t="str">
        <f t="shared" si="79"/>
        <v>110_715_715</v>
      </c>
      <c r="N2253" s="1" t="s">
        <v>2458</v>
      </c>
      <c r="O2253" s="1">
        <v>0</v>
      </c>
      <c r="P2253" s="1" t="s">
        <v>2059</v>
      </c>
      <c r="Q2253" s="7" t="str">
        <f t="shared" si="76"/>
        <v>equipment/8017.png</v>
      </c>
      <c r="R2253" s="1">
        <v>0</v>
      </c>
    </row>
    <row r="2254" spans="1:18" ht="14.25" thickBot="1">
      <c r="A2254" s="1">
        <v>50900090</v>
      </c>
      <c r="B2254" s="3">
        <f t="shared" si="77"/>
        <v>1</v>
      </c>
      <c r="C2254" s="1" t="str">
        <f t="shared" si="75"/>
        <v>超载护手</v>
      </c>
      <c r="D2254" s="1" t="s">
        <v>16</v>
      </c>
      <c r="E2254" s="1">
        <v>9</v>
      </c>
      <c r="F2254" s="1">
        <v>5</v>
      </c>
      <c r="G2254" s="1">
        <v>90</v>
      </c>
      <c r="H2254" s="10">
        <v>0</v>
      </c>
      <c r="I2254" s="1">
        <f t="shared" si="78"/>
        <v>188000</v>
      </c>
      <c r="J2254" s="1">
        <v>150</v>
      </c>
      <c r="K2254" s="1">
        <v>1500</v>
      </c>
      <c r="L2254" s="1">
        <v>47500</v>
      </c>
      <c r="M2254" s="1" t="str">
        <f t="shared" si="79"/>
        <v>108_6155_6155</v>
      </c>
      <c r="N2254" s="1" t="s">
        <v>2458</v>
      </c>
      <c r="O2254" s="1">
        <v>0</v>
      </c>
      <c r="P2254" s="1" t="s">
        <v>2059</v>
      </c>
      <c r="Q2254" s="7" t="str">
        <f t="shared" si="76"/>
        <v>equipment/10017.png</v>
      </c>
      <c r="R2254" s="1">
        <v>0</v>
      </c>
    </row>
    <row r="2255" spans="1:18" ht="14.25" thickBot="1">
      <c r="A2255" s="1">
        <v>50900100</v>
      </c>
      <c r="B2255" s="3">
        <f t="shared" si="77"/>
        <v>1</v>
      </c>
      <c r="C2255" s="1" t="str">
        <f t="shared" si="75"/>
        <v>寒霜之心</v>
      </c>
      <c r="D2255" s="1" t="s">
        <v>17</v>
      </c>
      <c r="E2255" s="1">
        <v>10</v>
      </c>
      <c r="F2255" s="1">
        <v>5</v>
      </c>
      <c r="G2255" s="1">
        <v>90</v>
      </c>
      <c r="H2255" s="10">
        <v>0</v>
      </c>
      <c r="I2255" s="1">
        <f t="shared" si="78"/>
        <v>188000</v>
      </c>
      <c r="J2255" s="1">
        <v>150</v>
      </c>
      <c r="K2255" s="1">
        <v>1500</v>
      </c>
      <c r="L2255" s="1">
        <v>47500</v>
      </c>
      <c r="M2255" s="1" t="str">
        <f t="shared" si="79"/>
        <v>107_4428_4428</v>
      </c>
      <c r="N2255" s="1" t="s">
        <v>2458</v>
      </c>
      <c r="O2255" s="1">
        <v>0</v>
      </c>
      <c r="P2255" s="1" t="s">
        <v>2059</v>
      </c>
      <c r="Q2255" s="7" t="str">
        <f t="shared" si="76"/>
        <v>equipment/12017.png</v>
      </c>
      <c r="R2255" s="1">
        <v>0</v>
      </c>
    </row>
    <row r="2256" spans="1:18" ht="14.25" thickBot="1">
      <c r="A2256" s="1">
        <v>50901050</v>
      </c>
      <c r="B2256" s="3">
        <f t="shared" si="77"/>
        <v>1</v>
      </c>
      <c r="C2256" s="1" t="str">
        <f>C1794</f>
        <v>湮灭之剑</v>
      </c>
      <c r="D2256" s="1" t="s">
        <v>12</v>
      </c>
      <c r="E2256" s="1">
        <v>5</v>
      </c>
      <c r="F2256" s="1">
        <v>5</v>
      </c>
      <c r="G2256" s="1">
        <v>90</v>
      </c>
      <c r="H2256" s="10" t="s">
        <v>2120</v>
      </c>
      <c r="I2256" s="1">
        <f t="shared" si="78"/>
        <v>188000</v>
      </c>
      <c r="J2256" s="1">
        <v>150</v>
      </c>
      <c r="K2256" s="1">
        <v>1500</v>
      </c>
      <c r="L2256" s="1">
        <v>47500</v>
      </c>
      <c r="M2256" s="1" t="str">
        <f t="shared" si="79"/>
        <v>103_5471_5471,104_10942_10942</v>
      </c>
      <c r="N2256" s="1" t="s">
        <v>2459</v>
      </c>
      <c r="O2256" s="1">
        <v>0</v>
      </c>
      <c r="P2256" s="1" t="s">
        <v>2059</v>
      </c>
      <c r="Q2256" s="7" t="str">
        <f t="shared" si="76"/>
        <v>equipment/101101.png</v>
      </c>
      <c r="R2256" s="1">
        <v>0</v>
      </c>
    </row>
    <row r="2257" spans="1:18" ht="14.25" thickBot="1">
      <c r="A2257" s="1">
        <v>50901051</v>
      </c>
      <c r="B2257" s="3">
        <f t="shared" si="77"/>
        <v>0</v>
      </c>
      <c r="C2257" s="1" t="str">
        <f>C1795</f>
        <v>封印之剑</v>
      </c>
      <c r="D2257" s="1" t="s">
        <v>12</v>
      </c>
      <c r="E2257" s="1">
        <v>5</v>
      </c>
      <c r="F2257" s="1">
        <v>5</v>
      </c>
      <c r="G2257" s="1">
        <v>90</v>
      </c>
      <c r="H2257" s="10" t="s">
        <v>2120</v>
      </c>
      <c r="I2257" s="1">
        <f t="shared" si="78"/>
        <v>194000</v>
      </c>
      <c r="J2257" s="1">
        <v>150</v>
      </c>
      <c r="K2257" s="1">
        <v>1500</v>
      </c>
      <c r="L2257" s="1">
        <v>50000</v>
      </c>
      <c r="M2257" s="1" t="str">
        <f t="shared" si="79"/>
        <v>103_5719_5719,104_11438_11438</v>
      </c>
      <c r="N2257" s="1" t="s">
        <v>2459</v>
      </c>
      <c r="O2257" s="1">
        <v>0</v>
      </c>
      <c r="P2257" s="1" t="s">
        <v>2059</v>
      </c>
      <c r="Q2257" s="7" t="str">
        <f t="shared" si="76"/>
        <v>equipment/1131.png</v>
      </c>
      <c r="R2257" s="1">
        <v>0</v>
      </c>
    </row>
    <row r="2258" spans="1:18" ht="14.25" thickBot="1">
      <c r="A2258" s="1">
        <v>50901060</v>
      </c>
      <c r="B2258" s="3">
        <f t="shared" si="77"/>
        <v>1</v>
      </c>
      <c r="C2258" s="1" t="str">
        <f>C1796</f>
        <v>灾祸之盾</v>
      </c>
      <c r="D2258" s="1" t="s">
        <v>13</v>
      </c>
      <c r="E2258" s="1">
        <v>6</v>
      </c>
      <c r="F2258" s="1">
        <v>5</v>
      </c>
      <c r="G2258" s="1">
        <v>90</v>
      </c>
      <c r="H2258" s="10" t="s">
        <v>2120</v>
      </c>
      <c r="I2258" s="1">
        <f t="shared" si="78"/>
        <v>188000</v>
      </c>
      <c r="J2258" s="1">
        <v>150</v>
      </c>
      <c r="K2258" s="1">
        <v>1500</v>
      </c>
      <c r="L2258" s="1">
        <v>47500</v>
      </c>
      <c r="M2258" s="1" t="str">
        <f t="shared" si="79"/>
        <v>105_4924_4924</v>
      </c>
      <c r="N2258" s="1" t="s">
        <v>2459</v>
      </c>
      <c r="O2258" s="1">
        <v>0</v>
      </c>
      <c r="P2258" s="1" t="s">
        <v>2059</v>
      </c>
      <c r="Q2258" s="7" t="str">
        <f t="shared" si="76"/>
        <v>equipment/2125.png</v>
      </c>
      <c r="R2258" s="1">
        <v>0</v>
      </c>
    </row>
    <row r="2259" spans="1:18" ht="14.25" thickBot="1">
      <c r="A2259" s="1">
        <v>50901061</v>
      </c>
      <c r="B2259" s="3">
        <f t="shared" si="77"/>
        <v>0</v>
      </c>
      <c r="C2259" s="1" t="str">
        <f>C1797</f>
        <v>堕神之盾</v>
      </c>
      <c r="D2259" s="1" t="s">
        <v>13</v>
      </c>
      <c r="E2259" s="1">
        <v>6</v>
      </c>
      <c r="F2259" s="1">
        <v>5</v>
      </c>
      <c r="G2259" s="1">
        <v>90</v>
      </c>
      <c r="H2259" s="10" t="s">
        <v>2120</v>
      </c>
      <c r="I2259" s="1">
        <f t="shared" si="78"/>
        <v>194000</v>
      </c>
      <c r="J2259" s="1">
        <v>150</v>
      </c>
      <c r="K2259" s="1">
        <v>1500</v>
      </c>
      <c r="L2259" s="1">
        <v>50000</v>
      </c>
      <c r="M2259" s="1" t="str">
        <f t="shared" si="79"/>
        <v>105_5147_5147</v>
      </c>
      <c r="N2259" s="1" t="s">
        <v>2459</v>
      </c>
      <c r="O2259" s="1">
        <v>0</v>
      </c>
      <c r="P2259" s="1" t="s">
        <v>2059</v>
      </c>
      <c r="Q2259" s="7" t="str">
        <f t="shared" si="76"/>
        <v>equipment/102101.png</v>
      </c>
      <c r="R2259" s="1">
        <v>0</v>
      </c>
    </row>
    <row r="2260" spans="1:18" ht="14.25" thickBot="1">
      <c r="A2260" s="1">
        <v>50902050</v>
      </c>
      <c r="B2260" s="3">
        <f t="shared" si="77"/>
        <v>1</v>
      </c>
      <c r="C2260" s="1" t="str">
        <f>C1798</f>
        <v>破晓之弓</v>
      </c>
      <c r="D2260" s="1" t="s">
        <v>12</v>
      </c>
      <c r="E2260" s="1">
        <v>5</v>
      </c>
      <c r="F2260" s="1">
        <v>5</v>
      </c>
      <c r="G2260" s="1">
        <v>90</v>
      </c>
      <c r="H2260" s="10" t="s">
        <v>2121</v>
      </c>
      <c r="I2260" s="1">
        <f t="shared" si="78"/>
        <v>188000</v>
      </c>
      <c r="J2260" s="1">
        <v>150</v>
      </c>
      <c r="K2260" s="1">
        <v>1500</v>
      </c>
      <c r="L2260" s="1">
        <v>47500</v>
      </c>
      <c r="M2260" s="1" t="str">
        <f t="shared" si="79"/>
        <v>103_5471_5471,104_10942_10942</v>
      </c>
      <c r="N2260" s="1" t="s">
        <v>2459</v>
      </c>
      <c r="O2260" s="1">
        <v>0</v>
      </c>
      <c r="P2260" s="1" t="s">
        <v>2059</v>
      </c>
      <c r="Q2260" s="7" t="str">
        <f t="shared" si="76"/>
        <v>equipment/1231.png</v>
      </c>
      <c r="R2260" s="1">
        <v>0</v>
      </c>
    </row>
    <row r="2261" spans="1:18" ht="14.25" thickBot="1">
      <c r="A2261" s="1">
        <v>50902051</v>
      </c>
      <c r="B2261" s="3">
        <f t="shared" si="77"/>
        <v>0</v>
      </c>
      <c r="C2261" s="1" t="str">
        <f t="shared" ref="C2261:C2315" si="80">C1799</f>
        <v>彗星之击</v>
      </c>
      <c r="D2261" s="1" t="s">
        <v>12</v>
      </c>
      <c r="E2261" s="1">
        <v>5</v>
      </c>
      <c r="F2261" s="1">
        <v>5</v>
      </c>
      <c r="G2261" s="1">
        <v>90</v>
      </c>
      <c r="H2261" s="10" t="s">
        <v>2121</v>
      </c>
      <c r="I2261" s="1">
        <f t="shared" si="78"/>
        <v>194000</v>
      </c>
      <c r="J2261" s="1">
        <v>150</v>
      </c>
      <c r="K2261" s="1">
        <v>1500</v>
      </c>
      <c r="L2261" s="1">
        <v>50000</v>
      </c>
      <c r="M2261" s="1" t="str">
        <f t="shared" si="79"/>
        <v>103_5719_5719,104_11438_11438</v>
      </c>
      <c r="N2261" s="1" t="s">
        <v>2459</v>
      </c>
      <c r="O2261" s="1">
        <v>0</v>
      </c>
      <c r="P2261" s="1" t="s">
        <v>2059</v>
      </c>
      <c r="Q2261" s="7" t="str">
        <f t="shared" ref="Q2261:Q2324" si="81">Q1799</f>
        <v>equipment/101201.png</v>
      </c>
      <c r="R2261" s="1">
        <v>0</v>
      </c>
    </row>
    <row r="2262" spans="1:18" ht="14.25" thickBot="1">
      <c r="A2262" s="1">
        <v>50902060</v>
      </c>
      <c r="B2262" s="3">
        <f t="shared" si="77"/>
        <v>1</v>
      </c>
      <c r="C2262" s="1" t="str">
        <f t="shared" si="80"/>
        <v>灵痕箭袋</v>
      </c>
      <c r="D2262" s="1" t="s">
        <v>13</v>
      </c>
      <c r="E2262" s="1">
        <v>6</v>
      </c>
      <c r="F2262" s="1">
        <v>5</v>
      </c>
      <c r="G2262" s="1">
        <v>90</v>
      </c>
      <c r="H2262" s="10" t="s">
        <v>2121</v>
      </c>
      <c r="I2262" s="1">
        <f t="shared" si="78"/>
        <v>188000</v>
      </c>
      <c r="J2262" s="1">
        <v>150</v>
      </c>
      <c r="K2262" s="1">
        <v>1500</v>
      </c>
      <c r="L2262" s="1">
        <v>47500</v>
      </c>
      <c r="M2262" s="1" t="str">
        <f t="shared" si="79"/>
        <v>108_4924_4924</v>
      </c>
      <c r="N2262" s="1" t="s">
        <v>2459</v>
      </c>
      <c r="O2262" s="1">
        <v>0</v>
      </c>
      <c r="P2262" s="1" t="s">
        <v>2059</v>
      </c>
      <c r="Q2262" s="7" t="str">
        <f t="shared" si="81"/>
        <v>equipment/2225.png</v>
      </c>
      <c r="R2262" s="1">
        <v>0</v>
      </c>
    </row>
    <row r="2263" spans="1:18" ht="14.25" thickBot="1">
      <c r="A2263" s="1">
        <v>50902061</v>
      </c>
      <c r="B2263" s="3">
        <f t="shared" si="77"/>
        <v>0</v>
      </c>
      <c r="C2263" s="1" t="str">
        <f t="shared" si="80"/>
        <v>星坠箭筒</v>
      </c>
      <c r="D2263" s="1" t="s">
        <v>13</v>
      </c>
      <c r="E2263" s="1">
        <v>6</v>
      </c>
      <c r="F2263" s="1">
        <v>5</v>
      </c>
      <c r="G2263" s="1">
        <v>90</v>
      </c>
      <c r="H2263" s="10" t="s">
        <v>2121</v>
      </c>
      <c r="I2263" s="1">
        <f t="shared" si="78"/>
        <v>194000</v>
      </c>
      <c r="J2263" s="1">
        <v>150</v>
      </c>
      <c r="K2263" s="1">
        <v>1500</v>
      </c>
      <c r="L2263" s="1">
        <v>50000</v>
      </c>
      <c r="M2263" s="1" t="str">
        <f t="shared" si="79"/>
        <v>108_5147_5147</v>
      </c>
      <c r="N2263" s="1" t="s">
        <v>2459</v>
      </c>
      <c r="O2263" s="1">
        <v>0</v>
      </c>
      <c r="P2263" s="1" t="s">
        <v>2059</v>
      </c>
      <c r="Q2263" s="7" t="str">
        <f t="shared" si="81"/>
        <v>equipment/2217.png</v>
      </c>
      <c r="R2263" s="1">
        <v>0</v>
      </c>
    </row>
    <row r="2264" spans="1:18" ht="14.25" thickBot="1">
      <c r="A2264" s="1">
        <v>50903050</v>
      </c>
      <c r="B2264" s="3">
        <f t="shared" si="77"/>
        <v>1</v>
      </c>
      <c r="C2264" s="1" t="str">
        <f t="shared" si="80"/>
        <v>观察者之杖</v>
      </c>
      <c r="D2264" s="1" t="s">
        <v>12</v>
      </c>
      <c r="E2264" s="1">
        <v>5</v>
      </c>
      <c r="F2264" s="1">
        <v>5</v>
      </c>
      <c r="G2264" s="1">
        <v>90</v>
      </c>
      <c r="H2264" s="10" t="s">
        <v>2122</v>
      </c>
      <c r="I2264" s="1">
        <f t="shared" si="78"/>
        <v>188000</v>
      </c>
      <c r="J2264" s="1">
        <v>150</v>
      </c>
      <c r="K2264" s="1">
        <v>1500</v>
      </c>
      <c r="L2264" s="1">
        <v>47500</v>
      </c>
      <c r="M2264" s="1" t="str">
        <f t="shared" si="79"/>
        <v>103_5471_5471,104_10942_10942</v>
      </c>
      <c r="N2264" s="1" t="s">
        <v>2459</v>
      </c>
      <c r="O2264" s="1">
        <v>0</v>
      </c>
      <c r="P2264" s="1" t="s">
        <v>2059</v>
      </c>
      <c r="Q2264" s="7" t="str">
        <f t="shared" si="81"/>
        <v>equipment/1330.png</v>
      </c>
      <c r="R2264" s="1">
        <v>0</v>
      </c>
    </row>
    <row r="2265" spans="1:18" ht="14.25" thickBot="1">
      <c r="A2265" s="1">
        <v>50903051</v>
      </c>
      <c r="B2265" s="3">
        <f t="shared" si="77"/>
        <v>0</v>
      </c>
      <c r="C2265" s="1" t="str">
        <f t="shared" si="80"/>
        <v>星辰权杖</v>
      </c>
      <c r="D2265" s="1" t="s">
        <v>12</v>
      </c>
      <c r="E2265" s="1">
        <v>5</v>
      </c>
      <c r="F2265" s="1">
        <v>5</v>
      </c>
      <c r="G2265" s="1">
        <v>90</v>
      </c>
      <c r="H2265" s="10" t="s">
        <v>2122</v>
      </c>
      <c r="I2265" s="1">
        <f t="shared" si="78"/>
        <v>194000</v>
      </c>
      <c r="J2265" s="1">
        <v>150</v>
      </c>
      <c r="K2265" s="1">
        <v>1500</v>
      </c>
      <c r="L2265" s="1">
        <v>50000</v>
      </c>
      <c r="M2265" s="1" t="str">
        <f t="shared" si="79"/>
        <v>103_5719_5719,104_11438_11438</v>
      </c>
      <c r="N2265" s="1" t="s">
        <v>2459</v>
      </c>
      <c r="O2265" s="1">
        <v>0</v>
      </c>
      <c r="P2265" s="1" t="s">
        <v>2059</v>
      </c>
      <c r="Q2265" s="7" t="str">
        <f t="shared" si="81"/>
        <v>equipment/1328.png</v>
      </c>
      <c r="R2265" s="1">
        <v>0</v>
      </c>
    </row>
    <row r="2266" spans="1:18" ht="14.25" thickBot="1">
      <c r="A2266" s="1">
        <v>50903060</v>
      </c>
      <c r="B2266" s="3">
        <f t="shared" si="77"/>
        <v>1</v>
      </c>
      <c r="C2266" s="1" t="str">
        <f t="shared" si="80"/>
        <v>云河指南</v>
      </c>
      <c r="D2266" s="1" t="s">
        <v>13</v>
      </c>
      <c r="E2266" s="1">
        <v>6</v>
      </c>
      <c r="F2266" s="1">
        <v>5</v>
      </c>
      <c r="G2266" s="1">
        <v>90</v>
      </c>
      <c r="H2266" s="10" t="s">
        <v>2122</v>
      </c>
      <c r="I2266" s="1">
        <f t="shared" si="78"/>
        <v>188000</v>
      </c>
      <c r="J2266" s="1">
        <v>150</v>
      </c>
      <c r="K2266" s="1">
        <v>1500</v>
      </c>
      <c r="L2266" s="1">
        <v>47500</v>
      </c>
      <c r="M2266" s="1" t="str">
        <f t="shared" si="79"/>
        <v>102_4040_4040</v>
      </c>
      <c r="N2266" s="1" t="s">
        <v>2459</v>
      </c>
      <c r="O2266" s="1">
        <v>0</v>
      </c>
      <c r="P2266" s="1" t="s">
        <v>2059</v>
      </c>
      <c r="Q2266" s="7" t="str">
        <f t="shared" si="81"/>
        <v>equipment/2325.png</v>
      </c>
      <c r="R2266" s="1">
        <v>0</v>
      </c>
    </row>
    <row r="2267" spans="1:18" ht="14.25" thickBot="1">
      <c r="A2267" s="1">
        <v>50903061</v>
      </c>
      <c r="B2267" s="3">
        <f t="shared" si="77"/>
        <v>0</v>
      </c>
      <c r="C2267" s="1" t="str">
        <f t="shared" si="80"/>
        <v>星界之书</v>
      </c>
      <c r="D2267" s="1" t="s">
        <v>13</v>
      </c>
      <c r="E2267" s="1">
        <v>6</v>
      </c>
      <c r="F2267" s="1">
        <v>5</v>
      </c>
      <c r="G2267" s="1">
        <v>90</v>
      </c>
      <c r="H2267" s="10" t="s">
        <v>2122</v>
      </c>
      <c r="I2267" s="1">
        <f t="shared" si="78"/>
        <v>194000</v>
      </c>
      <c r="J2267" s="1">
        <v>150</v>
      </c>
      <c r="K2267" s="1">
        <v>1500</v>
      </c>
      <c r="L2267" s="1">
        <v>50000</v>
      </c>
      <c r="M2267" s="1" t="str">
        <f t="shared" si="79"/>
        <v>102_4140_4140</v>
      </c>
      <c r="N2267" s="1" t="s">
        <v>2459</v>
      </c>
      <c r="O2267" s="1">
        <v>0</v>
      </c>
      <c r="P2267" s="1" t="s">
        <v>2059</v>
      </c>
      <c r="Q2267" s="7" t="str">
        <f t="shared" si="81"/>
        <v>equipment/2324.png</v>
      </c>
      <c r="R2267" s="1">
        <v>0</v>
      </c>
    </row>
    <row r="2268" spans="1:18" ht="14.25" thickBot="1">
      <c r="A2268" s="1">
        <v>50900040</v>
      </c>
      <c r="B2268" s="3">
        <f t="shared" si="77"/>
        <v>1</v>
      </c>
      <c r="C2268" s="1" t="str">
        <f t="shared" si="80"/>
        <v>坚毅胸甲</v>
      </c>
      <c r="D2268" s="1" t="s">
        <v>11</v>
      </c>
      <c r="E2268" s="1">
        <v>4</v>
      </c>
      <c r="F2268" s="1">
        <v>5</v>
      </c>
      <c r="G2268" s="1">
        <v>90</v>
      </c>
      <c r="H2268" s="10">
        <v>0</v>
      </c>
      <c r="I2268" s="1">
        <f t="shared" si="78"/>
        <v>188000</v>
      </c>
      <c r="J2268" s="1">
        <v>150</v>
      </c>
      <c r="K2268" s="1">
        <v>1500</v>
      </c>
      <c r="L2268" s="1">
        <v>47500</v>
      </c>
      <c r="M2268" s="1" t="str">
        <f t="shared" si="79"/>
        <v>105_3447_3447</v>
      </c>
      <c r="N2268" s="1" t="s">
        <v>2458</v>
      </c>
      <c r="O2268" s="1">
        <v>0</v>
      </c>
      <c r="P2268" s="1" t="s">
        <v>2059</v>
      </c>
      <c r="Q2268" s="7" t="str">
        <f t="shared" si="81"/>
        <v>equipment/5024.png</v>
      </c>
      <c r="R2268" s="1">
        <v>0</v>
      </c>
    </row>
    <row r="2269" spans="1:18" ht="14.25" thickBot="1">
      <c r="A2269" s="1">
        <v>50900041</v>
      </c>
      <c r="B2269" s="3">
        <f t="shared" si="77"/>
        <v>0</v>
      </c>
      <c r="C2269" s="1" t="str">
        <f t="shared" si="80"/>
        <v>群山之拥</v>
      </c>
      <c r="D2269" s="1" t="s">
        <v>11</v>
      </c>
      <c r="E2269" s="1">
        <v>4</v>
      </c>
      <c r="F2269" s="1">
        <v>5</v>
      </c>
      <c r="G2269" s="1">
        <v>90</v>
      </c>
      <c r="H2269" s="10">
        <v>0</v>
      </c>
      <c r="I2269" s="1">
        <f t="shared" si="78"/>
        <v>194000</v>
      </c>
      <c r="J2269" s="1">
        <v>150</v>
      </c>
      <c r="K2269" s="1">
        <v>1500</v>
      </c>
      <c r="L2269" s="1">
        <v>50000</v>
      </c>
      <c r="M2269" s="1" t="str">
        <f t="shared" si="79"/>
        <v>105_3603_3603</v>
      </c>
      <c r="N2269" s="1" t="s">
        <v>2458</v>
      </c>
      <c r="O2269" s="1">
        <v>0</v>
      </c>
      <c r="P2269" s="1" t="s">
        <v>2059</v>
      </c>
      <c r="Q2269" s="7" t="str">
        <f t="shared" si="81"/>
        <v>equipment/5001.png</v>
      </c>
      <c r="R2269" s="1">
        <v>0</v>
      </c>
    </row>
    <row r="2270" spans="1:18" ht="14.25" thickBot="1">
      <c r="A2270" s="1">
        <v>50900070</v>
      </c>
      <c r="B2270" s="3">
        <f t="shared" si="77"/>
        <v>1</v>
      </c>
      <c r="C2270" s="1" t="str">
        <f t="shared" si="80"/>
        <v>复苏护腿</v>
      </c>
      <c r="D2270" s="1" t="s">
        <v>14</v>
      </c>
      <c r="E2270" s="1">
        <v>7</v>
      </c>
      <c r="F2270" s="1">
        <v>5</v>
      </c>
      <c r="G2270" s="1">
        <v>90</v>
      </c>
      <c r="H2270" s="10">
        <v>0</v>
      </c>
      <c r="I2270" s="1">
        <f t="shared" si="78"/>
        <v>188000</v>
      </c>
      <c r="J2270" s="1">
        <v>150</v>
      </c>
      <c r="K2270" s="1">
        <v>1500</v>
      </c>
      <c r="L2270" s="1">
        <v>47500</v>
      </c>
      <c r="M2270" s="1" t="str">
        <f t="shared" si="79"/>
        <v>105_3447_3447</v>
      </c>
      <c r="N2270" s="1" t="s">
        <v>2458</v>
      </c>
      <c r="O2270" s="1">
        <v>0</v>
      </c>
      <c r="P2270" s="1" t="s">
        <v>2059</v>
      </c>
      <c r="Q2270" s="7" t="str">
        <f t="shared" si="81"/>
        <v>equipment/7016.png</v>
      </c>
      <c r="R2270" s="1">
        <v>0</v>
      </c>
    </row>
    <row r="2271" spans="1:18" ht="14.25" thickBot="1">
      <c r="A2271" s="1">
        <v>50900071</v>
      </c>
      <c r="B2271" s="3">
        <f t="shared" si="77"/>
        <v>0</v>
      </c>
      <c r="C2271" s="1" t="str">
        <f t="shared" si="80"/>
        <v>虔信腿甲</v>
      </c>
      <c r="D2271" s="1" t="s">
        <v>14</v>
      </c>
      <c r="E2271" s="1">
        <v>7</v>
      </c>
      <c r="F2271" s="1">
        <v>5</v>
      </c>
      <c r="G2271" s="1">
        <v>90</v>
      </c>
      <c r="H2271" s="10">
        <v>0</v>
      </c>
      <c r="I2271" s="1">
        <f t="shared" si="78"/>
        <v>194000</v>
      </c>
      <c r="J2271" s="1">
        <v>150</v>
      </c>
      <c r="K2271" s="1">
        <v>1500</v>
      </c>
      <c r="L2271" s="1">
        <v>50000</v>
      </c>
      <c r="M2271" s="1" t="str">
        <f t="shared" si="79"/>
        <v>105_3603_3603</v>
      </c>
      <c r="N2271" s="1" t="s">
        <v>2458</v>
      </c>
      <c r="O2271" s="1">
        <v>0</v>
      </c>
      <c r="P2271" s="1" t="s">
        <v>2059</v>
      </c>
      <c r="Q2271" s="7" t="str">
        <f t="shared" si="81"/>
        <v>equipment/7001.png</v>
      </c>
      <c r="R2271" s="1">
        <v>0</v>
      </c>
    </row>
    <row r="2272" spans="1:18" ht="14.25" thickBot="1">
      <c r="A2272" s="1">
        <v>50950010</v>
      </c>
      <c r="B2272" s="3">
        <f t="shared" si="77"/>
        <v>1</v>
      </c>
      <c r="C2272" s="1" t="str">
        <f t="shared" si="80"/>
        <v>魂铸头盔</v>
      </c>
      <c r="D2272" s="1" t="s">
        <v>8</v>
      </c>
      <c r="E2272" s="1">
        <v>1</v>
      </c>
      <c r="F2272" s="1">
        <v>5</v>
      </c>
      <c r="G2272" s="1">
        <v>95</v>
      </c>
      <c r="H2272" s="10">
        <v>0</v>
      </c>
      <c r="I2272" s="1">
        <f t="shared" si="78"/>
        <v>200000</v>
      </c>
      <c r="J2272" s="1">
        <v>150</v>
      </c>
      <c r="K2272" s="1">
        <v>1500</v>
      </c>
      <c r="L2272" s="1">
        <v>50000</v>
      </c>
      <c r="M2272" s="1" t="str">
        <f t="shared" si="79"/>
        <v>106_5346_5346</v>
      </c>
      <c r="N2272" s="1" t="s">
        <v>2460</v>
      </c>
      <c r="O2272" s="1">
        <v>0</v>
      </c>
      <c r="P2272" s="1" t="s">
        <v>2059</v>
      </c>
      <c r="Q2272" s="7" t="str">
        <f t="shared" si="81"/>
        <v>equipment/3001.png</v>
      </c>
      <c r="R2272" s="1">
        <v>0</v>
      </c>
    </row>
    <row r="2273" spans="1:18" ht="14.25" thickBot="1">
      <c r="A2273" s="1">
        <v>50950020</v>
      </c>
      <c r="B2273" s="3">
        <f t="shared" si="77"/>
        <v>1</v>
      </c>
      <c r="C2273" s="1" t="str">
        <f t="shared" si="80"/>
        <v>云霄之环</v>
      </c>
      <c r="D2273" s="1" t="s">
        <v>9</v>
      </c>
      <c r="E2273" s="1">
        <v>2</v>
      </c>
      <c r="F2273" s="1">
        <v>5</v>
      </c>
      <c r="G2273" s="1">
        <v>95</v>
      </c>
      <c r="H2273" s="10">
        <v>0</v>
      </c>
      <c r="I2273" s="1">
        <f t="shared" si="78"/>
        <v>200000</v>
      </c>
      <c r="J2273" s="1">
        <v>150</v>
      </c>
      <c r="K2273" s="1">
        <v>1500</v>
      </c>
      <c r="L2273" s="1">
        <v>50000</v>
      </c>
      <c r="M2273" s="1" t="str">
        <f t="shared" si="79"/>
        <v>102_2240_2240</v>
      </c>
      <c r="N2273" s="1" t="s">
        <v>2460</v>
      </c>
      <c r="O2273" s="1">
        <v>0</v>
      </c>
      <c r="P2273" s="1" t="s">
        <v>2059</v>
      </c>
      <c r="Q2273" s="7" t="str">
        <f t="shared" si="81"/>
        <v>equipment/14001.png</v>
      </c>
      <c r="R2273" s="1">
        <v>0</v>
      </c>
    </row>
    <row r="2274" spans="1:18" ht="14.25" thickBot="1">
      <c r="A2274" s="1">
        <v>50950030</v>
      </c>
      <c r="B2274" s="3">
        <f t="shared" si="77"/>
        <v>1</v>
      </c>
      <c r="C2274" s="1" t="str">
        <f t="shared" si="80"/>
        <v>破天者腰带</v>
      </c>
      <c r="D2274" s="1" t="s">
        <v>10</v>
      </c>
      <c r="E2274" s="1">
        <v>3</v>
      </c>
      <c r="F2274" s="1">
        <v>5</v>
      </c>
      <c r="G2274" s="1">
        <v>95</v>
      </c>
      <c r="H2274" s="10">
        <v>0</v>
      </c>
      <c r="I2274" s="1">
        <f t="shared" si="78"/>
        <v>200000</v>
      </c>
      <c r="J2274" s="1">
        <v>150</v>
      </c>
      <c r="K2274" s="1">
        <v>1500</v>
      </c>
      <c r="L2274" s="1">
        <v>50000</v>
      </c>
      <c r="M2274" s="1" t="str">
        <f t="shared" si="79"/>
        <v>101_32760_32760</v>
      </c>
      <c r="N2274" s="1" t="s">
        <v>2460</v>
      </c>
      <c r="O2274" s="1">
        <v>0</v>
      </c>
      <c r="P2274" s="1" t="s">
        <v>2059</v>
      </c>
      <c r="Q2274" s="7" t="str">
        <f t="shared" si="81"/>
        <v>equipment/6001.png</v>
      </c>
      <c r="R2274" s="1">
        <v>0</v>
      </c>
    </row>
    <row r="2275" spans="1:18" ht="14.25" thickBot="1">
      <c r="A2275" s="1">
        <v>50950080</v>
      </c>
      <c r="B2275" s="3">
        <f t="shared" si="77"/>
        <v>1</v>
      </c>
      <c r="C2275" s="1" t="str">
        <f t="shared" si="80"/>
        <v>圣洁怒火之靴</v>
      </c>
      <c r="D2275" s="1" t="s">
        <v>15</v>
      </c>
      <c r="E2275" s="1">
        <v>8</v>
      </c>
      <c r="F2275" s="1">
        <v>5</v>
      </c>
      <c r="G2275" s="1">
        <v>95</v>
      </c>
      <c r="H2275" s="10">
        <v>0</v>
      </c>
      <c r="I2275" s="1">
        <f t="shared" si="78"/>
        <v>200000</v>
      </c>
      <c r="J2275" s="1">
        <v>150</v>
      </c>
      <c r="K2275" s="1">
        <v>1500</v>
      </c>
      <c r="L2275" s="1">
        <v>50000</v>
      </c>
      <c r="M2275" s="1" t="str">
        <f t="shared" si="79"/>
        <v>110_786_786</v>
      </c>
      <c r="N2275" s="1" t="s">
        <v>2460</v>
      </c>
      <c r="O2275" s="1">
        <v>0</v>
      </c>
      <c r="P2275" s="1" t="s">
        <v>2059</v>
      </c>
      <c r="Q2275" s="7" t="str">
        <f t="shared" si="81"/>
        <v>equipment/8001.png</v>
      </c>
      <c r="R2275" s="1">
        <v>0</v>
      </c>
    </row>
    <row r="2276" spans="1:18" ht="14.25" thickBot="1">
      <c r="A2276" s="1">
        <v>50950090</v>
      </c>
      <c r="B2276" s="3">
        <f t="shared" si="77"/>
        <v>1</v>
      </c>
      <c r="C2276" s="1" t="str">
        <f t="shared" si="80"/>
        <v>破灭之手</v>
      </c>
      <c r="D2276" s="1" t="s">
        <v>16</v>
      </c>
      <c r="E2276" s="1">
        <v>9</v>
      </c>
      <c r="F2276" s="1">
        <v>5</v>
      </c>
      <c r="G2276" s="1">
        <v>95</v>
      </c>
      <c r="H2276" s="10">
        <v>0</v>
      </c>
      <c r="I2276" s="1">
        <f t="shared" si="78"/>
        <v>200000</v>
      </c>
      <c r="J2276" s="1">
        <v>150</v>
      </c>
      <c r="K2276" s="1">
        <v>1500</v>
      </c>
      <c r="L2276" s="1">
        <v>50000</v>
      </c>
      <c r="M2276" s="1" t="str">
        <f t="shared" si="79"/>
        <v>108_6853_6853</v>
      </c>
      <c r="N2276" s="1" t="s">
        <v>2460</v>
      </c>
      <c r="O2276" s="1">
        <v>0</v>
      </c>
      <c r="P2276" s="1" t="s">
        <v>2059</v>
      </c>
      <c r="Q2276" s="7" t="str">
        <f t="shared" si="81"/>
        <v>equipment/10001.png</v>
      </c>
      <c r="R2276" s="1">
        <v>0</v>
      </c>
    </row>
    <row r="2277" spans="1:18" ht="14.25" thickBot="1">
      <c r="A2277" s="1">
        <v>50950100</v>
      </c>
      <c r="B2277" s="3">
        <f t="shared" si="77"/>
        <v>1</v>
      </c>
      <c r="C2277" s="1" t="str">
        <f t="shared" si="80"/>
        <v>圣灵之佑</v>
      </c>
      <c r="D2277" s="1" t="s">
        <v>17</v>
      </c>
      <c r="E2277" s="1">
        <v>10</v>
      </c>
      <c r="F2277" s="1">
        <v>5</v>
      </c>
      <c r="G2277" s="1">
        <v>95</v>
      </c>
      <c r="H2277" s="10">
        <v>0</v>
      </c>
      <c r="I2277" s="1">
        <f t="shared" si="78"/>
        <v>200000</v>
      </c>
      <c r="J2277" s="1">
        <v>150</v>
      </c>
      <c r="K2277" s="1">
        <v>1500</v>
      </c>
      <c r="L2277" s="1">
        <v>50000</v>
      </c>
      <c r="M2277" s="1" t="str">
        <f t="shared" si="79"/>
        <v>107_5346_5346</v>
      </c>
      <c r="N2277" s="1" t="s">
        <v>2460</v>
      </c>
      <c r="O2277" s="1">
        <v>0</v>
      </c>
      <c r="P2277" s="1" t="s">
        <v>2059</v>
      </c>
      <c r="Q2277" s="7" t="str">
        <f t="shared" si="81"/>
        <v>equipment/12001.png</v>
      </c>
      <c r="R2277" s="1">
        <v>0</v>
      </c>
    </row>
    <row r="2278" spans="1:18" ht="14.25" thickBot="1">
      <c r="A2278" s="1">
        <v>50951050</v>
      </c>
      <c r="B2278" s="3">
        <f t="shared" si="77"/>
        <v>1</v>
      </c>
      <c r="C2278" s="1" t="str">
        <f t="shared" si="80"/>
        <v>云颠之剑</v>
      </c>
      <c r="D2278" s="1" t="s">
        <v>12</v>
      </c>
      <c r="E2278" s="1">
        <v>5</v>
      </c>
      <c r="F2278" s="1">
        <v>5</v>
      </c>
      <c r="G2278" s="1">
        <v>95</v>
      </c>
      <c r="H2278" s="10" t="s">
        <v>2120</v>
      </c>
      <c r="I2278" s="1">
        <f t="shared" si="78"/>
        <v>200000</v>
      </c>
      <c r="J2278" s="1">
        <v>150</v>
      </c>
      <c r="K2278" s="1">
        <v>1500</v>
      </c>
      <c r="L2278" s="1">
        <v>50000</v>
      </c>
      <c r="M2278" s="1" t="str">
        <f t="shared" si="79"/>
        <v>103_6091_6091,104_12182_12182</v>
      </c>
      <c r="N2278" s="1" t="s">
        <v>2461</v>
      </c>
      <c r="O2278" s="1">
        <v>0</v>
      </c>
      <c r="P2278" s="1" t="s">
        <v>2059</v>
      </c>
      <c r="Q2278" s="7" t="str">
        <f t="shared" si="81"/>
        <v>equipment/1124.png</v>
      </c>
      <c r="R2278" s="1">
        <v>0</v>
      </c>
    </row>
    <row r="2279" spans="1:18" ht="14.25" thickBot="1">
      <c r="A2279" s="1">
        <v>50951051</v>
      </c>
      <c r="B2279" s="3">
        <f t="shared" si="77"/>
        <v>0</v>
      </c>
      <c r="C2279" s="1" t="str">
        <f t="shared" si="80"/>
        <v>血色黎明</v>
      </c>
      <c r="D2279" s="1" t="s">
        <v>12</v>
      </c>
      <c r="E2279" s="1">
        <v>5</v>
      </c>
      <c r="F2279" s="1">
        <v>5</v>
      </c>
      <c r="G2279" s="1">
        <v>95</v>
      </c>
      <c r="H2279" s="10" t="s">
        <v>2120</v>
      </c>
      <c r="I2279" s="1">
        <f t="shared" si="78"/>
        <v>206000</v>
      </c>
      <c r="J2279" s="1">
        <v>150</v>
      </c>
      <c r="K2279" s="1">
        <v>1500</v>
      </c>
      <c r="L2279" s="1">
        <v>52500</v>
      </c>
      <c r="M2279" s="1" t="str">
        <f t="shared" si="79"/>
        <v>103_6352_6352,104_12705_12705</v>
      </c>
      <c r="N2279" s="1" t="s">
        <v>2461</v>
      </c>
      <c r="O2279" s="1">
        <v>0</v>
      </c>
      <c r="P2279" s="1" t="s">
        <v>2059</v>
      </c>
      <c r="Q2279" s="7" t="str">
        <f t="shared" si="81"/>
        <v>equipment/1101.png</v>
      </c>
      <c r="R2279" s="1">
        <v>0</v>
      </c>
    </row>
    <row r="2280" spans="1:18" ht="14.25" thickBot="1">
      <c r="A2280" s="1">
        <v>50951060</v>
      </c>
      <c r="B2280" s="3">
        <f t="shared" si="77"/>
        <v>1</v>
      </c>
      <c r="C2280" s="1" t="str">
        <f t="shared" si="80"/>
        <v>荣耀壁垒</v>
      </c>
      <c r="D2280" s="1" t="s">
        <v>13</v>
      </c>
      <c r="E2280" s="1">
        <v>6</v>
      </c>
      <c r="F2280" s="1">
        <v>5</v>
      </c>
      <c r="G2280" s="1">
        <v>95</v>
      </c>
      <c r="H2280" s="10" t="s">
        <v>2120</v>
      </c>
      <c r="I2280" s="1">
        <f t="shared" si="78"/>
        <v>200000</v>
      </c>
      <c r="J2280" s="1">
        <v>150</v>
      </c>
      <c r="K2280" s="1">
        <v>1500</v>
      </c>
      <c r="L2280" s="1">
        <v>50000</v>
      </c>
      <c r="M2280" s="1" t="str">
        <f t="shared" si="79"/>
        <v>105_5482_5482</v>
      </c>
      <c r="N2280" s="1" t="s">
        <v>2461</v>
      </c>
      <c r="O2280" s="1">
        <v>0</v>
      </c>
      <c r="P2280" s="1" t="s">
        <v>2059</v>
      </c>
      <c r="Q2280" s="7" t="str">
        <f t="shared" si="81"/>
        <v>equipment/2118.png</v>
      </c>
      <c r="R2280" s="1">
        <v>0</v>
      </c>
    </row>
    <row r="2281" spans="1:18" ht="14.25" thickBot="1">
      <c r="A2281" s="1">
        <v>50951061</v>
      </c>
      <c r="B2281" s="3">
        <f t="shared" si="77"/>
        <v>0</v>
      </c>
      <c r="C2281" s="1" t="str">
        <f t="shared" si="80"/>
        <v>曙光之盾</v>
      </c>
      <c r="D2281" s="1" t="s">
        <v>13</v>
      </c>
      <c r="E2281" s="1">
        <v>6</v>
      </c>
      <c r="F2281" s="1">
        <v>5</v>
      </c>
      <c r="G2281" s="1">
        <v>95</v>
      </c>
      <c r="H2281" s="10" t="s">
        <v>2120</v>
      </c>
      <c r="I2281" s="1">
        <f t="shared" si="78"/>
        <v>206000</v>
      </c>
      <c r="J2281" s="1">
        <v>150</v>
      </c>
      <c r="K2281" s="1">
        <v>1500</v>
      </c>
      <c r="L2281" s="1">
        <v>52500</v>
      </c>
      <c r="M2281" s="1" t="str">
        <f t="shared" si="79"/>
        <v>105_5717_5717</v>
      </c>
      <c r="N2281" s="1" t="s">
        <v>2461</v>
      </c>
      <c r="O2281" s="1">
        <v>0</v>
      </c>
      <c r="P2281" s="1" t="s">
        <v>2059</v>
      </c>
      <c r="Q2281" s="7" t="str">
        <f t="shared" si="81"/>
        <v>equipment/2101.png</v>
      </c>
      <c r="R2281" s="1">
        <v>0</v>
      </c>
    </row>
    <row r="2282" spans="1:18" ht="14.25" thickBot="1">
      <c r="A2282" s="1">
        <v>50952050</v>
      </c>
      <c r="B2282" s="3">
        <f t="shared" si="77"/>
        <v>1</v>
      </c>
      <c r="C2282" s="1" t="str">
        <f t="shared" si="80"/>
        <v>灵魂之弦</v>
      </c>
      <c r="D2282" s="1" t="s">
        <v>12</v>
      </c>
      <c r="E2282" s="1">
        <v>5</v>
      </c>
      <c r="F2282" s="1">
        <v>5</v>
      </c>
      <c r="G2282" s="1">
        <v>95</v>
      </c>
      <c r="H2282" s="10" t="s">
        <v>2121</v>
      </c>
      <c r="I2282" s="1">
        <f t="shared" si="78"/>
        <v>200000</v>
      </c>
      <c r="J2282" s="1">
        <v>150</v>
      </c>
      <c r="K2282" s="1">
        <v>1500</v>
      </c>
      <c r="L2282" s="1">
        <v>50000</v>
      </c>
      <c r="M2282" s="1" t="str">
        <f t="shared" si="79"/>
        <v>103_6091_6091,104_12182_12182</v>
      </c>
      <c r="N2282" s="1" t="s">
        <v>2461</v>
      </c>
      <c r="O2282" s="1">
        <v>0</v>
      </c>
      <c r="P2282" s="1" t="s">
        <v>2059</v>
      </c>
      <c r="Q2282" s="7" t="str">
        <f t="shared" si="81"/>
        <v>equipment/1222.png</v>
      </c>
      <c r="R2282" s="1">
        <v>0</v>
      </c>
    </row>
    <row r="2283" spans="1:18" ht="14.25" thickBot="1">
      <c r="A2283" s="1">
        <v>50952051</v>
      </c>
      <c r="B2283" s="3">
        <f t="shared" si="77"/>
        <v>0</v>
      </c>
      <c r="C2283" s="1" t="str">
        <f t="shared" si="80"/>
        <v>风暴凝视</v>
      </c>
      <c r="D2283" s="1" t="s">
        <v>12</v>
      </c>
      <c r="E2283" s="1">
        <v>5</v>
      </c>
      <c r="F2283" s="1">
        <v>5</v>
      </c>
      <c r="G2283" s="1">
        <v>95</v>
      </c>
      <c r="H2283" s="10" t="s">
        <v>2121</v>
      </c>
      <c r="I2283" s="1">
        <f t="shared" si="78"/>
        <v>206000</v>
      </c>
      <c r="J2283" s="1">
        <v>150</v>
      </c>
      <c r="K2283" s="1">
        <v>1500</v>
      </c>
      <c r="L2283" s="1">
        <v>52500</v>
      </c>
      <c r="M2283" s="1" t="str">
        <f t="shared" si="79"/>
        <v>103_6352_6352,104_12705_12705</v>
      </c>
      <c r="N2283" s="1" t="s">
        <v>2461</v>
      </c>
      <c r="O2283" s="1">
        <v>0</v>
      </c>
      <c r="P2283" s="1" t="s">
        <v>2059</v>
      </c>
      <c r="Q2283" s="7" t="str">
        <f t="shared" si="81"/>
        <v>equipment/1201.png</v>
      </c>
      <c r="R2283" s="1">
        <v>0</v>
      </c>
    </row>
    <row r="2284" spans="1:18" ht="14.25" thickBot="1">
      <c r="A2284" s="1">
        <v>50952060</v>
      </c>
      <c r="B2284" s="3">
        <f t="shared" si="77"/>
        <v>1</v>
      </c>
      <c r="C2284" s="1" t="str">
        <f t="shared" si="80"/>
        <v>魂织箭袋</v>
      </c>
      <c r="D2284" s="1" t="s">
        <v>13</v>
      </c>
      <c r="E2284" s="1">
        <v>6</v>
      </c>
      <c r="F2284" s="1">
        <v>5</v>
      </c>
      <c r="G2284" s="1">
        <v>95</v>
      </c>
      <c r="H2284" s="10" t="s">
        <v>2121</v>
      </c>
      <c r="I2284" s="1">
        <f t="shared" si="78"/>
        <v>200000</v>
      </c>
      <c r="J2284" s="1">
        <v>150</v>
      </c>
      <c r="K2284" s="1">
        <v>1500</v>
      </c>
      <c r="L2284" s="1">
        <v>50000</v>
      </c>
      <c r="M2284" s="1" t="str">
        <f t="shared" si="79"/>
        <v>108_5482_5482</v>
      </c>
      <c r="N2284" s="1" t="s">
        <v>2461</v>
      </c>
      <c r="O2284" s="1">
        <v>0</v>
      </c>
      <c r="P2284" s="1" t="s">
        <v>2059</v>
      </c>
      <c r="Q2284" s="7" t="str">
        <f t="shared" si="81"/>
        <v>equipment/2218.png</v>
      </c>
      <c r="R2284" s="1">
        <v>0</v>
      </c>
    </row>
    <row r="2285" spans="1:18" ht="14.25" thickBot="1">
      <c r="A2285" s="1">
        <v>50952061</v>
      </c>
      <c r="B2285" s="3">
        <f t="shared" si="77"/>
        <v>0</v>
      </c>
      <c r="C2285" s="1" t="str">
        <f t="shared" si="80"/>
        <v>闪电之矢</v>
      </c>
      <c r="D2285" s="1" t="s">
        <v>13</v>
      </c>
      <c r="E2285" s="1">
        <v>6</v>
      </c>
      <c r="F2285" s="1">
        <v>5</v>
      </c>
      <c r="G2285" s="1">
        <v>95</v>
      </c>
      <c r="H2285" s="10" t="s">
        <v>2121</v>
      </c>
      <c r="I2285" s="1">
        <f t="shared" si="78"/>
        <v>206000</v>
      </c>
      <c r="J2285" s="1">
        <v>150</v>
      </c>
      <c r="K2285" s="1">
        <v>1500</v>
      </c>
      <c r="L2285" s="1">
        <v>52500</v>
      </c>
      <c r="M2285" s="1" t="str">
        <f t="shared" si="79"/>
        <v>108_5717_5717</v>
      </c>
      <c r="N2285" s="1" t="s">
        <v>2461</v>
      </c>
      <c r="O2285" s="1">
        <v>0</v>
      </c>
      <c r="P2285" s="1" t="s">
        <v>2059</v>
      </c>
      <c r="Q2285" s="7" t="str">
        <f t="shared" si="81"/>
        <v>equipment/2201.png</v>
      </c>
      <c r="R2285" s="1">
        <v>0</v>
      </c>
    </row>
    <row r="2286" spans="1:18" ht="14.25" thickBot="1">
      <c r="A2286" s="1">
        <v>50953050</v>
      </c>
      <c r="B2286" s="3">
        <f t="shared" si="77"/>
        <v>1</v>
      </c>
      <c r="C2286" s="1" t="str">
        <f t="shared" si="80"/>
        <v>歼灭之杖</v>
      </c>
      <c r="D2286" s="1" t="s">
        <v>12</v>
      </c>
      <c r="E2286" s="1">
        <v>5</v>
      </c>
      <c r="F2286" s="1">
        <v>5</v>
      </c>
      <c r="G2286" s="1">
        <v>95</v>
      </c>
      <c r="H2286" s="10" t="s">
        <v>2122</v>
      </c>
      <c r="I2286" s="1">
        <f t="shared" si="78"/>
        <v>200000</v>
      </c>
      <c r="J2286" s="1">
        <v>150</v>
      </c>
      <c r="K2286" s="1">
        <v>1500</v>
      </c>
      <c r="L2286" s="1">
        <v>50000</v>
      </c>
      <c r="M2286" s="1" t="str">
        <f t="shared" si="79"/>
        <v>103_6091_6091,104_12182_12182</v>
      </c>
      <c r="N2286" s="1" t="s">
        <v>2461</v>
      </c>
      <c r="O2286" s="1">
        <v>0</v>
      </c>
      <c r="P2286" s="1" t="s">
        <v>2059</v>
      </c>
      <c r="Q2286" s="7" t="str">
        <f t="shared" si="81"/>
        <v>equipment/1324.png</v>
      </c>
      <c r="R2286" s="1">
        <v>0</v>
      </c>
    </row>
    <row r="2287" spans="1:18" ht="14.25" thickBot="1">
      <c r="A2287" s="1">
        <v>50953051</v>
      </c>
      <c r="B2287" s="3">
        <f t="shared" si="77"/>
        <v>0</v>
      </c>
      <c r="C2287" s="1" t="str">
        <f t="shared" si="80"/>
        <v>末日降临</v>
      </c>
      <c r="D2287" s="1" t="s">
        <v>12</v>
      </c>
      <c r="E2287" s="1">
        <v>5</v>
      </c>
      <c r="F2287" s="1">
        <v>5</v>
      </c>
      <c r="G2287" s="1">
        <v>95</v>
      </c>
      <c r="H2287" s="10" t="s">
        <v>2122</v>
      </c>
      <c r="I2287" s="1">
        <f t="shared" si="78"/>
        <v>206000</v>
      </c>
      <c r="J2287" s="1">
        <v>150</v>
      </c>
      <c r="K2287" s="1">
        <v>1500</v>
      </c>
      <c r="L2287" s="1">
        <v>52500</v>
      </c>
      <c r="M2287" s="1" t="str">
        <f t="shared" si="79"/>
        <v>103_6352_6352,104_12705_12705</v>
      </c>
      <c r="N2287" s="1" t="s">
        <v>2461</v>
      </c>
      <c r="O2287" s="1">
        <v>0</v>
      </c>
      <c r="P2287" s="1" t="s">
        <v>2059</v>
      </c>
      <c r="Q2287" s="7" t="str">
        <f t="shared" si="81"/>
        <v>equipment/1301.png</v>
      </c>
      <c r="R2287" s="1">
        <v>0</v>
      </c>
    </row>
    <row r="2288" spans="1:18" ht="14.25" thickBot="1">
      <c r="A2288" s="1">
        <v>50953060</v>
      </c>
      <c r="B2288" s="3">
        <f t="shared" si="77"/>
        <v>1</v>
      </c>
      <c r="C2288" s="1" t="str">
        <f t="shared" si="80"/>
        <v>聚能魔典</v>
      </c>
      <c r="D2288" s="1" t="s">
        <v>13</v>
      </c>
      <c r="E2288" s="1">
        <v>6</v>
      </c>
      <c r="F2288" s="1">
        <v>5</v>
      </c>
      <c r="G2288" s="1">
        <v>95</v>
      </c>
      <c r="H2288" s="10" t="s">
        <v>2122</v>
      </c>
      <c r="I2288" s="1">
        <f t="shared" si="78"/>
        <v>200000</v>
      </c>
      <c r="J2288" s="1">
        <v>150</v>
      </c>
      <c r="K2288" s="1">
        <v>1500</v>
      </c>
      <c r="L2288" s="1">
        <v>50000</v>
      </c>
      <c r="M2288" s="1" t="str">
        <f t="shared" si="79"/>
        <v>102_4280_4280</v>
      </c>
      <c r="N2288" s="1" t="s">
        <v>2461</v>
      </c>
      <c r="O2288" s="1">
        <v>0</v>
      </c>
      <c r="P2288" s="1" t="s">
        <v>2059</v>
      </c>
      <c r="Q2288" s="7" t="str">
        <f t="shared" si="81"/>
        <v>equipment/2318.png</v>
      </c>
      <c r="R2288" s="1">
        <v>0</v>
      </c>
    </row>
    <row r="2289" spans="1:18" ht="14.25" thickBot="1">
      <c r="A2289" s="1">
        <v>50953061</v>
      </c>
      <c r="B2289" s="3">
        <f t="shared" si="77"/>
        <v>0</v>
      </c>
      <c r="C2289" s="1" t="str">
        <f t="shared" si="80"/>
        <v>启示圣典</v>
      </c>
      <c r="D2289" s="1" t="s">
        <v>13</v>
      </c>
      <c r="E2289" s="1">
        <v>6</v>
      </c>
      <c r="F2289" s="1">
        <v>5</v>
      </c>
      <c r="G2289" s="1">
        <v>95</v>
      </c>
      <c r="H2289" s="10" t="s">
        <v>2122</v>
      </c>
      <c r="I2289" s="1">
        <f t="shared" si="78"/>
        <v>206000</v>
      </c>
      <c r="J2289" s="1">
        <v>150</v>
      </c>
      <c r="K2289" s="1">
        <v>1500</v>
      </c>
      <c r="L2289" s="1">
        <v>52500</v>
      </c>
      <c r="M2289" s="1" t="str">
        <f t="shared" si="79"/>
        <v>102_4390_4390</v>
      </c>
      <c r="N2289" s="1" t="s">
        <v>2461</v>
      </c>
      <c r="O2289" s="1">
        <v>0</v>
      </c>
      <c r="P2289" s="1" t="s">
        <v>2059</v>
      </c>
      <c r="Q2289" s="7" t="str">
        <f t="shared" si="81"/>
        <v>equipment/2301.png</v>
      </c>
      <c r="R2289" s="1">
        <v>0</v>
      </c>
    </row>
    <row r="2290" spans="1:18" ht="14.25" thickBot="1">
      <c r="A2290" s="1">
        <v>50950040</v>
      </c>
      <c r="B2290" s="3">
        <f t="shared" si="77"/>
        <v>1</v>
      </c>
      <c r="C2290" s="1" t="str">
        <f t="shared" si="80"/>
        <v>湮没胸甲</v>
      </c>
      <c r="D2290" s="1" t="s">
        <v>11</v>
      </c>
      <c r="E2290" s="1">
        <v>4</v>
      </c>
      <c r="F2290" s="1">
        <v>5</v>
      </c>
      <c r="G2290" s="1">
        <v>95</v>
      </c>
      <c r="H2290" s="10">
        <v>0</v>
      </c>
      <c r="I2290" s="1">
        <f t="shared" si="78"/>
        <v>200000</v>
      </c>
      <c r="J2290" s="1">
        <v>150</v>
      </c>
      <c r="K2290" s="1">
        <v>1500</v>
      </c>
      <c r="L2290" s="1">
        <v>50000</v>
      </c>
      <c r="M2290" s="1" t="str">
        <f t="shared" si="79"/>
        <v>105_3837_3837</v>
      </c>
      <c r="N2290" s="1" t="s">
        <v>2460</v>
      </c>
      <c r="O2290" s="1">
        <v>0</v>
      </c>
      <c r="P2290" s="1" t="s">
        <v>2059</v>
      </c>
      <c r="Q2290" s="7" t="str">
        <f t="shared" si="81"/>
        <v>equipment/5001.png</v>
      </c>
      <c r="R2290" s="1">
        <v>0</v>
      </c>
    </row>
    <row r="2291" spans="1:18" ht="14.25" thickBot="1">
      <c r="A2291" s="1">
        <v>50950041</v>
      </c>
      <c r="B2291" s="3">
        <f t="shared" si="77"/>
        <v>0</v>
      </c>
      <c r="C2291" s="1" t="str">
        <f t="shared" si="80"/>
        <v>诸王战铠</v>
      </c>
      <c r="D2291" s="1" t="s">
        <v>11</v>
      </c>
      <c r="E2291" s="1">
        <v>4</v>
      </c>
      <c r="F2291" s="1">
        <v>5</v>
      </c>
      <c r="G2291" s="1">
        <v>95</v>
      </c>
      <c r="H2291" s="10">
        <v>0</v>
      </c>
      <c r="I2291" s="1">
        <f t="shared" si="78"/>
        <v>206000</v>
      </c>
      <c r="J2291" s="1">
        <v>150</v>
      </c>
      <c r="K2291" s="1">
        <v>1500</v>
      </c>
      <c r="L2291" s="1">
        <v>52500</v>
      </c>
      <c r="M2291" s="1" t="str">
        <f t="shared" si="79"/>
        <v>105_4002_4002</v>
      </c>
      <c r="N2291" s="1" t="s">
        <v>2460</v>
      </c>
      <c r="O2291" s="1">
        <v>0</v>
      </c>
      <c r="P2291" s="1" t="s">
        <v>2059</v>
      </c>
      <c r="Q2291" s="7" t="str">
        <f t="shared" si="81"/>
        <v>equipment/5001.png</v>
      </c>
      <c r="R2291" s="1">
        <v>0</v>
      </c>
    </row>
    <row r="2292" spans="1:18" ht="14.25" thickBot="1">
      <c r="A2292" s="1">
        <v>50950070</v>
      </c>
      <c r="B2292" s="3">
        <f t="shared" si="77"/>
        <v>1</v>
      </c>
      <c r="C2292" s="1" t="str">
        <f t="shared" si="80"/>
        <v>魂卫护腿</v>
      </c>
      <c r="D2292" s="1" t="s">
        <v>14</v>
      </c>
      <c r="E2292" s="1">
        <v>7</v>
      </c>
      <c r="F2292" s="1">
        <v>5</v>
      </c>
      <c r="G2292" s="1">
        <v>95</v>
      </c>
      <c r="H2292" s="10">
        <v>0</v>
      </c>
      <c r="I2292" s="1">
        <f t="shared" si="78"/>
        <v>200000</v>
      </c>
      <c r="J2292" s="1">
        <v>150</v>
      </c>
      <c r="K2292" s="1">
        <v>1500</v>
      </c>
      <c r="L2292" s="1">
        <v>50000</v>
      </c>
      <c r="M2292" s="1" t="str">
        <f t="shared" si="79"/>
        <v>105_3837_3837</v>
      </c>
      <c r="N2292" s="1" t="s">
        <v>2460</v>
      </c>
      <c r="O2292" s="1">
        <v>0</v>
      </c>
      <c r="P2292" s="1" t="s">
        <v>2059</v>
      </c>
      <c r="Q2292" s="7" t="str">
        <f t="shared" si="81"/>
        <v>equipment/7001.png</v>
      </c>
      <c r="R2292" s="1">
        <v>0</v>
      </c>
    </row>
    <row r="2293" spans="1:18" ht="14.25" thickBot="1">
      <c r="A2293" s="1">
        <v>50950071</v>
      </c>
      <c r="B2293" s="3">
        <f t="shared" si="77"/>
        <v>0</v>
      </c>
      <c r="C2293" s="1" t="str">
        <f t="shared" si="80"/>
        <v>不朽护腿</v>
      </c>
      <c r="D2293" s="1" t="s">
        <v>14</v>
      </c>
      <c r="E2293" s="1">
        <v>7</v>
      </c>
      <c r="F2293" s="1">
        <v>5</v>
      </c>
      <c r="G2293" s="1">
        <v>95</v>
      </c>
      <c r="H2293" s="10">
        <v>0</v>
      </c>
      <c r="I2293" s="1">
        <f t="shared" si="78"/>
        <v>206000</v>
      </c>
      <c r="J2293" s="1">
        <v>150</v>
      </c>
      <c r="K2293" s="1">
        <v>1500</v>
      </c>
      <c r="L2293" s="1">
        <v>52500</v>
      </c>
      <c r="M2293" s="1" t="str">
        <f t="shared" si="79"/>
        <v>105_4002_4002</v>
      </c>
      <c r="N2293" s="1" t="s">
        <v>2460</v>
      </c>
      <c r="O2293" s="1">
        <v>0</v>
      </c>
      <c r="P2293" s="1" t="s">
        <v>2059</v>
      </c>
      <c r="Q2293" s="7" t="str">
        <f t="shared" si="81"/>
        <v>equipment/7001.png</v>
      </c>
      <c r="R2293" s="1">
        <v>0</v>
      </c>
    </row>
    <row r="2294" spans="1:18" ht="14.25" thickBot="1">
      <c r="A2294" s="1">
        <v>51000010</v>
      </c>
      <c r="B2294" s="3">
        <f t="shared" si="77"/>
        <v>0</v>
      </c>
      <c r="C2294" s="1" t="str">
        <f t="shared" si="80"/>
        <v>天灾统领</v>
      </c>
      <c r="D2294" s="1" t="s">
        <v>8</v>
      </c>
      <c r="E2294" s="1">
        <v>1</v>
      </c>
      <c r="F2294" s="1">
        <v>5</v>
      </c>
      <c r="G2294" s="1">
        <v>100</v>
      </c>
      <c r="H2294" s="10">
        <v>0</v>
      </c>
      <c r="I2294" s="1">
        <f t="shared" si="78"/>
        <v>212000</v>
      </c>
      <c r="J2294" s="1">
        <v>150</v>
      </c>
      <c r="K2294" s="1">
        <v>1500</v>
      </c>
      <c r="L2294" s="1">
        <v>52500</v>
      </c>
      <c r="M2294" s="1" t="str">
        <f t="shared" si="79"/>
        <v>106_6460_6460</v>
      </c>
      <c r="N2294" s="1" t="s">
        <v>2462</v>
      </c>
      <c r="O2294" s="1">
        <v>0</v>
      </c>
      <c r="P2294" s="1" t="s">
        <v>2059</v>
      </c>
      <c r="Q2294" s="7" t="str">
        <f t="shared" si="81"/>
        <v>equipment/3001.png</v>
      </c>
      <c r="R2294" s="1">
        <v>0</v>
      </c>
    </row>
    <row r="2295" spans="1:18" ht="14.25" thickBot="1">
      <c r="A2295" s="1">
        <v>51000020</v>
      </c>
      <c r="B2295" s="3">
        <f t="shared" si="77"/>
        <v>0</v>
      </c>
      <c r="C2295" s="1" t="str">
        <f t="shared" si="80"/>
        <v>镇魂挽歌</v>
      </c>
      <c r="D2295" s="1" t="s">
        <v>9</v>
      </c>
      <c r="E2295" s="1">
        <v>2</v>
      </c>
      <c r="F2295" s="1">
        <v>5</v>
      </c>
      <c r="G2295" s="1">
        <v>100</v>
      </c>
      <c r="H2295" s="10">
        <v>0</v>
      </c>
      <c r="I2295" s="1">
        <f t="shared" si="78"/>
        <v>212000</v>
      </c>
      <c r="J2295" s="1">
        <v>150</v>
      </c>
      <c r="K2295" s="1">
        <v>1500</v>
      </c>
      <c r="L2295" s="1">
        <v>52500</v>
      </c>
      <c r="M2295" s="1" t="str">
        <f t="shared" si="79"/>
        <v>102_2360_2360</v>
      </c>
      <c r="N2295" s="1" t="s">
        <v>2462</v>
      </c>
      <c r="O2295" s="1">
        <v>0</v>
      </c>
      <c r="P2295" s="1" t="s">
        <v>2059</v>
      </c>
      <c r="Q2295" s="7" t="str">
        <f t="shared" si="81"/>
        <v>equipment/14001.png</v>
      </c>
      <c r="R2295" s="1">
        <v>0</v>
      </c>
    </row>
    <row r="2296" spans="1:18" ht="14.25" thickBot="1">
      <c r="A2296" s="1">
        <v>51000030</v>
      </c>
      <c r="B2296" s="3">
        <f t="shared" si="77"/>
        <v>0</v>
      </c>
      <c r="C2296" s="1" t="str">
        <f t="shared" si="80"/>
        <v>雷霆护腰</v>
      </c>
      <c r="D2296" s="1" t="s">
        <v>10</v>
      </c>
      <c r="E2296" s="1">
        <v>3</v>
      </c>
      <c r="F2296" s="1">
        <v>5</v>
      </c>
      <c r="G2296" s="1">
        <v>100</v>
      </c>
      <c r="H2296" s="10">
        <v>0</v>
      </c>
      <c r="I2296" s="1">
        <f t="shared" si="78"/>
        <v>212000</v>
      </c>
      <c r="J2296" s="1">
        <v>150</v>
      </c>
      <c r="K2296" s="1">
        <v>1500</v>
      </c>
      <c r="L2296" s="1">
        <v>52500</v>
      </c>
      <c r="M2296" s="1" t="str">
        <f t="shared" si="79"/>
        <v>101_36120_36120</v>
      </c>
      <c r="N2296" s="1" t="s">
        <v>2462</v>
      </c>
      <c r="O2296" s="1">
        <v>0</v>
      </c>
      <c r="P2296" s="1" t="s">
        <v>2059</v>
      </c>
      <c r="Q2296" s="7" t="str">
        <f t="shared" si="81"/>
        <v>equipment/6001.png</v>
      </c>
      <c r="R2296" s="1">
        <v>0</v>
      </c>
    </row>
    <row r="2297" spans="1:18" ht="14.25" thickBot="1">
      <c r="A2297" s="1">
        <v>51000080</v>
      </c>
      <c r="B2297" s="3">
        <f t="shared" si="77"/>
        <v>0</v>
      </c>
      <c r="C2297" s="1" t="str">
        <f t="shared" si="80"/>
        <v>星旅之靴</v>
      </c>
      <c r="D2297" s="1" t="s">
        <v>15</v>
      </c>
      <c r="E2297" s="1">
        <v>8</v>
      </c>
      <c r="F2297" s="1">
        <v>5</v>
      </c>
      <c r="G2297" s="1">
        <v>100</v>
      </c>
      <c r="H2297" s="10">
        <v>0</v>
      </c>
      <c r="I2297" s="1">
        <f t="shared" si="78"/>
        <v>212000</v>
      </c>
      <c r="J2297" s="1">
        <v>150</v>
      </c>
      <c r="K2297" s="1">
        <v>1500</v>
      </c>
      <c r="L2297" s="1">
        <v>52500</v>
      </c>
      <c r="M2297" s="1" t="str">
        <f t="shared" si="79"/>
        <v>110_871_871</v>
      </c>
      <c r="N2297" s="1" t="s">
        <v>2462</v>
      </c>
      <c r="O2297" s="1">
        <v>0</v>
      </c>
      <c r="P2297" s="1" t="s">
        <v>2059</v>
      </c>
      <c r="Q2297" s="7" t="str">
        <f t="shared" si="81"/>
        <v>equipment/8001.png</v>
      </c>
      <c r="R2297" s="1">
        <v>0</v>
      </c>
    </row>
    <row r="2298" spans="1:18" ht="14.25" thickBot="1">
      <c r="A2298" s="1">
        <v>51000090</v>
      </c>
      <c r="B2298" s="3">
        <f t="shared" si="77"/>
        <v>0</v>
      </c>
      <c r="C2298" s="1" t="str">
        <f t="shared" si="80"/>
        <v>泰坦之拳</v>
      </c>
      <c r="D2298" s="1" t="s">
        <v>16</v>
      </c>
      <c r="E2298" s="1">
        <v>9</v>
      </c>
      <c r="F2298" s="1">
        <v>5</v>
      </c>
      <c r="G2298" s="1">
        <v>100</v>
      </c>
      <c r="H2298" s="10">
        <v>0</v>
      </c>
      <c r="I2298" s="1">
        <f t="shared" si="78"/>
        <v>212000</v>
      </c>
      <c r="J2298" s="1">
        <v>150</v>
      </c>
      <c r="K2298" s="1">
        <v>1500</v>
      </c>
      <c r="L2298" s="1">
        <v>52500</v>
      </c>
      <c r="M2298" s="1" t="str">
        <f t="shared" si="79"/>
        <v>108_7588_7588</v>
      </c>
      <c r="N2298" s="1" t="s">
        <v>2462</v>
      </c>
      <c r="O2298" s="1">
        <v>0</v>
      </c>
      <c r="P2298" s="1" t="s">
        <v>2059</v>
      </c>
      <c r="Q2298" s="7" t="str">
        <f t="shared" si="81"/>
        <v>equipment/10001.png</v>
      </c>
      <c r="R2298" s="1">
        <v>0</v>
      </c>
    </row>
    <row r="2299" spans="1:18" ht="14.25" thickBot="1">
      <c r="A2299" s="1">
        <v>51000100</v>
      </c>
      <c r="B2299" s="3">
        <f t="shared" si="77"/>
        <v>0</v>
      </c>
      <c r="C2299" s="1" t="str">
        <f t="shared" si="80"/>
        <v>永志不渝</v>
      </c>
      <c r="D2299" s="1" t="s">
        <v>17</v>
      </c>
      <c r="E2299" s="1">
        <v>10</v>
      </c>
      <c r="F2299" s="1">
        <v>5</v>
      </c>
      <c r="G2299" s="1">
        <v>100</v>
      </c>
      <c r="H2299" s="10">
        <v>0</v>
      </c>
      <c r="I2299" s="1">
        <f t="shared" si="78"/>
        <v>212000</v>
      </c>
      <c r="J2299" s="1">
        <v>150</v>
      </c>
      <c r="K2299" s="1">
        <v>1500</v>
      </c>
      <c r="L2299" s="1">
        <v>52500</v>
      </c>
      <c r="M2299" s="1" t="str">
        <f t="shared" si="79"/>
        <v>107_6460_6460</v>
      </c>
      <c r="N2299" s="1" t="s">
        <v>2462</v>
      </c>
      <c r="O2299" s="1">
        <v>0</v>
      </c>
      <c r="P2299" s="1" t="s">
        <v>2059</v>
      </c>
      <c r="Q2299" s="7" t="str">
        <f t="shared" si="81"/>
        <v>equipment/12001.png</v>
      </c>
      <c r="R2299" s="1">
        <v>0</v>
      </c>
    </row>
    <row r="2300" spans="1:18" ht="14.25" thickBot="1">
      <c r="A2300" s="1">
        <v>51001050</v>
      </c>
      <c r="B2300" s="3">
        <f t="shared" si="77"/>
        <v>0</v>
      </c>
      <c r="C2300" s="1" t="str">
        <f t="shared" si="80"/>
        <v>毁天灭地</v>
      </c>
      <c r="D2300" s="1" t="s">
        <v>12</v>
      </c>
      <c r="E2300" s="1">
        <v>5</v>
      </c>
      <c r="F2300" s="1">
        <v>5</v>
      </c>
      <c r="G2300" s="1">
        <v>100</v>
      </c>
      <c r="H2300" s="10" t="s">
        <v>2120</v>
      </c>
      <c r="I2300" s="1">
        <f t="shared" si="78"/>
        <v>212000</v>
      </c>
      <c r="J2300" s="1">
        <v>150</v>
      </c>
      <c r="K2300" s="1">
        <v>1500</v>
      </c>
      <c r="L2300" s="1">
        <v>52500</v>
      </c>
      <c r="M2300" s="1" t="str">
        <f t="shared" si="79"/>
        <v>103_6744_6744,104_13489_13489</v>
      </c>
      <c r="N2300" s="1" t="s">
        <v>2463</v>
      </c>
      <c r="O2300" s="1">
        <v>0</v>
      </c>
      <c r="P2300" s="1" t="s">
        <v>2059</v>
      </c>
      <c r="Q2300" s="7" t="str">
        <f t="shared" si="81"/>
        <v>equipment/1124.png</v>
      </c>
      <c r="R2300" s="1">
        <v>0</v>
      </c>
    </row>
    <row r="2301" spans="1:18" ht="14.25" thickBot="1">
      <c r="A2301" s="1">
        <v>51001051</v>
      </c>
      <c r="B2301" s="3">
        <f t="shared" si="77"/>
        <v>0</v>
      </c>
      <c r="C2301" s="1" t="str">
        <f t="shared" si="80"/>
        <v>灰烬使者</v>
      </c>
      <c r="D2301" s="1" t="s">
        <v>12</v>
      </c>
      <c r="E2301" s="1">
        <v>5</v>
      </c>
      <c r="F2301" s="1">
        <v>5</v>
      </c>
      <c r="G2301" s="1">
        <v>100</v>
      </c>
      <c r="H2301" s="10" t="s">
        <v>2120</v>
      </c>
      <c r="I2301" s="1">
        <f t="shared" si="78"/>
        <v>218000</v>
      </c>
      <c r="J2301" s="1">
        <v>150</v>
      </c>
      <c r="K2301" s="1">
        <v>1500</v>
      </c>
      <c r="L2301" s="1">
        <v>55000</v>
      </c>
      <c r="M2301" s="1" t="str">
        <f t="shared" si="79"/>
        <v>103_0_0</v>
      </c>
      <c r="N2301" s="1" t="s">
        <v>2463</v>
      </c>
      <c r="O2301" s="1">
        <v>0</v>
      </c>
      <c r="P2301" s="1" t="s">
        <v>2059</v>
      </c>
      <c r="Q2301" s="7" t="str">
        <f t="shared" si="81"/>
        <v>equipment/1101.png</v>
      </c>
      <c r="R2301" s="1">
        <v>0</v>
      </c>
    </row>
    <row r="2302" spans="1:18" ht="14.25" thickBot="1">
      <c r="A2302" s="1">
        <v>51001060</v>
      </c>
      <c r="B2302" s="3">
        <f t="shared" si="77"/>
        <v>0</v>
      </c>
      <c r="C2302" s="1" t="str">
        <f t="shared" si="80"/>
        <v>叹息之墙</v>
      </c>
      <c r="D2302" s="1" t="s">
        <v>13</v>
      </c>
      <c r="E2302" s="1">
        <v>6</v>
      </c>
      <c r="F2302" s="1">
        <v>5</v>
      </c>
      <c r="G2302" s="1">
        <v>100</v>
      </c>
      <c r="H2302" s="10" t="s">
        <v>2120</v>
      </c>
      <c r="I2302" s="1">
        <f t="shared" si="78"/>
        <v>212000</v>
      </c>
      <c r="J2302" s="1">
        <v>150</v>
      </c>
      <c r="K2302" s="1">
        <v>1500</v>
      </c>
      <c r="L2302" s="1">
        <v>52500</v>
      </c>
      <c r="M2302" s="1" t="str">
        <f t="shared" si="79"/>
        <v>105_6070_6070</v>
      </c>
      <c r="N2302" s="1" t="s">
        <v>2463</v>
      </c>
      <c r="O2302" s="1">
        <v>0</v>
      </c>
      <c r="P2302" s="1" t="s">
        <v>2059</v>
      </c>
      <c r="Q2302" s="7" t="str">
        <f t="shared" si="81"/>
        <v>equipment/2118.png</v>
      </c>
      <c r="R2302" s="1">
        <v>0</v>
      </c>
    </row>
    <row r="2303" spans="1:18" ht="14.25" thickBot="1">
      <c r="A2303" s="1">
        <v>51001061</v>
      </c>
      <c r="B2303" s="3">
        <f t="shared" si="77"/>
        <v>0</v>
      </c>
      <c r="C2303" s="1" t="str">
        <f t="shared" si="80"/>
        <v>叹息之墙</v>
      </c>
      <c r="D2303" s="1" t="s">
        <v>13</v>
      </c>
      <c r="E2303" s="1">
        <v>6</v>
      </c>
      <c r="F2303" s="1">
        <v>5</v>
      </c>
      <c r="G2303" s="1">
        <v>100</v>
      </c>
      <c r="H2303" s="10" t="s">
        <v>2120</v>
      </c>
      <c r="I2303" s="1">
        <f t="shared" si="78"/>
        <v>218000</v>
      </c>
      <c r="J2303" s="1">
        <v>150</v>
      </c>
      <c r="K2303" s="1">
        <v>1500</v>
      </c>
      <c r="L2303" s="1">
        <v>55000</v>
      </c>
      <c r="M2303" s="1" t="str">
        <f t="shared" si="79"/>
        <v>105_0_0</v>
      </c>
      <c r="N2303" s="1" t="s">
        <v>2463</v>
      </c>
      <c r="O2303" s="1">
        <v>0</v>
      </c>
      <c r="P2303" s="1" t="s">
        <v>2059</v>
      </c>
      <c r="Q2303" s="7" t="str">
        <f t="shared" si="81"/>
        <v>equipment/2101.png</v>
      </c>
      <c r="R2303" s="1">
        <v>0</v>
      </c>
    </row>
    <row r="2304" spans="1:18" ht="14.25" thickBot="1">
      <c r="A2304" s="1">
        <v>51002050</v>
      </c>
      <c r="B2304" s="3">
        <f t="shared" si="77"/>
        <v>0</v>
      </c>
      <c r="C2304" s="1" t="str">
        <f t="shared" si="80"/>
        <v>苍穹怒火</v>
      </c>
      <c r="D2304" s="1" t="s">
        <v>12</v>
      </c>
      <c r="E2304" s="1">
        <v>5</v>
      </c>
      <c r="F2304" s="1">
        <v>5</v>
      </c>
      <c r="G2304" s="1">
        <v>100</v>
      </c>
      <c r="H2304" s="10" t="s">
        <v>2121</v>
      </c>
      <c r="I2304" s="1">
        <f t="shared" si="78"/>
        <v>212000</v>
      </c>
      <c r="J2304" s="1">
        <v>150</v>
      </c>
      <c r="K2304" s="1">
        <v>1500</v>
      </c>
      <c r="L2304" s="1">
        <v>52500</v>
      </c>
      <c r="M2304" s="1" t="str">
        <f t="shared" si="79"/>
        <v>103_6744_6744,104_13489_13489</v>
      </c>
      <c r="N2304" s="1" t="s">
        <v>2463</v>
      </c>
      <c r="O2304" s="1">
        <v>0</v>
      </c>
      <c r="P2304" s="1" t="s">
        <v>2059</v>
      </c>
      <c r="Q2304" s="7" t="str">
        <f t="shared" si="81"/>
        <v>equipment/1222.png</v>
      </c>
      <c r="R2304" s="1">
        <v>0</v>
      </c>
    </row>
    <row r="2305" spans="1:18" ht="14.25" thickBot="1">
      <c r="A2305" s="1">
        <v>51002051</v>
      </c>
      <c r="B2305" s="3">
        <f t="shared" si="77"/>
        <v>0</v>
      </c>
      <c r="C2305" s="1" t="str">
        <f t="shared" si="80"/>
        <v>群星之怒</v>
      </c>
      <c r="D2305" s="1" t="s">
        <v>12</v>
      </c>
      <c r="E2305" s="1">
        <v>5</v>
      </c>
      <c r="F2305" s="1">
        <v>5</v>
      </c>
      <c r="G2305" s="1">
        <v>100</v>
      </c>
      <c r="H2305" s="10" t="s">
        <v>2121</v>
      </c>
      <c r="I2305" s="1">
        <f t="shared" si="78"/>
        <v>218000</v>
      </c>
      <c r="J2305" s="1">
        <v>150</v>
      </c>
      <c r="K2305" s="1">
        <v>1500</v>
      </c>
      <c r="L2305" s="1">
        <v>55000</v>
      </c>
      <c r="M2305" s="1" t="str">
        <f t="shared" si="79"/>
        <v>103_0_0</v>
      </c>
      <c r="N2305" s="1" t="s">
        <v>2463</v>
      </c>
      <c r="O2305" s="1">
        <v>0</v>
      </c>
      <c r="P2305" s="1" t="s">
        <v>2059</v>
      </c>
      <c r="Q2305" s="7" t="str">
        <f t="shared" si="81"/>
        <v>equipment/1201.png</v>
      </c>
      <c r="R2305" s="1">
        <v>0</v>
      </c>
    </row>
    <row r="2306" spans="1:18" ht="14.25" thickBot="1">
      <c r="A2306" s="1">
        <v>51002060</v>
      </c>
      <c r="B2306" s="3">
        <f t="shared" si="77"/>
        <v>0</v>
      </c>
      <c r="C2306" s="1" t="str">
        <f t="shared" si="80"/>
        <v>天际之矢</v>
      </c>
      <c r="D2306" s="1" t="s">
        <v>13</v>
      </c>
      <c r="E2306" s="1">
        <v>6</v>
      </c>
      <c r="F2306" s="1">
        <v>5</v>
      </c>
      <c r="G2306" s="1">
        <v>100</v>
      </c>
      <c r="H2306" s="10" t="s">
        <v>2121</v>
      </c>
      <c r="I2306" s="1">
        <f t="shared" si="78"/>
        <v>212000</v>
      </c>
      <c r="J2306" s="1">
        <v>150</v>
      </c>
      <c r="K2306" s="1">
        <v>1500</v>
      </c>
      <c r="L2306" s="1">
        <v>52500</v>
      </c>
      <c r="M2306" s="1" t="str">
        <f t="shared" si="79"/>
        <v>108_6070_6070</v>
      </c>
      <c r="N2306" s="1" t="s">
        <v>2463</v>
      </c>
      <c r="O2306" s="1">
        <v>0</v>
      </c>
      <c r="P2306" s="1" t="s">
        <v>2059</v>
      </c>
      <c r="Q2306" s="7" t="str">
        <f t="shared" si="81"/>
        <v>equipment/2218.png</v>
      </c>
      <c r="R2306" s="1">
        <v>0</v>
      </c>
    </row>
    <row r="2307" spans="1:18" ht="14.25" thickBot="1">
      <c r="A2307" s="1">
        <v>51002061</v>
      </c>
      <c r="B2307" s="3">
        <f t="shared" si="77"/>
        <v>0</v>
      </c>
      <c r="C2307" s="1" t="str">
        <f t="shared" si="80"/>
        <v>天际之矢</v>
      </c>
      <c r="D2307" s="1" t="s">
        <v>13</v>
      </c>
      <c r="E2307" s="1">
        <v>6</v>
      </c>
      <c r="F2307" s="1">
        <v>5</v>
      </c>
      <c r="G2307" s="1">
        <v>100</v>
      </c>
      <c r="H2307" s="10" t="s">
        <v>2121</v>
      </c>
      <c r="I2307" s="1">
        <f t="shared" si="78"/>
        <v>218000</v>
      </c>
      <c r="J2307" s="1">
        <v>150</v>
      </c>
      <c r="K2307" s="1">
        <v>1500</v>
      </c>
      <c r="L2307" s="1">
        <v>55000</v>
      </c>
      <c r="M2307" s="1" t="str">
        <f t="shared" si="79"/>
        <v>108_0_0</v>
      </c>
      <c r="N2307" s="1" t="s">
        <v>2463</v>
      </c>
      <c r="O2307" s="1">
        <v>0</v>
      </c>
      <c r="P2307" s="1" t="s">
        <v>2059</v>
      </c>
      <c r="Q2307" s="7" t="str">
        <f t="shared" si="81"/>
        <v>equipment/2201.png</v>
      </c>
      <c r="R2307" s="1">
        <v>0</v>
      </c>
    </row>
    <row r="2308" spans="1:18" ht="14.25" thickBot="1">
      <c r="A2308" s="1">
        <v>51003050</v>
      </c>
      <c r="B2308" s="3">
        <f t="shared" si="77"/>
        <v>0</v>
      </c>
      <c r="C2308" s="1" t="str">
        <f t="shared" si="80"/>
        <v>混沌终幕</v>
      </c>
      <c r="D2308" s="1" t="s">
        <v>12</v>
      </c>
      <c r="E2308" s="1">
        <v>5</v>
      </c>
      <c r="F2308" s="1">
        <v>5</v>
      </c>
      <c r="G2308" s="1">
        <v>100</v>
      </c>
      <c r="H2308" s="10" t="s">
        <v>2122</v>
      </c>
      <c r="I2308" s="1">
        <f t="shared" si="78"/>
        <v>212000</v>
      </c>
      <c r="J2308" s="1">
        <v>150</v>
      </c>
      <c r="K2308" s="1">
        <v>1500</v>
      </c>
      <c r="L2308" s="1">
        <v>52500</v>
      </c>
      <c r="M2308" s="1" t="str">
        <f t="shared" si="79"/>
        <v>103_6744_6744,104_13489_13489</v>
      </c>
      <c r="N2308" s="1" t="s">
        <v>2463</v>
      </c>
      <c r="O2308" s="1">
        <v>0</v>
      </c>
      <c r="P2308" s="1" t="s">
        <v>2059</v>
      </c>
      <c r="Q2308" s="7" t="str">
        <f t="shared" si="81"/>
        <v>equipment/1324.png</v>
      </c>
      <c r="R2308" s="1">
        <v>0</v>
      </c>
    </row>
    <row r="2309" spans="1:18" ht="14.25" thickBot="1">
      <c r="A2309" s="1">
        <v>51003051</v>
      </c>
      <c r="B2309" s="3">
        <f t="shared" si="77"/>
        <v>0</v>
      </c>
      <c r="C2309" s="1" t="str">
        <f t="shared" si="80"/>
        <v>埃提耶什，守护者的传说之杖</v>
      </c>
      <c r="D2309" s="1" t="s">
        <v>12</v>
      </c>
      <c r="E2309" s="1">
        <v>5</v>
      </c>
      <c r="F2309" s="1">
        <v>5</v>
      </c>
      <c r="G2309" s="1">
        <v>100</v>
      </c>
      <c r="H2309" s="10" t="s">
        <v>2122</v>
      </c>
      <c r="I2309" s="1">
        <f t="shared" si="78"/>
        <v>218000</v>
      </c>
      <c r="J2309" s="1">
        <v>150</v>
      </c>
      <c r="K2309" s="1">
        <v>1500</v>
      </c>
      <c r="L2309" s="1">
        <v>55000</v>
      </c>
      <c r="M2309" s="1" t="str">
        <f t="shared" si="79"/>
        <v>103_0_0</v>
      </c>
      <c r="N2309" s="1" t="s">
        <v>2463</v>
      </c>
      <c r="O2309" s="1">
        <v>0</v>
      </c>
      <c r="P2309" s="1" t="s">
        <v>2059</v>
      </c>
      <c r="Q2309" s="7" t="str">
        <f t="shared" si="81"/>
        <v>equipment/1301.png</v>
      </c>
      <c r="R2309" s="1">
        <v>0</v>
      </c>
    </row>
    <row r="2310" spans="1:18" ht="14.25" thickBot="1">
      <c r="A2310" s="1">
        <v>51003060</v>
      </c>
      <c r="B2310" s="3">
        <f t="shared" si="77"/>
        <v>0</v>
      </c>
      <c r="C2310" s="1" t="str">
        <f t="shared" si="80"/>
        <v>决战之书</v>
      </c>
      <c r="D2310" s="1" t="s">
        <v>13</v>
      </c>
      <c r="E2310" s="1">
        <v>6</v>
      </c>
      <c r="F2310" s="1">
        <v>5</v>
      </c>
      <c r="G2310" s="1">
        <v>100</v>
      </c>
      <c r="H2310" s="10" t="s">
        <v>2122</v>
      </c>
      <c r="I2310" s="1">
        <f t="shared" si="78"/>
        <v>212000</v>
      </c>
      <c r="J2310" s="1">
        <v>150</v>
      </c>
      <c r="K2310" s="1">
        <v>1500</v>
      </c>
      <c r="L2310" s="1">
        <v>52500</v>
      </c>
      <c r="M2310" s="1" t="str">
        <f t="shared" si="79"/>
        <v>102_4560_4560</v>
      </c>
      <c r="N2310" s="1" t="s">
        <v>2463</v>
      </c>
      <c r="O2310" s="1">
        <v>0</v>
      </c>
      <c r="P2310" s="1" t="s">
        <v>2059</v>
      </c>
      <c r="Q2310" s="7" t="str">
        <f t="shared" si="81"/>
        <v>equipment/2318.png</v>
      </c>
      <c r="R2310" s="1">
        <v>0</v>
      </c>
    </row>
    <row r="2311" spans="1:18" ht="14.25" thickBot="1">
      <c r="A2311" s="1">
        <v>51003061</v>
      </c>
      <c r="B2311" s="3">
        <f t="shared" si="77"/>
        <v>0</v>
      </c>
      <c r="C2311" s="1" t="str">
        <f t="shared" si="80"/>
        <v>诸界流声</v>
      </c>
      <c r="D2311" s="1" t="s">
        <v>13</v>
      </c>
      <c r="E2311" s="1">
        <v>6</v>
      </c>
      <c r="F2311" s="1">
        <v>5</v>
      </c>
      <c r="G2311" s="1">
        <v>100</v>
      </c>
      <c r="H2311" s="10" t="s">
        <v>2122</v>
      </c>
      <c r="I2311" s="1">
        <f t="shared" si="78"/>
        <v>218000</v>
      </c>
      <c r="J2311" s="1">
        <v>150</v>
      </c>
      <c r="K2311" s="1">
        <v>1500</v>
      </c>
      <c r="L2311" s="1">
        <v>55000</v>
      </c>
      <c r="M2311" s="1" t="str">
        <f t="shared" si="79"/>
        <v>102_0_0</v>
      </c>
      <c r="N2311" s="1" t="s">
        <v>2463</v>
      </c>
      <c r="O2311" s="1">
        <v>0</v>
      </c>
      <c r="P2311" s="1" t="s">
        <v>2059</v>
      </c>
      <c r="Q2311" s="7" t="str">
        <f t="shared" si="81"/>
        <v>equipment/2301.png</v>
      </c>
      <c r="R2311" s="1">
        <v>0</v>
      </c>
    </row>
    <row r="2312" spans="1:18" ht="14.25" thickBot="1">
      <c r="A2312" s="1">
        <v>51000040</v>
      </c>
      <c r="B2312" s="3">
        <f t="shared" si="77"/>
        <v>0</v>
      </c>
      <c r="C2312" s="1" t="str">
        <f t="shared" si="80"/>
        <v>光明圣铠</v>
      </c>
      <c r="D2312" s="1" t="s">
        <v>11</v>
      </c>
      <c r="E2312" s="1">
        <v>4</v>
      </c>
      <c r="F2312" s="1">
        <v>5</v>
      </c>
      <c r="G2312" s="1">
        <v>100</v>
      </c>
      <c r="H2312" s="10">
        <v>0</v>
      </c>
      <c r="I2312" s="1">
        <f t="shared" si="78"/>
        <v>212000</v>
      </c>
      <c r="J2312" s="1">
        <v>150</v>
      </c>
      <c r="K2312" s="1">
        <v>1500</v>
      </c>
      <c r="L2312" s="1">
        <v>52500</v>
      </c>
      <c r="M2312" s="1" t="str">
        <f t="shared" si="79"/>
        <v>105_4249_4249</v>
      </c>
      <c r="N2312" s="1" t="s">
        <v>2462</v>
      </c>
      <c r="O2312" s="1">
        <v>0</v>
      </c>
      <c r="P2312" s="1" t="s">
        <v>2059</v>
      </c>
      <c r="Q2312" s="7" t="str">
        <f t="shared" si="81"/>
        <v>equipment/5001.png</v>
      </c>
      <c r="R2312" s="1">
        <v>0</v>
      </c>
    </row>
    <row r="2313" spans="1:18" ht="14.25" thickBot="1">
      <c r="A2313" s="1">
        <v>51000041</v>
      </c>
      <c r="B2313" s="3">
        <f t="shared" ref="B2313:B2315" si="82">B1851</f>
        <v>0</v>
      </c>
      <c r="C2313" s="1" t="str">
        <f t="shared" si="80"/>
        <v>碎界之铠</v>
      </c>
      <c r="D2313" s="1" t="s">
        <v>11</v>
      </c>
      <c r="E2313" s="1">
        <v>4</v>
      </c>
      <c r="F2313" s="1">
        <v>5</v>
      </c>
      <c r="G2313" s="1">
        <v>100</v>
      </c>
      <c r="H2313" s="10">
        <v>0</v>
      </c>
      <c r="I2313" s="1">
        <f t="shared" ref="I2313:I2315" si="83">I465*20</f>
        <v>218000</v>
      </c>
      <c r="J2313" s="1">
        <v>150</v>
      </c>
      <c r="K2313" s="1">
        <v>1500</v>
      </c>
      <c r="L2313" s="1">
        <v>55000</v>
      </c>
      <c r="M2313" s="1" t="str">
        <f t="shared" ref="M2313:M2314" si="84">M1851</f>
        <v>105_0_0</v>
      </c>
      <c r="N2313" s="1" t="s">
        <v>2462</v>
      </c>
      <c r="O2313" s="1">
        <v>0</v>
      </c>
      <c r="P2313" s="1" t="s">
        <v>2059</v>
      </c>
      <c r="Q2313" s="7" t="str">
        <f t="shared" si="81"/>
        <v>equipment/5001.png</v>
      </c>
      <c r="R2313" s="1">
        <v>0</v>
      </c>
    </row>
    <row r="2314" spans="1:18" ht="14.25" thickBot="1">
      <c r="A2314" s="1">
        <v>51000070</v>
      </c>
      <c r="B2314" s="3">
        <f t="shared" si="82"/>
        <v>0</v>
      </c>
      <c r="C2314" s="1" t="str">
        <f t="shared" si="80"/>
        <v>渡魂护腿</v>
      </c>
      <c r="D2314" s="1" t="s">
        <v>14</v>
      </c>
      <c r="E2314" s="1">
        <v>7</v>
      </c>
      <c r="F2314" s="1">
        <v>5</v>
      </c>
      <c r="G2314" s="1">
        <v>100</v>
      </c>
      <c r="H2314" s="10">
        <v>0</v>
      </c>
      <c r="I2314" s="1">
        <f t="shared" si="83"/>
        <v>212000</v>
      </c>
      <c r="J2314" s="1">
        <v>150</v>
      </c>
      <c r="K2314" s="1">
        <v>1500</v>
      </c>
      <c r="L2314" s="1">
        <v>52500</v>
      </c>
      <c r="M2314" s="1" t="str">
        <f t="shared" si="84"/>
        <v>105_4249_4249</v>
      </c>
      <c r="N2314" s="1" t="s">
        <v>2462</v>
      </c>
      <c r="O2314" s="1">
        <v>0</v>
      </c>
      <c r="P2314" s="1" t="s">
        <v>2059</v>
      </c>
      <c r="Q2314" s="7" t="str">
        <f t="shared" si="81"/>
        <v>equipment/7001.png</v>
      </c>
      <c r="R2314" s="1">
        <v>0</v>
      </c>
    </row>
    <row r="2315" spans="1:18" ht="14.25" thickBot="1">
      <c r="A2315" s="1">
        <v>51000071</v>
      </c>
      <c r="B2315" s="3">
        <f t="shared" si="82"/>
        <v>0</v>
      </c>
      <c r="C2315" s="1" t="str">
        <f t="shared" si="80"/>
        <v>涅磐腿甲</v>
      </c>
      <c r="D2315" s="1" t="s">
        <v>14</v>
      </c>
      <c r="E2315" s="1">
        <v>7</v>
      </c>
      <c r="F2315" s="1">
        <v>5</v>
      </c>
      <c r="G2315" s="1">
        <v>100</v>
      </c>
      <c r="H2315" s="10">
        <v>0</v>
      </c>
      <c r="I2315" s="1">
        <f t="shared" si="83"/>
        <v>218000</v>
      </c>
      <c r="J2315" s="1">
        <v>150</v>
      </c>
      <c r="K2315" s="1">
        <v>1500</v>
      </c>
      <c r="L2315" s="1">
        <v>55000</v>
      </c>
      <c r="M2315" s="1" t="str">
        <f>M1853</f>
        <v>105_0_0</v>
      </c>
      <c r="N2315" s="1" t="s">
        <v>2462</v>
      </c>
      <c r="O2315" s="1">
        <v>0</v>
      </c>
      <c r="P2315" s="1" t="s">
        <v>2059</v>
      </c>
      <c r="Q2315" s="7" t="str">
        <f t="shared" si="81"/>
        <v>equipment/7001.png</v>
      </c>
      <c r="R2315" s="1">
        <v>0</v>
      </c>
    </row>
    <row r="2316" spans="1:18" s="12" customFormat="1" ht="14.25" thickBot="1">
      <c r="A2316" s="12">
        <f>A1392+10000005</f>
        <v>50010015</v>
      </c>
      <c r="B2316" s="2">
        <v>0</v>
      </c>
      <c r="C2316" s="12" t="s">
        <v>2484</v>
      </c>
      <c r="D2316" s="12" t="s">
        <v>8</v>
      </c>
      <c r="E2316" s="12">
        <v>1</v>
      </c>
      <c r="F2316" s="12">
        <v>5</v>
      </c>
      <c r="G2316" s="12">
        <v>1</v>
      </c>
      <c r="H2316" s="12">
        <v>0</v>
      </c>
      <c r="I2316" s="12">
        <v>2000</v>
      </c>
      <c r="J2316" s="12">
        <v>150</v>
      </c>
      <c r="K2316" s="12">
        <v>1500</v>
      </c>
      <c r="L2316" s="12">
        <v>0</v>
      </c>
      <c r="M2316" s="12" t="s">
        <v>1797</v>
      </c>
      <c r="N2316" s="12" t="s">
        <v>2908</v>
      </c>
      <c r="O2316" s="12">
        <v>0</v>
      </c>
      <c r="P2316" s="12" t="s">
        <v>2045</v>
      </c>
      <c r="Q2316" s="7" t="str">
        <f t="shared" si="81"/>
        <v>equipment/3001.png</v>
      </c>
      <c r="R2316" s="1">
        <v>1</v>
      </c>
    </row>
    <row r="2317" spans="1:18" s="12" customFormat="1" ht="14.25" thickBot="1">
      <c r="A2317" s="12">
        <f t="shared" ref="A2317:A2380" si="85">A1393+10000005</f>
        <v>50010025</v>
      </c>
      <c r="B2317" s="2">
        <v>0</v>
      </c>
      <c r="C2317" s="12" t="s">
        <v>2485</v>
      </c>
      <c r="D2317" s="12" t="s">
        <v>9</v>
      </c>
      <c r="E2317" s="12">
        <v>2</v>
      </c>
      <c r="F2317" s="12">
        <v>5</v>
      </c>
      <c r="G2317" s="12">
        <v>1</v>
      </c>
      <c r="H2317" s="12">
        <v>0</v>
      </c>
      <c r="I2317" s="12">
        <v>2000</v>
      </c>
      <c r="J2317" s="12">
        <v>150</v>
      </c>
      <c r="K2317" s="12">
        <v>1500</v>
      </c>
      <c r="L2317" s="12">
        <v>0</v>
      </c>
      <c r="M2317" s="12" t="s">
        <v>1798</v>
      </c>
      <c r="N2317" s="12" t="s">
        <v>2908</v>
      </c>
      <c r="O2317" s="12">
        <v>0</v>
      </c>
      <c r="P2317" s="12" t="s">
        <v>2045</v>
      </c>
      <c r="Q2317" s="7" t="str">
        <f t="shared" si="81"/>
        <v>equipment/14001.png</v>
      </c>
      <c r="R2317" s="1">
        <v>1</v>
      </c>
    </row>
    <row r="2318" spans="1:18" s="12" customFormat="1" ht="14.25" thickBot="1">
      <c r="A2318" s="12">
        <f t="shared" si="85"/>
        <v>50010035</v>
      </c>
      <c r="B2318" s="2">
        <v>0</v>
      </c>
      <c r="C2318" s="12" t="s">
        <v>2486</v>
      </c>
      <c r="D2318" s="12" t="s">
        <v>10</v>
      </c>
      <c r="E2318" s="12">
        <v>3</v>
      </c>
      <c r="F2318" s="12">
        <v>5</v>
      </c>
      <c r="G2318" s="12">
        <v>1</v>
      </c>
      <c r="H2318" s="12">
        <v>0</v>
      </c>
      <c r="I2318" s="12">
        <v>2000</v>
      </c>
      <c r="J2318" s="12">
        <v>150</v>
      </c>
      <c r="K2318" s="12">
        <v>1500</v>
      </c>
      <c r="L2318" s="12">
        <v>0</v>
      </c>
      <c r="M2318" s="12" t="s">
        <v>1799</v>
      </c>
      <c r="N2318" s="12" t="s">
        <v>2908</v>
      </c>
      <c r="O2318" s="12">
        <v>0</v>
      </c>
      <c r="P2318" s="12" t="s">
        <v>2045</v>
      </c>
      <c r="Q2318" s="7" t="str">
        <f t="shared" si="81"/>
        <v>equipment/6001.png</v>
      </c>
      <c r="R2318" s="1">
        <v>1</v>
      </c>
    </row>
    <row r="2319" spans="1:18" s="12" customFormat="1" ht="14.25" thickBot="1">
      <c r="A2319" s="12">
        <f t="shared" si="85"/>
        <v>50010085</v>
      </c>
      <c r="B2319" s="2">
        <v>0</v>
      </c>
      <c r="C2319" s="12" t="s">
        <v>2487</v>
      </c>
      <c r="D2319" s="12" t="s">
        <v>15</v>
      </c>
      <c r="E2319" s="12">
        <v>8</v>
      </c>
      <c r="F2319" s="12">
        <v>5</v>
      </c>
      <c r="G2319" s="12">
        <v>1</v>
      </c>
      <c r="H2319" s="12">
        <v>0</v>
      </c>
      <c r="I2319" s="12">
        <v>2000</v>
      </c>
      <c r="J2319" s="12">
        <v>150</v>
      </c>
      <c r="K2319" s="12">
        <v>1500</v>
      </c>
      <c r="L2319" s="12">
        <v>0</v>
      </c>
      <c r="M2319" s="12" t="s">
        <v>1800</v>
      </c>
      <c r="N2319" s="12" t="s">
        <v>2908</v>
      </c>
      <c r="O2319" s="12">
        <v>0</v>
      </c>
      <c r="P2319" s="12" t="s">
        <v>2045</v>
      </c>
      <c r="Q2319" s="7" t="str">
        <f t="shared" si="81"/>
        <v>equipment/8001.png</v>
      </c>
      <c r="R2319" s="1">
        <v>1</v>
      </c>
    </row>
    <row r="2320" spans="1:18" s="12" customFormat="1" ht="14.25" thickBot="1">
      <c r="A2320" s="12">
        <f t="shared" si="85"/>
        <v>50010095</v>
      </c>
      <c r="B2320" s="2">
        <v>0</v>
      </c>
      <c r="C2320" s="12" t="s">
        <v>2488</v>
      </c>
      <c r="D2320" s="12" t="s">
        <v>16</v>
      </c>
      <c r="E2320" s="12">
        <v>9</v>
      </c>
      <c r="F2320" s="12">
        <v>5</v>
      </c>
      <c r="G2320" s="12">
        <v>1</v>
      </c>
      <c r="H2320" s="12">
        <v>0</v>
      </c>
      <c r="I2320" s="12">
        <v>2000</v>
      </c>
      <c r="J2320" s="12">
        <v>150</v>
      </c>
      <c r="K2320" s="12">
        <v>1500</v>
      </c>
      <c r="L2320" s="12">
        <v>0</v>
      </c>
      <c r="M2320" s="12" t="s">
        <v>1801</v>
      </c>
      <c r="N2320" s="12" t="s">
        <v>2908</v>
      </c>
      <c r="O2320" s="12">
        <v>0</v>
      </c>
      <c r="P2320" s="12" t="s">
        <v>2045</v>
      </c>
      <c r="Q2320" s="7" t="str">
        <f t="shared" si="81"/>
        <v>equipment/10001.png</v>
      </c>
      <c r="R2320" s="1">
        <v>1</v>
      </c>
    </row>
    <row r="2321" spans="1:18" s="12" customFormat="1" ht="14.25" thickBot="1">
      <c r="A2321" s="12">
        <f t="shared" si="85"/>
        <v>50010105</v>
      </c>
      <c r="B2321" s="2">
        <v>0</v>
      </c>
      <c r="C2321" s="12" t="s">
        <v>2489</v>
      </c>
      <c r="D2321" s="12" t="s">
        <v>17</v>
      </c>
      <c r="E2321" s="12">
        <v>10</v>
      </c>
      <c r="F2321" s="12">
        <v>5</v>
      </c>
      <c r="G2321" s="12">
        <v>1</v>
      </c>
      <c r="H2321" s="12">
        <v>0</v>
      </c>
      <c r="I2321" s="12">
        <v>2000</v>
      </c>
      <c r="J2321" s="12">
        <v>150</v>
      </c>
      <c r="K2321" s="12">
        <v>1500</v>
      </c>
      <c r="L2321" s="12">
        <v>0</v>
      </c>
      <c r="M2321" s="12" t="s">
        <v>1802</v>
      </c>
      <c r="N2321" s="12" t="s">
        <v>2908</v>
      </c>
      <c r="O2321" s="12">
        <v>0</v>
      </c>
      <c r="P2321" s="12" t="s">
        <v>2045</v>
      </c>
      <c r="Q2321" s="7" t="str">
        <f t="shared" si="81"/>
        <v>equipment/12001.png</v>
      </c>
      <c r="R2321" s="1">
        <v>1</v>
      </c>
    </row>
    <row r="2322" spans="1:18" s="12" customFormat="1" ht="14.25" thickBot="1">
      <c r="A2322" s="12">
        <f t="shared" si="85"/>
        <v>50011055</v>
      </c>
      <c r="B2322" s="2">
        <v>0</v>
      </c>
      <c r="C2322" s="12" t="s">
        <v>2490</v>
      </c>
      <c r="D2322" s="12" t="s">
        <v>12</v>
      </c>
      <c r="E2322" s="12">
        <v>5</v>
      </c>
      <c r="F2322" s="12">
        <v>5</v>
      </c>
      <c r="G2322" s="12">
        <v>1</v>
      </c>
      <c r="H2322" s="12" t="s">
        <v>2120</v>
      </c>
      <c r="I2322" s="12">
        <v>2000</v>
      </c>
      <c r="J2322" s="12">
        <v>150</v>
      </c>
      <c r="K2322" s="12">
        <v>1500</v>
      </c>
      <c r="L2322" s="12">
        <v>0</v>
      </c>
      <c r="M2322" s="12" t="s">
        <v>2010</v>
      </c>
      <c r="N2322" s="12" t="s">
        <v>2909</v>
      </c>
      <c r="O2322" s="12">
        <v>0</v>
      </c>
      <c r="P2322" s="12" t="s">
        <v>2045</v>
      </c>
      <c r="Q2322" s="7" t="str">
        <f t="shared" si="81"/>
        <v>equipment/1101.png</v>
      </c>
      <c r="R2322" s="1">
        <v>1</v>
      </c>
    </row>
    <row r="2323" spans="1:18" s="12" customFormat="1" ht="14.25" thickBot="1">
      <c r="A2323" s="12">
        <f t="shared" si="85"/>
        <v>50011056</v>
      </c>
      <c r="B2323" s="2">
        <v>0</v>
      </c>
      <c r="C2323" s="12" t="s">
        <v>2491</v>
      </c>
      <c r="D2323" s="12" t="s">
        <v>12</v>
      </c>
      <c r="E2323" s="12">
        <v>5</v>
      </c>
      <c r="F2323" s="12">
        <v>5</v>
      </c>
      <c r="G2323" s="12">
        <v>1</v>
      </c>
      <c r="H2323" s="12" t="s">
        <v>2120</v>
      </c>
      <c r="I2323" s="12">
        <v>8000</v>
      </c>
      <c r="J2323" s="12">
        <v>150</v>
      </c>
      <c r="K2323" s="12">
        <v>1500</v>
      </c>
      <c r="L2323" s="12">
        <v>0</v>
      </c>
      <c r="M2323" s="12" t="s">
        <v>2011</v>
      </c>
      <c r="N2323" s="12" t="s">
        <v>2909</v>
      </c>
      <c r="O2323" s="12">
        <v>0</v>
      </c>
      <c r="P2323" s="12" t="s">
        <v>2045</v>
      </c>
      <c r="Q2323" s="7" t="str">
        <f t="shared" si="81"/>
        <v>equipment/1102.png</v>
      </c>
      <c r="R2323" s="1">
        <v>1</v>
      </c>
    </row>
    <row r="2324" spans="1:18" s="12" customFormat="1" ht="14.25" thickBot="1">
      <c r="A2324" s="12">
        <f t="shared" si="85"/>
        <v>50011065</v>
      </c>
      <c r="B2324" s="2">
        <v>0</v>
      </c>
      <c r="C2324" s="12" t="s">
        <v>2492</v>
      </c>
      <c r="D2324" s="12" t="s">
        <v>13</v>
      </c>
      <c r="E2324" s="12">
        <v>6</v>
      </c>
      <c r="F2324" s="12">
        <v>5</v>
      </c>
      <c r="G2324" s="12">
        <v>1</v>
      </c>
      <c r="H2324" s="12" t="s">
        <v>2120</v>
      </c>
      <c r="I2324" s="12">
        <v>2000</v>
      </c>
      <c r="J2324" s="12">
        <v>150</v>
      </c>
      <c r="K2324" s="12">
        <v>1500</v>
      </c>
      <c r="L2324" s="12">
        <v>0</v>
      </c>
      <c r="M2324" s="12" t="s">
        <v>1803</v>
      </c>
      <c r="N2324" s="12" t="s">
        <v>2909</v>
      </c>
      <c r="O2324" s="12">
        <v>0</v>
      </c>
      <c r="P2324" s="12" t="s">
        <v>2045</v>
      </c>
      <c r="Q2324" s="7" t="str">
        <f t="shared" si="81"/>
        <v>equipment/2101.png</v>
      </c>
      <c r="R2324" s="1">
        <v>1</v>
      </c>
    </row>
    <row r="2325" spans="1:18" s="12" customFormat="1" ht="14.25" thickBot="1">
      <c r="A2325" s="12">
        <f t="shared" si="85"/>
        <v>50011066</v>
      </c>
      <c r="B2325" s="2">
        <v>0</v>
      </c>
      <c r="C2325" s="12" t="s">
        <v>2061</v>
      </c>
      <c r="D2325" s="12" t="s">
        <v>13</v>
      </c>
      <c r="E2325" s="12">
        <v>6</v>
      </c>
      <c r="F2325" s="12">
        <v>5</v>
      </c>
      <c r="G2325" s="12">
        <v>1</v>
      </c>
      <c r="H2325" s="12" t="s">
        <v>2120</v>
      </c>
      <c r="I2325" s="12">
        <v>8000</v>
      </c>
      <c r="J2325" s="12">
        <v>150</v>
      </c>
      <c r="K2325" s="12">
        <v>1500</v>
      </c>
      <c r="L2325" s="12">
        <v>0</v>
      </c>
      <c r="M2325" s="12" t="s">
        <v>1804</v>
      </c>
      <c r="N2325" s="12" t="s">
        <v>2909</v>
      </c>
      <c r="O2325" s="12">
        <v>0</v>
      </c>
      <c r="P2325" s="12" t="s">
        <v>2045</v>
      </c>
      <c r="Q2325" s="7" t="str">
        <f t="shared" ref="Q2325:Q2388" si="86">Q1863</f>
        <v>equipment/2101.png</v>
      </c>
      <c r="R2325" s="1">
        <v>1</v>
      </c>
    </row>
    <row r="2326" spans="1:18" s="12" customFormat="1" ht="14.25" thickBot="1">
      <c r="A2326" s="12">
        <f t="shared" si="85"/>
        <v>50012055</v>
      </c>
      <c r="B2326" s="2">
        <v>0</v>
      </c>
      <c r="C2326" s="12" t="s">
        <v>2493</v>
      </c>
      <c r="D2326" s="12" t="s">
        <v>12</v>
      </c>
      <c r="E2326" s="12">
        <v>5</v>
      </c>
      <c r="F2326" s="12">
        <v>5</v>
      </c>
      <c r="G2326" s="12">
        <v>1</v>
      </c>
      <c r="H2326" s="12" t="s">
        <v>2121</v>
      </c>
      <c r="I2326" s="12">
        <v>2000</v>
      </c>
      <c r="J2326" s="12">
        <v>150</v>
      </c>
      <c r="K2326" s="12">
        <v>1500</v>
      </c>
      <c r="L2326" s="12">
        <v>0</v>
      </c>
      <c r="M2326" s="12" t="s">
        <v>2010</v>
      </c>
      <c r="N2326" s="12" t="s">
        <v>2909</v>
      </c>
      <c r="O2326" s="12">
        <v>0</v>
      </c>
      <c r="P2326" s="12" t="s">
        <v>2045</v>
      </c>
      <c r="Q2326" s="7" t="str">
        <f t="shared" si="86"/>
        <v>equipment/1201.png</v>
      </c>
      <c r="R2326" s="1">
        <v>1</v>
      </c>
    </row>
    <row r="2327" spans="1:18" s="12" customFormat="1" ht="14.25" thickBot="1">
      <c r="A2327" s="12">
        <f t="shared" si="85"/>
        <v>50012056</v>
      </c>
      <c r="B2327" s="2">
        <v>0</v>
      </c>
      <c r="C2327" s="12" t="s">
        <v>2494</v>
      </c>
      <c r="D2327" s="12" t="s">
        <v>12</v>
      </c>
      <c r="E2327" s="12">
        <v>5</v>
      </c>
      <c r="F2327" s="12">
        <v>5</v>
      </c>
      <c r="G2327" s="12">
        <v>1</v>
      </c>
      <c r="H2327" s="12" t="s">
        <v>2121</v>
      </c>
      <c r="I2327" s="12">
        <v>8000</v>
      </c>
      <c r="J2327" s="12">
        <v>150</v>
      </c>
      <c r="K2327" s="12">
        <v>1500</v>
      </c>
      <c r="L2327" s="12">
        <v>0</v>
      </c>
      <c r="M2327" s="12" t="s">
        <v>2011</v>
      </c>
      <c r="N2327" s="12" t="s">
        <v>2909</v>
      </c>
      <c r="O2327" s="12">
        <v>0</v>
      </c>
      <c r="P2327" s="12" t="s">
        <v>2045</v>
      </c>
      <c r="Q2327" s="7" t="str">
        <f t="shared" si="86"/>
        <v>equipment/1202.png</v>
      </c>
      <c r="R2327" s="1">
        <v>1</v>
      </c>
    </row>
    <row r="2328" spans="1:18" s="12" customFormat="1" ht="14.25" thickBot="1">
      <c r="A2328" s="12">
        <f t="shared" si="85"/>
        <v>50012065</v>
      </c>
      <c r="B2328" s="2">
        <v>0</v>
      </c>
      <c r="C2328" s="12" t="s">
        <v>2495</v>
      </c>
      <c r="D2328" s="12" t="s">
        <v>13</v>
      </c>
      <c r="E2328" s="12">
        <v>6</v>
      </c>
      <c r="F2328" s="12">
        <v>5</v>
      </c>
      <c r="G2328" s="12">
        <v>1</v>
      </c>
      <c r="H2328" s="12" t="s">
        <v>2121</v>
      </c>
      <c r="I2328" s="12">
        <v>2000</v>
      </c>
      <c r="J2328" s="12">
        <v>150</v>
      </c>
      <c r="K2328" s="12">
        <v>1500</v>
      </c>
      <c r="L2328" s="12">
        <v>0</v>
      </c>
      <c r="M2328" s="12" t="s">
        <v>1805</v>
      </c>
      <c r="N2328" s="12" t="s">
        <v>2909</v>
      </c>
      <c r="O2328" s="12">
        <v>0</v>
      </c>
      <c r="P2328" s="12" t="s">
        <v>2045</v>
      </c>
      <c r="Q2328" s="7" t="str">
        <f t="shared" si="86"/>
        <v>equipment/2201.png</v>
      </c>
      <c r="R2328" s="1">
        <v>1</v>
      </c>
    </row>
    <row r="2329" spans="1:18" s="12" customFormat="1" ht="14.25" thickBot="1">
      <c r="A2329" s="12">
        <f t="shared" si="85"/>
        <v>50012066</v>
      </c>
      <c r="B2329" s="2">
        <v>0</v>
      </c>
      <c r="C2329" s="12" t="s">
        <v>2094</v>
      </c>
      <c r="D2329" s="12" t="s">
        <v>13</v>
      </c>
      <c r="E2329" s="12">
        <v>6</v>
      </c>
      <c r="F2329" s="12">
        <v>5</v>
      </c>
      <c r="G2329" s="12">
        <v>1</v>
      </c>
      <c r="H2329" s="12" t="s">
        <v>2121</v>
      </c>
      <c r="I2329" s="12">
        <v>8000</v>
      </c>
      <c r="J2329" s="12">
        <v>150</v>
      </c>
      <c r="K2329" s="12">
        <v>1500</v>
      </c>
      <c r="L2329" s="12">
        <v>0</v>
      </c>
      <c r="M2329" s="12" t="s">
        <v>1806</v>
      </c>
      <c r="N2329" s="12" t="s">
        <v>2909</v>
      </c>
      <c r="O2329" s="12">
        <v>0</v>
      </c>
      <c r="P2329" s="12" t="s">
        <v>2045</v>
      </c>
      <c r="Q2329" s="7" t="str">
        <f t="shared" si="86"/>
        <v>equipment/2201.png</v>
      </c>
      <c r="R2329" s="1">
        <v>1</v>
      </c>
    </row>
    <row r="2330" spans="1:18" s="12" customFormat="1" ht="14.25" thickBot="1">
      <c r="A2330" s="12">
        <f t="shared" si="85"/>
        <v>50013055</v>
      </c>
      <c r="B2330" s="2">
        <v>0</v>
      </c>
      <c r="C2330" s="12" t="s">
        <v>2496</v>
      </c>
      <c r="D2330" s="12" t="s">
        <v>12</v>
      </c>
      <c r="E2330" s="12">
        <v>5</v>
      </c>
      <c r="F2330" s="12">
        <v>5</v>
      </c>
      <c r="G2330" s="12">
        <v>1</v>
      </c>
      <c r="H2330" s="12" t="s">
        <v>2122</v>
      </c>
      <c r="I2330" s="12">
        <v>2000</v>
      </c>
      <c r="J2330" s="12">
        <v>150</v>
      </c>
      <c r="K2330" s="12">
        <v>1500</v>
      </c>
      <c r="L2330" s="12">
        <v>0</v>
      </c>
      <c r="M2330" s="12" t="s">
        <v>2010</v>
      </c>
      <c r="N2330" s="12" t="s">
        <v>2909</v>
      </c>
      <c r="O2330" s="12">
        <v>0</v>
      </c>
      <c r="P2330" s="12" t="s">
        <v>2045</v>
      </c>
      <c r="Q2330" s="7" t="str">
        <f t="shared" si="86"/>
        <v>equipment/1301.png</v>
      </c>
      <c r="R2330" s="1">
        <v>1</v>
      </c>
    </row>
    <row r="2331" spans="1:18" s="12" customFormat="1" ht="14.25" thickBot="1">
      <c r="A2331" s="12">
        <f t="shared" si="85"/>
        <v>50013056</v>
      </c>
      <c r="B2331" s="2">
        <v>0</v>
      </c>
      <c r="C2331" s="12" t="s">
        <v>2497</v>
      </c>
      <c r="D2331" s="12" t="s">
        <v>12</v>
      </c>
      <c r="E2331" s="12">
        <v>5</v>
      </c>
      <c r="F2331" s="12">
        <v>5</v>
      </c>
      <c r="G2331" s="12">
        <v>1</v>
      </c>
      <c r="H2331" s="12" t="s">
        <v>2122</v>
      </c>
      <c r="I2331" s="12">
        <v>8000</v>
      </c>
      <c r="J2331" s="12">
        <v>150</v>
      </c>
      <c r="K2331" s="12">
        <v>1500</v>
      </c>
      <c r="L2331" s="12">
        <v>0</v>
      </c>
      <c r="M2331" s="12" t="s">
        <v>2011</v>
      </c>
      <c r="N2331" s="12" t="s">
        <v>2909</v>
      </c>
      <c r="O2331" s="12">
        <v>0</v>
      </c>
      <c r="P2331" s="12" t="s">
        <v>2045</v>
      </c>
      <c r="Q2331" s="7" t="str">
        <f t="shared" si="86"/>
        <v>equipment/1302.png</v>
      </c>
      <c r="R2331" s="1">
        <v>1</v>
      </c>
    </row>
    <row r="2332" spans="1:18" s="12" customFormat="1" ht="14.25" thickBot="1">
      <c r="A2332" s="12">
        <f t="shared" si="85"/>
        <v>50013065</v>
      </c>
      <c r="B2332" s="2">
        <v>0</v>
      </c>
      <c r="C2332" s="12" t="s">
        <v>2498</v>
      </c>
      <c r="D2332" s="12" t="s">
        <v>13</v>
      </c>
      <c r="E2332" s="12">
        <v>6</v>
      </c>
      <c r="F2332" s="12">
        <v>5</v>
      </c>
      <c r="G2332" s="12">
        <v>1</v>
      </c>
      <c r="H2332" s="12" t="s">
        <v>2122</v>
      </c>
      <c r="I2332" s="12">
        <v>2000</v>
      </c>
      <c r="J2332" s="12">
        <v>150</v>
      </c>
      <c r="K2332" s="12">
        <v>1500</v>
      </c>
      <c r="L2332" s="12">
        <v>0</v>
      </c>
      <c r="M2332" s="12" t="s">
        <v>1807</v>
      </c>
      <c r="N2332" s="12" t="s">
        <v>2909</v>
      </c>
      <c r="O2332" s="12">
        <v>0</v>
      </c>
      <c r="P2332" s="12" t="s">
        <v>2045</v>
      </c>
      <c r="Q2332" s="7" t="str">
        <f t="shared" si="86"/>
        <v>equipment/2301.png</v>
      </c>
      <c r="R2332" s="1">
        <v>1</v>
      </c>
    </row>
    <row r="2333" spans="1:18" s="12" customFormat="1" ht="14.25" thickBot="1">
      <c r="A2333" s="12">
        <f t="shared" si="85"/>
        <v>50013066</v>
      </c>
      <c r="B2333" s="2">
        <v>0</v>
      </c>
      <c r="C2333" s="12" t="s">
        <v>2095</v>
      </c>
      <c r="D2333" s="12" t="s">
        <v>13</v>
      </c>
      <c r="E2333" s="12">
        <v>6</v>
      </c>
      <c r="F2333" s="12">
        <v>5</v>
      </c>
      <c r="G2333" s="12">
        <v>1</v>
      </c>
      <c r="H2333" s="12" t="s">
        <v>2122</v>
      </c>
      <c r="I2333" s="12">
        <v>8000</v>
      </c>
      <c r="J2333" s="12">
        <v>150</v>
      </c>
      <c r="K2333" s="12">
        <v>1500</v>
      </c>
      <c r="L2333" s="12">
        <v>0</v>
      </c>
      <c r="M2333" s="12" t="s">
        <v>1808</v>
      </c>
      <c r="N2333" s="12" t="s">
        <v>2909</v>
      </c>
      <c r="O2333" s="12">
        <v>0</v>
      </c>
      <c r="P2333" s="12" t="s">
        <v>2045</v>
      </c>
      <c r="Q2333" s="7" t="str">
        <f t="shared" si="86"/>
        <v>equipment/2301.png</v>
      </c>
      <c r="R2333" s="1">
        <v>1</v>
      </c>
    </row>
    <row r="2334" spans="1:18" s="12" customFormat="1" ht="14.25" thickBot="1">
      <c r="A2334" s="12">
        <f t="shared" si="85"/>
        <v>50010045</v>
      </c>
      <c r="B2334" s="2">
        <v>0</v>
      </c>
      <c r="C2334" s="12" t="s">
        <v>2499</v>
      </c>
      <c r="D2334" s="12" t="s">
        <v>11</v>
      </c>
      <c r="E2334" s="12">
        <v>4</v>
      </c>
      <c r="F2334" s="12">
        <v>5</v>
      </c>
      <c r="G2334" s="12">
        <v>1</v>
      </c>
      <c r="H2334" s="12">
        <v>0</v>
      </c>
      <c r="I2334" s="12">
        <v>2000</v>
      </c>
      <c r="J2334" s="12">
        <v>150</v>
      </c>
      <c r="K2334" s="12">
        <v>1500</v>
      </c>
      <c r="L2334" s="12">
        <v>0</v>
      </c>
      <c r="M2334" s="12" t="s">
        <v>1809</v>
      </c>
      <c r="N2334" s="12" t="s">
        <v>2908</v>
      </c>
      <c r="O2334" s="12">
        <v>0</v>
      </c>
      <c r="P2334" s="12" t="s">
        <v>2045</v>
      </c>
      <c r="Q2334" s="7" t="str">
        <f t="shared" si="86"/>
        <v>equipment/5001.png</v>
      </c>
      <c r="R2334" s="1">
        <v>1</v>
      </c>
    </row>
    <row r="2335" spans="1:18" s="12" customFormat="1" ht="14.25" thickBot="1">
      <c r="A2335" s="12">
        <f t="shared" si="85"/>
        <v>50010046</v>
      </c>
      <c r="B2335" s="2">
        <v>0</v>
      </c>
      <c r="C2335" s="12" t="s">
        <v>2499</v>
      </c>
      <c r="D2335" s="12" t="s">
        <v>11</v>
      </c>
      <c r="E2335" s="12">
        <v>4</v>
      </c>
      <c r="F2335" s="12">
        <v>5</v>
      </c>
      <c r="G2335" s="12">
        <v>1</v>
      </c>
      <c r="H2335" s="12">
        <v>0</v>
      </c>
      <c r="I2335" s="12">
        <v>8000</v>
      </c>
      <c r="J2335" s="12">
        <v>150</v>
      </c>
      <c r="K2335" s="12">
        <v>1500</v>
      </c>
      <c r="L2335" s="12">
        <v>0</v>
      </c>
      <c r="M2335" s="12" t="s">
        <v>1810</v>
      </c>
      <c r="N2335" s="12" t="s">
        <v>2908</v>
      </c>
      <c r="O2335" s="12">
        <v>0</v>
      </c>
      <c r="P2335" s="12" t="s">
        <v>2045</v>
      </c>
      <c r="Q2335" s="7" t="str">
        <f t="shared" si="86"/>
        <v>equipment/5001.png</v>
      </c>
      <c r="R2335" s="1">
        <v>1</v>
      </c>
    </row>
    <row r="2336" spans="1:18" s="12" customFormat="1" ht="14.25" thickBot="1">
      <c r="A2336" s="12">
        <f t="shared" si="85"/>
        <v>50010075</v>
      </c>
      <c r="B2336" s="2">
        <v>0</v>
      </c>
      <c r="C2336" s="12" t="s">
        <v>2500</v>
      </c>
      <c r="D2336" s="12" t="s">
        <v>14</v>
      </c>
      <c r="E2336" s="12">
        <v>7</v>
      </c>
      <c r="F2336" s="12">
        <v>5</v>
      </c>
      <c r="G2336" s="12">
        <v>1</v>
      </c>
      <c r="H2336" s="12">
        <v>0</v>
      </c>
      <c r="I2336" s="12">
        <v>2000</v>
      </c>
      <c r="J2336" s="12">
        <v>150</v>
      </c>
      <c r="K2336" s="12">
        <v>1500</v>
      </c>
      <c r="L2336" s="12">
        <v>0</v>
      </c>
      <c r="M2336" s="12" t="s">
        <v>1811</v>
      </c>
      <c r="N2336" s="12" t="s">
        <v>2908</v>
      </c>
      <c r="O2336" s="12">
        <v>0</v>
      </c>
      <c r="P2336" s="12" t="s">
        <v>2045</v>
      </c>
      <c r="Q2336" s="7" t="str">
        <f t="shared" si="86"/>
        <v>equipment/7001.png</v>
      </c>
      <c r="R2336" s="1">
        <v>1</v>
      </c>
    </row>
    <row r="2337" spans="1:18" s="12" customFormat="1" ht="14.25" thickBot="1">
      <c r="A2337" s="12">
        <f t="shared" si="85"/>
        <v>50010076</v>
      </c>
      <c r="B2337" s="2">
        <v>0</v>
      </c>
      <c r="C2337" s="12" t="s">
        <v>2501</v>
      </c>
      <c r="D2337" s="12" t="s">
        <v>14</v>
      </c>
      <c r="E2337" s="12">
        <v>7</v>
      </c>
      <c r="F2337" s="12">
        <v>5</v>
      </c>
      <c r="G2337" s="12">
        <v>1</v>
      </c>
      <c r="H2337" s="12">
        <v>0</v>
      </c>
      <c r="I2337" s="12">
        <v>8000</v>
      </c>
      <c r="J2337" s="12">
        <v>150</v>
      </c>
      <c r="K2337" s="12">
        <v>1500</v>
      </c>
      <c r="L2337" s="12">
        <v>0</v>
      </c>
      <c r="M2337" s="12" t="s">
        <v>1812</v>
      </c>
      <c r="N2337" s="12" t="s">
        <v>2908</v>
      </c>
      <c r="O2337" s="12">
        <v>0</v>
      </c>
      <c r="P2337" s="12" t="s">
        <v>2045</v>
      </c>
      <c r="Q2337" s="7" t="str">
        <f t="shared" si="86"/>
        <v>equipment/7001.png</v>
      </c>
      <c r="R2337" s="1">
        <v>1</v>
      </c>
    </row>
    <row r="2338" spans="1:18" s="12" customFormat="1" ht="14.25" thickBot="1">
      <c r="A2338" s="12">
        <f t="shared" si="85"/>
        <v>50050015</v>
      </c>
      <c r="B2338" s="2">
        <v>0</v>
      </c>
      <c r="C2338" s="12" t="s">
        <v>2484</v>
      </c>
      <c r="D2338" s="12" t="s">
        <v>8</v>
      </c>
      <c r="E2338" s="12">
        <v>1</v>
      </c>
      <c r="F2338" s="12">
        <v>5</v>
      </c>
      <c r="G2338" s="12">
        <v>5</v>
      </c>
      <c r="H2338" s="12">
        <v>0</v>
      </c>
      <c r="I2338" s="12">
        <v>10000</v>
      </c>
      <c r="J2338" s="12">
        <v>150</v>
      </c>
      <c r="K2338" s="12">
        <v>1500</v>
      </c>
      <c r="L2338" s="12">
        <v>0</v>
      </c>
      <c r="M2338" s="12" t="s">
        <v>1813</v>
      </c>
      <c r="N2338" s="12" t="s">
        <v>2910</v>
      </c>
      <c r="O2338" s="12">
        <v>0</v>
      </c>
      <c r="P2338" s="12" t="s">
        <v>2046</v>
      </c>
      <c r="Q2338" s="7" t="str">
        <f t="shared" si="86"/>
        <v>equipment/3001.png</v>
      </c>
      <c r="R2338" s="1">
        <v>1</v>
      </c>
    </row>
    <row r="2339" spans="1:18" s="12" customFormat="1" ht="14.25" thickBot="1">
      <c r="A2339" s="12">
        <f t="shared" si="85"/>
        <v>50050025</v>
      </c>
      <c r="B2339" s="2">
        <v>0</v>
      </c>
      <c r="C2339" s="12" t="s">
        <v>2485</v>
      </c>
      <c r="D2339" s="12" t="s">
        <v>9</v>
      </c>
      <c r="E2339" s="12">
        <v>2</v>
      </c>
      <c r="F2339" s="12">
        <v>5</v>
      </c>
      <c r="G2339" s="12">
        <v>5</v>
      </c>
      <c r="H2339" s="12">
        <v>0</v>
      </c>
      <c r="I2339" s="12">
        <v>10000</v>
      </c>
      <c r="J2339" s="12">
        <v>150</v>
      </c>
      <c r="K2339" s="12">
        <v>1500</v>
      </c>
      <c r="L2339" s="12">
        <v>0</v>
      </c>
      <c r="M2339" s="12" t="s">
        <v>1814</v>
      </c>
      <c r="N2339" s="12" t="s">
        <v>2910</v>
      </c>
      <c r="O2339" s="12">
        <v>0</v>
      </c>
      <c r="P2339" s="12" t="s">
        <v>2046</v>
      </c>
      <c r="Q2339" s="7" t="str">
        <f t="shared" si="86"/>
        <v>equipment/14001.png</v>
      </c>
      <c r="R2339" s="1">
        <v>1</v>
      </c>
    </row>
    <row r="2340" spans="1:18" s="12" customFormat="1" ht="14.25" thickBot="1">
      <c r="A2340" s="12">
        <f t="shared" si="85"/>
        <v>50050035</v>
      </c>
      <c r="B2340" s="2">
        <v>0</v>
      </c>
      <c r="C2340" s="12" t="s">
        <v>2486</v>
      </c>
      <c r="D2340" s="12" t="s">
        <v>10</v>
      </c>
      <c r="E2340" s="12">
        <v>3</v>
      </c>
      <c r="F2340" s="12">
        <v>5</v>
      </c>
      <c r="G2340" s="12">
        <v>5</v>
      </c>
      <c r="H2340" s="12">
        <v>0</v>
      </c>
      <c r="I2340" s="12">
        <v>10000</v>
      </c>
      <c r="J2340" s="12">
        <v>150</v>
      </c>
      <c r="K2340" s="12">
        <v>1500</v>
      </c>
      <c r="L2340" s="12">
        <v>0</v>
      </c>
      <c r="M2340" s="12" t="s">
        <v>1799</v>
      </c>
      <c r="N2340" s="12" t="s">
        <v>2910</v>
      </c>
      <c r="O2340" s="12">
        <v>0</v>
      </c>
      <c r="P2340" s="12" t="s">
        <v>2046</v>
      </c>
      <c r="Q2340" s="7" t="str">
        <f t="shared" si="86"/>
        <v>equipment/6001.png</v>
      </c>
      <c r="R2340" s="1">
        <v>1</v>
      </c>
    </row>
    <row r="2341" spans="1:18" s="12" customFormat="1" ht="14.25" thickBot="1">
      <c r="A2341" s="12">
        <f t="shared" si="85"/>
        <v>50050085</v>
      </c>
      <c r="B2341" s="2">
        <v>0</v>
      </c>
      <c r="C2341" s="12" t="s">
        <v>2487</v>
      </c>
      <c r="D2341" s="12" t="s">
        <v>15</v>
      </c>
      <c r="E2341" s="12">
        <v>8</v>
      </c>
      <c r="F2341" s="12">
        <v>5</v>
      </c>
      <c r="G2341" s="12">
        <v>5</v>
      </c>
      <c r="H2341" s="12">
        <v>0</v>
      </c>
      <c r="I2341" s="12">
        <v>10000</v>
      </c>
      <c r="J2341" s="12">
        <v>150</v>
      </c>
      <c r="K2341" s="12">
        <v>1500</v>
      </c>
      <c r="L2341" s="12">
        <v>0</v>
      </c>
      <c r="M2341" s="12" t="s">
        <v>1815</v>
      </c>
      <c r="N2341" s="12" t="s">
        <v>2910</v>
      </c>
      <c r="O2341" s="12">
        <v>0</v>
      </c>
      <c r="P2341" s="12" t="s">
        <v>2046</v>
      </c>
      <c r="Q2341" s="7" t="str">
        <f t="shared" si="86"/>
        <v>equipment/8001.png</v>
      </c>
      <c r="R2341" s="1">
        <v>1</v>
      </c>
    </row>
    <row r="2342" spans="1:18" s="12" customFormat="1" ht="14.25" thickBot="1">
      <c r="A2342" s="12">
        <f t="shared" si="85"/>
        <v>50050095</v>
      </c>
      <c r="B2342" s="2">
        <v>0</v>
      </c>
      <c r="C2342" s="12" t="s">
        <v>2488</v>
      </c>
      <c r="D2342" s="12" t="s">
        <v>16</v>
      </c>
      <c r="E2342" s="12">
        <v>9</v>
      </c>
      <c r="F2342" s="12">
        <v>5</v>
      </c>
      <c r="G2342" s="12">
        <v>5</v>
      </c>
      <c r="H2342" s="12">
        <v>0</v>
      </c>
      <c r="I2342" s="12">
        <v>10000</v>
      </c>
      <c r="J2342" s="12">
        <v>150</v>
      </c>
      <c r="K2342" s="12">
        <v>1500</v>
      </c>
      <c r="L2342" s="12">
        <v>0</v>
      </c>
      <c r="M2342" s="12" t="s">
        <v>1816</v>
      </c>
      <c r="N2342" s="12" t="s">
        <v>2910</v>
      </c>
      <c r="O2342" s="12">
        <v>0</v>
      </c>
      <c r="P2342" s="12" t="s">
        <v>2046</v>
      </c>
      <c r="Q2342" s="7" t="str">
        <f t="shared" si="86"/>
        <v>equipment/10001.png</v>
      </c>
      <c r="R2342" s="1">
        <v>1</v>
      </c>
    </row>
    <row r="2343" spans="1:18" s="12" customFormat="1" ht="14.25" thickBot="1">
      <c r="A2343" s="12">
        <f t="shared" si="85"/>
        <v>50050105</v>
      </c>
      <c r="B2343" s="2">
        <v>0</v>
      </c>
      <c r="C2343" s="12" t="s">
        <v>2489</v>
      </c>
      <c r="D2343" s="12" t="s">
        <v>17</v>
      </c>
      <c r="E2343" s="12">
        <v>10</v>
      </c>
      <c r="F2343" s="12">
        <v>5</v>
      </c>
      <c r="G2343" s="12">
        <v>5</v>
      </c>
      <c r="H2343" s="12">
        <v>0</v>
      </c>
      <c r="I2343" s="12">
        <v>10000</v>
      </c>
      <c r="J2343" s="12">
        <v>150</v>
      </c>
      <c r="K2343" s="12">
        <v>1500</v>
      </c>
      <c r="L2343" s="12">
        <v>0</v>
      </c>
      <c r="M2343" s="12" t="s">
        <v>1817</v>
      </c>
      <c r="N2343" s="12" t="s">
        <v>2910</v>
      </c>
      <c r="O2343" s="12">
        <v>0</v>
      </c>
      <c r="P2343" s="12" t="s">
        <v>2046</v>
      </c>
      <c r="Q2343" s="7" t="str">
        <f t="shared" si="86"/>
        <v>equipment/12001.png</v>
      </c>
      <c r="R2343" s="1">
        <v>1</v>
      </c>
    </row>
    <row r="2344" spans="1:18" s="12" customFormat="1" ht="14.25" thickBot="1">
      <c r="A2344" s="12">
        <f t="shared" si="85"/>
        <v>50051055</v>
      </c>
      <c r="B2344" s="2">
        <v>0</v>
      </c>
      <c r="C2344" s="12" t="s">
        <v>2502</v>
      </c>
      <c r="D2344" s="12" t="s">
        <v>12</v>
      </c>
      <c r="E2344" s="12">
        <v>5</v>
      </c>
      <c r="F2344" s="12">
        <v>5</v>
      </c>
      <c r="G2344" s="12">
        <v>5</v>
      </c>
      <c r="H2344" s="12" t="s">
        <v>2120</v>
      </c>
      <c r="I2344" s="12">
        <v>10000</v>
      </c>
      <c r="J2344" s="12">
        <v>150</v>
      </c>
      <c r="K2344" s="12">
        <v>1500</v>
      </c>
      <c r="L2344" s="12">
        <v>0</v>
      </c>
      <c r="M2344" s="12" t="s">
        <v>1818</v>
      </c>
      <c r="N2344" s="12" t="s">
        <v>2911</v>
      </c>
      <c r="O2344" s="12">
        <v>0</v>
      </c>
      <c r="P2344" s="12" t="s">
        <v>2046</v>
      </c>
      <c r="Q2344" s="7" t="str">
        <f t="shared" si="86"/>
        <v>equipment/1103.png</v>
      </c>
      <c r="R2344" s="1">
        <v>1</v>
      </c>
    </row>
    <row r="2345" spans="1:18" s="12" customFormat="1" ht="14.25" thickBot="1">
      <c r="A2345" s="12">
        <f t="shared" si="85"/>
        <v>50051056</v>
      </c>
      <c r="B2345" s="2">
        <v>0</v>
      </c>
      <c r="C2345" s="12" t="s">
        <v>2503</v>
      </c>
      <c r="D2345" s="12" t="s">
        <v>12</v>
      </c>
      <c r="E2345" s="12">
        <v>5</v>
      </c>
      <c r="F2345" s="12">
        <v>5</v>
      </c>
      <c r="G2345" s="12">
        <v>5</v>
      </c>
      <c r="H2345" s="12" t="s">
        <v>2120</v>
      </c>
      <c r="I2345" s="12">
        <v>16000</v>
      </c>
      <c r="J2345" s="12">
        <v>150</v>
      </c>
      <c r="K2345" s="12">
        <v>1500</v>
      </c>
      <c r="L2345" s="12">
        <v>0</v>
      </c>
      <c r="M2345" s="12" t="s">
        <v>2012</v>
      </c>
      <c r="N2345" s="12" t="s">
        <v>2911</v>
      </c>
      <c r="O2345" s="12">
        <v>0</v>
      </c>
      <c r="P2345" s="12" t="s">
        <v>2046</v>
      </c>
      <c r="Q2345" s="7" t="str">
        <f t="shared" si="86"/>
        <v>equipment/1104.png</v>
      </c>
      <c r="R2345" s="1">
        <v>1</v>
      </c>
    </row>
    <row r="2346" spans="1:18" s="12" customFormat="1" ht="14.25" thickBot="1">
      <c r="A2346" s="12">
        <f t="shared" si="85"/>
        <v>50051065</v>
      </c>
      <c r="B2346" s="2">
        <v>0</v>
      </c>
      <c r="C2346" s="12" t="s">
        <v>2061</v>
      </c>
      <c r="D2346" s="12" t="s">
        <v>13</v>
      </c>
      <c r="E2346" s="12">
        <v>6</v>
      </c>
      <c r="F2346" s="12">
        <v>5</v>
      </c>
      <c r="G2346" s="12">
        <v>5</v>
      </c>
      <c r="H2346" s="12" t="s">
        <v>2120</v>
      </c>
      <c r="I2346" s="12">
        <v>10000</v>
      </c>
      <c r="J2346" s="12">
        <v>150</v>
      </c>
      <c r="K2346" s="12">
        <v>1500</v>
      </c>
      <c r="L2346" s="12">
        <v>0</v>
      </c>
      <c r="M2346" s="12" t="s">
        <v>1819</v>
      </c>
      <c r="N2346" s="12" t="s">
        <v>2911</v>
      </c>
      <c r="O2346" s="12">
        <v>0</v>
      </c>
      <c r="P2346" s="12" t="s">
        <v>2046</v>
      </c>
      <c r="Q2346" s="7" t="str">
        <f t="shared" si="86"/>
        <v>equipment/2102.png</v>
      </c>
      <c r="R2346" s="1">
        <v>1</v>
      </c>
    </row>
    <row r="2347" spans="1:18" s="12" customFormat="1" ht="14.25" thickBot="1">
      <c r="A2347" s="12">
        <f t="shared" si="85"/>
        <v>50051066</v>
      </c>
      <c r="B2347" s="2">
        <v>0</v>
      </c>
      <c r="C2347" s="12" t="s">
        <v>2061</v>
      </c>
      <c r="D2347" s="12" t="s">
        <v>13</v>
      </c>
      <c r="E2347" s="12">
        <v>6</v>
      </c>
      <c r="F2347" s="12">
        <v>5</v>
      </c>
      <c r="G2347" s="12">
        <v>5</v>
      </c>
      <c r="H2347" s="12" t="s">
        <v>2120</v>
      </c>
      <c r="I2347" s="12">
        <v>16000</v>
      </c>
      <c r="J2347" s="12">
        <v>150</v>
      </c>
      <c r="K2347" s="12">
        <v>1500</v>
      </c>
      <c r="L2347" s="12">
        <v>0</v>
      </c>
      <c r="M2347" s="12" t="s">
        <v>1820</v>
      </c>
      <c r="N2347" s="12" t="s">
        <v>2911</v>
      </c>
      <c r="O2347" s="12">
        <v>0</v>
      </c>
      <c r="P2347" s="12" t="s">
        <v>2046</v>
      </c>
      <c r="Q2347" s="7" t="str">
        <f t="shared" si="86"/>
        <v>equipment/2101.png</v>
      </c>
      <c r="R2347" s="1">
        <v>1</v>
      </c>
    </row>
    <row r="2348" spans="1:18" s="12" customFormat="1" ht="14.25" thickBot="1">
      <c r="A2348" s="12">
        <f t="shared" si="85"/>
        <v>50052055</v>
      </c>
      <c r="B2348" s="2">
        <v>0</v>
      </c>
      <c r="C2348" s="12" t="s">
        <v>2504</v>
      </c>
      <c r="D2348" s="12" t="s">
        <v>12</v>
      </c>
      <c r="E2348" s="12">
        <v>5</v>
      </c>
      <c r="F2348" s="12">
        <v>5</v>
      </c>
      <c r="G2348" s="12">
        <v>5</v>
      </c>
      <c r="H2348" s="12" t="s">
        <v>2121</v>
      </c>
      <c r="I2348" s="12">
        <v>10000</v>
      </c>
      <c r="J2348" s="12">
        <v>150</v>
      </c>
      <c r="K2348" s="12">
        <v>1500</v>
      </c>
      <c r="L2348" s="12">
        <v>0</v>
      </c>
      <c r="M2348" s="12" t="s">
        <v>1818</v>
      </c>
      <c r="N2348" s="12" t="s">
        <v>2911</v>
      </c>
      <c r="O2348" s="12">
        <v>0</v>
      </c>
      <c r="P2348" s="12" t="s">
        <v>2046</v>
      </c>
      <c r="Q2348" s="7" t="str">
        <f t="shared" si="86"/>
        <v>equipment/1204.png</v>
      </c>
      <c r="R2348" s="1">
        <v>1</v>
      </c>
    </row>
    <row r="2349" spans="1:18" s="12" customFormat="1" ht="14.25" thickBot="1">
      <c r="A2349" s="12">
        <f t="shared" si="85"/>
        <v>50052056</v>
      </c>
      <c r="B2349" s="2">
        <v>0</v>
      </c>
      <c r="C2349" s="12" t="s">
        <v>2505</v>
      </c>
      <c r="D2349" s="12" t="s">
        <v>12</v>
      </c>
      <c r="E2349" s="12">
        <v>5</v>
      </c>
      <c r="F2349" s="12">
        <v>5</v>
      </c>
      <c r="G2349" s="12">
        <v>5</v>
      </c>
      <c r="H2349" s="12" t="s">
        <v>2121</v>
      </c>
      <c r="I2349" s="12">
        <v>16000</v>
      </c>
      <c r="J2349" s="12">
        <v>150</v>
      </c>
      <c r="K2349" s="12">
        <v>1500</v>
      </c>
      <c r="L2349" s="12">
        <v>0</v>
      </c>
      <c r="M2349" s="12" t="s">
        <v>2012</v>
      </c>
      <c r="N2349" s="12" t="s">
        <v>2911</v>
      </c>
      <c r="O2349" s="12">
        <v>0</v>
      </c>
      <c r="P2349" s="12" t="s">
        <v>2046</v>
      </c>
      <c r="Q2349" s="7" t="str">
        <f t="shared" si="86"/>
        <v>equipment/1203.png</v>
      </c>
      <c r="R2349" s="1">
        <v>1</v>
      </c>
    </row>
    <row r="2350" spans="1:18" s="12" customFormat="1" ht="14.25" thickBot="1">
      <c r="A2350" s="12">
        <f t="shared" si="85"/>
        <v>50052065</v>
      </c>
      <c r="B2350" s="2">
        <v>0</v>
      </c>
      <c r="C2350" s="12" t="s">
        <v>2094</v>
      </c>
      <c r="D2350" s="12" t="s">
        <v>13</v>
      </c>
      <c r="E2350" s="12">
        <v>6</v>
      </c>
      <c r="F2350" s="12">
        <v>5</v>
      </c>
      <c r="G2350" s="12">
        <v>5</v>
      </c>
      <c r="H2350" s="12" t="s">
        <v>2121</v>
      </c>
      <c r="I2350" s="12">
        <v>10000</v>
      </c>
      <c r="J2350" s="12">
        <v>150</v>
      </c>
      <c r="K2350" s="12">
        <v>1500</v>
      </c>
      <c r="L2350" s="12">
        <v>0</v>
      </c>
      <c r="M2350" s="12" t="s">
        <v>1821</v>
      </c>
      <c r="N2350" s="12" t="s">
        <v>2911</v>
      </c>
      <c r="O2350" s="12">
        <v>0</v>
      </c>
      <c r="P2350" s="12" t="s">
        <v>2046</v>
      </c>
      <c r="Q2350" s="7" t="str">
        <f t="shared" si="86"/>
        <v>equipment/2202.png</v>
      </c>
      <c r="R2350" s="1">
        <v>1</v>
      </c>
    </row>
    <row r="2351" spans="1:18" s="12" customFormat="1" ht="14.25" thickBot="1">
      <c r="A2351" s="12">
        <f t="shared" si="85"/>
        <v>50052066</v>
      </c>
      <c r="B2351" s="2">
        <v>0</v>
      </c>
      <c r="C2351" s="12" t="s">
        <v>2094</v>
      </c>
      <c r="D2351" s="12" t="s">
        <v>13</v>
      </c>
      <c r="E2351" s="12">
        <v>6</v>
      </c>
      <c r="F2351" s="12">
        <v>5</v>
      </c>
      <c r="G2351" s="12">
        <v>5</v>
      </c>
      <c r="H2351" s="12" t="s">
        <v>2121</v>
      </c>
      <c r="I2351" s="12">
        <v>16000</v>
      </c>
      <c r="J2351" s="12">
        <v>150</v>
      </c>
      <c r="K2351" s="12">
        <v>1500</v>
      </c>
      <c r="L2351" s="12">
        <v>0</v>
      </c>
      <c r="M2351" s="12" t="s">
        <v>1822</v>
      </c>
      <c r="N2351" s="12" t="s">
        <v>2911</v>
      </c>
      <c r="O2351" s="12">
        <v>0</v>
      </c>
      <c r="P2351" s="12" t="s">
        <v>2046</v>
      </c>
      <c r="Q2351" s="7" t="str">
        <f t="shared" si="86"/>
        <v>equipment/2201.png</v>
      </c>
      <c r="R2351" s="1">
        <v>1</v>
      </c>
    </row>
    <row r="2352" spans="1:18" s="12" customFormat="1" ht="14.25" thickBot="1">
      <c r="A2352" s="12">
        <f t="shared" si="85"/>
        <v>50053055</v>
      </c>
      <c r="B2352" s="2">
        <v>0</v>
      </c>
      <c r="C2352" s="12" t="s">
        <v>2506</v>
      </c>
      <c r="D2352" s="12" t="s">
        <v>12</v>
      </c>
      <c r="E2352" s="12">
        <v>5</v>
      </c>
      <c r="F2352" s="12">
        <v>5</v>
      </c>
      <c r="G2352" s="12">
        <v>5</v>
      </c>
      <c r="H2352" s="12" t="s">
        <v>2122</v>
      </c>
      <c r="I2352" s="12">
        <v>10000</v>
      </c>
      <c r="J2352" s="12">
        <v>150</v>
      </c>
      <c r="K2352" s="12">
        <v>1500</v>
      </c>
      <c r="L2352" s="12">
        <v>0</v>
      </c>
      <c r="M2352" s="12" t="s">
        <v>1818</v>
      </c>
      <c r="N2352" s="12" t="s">
        <v>2911</v>
      </c>
      <c r="O2352" s="12">
        <v>0</v>
      </c>
      <c r="P2352" s="12" t="s">
        <v>2046</v>
      </c>
      <c r="Q2352" s="7" t="str">
        <f t="shared" si="86"/>
        <v>equipment/1303.png</v>
      </c>
      <c r="R2352" s="1">
        <v>1</v>
      </c>
    </row>
    <row r="2353" spans="1:18" s="12" customFormat="1" ht="14.25" thickBot="1">
      <c r="A2353" s="12">
        <f t="shared" si="85"/>
        <v>50053056</v>
      </c>
      <c r="B2353" s="2">
        <v>0</v>
      </c>
      <c r="C2353" s="12" t="s">
        <v>2507</v>
      </c>
      <c r="D2353" s="12" t="s">
        <v>12</v>
      </c>
      <c r="E2353" s="12">
        <v>5</v>
      </c>
      <c r="F2353" s="12">
        <v>5</v>
      </c>
      <c r="G2353" s="12">
        <v>5</v>
      </c>
      <c r="H2353" s="12" t="s">
        <v>2122</v>
      </c>
      <c r="I2353" s="12">
        <v>16000</v>
      </c>
      <c r="J2353" s="12">
        <v>150</v>
      </c>
      <c r="K2353" s="12">
        <v>1500</v>
      </c>
      <c r="L2353" s="12">
        <v>0</v>
      </c>
      <c r="M2353" s="12" t="s">
        <v>2012</v>
      </c>
      <c r="N2353" s="12" t="s">
        <v>2911</v>
      </c>
      <c r="O2353" s="12">
        <v>0</v>
      </c>
      <c r="P2353" s="12" t="s">
        <v>2046</v>
      </c>
      <c r="Q2353" s="7" t="str">
        <f t="shared" si="86"/>
        <v>equipment/1304.png</v>
      </c>
      <c r="R2353" s="1">
        <v>1</v>
      </c>
    </row>
    <row r="2354" spans="1:18" s="12" customFormat="1" ht="14.25" thickBot="1">
      <c r="A2354" s="12">
        <f t="shared" si="85"/>
        <v>50053065</v>
      </c>
      <c r="B2354" s="2">
        <v>0</v>
      </c>
      <c r="C2354" s="12" t="s">
        <v>2095</v>
      </c>
      <c r="D2354" s="12" t="s">
        <v>13</v>
      </c>
      <c r="E2354" s="12">
        <v>6</v>
      </c>
      <c r="F2354" s="12">
        <v>5</v>
      </c>
      <c r="G2354" s="12">
        <v>5</v>
      </c>
      <c r="H2354" s="12" t="s">
        <v>2122</v>
      </c>
      <c r="I2354" s="12">
        <v>10000</v>
      </c>
      <c r="J2354" s="12">
        <v>150</v>
      </c>
      <c r="K2354" s="12">
        <v>1500</v>
      </c>
      <c r="L2354" s="12">
        <v>0</v>
      </c>
      <c r="M2354" s="12" t="s">
        <v>1823</v>
      </c>
      <c r="N2354" s="12" t="s">
        <v>2911</v>
      </c>
      <c r="O2354" s="12">
        <v>0</v>
      </c>
      <c r="P2354" s="12" t="s">
        <v>2046</v>
      </c>
      <c r="Q2354" s="7" t="str">
        <f t="shared" si="86"/>
        <v>equipment/2302.png</v>
      </c>
      <c r="R2354" s="1">
        <v>1</v>
      </c>
    </row>
    <row r="2355" spans="1:18" s="12" customFormat="1" ht="14.25" thickBot="1">
      <c r="A2355" s="12">
        <f t="shared" si="85"/>
        <v>50053066</v>
      </c>
      <c r="B2355" s="2">
        <v>0</v>
      </c>
      <c r="C2355" s="12" t="s">
        <v>2095</v>
      </c>
      <c r="D2355" s="12" t="s">
        <v>13</v>
      </c>
      <c r="E2355" s="12">
        <v>6</v>
      </c>
      <c r="F2355" s="12">
        <v>5</v>
      </c>
      <c r="G2355" s="12">
        <v>5</v>
      </c>
      <c r="H2355" s="12" t="s">
        <v>2122</v>
      </c>
      <c r="I2355" s="12">
        <v>16000</v>
      </c>
      <c r="J2355" s="12">
        <v>150</v>
      </c>
      <c r="K2355" s="12">
        <v>1500</v>
      </c>
      <c r="L2355" s="12">
        <v>0</v>
      </c>
      <c r="M2355" s="12" t="s">
        <v>1824</v>
      </c>
      <c r="N2355" s="12" t="s">
        <v>2911</v>
      </c>
      <c r="O2355" s="12">
        <v>0</v>
      </c>
      <c r="P2355" s="12" t="s">
        <v>2046</v>
      </c>
      <c r="Q2355" s="7" t="str">
        <f t="shared" si="86"/>
        <v>equipment/2301.png</v>
      </c>
      <c r="R2355" s="1">
        <v>1</v>
      </c>
    </row>
    <row r="2356" spans="1:18" s="12" customFormat="1" ht="14.25" thickBot="1">
      <c r="A2356" s="12">
        <f t="shared" si="85"/>
        <v>50050045</v>
      </c>
      <c r="B2356" s="2">
        <v>0</v>
      </c>
      <c r="C2356" s="12" t="s">
        <v>2508</v>
      </c>
      <c r="D2356" s="12" t="s">
        <v>11</v>
      </c>
      <c r="E2356" s="12">
        <v>4</v>
      </c>
      <c r="F2356" s="12">
        <v>5</v>
      </c>
      <c r="G2356" s="12">
        <v>5</v>
      </c>
      <c r="H2356" s="12">
        <v>0</v>
      </c>
      <c r="I2356" s="12">
        <v>10000</v>
      </c>
      <c r="J2356" s="12">
        <v>150</v>
      </c>
      <c r="K2356" s="12">
        <v>1500</v>
      </c>
      <c r="L2356" s="12">
        <v>0</v>
      </c>
      <c r="M2356" s="12" t="s">
        <v>1825</v>
      </c>
      <c r="N2356" s="12" t="s">
        <v>2910</v>
      </c>
      <c r="O2356" s="12">
        <v>0</v>
      </c>
      <c r="P2356" s="12" t="s">
        <v>2046</v>
      </c>
      <c r="Q2356" s="7" t="str">
        <f t="shared" si="86"/>
        <v>equipment/5002.png</v>
      </c>
      <c r="R2356" s="1">
        <v>1</v>
      </c>
    </row>
    <row r="2357" spans="1:18" s="12" customFormat="1" ht="14.25" thickBot="1">
      <c r="A2357" s="12">
        <f t="shared" si="85"/>
        <v>50050046</v>
      </c>
      <c r="B2357" s="2">
        <v>0</v>
      </c>
      <c r="C2357" s="12" t="s">
        <v>2509</v>
      </c>
      <c r="D2357" s="12" t="s">
        <v>11</v>
      </c>
      <c r="E2357" s="12">
        <v>4</v>
      </c>
      <c r="F2357" s="12">
        <v>5</v>
      </c>
      <c r="G2357" s="12">
        <v>5</v>
      </c>
      <c r="H2357" s="12">
        <v>0</v>
      </c>
      <c r="I2357" s="12">
        <v>16000</v>
      </c>
      <c r="J2357" s="12">
        <v>150</v>
      </c>
      <c r="K2357" s="12">
        <v>1500</v>
      </c>
      <c r="L2357" s="12">
        <v>0</v>
      </c>
      <c r="M2357" s="12" t="s">
        <v>1826</v>
      </c>
      <c r="N2357" s="12" t="s">
        <v>2910</v>
      </c>
      <c r="O2357" s="12">
        <v>0</v>
      </c>
      <c r="P2357" s="12" t="s">
        <v>2046</v>
      </c>
      <c r="Q2357" s="7" t="str">
        <f t="shared" si="86"/>
        <v>equipment/5003.png</v>
      </c>
      <c r="R2357" s="1">
        <v>1</v>
      </c>
    </row>
    <row r="2358" spans="1:18" s="12" customFormat="1" ht="14.25" thickBot="1">
      <c r="A2358" s="12">
        <f t="shared" si="85"/>
        <v>50050075</v>
      </c>
      <c r="B2358" s="2">
        <v>0</v>
      </c>
      <c r="C2358" s="12" t="s">
        <v>2500</v>
      </c>
      <c r="D2358" s="12" t="s">
        <v>14</v>
      </c>
      <c r="E2358" s="12">
        <v>7</v>
      </c>
      <c r="F2358" s="12">
        <v>5</v>
      </c>
      <c r="G2358" s="12">
        <v>5</v>
      </c>
      <c r="H2358" s="12">
        <v>0</v>
      </c>
      <c r="I2358" s="12">
        <v>10000</v>
      </c>
      <c r="J2358" s="12">
        <v>150</v>
      </c>
      <c r="K2358" s="12">
        <v>1500</v>
      </c>
      <c r="L2358" s="12">
        <v>0</v>
      </c>
      <c r="M2358" s="12" t="s">
        <v>1809</v>
      </c>
      <c r="N2358" s="12" t="s">
        <v>2910</v>
      </c>
      <c r="O2358" s="12">
        <v>0</v>
      </c>
      <c r="P2358" s="12" t="s">
        <v>2046</v>
      </c>
      <c r="Q2358" s="7" t="str">
        <f t="shared" si="86"/>
        <v>equipment/7001.png</v>
      </c>
      <c r="R2358" s="1">
        <v>1</v>
      </c>
    </row>
    <row r="2359" spans="1:18" s="12" customFormat="1" ht="14.25" thickBot="1">
      <c r="A2359" s="12">
        <f t="shared" si="85"/>
        <v>50050076</v>
      </c>
      <c r="B2359" s="2">
        <v>0</v>
      </c>
      <c r="C2359" s="12" t="s">
        <v>2501</v>
      </c>
      <c r="D2359" s="12" t="s">
        <v>14</v>
      </c>
      <c r="E2359" s="12">
        <v>7</v>
      </c>
      <c r="F2359" s="12">
        <v>5</v>
      </c>
      <c r="G2359" s="12">
        <v>5</v>
      </c>
      <c r="H2359" s="12">
        <v>0</v>
      </c>
      <c r="I2359" s="12">
        <v>16000</v>
      </c>
      <c r="J2359" s="12">
        <v>150</v>
      </c>
      <c r="K2359" s="12">
        <v>1500</v>
      </c>
      <c r="L2359" s="12">
        <v>0</v>
      </c>
      <c r="M2359" s="12" t="s">
        <v>1827</v>
      </c>
      <c r="N2359" s="12" t="s">
        <v>2910</v>
      </c>
      <c r="O2359" s="12">
        <v>0</v>
      </c>
      <c r="P2359" s="12" t="s">
        <v>2046</v>
      </c>
      <c r="Q2359" s="7" t="str">
        <f t="shared" si="86"/>
        <v>equipment/7002.png</v>
      </c>
      <c r="R2359" s="1">
        <v>1</v>
      </c>
    </row>
    <row r="2360" spans="1:18" s="12" customFormat="1" ht="14.25" thickBot="1">
      <c r="A2360" s="12">
        <f t="shared" si="85"/>
        <v>50100015</v>
      </c>
      <c r="B2360" s="2">
        <v>0</v>
      </c>
      <c r="C2360" s="12" t="s">
        <v>2510</v>
      </c>
      <c r="D2360" s="12" t="s">
        <v>8</v>
      </c>
      <c r="E2360" s="12">
        <v>1</v>
      </c>
      <c r="F2360" s="12">
        <v>5</v>
      </c>
      <c r="G2360" s="12">
        <v>10</v>
      </c>
      <c r="H2360" s="12">
        <v>0</v>
      </c>
      <c r="I2360" s="12">
        <v>20000</v>
      </c>
      <c r="J2360" s="12">
        <v>150</v>
      </c>
      <c r="K2360" s="12">
        <v>1500</v>
      </c>
      <c r="L2360" s="12">
        <v>7500</v>
      </c>
      <c r="M2360" s="12" t="s">
        <v>1828</v>
      </c>
      <c r="N2360" s="12" t="s">
        <v>2912</v>
      </c>
      <c r="O2360" s="12">
        <v>0</v>
      </c>
      <c r="P2360" s="12" t="s">
        <v>2047</v>
      </c>
      <c r="Q2360" s="7" t="str">
        <f t="shared" si="86"/>
        <v>equipment/3002.png</v>
      </c>
      <c r="R2360" s="1">
        <v>1</v>
      </c>
    </row>
    <row r="2361" spans="1:18" s="12" customFormat="1" ht="14.25" thickBot="1">
      <c r="A2361" s="12">
        <f t="shared" si="85"/>
        <v>50100025</v>
      </c>
      <c r="B2361" s="2">
        <v>0</v>
      </c>
      <c r="C2361" s="12" t="s">
        <v>2511</v>
      </c>
      <c r="D2361" s="12" t="s">
        <v>9</v>
      </c>
      <c r="E2361" s="12">
        <v>2</v>
      </c>
      <c r="F2361" s="12">
        <v>5</v>
      </c>
      <c r="G2361" s="12">
        <v>10</v>
      </c>
      <c r="H2361" s="12">
        <v>0</v>
      </c>
      <c r="I2361" s="12">
        <v>20000</v>
      </c>
      <c r="J2361" s="12">
        <v>150</v>
      </c>
      <c r="K2361" s="12">
        <v>1500</v>
      </c>
      <c r="L2361" s="12">
        <v>7500</v>
      </c>
      <c r="M2361" s="12" t="s">
        <v>1829</v>
      </c>
      <c r="N2361" s="12" t="s">
        <v>2912</v>
      </c>
      <c r="O2361" s="12">
        <v>0</v>
      </c>
      <c r="P2361" s="12" t="s">
        <v>2047</v>
      </c>
      <c r="Q2361" s="7" t="str">
        <f t="shared" si="86"/>
        <v>equipment/14002.png</v>
      </c>
      <c r="R2361" s="1">
        <v>1</v>
      </c>
    </row>
    <row r="2362" spans="1:18" s="12" customFormat="1" ht="14.25" thickBot="1">
      <c r="A2362" s="12">
        <f t="shared" si="85"/>
        <v>50100035</v>
      </c>
      <c r="B2362" s="2">
        <v>0</v>
      </c>
      <c r="C2362" s="12" t="s">
        <v>2512</v>
      </c>
      <c r="D2362" s="12" t="s">
        <v>10</v>
      </c>
      <c r="E2362" s="12">
        <v>3</v>
      </c>
      <c r="F2362" s="12">
        <v>5</v>
      </c>
      <c r="G2362" s="12">
        <v>10</v>
      </c>
      <c r="H2362" s="12">
        <v>0</v>
      </c>
      <c r="I2362" s="12">
        <v>20000</v>
      </c>
      <c r="J2362" s="12">
        <v>150</v>
      </c>
      <c r="K2362" s="12">
        <v>1500</v>
      </c>
      <c r="L2362" s="12">
        <v>7500</v>
      </c>
      <c r="M2362" s="12" t="s">
        <v>1830</v>
      </c>
      <c r="N2362" s="12" t="s">
        <v>2912</v>
      </c>
      <c r="O2362" s="12">
        <v>0</v>
      </c>
      <c r="P2362" s="12" t="s">
        <v>2047</v>
      </c>
      <c r="Q2362" s="7" t="str">
        <f t="shared" si="86"/>
        <v>equipment/6002.png</v>
      </c>
      <c r="R2362" s="1">
        <v>1</v>
      </c>
    </row>
    <row r="2363" spans="1:18" s="12" customFormat="1" ht="14.25" thickBot="1">
      <c r="A2363" s="12">
        <f t="shared" si="85"/>
        <v>50100085</v>
      </c>
      <c r="B2363" s="2">
        <v>0</v>
      </c>
      <c r="C2363" s="12" t="s">
        <v>2067</v>
      </c>
      <c r="D2363" s="12" t="s">
        <v>15</v>
      </c>
      <c r="E2363" s="12">
        <v>8</v>
      </c>
      <c r="F2363" s="12">
        <v>5</v>
      </c>
      <c r="G2363" s="12">
        <v>10</v>
      </c>
      <c r="H2363" s="12">
        <v>0</v>
      </c>
      <c r="I2363" s="12">
        <v>20000</v>
      </c>
      <c r="J2363" s="12">
        <v>150</v>
      </c>
      <c r="K2363" s="12">
        <v>1500</v>
      </c>
      <c r="L2363" s="12">
        <v>7500</v>
      </c>
      <c r="M2363" s="12" t="s">
        <v>1831</v>
      </c>
      <c r="N2363" s="12" t="s">
        <v>2912</v>
      </c>
      <c r="O2363" s="12">
        <v>0</v>
      </c>
      <c r="P2363" s="12" t="s">
        <v>2047</v>
      </c>
      <c r="Q2363" s="7" t="str">
        <f t="shared" si="86"/>
        <v>equipment/8002.png</v>
      </c>
      <c r="R2363" s="1">
        <v>1</v>
      </c>
    </row>
    <row r="2364" spans="1:18" s="12" customFormat="1" ht="14.25" thickBot="1">
      <c r="A2364" s="12">
        <f t="shared" si="85"/>
        <v>50100095</v>
      </c>
      <c r="B2364" s="2">
        <v>0</v>
      </c>
      <c r="C2364" s="12" t="s">
        <v>2071</v>
      </c>
      <c r="D2364" s="12" t="s">
        <v>16</v>
      </c>
      <c r="E2364" s="12">
        <v>9</v>
      </c>
      <c r="F2364" s="12">
        <v>5</v>
      </c>
      <c r="G2364" s="12">
        <v>10</v>
      </c>
      <c r="H2364" s="12">
        <v>0</v>
      </c>
      <c r="I2364" s="12">
        <v>20000</v>
      </c>
      <c r="J2364" s="12">
        <v>150</v>
      </c>
      <c r="K2364" s="12">
        <v>1500</v>
      </c>
      <c r="L2364" s="12">
        <v>7500</v>
      </c>
      <c r="M2364" s="12" t="s">
        <v>1832</v>
      </c>
      <c r="N2364" s="12" t="s">
        <v>2912</v>
      </c>
      <c r="O2364" s="12">
        <v>0</v>
      </c>
      <c r="P2364" s="12" t="s">
        <v>2047</v>
      </c>
      <c r="Q2364" s="7" t="str">
        <f t="shared" si="86"/>
        <v>equipment/10002.png</v>
      </c>
      <c r="R2364" s="1">
        <v>1</v>
      </c>
    </row>
    <row r="2365" spans="1:18" s="12" customFormat="1" ht="14.25" thickBot="1">
      <c r="A2365" s="12">
        <f t="shared" si="85"/>
        <v>50100105</v>
      </c>
      <c r="B2365" s="2">
        <v>0</v>
      </c>
      <c r="C2365" s="12" t="s">
        <v>2489</v>
      </c>
      <c r="D2365" s="12" t="s">
        <v>17</v>
      </c>
      <c r="E2365" s="12">
        <v>10</v>
      </c>
      <c r="F2365" s="12">
        <v>5</v>
      </c>
      <c r="G2365" s="12">
        <v>10</v>
      </c>
      <c r="H2365" s="12">
        <v>0</v>
      </c>
      <c r="I2365" s="12">
        <v>20000</v>
      </c>
      <c r="J2365" s="12">
        <v>150</v>
      </c>
      <c r="K2365" s="12">
        <v>1500</v>
      </c>
      <c r="L2365" s="12">
        <v>7500</v>
      </c>
      <c r="M2365" s="12" t="s">
        <v>1817</v>
      </c>
      <c r="N2365" s="12" t="s">
        <v>2912</v>
      </c>
      <c r="O2365" s="12">
        <v>0</v>
      </c>
      <c r="P2365" s="12" t="s">
        <v>2047</v>
      </c>
      <c r="Q2365" s="7" t="str">
        <f t="shared" si="86"/>
        <v>equipment/12001.png</v>
      </c>
      <c r="R2365" s="1">
        <v>1</v>
      </c>
    </row>
    <row r="2366" spans="1:18" s="12" customFormat="1" ht="14.25" thickBot="1">
      <c r="A2366" s="12">
        <f t="shared" si="85"/>
        <v>50101055</v>
      </c>
      <c r="B2366" s="2">
        <v>0</v>
      </c>
      <c r="C2366" s="12" t="s">
        <v>2513</v>
      </c>
      <c r="D2366" s="12" t="s">
        <v>12</v>
      </c>
      <c r="E2366" s="12">
        <v>5</v>
      </c>
      <c r="F2366" s="12">
        <v>5</v>
      </c>
      <c r="G2366" s="12">
        <v>10</v>
      </c>
      <c r="H2366" s="12" t="s">
        <v>2120</v>
      </c>
      <c r="I2366" s="12">
        <v>20000</v>
      </c>
      <c r="J2366" s="12">
        <v>150</v>
      </c>
      <c r="K2366" s="12">
        <v>1500</v>
      </c>
      <c r="L2366" s="12">
        <v>7500</v>
      </c>
      <c r="M2366" s="12" t="s">
        <v>1833</v>
      </c>
      <c r="N2366" s="12" t="s">
        <v>2913</v>
      </c>
      <c r="O2366" s="12">
        <v>0</v>
      </c>
      <c r="P2366" s="12" t="s">
        <v>2047</v>
      </c>
      <c r="Q2366" s="7" t="str">
        <f t="shared" si="86"/>
        <v>equipment/1105.png</v>
      </c>
      <c r="R2366" s="1">
        <v>1</v>
      </c>
    </row>
    <row r="2367" spans="1:18" s="12" customFormat="1" ht="14.25" thickBot="1">
      <c r="A2367" s="12">
        <f t="shared" si="85"/>
        <v>50101056</v>
      </c>
      <c r="B2367" s="2">
        <v>0</v>
      </c>
      <c r="C2367" s="12" t="s">
        <v>2514</v>
      </c>
      <c r="D2367" s="12" t="s">
        <v>12</v>
      </c>
      <c r="E2367" s="12">
        <v>5</v>
      </c>
      <c r="F2367" s="12">
        <v>5</v>
      </c>
      <c r="G2367" s="12">
        <v>10</v>
      </c>
      <c r="H2367" s="12" t="s">
        <v>2120</v>
      </c>
      <c r="I2367" s="12">
        <v>26000</v>
      </c>
      <c r="J2367" s="12">
        <v>150</v>
      </c>
      <c r="K2367" s="12">
        <v>1500</v>
      </c>
      <c r="L2367" s="12">
        <v>10000</v>
      </c>
      <c r="M2367" s="12" t="s">
        <v>1834</v>
      </c>
      <c r="N2367" s="12" t="s">
        <v>2913</v>
      </c>
      <c r="O2367" s="12">
        <v>0</v>
      </c>
      <c r="P2367" s="12" t="s">
        <v>2047</v>
      </c>
      <c r="Q2367" s="7" t="str">
        <f t="shared" si="86"/>
        <v>equipment/1106.png</v>
      </c>
      <c r="R2367" s="1">
        <v>1</v>
      </c>
    </row>
    <row r="2368" spans="1:18" s="12" customFormat="1" ht="14.25" thickBot="1">
      <c r="A2368" s="12">
        <f t="shared" si="85"/>
        <v>50101065</v>
      </c>
      <c r="B2368" s="2">
        <v>0</v>
      </c>
      <c r="C2368" s="12" t="s">
        <v>2515</v>
      </c>
      <c r="D2368" s="12" t="s">
        <v>13</v>
      </c>
      <c r="E2368" s="12">
        <v>6</v>
      </c>
      <c r="F2368" s="12">
        <v>5</v>
      </c>
      <c r="G2368" s="12">
        <v>10</v>
      </c>
      <c r="H2368" s="12" t="s">
        <v>2120</v>
      </c>
      <c r="I2368" s="12">
        <v>20000</v>
      </c>
      <c r="J2368" s="12">
        <v>150</v>
      </c>
      <c r="K2368" s="12">
        <v>1500</v>
      </c>
      <c r="L2368" s="12">
        <v>7500</v>
      </c>
      <c r="M2368" s="12" t="s">
        <v>1835</v>
      </c>
      <c r="N2368" s="12" t="s">
        <v>2913</v>
      </c>
      <c r="O2368" s="12">
        <v>0</v>
      </c>
      <c r="P2368" s="12" t="s">
        <v>2047</v>
      </c>
      <c r="Q2368" s="7" t="str">
        <f t="shared" si="86"/>
        <v>equipment/2103.png</v>
      </c>
      <c r="R2368" s="1">
        <v>1</v>
      </c>
    </row>
    <row r="2369" spans="1:18" s="12" customFormat="1" ht="14.25" thickBot="1">
      <c r="A2369" s="12">
        <f t="shared" si="85"/>
        <v>50101066</v>
      </c>
      <c r="B2369" s="2">
        <v>0</v>
      </c>
      <c r="C2369" s="12" t="s">
        <v>2061</v>
      </c>
      <c r="D2369" s="12" t="s">
        <v>13</v>
      </c>
      <c r="E2369" s="12">
        <v>6</v>
      </c>
      <c r="F2369" s="12">
        <v>5</v>
      </c>
      <c r="G2369" s="12">
        <v>10</v>
      </c>
      <c r="H2369" s="12" t="s">
        <v>2120</v>
      </c>
      <c r="I2369" s="12">
        <v>26000</v>
      </c>
      <c r="J2369" s="12">
        <v>150</v>
      </c>
      <c r="K2369" s="12">
        <v>1500</v>
      </c>
      <c r="L2369" s="12">
        <v>10000</v>
      </c>
      <c r="M2369" s="12" t="s">
        <v>1836</v>
      </c>
      <c r="N2369" s="12" t="s">
        <v>2913</v>
      </c>
      <c r="O2369" s="12">
        <v>0</v>
      </c>
      <c r="P2369" s="12" t="s">
        <v>2047</v>
      </c>
      <c r="Q2369" s="7" t="str">
        <f t="shared" si="86"/>
        <v>equipment/2101.png</v>
      </c>
      <c r="R2369" s="1">
        <v>1</v>
      </c>
    </row>
    <row r="2370" spans="1:18" s="12" customFormat="1" ht="14.25" thickBot="1">
      <c r="A2370" s="12">
        <f t="shared" si="85"/>
        <v>50102055</v>
      </c>
      <c r="B2370" s="2">
        <v>0</v>
      </c>
      <c r="C2370" s="12" t="s">
        <v>2096</v>
      </c>
      <c r="D2370" s="12" t="s">
        <v>12</v>
      </c>
      <c r="E2370" s="12">
        <v>5</v>
      </c>
      <c r="F2370" s="12">
        <v>5</v>
      </c>
      <c r="G2370" s="12">
        <v>10</v>
      </c>
      <c r="H2370" s="12" t="s">
        <v>2121</v>
      </c>
      <c r="I2370" s="12">
        <v>20000</v>
      </c>
      <c r="J2370" s="12">
        <v>150</v>
      </c>
      <c r="K2370" s="12">
        <v>1500</v>
      </c>
      <c r="L2370" s="12">
        <v>7500</v>
      </c>
      <c r="M2370" s="12" t="s">
        <v>1833</v>
      </c>
      <c r="N2370" s="12" t="s">
        <v>2913</v>
      </c>
      <c r="O2370" s="12">
        <v>0</v>
      </c>
      <c r="P2370" s="12" t="s">
        <v>2047</v>
      </c>
      <c r="Q2370" s="7" t="str">
        <f t="shared" si="86"/>
        <v>equipment/1205.png</v>
      </c>
      <c r="R2370" s="1">
        <v>1</v>
      </c>
    </row>
    <row r="2371" spans="1:18" s="12" customFormat="1" ht="14.25" thickBot="1">
      <c r="A2371" s="12">
        <f t="shared" si="85"/>
        <v>50102056</v>
      </c>
      <c r="B2371" s="2">
        <v>0</v>
      </c>
      <c r="C2371" s="12" t="s">
        <v>2097</v>
      </c>
      <c r="D2371" s="12" t="s">
        <v>12</v>
      </c>
      <c r="E2371" s="12">
        <v>5</v>
      </c>
      <c r="F2371" s="12">
        <v>5</v>
      </c>
      <c r="G2371" s="12">
        <v>10</v>
      </c>
      <c r="H2371" s="12" t="s">
        <v>2121</v>
      </c>
      <c r="I2371" s="12">
        <v>26000</v>
      </c>
      <c r="J2371" s="12">
        <v>150</v>
      </c>
      <c r="K2371" s="12">
        <v>1500</v>
      </c>
      <c r="L2371" s="12">
        <v>10000</v>
      </c>
      <c r="M2371" s="12" t="s">
        <v>1834</v>
      </c>
      <c r="N2371" s="12" t="s">
        <v>2913</v>
      </c>
      <c r="O2371" s="12">
        <v>0</v>
      </c>
      <c r="P2371" s="12" t="s">
        <v>2047</v>
      </c>
      <c r="Q2371" s="7" t="str">
        <f t="shared" si="86"/>
        <v>equipment/1206.png</v>
      </c>
      <c r="R2371" s="1">
        <v>1</v>
      </c>
    </row>
    <row r="2372" spans="1:18" s="12" customFormat="1" ht="14.25" thickBot="1">
      <c r="A2372" s="12">
        <f t="shared" si="85"/>
        <v>50102065</v>
      </c>
      <c r="B2372" s="2">
        <v>0</v>
      </c>
      <c r="C2372" s="12" t="s">
        <v>2098</v>
      </c>
      <c r="D2372" s="12" t="s">
        <v>13</v>
      </c>
      <c r="E2372" s="12">
        <v>6</v>
      </c>
      <c r="F2372" s="12">
        <v>5</v>
      </c>
      <c r="G2372" s="12">
        <v>10</v>
      </c>
      <c r="H2372" s="12" t="s">
        <v>2121</v>
      </c>
      <c r="I2372" s="12">
        <v>20000</v>
      </c>
      <c r="J2372" s="12">
        <v>150</v>
      </c>
      <c r="K2372" s="12">
        <v>1500</v>
      </c>
      <c r="L2372" s="12">
        <v>7500</v>
      </c>
      <c r="M2372" s="12" t="s">
        <v>1837</v>
      </c>
      <c r="N2372" s="12" t="s">
        <v>2913</v>
      </c>
      <c r="O2372" s="12">
        <v>0</v>
      </c>
      <c r="P2372" s="12" t="s">
        <v>2047</v>
      </c>
      <c r="Q2372" s="7" t="str">
        <f t="shared" si="86"/>
        <v>equipment/2203.png</v>
      </c>
      <c r="R2372" s="1">
        <v>1</v>
      </c>
    </row>
    <row r="2373" spans="1:18" s="12" customFormat="1" ht="14.25" thickBot="1">
      <c r="A2373" s="12">
        <f t="shared" si="85"/>
        <v>50102066</v>
      </c>
      <c r="B2373" s="2">
        <v>0</v>
      </c>
      <c r="C2373" s="12" t="s">
        <v>2094</v>
      </c>
      <c r="D2373" s="12" t="s">
        <v>13</v>
      </c>
      <c r="E2373" s="12">
        <v>6</v>
      </c>
      <c r="F2373" s="12">
        <v>5</v>
      </c>
      <c r="G2373" s="12">
        <v>10</v>
      </c>
      <c r="H2373" s="12" t="s">
        <v>2121</v>
      </c>
      <c r="I2373" s="12">
        <v>26000</v>
      </c>
      <c r="J2373" s="12">
        <v>150</v>
      </c>
      <c r="K2373" s="12">
        <v>1500</v>
      </c>
      <c r="L2373" s="12">
        <v>10000</v>
      </c>
      <c r="M2373" s="12" t="s">
        <v>1838</v>
      </c>
      <c r="N2373" s="12" t="s">
        <v>2913</v>
      </c>
      <c r="O2373" s="12">
        <v>0</v>
      </c>
      <c r="P2373" s="12" t="s">
        <v>2047</v>
      </c>
      <c r="Q2373" s="7" t="str">
        <f t="shared" si="86"/>
        <v>equipment/2201.png</v>
      </c>
      <c r="R2373" s="1">
        <v>1</v>
      </c>
    </row>
    <row r="2374" spans="1:18" s="12" customFormat="1" ht="14.25" thickBot="1">
      <c r="A2374" s="12">
        <f t="shared" si="85"/>
        <v>50103055</v>
      </c>
      <c r="B2374" s="2">
        <v>0</v>
      </c>
      <c r="C2374" s="12" t="s">
        <v>2516</v>
      </c>
      <c r="D2374" s="12" t="s">
        <v>12</v>
      </c>
      <c r="E2374" s="12">
        <v>5</v>
      </c>
      <c r="F2374" s="12">
        <v>5</v>
      </c>
      <c r="G2374" s="12">
        <v>10</v>
      </c>
      <c r="H2374" s="12" t="s">
        <v>2122</v>
      </c>
      <c r="I2374" s="12">
        <v>20000</v>
      </c>
      <c r="J2374" s="12">
        <v>150</v>
      </c>
      <c r="K2374" s="12">
        <v>1500</v>
      </c>
      <c r="L2374" s="12">
        <v>7500</v>
      </c>
      <c r="M2374" s="12" t="s">
        <v>1833</v>
      </c>
      <c r="N2374" s="12" t="s">
        <v>2913</v>
      </c>
      <c r="O2374" s="12">
        <v>0</v>
      </c>
      <c r="P2374" s="12" t="s">
        <v>2047</v>
      </c>
      <c r="Q2374" s="7" t="str">
        <f t="shared" si="86"/>
        <v>equipment/1305.png</v>
      </c>
      <c r="R2374" s="1">
        <v>1</v>
      </c>
    </row>
    <row r="2375" spans="1:18" s="12" customFormat="1" ht="14.25" thickBot="1">
      <c r="A2375" s="12">
        <f t="shared" si="85"/>
        <v>50103056</v>
      </c>
      <c r="B2375" s="2">
        <v>0</v>
      </c>
      <c r="C2375" s="12" t="s">
        <v>2099</v>
      </c>
      <c r="D2375" s="12" t="s">
        <v>12</v>
      </c>
      <c r="E2375" s="12">
        <v>5</v>
      </c>
      <c r="F2375" s="12">
        <v>5</v>
      </c>
      <c r="G2375" s="12">
        <v>10</v>
      </c>
      <c r="H2375" s="12" t="s">
        <v>2122</v>
      </c>
      <c r="I2375" s="12">
        <v>26000</v>
      </c>
      <c r="J2375" s="12">
        <v>150</v>
      </c>
      <c r="K2375" s="12">
        <v>1500</v>
      </c>
      <c r="L2375" s="12">
        <v>10000</v>
      </c>
      <c r="M2375" s="12" t="s">
        <v>1834</v>
      </c>
      <c r="N2375" s="12" t="s">
        <v>2913</v>
      </c>
      <c r="O2375" s="12">
        <v>0</v>
      </c>
      <c r="P2375" s="12" t="s">
        <v>2047</v>
      </c>
      <c r="Q2375" s="7" t="str">
        <f t="shared" si="86"/>
        <v>equipment/1306.png</v>
      </c>
      <c r="R2375" s="1">
        <v>1</v>
      </c>
    </row>
    <row r="2376" spans="1:18" s="12" customFormat="1" ht="14.25" thickBot="1">
      <c r="A2376" s="12">
        <f t="shared" si="85"/>
        <v>50103065</v>
      </c>
      <c r="B2376" s="2">
        <v>0</v>
      </c>
      <c r="C2376" s="12" t="s">
        <v>2517</v>
      </c>
      <c r="D2376" s="12" t="s">
        <v>13</v>
      </c>
      <c r="E2376" s="12">
        <v>6</v>
      </c>
      <c r="F2376" s="12">
        <v>5</v>
      </c>
      <c r="G2376" s="12">
        <v>10</v>
      </c>
      <c r="H2376" s="12" t="s">
        <v>2122</v>
      </c>
      <c r="I2376" s="12">
        <v>20000</v>
      </c>
      <c r="J2376" s="12">
        <v>150</v>
      </c>
      <c r="K2376" s="12">
        <v>1500</v>
      </c>
      <c r="L2376" s="12">
        <v>7500</v>
      </c>
      <c r="M2376" s="12" t="s">
        <v>1839</v>
      </c>
      <c r="N2376" s="12" t="s">
        <v>2913</v>
      </c>
      <c r="O2376" s="12">
        <v>0</v>
      </c>
      <c r="P2376" s="12" t="s">
        <v>2047</v>
      </c>
      <c r="Q2376" s="7" t="str">
        <f t="shared" si="86"/>
        <v>equipment/2303.png</v>
      </c>
      <c r="R2376" s="1">
        <v>1</v>
      </c>
    </row>
    <row r="2377" spans="1:18" s="12" customFormat="1" ht="14.25" thickBot="1">
      <c r="A2377" s="12">
        <f t="shared" si="85"/>
        <v>50103066</v>
      </c>
      <c r="B2377" s="2">
        <v>0</v>
      </c>
      <c r="C2377" s="12" t="s">
        <v>2095</v>
      </c>
      <c r="D2377" s="12" t="s">
        <v>13</v>
      </c>
      <c r="E2377" s="12">
        <v>6</v>
      </c>
      <c r="F2377" s="12">
        <v>5</v>
      </c>
      <c r="G2377" s="12">
        <v>10</v>
      </c>
      <c r="H2377" s="12" t="s">
        <v>2122</v>
      </c>
      <c r="I2377" s="12">
        <v>26000</v>
      </c>
      <c r="J2377" s="12">
        <v>150</v>
      </c>
      <c r="K2377" s="12">
        <v>1500</v>
      </c>
      <c r="L2377" s="12">
        <v>10000</v>
      </c>
      <c r="M2377" s="12" t="s">
        <v>1840</v>
      </c>
      <c r="N2377" s="12" t="s">
        <v>2913</v>
      </c>
      <c r="O2377" s="12">
        <v>0</v>
      </c>
      <c r="P2377" s="12" t="s">
        <v>2047</v>
      </c>
      <c r="Q2377" s="7" t="str">
        <f t="shared" si="86"/>
        <v>equipment/2301.png</v>
      </c>
      <c r="R2377" s="1">
        <v>1</v>
      </c>
    </row>
    <row r="2378" spans="1:18" s="12" customFormat="1" ht="14.25" thickBot="1">
      <c r="A2378" s="12">
        <f t="shared" si="85"/>
        <v>50100045</v>
      </c>
      <c r="B2378" s="2">
        <v>0</v>
      </c>
      <c r="C2378" s="12" t="s">
        <v>2079</v>
      </c>
      <c r="D2378" s="12" t="s">
        <v>11</v>
      </c>
      <c r="E2378" s="12">
        <v>4</v>
      </c>
      <c r="F2378" s="12">
        <v>5</v>
      </c>
      <c r="G2378" s="12">
        <v>10</v>
      </c>
      <c r="H2378" s="12">
        <v>0</v>
      </c>
      <c r="I2378" s="12">
        <v>20000</v>
      </c>
      <c r="J2378" s="12">
        <v>150</v>
      </c>
      <c r="K2378" s="12">
        <v>1500</v>
      </c>
      <c r="L2378" s="12">
        <v>7500</v>
      </c>
      <c r="M2378" s="12" t="s">
        <v>1841</v>
      </c>
      <c r="N2378" s="12" t="s">
        <v>2912</v>
      </c>
      <c r="O2378" s="12">
        <v>0</v>
      </c>
      <c r="P2378" s="12" t="s">
        <v>2047</v>
      </c>
      <c r="Q2378" s="7" t="str">
        <f t="shared" si="86"/>
        <v>equipment/5003.png</v>
      </c>
      <c r="R2378" s="1">
        <v>1</v>
      </c>
    </row>
    <row r="2379" spans="1:18" s="12" customFormat="1" ht="14.25" thickBot="1">
      <c r="A2379" s="12">
        <f t="shared" si="85"/>
        <v>50100046</v>
      </c>
      <c r="B2379" s="2">
        <v>0</v>
      </c>
      <c r="C2379" s="12" t="s">
        <v>2499</v>
      </c>
      <c r="D2379" s="12" t="s">
        <v>11</v>
      </c>
      <c r="E2379" s="12">
        <v>4</v>
      </c>
      <c r="F2379" s="12">
        <v>5</v>
      </c>
      <c r="G2379" s="12">
        <v>10</v>
      </c>
      <c r="H2379" s="12">
        <v>0</v>
      </c>
      <c r="I2379" s="12">
        <v>26000</v>
      </c>
      <c r="J2379" s="12">
        <v>150</v>
      </c>
      <c r="K2379" s="12">
        <v>1500</v>
      </c>
      <c r="L2379" s="12">
        <v>10000</v>
      </c>
      <c r="M2379" s="12" t="s">
        <v>1842</v>
      </c>
      <c r="N2379" s="12" t="s">
        <v>2912</v>
      </c>
      <c r="O2379" s="12">
        <v>0</v>
      </c>
      <c r="P2379" s="12" t="s">
        <v>2047</v>
      </c>
      <c r="Q2379" s="7" t="str">
        <f t="shared" si="86"/>
        <v>equipment/5001.png</v>
      </c>
      <c r="R2379" s="1">
        <v>1</v>
      </c>
    </row>
    <row r="2380" spans="1:18" s="12" customFormat="1" ht="14.25" thickBot="1">
      <c r="A2380" s="12">
        <f t="shared" si="85"/>
        <v>50100075</v>
      </c>
      <c r="B2380" s="2">
        <v>0</v>
      </c>
      <c r="C2380" s="12" t="s">
        <v>2087</v>
      </c>
      <c r="D2380" s="12" t="s">
        <v>14</v>
      </c>
      <c r="E2380" s="12">
        <v>7</v>
      </c>
      <c r="F2380" s="12">
        <v>5</v>
      </c>
      <c r="G2380" s="12">
        <v>10</v>
      </c>
      <c r="H2380" s="12">
        <v>0</v>
      </c>
      <c r="I2380" s="12">
        <v>20000</v>
      </c>
      <c r="J2380" s="12">
        <v>150</v>
      </c>
      <c r="K2380" s="12">
        <v>1500</v>
      </c>
      <c r="L2380" s="12">
        <v>7500</v>
      </c>
      <c r="M2380" s="12" t="s">
        <v>1841</v>
      </c>
      <c r="N2380" s="12" t="s">
        <v>2912</v>
      </c>
      <c r="O2380" s="12">
        <v>0</v>
      </c>
      <c r="P2380" s="12" t="s">
        <v>2047</v>
      </c>
      <c r="Q2380" s="7" t="str">
        <f t="shared" si="86"/>
        <v>equipment/7003.png</v>
      </c>
      <c r="R2380" s="1">
        <v>1</v>
      </c>
    </row>
    <row r="2381" spans="1:18" s="12" customFormat="1" ht="14.25" thickBot="1">
      <c r="A2381" s="12">
        <f t="shared" ref="A2381:A2444" si="87">A1457+10000005</f>
        <v>50100076</v>
      </c>
      <c r="B2381" s="2">
        <v>0</v>
      </c>
      <c r="C2381" s="12" t="s">
        <v>2501</v>
      </c>
      <c r="D2381" s="12" t="s">
        <v>14</v>
      </c>
      <c r="E2381" s="12">
        <v>7</v>
      </c>
      <c r="F2381" s="12">
        <v>5</v>
      </c>
      <c r="G2381" s="12">
        <v>10</v>
      </c>
      <c r="H2381" s="12">
        <v>0</v>
      </c>
      <c r="I2381" s="12">
        <v>26000</v>
      </c>
      <c r="J2381" s="12">
        <v>150</v>
      </c>
      <c r="K2381" s="12">
        <v>1500</v>
      </c>
      <c r="L2381" s="12">
        <v>10000</v>
      </c>
      <c r="M2381" s="12" t="s">
        <v>1842</v>
      </c>
      <c r="N2381" s="12" t="s">
        <v>2912</v>
      </c>
      <c r="O2381" s="12">
        <v>0</v>
      </c>
      <c r="P2381" s="12" t="s">
        <v>2047</v>
      </c>
      <c r="Q2381" s="7" t="str">
        <f t="shared" si="86"/>
        <v>equipment/7001.png</v>
      </c>
      <c r="R2381" s="1">
        <v>1</v>
      </c>
    </row>
    <row r="2382" spans="1:18" s="12" customFormat="1" ht="14.25" thickBot="1">
      <c r="A2382" s="12">
        <f t="shared" si="87"/>
        <v>50150015</v>
      </c>
      <c r="B2382" s="2">
        <v>0</v>
      </c>
      <c r="C2382" s="12" t="s">
        <v>2484</v>
      </c>
      <c r="D2382" s="12" t="s">
        <v>8</v>
      </c>
      <c r="E2382" s="12">
        <v>1</v>
      </c>
      <c r="F2382" s="12">
        <v>5</v>
      </c>
      <c r="G2382" s="12">
        <v>15</v>
      </c>
      <c r="H2382" s="12">
        <v>0</v>
      </c>
      <c r="I2382" s="12">
        <v>30000</v>
      </c>
      <c r="J2382" s="12">
        <v>150</v>
      </c>
      <c r="K2382" s="12">
        <v>1500</v>
      </c>
      <c r="L2382" s="12">
        <v>10000</v>
      </c>
      <c r="M2382" s="12" t="s">
        <v>1828</v>
      </c>
      <c r="N2382" s="12" t="s">
        <v>2914</v>
      </c>
      <c r="O2382" s="12">
        <v>0</v>
      </c>
      <c r="P2382" s="12" t="s">
        <v>2048</v>
      </c>
      <c r="Q2382" s="7" t="str">
        <f t="shared" si="86"/>
        <v>equipment/3001.png</v>
      </c>
      <c r="R2382" s="1">
        <v>1</v>
      </c>
    </row>
    <row r="2383" spans="1:18" s="12" customFormat="1" ht="14.25" thickBot="1">
      <c r="A2383" s="12">
        <f t="shared" si="87"/>
        <v>50150025</v>
      </c>
      <c r="B2383" s="2">
        <v>0</v>
      </c>
      <c r="C2383" s="12" t="s">
        <v>2485</v>
      </c>
      <c r="D2383" s="12" t="s">
        <v>9</v>
      </c>
      <c r="E2383" s="12">
        <v>2</v>
      </c>
      <c r="F2383" s="12">
        <v>5</v>
      </c>
      <c r="G2383" s="12">
        <v>15</v>
      </c>
      <c r="H2383" s="12">
        <v>0</v>
      </c>
      <c r="I2383" s="12">
        <v>30000</v>
      </c>
      <c r="J2383" s="12">
        <v>150</v>
      </c>
      <c r="K2383" s="12">
        <v>1500</v>
      </c>
      <c r="L2383" s="12">
        <v>10000</v>
      </c>
      <c r="M2383" s="12" t="s">
        <v>1843</v>
      </c>
      <c r="N2383" s="12" t="s">
        <v>2914</v>
      </c>
      <c r="O2383" s="12">
        <v>0</v>
      </c>
      <c r="P2383" s="12" t="s">
        <v>2048</v>
      </c>
      <c r="Q2383" s="7" t="str">
        <f t="shared" si="86"/>
        <v>equipment/14001.png</v>
      </c>
      <c r="R2383" s="1">
        <v>1</v>
      </c>
    </row>
    <row r="2384" spans="1:18" s="12" customFormat="1" ht="14.25" thickBot="1">
      <c r="A2384" s="12">
        <f t="shared" si="87"/>
        <v>50150035</v>
      </c>
      <c r="B2384" s="2">
        <v>0</v>
      </c>
      <c r="C2384" s="12" t="s">
        <v>2518</v>
      </c>
      <c r="D2384" s="12" t="s">
        <v>10</v>
      </c>
      <c r="E2384" s="12">
        <v>3</v>
      </c>
      <c r="F2384" s="12">
        <v>5</v>
      </c>
      <c r="G2384" s="12">
        <v>15</v>
      </c>
      <c r="H2384" s="12">
        <v>0</v>
      </c>
      <c r="I2384" s="12">
        <v>30000</v>
      </c>
      <c r="J2384" s="12">
        <v>150</v>
      </c>
      <c r="K2384" s="12">
        <v>1500</v>
      </c>
      <c r="L2384" s="12">
        <v>10000</v>
      </c>
      <c r="M2384" s="12" t="s">
        <v>1844</v>
      </c>
      <c r="N2384" s="12" t="s">
        <v>2914</v>
      </c>
      <c r="O2384" s="12">
        <v>0</v>
      </c>
      <c r="P2384" s="12" t="s">
        <v>2048</v>
      </c>
      <c r="Q2384" s="7" t="str">
        <f t="shared" si="86"/>
        <v>equipment/6003.png</v>
      </c>
      <c r="R2384" s="1">
        <v>1</v>
      </c>
    </row>
    <row r="2385" spans="1:18" s="12" customFormat="1" ht="14.25" thickBot="1">
      <c r="A2385" s="12">
        <f t="shared" si="87"/>
        <v>50150085</v>
      </c>
      <c r="B2385" s="2">
        <v>0</v>
      </c>
      <c r="C2385" s="12" t="s">
        <v>2068</v>
      </c>
      <c r="D2385" s="12" t="s">
        <v>15</v>
      </c>
      <c r="E2385" s="12">
        <v>8</v>
      </c>
      <c r="F2385" s="12">
        <v>5</v>
      </c>
      <c r="G2385" s="12">
        <v>15</v>
      </c>
      <c r="H2385" s="12">
        <v>0</v>
      </c>
      <c r="I2385" s="12">
        <v>30000</v>
      </c>
      <c r="J2385" s="12">
        <v>150</v>
      </c>
      <c r="K2385" s="12">
        <v>1500</v>
      </c>
      <c r="L2385" s="12">
        <v>10000</v>
      </c>
      <c r="M2385" s="12" t="s">
        <v>1845</v>
      </c>
      <c r="N2385" s="12" t="s">
        <v>2914</v>
      </c>
      <c r="O2385" s="12">
        <v>0</v>
      </c>
      <c r="P2385" s="12" t="s">
        <v>2048</v>
      </c>
      <c r="Q2385" s="7" t="str">
        <f t="shared" si="86"/>
        <v>equipment/8003.png</v>
      </c>
      <c r="R2385" s="1">
        <v>1</v>
      </c>
    </row>
    <row r="2386" spans="1:18" s="12" customFormat="1" ht="14.25" thickBot="1">
      <c r="A2386" s="12">
        <f t="shared" si="87"/>
        <v>50150095</v>
      </c>
      <c r="B2386" s="2">
        <v>0</v>
      </c>
      <c r="C2386" s="12" t="s">
        <v>2072</v>
      </c>
      <c r="D2386" s="12" t="s">
        <v>16</v>
      </c>
      <c r="E2386" s="12">
        <v>9</v>
      </c>
      <c r="F2386" s="12">
        <v>5</v>
      </c>
      <c r="G2386" s="12">
        <v>15</v>
      </c>
      <c r="H2386" s="12">
        <v>0</v>
      </c>
      <c r="I2386" s="12">
        <v>30000</v>
      </c>
      <c r="J2386" s="12">
        <v>150</v>
      </c>
      <c r="K2386" s="12">
        <v>1500</v>
      </c>
      <c r="L2386" s="12">
        <v>10000</v>
      </c>
      <c r="M2386" s="12" t="s">
        <v>1846</v>
      </c>
      <c r="N2386" s="12" t="s">
        <v>2914</v>
      </c>
      <c r="O2386" s="12">
        <v>0</v>
      </c>
      <c r="P2386" s="12" t="s">
        <v>2048</v>
      </c>
      <c r="Q2386" s="7" t="str">
        <f t="shared" si="86"/>
        <v>equipment/10003.png</v>
      </c>
      <c r="R2386" s="1">
        <v>1</v>
      </c>
    </row>
    <row r="2387" spans="1:18" s="12" customFormat="1" ht="14.25" thickBot="1">
      <c r="A2387" s="12">
        <f t="shared" si="87"/>
        <v>50150105</v>
      </c>
      <c r="B2387" s="2">
        <v>0</v>
      </c>
      <c r="C2387" s="12" t="s">
        <v>2076</v>
      </c>
      <c r="D2387" s="12" t="s">
        <v>17</v>
      </c>
      <c r="E2387" s="12">
        <v>10</v>
      </c>
      <c r="F2387" s="12">
        <v>5</v>
      </c>
      <c r="G2387" s="12">
        <v>15</v>
      </c>
      <c r="H2387" s="12">
        <v>0</v>
      </c>
      <c r="I2387" s="12">
        <v>30000</v>
      </c>
      <c r="J2387" s="12">
        <v>150</v>
      </c>
      <c r="K2387" s="12">
        <v>1500</v>
      </c>
      <c r="L2387" s="12">
        <v>10000</v>
      </c>
      <c r="M2387" s="12" t="s">
        <v>1847</v>
      </c>
      <c r="N2387" s="12" t="s">
        <v>2914</v>
      </c>
      <c r="O2387" s="12">
        <v>0</v>
      </c>
      <c r="P2387" s="12" t="s">
        <v>2048</v>
      </c>
      <c r="Q2387" s="7" t="str">
        <f t="shared" si="86"/>
        <v>equipment/12002.png</v>
      </c>
      <c r="R2387" s="1">
        <v>1</v>
      </c>
    </row>
    <row r="2388" spans="1:18" s="12" customFormat="1" ht="14.25" thickBot="1">
      <c r="A2388" s="12">
        <f t="shared" si="87"/>
        <v>50151055</v>
      </c>
      <c r="B2388" s="2">
        <v>0</v>
      </c>
      <c r="C2388" s="12" t="s">
        <v>2519</v>
      </c>
      <c r="D2388" s="12" t="s">
        <v>12</v>
      </c>
      <c r="E2388" s="12">
        <v>5</v>
      </c>
      <c r="F2388" s="12">
        <v>5</v>
      </c>
      <c r="G2388" s="12">
        <v>15</v>
      </c>
      <c r="H2388" s="12" t="s">
        <v>2120</v>
      </c>
      <c r="I2388" s="12">
        <v>30000</v>
      </c>
      <c r="J2388" s="12">
        <v>150</v>
      </c>
      <c r="K2388" s="12">
        <v>1500</v>
      </c>
      <c r="L2388" s="12">
        <v>10000</v>
      </c>
      <c r="M2388" s="12" t="s">
        <v>1848</v>
      </c>
      <c r="N2388" s="12" t="s">
        <v>2915</v>
      </c>
      <c r="O2388" s="12">
        <v>0</v>
      </c>
      <c r="P2388" s="12" t="s">
        <v>2048</v>
      </c>
      <c r="Q2388" s="7" t="str">
        <f t="shared" si="86"/>
        <v>equipment/1108.png</v>
      </c>
      <c r="R2388" s="1">
        <v>1</v>
      </c>
    </row>
    <row r="2389" spans="1:18" s="12" customFormat="1" ht="14.25" thickBot="1">
      <c r="A2389" s="12">
        <f t="shared" si="87"/>
        <v>50151056</v>
      </c>
      <c r="B2389" s="2">
        <v>0</v>
      </c>
      <c r="C2389" s="12" t="s">
        <v>2520</v>
      </c>
      <c r="D2389" s="12" t="s">
        <v>12</v>
      </c>
      <c r="E2389" s="12">
        <v>5</v>
      </c>
      <c r="F2389" s="12">
        <v>5</v>
      </c>
      <c r="G2389" s="12">
        <v>15</v>
      </c>
      <c r="H2389" s="12" t="s">
        <v>2120</v>
      </c>
      <c r="I2389" s="12">
        <v>36000</v>
      </c>
      <c r="J2389" s="12">
        <v>150</v>
      </c>
      <c r="K2389" s="12">
        <v>1500</v>
      </c>
      <c r="L2389" s="12">
        <v>12500</v>
      </c>
      <c r="M2389" s="12" t="s">
        <v>2013</v>
      </c>
      <c r="N2389" s="12" t="s">
        <v>2915</v>
      </c>
      <c r="O2389" s="12">
        <v>0</v>
      </c>
      <c r="P2389" s="12" t="s">
        <v>2048</v>
      </c>
      <c r="Q2389" s="7" t="str">
        <f t="shared" ref="Q2389:Q2452" si="88">Q1927</f>
        <v>equipment/1107.png</v>
      </c>
      <c r="R2389" s="1">
        <v>1</v>
      </c>
    </row>
    <row r="2390" spans="1:18" s="12" customFormat="1" ht="14.25" thickBot="1">
      <c r="A2390" s="12">
        <f t="shared" si="87"/>
        <v>50151065</v>
      </c>
      <c r="B2390" s="2">
        <v>0</v>
      </c>
      <c r="C2390" s="12" t="s">
        <v>2093</v>
      </c>
      <c r="D2390" s="12" t="s">
        <v>13</v>
      </c>
      <c r="E2390" s="12">
        <v>6</v>
      </c>
      <c r="F2390" s="12">
        <v>5</v>
      </c>
      <c r="G2390" s="12">
        <v>15</v>
      </c>
      <c r="H2390" s="12" t="s">
        <v>2120</v>
      </c>
      <c r="I2390" s="12">
        <v>30000</v>
      </c>
      <c r="J2390" s="12">
        <v>150</v>
      </c>
      <c r="K2390" s="12">
        <v>1500</v>
      </c>
      <c r="L2390" s="12">
        <v>10000</v>
      </c>
      <c r="M2390" s="12" t="s">
        <v>1849</v>
      </c>
      <c r="N2390" s="12" t="s">
        <v>2915</v>
      </c>
      <c r="O2390" s="12">
        <v>0</v>
      </c>
      <c r="P2390" s="12" t="s">
        <v>2048</v>
      </c>
      <c r="Q2390" s="7" t="str">
        <f t="shared" si="88"/>
        <v>equipment/2105.png</v>
      </c>
      <c r="R2390" s="1">
        <v>1</v>
      </c>
    </row>
    <row r="2391" spans="1:18" s="12" customFormat="1" ht="14.25" thickBot="1">
      <c r="A2391" s="12">
        <f t="shared" si="87"/>
        <v>50151066</v>
      </c>
      <c r="B2391" s="2">
        <v>0</v>
      </c>
      <c r="C2391" s="12" t="s">
        <v>2061</v>
      </c>
      <c r="D2391" s="12" t="s">
        <v>13</v>
      </c>
      <c r="E2391" s="12">
        <v>6</v>
      </c>
      <c r="F2391" s="12">
        <v>5</v>
      </c>
      <c r="G2391" s="12">
        <v>15</v>
      </c>
      <c r="H2391" s="12" t="s">
        <v>2120</v>
      </c>
      <c r="I2391" s="12">
        <v>36000</v>
      </c>
      <c r="J2391" s="12">
        <v>150</v>
      </c>
      <c r="K2391" s="12">
        <v>1500</v>
      </c>
      <c r="L2391" s="12">
        <v>12500</v>
      </c>
      <c r="M2391" s="12" t="s">
        <v>1850</v>
      </c>
      <c r="N2391" s="12" t="s">
        <v>2915</v>
      </c>
      <c r="O2391" s="12">
        <v>0</v>
      </c>
      <c r="P2391" s="12" t="s">
        <v>2048</v>
      </c>
      <c r="Q2391" s="7" t="str">
        <f t="shared" si="88"/>
        <v>equipment/2101.png</v>
      </c>
      <c r="R2391" s="1">
        <v>1</v>
      </c>
    </row>
    <row r="2392" spans="1:18" s="12" customFormat="1" ht="14.25" thickBot="1">
      <c r="A2392" s="12">
        <f t="shared" si="87"/>
        <v>50152055</v>
      </c>
      <c r="B2392" s="2">
        <v>0</v>
      </c>
      <c r="C2392" s="12" t="s">
        <v>2521</v>
      </c>
      <c r="D2392" s="12" t="s">
        <v>12</v>
      </c>
      <c r="E2392" s="12">
        <v>5</v>
      </c>
      <c r="F2392" s="12">
        <v>5</v>
      </c>
      <c r="G2392" s="12">
        <v>15</v>
      </c>
      <c r="H2392" s="12" t="s">
        <v>2121</v>
      </c>
      <c r="I2392" s="12">
        <v>30000</v>
      </c>
      <c r="J2392" s="12">
        <v>150</v>
      </c>
      <c r="K2392" s="12">
        <v>1500</v>
      </c>
      <c r="L2392" s="12">
        <v>10000</v>
      </c>
      <c r="M2392" s="12" t="s">
        <v>1848</v>
      </c>
      <c r="N2392" s="12" t="s">
        <v>2915</v>
      </c>
      <c r="O2392" s="12">
        <v>0</v>
      </c>
      <c r="P2392" s="12" t="s">
        <v>2048</v>
      </c>
      <c r="Q2392" s="7" t="str">
        <f t="shared" si="88"/>
        <v>equipment/1207.png</v>
      </c>
      <c r="R2392" s="1">
        <v>1</v>
      </c>
    </row>
    <row r="2393" spans="1:18" s="12" customFormat="1" ht="14.25" thickBot="1">
      <c r="A2393" s="12">
        <f t="shared" si="87"/>
        <v>50152056</v>
      </c>
      <c r="B2393" s="2">
        <v>0</v>
      </c>
      <c r="C2393" s="12" t="s">
        <v>2100</v>
      </c>
      <c r="D2393" s="12" t="s">
        <v>12</v>
      </c>
      <c r="E2393" s="12">
        <v>5</v>
      </c>
      <c r="F2393" s="12">
        <v>5</v>
      </c>
      <c r="G2393" s="12">
        <v>15</v>
      </c>
      <c r="H2393" s="12" t="s">
        <v>2121</v>
      </c>
      <c r="I2393" s="12">
        <v>36000</v>
      </c>
      <c r="J2393" s="12">
        <v>150</v>
      </c>
      <c r="K2393" s="12">
        <v>1500</v>
      </c>
      <c r="L2393" s="12">
        <v>12500</v>
      </c>
      <c r="M2393" s="12" t="s">
        <v>2013</v>
      </c>
      <c r="N2393" s="12" t="s">
        <v>2915</v>
      </c>
      <c r="O2393" s="12">
        <v>0</v>
      </c>
      <c r="P2393" s="12" t="s">
        <v>2048</v>
      </c>
      <c r="Q2393" s="7" t="str">
        <f t="shared" si="88"/>
        <v>equipment/1208.png</v>
      </c>
      <c r="R2393" s="1">
        <v>1</v>
      </c>
    </row>
    <row r="2394" spans="1:18" s="12" customFormat="1" ht="14.25" thickBot="1">
      <c r="A2394" s="12">
        <f t="shared" si="87"/>
        <v>50152065</v>
      </c>
      <c r="B2394" s="2">
        <v>0</v>
      </c>
      <c r="C2394" s="12" t="s">
        <v>2101</v>
      </c>
      <c r="D2394" s="12" t="s">
        <v>13</v>
      </c>
      <c r="E2394" s="12">
        <v>6</v>
      </c>
      <c r="F2394" s="12">
        <v>5</v>
      </c>
      <c r="G2394" s="12">
        <v>15</v>
      </c>
      <c r="H2394" s="12" t="s">
        <v>2121</v>
      </c>
      <c r="I2394" s="12">
        <v>30000</v>
      </c>
      <c r="J2394" s="12">
        <v>150</v>
      </c>
      <c r="K2394" s="12">
        <v>1500</v>
      </c>
      <c r="L2394" s="12">
        <v>10000</v>
      </c>
      <c r="M2394" s="12" t="s">
        <v>1851</v>
      </c>
      <c r="N2394" s="12" t="s">
        <v>2915</v>
      </c>
      <c r="O2394" s="12">
        <v>0</v>
      </c>
      <c r="P2394" s="12" t="s">
        <v>2048</v>
      </c>
      <c r="Q2394" s="7" t="str">
        <f t="shared" si="88"/>
        <v>equipment/2204.png</v>
      </c>
      <c r="R2394" s="1">
        <v>1</v>
      </c>
    </row>
    <row r="2395" spans="1:18" s="12" customFormat="1" ht="14.25" thickBot="1">
      <c r="A2395" s="12">
        <f t="shared" si="87"/>
        <v>50152066</v>
      </c>
      <c r="B2395" s="2">
        <v>0</v>
      </c>
      <c r="C2395" s="12" t="s">
        <v>2094</v>
      </c>
      <c r="D2395" s="12" t="s">
        <v>13</v>
      </c>
      <c r="E2395" s="12">
        <v>6</v>
      </c>
      <c r="F2395" s="12">
        <v>5</v>
      </c>
      <c r="G2395" s="12">
        <v>15</v>
      </c>
      <c r="H2395" s="12" t="s">
        <v>2121</v>
      </c>
      <c r="I2395" s="12">
        <v>36000</v>
      </c>
      <c r="J2395" s="12">
        <v>150</v>
      </c>
      <c r="K2395" s="12">
        <v>1500</v>
      </c>
      <c r="L2395" s="12">
        <v>12500</v>
      </c>
      <c r="M2395" s="12" t="s">
        <v>1852</v>
      </c>
      <c r="N2395" s="12" t="s">
        <v>2915</v>
      </c>
      <c r="O2395" s="12">
        <v>0</v>
      </c>
      <c r="P2395" s="12" t="s">
        <v>2048</v>
      </c>
      <c r="Q2395" s="7" t="str">
        <f t="shared" si="88"/>
        <v>equipment/2201.png</v>
      </c>
      <c r="R2395" s="1">
        <v>1</v>
      </c>
    </row>
    <row r="2396" spans="1:18" s="12" customFormat="1" ht="14.25" thickBot="1">
      <c r="A2396" s="12">
        <f t="shared" si="87"/>
        <v>50153055</v>
      </c>
      <c r="B2396" s="2">
        <v>0</v>
      </c>
      <c r="C2396" s="12" t="s">
        <v>2102</v>
      </c>
      <c r="D2396" s="12" t="s">
        <v>12</v>
      </c>
      <c r="E2396" s="12">
        <v>5</v>
      </c>
      <c r="F2396" s="12">
        <v>5</v>
      </c>
      <c r="G2396" s="12">
        <v>15</v>
      </c>
      <c r="H2396" s="12" t="s">
        <v>2122</v>
      </c>
      <c r="I2396" s="12">
        <v>30000</v>
      </c>
      <c r="J2396" s="12">
        <v>150</v>
      </c>
      <c r="K2396" s="12">
        <v>1500</v>
      </c>
      <c r="L2396" s="12">
        <v>10000</v>
      </c>
      <c r="M2396" s="12" t="s">
        <v>1848</v>
      </c>
      <c r="N2396" s="12" t="s">
        <v>2915</v>
      </c>
      <c r="O2396" s="12">
        <v>0</v>
      </c>
      <c r="P2396" s="12" t="s">
        <v>2048</v>
      </c>
      <c r="Q2396" s="7" t="str">
        <f t="shared" si="88"/>
        <v>equipment/1307.png</v>
      </c>
      <c r="R2396" s="1">
        <v>1</v>
      </c>
    </row>
    <row r="2397" spans="1:18" s="12" customFormat="1" ht="14.25" thickBot="1">
      <c r="A2397" s="12">
        <f t="shared" si="87"/>
        <v>50153056</v>
      </c>
      <c r="B2397" s="2">
        <v>0</v>
      </c>
      <c r="C2397" s="12" t="s">
        <v>2103</v>
      </c>
      <c r="D2397" s="12" t="s">
        <v>12</v>
      </c>
      <c r="E2397" s="12">
        <v>5</v>
      </c>
      <c r="F2397" s="12">
        <v>5</v>
      </c>
      <c r="G2397" s="12">
        <v>15</v>
      </c>
      <c r="H2397" s="12" t="s">
        <v>2122</v>
      </c>
      <c r="I2397" s="12">
        <v>36000</v>
      </c>
      <c r="J2397" s="12">
        <v>150</v>
      </c>
      <c r="K2397" s="12">
        <v>1500</v>
      </c>
      <c r="L2397" s="12">
        <v>12500</v>
      </c>
      <c r="M2397" s="12" t="s">
        <v>2013</v>
      </c>
      <c r="N2397" s="12" t="s">
        <v>2915</v>
      </c>
      <c r="O2397" s="12">
        <v>0</v>
      </c>
      <c r="P2397" s="12" t="s">
        <v>2048</v>
      </c>
      <c r="Q2397" s="7" t="str">
        <f t="shared" si="88"/>
        <v>equipment/1308.png</v>
      </c>
      <c r="R2397" s="1">
        <v>1</v>
      </c>
    </row>
    <row r="2398" spans="1:18" s="12" customFormat="1" ht="14.25" thickBot="1">
      <c r="A2398" s="12">
        <f t="shared" si="87"/>
        <v>50153065</v>
      </c>
      <c r="B2398" s="2">
        <v>0</v>
      </c>
      <c r="C2398" s="12" t="s">
        <v>2522</v>
      </c>
      <c r="D2398" s="12" t="s">
        <v>13</v>
      </c>
      <c r="E2398" s="12">
        <v>6</v>
      </c>
      <c r="F2398" s="12">
        <v>5</v>
      </c>
      <c r="G2398" s="12">
        <v>15</v>
      </c>
      <c r="H2398" s="12" t="s">
        <v>2122</v>
      </c>
      <c r="I2398" s="12">
        <v>30000</v>
      </c>
      <c r="J2398" s="12">
        <v>150</v>
      </c>
      <c r="K2398" s="12">
        <v>1500</v>
      </c>
      <c r="L2398" s="12">
        <v>10000</v>
      </c>
      <c r="M2398" s="12" t="s">
        <v>1853</v>
      </c>
      <c r="N2398" s="12" t="s">
        <v>2915</v>
      </c>
      <c r="O2398" s="12">
        <v>0</v>
      </c>
      <c r="P2398" s="12" t="s">
        <v>2048</v>
      </c>
      <c r="Q2398" s="7" t="str">
        <f t="shared" si="88"/>
        <v>equipment/2304.png</v>
      </c>
      <c r="R2398" s="1">
        <v>1</v>
      </c>
    </row>
    <row r="2399" spans="1:18" s="12" customFormat="1" ht="14.25" thickBot="1">
      <c r="A2399" s="12">
        <f t="shared" si="87"/>
        <v>50153066</v>
      </c>
      <c r="B2399" s="2">
        <v>0</v>
      </c>
      <c r="C2399" s="12" t="s">
        <v>2095</v>
      </c>
      <c r="D2399" s="12" t="s">
        <v>13</v>
      </c>
      <c r="E2399" s="12">
        <v>6</v>
      </c>
      <c r="F2399" s="12">
        <v>5</v>
      </c>
      <c r="G2399" s="12">
        <v>15</v>
      </c>
      <c r="H2399" s="12" t="s">
        <v>2122</v>
      </c>
      <c r="I2399" s="12">
        <v>36000</v>
      </c>
      <c r="J2399" s="12">
        <v>150</v>
      </c>
      <c r="K2399" s="12">
        <v>1500</v>
      </c>
      <c r="L2399" s="12">
        <v>12500</v>
      </c>
      <c r="M2399" s="12" t="s">
        <v>1854</v>
      </c>
      <c r="N2399" s="12" t="s">
        <v>2915</v>
      </c>
      <c r="O2399" s="12">
        <v>0</v>
      </c>
      <c r="P2399" s="12" t="s">
        <v>2048</v>
      </c>
      <c r="Q2399" s="7" t="str">
        <f t="shared" si="88"/>
        <v>equipment/2301.png</v>
      </c>
      <c r="R2399" s="1">
        <v>1</v>
      </c>
    </row>
    <row r="2400" spans="1:18" s="12" customFormat="1" ht="14.25" thickBot="1">
      <c r="A2400" s="12">
        <f t="shared" si="87"/>
        <v>50150045</v>
      </c>
      <c r="B2400" s="2">
        <v>0</v>
      </c>
      <c r="C2400" s="12" t="s">
        <v>2080</v>
      </c>
      <c r="D2400" s="12" t="s">
        <v>11</v>
      </c>
      <c r="E2400" s="12">
        <v>4</v>
      </c>
      <c r="F2400" s="12">
        <v>5</v>
      </c>
      <c r="G2400" s="12">
        <v>15</v>
      </c>
      <c r="H2400" s="12">
        <v>0</v>
      </c>
      <c r="I2400" s="12">
        <v>30000</v>
      </c>
      <c r="J2400" s="12">
        <v>150</v>
      </c>
      <c r="K2400" s="12">
        <v>1500</v>
      </c>
      <c r="L2400" s="12">
        <v>10000</v>
      </c>
      <c r="M2400" s="12" t="s">
        <v>1855</v>
      </c>
      <c r="N2400" s="12" t="s">
        <v>2914</v>
      </c>
      <c r="O2400" s="12">
        <v>0</v>
      </c>
      <c r="P2400" s="12" t="s">
        <v>2048</v>
      </c>
      <c r="Q2400" s="7" t="str">
        <f t="shared" si="88"/>
        <v>equipment/5005.png</v>
      </c>
      <c r="R2400" s="1">
        <v>1</v>
      </c>
    </row>
    <row r="2401" spans="1:18" s="12" customFormat="1" ht="14.25" thickBot="1">
      <c r="A2401" s="12">
        <f t="shared" si="87"/>
        <v>50150046</v>
      </c>
      <c r="B2401" s="2">
        <v>0</v>
      </c>
      <c r="C2401" s="12" t="s">
        <v>2499</v>
      </c>
      <c r="D2401" s="12" t="s">
        <v>11</v>
      </c>
      <c r="E2401" s="12">
        <v>4</v>
      </c>
      <c r="F2401" s="12">
        <v>5</v>
      </c>
      <c r="G2401" s="12">
        <v>15</v>
      </c>
      <c r="H2401" s="12">
        <v>0</v>
      </c>
      <c r="I2401" s="12">
        <v>36000</v>
      </c>
      <c r="J2401" s="12">
        <v>150</v>
      </c>
      <c r="K2401" s="12">
        <v>1500</v>
      </c>
      <c r="L2401" s="12">
        <v>12500</v>
      </c>
      <c r="M2401" s="12" t="s">
        <v>1856</v>
      </c>
      <c r="N2401" s="12" t="s">
        <v>2914</v>
      </c>
      <c r="O2401" s="12">
        <v>0</v>
      </c>
      <c r="P2401" s="12" t="s">
        <v>2048</v>
      </c>
      <c r="Q2401" s="7" t="str">
        <f t="shared" si="88"/>
        <v>equipment/5001.png</v>
      </c>
      <c r="R2401" s="1">
        <v>1</v>
      </c>
    </row>
    <row r="2402" spans="1:18" s="12" customFormat="1" ht="14.25" thickBot="1">
      <c r="A2402" s="12">
        <f t="shared" si="87"/>
        <v>50150075</v>
      </c>
      <c r="B2402" s="2">
        <v>0</v>
      </c>
      <c r="C2402" s="12" t="s">
        <v>2088</v>
      </c>
      <c r="D2402" s="12" t="s">
        <v>14</v>
      </c>
      <c r="E2402" s="12">
        <v>7</v>
      </c>
      <c r="F2402" s="12">
        <v>5</v>
      </c>
      <c r="G2402" s="12">
        <v>15</v>
      </c>
      <c r="H2402" s="12">
        <v>0</v>
      </c>
      <c r="I2402" s="12">
        <v>30000</v>
      </c>
      <c r="J2402" s="12">
        <v>150</v>
      </c>
      <c r="K2402" s="12">
        <v>1500</v>
      </c>
      <c r="L2402" s="12">
        <v>10000</v>
      </c>
      <c r="M2402" s="12" t="s">
        <v>1855</v>
      </c>
      <c r="N2402" s="12" t="s">
        <v>2914</v>
      </c>
      <c r="O2402" s="12">
        <v>0</v>
      </c>
      <c r="P2402" s="12" t="s">
        <v>2048</v>
      </c>
      <c r="Q2402" s="7" t="str">
        <f t="shared" si="88"/>
        <v>equipment/7003.png</v>
      </c>
      <c r="R2402" s="1">
        <v>1</v>
      </c>
    </row>
    <row r="2403" spans="1:18" s="12" customFormat="1" ht="14.25" thickBot="1">
      <c r="A2403" s="12">
        <f t="shared" si="87"/>
        <v>50150076</v>
      </c>
      <c r="B2403" s="2">
        <v>0</v>
      </c>
      <c r="C2403" s="12" t="s">
        <v>2501</v>
      </c>
      <c r="D2403" s="12" t="s">
        <v>14</v>
      </c>
      <c r="E2403" s="12">
        <v>7</v>
      </c>
      <c r="F2403" s="12">
        <v>5</v>
      </c>
      <c r="G2403" s="12">
        <v>15</v>
      </c>
      <c r="H2403" s="12">
        <v>0</v>
      </c>
      <c r="I2403" s="12">
        <v>36000</v>
      </c>
      <c r="J2403" s="12">
        <v>150</v>
      </c>
      <c r="K2403" s="12">
        <v>1500</v>
      </c>
      <c r="L2403" s="12">
        <v>12500</v>
      </c>
      <c r="M2403" s="12" t="s">
        <v>1857</v>
      </c>
      <c r="N2403" s="12" t="s">
        <v>2914</v>
      </c>
      <c r="O2403" s="12">
        <v>0</v>
      </c>
      <c r="P2403" s="12" t="s">
        <v>2048</v>
      </c>
      <c r="Q2403" s="7" t="str">
        <f t="shared" si="88"/>
        <v>equipment/7001.png</v>
      </c>
      <c r="R2403" s="1">
        <v>1</v>
      </c>
    </row>
    <row r="2404" spans="1:18" s="12" customFormat="1" ht="14.25" thickBot="1">
      <c r="A2404" s="12">
        <f t="shared" si="87"/>
        <v>50200015</v>
      </c>
      <c r="B2404" s="2">
        <v>0</v>
      </c>
      <c r="C2404" s="12" t="s">
        <v>2523</v>
      </c>
      <c r="D2404" s="12" t="s">
        <v>8</v>
      </c>
      <c r="E2404" s="12">
        <v>1</v>
      </c>
      <c r="F2404" s="12">
        <v>5</v>
      </c>
      <c r="G2404" s="12">
        <v>20</v>
      </c>
      <c r="H2404" s="12">
        <v>0</v>
      </c>
      <c r="I2404" s="12">
        <v>40000</v>
      </c>
      <c r="J2404" s="12">
        <v>150</v>
      </c>
      <c r="K2404" s="12">
        <v>1500</v>
      </c>
      <c r="L2404" s="12">
        <v>12500</v>
      </c>
      <c r="M2404" s="12" t="s">
        <v>1858</v>
      </c>
      <c r="N2404" s="12" t="s">
        <v>2915</v>
      </c>
      <c r="O2404" s="12">
        <v>0</v>
      </c>
      <c r="P2404" s="12" t="s">
        <v>2049</v>
      </c>
      <c r="Q2404" s="7" t="str">
        <f t="shared" si="88"/>
        <v>equipment/3003.png</v>
      </c>
      <c r="R2404" s="1">
        <v>1</v>
      </c>
    </row>
    <row r="2405" spans="1:18" s="12" customFormat="1" ht="14.25" thickBot="1">
      <c r="A2405" s="12">
        <f t="shared" si="87"/>
        <v>50200025</v>
      </c>
      <c r="B2405" s="2">
        <v>0</v>
      </c>
      <c r="C2405" s="12" t="s">
        <v>2524</v>
      </c>
      <c r="D2405" s="12" t="s">
        <v>9</v>
      </c>
      <c r="E2405" s="12">
        <v>2</v>
      </c>
      <c r="F2405" s="12">
        <v>5</v>
      </c>
      <c r="G2405" s="12">
        <v>20</v>
      </c>
      <c r="H2405" s="12">
        <v>0</v>
      </c>
      <c r="I2405" s="12">
        <v>40000</v>
      </c>
      <c r="J2405" s="12">
        <v>150</v>
      </c>
      <c r="K2405" s="12">
        <v>1500</v>
      </c>
      <c r="L2405" s="12">
        <v>12500</v>
      </c>
      <c r="M2405" s="12" t="s">
        <v>1839</v>
      </c>
      <c r="N2405" s="12" t="s">
        <v>2915</v>
      </c>
      <c r="O2405" s="12">
        <v>0</v>
      </c>
      <c r="P2405" s="12" t="s">
        <v>2049</v>
      </c>
      <c r="Q2405" s="7" t="str">
        <f t="shared" si="88"/>
        <v>equipment/14003.png</v>
      </c>
      <c r="R2405" s="1">
        <v>1</v>
      </c>
    </row>
    <row r="2406" spans="1:18" s="12" customFormat="1" ht="14.25" thickBot="1">
      <c r="A2406" s="12">
        <f t="shared" si="87"/>
        <v>50200035</v>
      </c>
      <c r="B2406" s="2">
        <v>0</v>
      </c>
      <c r="C2406" s="12" t="s">
        <v>2870</v>
      </c>
      <c r="D2406" s="12" t="s">
        <v>10</v>
      </c>
      <c r="E2406" s="12">
        <v>3</v>
      </c>
      <c r="F2406" s="12">
        <v>5</v>
      </c>
      <c r="G2406" s="12">
        <v>20</v>
      </c>
      <c r="H2406" s="12">
        <v>0</v>
      </c>
      <c r="I2406" s="12">
        <v>40000</v>
      </c>
      <c r="J2406" s="12">
        <v>150</v>
      </c>
      <c r="K2406" s="12">
        <v>1500</v>
      </c>
      <c r="L2406" s="12">
        <v>12500</v>
      </c>
      <c r="M2406" s="12" t="s">
        <v>1859</v>
      </c>
      <c r="N2406" s="12" t="s">
        <v>2915</v>
      </c>
      <c r="O2406" s="12">
        <v>0</v>
      </c>
      <c r="P2406" s="12" t="s">
        <v>2049</v>
      </c>
      <c r="Q2406" s="7" t="str">
        <f t="shared" si="88"/>
        <v>equipment/6004.png</v>
      </c>
      <c r="R2406" s="1">
        <v>1</v>
      </c>
    </row>
    <row r="2407" spans="1:18" s="12" customFormat="1" ht="14.25" thickBot="1">
      <c r="A2407" s="12">
        <f t="shared" si="87"/>
        <v>50200085</v>
      </c>
      <c r="B2407" s="2">
        <v>0</v>
      </c>
      <c r="C2407" s="12" t="s">
        <v>2525</v>
      </c>
      <c r="D2407" s="12" t="s">
        <v>15</v>
      </c>
      <c r="E2407" s="12">
        <v>8</v>
      </c>
      <c r="F2407" s="12">
        <v>5</v>
      </c>
      <c r="G2407" s="12">
        <v>20</v>
      </c>
      <c r="H2407" s="12">
        <v>0</v>
      </c>
      <c r="I2407" s="12">
        <v>40000</v>
      </c>
      <c r="J2407" s="12">
        <v>150</v>
      </c>
      <c r="K2407" s="12">
        <v>1500</v>
      </c>
      <c r="L2407" s="12">
        <v>12500</v>
      </c>
      <c r="M2407" s="12" t="s">
        <v>2471</v>
      </c>
      <c r="N2407" s="12" t="s">
        <v>2915</v>
      </c>
      <c r="O2407" s="12">
        <v>0</v>
      </c>
      <c r="P2407" s="12" t="s">
        <v>2049</v>
      </c>
      <c r="Q2407" s="7" t="str">
        <f t="shared" si="88"/>
        <v>equipment/8003.png</v>
      </c>
      <c r="R2407" s="1">
        <v>1</v>
      </c>
    </row>
    <row r="2408" spans="1:18" s="12" customFormat="1" ht="14.25" thickBot="1">
      <c r="A2408" s="12">
        <f t="shared" si="87"/>
        <v>50200095</v>
      </c>
      <c r="B2408" s="2">
        <v>0</v>
      </c>
      <c r="C2408" s="12" t="s">
        <v>2526</v>
      </c>
      <c r="D2408" s="12" t="s">
        <v>16</v>
      </c>
      <c r="E2408" s="12">
        <v>9</v>
      </c>
      <c r="F2408" s="12">
        <v>5</v>
      </c>
      <c r="G2408" s="12">
        <v>20</v>
      </c>
      <c r="H2408" s="12">
        <v>0</v>
      </c>
      <c r="I2408" s="12">
        <v>40000</v>
      </c>
      <c r="J2408" s="12">
        <v>150</v>
      </c>
      <c r="K2408" s="12">
        <v>1500</v>
      </c>
      <c r="L2408" s="12">
        <v>12500</v>
      </c>
      <c r="M2408" s="12" t="s">
        <v>1861</v>
      </c>
      <c r="N2408" s="12" t="s">
        <v>2915</v>
      </c>
      <c r="O2408" s="12">
        <v>0</v>
      </c>
      <c r="P2408" s="12" t="s">
        <v>2049</v>
      </c>
      <c r="Q2408" s="7" t="str">
        <f t="shared" si="88"/>
        <v>equipment/10004.png</v>
      </c>
      <c r="R2408" s="1">
        <v>1</v>
      </c>
    </row>
    <row r="2409" spans="1:18" s="12" customFormat="1" ht="14.25" thickBot="1">
      <c r="A2409" s="12">
        <f t="shared" si="87"/>
        <v>50200105</v>
      </c>
      <c r="B2409" s="2">
        <v>0</v>
      </c>
      <c r="C2409" s="12" t="s">
        <v>2527</v>
      </c>
      <c r="D2409" s="12" t="s">
        <v>17</v>
      </c>
      <c r="E2409" s="12">
        <v>10</v>
      </c>
      <c r="F2409" s="12">
        <v>5</v>
      </c>
      <c r="G2409" s="12">
        <v>20</v>
      </c>
      <c r="H2409" s="12">
        <v>0</v>
      </c>
      <c r="I2409" s="12">
        <v>40000</v>
      </c>
      <c r="J2409" s="12">
        <v>150</v>
      </c>
      <c r="K2409" s="12">
        <v>1500</v>
      </c>
      <c r="L2409" s="12">
        <v>12500</v>
      </c>
      <c r="M2409" s="12" t="s">
        <v>1862</v>
      </c>
      <c r="N2409" s="12" t="s">
        <v>2915</v>
      </c>
      <c r="O2409" s="12">
        <v>0</v>
      </c>
      <c r="P2409" s="12" t="s">
        <v>2049</v>
      </c>
      <c r="Q2409" s="7" t="str">
        <f t="shared" si="88"/>
        <v>equipment/12003.png</v>
      </c>
      <c r="R2409" s="1">
        <v>1</v>
      </c>
    </row>
    <row r="2410" spans="1:18" s="12" customFormat="1" ht="14.25" thickBot="1">
      <c r="A2410" s="12">
        <f t="shared" si="87"/>
        <v>50201055</v>
      </c>
      <c r="B2410" s="2">
        <v>0</v>
      </c>
      <c r="C2410" s="12" t="s">
        <v>2104</v>
      </c>
      <c r="D2410" s="12" t="s">
        <v>12</v>
      </c>
      <c r="E2410" s="12">
        <v>5</v>
      </c>
      <c r="F2410" s="12">
        <v>5</v>
      </c>
      <c r="G2410" s="12">
        <v>20</v>
      </c>
      <c r="H2410" s="12" t="s">
        <v>2120</v>
      </c>
      <c r="I2410" s="12">
        <v>40000</v>
      </c>
      <c r="J2410" s="12">
        <v>150</v>
      </c>
      <c r="K2410" s="12">
        <v>1500</v>
      </c>
      <c r="L2410" s="12">
        <v>12500</v>
      </c>
      <c r="M2410" s="12" t="s">
        <v>2014</v>
      </c>
      <c r="N2410" s="12" t="s">
        <v>2916</v>
      </c>
      <c r="O2410" s="12">
        <v>0</v>
      </c>
      <c r="P2410" s="12" t="s">
        <v>2049</v>
      </c>
      <c r="Q2410" s="7" t="str">
        <f t="shared" si="88"/>
        <v>equipment/1109.png</v>
      </c>
      <c r="R2410" s="1">
        <v>1</v>
      </c>
    </row>
    <row r="2411" spans="1:18" s="12" customFormat="1" ht="14.25" thickBot="1">
      <c r="A2411" s="12">
        <f t="shared" si="87"/>
        <v>50201056</v>
      </c>
      <c r="B2411" s="2">
        <v>0</v>
      </c>
      <c r="C2411" s="12" t="s">
        <v>2491</v>
      </c>
      <c r="D2411" s="12" t="s">
        <v>12</v>
      </c>
      <c r="E2411" s="12">
        <v>5</v>
      </c>
      <c r="F2411" s="12">
        <v>5</v>
      </c>
      <c r="G2411" s="12">
        <v>20</v>
      </c>
      <c r="H2411" s="12" t="s">
        <v>2120</v>
      </c>
      <c r="I2411" s="12">
        <v>46000</v>
      </c>
      <c r="J2411" s="12">
        <v>150</v>
      </c>
      <c r="K2411" s="12">
        <v>1500</v>
      </c>
      <c r="L2411" s="12">
        <v>15000</v>
      </c>
      <c r="M2411" s="12" t="s">
        <v>2015</v>
      </c>
      <c r="N2411" s="12" t="s">
        <v>2916</v>
      </c>
      <c r="O2411" s="12">
        <v>0</v>
      </c>
      <c r="P2411" s="12" t="s">
        <v>2049</v>
      </c>
      <c r="Q2411" s="7" t="str">
        <f t="shared" si="88"/>
        <v>equipment/1101.png</v>
      </c>
      <c r="R2411" s="1">
        <v>1</v>
      </c>
    </row>
    <row r="2412" spans="1:18" s="12" customFormat="1" ht="14.25" thickBot="1">
      <c r="A2412" s="12">
        <f t="shared" si="87"/>
        <v>50201065</v>
      </c>
      <c r="B2412" s="2">
        <v>0</v>
      </c>
      <c r="C2412" s="12" t="s">
        <v>2528</v>
      </c>
      <c r="D2412" s="12" t="s">
        <v>13</v>
      </c>
      <c r="E2412" s="12">
        <v>6</v>
      </c>
      <c r="F2412" s="12">
        <v>5</v>
      </c>
      <c r="G2412" s="12">
        <v>20</v>
      </c>
      <c r="H2412" s="12" t="s">
        <v>2120</v>
      </c>
      <c r="I2412" s="12">
        <v>40000</v>
      </c>
      <c r="J2412" s="12">
        <v>150</v>
      </c>
      <c r="K2412" s="12">
        <v>1500</v>
      </c>
      <c r="L2412" s="12">
        <v>12500</v>
      </c>
      <c r="M2412" s="12" t="s">
        <v>1863</v>
      </c>
      <c r="N2412" s="12" t="s">
        <v>2916</v>
      </c>
      <c r="O2412" s="12">
        <v>0</v>
      </c>
      <c r="P2412" s="12" t="s">
        <v>2049</v>
      </c>
      <c r="Q2412" s="7" t="str">
        <f t="shared" si="88"/>
        <v>equipment/2104.png</v>
      </c>
      <c r="R2412" s="1">
        <v>1</v>
      </c>
    </row>
    <row r="2413" spans="1:18" s="12" customFormat="1" ht="14.25" thickBot="1">
      <c r="A2413" s="12">
        <f t="shared" si="87"/>
        <v>50201066</v>
      </c>
      <c r="B2413" s="2">
        <v>0</v>
      </c>
      <c r="C2413" s="12" t="s">
        <v>2061</v>
      </c>
      <c r="D2413" s="12" t="s">
        <v>13</v>
      </c>
      <c r="E2413" s="12">
        <v>6</v>
      </c>
      <c r="F2413" s="12">
        <v>5</v>
      </c>
      <c r="G2413" s="12">
        <v>20</v>
      </c>
      <c r="H2413" s="12" t="s">
        <v>2120</v>
      </c>
      <c r="I2413" s="12">
        <v>46000</v>
      </c>
      <c r="J2413" s="12">
        <v>150</v>
      </c>
      <c r="K2413" s="12">
        <v>1500</v>
      </c>
      <c r="L2413" s="12">
        <v>15000</v>
      </c>
      <c r="M2413" s="12" t="s">
        <v>1864</v>
      </c>
      <c r="N2413" s="12" t="s">
        <v>2916</v>
      </c>
      <c r="O2413" s="12">
        <v>0</v>
      </c>
      <c r="P2413" s="12" t="s">
        <v>2049</v>
      </c>
      <c r="Q2413" s="7" t="str">
        <f t="shared" si="88"/>
        <v>equipment/2101.png</v>
      </c>
      <c r="R2413" s="1">
        <v>1</v>
      </c>
    </row>
    <row r="2414" spans="1:18" s="12" customFormat="1" ht="14.25" thickBot="1">
      <c r="A2414" s="12">
        <f t="shared" si="87"/>
        <v>50202055</v>
      </c>
      <c r="B2414" s="2">
        <v>0</v>
      </c>
      <c r="C2414" s="12" t="s">
        <v>2105</v>
      </c>
      <c r="D2414" s="12" t="s">
        <v>12</v>
      </c>
      <c r="E2414" s="12">
        <v>5</v>
      </c>
      <c r="F2414" s="12">
        <v>5</v>
      </c>
      <c r="G2414" s="12">
        <v>20</v>
      </c>
      <c r="H2414" s="12" t="s">
        <v>2121</v>
      </c>
      <c r="I2414" s="12">
        <v>40000</v>
      </c>
      <c r="J2414" s="12">
        <v>150</v>
      </c>
      <c r="K2414" s="12">
        <v>1500</v>
      </c>
      <c r="L2414" s="12">
        <v>12500</v>
      </c>
      <c r="M2414" s="12" t="s">
        <v>2014</v>
      </c>
      <c r="N2414" s="12" t="s">
        <v>2916</v>
      </c>
      <c r="O2414" s="12">
        <v>0</v>
      </c>
      <c r="P2414" s="12" t="s">
        <v>2049</v>
      </c>
      <c r="Q2414" s="7" t="str">
        <f t="shared" si="88"/>
        <v>equipment/1209.png</v>
      </c>
      <c r="R2414" s="1">
        <v>1</v>
      </c>
    </row>
    <row r="2415" spans="1:18" s="12" customFormat="1" ht="14.25" thickBot="1">
      <c r="A2415" s="12">
        <f t="shared" si="87"/>
        <v>50202056</v>
      </c>
      <c r="B2415" s="2">
        <v>0</v>
      </c>
      <c r="C2415" s="12" t="s">
        <v>2494</v>
      </c>
      <c r="D2415" s="12" t="s">
        <v>12</v>
      </c>
      <c r="E2415" s="12">
        <v>5</v>
      </c>
      <c r="F2415" s="12">
        <v>5</v>
      </c>
      <c r="G2415" s="12">
        <v>20</v>
      </c>
      <c r="H2415" s="12" t="s">
        <v>2121</v>
      </c>
      <c r="I2415" s="12">
        <v>46000</v>
      </c>
      <c r="J2415" s="12">
        <v>150</v>
      </c>
      <c r="K2415" s="12">
        <v>1500</v>
      </c>
      <c r="L2415" s="12">
        <v>15000</v>
      </c>
      <c r="M2415" s="12" t="s">
        <v>2015</v>
      </c>
      <c r="N2415" s="12" t="s">
        <v>2916</v>
      </c>
      <c r="O2415" s="12">
        <v>0</v>
      </c>
      <c r="P2415" s="12" t="s">
        <v>2049</v>
      </c>
      <c r="Q2415" s="7" t="str">
        <f t="shared" si="88"/>
        <v>equipment/1201.png</v>
      </c>
      <c r="R2415" s="1">
        <v>1</v>
      </c>
    </row>
    <row r="2416" spans="1:18" s="12" customFormat="1" ht="14.25" thickBot="1">
      <c r="A2416" s="12">
        <f t="shared" si="87"/>
        <v>50202065</v>
      </c>
      <c r="B2416" s="2">
        <v>0</v>
      </c>
      <c r="C2416" s="12" t="s">
        <v>2106</v>
      </c>
      <c r="D2416" s="12" t="s">
        <v>13</v>
      </c>
      <c r="E2416" s="12">
        <v>6</v>
      </c>
      <c r="F2416" s="12">
        <v>5</v>
      </c>
      <c r="G2416" s="12">
        <v>20</v>
      </c>
      <c r="H2416" s="12" t="s">
        <v>2121</v>
      </c>
      <c r="I2416" s="12">
        <v>40000</v>
      </c>
      <c r="J2416" s="12">
        <v>150</v>
      </c>
      <c r="K2416" s="12">
        <v>1500</v>
      </c>
      <c r="L2416" s="12">
        <v>12500</v>
      </c>
      <c r="M2416" s="12" t="s">
        <v>1865</v>
      </c>
      <c r="N2416" s="12" t="s">
        <v>2916</v>
      </c>
      <c r="O2416" s="12">
        <v>0</v>
      </c>
      <c r="P2416" s="12" t="s">
        <v>2049</v>
      </c>
      <c r="Q2416" s="7" t="str">
        <f t="shared" si="88"/>
        <v>equipment/2205.png</v>
      </c>
      <c r="R2416" s="1">
        <v>1</v>
      </c>
    </row>
    <row r="2417" spans="1:18" s="12" customFormat="1" ht="14.25" thickBot="1">
      <c r="A2417" s="12">
        <f t="shared" si="87"/>
        <v>50202066</v>
      </c>
      <c r="B2417" s="2">
        <v>0</v>
      </c>
      <c r="C2417" s="12" t="s">
        <v>2094</v>
      </c>
      <c r="D2417" s="12" t="s">
        <v>13</v>
      </c>
      <c r="E2417" s="12">
        <v>6</v>
      </c>
      <c r="F2417" s="12">
        <v>5</v>
      </c>
      <c r="G2417" s="12">
        <v>20</v>
      </c>
      <c r="H2417" s="12" t="s">
        <v>2121</v>
      </c>
      <c r="I2417" s="12">
        <v>46000</v>
      </c>
      <c r="J2417" s="12">
        <v>150</v>
      </c>
      <c r="K2417" s="12">
        <v>1500</v>
      </c>
      <c r="L2417" s="12">
        <v>15000</v>
      </c>
      <c r="M2417" s="12" t="s">
        <v>1866</v>
      </c>
      <c r="N2417" s="12" t="s">
        <v>2916</v>
      </c>
      <c r="O2417" s="12">
        <v>0</v>
      </c>
      <c r="P2417" s="12" t="s">
        <v>2049</v>
      </c>
      <c r="Q2417" s="7" t="str">
        <f t="shared" si="88"/>
        <v>equipment/2201.png</v>
      </c>
      <c r="R2417" s="1">
        <v>1</v>
      </c>
    </row>
    <row r="2418" spans="1:18" s="12" customFormat="1" ht="14.25" thickBot="1">
      <c r="A2418" s="12">
        <f t="shared" si="87"/>
        <v>50203055</v>
      </c>
      <c r="B2418" s="2">
        <v>0</v>
      </c>
      <c r="C2418" s="12" t="s">
        <v>2107</v>
      </c>
      <c r="D2418" s="12" t="s">
        <v>12</v>
      </c>
      <c r="E2418" s="12">
        <v>5</v>
      </c>
      <c r="F2418" s="12">
        <v>5</v>
      </c>
      <c r="G2418" s="12">
        <v>20</v>
      </c>
      <c r="H2418" s="12" t="s">
        <v>2122</v>
      </c>
      <c r="I2418" s="12">
        <v>40000</v>
      </c>
      <c r="J2418" s="12">
        <v>150</v>
      </c>
      <c r="K2418" s="12">
        <v>1500</v>
      </c>
      <c r="L2418" s="12">
        <v>12500</v>
      </c>
      <c r="M2418" s="12" t="s">
        <v>2014</v>
      </c>
      <c r="N2418" s="12" t="s">
        <v>2916</v>
      </c>
      <c r="O2418" s="12">
        <v>0</v>
      </c>
      <c r="P2418" s="12" t="s">
        <v>2049</v>
      </c>
      <c r="Q2418" s="7" t="str">
        <f t="shared" si="88"/>
        <v>equipment/1309.png</v>
      </c>
      <c r="R2418" s="1">
        <v>1</v>
      </c>
    </row>
    <row r="2419" spans="1:18" s="12" customFormat="1" ht="14.25" thickBot="1">
      <c r="A2419" s="12">
        <f t="shared" si="87"/>
        <v>50203056</v>
      </c>
      <c r="B2419" s="2">
        <v>0</v>
      </c>
      <c r="C2419" s="12" t="s">
        <v>2529</v>
      </c>
      <c r="D2419" s="12" t="s">
        <v>12</v>
      </c>
      <c r="E2419" s="12">
        <v>5</v>
      </c>
      <c r="F2419" s="12">
        <v>5</v>
      </c>
      <c r="G2419" s="12">
        <v>20</v>
      </c>
      <c r="H2419" s="12" t="s">
        <v>2122</v>
      </c>
      <c r="I2419" s="12">
        <v>46000</v>
      </c>
      <c r="J2419" s="12">
        <v>150</v>
      </c>
      <c r="K2419" s="12">
        <v>1500</v>
      </c>
      <c r="L2419" s="12">
        <v>15000</v>
      </c>
      <c r="M2419" s="12" t="s">
        <v>2015</v>
      </c>
      <c r="N2419" s="12" t="s">
        <v>2916</v>
      </c>
      <c r="O2419" s="12">
        <v>0</v>
      </c>
      <c r="P2419" s="12" t="s">
        <v>2049</v>
      </c>
      <c r="Q2419" s="7" t="str">
        <f t="shared" si="88"/>
        <v>equipment/1310.png</v>
      </c>
      <c r="R2419" s="1">
        <v>1</v>
      </c>
    </row>
    <row r="2420" spans="1:18" s="12" customFormat="1" ht="14.25" thickBot="1">
      <c r="A2420" s="12">
        <f t="shared" si="87"/>
        <v>50203065</v>
      </c>
      <c r="B2420" s="2">
        <v>0</v>
      </c>
      <c r="C2420" s="12" t="s">
        <v>2530</v>
      </c>
      <c r="D2420" s="12" t="s">
        <v>13</v>
      </c>
      <c r="E2420" s="12">
        <v>6</v>
      </c>
      <c r="F2420" s="12">
        <v>5</v>
      </c>
      <c r="G2420" s="12">
        <v>20</v>
      </c>
      <c r="H2420" s="12" t="s">
        <v>2122</v>
      </c>
      <c r="I2420" s="12">
        <v>40000</v>
      </c>
      <c r="J2420" s="12">
        <v>150</v>
      </c>
      <c r="K2420" s="12">
        <v>1500</v>
      </c>
      <c r="L2420" s="12">
        <v>12500</v>
      </c>
      <c r="M2420" s="12" t="s">
        <v>1867</v>
      </c>
      <c r="N2420" s="12" t="s">
        <v>2916</v>
      </c>
      <c r="O2420" s="12">
        <v>0</v>
      </c>
      <c r="P2420" s="12" t="s">
        <v>2049</v>
      </c>
      <c r="Q2420" s="7" t="str">
        <f t="shared" si="88"/>
        <v>equipment/2305.png</v>
      </c>
      <c r="R2420" s="1">
        <v>1</v>
      </c>
    </row>
    <row r="2421" spans="1:18" s="12" customFormat="1" ht="14.25" thickBot="1">
      <c r="A2421" s="12">
        <f t="shared" si="87"/>
        <v>50203066</v>
      </c>
      <c r="B2421" s="2">
        <v>0</v>
      </c>
      <c r="C2421" s="12" t="s">
        <v>2095</v>
      </c>
      <c r="D2421" s="12" t="s">
        <v>13</v>
      </c>
      <c r="E2421" s="12">
        <v>6</v>
      </c>
      <c r="F2421" s="12">
        <v>5</v>
      </c>
      <c r="G2421" s="12">
        <v>20</v>
      </c>
      <c r="H2421" s="12" t="s">
        <v>2122</v>
      </c>
      <c r="I2421" s="12">
        <v>46000</v>
      </c>
      <c r="J2421" s="12">
        <v>150</v>
      </c>
      <c r="K2421" s="12">
        <v>1500</v>
      </c>
      <c r="L2421" s="12">
        <v>15000</v>
      </c>
      <c r="M2421" s="12" t="s">
        <v>1868</v>
      </c>
      <c r="N2421" s="12" t="s">
        <v>2916</v>
      </c>
      <c r="O2421" s="12">
        <v>0</v>
      </c>
      <c r="P2421" s="12" t="s">
        <v>2049</v>
      </c>
      <c r="Q2421" s="7" t="str">
        <f t="shared" si="88"/>
        <v>equipment/2301.png</v>
      </c>
      <c r="R2421" s="1">
        <v>1</v>
      </c>
    </row>
    <row r="2422" spans="1:18" s="12" customFormat="1" ht="14.25" thickBot="1">
      <c r="A2422" s="12">
        <f t="shared" si="87"/>
        <v>50200045</v>
      </c>
      <c r="B2422" s="2">
        <v>0</v>
      </c>
      <c r="C2422" s="12" t="s">
        <v>2081</v>
      </c>
      <c r="D2422" s="12" t="s">
        <v>11</v>
      </c>
      <c r="E2422" s="12">
        <v>4</v>
      </c>
      <c r="F2422" s="12">
        <v>5</v>
      </c>
      <c r="G2422" s="12">
        <v>20</v>
      </c>
      <c r="H2422" s="12">
        <v>0</v>
      </c>
      <c r="I2422" s="12">
        <v>40000</v>
      </c>
      <c r="J2422" s="12">
        <v>150</v>
      </c>
      <c r="K2422" s="12">
        <v>1500</v>
      </c>
      <c r="L2422" s="12">
        <v>12500</v>
      </c>
      <c r="M2422" s="12" t="s">
        <v>1869</v>
      </c>
      <c r="N2422" s="12" t="s">
        <v>2915</v>
      </c>
      <c r="O2422" s="12">
        <v>0</v>
      </c>
      <c r="P2422" s="12" t="s">
        <v>2049</v>
      </c>
      <c r="Q2422" s="7" t="str">
        <f t="shared" si="88"/>
        <v>equipment/5004.png</v>
      </c>
      <c r="R2422" s="1">
        <v>1</v>
      </c>
    </row>
    <row r="2423" spans="1:18" s="12" customFormat="1" ht="14.25" thickBot="1">
      <c r="A2423" s="12">
        <f t="shared" si="87"/>
        <v>50200046</v>
      </c>
      <c r="B2423" s="2">
        <v>0</v>
      </c>
      <c r="C2423" s="12" t="s">
        <v>2082</v>
      </c>
      <c r="D2423" s="12" t="s">
        <v>11</v>
      </c>
      <c r="E2423" s="12">
        <v>4</v>
      </c>
      <c r="F2423" s="12">
        <v>5</v>
      </c>
      <c r="G2423" s="12">
        <v>20</v>
      </c>
      <c r="H2423" s="12">
        <v>0</v>
      </c>
      <c r="I2423" s="12">
        <v>46000</v>
      </c>
      <c r="J2423" s="12">
        <v>150</v>
      </c>
      <c r="K2423" s="12">
        <v>1500</v>
      </c>
      <c r="L2423" s="12">
        <v>15000</v>
      </c>
      <c r="M2423" s="12" t="s">
        <v>1870</v>
      </c>
      <c r="N2423" s="12" t="s">
        <v>2915</v>
      </c>
      <c r="O2423" s="12">
        <v>0</v>
      </c>
      <c r="P2423" s="12" t="s">
        <v>2049</v>
      </c>
      <c r="Q2423" s="7" t="str">
        <f t="shared" si="88"/>
        <v>equipment/5006.png</v>
      </c>
      <c r="R2423" s="1">
        <v>1</v>
      </c>
    </row>
    <row r="2424" spans="1:18" s="12" customFormat="1" ht="14.25" thickBot="1">
      <c r="A2424" s="12">
        <f t="shared" si="87"/>
        <v>50200075</v>
      </c>
      <c r="B2424" s="2">
        <v>0</v>
      </c>
      <c r="C2424" s="12" t="s">
        <v>2531</v>
      </c>
      <c r="D2424" s="12" t="s">
        <v>14</v>
      </c>
      <c r="E2424" s="12">
        <v>7</v>
      </c>
      <c r="F2424" s="12">
        <v>5</v>
      </c>
      <c r="G2424" s="12">
        <v>20</v>
      </c>
      <c r="H2424" s="12">
        <v>0</v>
      </c>
      <c r="I2424" s="12">
        <v>40000</v>
      </c>
      <c r="J2424" s="12">
        <v>150</v>
      </c>
      <c r="K2424" s="12">
        <v>1500</v>
      </c>
      <c r="L2424" s="12">
        <v>12500</v>
      </c>
      <c r="M2424" s="12" t="s">
        <v>1871</v>
      </c>
      <c r="N2424" s="12" t="s">
        <v>2915</v>
      </c>
      <c r="O2424" s="12">
        <v>0</v>
      </c>
      <c r="P2424" s="12" t="s">
        <v>2049</v>
      </c>
      <c r="Q2424" s="7" t="str">
        <f t="shared" si="88"/>
        <v>equipment/7005.png</v>
      </c>
      <c r="R2424" s="1">
        <v>1</v>
      </c>
    </row>
    <row r="2425" spans="1:18" s="12" customFormat="1" ht="14.25" thickBot="1">
      <c r="A2425" s="12">
        <f t="shared" si="87"/>
        <v>50200076</v>
      </c>
      <c r="B2425" s="2">
        <v>0</v>
      </c>
      <c r="C2425" s="12" t="s">
        <v>2532</v>
      </c>
      <c r="D2425" s="12" t="s">
        <v>14</v>
      </c>
      <c r="E2425" s="12">
        <v>7</v>
      </c>
      <c r="F2425" s="12">
        <v>5</v>
      </c>
      <c r="G2425" s="12">
        <v>20</v>
      </c>
      <c r="H2425" s="12">
        <v>0</v>
      </c>
      <c r="I2425" s="12">
        <v>46000</v>
      </c>
      <c r="J2425" s="12">
        <v>150</v>
      </c>
      <c r="K2425" s="12">
        <v>1500</v>
      </c>
      <c r="L2425" s="12">
        <v>15000</v>
      </c>
      <c r="M2425" s="12" t="s">
        <v>1872</v>
      </c>
      <c r="N2425" s="12" t="s">
        <v>2915</v>
      </c>
      <c r="O2425" s="12">
        <v>0</v>
      </c>
      <c r="P2425" s="12" t="s">
        <v>2049</v>
      </c>
      <c r="Q2425" s="7" t="str">
        <f t="shared" si="88"/>
        <v>equipment/7004.png</v>
      </c>
      <c r="R2425" s="1">
        <v>1</v>
      </c>
    </row>
    <row r="2426" spans="1:18" s="12" customFormat="1" ht="14.25" thickBot="1">
      <c r="A2426" s="12">
        <f t="shared" si="87"/>
        <v>50250015</v>
      </c>
      <c r="B2426" s="2">
        <v>0</v>
      </c>
      <c r="C2426" s="12" t="s">
        <v>2062</v>
      </c>
      <c r="D2426" s="12" t="s">
        <v>8</v>
      </c>
      <c r="E2426" s="12">
        <v>1</v>
      </c>
      <c r="F2426" s="12">
        <v>5</v>
      </c>
      <c r="G2426" s="12">
        <v>25</v>
      </c>
      <c r="H2426" s="12">
        <v>0</v>
      </c>
      <c r="I2426" s="12">
        <v>50000</v>
      </c>
      <c r="J2426" s="12">
        <v>150</v>
      </c>
      <c r="K2426" s="12">
        <v>1500</v>
      </c>
      <c r="L2426" s="12">
        <v>15000</v>
      </c>
      <c r="M2426" s="12" t="s">
        <v>1873</v>
      </c>
      <c r="N2426" s="12" t="s">
        <v>2917</v>
      </c>
      <c r="O2426" s="12">
        <v>0</v>
      </c>
      <c r="P2426" s="12" t="s">
        <v>2050</v>
      </c>
      <c r="Q2426" s="7" t="str">
        <f t="shared" si="88"/>
        <v>equipment/3005.png</v>
      </c>
      <c r="R2426" s="1">
        <v>1</v>
      </c>
    </row>
    <row r="2427" spans="1:18" s="12" customFormat="1" ht="14.25" thickBot="1">
      <c r="A2427" s="12">
        <f t="shared" si="87"/>
        <v>50250025</v>
      </c>
      <c r="B2427" s="2">
        <v>0</v>
      </c>
      <c r="C2427" s="12" t="s">
        <v>2334</v>
      </c>
      <c r="D2427" s="12" t="s">
        <v>9</v>
      </c>
      <c r="E2427" s="12">
        <v>2</v>
      </c>
      <c r="F2427" s="12">
        <v>5</v>
      </c>
      <c r="G2427" s="12">
        <v>25</v>
      </c>
      <c r="H2427" s="12">
        <v>0</v>
      </c>
      <c r="I2427" s="12">
        <v>50000</v>
      </c>
      <c r="J2427" s="12">
        <v>150</v>
      </c>
      <c r="K2427" s="12">
        <v>1500</v>
      </c>
      <c r="L2427" s="12">
        <v>15000</v>
      </c>
      <c r="M2427" s="12" t="s">
        <v>1874</v>
      </c>
      <c r="N2427" s="12" t="s">
        <v>2917</v>
      </c>
      <c r="O2427" s="12">
        <v>0</v>
      </c>
      <c r="P2427" s="12" t="s">
        <v>2050</v>
      </c>
      <c r="Q2427" s="7" t="str">
        <f t="shared" si="88"/>
        <v>equipment/14004.png</v>
      </c>
      <c r="R2427" s="1">
        <v>1</v>
      </c>
    </row>
    <row r="2428" spans="1:18" s="12" customFormat="1" ht="14.25" thickBot="1">
      <c r="A2428" s="12">
        <f t="shared" si="87"/>
        <v>50250035</v>
      </c>
      <c r="B2428" s="2">
        <v>0</v>
      </c>
      <c r="C2428" s="12" t="s">
        <v>2533</v>
      </c>
      <c r="D2428" s="12" t="s">
        <v>10</v>
      </c>
      <c r="E2428" s="12">
        <v>3</v>
      </c>
      <c r="F2428" s="12">
        <v>5</v>
      </c>
      <c r="G2428" s="12">
        <v>25</v>
      </c>
      <c r="H2428" s="12">
        <v>0</v>
      </c>
      <c r="I2428" s="12">
        <v>50000</v>
      </c>
      <c r="J2428" s="12">
        <v>150</v>
      </c>
      <c r="K2428" s="12">
        <v>1500</v>
      </c>
      <c r="L2428" s="12">
        <v>15000</v>
      </c>
      <c r="M2428" s="12" t="s">
        <v>1875</v>
      </c>
      <c r="N2428" s="12" t="s">
        <v>2917</v>
      </c>
      <c r="O2428" s="12">
        <v>0</v>
      </c>
      <c r="P2428" s="12" t="s">
        <v>2050</v>
      </c>
      <c r="Q2428" s="7" t="str">
        <f t="shared" si="88"/>
        <v>equipment/6005.png</v>
      </c>
      <c r="R2428" s="1">
        <v>1</v>
      </c>
    </row>
    <row r="2429" spans="1:18" s="12" customFormat="1" ht="14.25" thickBot="1">
      <c r="A2429" s="12">
        <f t="shared" si="87"/>
        <v>50250085</v>
      </c>
      <c r="B2429" s="2">
        <v>0</v>
      </c>
      <c r="C2429" s="12" t="s">
        <v>2534</v>
      </c>
      <c r="D2429" s="12" t="s">
        <v>15</v>
      </c>
      <c r="E2429" s="12">
        <v>8</v>
      </c>
      <c r="F2429" s="12">
        <v>5</v>
      </c>
      <c r="G2429" s="12">
        <v>25</v>
      </c>
      <c r="H2429" s="12">
        <v>0</v>
      </c>
      <c r="I2429" s="12">
        <v>50000</v>
      </c>
      <c r="J2429" s="12">
        <v>150</v>
      </c>
      <c r="K2429" s="12">
        <v>1500</v>
      </c>
      <c r="L2429" s="12">
        <v>15000</v>
      </c>
      <c r="M2429" s="12" t="s">
        <v>1860</v>
      </c>
      <c r="N2429" s="12" t="s">
        <v>2917</v>
      </c>
      <c r="O2429" s="12">
        <v>0</v>
      </c>
      <c r="P2429" s="12" t="s">
        <v>2050</v>
      </c>
      <c r="Q2429" s="7" t="str">
        <f t="shared" si="88"/>
        <v>equipment/8004.png</v>
      </c>
      <c r="R2429" s="1">
        <v>1</v>
      </c>
    </row>
    <row r="2430" spans="1:18" s="12" customFormat="1" ht="14.25" thickBot="1">
      <c r="A2430" s="12">
        <f t="shared" si="87"/>
        <v>50250095</v>
      </c>
      <c r="B2430" s="2">
        <v>0</v>
      </c>
      <c r="C2430" s="12" t="s">
        <v>2535</v>
      </c>
      <c r="D2430" s="12" t="s">
        <v>16</v>
      </c>
      <c r="E2430" s="12">
        <v>9</v>
      </c>
      <c r="F2430" s="12">
        <v>5</v>
      </c>
      <c r="G2430" s="12">
        <v>25</v>
      </c>
      <c r="H2430" s="12">
        <v>0</v>
      </c>
      <c r="I2430" s="12">
        <v>50000</v>
      </c>
      <c r="J2430" s="12">
        <v>150</v>
      </c>
      <c r="K2430" s="12">
        <v>1500</v>
      </c>
      <c r="L2430" s="12">
        <v>15000</v>
      </c>
      <c r="M2430" s="12" t="s">
        <v>1876</v>
      </c>
      <c r="N2430" s="12" t="s">
        <v>2917</v>
      </c>
      <c r="O2430" s="12">
        <v>0</v>
      </c>
      <c r="P2430" s="12" t="s">
        <v>2050</v>
      </c>
      <c r="Q2430" s="7" t="str">
        <f t="shared" si="88"/>
        <v>equipment/10003.png</v>
      </c>
      <c r="R2430" s="1">
        <v>1</v>
      </c>
    </row>
    <row r="2431" spans="1:18" s="12" customFormat="1" ht="14.25" thickBot="1">
      <c r="A2431" s="12">
        <f t="shared" si="87"/>
        <v>50250105</v>
      </c>
      <c r="B2431" s="2">
        <v>0</v>
      </c>
      <c r="C2431" s="12" t="s">
        <v>2077</v>
      </c>
      <c r="D2431" s="12" t="s">
        <v>17</v>
      </c>
      <c r="E2431" s="12">
        <v>10</v>
      </c>
      <c r="F2431" s="12">
        <v>5</v>
      </c>
      <c r="G2431" s="12">
        <v>25</v>
      </c>
      <c r="H2431" s="12">
        <v>0</v>
      </c>
      <c r="I2431" s="12">
        <v>50000</v>
      </c>
      <c r="J2431" s="12">
        <v>150</v>
      </c>
      <c r="K2431" s="12">
        <v>1500</v>
      </c>
      <c r="L2431" s="12">
        <v>15000</v>
      </c>
      <c r="M2431" s="12" t="s">
        <v>1877</v>
      </c>
      <c r="N2431" s="12" t="s">
        <v>2917</v>
      </c>
      <c r="O2431" s="12">
        <v>0</v>
      </c>
      <c r="P2431" s="12" t="s">
        <v>2050</v>
      </c>
      <c r="Q2431" s="7" t="str">
        <f t="shared" si="88"/>
        <v>equipment/12004.png</v>
      </c>
      <c r="R2431" s="1">
        <v>1</v>
      </c>
    </row>
    <row r="2432" spans="1:18" s="12" customFormat="1" ht="14.25" thickBot="1">
      <c r="A2432" s="12">
        <f t="shared" si="87"/>
        <v>50251055</v>
      </c>
      <c r="B2432" s="2">
        <v>0</v>
      </c>
      <c r="C2432" s="12" t="s">
        <v>2536</v>
      </c>
      <c r="D2432" s="12" t="s">
        <v>12</v>
      </c>
      <c r="E2432" s="12">
        <v>5</v>
      </c>
      <c r="F2432" s="12">
        <v>5</v>
      </c>
      <c r="G2432" s="12">
        <v>25</v>
      </c>
      <c r="H2432" s="12" t="s">
        <v>2120</v>
      </c>
      <c r="I2432" s="12">
        <v>50000</v>
      </c>
      <c r="J2432" s="12">
        <v>150</v>
      </c>
      <c r="K2432" s="12">
        <v>1500</v>
      </c>
      <c r="L2432" s="12">
        <v>15000</v>
      </c>
      <c r="M2432" s="12" t="s">
        <v>1878</v>
      </c>
      <c r="N2432" s="12" t="s">
        <v>2918</v>
      </c>
      <c r="O2432" s="12">
        <v>0</v>
      </c>
      <c r="P2432" s="12" t="s">
        <v>2050</v>
      </c>
      <c r="Q2432" s="7" t="str">
        <f t="shared" si="88"/>
        <v>equipment/1110.png</v>
      </c>
      <c r="R2432" s="1">
        <v>1</v>
      </c>
    </row>
    <row r="2433" spans="1:18" s="12" customFormat="1" ht="14.25" thickBot="1">
      <c r="A2433" s="12">
        <f t="shared" si="87"/>
        <v>50251056</v>
      </c>
      <c r="B2433" s="2">
        <v>0</v>
      </c>
      <c r="C2433" s="12" t="s">
        <v>2537</v>
      </c>
      <c r="D2433" s="12" t="s">
        <v>12</v>
      </c>
      <c r="E2433" s="12">
        <v>5</v>
      </c>
      <c r="F2433" s="12">
        <v>5</v>
      </c>
      <c r="G2433" s="12">
        <v>25</v>
      </c>
      <c r="H2433" s="12" t="s">
        <v>2120</v>
      </c>
      <c r="I2433" s="12">
        <v>56000</v>
      </c>
      <c r="J2433" s="12">
        <v>150</v>
      </c>
      <c r="K2433" s="12">
        <v>1500</v>
      </c>
      <c r="L2433" s="12">
        <v>17500</v>
      </c>
      <c r="M2433" s="12" t="s">
        <v>2016</v>
      </c>
      <c r="N2433" s="12" t="s">
        <v>2918</v>
      </c>
      <c r="O2433" s="12">
        <v>0</v>
      </c>
      <c r="P2433" s="12" t="s">
        <v>2050</v>
      </c>
      <c r="Q2433" s="7" t="str">
        <f t="shared" si="88"/>
        <v>equipment/1111.png</v>
      </c>
      <c r="R2433" s="1">
        <v>1</v>
      </c>
    </row>
    <row r="2434" spans="1:18" s="12" customFormat="1" ht="14.25" thickBot="1">
      <c r="A2434" s="12">
        <f t="shared" si="87"/>
        <v>50251065</v>
      </c>
      <c r="B2434" s="2">
        <v>0</v>
      </c>
      <c r="C2434" s="12" t="s">
        <v>2538</v>
      </c>
      <c r="D2434" s="12" t="s">
        <v>13</v>
      </c>
      <c r="E2434" s="12">
        <v>6</v>
      </c>
      <c r="F2434" s="12">
        <v>5</v>
      </c>
      <c r="G2434" s="12">
        <v>25</v>
      </c>
      <c r="H2434" s="12" t="s">
        <v>2120</v>
      </c>
      <c r="I2434" s="12">
        <v>50000</v>
      </c>
      <c r="J2434" s="12">
        <v>150</v>
      </c>
      <c r="K2434" s="12">
        <v>1500</v>
      </c>
      <c r="L2434" s="12">
        <v>15000</v>
      </c>
      <c r="M2434" s="12" t="s">
        <v>1879</v>
      </c>
      <c r="N2434" s="12" t="s">
        <v>2918</v>
      </c>
      <c r="O2434" s="12">
        <v>0</v>
      </c>
      <c r="P2434" s="12" t="s">
        <v>2050</v>
      </c>
      <c r="Q2434" s="7" t="str">
        <f t="shared" si="88"/>
        <v>equipment/2106.png</v>
      </c>
      <c r="R2434" s="1">
        <v>1</v>
      </c>
    </row>
    <row r="2435" spans="1:18" s="12" customFormat="1" ht="14.25" thickBot="1">
      <c r="A2435" s="12">
        <f t="shared" si="87"/>
        <v>50251066</v>
      </c>
      <c r="B2435" s="2">
        <v>0</v>
      </c>
      <c r="C2435" s="12" t="s">
        <v>2061</v>
      </c>
      <c r="D2435" s="12" t="s">
        <v>13</v>
      </c>
      <c r="E2435" s="12">
        <v>6</v>
      </c>
      <c r="F2435" s="12">
        <v>5</v>
      </c>
      <c r="G2435" s="12">
        <v>25</v>
      </c>
      <c r="H2435" s="12" t="s">
        <v>2120</v>
      </c>
      <c r="I2435" s="12">
        <v>56000</v>
      </c>
      <c r="J2435" s="12">
        <v>150</v>
      </c>
      <c r="K2435" s="12">
        <v>1500</v>
      </c>
      <c r="L2435" s="12">
        <v>17500</v>
      </c>
      <c r="M2435" s="12" t="s">
        <v>1880</v>
      </c>
      <c r="N2435" s="12" t="s">
        <v>2918</v>
      </c>
      <c r="O2435" s="12">
        <v>0</v>
      </c>
      <c r="P2435" s="12" t="s">
        <v>2050</v>
      </c>
      <c r="Q2435" s="7" t="str">
        <f t="shared" si="88"/>
        <v>equipment/2101.png</v>
      </c>
      <c r="R2435" s="1">
        <v>1</v>
      </c>
    </row>
    <row r="2436" spans="1:18" s="12" customFormat="1" ht="14.25" thickBot="1">
      <c r="A2436" s="12">
        <f t="shared" si="87"/>
        <v>50252055</v>
      </c>
      <c r="B2436" s="2">
        <v>0</v>
      </c>
      <c r="C2436" s="12" t="s">
        <v>2108</v>
      </c>
      <c r="D2436" s="12" t="s">
        <v>12</v>
      </c>
      <c r="E2436" s="12">
        <v>5</v>
      </c>
      <c r="F2436" s="12">
        <v>5</v>
      </c>
      <c r="G2436" s="12">
        <v>25</v>
      </c>
      <c r="H2436" s="12" t="s">
        <v>2121</v>
      </c>
      <c r="I2436" s="12">
        <v>50000</v>
      </c>
      <c r="J2436" s="12">
        <v>150</v>
      </c>
      <c r="K2436" s="12">
        <v>1500</v>
      </c>
      <c r="L2436" s="12">
        <v>15000</v>
      </c>
      <c r="M2436" s="12" t="s">
        <v>1878</v>
      </c>
      <c r="N2436" s="12" t="s">
        <v>2918</v>
      </c>
      <c r="O2436" s="12">
        <v>0</v>
      </c>
      <c r="P2436" s="12" t="s">
        <v>2050</v>
      </c>
      <c r="Q2436" s="7" t="str">
        <f t="shared" si="88"/>
        <v>equipment/1210.png</v>
      </c>
      <c r="R2436" s="1">
        <v>1</v>
      </c>
    </row>
    <row r="2437" spans="1:18" s="12" customFormat="1" ht="14.25" thickBot="1">
      <c r="A2437" s="12">
        <f t="shared" si="87"/>
        <v>50252056</v>
      </c>
      <c r="B2437" s="2">
        <v>0</v>
      </c>
      <c r="C2437" s="12" t="s">
        <v>2539</v>
      </c>
      <c r="D2437" s="12" t="s">
        <v>12</v>
      </c>
      <c r="E2437" s="12">
        <v>5</v>
      </c>
      <c r="F2437" s="12">
        <v>5</v>
      </c>
      <c r="G2437" s="12">
        <v>25</v>
      </c>
      <c r="H2437" s="12" t="s">
        <v>2121</v>
      </c>
      <c r="I2437" s="12">
        <v>56000</v>
      </c>
      <c r="J2437" s="12">
        <v>150</v>
      </c>
      <c r="K2437" s="12">
        <v>1500</v>
      </c>
      <c r="L2437" s="12">
        <v>17500</v>
      </c>
      <c r="M2437" s="12" t="s">
        <v>2016</v>
      </c>
      <c r="N2437" s="12" t="s">
        <v>2918</v>
      </c>
      <c r="O2437" s="12">
        <v>0</v>
      </c>
      <c r="P2437" s="12" t="s">
        <v>2050</v>
      </c>
      <c r="Q2437" s="7" t="str">
        <f t="shared" si="88"/>
        <v>equipment/1215.png</v>
      </c>
      <c r="R2437" s="1">
        <v>1</v>
      </c>
    </row>
    <row r="2438" spans="1:18" s="12" customFormat="1" ht="14.25" thickBot="1">
      <c r="A2438" s="12">
        <f t="shared" si="87"/>
        <v>50252065</v>
      </c>
      <c r="B2438" s="2">
        <v>0</v>
      </c>
      <c r="C2438" s="12" t="s">
        <v>2109</v>
      </c>
      <c r="D2438" s="12" t="s">
        <v>13</v>
      </c>
      <c r="E2438" s="12">
        <v>6</v>
      </c>
      <c r="F2438" s="12">
        <v>5</v>
      </c>
      <c r="G2438" s="12">
        <v>25</v>
      </c>
      <c r="H2438" s="12" t="s">
        <v>2121</v>
      </c>
      <c r="I2438" s="12">
        <v>50000</v>
      </c>
      <c r="J2438" s="12">
        <v>150</v>
      </c>
      <c r="K2438" s="12">
        <v>1500</v>
      </c>
      <c r="L2438" s="12">
        <v>15000</v>
      </c>
      <c r="M2438" s="12" t="s">
        <v>1881</v>
      </c>
      <c r="N2438" s="12" t="s">
        <v>2918</v>
      </c>
      <c r="O2438" s="12">
        <v>0</v>
      </c>
      <c r="P2438" s="12" t="s">
        <v>2050</v>
      </c>
      <c r="Q2438" s="7" t="str">
        <f t="shared" si="88"/>
        <v>equipment/2206.png</v>
      </c>
      <c r="R2438" s="1">
        <v>1</v>
      </c>
    </row>
    <row r="2439" spans="1:18" s="12" customFormat="1" ht="14.25" thickBot="1">
      <c r="A2439" s="12">
        <f t="shared" si="87"/>
        <v>50252066</v>
      </c>
      <c r="B2439" s="2">
        <v>0</v>
      </c>
      <c r="C2439" s="12" t="s">
        <v>2094</v>
      </c>
      <c r="D2439" s="12" t="s">
        <v>13</v>
      </c>
      <c r="E2439" s="12">
        <v>6</v>
      </c>
      <c r="F2439" s="12">
        <v>5</v>
      </c>
      <c r="G2439" s="12">
        <v>25</v>
      </c>
      <c r="H2439" s="12" t="s">
        <v>2121</v>
      </c>
      <c r="I2439" s="12">
        <v>56000</v>
      </c>
      <c r="J2439" s="12">
        <v>150</v>
      </c>
      <c r="K2439" s="12">
        <v>1500</v>
      </c>
      <c r="L2439" s="12">
        <v>17500</v>
      </c>
      <c r="M2439" s="12" t="s">
        <v>1882</v>
      </c>
      <c r="N2439" s="12" t="s">
        <v>2918</v>
      </c>
      <c r="O2439" s="12">
        <v>0</v>
      </c>
      <c r="P2439" s="12" t="s">
        <v>2050</v>
      </c>
      <c r="Q2439" s="7" t="str">
        <f t="shared" si="88"/>
        <v>equipment/2201.png</v>
      </c>
      <c r="R2439" s="1">
        <v>1</v>
      </c>
    </row>
    <row r="2440" spans="1:18" s="12" customFormat="1" ht="14.25" thickBot="1">
      <c r="A2440" s="12">
        <f t="shared" si="87"/>
        <v>50253055</v>
      </c>
      <c r="B2440" s="2">
        <v>0</v>
      </c>
      <c r="C2440" s="12" t="s">
        <v>2540</v>
      </c>
      <c r="D2440" s="12" t="s">
        <v>12</v>
      </c>
      <c r="E2440" s="12">
        <v>5</v>
      </c>
      <c r="F2440" s="12">
        <v>5</v>
      </c>
      <c r="G2440" s="12">
        <v>25</v>
      </c>
      <c r="H2440" s="12" t="s">
        <v>2122</v>
      </c>
      <c r="I2440" s="12">
        <v>50000</v>
      </c>
      <c r="J2440" s="12">
        <v>150</v>
      </c>
      <c r="K2440" s="12">
        <v>1500</v>
      </c>
      <c r="L2440" s="12">
        <v>15000</v>
      </c>
      <c r="M2440" s="12" t="s">
        <v>1878</v>
      </c>
      <c r="N2440" s="12" t="s">
        <v>2918</v>
      </c>
      <c r="O2440" s="12">
        <v>0</v>
      </c>
      <c r="P2440" s="12" t="s">
        <v>2050</v>
      </c>
      <c r="Q2440" s="7" t="str">
        <f t="shared" si="88"/>
        <v>equipment/1311.png</v>
      </c>
      <c r="R2440" s="1">
        <v>1</v>
      </c>
    </row>
    <row r="2441" spans="1:18" s="12" customFormat="1" ht="14.25" thickBot="1">
      <c r="A2441" s="12">
        <f t="shared" si="87"/>
        <v>50253056</v>
      </c>
      <c r="B2441" s="2">
        <v>0</v>
      </c>
      <c r="C2441" s="12" t="s">
        <v>2541</v>
      </c>
      <c r="D2441" s="12" t="s">
        <v>12</v>
      </c>
      <c r="E2441" s="12">
        <v>5</v>
      </c>
      <c r="F2441" s="12">
        <v>5</v>
      </c>
      <c r="G2441" s="12">
        <v>25</v>
      </c>
      <c r="H2441" s="12" t="s">
        <v>2122</v>
      </c>
      <c r="I2441" s="12">
        <v>56000</v>
      </c>
      <c r="J2441" s="12">
        <v>150</v>
      </c>
      <c r="K2441" s="12">
        <v>1500</v>
      </c>
      <c r="L2441" s="12">
        <v>17500</v>
      </c>
      <c r="M2441" s="12" t="s">
        <v>2016</v>
      </c>
      <c r="N2441" s="12" t="s">
        <v>2918</v>
      </c>
      <c r="O2441" s="12">
        <v>0</v>
      </c>
      <c r="P2441" s="12" t="s">
        <v>2050</v>
      </c>
      <c r="Q2441" s="7" t="str">
        <f t="shared" si="88"/>
        <v>equipment/1312.png</v>
      </c>
      <c r="R2441" s="1">
        <v>1</v>
      </c>
    </row>
    <row r="2442" spans="1:18" s="12" customFormat="1" ht="14.25" thickBot="1">
      <c r="A2442" s="12">
        <f t="shared" si="87"/>
        <v>50253065</v>
      </c>
      <c r="B2442" s="2">
        <v>0</v>
      </c>
      <c r="C2442" s="12" t="s">
        <v>2542</v>
      </c>
      <c r="D2442" s="12" t="s">
        <v>13</v>
      </c>
      <c r="E2442" s="12">
        <v>6</v>
      </c>
      <c r="F2442" s="12">
        <v>5</v>
      </c>
      <c r="G2442" s="12">
        <v>25</v>
      </c>
      <c r="H2442" s="12" t="s">
        <v>2122</v>
      </c>
      <c r="I2442" s="12">
        <v>50000</v>
      </c>
      <c r="J2442" s="12">
        <v>150</v>
      </c>
      <c r="K2442" s="12">
        <v>1500</v>
      </c>
      <c r="L2442" s="12">
        <v>15000</v>
      </c>
      <c r="M2442" s="12" t="s">
        <v>1883</v>
      </c>
      <c r="N2442" s="12" t="s">
        <v>2918</v>
      </c>
      <c r="O2442" s="12">
        <v>0</v>
      </c>
      <c r="P2442" s="12" t="s">
        <v>2050</v>
      </c>
      <c r="Q2442" s="7" t="str">
        <f t="shared" si="88"/>
        <v>equipment/2306.png</v>
      </c>
      <c r="R2442" s="1">
        <v>1</v>
      </c>
    </row>
    <row r="2443" spans="1:18" s="12" customFormat="1" ht="14.25" thickBot="1">
      <c r="A2443" s="12">
        <f t="shared" si="87"/>
        <v>50253066</v>
      </c>
      <c r="B2443" s="2">
        <v>0</v>
      </c>
      <c r="C2443" s="12" t="s">
        <v>2095</v>
      </c>
      <c r="D2443" s="12" t="s">
        <v>13</v>
      </c>
      <c r="E2443" s="12">
        <v>6</v>
      </c>
      <c r="F2443" s="12">
        <v>5</v>
      </c>
      <c r="G2443" s="12">
        <v>25</v>
      </c>
      <c r="H2443" s="12" t="s">
        <v>2122</v>
      </c>
      <c r="I2443" s="12">
        <v>56000</v>
      </c>
      <c r="J2443" s="12">
        <v>150</v>
      </c>
      <c r="K2443" s="12">
        <v>1500</v>
      </c>
      <c r="L2443" s="12">
        <v>17500</v>
      </c>
      <c r="M2443" s="12" t="s">
        <v>1884</v>
      </c>
      <c r="N2443" s="12" t="s">
        <v>2918</v>
      </c>
      <c r="O2443" s="12">
        <v>0</v>
      </c>
      <c r="P2443" s="12" t="s">
        <v>2050</v>
      </c>
      <c r="Q2443" s="7" t="str">
        <f t="shared" si="88"/>
        <v>equipment/2301.png</v>
      </c>
      <c r="R2443" s="1">
        <v>1</v>
      </c>
    </row>
    <row r="2444" spans="1:18" s="12" customFormat="1" ht="14.25" thickBot="1">
      <c r="A2444" s="12">
        <f t="shared" si="87"/>
        <v>50250045</v>
      </c>
      <c r="B2444" s="2">
        <v>0</v>
      </c>
      <c r="C2444" s="12" t="s">
        <v>2083</v>
      </c>
      <c r="D2444" s="12" t="s">
        <v>11</v>
      </c>
      <c r="E2444" s="12">
        <v>4</v>
      </c>
      <c r="F2444" s="12">
        <v>5</v>
      </c>
      <c r="G2444" s="12">
        <v>25</v>
      </c>
      <c r="H2444" s="12">
        <v>0</v>
      </c>
      <c r="I2444" s="12">
        <v>50000</v>
      </c>
      <c r="J2444" s="12">
        <v>150</v>
      </c>
      <c r="K2444" s="12">
        <v>1500</v>
      </c>
      <c r="L2444" s="12">
        <v>15000</v>
      </c>
      <c r="M2444" s="12" t="s">
        <v>1885</v>
      </c>
      <c r="N2444" s="12" t="s">
        <v>2917</v>
      </c>
      <c r="O2444" s="12">
        <v>0</v>
      </c>
      <c r="P2444" s="12" t="s">
        <v>2050</v>
      </c>
      <c r="Q2444" s="7" t="str">
        <f t="shared" si="88"/>
        <v>equipment/5007.png</v>
      </c>
      <c r="R2444" s="1">
        <v>1</v>
      </c>
    </row>
    <row r="2445" spans="1:18" s="12" customFormat="1" ht="14.25" thickBot="1">
      <c r="A2445" s="12">
        <f t="shared" ref="A2445:A2508" si="89">A1521+10000005</f>
        <v>50250046</v>
      </c>
      <c r="B2445" s="2">
        <v>0</v>
      </c>
      <c r="C2445" s="12" t="s">
        <v>2499</v>
      </c>
      <c r="D2445" s="12" t="s">
        <v>11</v>
      </c>
      <c r="E2445" s="12">
        <v>4</v>
      </c>
      <c r="F2445" s="12">
        <v>5</v>
      </c>
      <c r="G2445" s="12">
        <v>25</v>
      </c>
      <c r="H2445" s="12">
        <v>0</v>
      </c>
      <c r="I2445" s="12">
        <v>56000</v>
      </c>
      <c r="J2445" s="12">
        <v>150</v>
      </c>
      <c r="K2445" s="12">
        <v>1500</v>
      </c>
      <c r="L2445" s="12">
        <v>17500</v>
      </c>
      <c r="M2445" s="12" t="s">
        <v>1886</v>
      </c>
      <c r="N2445" s="12" t="s">
        <v>2917</v>
      </c>
      <c r="O2445" s="12">
        <v>0</v>
      </c>
      <c r="P2445" s="12" t="s">
        <v>2050</v>
      </c>
      <c r="Q2445" s="7" t="str">
        <f t="shared" si="88"/>
        <v>equipment/5001.png</v>
      </c>
      <c r="R2445" s="1">
        <v>1</v>
      </c>
    </row>
    <row r="2446" spans="1:18" s="12" customFormat="1" ht="14.25" thickBot="1">
      <c r="A2446" s="12">
        <f t="shared" si="89"/>
        <v>50250075</v>
      </c>
      <c r="B2446" s="2">
        <v>0</v>
      </c>
      <c r="C2446" s="12" t="s">
        <v>2089</v>
      </c>
      <c r="D2446" s="12" t="s">
        <v>14</v>
      </c>
      <c r="E2446" s="12">
        <v>7</v>
      </c>
      <c r="F2446" s="12">
        <v>5</v>
      </c>
      <c r="G2446" s="12">
        <v>25</v>
      </c>
      <c r="H2446" s="12">
        <v>0</v>
      </c>
      <c r="I2446" s="12">
        <v>50000</v>
      </c>
      <c r="J2446" s="12">
        <v>150</v>
      </c>
      <c r="K2446" s="12">
        <v>1500</v>
      </c>
      <c r="L2446" s="12">
        <v>15000</v>
      </c>
      <c r="M2446" s="12" t="s">
        <v>1887</v>
      </c>
      <c r="N2446" s="12" t="s">
        <v>2917</v>
      </c>
      <c r="O2446" s="12">
        <v>0</v>
      </c>
      <c r="P2446" s="12" t="s">
        <v>2050</v>
      </c>
      <c r="Q2446" s="7" t="str">
        <f t="shared" si="88"/>
        <v>equipment/7006.png</v>
      </c>
      <c r="R2446" s="1">
        <v>1</v>
      </c>
    </row>
    <row r="2447" spans="1:18" s="12" customFormat="1" ht="14.25" thickBot="1">
      <c r="A2447" s="12">
        <f t="shared" si="89"/>
        <v>50250076</v>
      </c>
      <c r="B2447" s="2">
        <v>0</v>
      </c>
      <c r="C2447" s="12" t="s">
        <v>2501</v>
      </c>
      <c r="D2447" s="12" t="s">
        <v>14</v>
      </c>
      <c r="E2447" s="12">
        <v>7</v>
      </c>
      <c r="F2447" s="12">
        <v>5</v>
      </c>
      <c r="G2447" s="12">
        <v>25</v>
      </c>
      <c r="H2447" s="12">
        <v>0</v>
      </c>
      <c r="I2447" s="12">
        <v>56000</v>
      </c>
      <c r="J2447" s="12">
        <v>150</v>
      </c>
      <c r="K2447" s="12">
        <v>1500</v>
      </c>
      <c r="L2447" s="12">
        <v>17500</v>
      </c>
      <c r="M2447" s="12" t="s">
        <v>1888</v>
      </c>
      <c r="N2447" s="12" t="s">
        <v>2917</v>
      </c>
      <c r="O2447" s="12">
        <v>0</v>
      </c>
      <c r="P2447" s="12" t="s">
        <v>2050</v>
      </c>
      <c r="Q2447" s="7" t="str">
        <f t="shared" si="88"/>
        <v>equipment/7001.png</v>
      </c>
      <c r="R2447" s="1">
        <v>1</v>
      </c>
    </row>
    <row r="2448" spans="1:18" s="12" customFormat="1" ht="14.25" thickBot="1">
      <c r="A2448" s="12">
        <f t="shared" si="89"/>
        <v>50300015</v>
      </c>
      <c r="B2448" s="2">
        <v>0</v>
      </c>
      <c r="C2448" s="12" t="s">
        <v>2063</v>
      </c>
      <c r="D2448" s="12" t="s">
        <v>8</v>
      </c>
      <c r="E2448" s="12">
        <v>1</v>
      </c>
      <c r="F2448" s="12">
        <v>5</v>
      </c>
      <c r="G2448" s="12">
        <v>30</v>
      </c>
      <c r="H2448" s="12">
        <v>0</v>
      </c>
      <c r="I2448" s="12">
        <v>60000</v>
      </c>
      <c r="J2448" s="12">
        <v>150</v>
      </c>
      <c r="K2448" s="12">
        <v>1500</v>
      </c>
      <c r="L2448" s="12">
        <v>17500</v>
      </c>
      <c r="M2448" s="12" t="s">
        <v>1889</v>
      </c>
      <c r="N2448" s="12" t="s">
        <v>2919</v>
      </c>
      <c r="O2448" s="12">
        <v>0</v>
      </c>
      <c r="P2448" s="12" t="s">
        <v>2051</v>
      </c>
      <c r="Q2448" s="7" t="str">
        <f t="shared" si="88"/>
        <v>equipment/3004.png</v>
      </c>
      <c r="R2448" s="1">
        <v>1</v>
      </c>
    </row>
    <row r="2449" spans="1:18" s="12" customFormat="1" ht="14.25" thickBot="1">
      <c r="A2449" s="12">
        <f t="shared" si="89"/>
        <v>50300025</v>
      </c>
      <c r="B2449" s="2">
        <v>0</v>
      </c>
      <c r="C2449" s="12" t="s">
        <v>2543</v>
      </c>
      <c r="D2449" s="12" t="s">
        <v>9</v>
      </c>
      <c r="E2449" s="12">
        <v>2</v>
      </c>
      <c r="F2449" s="12">
        <v>5</v>
      </c>
      <c r="G2449" s="12">
        <v>30</v>
      </c>
      <c r="H2449" s="12">
        <v>0</v>
      </c>
      <c r="I2449" s="12">
        <v>60000</v>
      </c>
      <c r="J2449" s="12">
        <v>150</v>
      </c>
      <c r="K2449" s="12">
        <v>1500</v>
      </c>
      <c r="L2449" s="12">
        <v>17500</v>
      </c>
      <c r="M2449" s="12" t="s">
        <v>1890</v>
      </c>
      <c r="N2449" s="12" t="s">
        <v>2919</v>
      </c>
      <c r="O2449" s="12">
        <v>0</v>
      </c>
      <c r="P2449" s="12" t="s">
        <v>2051</v>
      </c>
      <c r="Q2449" s="7" t="str">
        <f t="shared" si="88"/>
        <v>equipment/14005.png</v>
      </c>
      <c r="R2449" s="1">
        <v>1</v>
      </c>
    </row>
    <row r="2450" spans="1:18" s="12" customFormat="1" ht="14.25" thickBot="1">
      <c r="A2450" s="12">
        <f t="shared" si="89"/>
        <v>50300035</v>
      </c>
      <c r="B2450" s="2">
        <v>0</v>
      </c>
      <c r="C2450" s="12" t="s">
        <v>2544</v>
      </c>
      <c r="D2450" s="12" t="s">
        <v>10</v>
      </c>
      <c r="E2450" s="12">
        <v>3</v>
      </c>
      <c r="F2450" s="12">
        <v>5</v>
      </c>
      <c r="G2450" s="12">
        <v>30</v>
      </c>
      <c r="H2450" s="12">
        <v>0</v>
      </c>
      <c r="I2450" s="12">
        <v>60000</v>
      </c>
      <c r="J2450" s="12">
        <v>150</v>
      </c>
      <c r="K2450" s="12">
        <v>1500</v>
      </c>
      <c r="L2450" s="12">
        <v>17500</v>
      </c>
      <c r="M2450" s="12" t="s">
        <v>2473</v>
      </c>
      <c r="N2450" s="12" t="s">
        <v>2919</v>
      </c>
      <c r="O2450" s="12">
        <v>0</v>
      </c>
      <c r="P2450" s="12" t="s">
        <v>2051</v>
      </c>
      <c r="Q2450" s="7" t="str">
        <f t="shared" si="88"/>
        <v>equipment/6002.png</v>
      </c>
      <c r="R2450" s="1">
        <v>1</v>
      </c>
    </row>
    <row r="2451" spans="1:18" s="12" customFormat="1" ht="14.25" thickBot="1">
      <c r="A2451" s="12">
        <f t="shared" si="89"/>
        <v>50300085</v>
      </c>
      <c r="B2451" s="2">
        <v>0</v>
      </c>
      <c r="C2451" s="12" t="s">
        <v>2069</v>
      </c>
      <c r="D2451" s="12" t="s">
        <v>15</v>
      </c>
      <c r="E2451" s="12">
        <v>8</v>
      </c>
      <c r="F2451" s="12">
        <v>5</v>
      </c>
      <c r="G2451" s="12">
        <v>30</v>
      </c>
      <c r="H2451" s="12">
        <v>0</v>
      </c>
      <c r="I2451" s="12">
        <v>60000</v>
      </c>
      <c r="J2451" s="12">
        <v>150</v>
      </c>
      <c r="K2451" s="12">
        <v>1500</v>
      </c>
      <c r="L2451" s="12">
        <v>17500</v>
      </c>
      <c r="M2451" s="12" t="s">
        <v>1891</v>
      </c>
      <c r="N2451" s="12" t="s">
        <v>2919</v>
      </c>
      <c r="O2451" s="12">
        <v>0</v>
      </c>
      <c r="P2451" s="12" t="s">
        <v>2051</v>
      </c>
      <c r="Q2451" s="7" t="str">
        <f t="shared" si="88"/>
        <v>equipment/8005.png</v>
      </c>
      <c r="R2451" s="1">
        <v>1</v>
      </c>
    </row>
    <row r="2452" spans="1:18" s="12" customFormat="1" ht="14.25" thickBot="1">
      <c r="A2452" s="12">
        <f t="shared" si="89"/>
        <v>50300095</v>
      </c>
      <c r="B2452" s="2">
        <v>0</v>
      </c>
      <c r="C2452" s="12" t="s">
        <v>2073</v>
      </c>
      <c r="D2452" s="12" t="s">
        <v>16</v>
      </c>
      <c r="E2452" s="12">
        <v>9</v>
      </c>
      <c r="F2452" s="12">
        <v>5</v>
      </c>
      <c r="G2452" s="12">
        <v>30</v>
      </c>
      <c r="H2452" s="12">
        <v>0</v>
      </c>
      <c r="I2452" s="12">
        <v>60000</v>
      </c>
      <c r="J2452" s="12">
        <v>150</v>
      </c>
      <c r="K2452" s="12">
        <v>1500</v>
      </c>
      <c r="L2452" s="12">
        <v>17500</v>
      </c>
      <c r="M2452" s="12" t="s">
        <v>1892</v>
      </c>
      <c r="N2452" s="12" t="s">
        <v>2919</v>
      </c>
      <c r="O2452" s="12">
        <v>0</v>
      </c>
      <c r="P2452" s="12" t="s">
        <v>2051</v>
      </c>
      <c r="Q2452" s="7" t="str">
        <f t="shared" si="88"/>
        <v>equipment/10005.png</v>
      </c>
      <c r="R2452" s="1">
        <v>1</v>
      </c>
    </row>
    <row r="2453" spans="1:18" s="12" customFormat="1" ht="14.25" thickBot="1">
      <c r="A2453" s="12">
        <f t="shared" si="89"/>
        <v>50300105</v>
      </c>
      <c r="B2453" s="2">
        <v>0</v>
      </c>
      <c r="C2453" s="12" t="s">
        <v>2078</v>
      </c>
      <c r="D2453" s="12" t="s">
        <v>17</v>
      </c>
      <c r="E2453" s="12">
        <v>10</v>
      </c>
      <c r="F2453" s="12">
        <v>5</v>
      </c>
      <c r="G2453" s="12">
        <v>30</v>
      </c>
      <c r="H2453" s="12">
        <v>0</v>
      </c>
      <c r="I2453" s="12">
        <v>60000</v>
      </c>
      <c r="J2453" s="12">
        <v>150</v>
      </c>
      <c r="K2453" s="12">
        <v>1500</v>
      </c>
      <c r="L2453" s="12">
        <v>17500</v>
      </c>
      <c r="M2453" s="12" t="s">
        <v>1893</v>
      </c>
      <c r="N2453" s="12" t="s">
        <v>2919</v>
      </c>
      <c r="O2453" s="12">
        <v>0</v>
      </c>
      <c r="P2453" s="12" t="s">
        <v>2051</v>
      </c>
      <c r="Q2453" s="7" t="str">
        <f t="shared" ref="Q2453:Q2516" si="90">Q1991</f>
        <v>equipment/12005.png</v>
      </c>
      <c r="R2453" s="1">
        <v>1</v>
      </c>
    </row>
    <row r="2454" spans="1:18" s="12" customFormat="1" ht="14.25" thickBot="1">
      <c r="A2454" s="12">
        <f t="shared" si="89"/>
        <v>50301055</v>
      </c>
      <c r="B2454" s="2">
        <v>0</v>
      </c>
      <c r="C2454" s="12" t="s">
        <v>2545</v>
      </c>
      <c r="D2454" s="12" t="s">
        <v>12</v>
      </c>
      <c r="E2454" s="12">
        <v>5</v>
      </c>
      <c r="F2454" s="12">
        <v>5</v>
      </c>
      <c r="G2454" s="12">
        <v>30</v>
      </c>
      <c r="H2454" s="12" t="s">
        <v>2120</v>
      </c>
      <c r="I2454" s="12">
        <v>60000</v>
      </c>
      <c r="J2454" s="12">
        <v>150</v>
      </c>
      <c r="K2454" s="12">
        <v>1500</v>
      </c>
      <c r="L2454" s="12">
        <v>17500</v>
      </c>
      <c r="M2454" s="12" t="s">
        <v>1894</v>
      </c>
      <c r="N2454" s="12" t="s">
        <v>2920</v>
      </c>
      <c r="O2454" s="12">
        <v>0</v>
      </c>
      <c r="P2454" s="12" t="s">
        <v>2051</v>
      </c>
      <c r="Q2454" s="7" t="str">
        <f t="shared" si="90"/>
        <v>equipment/1112.png</v>
      </c>
      <c r="R2454" s="1">
        <v>1</v>
      </c>
    </row>
    <row r="2455" spans="1:18" s="12" customFormat="1" ht="14.25" thickBot="1">
      <c r="A2455" s="12">
        <f t="shared" si="89"/>
        <v>50301056</v>
      </c>
      <c r="B2455" s="2">
        <v>0</v>
      </c>
      <c r="C2455" s="12" t="s">
        <v>2110</v>
      </c>
      <c r="D2455" s="12" t="s">
        <v>12</v>
      </c>
      <c r="E2455" s="12">
        <v>5</v>
      </c>
      <c r="F2455" s="12">
        <v>5</v>
      </c>
      <c r="G2455" s="12">
        <v>30</v>
      </c>
      <c r="H2455" s="12" t="s">
        <v>2120</v>
      </c>
      <c r="I2455" s="12">
        <v>66000</v>
      </c>
      <c r="J2455" s="12">
        <v>150</v>
      </c>
      <c r="K2455" s="12">
        <v>1500</v>
      </c>
      <c r="L2455" s="12">
        <v>20000</v>
      </c>
      <c r="M2455" s="12" t="s">
        <v>2017</v>
      </c>
      <c r="N2455" s="12" t="s">
        <v>2920</v>
      </c>
      <c r="O2455" s="12">
        <v>0</v>
      </c>
      <c r="P2455" s="12" t="s">
        <v>2051</v>
      </c>
      <c r="Q2455" s="7" t="str">
        <f t="shared" si="90"/>
        <v>equipment/1113.png</v>
      </c>
      <c r="R2455" s="1">
        <v>1</v>
      </c>
    </row>
    <row r="2456" spans="1:18" s="12" customFormat="1" ht="14.25" thickBot="1">
      <c r="A2456" s="12">
        <f t="shared" si="89"/>
        <v>50301065</v>
      </c>
      <c r="B2456" s="2">
        <v>0</v>
      </c>
      <c r="C2456" s="12" t="s">
        <v>2111</v>
      </c>
      <c r="D2456" s="12" t="s">
        <v>13</v>
      </c>
      <c r="E2456" s="12">
        <v>6</v>
      </c>
      <c r="F2456" s="12">
        <v>5</v>
      </c>
      <c r="G2456" s="12">
        <v>30</v>
      </c>
      <c r="H2456" s="12" t="s">
        <v>2120</v>
      </c>
      <c r="I2456" s="12">
        <v>60000</v>
      </c>
      <c r="J2456" s="12">
        <v>150</v>
      </c>
      <c r="K2456" s="12">
        <v>1500</v>
      </c>
      <c r="L2456" s="12">
        <v>17500</v>
      </c>
      <c r="M2456" s="12" t="s">
        <v>1895</v>
      </c>
      <c r="N2456" s="12" t="s">
        <v>2920</v>
      </c>
      <c r="O2456" s="12">
        <v>0</v>
      </c>
      <c r="P2456" s="12" t="s">
        <v>2051</v>
      </c>
      <c r="Q2456" s="7" t="str">
        <f t="shared" si="90"/>
        <v>equipment/2107.png</v>
      </c>
      <c r="R2456" s="1">
        <v>1</v>
      </c>
    </row>
    <row r="2457" spans="1:18" s="12" customFormat="1" ht="14.25" thickBot="1">
      <c r="A2457" s="12">
        <f t="shared" si="89"/>
        <v>50301066</v>
      </c>
      <c r="B2457" s="2">
        <v>0</v>
      </c>
      <c r="C2457" s="12" t="s">
        <v>2112</v>
      </c>
      <c r="D2457" s="12" t="s">
        <v>13</v>
      </c>
      <c r="E2457" s="12">
        <v>6</v>
      </c>
      <c r="F2457" s="12">
        <v>5</v>
      </c>
      <c r="G2457" s="12">
        <v>30</v>
      </c>
      <c r="H2457" s="12" t="s">
        <v>2120</v>
      </c>
      <c r="I2457" s="12">
        <v>66000</v>
      </c>
      <c r="J2457" s="12">
        <v>150</v>
      </c>
      <c r="K2457" s="12">
        <v>1500</v>
      </c>
      <c r="L2457" s="12">
        <v>20000</v>
      </c>
      <c r="M2457" s="12" t="s">
        <v>1896</v>
      </c>
      <c r="N2457" s="12" t="s">
        <v>2920</v>
      </c>
      <c r="O2457" s="12">
        <v>0</v>
      </c>
      <c r="P2457" s="12" t="s">
        <v>2051</v>
      </c>
      <c r="Q2457" s="7" t="str">
        <f t="shared" si="90"/>
        <v>equipment/2108.png</v>
      </c>
      <c r="R2457" s="1">
        <v>1</v>
      </c>
    </row>
    <row r="2458" spans="1:18" s="12" customFormat="1" ht="14.25" thickBot="1">
      <c r="A2458" s="12">
        <f t="shared" si="89"/>
        <v>50302055</v>
      </c>
      <c r="B2458" s="2">
        <v>0</v>
      </c>
      <c r="C2458" s="12" t="s">
        <v>2114</v>
      </c>
      <c r="D2458" s="12" t="s">
        <v>12</v>
      </c>
      <c r="E2458" s="12">
        <v>5</v>
      </c>
      <c r="F2458" s="12">
        <v>5</v>
      </c>
      <c r="G2458" s="12">
        <v>30</v>
      </c>
      <c r="H2458" s="12" t="s">
        <v>2121</v>
      </c>
      <c r="I2458" s="12">
        <v>60000</v>
      </c>
      <c r="J2458" s="12">
        <v>150</v>
      </c>
      <c r="K2458" s="12">
        <v>1500</v>
      </c>
      <c r="L2458" s="12">
        <v>17500</v>
      </c>
      <c r="M2458" s="12" t="s">
        <v>1894</v>
      </c>
      <c r="N2458" s="12" t="s">
        <v>2920</v>
      </c>
      <c r="O2458" s="12">
        <v>0</v>
      </c>
      <c r="P2458" s="12" t="s">
        <v>2051</v>
      </c>
      <c r="Q2458" s="7" t="str">
        <f t="shared" si="90"/>
        <v>equipment/1211.png</v>
      </c>
      <c r="R2458" s="1">
        <v>1</v>
      </c>
    </row>
    <row r="2459" spans="1:18" s="12" customFormat="1" ht="14.25" thickBot="1">
      <c r="A2459" s="12">
        <f t="shared" si="89"/>
        <v>50302056</v>
      </c>
      <c r="B2459" s="2">
        <v>0</v>
      </c>
      <c r="C2459" s="12" t="s">
        <v>2113</v>
      </c>
      <c r="D2459" s="12" t="s">
        <v>12</v>
      </c>
      <c r="E2459" s="12">
        <v>5</v>
      </c>
      <c r="F2459" s="12">
        <v>5</v>
      </c>
      <c r="G2459" s="12">
        <v>30</v>
      </c>
      <c r="H2459" s="12" t="s">
        <v>2121</v>
      </c>
      <c r="I2459" s="12">
        <v>66000</v>
      </c>
      <c r="J2459" s="12">
        <v>150</v>
      </c>
      <c r="K2459" s="12">
        <v>1500</v>
      </c>
      <c r="L2459" s="12">
        <v>20000</v>
      </c>
      <c r="M2459" s="12" t="s">
        <v>2017</v>
      </c>
      <c r="N2459" s="12" t="s">
        <v>2920</v>
      </c>
      <c r="O2459" s="12">
        <v>0</v>
      </c>
      <c r="P2459" s="12" t="s">
        <v>2051</v>
      </c>
      <c r="Q2459" s="7" t="str">
        <f t="shared" si="90"/>
        <v>equipment/1212.png</v>
      </c>
      <c r="R2459" s="1">
        <v>1</v>
      </c>
    </row>
    <row r="2460" spans="1:18" s="12" customFormat="1" ht="14.25" thickBot="1">
      <c r="A2460" s="12">
        <f t="shared" si="89"/>
        <v>50302065</v>
      </c>
      <c r="B2460" s="2">
        <v>0</v>
      </c>
      <c r="C2460" s="12" t="s">
        <v>2115</v>
      </c>
      <c r="D2460" s="12" t="s">
        <v>13</v>
      </c>
      <c r="E2460" s="12">
        <v>6</v>
      </c>
      <c r="F2460" s="12">
        <v>5</v>
      </c>
      <c r="G2460" s="12">
        <v>30</v>
      </c>
      <c r="H2460" s="12" t="s">
        <v>2121</v>
      </c>
      <c r="I2460" s="12">
        <v>60000</v>
      </c>
      <c r="J2460" s="12">
        <v>150</v>
      </c>
      <c r="K2460" s="12">
        <v>1500</v>
      </c>
      <c r="L2460" s="12">
        <v>17500</v>
      </c>
      <c r="M2460" s="12" t="s">
        <v>1897</v>
      </c>
      <c r="N2460" s="12" t="s">
        <v>2920</v>
      </c>
      <c r="O2460" s="12">
        <v>0</v>
      </c>
      <c r="P2460" s="12" t="s">
        <v>2051</v>
      </c>
      <c r="Q2460" s="7" t="str">
        <f t="shared" si="90"/>
        <v>equipment/2207.png</v>
      </c>
      <c r="R2460" s="1">
        <v>1</v>
      </c>
    </row>
    <row r="2461" spans="1:18" s="12" customFormat="1" ht="14.25" thickBot="1">
      <c r="A2461" s="12">
        <f t="shared" si="89"/>
        <v>50302066</v>
      </c>
      <c r="B2461" s="2">
        <v>0</v>
      </c>
      <c r="C2461" s="12" t="s">
        <v>2116</v>
      </c>
      <c r="D2461" s="12" t="s">
        <v>13</v>
      </c>
      <c r="E2461" s="12">
        <v>6</v>
      </c>
      <c r="F2461" s="12">
        <v>5</v>
      </c>
      <c r="G2461" s="12">
        <v>30</v>
      </c>
      <c r="H2461" s="12" t="s">
        <v>2121</v>
      </c>
      <c r="I2461" s="12">
        <v>66000</v>
      </c>
      <c r="J2461" s="12">
        <v>150</v>
      </c>
      <c r="K2461" s="12">
        <v>1500</v>
      </c>
      <c r="L2461" s="12">
        <v>20000</v>
      </c>
      <c r="M2461" s="12" t="s">
        <v>1898</v>
      </c>
      <c r="N2461" s="12" t="s">
        <v>2920</v>
      </c>
      <c r="O2461" s="12">
        <v>0</v>
      </c>
      <c r="P2461" s="12" t="s">
        <v>2051</v>
      </c>
      <c r="Q2461" s="7" t="str">
        <f t="shared" si="90"/>
        <v>equipment/2208.png</v>
      </c>
      <c r="R2461" s="1">
        <v>1</v>
      </c>
    </row>
    <row r="2462" spans="1:18" s="12" customFormat="1" ht="14.25" thickBot="1">
      <c r="A2462" s="12">
        <f t="shared" si="89"/>
        <v>50303055</v>
      </c>
      <c r="B2462" s="2">
        <v>0</v>
      </c>
      <c r="C2462" s="12" t="s">
        <v>2541</v>
      </c>
      <c r="D2462" s="12" t="s">
        <v>12</v>
      </c>
      <c r="E2462" s="12">
        <v>5</v>
      </c>
      <c r="F2462" s="12">
        <v>5</v>
      </c>
      <c r="G2462" s="12">
        <v>30</v>
      </c>
      <c r="H2462" s="12" t="s">
        <v>2122</v>
      </c>
      <c r="I2462" s="12">
        <v>60000</v>
      </c>
      <c r="J2462" s="12">
        <v>150</v>
      </c>
      <c r="K2462" s="12">
        <v>1500</v>
      </c>
      <c r="L2462" s="12">
        <v>17500</v>
      </c>
      <c r="M2462" s="12" t="s">
        <v>1894</v>
      </c>
      <c r="N2462" s="12" t="s">
        <v>2920</v>
      </c>
      <c r="O2462" s="12">
        <v>0</v>
      </c>
      <c r="P2462" s="12" t="s">
        <v>2051</v>
      </c>
      <c r="Q2462" s="7" t="str">
        <f t="shared" si="90"/>
        <v>equipment/1312.png</v>
      </c>
      <c r="R2462" s="1">
        <v>1</v>
      </c>
    </row>
    <row r="2463" spans="1:18" s="12" customFormat="1" ht="14.25" thickBot="1">
      <c r="A2463" s="12">
        <f t="shared" si="89"/>
        <v>50303056</v>
      </c>
      <c r="B2463" s="2">
        <v>0</v>
      </c>
      <c r="C2463" s="12" t="s">
        <v>2546</v>
      </c>
      <c r="D2463" s="12" t="s">
        <v>12</v>
      </c>
      <c r="E2463" s="12">
        <v>5</v>
      </c>
      <c r="F2463" s="12">
        <v>5</v>
      </c>
      <c r="G2463" s="12">
        <v>30</v>
      </c>
      <c r="H2463" s="12" t="s">
        <v>2122</v>
      </c>
      <c r="I2463" s="12">
        <v>66000</v>
      </c>
      <c r="J2463" s="12">
        <v>150</v>
      </c>
      <c r="K2463" s="12">
        <v>1500</v>
      </c>
      <c r="L2463" s="12">
        <v>20000</v>
      </c>
      <c r="M2463" s="12" t="s">
        <v>2017</v>
      </c>
      <c r="N2463" s="12" t="s">
        <v>2920</v>
      </c>
      <c r="O2463" s="12">
        <v>0</v>
      </c>
      <c r="P2463" s="12" t="s">
        <v>2051</v>
      </c>
      <c r="Q2463" s="7" t="str">
        <f t="shared" si="90"/>
        <v>equipment/1313.png</v>
      </c>
      <c r="R2463" s="1">
        <v>1</v>
      </c>
    </row>
    <row r="2464" spans="1:18" s="12" customFormat="1" ht="14.25" thickBot="1">
      <c r="A2464" s="12">
        <f t="shared" si="89"/>
        <v>50303065</v>
      </c>
      <c r="B2464" s="2">
        <v>0</v>
      </c>
      <c r="C2464" s="12" t="s">
        <v>2547</v>
      </c>
      <c r="D2464" s="12" t="s">
        <v>13</v>
      </c>
      <c r="E2464" s="12">
        <v>6</v>
      </c>
      <c r="F2464" s="12">
        <v>5</v>
      </c>
      <c r="G2464" s="12">
        <v>30</v>
      </c>
      <c r="H2464" s="12" t="s">
        <v>2122</v>
      </c>
      <c r="I2464" s="12">
        <v>60000</v>
      </c>
      <c r="J2464" s="12">
        <v>150</v>
      </c>
      <c r="K2464" s="12">
        <v>1500</v>
      </c>
      <c r="L2464" s="12">
        <v>17500</v>
      </c>
      <c r="M2464" s="12" t="s">
        <v>1899</v>
      </c>
      <c r="N2464" s="12" t="s">
        <v>2920</v>
      </c>
      <c r="O2464" s="12">
        <v>0</v>
      </c>
      <c r="P2464" s="12" t="s">
        <v>2051</v>
      </c>
      <c r="Q2464" s="7" t="str">
        <f t="shared" si="90"/>
        <v>equipment/2307.png</v>
      </c>
      <c r="R2464" s="1">
        <v>1</v>
      </c>
    </row>
    <row r="2465" spans="1:18" s="12" customFormat="1" ht="14.25" thickBot="1">
      <c r="A2465" s="12">
        <f t="shared" si="89"/>
        <v>50303066</v>
      </c>
      <c r="B2465" s="2">
        <v>0</v>
      </c>
      <c r="C2465" s="12" t="s">
        <v>2548</v>
      </c>
      <c r="D2465" s="12" t="s">
        <v>13</v>
      </c>
      <c r="E2465" s="12">
        <v>6</v>
      </c>
      <c r="F2465" s="12">
        <v>5</v>
      </c>
      <c r="G2465" s="12">
        <v>30</v>
      </c>
      <c r="H2465" s="12" t="s">
        <v>2122</v>
      </c>
      <c r="I2465" s="12">
        <v>66000</v>
      </c>
      <c r="J2465" s="12">
        <v>150</v>
      </c>
      <c r="K2465" s="12">
        <v>1500</v>
      </c>
      <c r="L2465" s="12">
        <v>20000</v>
      </c>
      <c r="M2465" s="12" t="s">
        <v>1900</v>
      </c>
      <c r="N2465" s="12" t="s">
        <v>2920</v>
      </c>
      <c r="O2465" s="12">
        <v>0</v>
      </c>
      <c r="P2465" s="12" t="s">
        <v>2051</v>
      </c>
      <c r="Q2465" s="7" t="str">
        <f t="shared" si="90"/>
        <v>equipment/2308.png</v>
      </c>
      <c r="R2465" s="1">
        <v>1</v>
      </c>
    </row>
    <row r="2466" spans="1:18" s="12" customFormat="1" ht="14.25" thickBot="1">
      <c r="A2466" s="12">
        <f t="shared" si="89"/>
        <v>50300045</v>
      </c>
      <c r="B2466" s="2">
        <v>0</v>
      </c>
      <c r="C2466" s="12" t="s">
        <v>2084</v>
      </c>
      <c r="D2466" s="12" t="s">
        <v>11</v>
      </c>
      <c r="E2466" s="12">
        <v>4</v>
      </c>
      <c r="F2466" s="12">
        <v>5</v>
      </c>
      <c r="G2466" s="12">
        <v>30</v>
      </c>
      <c r="H2466" s="12">
        <v>0</v>
      </c>
      <c r="I2466" s="12">
        <v>60000</v>
      </c>
      <c r="J2466" s="12">
        <v>150</v>
      </c>
      <c r="K2466" s="12">
        <v>1500</v>
      </c>
      <c r="L2466" s="12">
        <v>17500</v>
      </c>
      <c r="M2466" s="12" t="s">
        <v>1901</v>
      </c>
      <c r="N2466" s="12" t="s">
        <v>2919</v>
      </c>
      <c r="O2466" s="12">
        <v>0</v>
      </c>
      <c r="P2466" s="12" t="s">
        <v>2051</v>
      </c>
      <c r="Q2466" s="7" t="str">
        <f t="shared" si="90"/>
        <v>equipment/5008.png</v>
      </c>
      <c r="R2466" s="1">
        <v>1</v>
      </c>
    </row>
    <row r="2467" spans="1:18" s="12" customFormat="1" ht="14.25" thickBot="1">
      <c r="A2467" s="12">
        <f>A1543+10000005</f>
        <v>50300046</v>
      </c>
      <c r="B2467" s="2">
        <v>0</v>
      </c>
      <c r="C2467" s="12" t="s">
        <v>2549</v>
      </c>
      <c r="D2467" s="12" t="s">
        <v>11</v>
      </c>
      <c r="E2467" s="12">
        <v>4</v>
      </c>
      <c r="F2467" s="12">
        <v>5</v>
      </c>
      <c r="G2467" s="12">
        <v>30</v>
      </c>
      <c r="H2467" s="12">
        <v>0</v>
      </c>
      <c r="I2467" s="12">
        <v>66000</v>
      </c>
      <c r="J2467" s="12">
        <v>150</v>
      </c>
      <c r="K2467" s="12">
        <v>1500</v>
      </c>
      <c r="L2467" s="12">
        <v>20000</v>
      </c>
      <c r="M2467" s="12" t="s">
        <v>1902</v>
      </c>
      <c r="N2467" s="12" t="s">
        <v>2919</v>
      </c>
      <c r="O2467" s="12">
        <v>0</v>
      </c>
      <c r="P2467" s="12" t="s">
        <v>2051</v>
      </c>
      <c r="Q2467" s="7" t="str">
        <f t="shared" si="90"/>
        <v>equipment/5009.png</v>
      </c>
      <c r="R2467" s="1">
        <v>1</v>
      </c>
    </row>
    <row r="2468" spans="1:18" s="12" customFormat="1" ht="14.25" thickBot="1">
      <c r="A2468" s="12">
        <f t="shared" si="89"/>
        <v>50300075</v>
      </c>
      <c r="B2468" s="2">
        <v>0</v>
      </c>
      <c r="C2468" s="12" t="s">
        <v>2090</v>
      </c>
      <c r="D2468" s="12" t="s">
        <v>14</v>
      </c>
      <c r="E2468" s="12">
        <v>7</v>
      </c>
      <c r="F2468" s="12">
        <v>5</v>
      </c>
      <c r="G2468" s="12">
        <v>30</v>
      </c>
      <c r="H2468" s="12">
        <v>0</v>
      </c>
      <c r="I2468" s="12">
        <v>60000</v>
      </c>
      <c r="J2468" s="12">
        <v>150</v>
      </c>
      <c r="K2468" s="12">
        <v>1500</v>
      </c>
      <c r="L2468" s="12">
        <v>17500</v>
      </c>
      <c r="M2468" s="12" t="s">
        <v>1901</v>
      </c>
      <c r="N2468" s="12" t="s">
        <v>2919</v>
      </c>
      <c r="O2468" s="12">
        <v>0</v>
      </c>
      <c r="P2468" s="12" t="s">
        <v>2051</v>
      </c>
      <c r="Q2468" s="7" t="str">
        <f t="shared" si="90"/>
        <v>equipment/7007.png</v>
      </c>
      <c r="R2468" s="1">
        <v>1</v>
      </c>
    </row>
    <row r="2469" spans="1:18" s="12" customFormat="1" ht="14.25" thickBot="1">
      <c r="A2469" s="12">
        <f t="shared" si="89"/>
        <v>50300076</v>
      </c>
      <c r="B2469" s="2">
        <v>0</v>
      </c>
      <c r="C2469" s="12" t="s">
        <v>2550</v>
      </c>
      <c r="D2469" s="12" t="s">
        <v>14</v>
      </c>
      <c r="E2469" s="12">
        <v>7</v>
      </c>
      <c r="F2469" s="12">
        <v>5</v>
      </c>
      <c r="G2469" s="12">
        <v>30</v>
      </c>
      <c r="H2469" s="12">
        <v>0</v>
      </c>
      <c r="I2469" s="12">
        <v>66000</v>
      </c>
      <c r="J2469" s="12">
        <v>150</v>
      </c>
      <c r="K2469" s="12">
        <v>1500</v>
      </c>
      <c r="L2469" s="12">
        <v>20000</v>
      </c>
      <c r="M2469" s="12" t="s">
        <v>1902</v>
      </c>
      <c r="N2469" s="12" t="s">
        <v>2919</v>
      </c>
      <c r="O2469" s="12">
        <v>0</v>
      </c>
      <c r="P2469" s="12" t="s">
        <v>2051</v>
      </c>
      <c r="Q2469" s="7" t="str">
        <f t="shared" si="90"/>
        <v>equipment/7008.png</v>
      </c>
      <c r="R2469" s="1">
        <v>1</v>
      </c>
    </row>
    <row r="2470" spans="1:18" s="12" customFormat="1" ht="14.25" thickBot="1">
      <c r="A2470" s="12">
        <f t="shared" si="89"/>
        <v>50350015</v>
      </c>
      <c r="B2470" s="2">
        <v>0</v>
      </c>
      <c r="C2470" s="12" t="s">
        <v>2064</v>
      </c>
      <c r="D2470" s="12" t="s">
        <v>8</v>
      </c>
      <c r="E2470" s="12">
        <v>1</v>
      </c>
      <c r="F2470" s="12">
        <v>5</v>
      </c>
      <c r="G2470" s="12">
        <v>35</v>
      </c>
      <c r="H2470" s="12">
        <v>0</v>
      </c>
      <c r="I2470" s="12">
        <v>70000</v>
      </c>
      <c r="J2470" s="12">
        <v>150</v>
      </c>
      <c r="K2470" s="12">
        <v>1500</v>
      </c>
      <c r="L2470" s="12">
        <v>20000</v>
      </c>
      <c r="M2470" s="12" t="s">
        <v>1903</v>
      </c>
      <c r="N2470" s="12" t="s">
        <v>2921</v>
      </c>
      <c r="O2470" s="12">
        <v>0</v>
      </c>
      <c r="P2470" s="12" t="s">
        <v>2052</v>
      </c>
      <c r="Q2470" s="7" t="str">
        <f t="shared" si="90"/>
        <v>equipment/3006.png</v>
      </c>
      <c r="R2470" s="1">
        <v>1</v>
      </c>
    </row>
    <row r="2471" spans="1:18" s="12" customFormat="1" ht="14.25" thickBot="1">
      <c r="A2471" s="12">
        <f t="shared" si="89"/>
        <v>50350025</v>
      </c>
      <c r="B2471" s="2">
        <v>0</v>
      </c>
      <c r="C2471" s="12" t="s">
        <v>2551</v>
      </c>
      <c r="D2471" s="12" t="s">
        <v>9</v>
      </c>
      <c r="E2471" s="12">
        <v>2</v>
      </c>
      <c r="F2471" s="12">
        <v>5</v>
      </c>
      <c r="G2471" s="12">
        <v>35</v>
      </c>
      <c r="H2471" s="12">
        <v>0</v>
      </c>
      <c r="I2471" s="12">
        <v>70000</v>
      </c>
      <c r="J2471" s="12">
        <v>150</v>
      </c>
      <c r="K2471" s="12">
        <v>1500</v>
      </c>
      <c r="L2471" s="12">
        <v>20000</v>
      </c>
      <c r="M2471" s="12" t="s">
        <v>1904</v>
      </c>
      <c r="N2471" s="12" t="s">
        <v>2921</v>
      </c>
      <c r="O2471" s="12">
        <v>0</v>
      </c>
      <c r="P2471" s="12" t="s">
        <v>2052</v>
      </c>
      <c r="Q2471" s="7" t="str">
        <f t="shared" si="90"/>
        <v>equipment/14006.png</v>
      </c>
      <c r="R2471" s="1">
        <v>1</v>
      </c>
    </row>
    <row r="2472" spans="1:18" s="12" customFormat="1" ht="14.25" thickBot="1">
      <c r="A2472" s="12">
        <f t="shared" si="89"/>
        <v>50350035</v>
      </c>
      <c r="B2472" s="2">
        <v>0</v>
      </c>
      <c r="C2472" s="12" t="s">
        <v>2552</v>
      </c>
      <c r="D2472" s="12" t="s">
        <v>10</v>
      </c>
      <c r="E2472" s="12">
        <v>3</v>
      </c>
      <c r="F2472" s="12">
        <v>5</v>
      </c>
      <c r="G2472" s="12">
        <v>35</v>
      </c>
      <c r="H2472" s="12">
        <v>0</v>
      </c>
      <c r="I2472" s="12">
        <v>70000</v>
      </c>
      <c r="J2472" s="12">
        <v>150</v>
      </c>
      <c r="K2472" s="12">
        <v>1500</v>
      </c>
      <c r="L2472" s="12">
        <v>20000</v>
      </c>
      <c r="M2472" s="12" t="s">
        <v>1905</v>
      </c>
      <c r="N2472" s="12" t="s">
        <v>2921</v>
      </c>
      <c r="O2472" s="12">
        <v>0</v>
      </c>
      <c r="P2472" s="12" t="s">
        <v>2052</v>
      </c>
      <c r="Q2472" s="7" t="str">
        <f t="shared" si="90"/>
        <v>equipment/6006.png</v>
      </c>
      <c r="R2472" s="1">
        <v>1</v>
      </c>
    </row>
    <row r="2473" spans="1:18" s="12" customFormat="1" ht="14.25" thickBot="1">
      <c r="A2473" s="12">
        <f t="shared" si="89"/>
        <v>50350085</v>
      </c>
      <c r="B2473" s="2">
        <v>0</v>
      </c>
      <c r="C2473" s="12" t="s">
        <v>2553</v>
      </c>
      <c r="D2473" s="12" t="s">
        <v>15</v>
      </c>
      <c r="E2473" s="12">
        <v>8</v>
      </c>
      <c r="F2473" s="12">
        <v>5</v>
      </c>
      <c r="G2473" s="12">
        <v>35</v>
      </c>
      <c r="H2473" s="12">
        <v>0</v>
      </c>
      <c r="I2473" s="12">
        <v>70000</v>
      </c>
      <c r="J2473" s="12">
        <v>150</v>
      </c>
      <c r="K2473" s="12">
        <v>1500</v>
      </c>
      <c r="L2473" s="12">
        <v>20000</v>
      </c>
      <c r="M2473" s="12" t="s">
        <v>1906</v>
      </c>
      <c r="N2473" s="12" t="s">
        <v>2921</v>
      </c>
      <c r="O2473" s="12">
        <v>0</v>
      </c>
      <c r="P2473" s="12" t="s">
        <v>2052</v>
      </c>
      <c r="Q2473" s="7" t="str">
        <f t="shared" si="90"/>
        <v>equipment/8006.png</v>
      </c>
      <c r="R2473" s="1">
        <v>1</v>
      </c>
    </row>
    <row r="2474" spans="1:18" s="12" customFormat="1" ht="14.25" thickBot="1">
      <c r="A2474" s="12">
        <f t="shared" si="89"/>
        <v>50350095</v>
      </c>
      <c r="B2474" s="2">
        <v>0</v>
      </c>
      <c r="C2474" s="12" t="s">
        <v>2074</v>
      </c>
      <c r="D2474" s="12" t="s">
        <v>16</v>
      </c>
      <c r="E2474" s="12">
        <v>9</v>
      </c>
      <c r="F2474" s="12">
        <v>5</v>
      </c>
      <c r="G2474" s="12">
        <v>35</v>
      </c>
      <c r="H2474" s="12">
        <v>0</v>
      </c>
      <c r="I2474" s="12">
        <v>70000</v>
      </c>
      <c r="J2474" s="12">
        <v>150</v>
      </c>
      <c r="K2474" s="12">
        <v>1500</v>
      </c>
      <c r="L2474" s="12">
        <v>20000</v>
      </c>
      <c r="M2474" s="12" t="s">
        <v>1907</v>
      </c>
      <c r="N2474" s="12" t="s">
        <v>2921</v>
      </c>
      <c r="O2474" s="12">
        <v>0</v>
      </c>
      <c r="P2474" s="12" t="s">
        <v>2052</v>
      </c>
      <c r="Q2474" s="7" t="str">
        <f t="shared" si="90"/>
        <v>equipment/10006.png</v>
      </c>
      <c r="R2474" s="1">
        <v>1</v>
      </c>
    </row>
    <row r="2475" spans="1:18" s="12" customFormat="1" ht="14.25" thickBot="1">
      <c r="A2475" s="12">
        <f t="shared" si="89"/>
        <v>50350105</v>
      </c>
      <c r="B2475" s="2">
        <v>0</v>
      </c>
      <c r="C2475" s="12" t="s">
        <v>2333</v>
      </c>
      <c r="D2475" s="12" t="s">
        <v>17</v>
      </c>
      <c r="E2475" s="12">
        <v>10</v>
      </c>
      <c r="F2475" s="12">
        <v>5</v>
      </c>
      <c r="G2475" s="12">
        <v>35</v>
      </c>
      <c r="H2475" s="12">
        <v>0</v>
      </c>
      <c r="I2475" s="12">
        <v>70000</v>
      </c>
      <c r="J2475" s="12">
        <v>150</v>
      </c>
      <c r="K2475" s="12">
        <v>1500</v>
      </c>
      <c r="L2475" s="12">
        <v>20000</v>
      </c>
      <c r="M2475" s="12" t="s">
        <v>1908</v>
      </c>
      <c r="N2475" s="12" t="s">
        <v>2921</v>
      </c>
      <c r="O2475" s="12">
        <v>0</v>
      </c>
      <c r="P2475" s="12" t="s">
        <v>2052</v>
      </c>
      <c r="Q2475" s="7" t="str">
        <f t="shared" si="90"/>
        <v>equipment/12006.png</v>
      </c>
      <c r="R2475" s="1">
        <v>1</v>
      </c>
    </row>
    <row r="2476" spans="1:18" s="12" customFormat="1" ht="14.25" thickBot="1">
      <c r="A2476" s="12">
        <f t="shared" si="89"/>
        <v>50351055</v>
      </c>
      <c r="B2476" s="2">
        <v>0</v>
      </c>
      <c r="C2476" s="12" t="s">
        <v>2117</v>
      </c>
      <c r="D2476" s="12" t="s">
        <v>12</v>
      </c>
      <c r="E2476" s="12">
        <v>5</v>
      </c>
      <c r="F2476" s="12">
        <v>5</v>
      </c>
      <c r="G2476" s="12">
        <v>35</v>
      </c>
      <c r="H2476" s="12" t="s">
        <v>2120</v>
      </c>
      <c r="I2476" s="12">
        <v>70000</v>
      </c>
      <c r="J2476" s="12">
        <v>150</v>
      </c>
      <c r="K2476" s="12">
        <v>1500</v>
      </c>
      <c r="L2476" s="12">
        <v>20000</v>
      </c>
      <c r="M2476" s="12" t="s">
        <v>1909</v>
      </c>
      <c r="N2476" s="12" t="s">
        <v>2922</v>
      </c>
      <c r="O2476" s="12">
        <v>0</v>
      </c>
      <c r="P2476" s="12" t="s">
        <v>2052</v>
      </c>
      <c r="Q2476" s="7" t="str">
        <f t="shared" si="90"/>
        <v>equipment/1114.png</v>
      </c>
      <c r="R2476" s="1">
        <v>1</v>
      </c>
    </row>
    <row r="2477" spans="1:18" s="12" customFormat="1" ht="14.25" thickBot="1">
      <c r="A2477" s="12">
        <f t="shared" si="89"/>
        <v>50351056</v>
      </c>
      <c r="B2477" s="2">
        <v>0</v>
      </c>
      <c r="C2477" s="12" t="s">
        <v>2491</v>
      </c>
      <c r="D2477" s="12" t="s">
        <v>12</v>
      </c>
      <c r="E2477" s="12">
        <v>5</v>
      </c>
      <c r="F2477" s="12">
        <v>5</v>
      </c>
      <c r="G2477" s="12">
        <v>35</v>
      </c>
      <c r="H2477" s="12" t="s">
        <v>2120</v>
      </c>
      <c r="I2477" s="12">
        <v>76000</v>
      </c>
      <c r="J2477" s="12">
        <v>150</v>
      </c>
      <c r="K2477" s="12">
        <v>1500</v>
      </c>
      <c r="L2477" s="12">
        <v>22500</v>
      </c>
      <c r="M2477" s="12" t="s">
        <v>2018</v>
      </c>
      <c r="N2477" s="12" t="s">
        <v>2922</v>
      </c>
      <c r="O2477" s="12">
        <v>0</v>
      </c>
      <c r="P2477" s="12" t="s">
        <v>2052</v>
      </c>
      <c r="Q2477" s="7" t="str">
        <f t="shared" si="90"/>
        <v>equipment/1101.png</v>
      </c>
      <c r="R2477" s="1">
        <v>1</v>
      </c>
    </row>
    <row r="2478" spans="1:18" s="12" customFormat="1" ht="14.25" thickBot="1">
      <c r="A2478" s="12">
        <f t="shared" si="89"/>
        <v>50351065</v>
      </c>
      <c r="B2478" s="2">
        <v>0</v>
      </c>
      <c r="C2478" s="12" t="s">
        <v>2118</v>
      </c>
      <c r="D2478" s="12" t="s">
        <v>13</v>
      </c>
      <c r="E2478" s="12">
        <v>6</v>
      </c>
      <c r="F2478" s="12">
        <v>5</v>
      </c>
      <c r="G2478" s="12">
        <v>35</v>
      </c>
      <c r="H2478" s="12" t="s">
        <v>2120</v>
      </c>
      <c r="I2478" s="12">
        <v>70000</v>
      </c>
      <c r="J2478" s="12">
        <v>150</v>
      </c>
      <c r="K2478" s="12">
        <v>1500</v>
      </c>
      <c r="L2478" s="12">
        <v>20000</v>
      </c>
      <c r="M2478" s="12" t="s">
        <v>1910</v>
      </c>
      <c r="N2478" s="12" t="s">
        <v>2922</v>
      </c>
      <c r="O2478" s="12">
        <v>0</v>
      </c>
      <c r="P2478" s="12" t="s">
        <v>2052</v>
      </c>
      <c r="Q2478" s="7" t="str">
        <f t="shared" si="90"/>
        <v>equipment/2108.png</v>
      </c>
      <c r="R2478" s="1">
        <v>1</v>
      </c>
    </row>
    <row r="2479" spans="1:18" s="12" customFormat="1" ht="14.25" thickBot="1">
      <c r="A2479" s="12">
        <f t="shared" si="89"/>
        <v>50351066</v>
      </c>
      <c r="B2479" s="2">
        <v>0</v>
      </c>
      <c r="C2479" s="12" t="s">
        <v>2554</v>
      </c>
      <c r="D2479" s="12" t="s">
        <v>13</v>
      </c>
      <c r="E2479" s="12">
        <v>6</v>
      </c>
      <c r="F2479" s="12">
        <v>5</v>
      </c>
      <c r="G2479" s="12">
        <v>35</v>
      </c>
      <c r="H2479" s="12" t="s">
        <v>2120</v>
      </c>
      <c r="I2479" s="12">
        <v>76000</v>
      </c>
      <c r="J2479" s="12">
        <v>150</v>
      </c>
      <c r="K2479" s="12">
        <v>1500</v>
      </c>
      <c r="L2479" s="12">
        <v>22500</v>
      </c>
      <c r="M2479" s="12" t="s">
        <v>1911</v>
      </c>
      <c r="N2479" s="12" t="s">
        <v>2922</v>
      </c>
      <c r="O2479" s="12">
        <v>0</v>
      </c>
      <c r="P2479" s="12" t="s">
        <v>2052</v>
      </c>
      <c r="Q2479" s="7" t="str">
        <f t="shared" si="90"/>
        <v>equipment/2117.png</v>
      </c>
      <c r="R2479" s="1">
        <v>1</v>
      </c>
    </row>
    <row r="2480" spans="1:18" s="12" customFormat="1" ht="14.25" thickBot="1">
      <c r="A2480" s="12">
        <f t="shared" si="89"/>
        <v>50352055</v>
      </c>
      <c r="B2480" s="2">
        <v>0</v>
      </c>
      <c r="C2480" s="12" t="s">
        <v>2119</v>
      </c>
      <c r="D2480" s="12" t="s">
        <v>12</v>
      </c>
      <c r="E2480" s="12">
        <v>5</v>
      </c>
      <c r="F2480" s="12">
        <v>5</v>
      </c>
      <c r="G2480" s="12">
        <v>35</v>
      </c>
      <c r="H2480" s="12" t="s">
        <v>2121</v>
      </c>
      <c r="I2480" s="12">
        <v>70000</v>
      </c>
      <c r="J2480" s="12">
        <v>150</v>
      </c>
      <c r="K2480" s="12">
        <v>1500</v>
      </c>
      <c r="L2480" s="12">
        <v>20000</v>
      </c>
      <c r="M2480" s="12" t="s">
        <v>1909</v>
      </c>
      <c r="N2480" s="12" t="s">
        <v>2922</v>
      </c>
      <c r="O2480" s="12">
        <v>0</v>
      </c>
      <c r="P2480" s="12" t="s">
        <v>2052</v>
      </c>
      <c r="Q2480" s="7" t="str">
        <f t="shared" si="90"/>
        <v>equipment/1213.png</v>
      </c>
      <c r="R2480" s="1">
        <v>1</v>
      </c>
    </row>
    <row r="2481" spans="1:18" s="12" customFormat="1" ht="14.25" thickBot="1">
      <c r="A2481" s="12">
        <f t="shared" si="89"/>
        <v>50352056</v>
      </c>
      <c r="B2481" s="2">
        <v>0</v>
      </c>
      <c r="C2481" s="12" t="s">
        <v>2494</v>
      </c>
      <c r="D2481" s="12" t="s">
        <v>12</v>
      </c>
      <c r="E2481" s="12">
        <v>5</v>
      </c>
      <c r="F2481" s="12">
        <v>5</v>
      </c>
      <c r="G2481" s="12">
        <v>35</v>
      </c>
      <c r="H2481" s="12" t="s">
        <v>2121</v>
      </c>
      <c r="I2481" s="12">
        <v>76000</v>
      </c>
      <c r="J2481" s="12">
        <v>150</v>
      </c>
      <c r="K2481" s="12">
        <v>1500</v>
      </c>
      <c r="L2481" s="12">
        <v>22500</v>
      </c>
      <c r="M2481" s="12" t="s">
        <v>2018</v>
      </c>
      <c r="N2481" s="12" t="s">
        <v>2922</v>
      </c>
      <c r="O2481" s="12">
        <v>0</v>
      </c>
      <c r="P2481" s="12" t="s">
        <v>2052</v>
      </c>
      <c r="Q2481" s="7" t="str">
        <f t="shared" si="90"/>
        <v>equipment/1201.png</v>
      </c>
      <c r="R2481" s="1">
        <v>1</v>
      </c>
    </row>
    <row r="2482" spans="1:18" s="12" customFormat="1" ht="14.25" thickBot="1">
      <c r="A2482" s="12">
        <f t="shared" si="89"/>
        <v>50352065</v>
      </c>
      <c r="B2482" s="2">
        <v>0</v>
      </c>
      <c r="C2482" s="12" t="s">
        <v>2555</v>
      </c>
      <c r="D2482" s="12" t="s">
        <v>13</v>
      </c>
      <c r="E2482" s="12">
        <v>6</v>
      </c>
      <c r="F2482" s="12">
        <v>5</v>
      </c>
      <c r="G2482" s="12">
        <v>35</v>
      </c>
      <c r="H2482" s="12" t="s">
        <v>2121</v>
      </c>
      <c r="I2482" s="12">
        <v>70000</v>
      </c>
      <c r="J2482" s="12">
        <v>150</v>
      </c>
      <c r="K2482" s="12">
        <v>1500</v>
      </c>
      <c r="L2482" s="12">
        <v>20000</v>
      </c>
      <c r="M2482" s="12" t="s">
        <v>1912</v>
      </c>
      <c r="N2482" s="12" t="s">
        <v>2922</v>
      </c>
      <c r="O2482" s="12">
        <v>0</v>
      </c>
      <c r="P2482" s="12" t="s">
        <v>2052</v>
      </c>
      <c r="Q2482" s="7" t="str">
        <f t="shared" si="90"/>
        <v>equipment/2208.png</v>
      </c>
      <c r="R2482" s="1">
        <v>1</v>
      </c>
    </row>
    <row r="2483" spans="1:18" s="12" customFormat="1" ht="14.25" thickBot="1">
      <c r="A2483" s="12">
        <f t="shared" si="89"/>
        <v>50352066</v>
      </c>
      <c r="B2483" s="2">
        <v>0</v>
      </c>
      <c r="C2483" s="12" t="s">
        <v>2556</v>
      </c>
      <c r="D2483" s="12" t="s">
        <v>13</v>
      </c>
      <c r="E2483" s="12">
        <v>6</v>
      </c>
      <c r="F2483" s="12">
        <v>5</v>
      </c>
      <c r="G2483" s="12">
        <v>35</v>
      </c>
      <c r="H2483" s="12" t="s">
        <v>2121</v>
      </c>
      <c r="I2483" s="12">
        <v>76000</v>
      </c>
      <c r="J2483" s="12">
        <v>150</v>
      </c>
      <c r="K2483" s="12">
        <v>1500</v>
      </c>
      <c r="L2483" s="12">
        <v>22500</v>
      </c>
      <c r="M2483" s="12" t="s">
        <v>1913</v>
      </c>
      <c r="N2483" s="12" t="s">
        <v>2922</v>
      </c>
      <c r="O2483" s="12">
        <v>0</v>
      </c>
      <c r="P2483" s="12" t="s">
        <v>2052</v>
      </c>
      <c r="Q2483" s="7" t="str">
        <f t="shared" si="90"/>
        <v>equipment/2201.png</v>
      </c>
      <c r="R2483" s="1">
        <v>1</v>
      </c>
    </row>
    <row r="2484" spans="1:18" s="12" customFormat="1" ht="14.25" thickBot="1">
      <c r="A2484" s="12">
        <f t="shared" si="89"/>
        <v>50353055</v>
      </c>
      <c r="B2484" s="2">
        <v>0</v>
      </c>
      <c r="C2484" s="12" t="s">
        <v>2557</v>
      </c>
      <c r="D2484" s="12" t="s">
        <v>12</v>
      </c>
      <c r="E2484" s="12">
        <v>5</v>
      </c>
      <c r="F2484" s="12">
        <v>5</v>
      </c>
      <c r="G2484" s="12">
        <v>35</v>
      </c>
      <c r="H2484" s="12" t="s">
        <v>2122</v>
      </c>
      <c r="I2484" s="12">
        <v>70000</v>
      </c>
      <c r="J2484" s="12">
        <v>150</v>
      </c>
      <c r="K2484" s="12">
        <v>1500</v>
      </c>
      <c r="L2484" s="12">
        <v>20000</v>
      </c>
      <c r="M2484" s="12" t="s">
        <v>1909</v>
      </c>
      <c r="N2484" s="12" t="s">
        <v>2922</v>
      </c>
      <c r="O2484" s="12">
        <v>0</v>
      </c>
      <c r="P2484" s="12" t="s">
        <v>2052</v>
      </c>
      <c r="Q2484" s="7" t="str">
        <f t="shared" si="90"/>
        <v>equipment/1314.png</v>
      </c>
      <c r="R2484" s="1">
        <v>1</v>
      </c>
    </row>
    <row r="2485" spans="1:18" s="12" customFormat="1" ht="14.25" thickBot="1">
      <c r="A2485" s="12">
        <f t="shared" si="89"/>
        <v>50353056</v>
      </c>
      <c r="B2485" s="2">
        <v>0</v>
      </c>
      <c r="C2485" s="12" t="s">
        <v>2497</v>
      </c>
      <c r="D2485" s="12" t="s">
        <v>12</v>
      </c>
      <c r="E2485" s="12">
        <v>5</v>
      </c>
      <c r="F2485" s="12">
        <v>5</v>
      </c>
      <c r="G2485" s="12">
        <v>35</v>
      </c>
      <c r="H2485" s="12" t="s">
        <v>2122</v>
      </c>
      <c r="I2485" s="12">
        <v>76000</v>
      </c>
      <c r="J2485" s="12">
        <v>150</v>
      </c>
      <c r="K2485" s="12">
        <v>1500</v>
      </c>
      <c r="L2485" s="12">
        <v>22500</v>
      </c>
      <c r="M2485" s="12" t="s">
        <v>2018</v>
      </c>
      <c r="N2485" s="12" t="s">
        <v>2922</v>
      </c>
      <c r="O2485" s="12">
        <v>0</v>
      </c>
      <c r="P2485" s="12" t="s">
        <v>2052</v>
      </c>
      <c r="Q2485" s="7" t="str">
        <f t="shared" si="90"/>
        <v>equipment/1301.png</v>
      </c>
      <c r="R2485" s="1">
        <v>1</v>
      </c>
    </row>
    <row r="2486" spans="1:18" s="12" customFormat="1" ht="14.25" thickBot="1">
      <c r="A2486" s="12">
        <f t="shared" si="89"/>
        <v>50353065</v>
      </c>
      <c r="B2486" s="2">
        <v>0</v>
      </c>
      <c r="C2486" s="12" t="s">
        <v>2558</v>
      </c>
      <c r="D2486" s="12" t="s">
        <v>13</v>
      </c>
      <c r="E2486" s="12">
        <v>6</v>
      </c>
      <c r="F2486" s="12">
        <v>5</v>
      </c>
      <c r="G2486" s="12">
        <v>35</v>
      </c>
      <c r="H2486" s="12" t="s">
        <v>2122</v>
      </c>
      <c r="I2486" s="12">
        <v>70000</v>
      </c>
      <c r="J2486" s="12">
        <v>150</v>
      </c>
      <c r="K2486" s="12">
        <v>1500</v>
      </c>
      <c r="L2486" s="12">
        <v>20000</v>
      </c>
      <c r="M2486" s="12" t="s">
        <v>1914</v>
      </c>
      <c r="N2486" s="12" t="s">
        <v>2922</v>
      </c>
      <c r="O2486" s="12">
        <v>0</v>
      </c>
      <c r="P2486" s="12" t="s">
        <v>2052</v>
      </c>
      <c r="Q2486" s="7" t="str">
        <f t="shared" si="90"/>
        <v>equipment/2308.png</v>
      </c>
      <c r="R2486" s="1">
        <v>1</v>
      </c>
    </row>
    <row r="2487" spans="1:18" s="12" customFormat="1" ht="14.25" thickBot="1">
      <c r="A2487" s="12">
        <f t="shared" si="89"/>
        <v>50353066</v>
      </c>
      <c r="B2487" s="2">
        <v>0</v>
      </c>
      <c r="C2487" s="12" t="s">
        <v>2559</v>
      </c>
      <c r="D2487" s="12" t="s">
        <v>13</v>
      </c>
      <c r="E2487" s="12">
        <v>6</v>
      </c>
      <c r="F2487" s="12">
        <v>5</v>
      </c>
      <c r="G2487" s="12">
        <v>35</v>
      </c>
      <c r="H2487" s="12" t="s">
        <v>2122</v>
      </c>
      <c r="I2487" s="12">
        <v>76000</v>
      </c>
      <c r="J2487" s="12">
        <v>150</v>
      </c>
      <c r="K2487" s="12">
        <v>1500</v>
      </c>
      <c r="L2487" s="12">
        <v>22500</v>
      </c>
      <c r="M2487" s="12" t="s">
        <v>1915</v>
      </c>
      <c r="N2487" s="12" t="s">
        <v>2922</v>
      </c>
      <c r="O2487" s="12">
        <v>0</v>
      </c>
      <c r="P2487" s="12" t="s">
        <v>2052</v>
      </c>
      <c r="Q2487" s="7" t="str">
        <f t="shared" si="90"/>
        <v>equipment/2314.png</v>
      </c>
      <c r="R2487" s="1">
        <v>1</v>
      </c>
    </row>
    <row r="2488" spans="1:18" s="12" customFormat="1" ht="14.25" thickBot="1">
      <c r="A2488" s="12">
        <f t="shared" si="89"/>
        <v>50350045</v>
      </c>
      <c r="B2488" s="2">
        <v>0</v>
      </c>
      <c r="C2488" s="12" t="s">
        <v>2085</v>
      </c>
      <c r="D2488" s="12" t="s">
        <v>11</v>
      </c>
      <c r="E2488" s="12">
        <v>4</v>
      </c>
      <c r="F2488" s="12">
        <v>5</v>
      </c>
      <c r="G2488" s="12">
        <v>35</v>
      </c>
      <c r="H2488" s="12">
        <v>0</v>
      </c>
      <c r="I2488" s="12">
        <v>70000</v>
      </c>
      <c r="J2488" s="12">
        <v>150</v>
      </c>
      <c r="K2488" s="12">
        <v>1500</v>
      </c>
      <c r="L2488" s="12">
        <v>20000</v>
      </c>
      <c r="M2488" s="12" t="s">
        <v>1916</v>
      </c>
      <c r="N2488" s="12" t="s">
        <v>2921</v>
      </c>
      <c r="O2488" s="12">
        <v>0</v>
      </c>
      <c r="P2488" s="12" t="s">
        <v>2052</v>
      </c>
      <c r="Q2488" s="7" t="str">
        <f t="shared" si="90"/>
        <v>equipment/5011.png</v>
      </c>
      <c r="R2488" s="1">
        <v>1</v>
      </c>
    </row>
    <row r="2489" spans="1:18" s="12" customFormat="1" ht="14.25" thickBot="1">
      <c r="A2489" s="12">
        <f t="shared" si="89"/>
        <v>50350046</v>
      </c>
      <c r="B2489" s="2">
        <v>0</v>
      </c>
      <c r="C2489" s="12" t="s">
        <v>2560</v>
      </c>
      <c r="D2489" s="12" t="s">
        <v>11</v>
      </c>
      <c r="E2489" s="12">
        <v>4</v>
      </c>
      <c r="F2489" s="12">
        <v>5</v>
      </c>
      <c r="G2489" s="12">
        <v>35</v>
      </c>
      <c r="H2489" s="12">
        <v>0</v>
      </c>
      <c r="I2489" s="12">
        <v>76000</v>
      </c>
      <c r="J2489" s="12">
        <v>150</v>
      </c>
      <c r="K2489" s="12">
        <v>1500</v>
      </c>
      <c r="L2489" s="12">
        <v>22500</v>
      </c>
      <c r="M2489" s="12" t="s">
        <v>1917</v>
      </c>
      <c r="N2489" s="12" t="s">
        <v>2921</v>
      </c>
      <c r="O2489" s="12">
        <v>0</v>
      </c>
      <c r="P2489" s="12" t="s">
        <v>2052</v>
      </c>
      <c r="Q2489" s="7" t="str">
        <f t="shared" si="90"/>
        <v>equipment/5001.png</v>
      </c>
      <c r="R2489" s="1">
        <v>1</v>
      </c>
    </row>
    <row r="2490" spans="1:18" s="12" customFormat="1" ht="14.25" thickBot="1">
      <c r="A2490" s="12">
        <f t="shared" si="89"/>
        <v>50350075</v>
      </c>
      <c r="B2490" s="2">
        <v>0</v>
      </c>
      <c r="C2490" s="12" t="s">
        <v>2561</v>
      </c>
      <c r="D2490" s="12" t="s">
        <v>14</v>
      </c>
      <c r="E2490" s="12">
        <v>7</v>
      </c>
      <c r="F2490" s="12">
        <v>5</v>
      </c>
      <c r="G2490" s="12">
        <v>35</v>
      </c>
      <c r="H2490" s="12">
        <v>0</v>
      </c>
      <c r="I2490" s="12">
        <v>70000</v>
      </c>
      <c r="J2490" s="12">
        <v>150</v>
      </c>
      <c r="K2490" s="12">
        <v>1500</v>
      </c>
      <c r="L2490" s="12">
        <v>20000</v>
      </c>
      <c r="M2490" s="12" t="s">
        <v>1916</v>
      </c>
      <c r="N2490" s="12" t="s">
        <v>2921</v>
      </c>
      <c r="O2490" s="12">
        <v>0</v>
      </c>
      <c r="P2490" s="12" t="s">
        <v>2052</v>
      </c>
      <c r="Q2490" s="7" t="str">
        <f t="shared" si="90"/>
        <v>equipment/7008.png</v>
      </c>
      <c r="R2490" s="1">
        <v>1</v>
      </c>
    </row>
    <row r="2491" spans="1:18" s="12" customFormat="1" ht="14.25" thickBot="1">
      <c r="A2491" s="12">
        <f t="shared" si="89"/>
        <v>50350076</v>
      </c>
      <c r="B2491" s="2">
        <v>0</v>
      </c>
      <c r="C2491" s="12" t="s">
        <v>2501</v>
      </c>
      <c r="D2491" s="12" t="s">
        <v>14</v>
      </c>
      <c r="E2491" s="12">
        <v>7</v>
      </c>
      <c r="F2491" s="12">
        <v>5</v>
      </c>
      <c r="G2491" s="12">
        <v>35</v>
      </c>
      <c r="H2491" s="12">
        <v>0</v>
      </c>
      <c r="I2491" s="12">
        <v>76000</v>
      </c>
      <c r="J2491" s="12">
        <v>150</v>
      </c>
      <c r="K2491" s="12">
        <v>1500</v>
      </c>
      <c r="L2491" s="12">
        <v>22500</v>
      </c>
      <c r="M2491" s="12" t="s">
        <v>1918</v>
      </c>
      <c r="N2491" s="12" t="s">
        <v>2921</v>
      </c>
      <c r="O2491" s="12">
        <v>0</v>
      </c>
      <c r="P2491" s="12" t="s">
        <v>2052</v>
      </c>
      <c r="Q2491" s="7" t="str">
        <f t="shared" si="90"/>
        <v>equipment/7001.png</v>
      </c>
      <c r="R2491" s="1">
        <v>1</v>
      </c>
    </row>
    <row r="2492" spans="1:18" s="12" customFormat="1" ht="14.25" thickBot="1">
      <c r="A2492" s="12">
        <f t="shared" si="89"/>
        <v>50400015</v>
      </c>
      <c r="B2492" s="2">
        <v>0</v>
      </c>
      <c r="C2492" s="12" t="s">
        <v>2065</v>
      </c>
      <c r="D2492" s="12" t="s">
        <v>8</v>
      </c>
      <c r="E2492" s="12">
        <v>1</v>
      </c>
      <c r="F2492" s="12">
        <v>5</v>
      </c>
      <c r="G2492" s="12">
        <v>40</v>
      </c>
      <c r="H2492" s="12">
        <v>0</v>
      </c>
      <c r="I2492" s="12">
        <v>80000</v>
      </c>
      <c r="J2492" s="12">
        <v>150</v>
      </c>
      <c r="K2492" s="12">
        <v>1500</v>
      </c>
      <c r="L2492" s="12">
        <v>22500</v>
      </c>
      <c r="M2492" s="12" t="s">
        <v>1919</v>
      </c>
      <c r="N2492" s="12" t="s">
        <v>2923</v>
      </c>
      <c r="O2492" s="12">
        <v>0</v>
      </c>
      <c r="P2492" s="12" t="s">
        <v>2053</v>
      </c>
      <c r="Q2492" s="7" t="str">
        <f t="shared" si="90"/>
        <v>equipment/3007.png</v>
      </c>
      <c r="R2492" s="1">
        <v>1</v>
      </c>
    </row>
    <row r="2493" spans="1:18" s="12" customFormat="1" ht="14.25" thickBot="1">
      <c r="A2493" s="12">
        <f t="shared" si="89"/>
        <v>50400025</v>
      </c>
      <c r="B2493" s="2">
        <v>0</v>
      </c>
      <c r="C2493" s="12" t="s">
        <v>2562</v>
      </c>
      <c r="D2493" s="12" t="s">
        <v>9</v>
      </c>
      <c r="E2493" s="12">
        <v>2</v>
      </c>
      <c r="F2493" s="12">
        <v>5</v>
      </c>
      <c r="G2493" s="12">
        <v>40</v>
      </c>
      <c r="H2493" s="12">
        <v>0</v>
      </c>
      <c r="I2493" s="12">
        <v>80000</v>
      </c>
      <c r="J2493" s="12">
        <v>150</v>
      </c>
      <c r="K2493" s="12">
        <v>1500</v>
      </c>
      <c r="L2493" s="12">
        <v>22500</v>
      </c>
      <c r="M2493" s="12" t="s">
        <v>1920</v>
      </c>
      <c r="N2493" s="12" t="s">
        <v>2923</v>
      </c>
      <c r="O2493" s="12">
        <v>0</v>
      </c>
      <c r="P2493" s="12" t="s">
        <v>2053</v>
      </c>
      <c r="Q2493" s="7" t="str">
        <f t="shared" si="90"/>
        <v>equipment/14007.png</v>
      </c>
      <c r="R2493" s="1">
        <v>1</v>
      </c>
    </row>
    <row r="2494" spans="1:18" s="12" customFormat="1" ht="14.25" thickBot="1">
      <c r="A2494" s="12">
        <f t="shared" si="89"/>
        <v>50400035</v>
      </c>
      <c r="B2494" s="2">
        <v>0</v>
      </c>
      <c r="C2494" s="12" t="s">
        <v>2563</v>
      </c>
      <c r="D2494" s="12" t="s">
        <v>10</v>
      </c>
      <c r="E2494" s="12">
        <v>3</v>
      </c>
      <c r="F2494" s="12">
        <v>5</v>
      </c>
      <c r="G2494" s="12">
        <v>40</v>
      </c>
      <c r="H2494" s="12">
        <v>0</v>
      </c>
      <c r="I2494" s="12">
        <v>80000</v>
      </c>
      <c r="J2494" s="12">
        <v>150</v>
      </c>
      <c r="K2494" s="12">
        <v>1500</v>
      </c>
      <c r="L2494" s="12">
        <v>22500</v>
      </c>
      <c r="M2494" s="12" t="s">
        <v>1921</v>
      </c>
      <c r="N2494" s="12" t="s">
        <v>2923</v>
      </c>
      <c r="O2494" s="12">
        <v>0</v>
      </c>
      <c r="P2494" s="12" t="s">
        <v>2053</v>
      </c>
      <c r="Q2494" s="7" t="str">
        <f t="shared" si="90"/>
        <v>equipment/6007.png</v>
      </c>
      <c r="R2494" s="1">
        <v>1</v>
      </c>
    </row>
    <row r="2495" spans="1:18" s="12" customFormat="1" ht="14.25" thickBot="1">
      <c r="A2495" s="12">
        <f t="shared" si="89"/>
        <v>50400085</v>
      </c>
      <c r="B2495" s="2">
        <v>0</v>
      </c>
      <c r="C2495" s="12" t="s">
        <v>2564</v>
      </c>
      <c r="D2495" s="12" t="s">
        <v>15</v>
      </c>
      <c r="E2495" s="12">
        <v>8</v>
      </c>
      <c r="F2495" s="12">
        <v>5</v>
      </c>
      <c r="G2495" s="12">
        <v>40</v>
      </c>
      <c r="H2495" s="12">
        <v>0</v>
      </c>
      <c r="I2495" s="12">
        <v>80000</v>
      </c>
      <c r="J2495" s="12">
        <v>150</v>
      </c>
      <c r="K2495" s="12">
        <v>1500</v>
      </c>
      <c r="L2495" s="12">
        <v>22500</v>
      </c>
      <c r="M2495" s="12" t="s">
        <v>1922</v>
      </c>
      <c r="N2495" s="12" t="s">
        <v>2923</v>
      </c>
      <c r="O2495" s="12">
        <v>0</v>
      </c>
      <c r="P2495" s="12" t="s">
        <v>2053</v>
      </c>
      <c r="Q2495" s="7" t="str">
        <f t="shared" si="90"/>
        <v>equipment/8007.png</v>
      </c>
      <c r="R2495" s="1">
        <v>1</v>
      </c>
    </row>
    <row r="2496" spans="1:18" s="12" customFormat="1" ht="14.25" thickBot="1">
      <c r="A2496" s="12">
        <f t="shared" si="89"/>
        <v>50400095</v>
      </c>
      <c r="B2496" s="2">
        <v>0</v>
      </c>
      <c r="C2496" s="12" t="s">
        <v>2565</v>
      </c>
      <c r="D2496" s="12" t="s">
        <v>16</v>
      </c>
      <c r="E2496" s="12">
        <v>9</v>
      </c>
      <c r="F2496" s="12">
        <v>5</v>
      </c>
      <c r="G2496" s="12">
        <v>40</v>
      </c>
      <c r="H2496" s="12">
        <v>0</v>
      </c>
      <c r="I2496" s="12">
        <v>80000</v>
      </c>
      <c r="J2496" s="12">
        <v>150</v>
      </c>
      <c r="K2496" s="12">
        <v>1500</v>
      </c>
      <c r="L2496" s="12">
        <v>22500</v>
      </c>
      <c r="M2496" s="12" t="s">
        <v>1923</v>
      </c>
      <c r="N2496" s="12" t="s">
        <v>2923</v>
      </c>
      <c r="O2496" s="12">
        <v>0</v>
      </c>
      <c r="P2496" s="12" t="s">
        <v>2053</v>
      </c>
      <c r="Q2496" s="7" t="str">
        <f t="shared" si="90"/>
        <v>equipment/10007.png</v>
      </c>
      <c r="R2496" s="1">
        <v>1</v>
      </c>
    </row>
    <row r="2497" spans="1:18" s="12" customFormat="1" ht="14.25" thickBot="1">
      <c r="A2497" s="12">
        <f t="shared" si="89"/>
        <v>50400105</v>
      </c>
      <c r="B2497" s="2">
        <v>0</v>
      </c>
      <c r="C2497" s="12" t="s">
        <v>2566</v>
      </c>
      <c r="D2497" s="12" t="s">
        <v>17</v>
      </c>
      <c r="E2497" s="12">
        <v>10</v>
      </c>
      <c r="F2497" s="12">
        <v>5</v>
      </c>
      <c r="G2497" s="12">
        <v>40</v>
      </c>
      <c r="H2497" s="12">
        <v>0</v>
      </c>
      <c r="I2497" s="12">
        <v>80000</v>
      </c>
      <c r="J2497" s="12">
        <v>150</v>
      </c>
      <c r="K2497" s="12">
        <v>1500</v>
      </c>
      <c r="L2497" s="12">
        <v>22500</v>
      </c>
      <c r="M2497" s="12" t="s">
        <v>1908</v>
      </c>
      <c r="N2497" s="12" t="s">
        <v>2923</v>
      </c>
      <c r="O2497" s="12">
        <v>0</v>
      </c>
      <c r="P2497" s="12" t="s">
        <v>2053</v>
      </c>
      <c r="Q2497" s="7" t="str">
        <f t="shared" si="90"/>
        <v>equipment/12012.png</v>
      </c>
      <c r="R2497" s="1">
        <v>1</v>
      </c>
    </row>
    <row r="2498" spans="1:18" s="12" customFormat="1" ht="14.25" thickBot="1">
      <c r="A2498" s="12">
        <f t="shared" si="89"/>
        <v>50401055</v>
      </c>
      <c r="B2498" s="2">
        <v>0</v>
      </c>
      <c r="C2498" s="12" t="s">
        <v>2567</v>
      </c>
      <c r="D2498" s="12" t="s">
        <v>12</v>
      </c>
      <c r="E2498" s="12">
        <v>5</v>
      </c>
      <c r="F2498" s="12">
        <v>5</v>
      </c>
      <c r="G2498" s="12">
        <v>40</v>
      </c>
      <c r="H2498" s="12" t="s">
        <v>2120</v>
      </c>
      <c r="I2498" s="12">
        <v>80000</v>
      </c>
      <c r="J2498" s="12">
        <v>150</v>
      </c>
      <c r="K2498" s="12">
        <v>1500</v>
      </c>
      <c r="L2498" s="12">
        <v>22500</v>
      </c>
      <c r="M2498" s="12" t="s">
        <v>1924</v>
      </c>
      <c r="N2498" s="12" t="s">
        <v>2924</v>
      </c>
      <c r="O2498" s="12">
        <v>0</v>
      </c>
      <c r="P2498" s="12" t="s">
        <v>2053</v>
      </c>
      <c r="Q2498" s="7" t="str">
        <f t="shared" si="90"/>
        <v>equipment/1115.png</v>
      </c>
      <c r="R2498" s="1">
        <v>1</v>
      </c>
    </row>
    <row r="2499" spans="1:18" s="12" customFormat="1" ht="14.25" thickBot="1">
      <c r="A2499" s="12">
        <f t="shared" si="89"/>
        <v>50401056</v>
      </c>
      <c r="B2499" s="2">
        <v>0</v>
      </c>
      <c r="C2499" s="12" t="s">
        <v>2568</v>
      </c>
      <c r="D2499" s="12" t="s">
        <v>12</v>
      </c>
      <c r="E2499" s="12">
        <v>5</v>
      </c>
      <c r="F2499" s="12">
        <v>5</v>
      </c>
      <c r="G2499" s="12">
        <v>40</v>
      </c>
      <c r="H2499" s="12" t="s">
        <v>2120</v>
      </c>
      <c r="I2499" s="12">
        <v>86000</v>
      </c>
      <c r="J2499" s="12">
        <v>150</v>
      </c>
      <c r="K2499" s="12">
        <v>1500</v>
      </c>
      <c r="L2499" s="12">
        <v>25000</v>
      </c>
      <c r="M2499" s="12" t="s">
        <v>2019</v>
      </c>
      <c r="N2499" s="12" t="s">
        <v>2924</v>
      </c>
      <c r="O2499" s="12">
        <v>0</v>
      </c>
      <c r="P2499" s="12" t="s">
        <v>2053</v>
      </c>
      <c r="Q2499" s="7" t="str">
        <f t="shared" si="90"/>
        <v>equipment/1116.png</v>
      </c>
      <c r="R2499" s="1">
        <v>1</v>
      </c>
    </row>
    <row r="2500" spans="1:18" s="12" customFormat="1" ht="14.25" thickBot="1">
      <c r="A2500" s="12">
        <f t="shared" si="89"/>
        <v>50401065</v>
      </c>
      <c r="B2500" s="2">
        <v>0</v>
      </c>
      <c r="C2500" s="12" t="s">
        <v>2569</v>
      </c>
      <c r="D2500" s="12" t="s">
        <v>13</v>
      </c>
      <c r="E2500" s="12">
        <v>6</v>
      </c>
      <c r="F2500" s="12">
        <v>5</v>
      </c>
      <c r="G2500" s="12">
        <v>40</v>
      </c>
      <c r="H2500" s="12" t="s">
        <v>2120</v>
      </c>
      <c r="I2500" s="12">
        <v>80000</v>
      </c>
      <c r="J2500" s="12">
        <v>150</v>
      </c>
      <c r="K2500" s="12">
        <v>1500</v>
      </c>
      <c r="L2500" s="12">
        <v>22500</v>
      </c>
      <c r="M2500" s="12" t="s">
        <v>1925</v>
      </c>
      <c r="N2500" s="12" t="s">
        <v>2924</v>
      </c>
      <c r="O2500" s="12">
        <v>0</v>
      </c>
      <c r="P2500" s="12" t="s">
        <v>2053</v>
      </c>
      <c r="Q2500" s="7" t="str">
        <f t="shared" si="90"/>
        <v>equipment/2109.png</v>
      </c>
      <c r="R2500" s="1">
        <v>1</v>
      </c>
    </row>
    <row r="2501" spans="1:18" s="12" customFormat="1" ht="14.25" thickBot="1">
      <c r="A2501" s="12">
        <f t="shared" si="89"/>
        <v>50401066</v>
      </c>
      <c r="B2501" s="2">
        <v>0</v>
      </c>
      <c r="C2501" s="12" t="s">
        <v>2061</v>
      </c>
      <c r="D2501" s="12" t="s">
        <v>13</v>
      </c>
      <c r="E2501" s="12">
        <v>6</v>
      </c>
      <c r="F2501" s="12">
        <v>5</v>
      </c>
      <c r="G2501" s="12">
        <v>40</v>
      </c>
      <c r="H2501" s="12" t="s">
        <v>2120</v>
      </c>
      <c r="I2501" s="12">
        <v>86000</v>
      </c>
      <c r="J2501" s="12">
        <v>150</v>
      </c>
      <c r="K2501" s="12">
        <v>1500</v>
      </c>
      <c r="L2501" s="12">
        <v>25000</v>
      </c>
      <c r="M2501" s="12" t="s">
        <v>1926</v>
      </c>
      <c r="N2501" s="12" t="s">
        <v>2924</v>
      </c>
      <c r="O2501" s="12">
        <v>0</v>
      </c>
      <c r="P2501" s="12" t="s">
        <v>2053</v>
      </c>
      <c r="Q2501" s="7" t="str">
        <f t="shared" si="90"/>
        <v>equipment/2101.png</v>
      </c>
      <c r="R2501" s="1">
        <v>1</v>
      </c>
    </row>
    <row r="2502" spans="1:18" s="12" customFormat="1" ht="14.25" thickBot="1">
      <c r="A2502" s="12">
        <f t="shared" si="89"/>
        <v>50402055</v>
      </c>
      <c r="B2502" s="2">
        <v>0</v>
      </c>
      <c r="C2502" s="12" t="s">
        <v>2570</v>
      </c>
      <c r="D2502" s="12" t="s">
        <v>12</v>
      </c>
      <c r="E2502" s="12">
        <v>5</v>
      </c>
      <c r="F2502" s="12">
        <v>5</v>
      </c>
      <c r="G2502" s="12">
        <v>40</v>
      </c>
      <c r="H2502" s="12" t="s">
        <v>2121</v>
      </c>
      <c r="I2502" s="12">
        <v>80000</v>
      </c>
      <c r="J2502" s="12">
        <v>150</v>
      </c>
      <c r="K2502" s="12">
        <v>1500</v>
      </c>
      <c r="L2502" s="12">
        <v>22500</v>
      </c>
      <c r="M2502" s="12" t="s">
        <v>1924</v>
      </c>
      <c r="N2502" s="12" t="s">
        <v>2924</v>
      </c>
      <c r="O2502" s="12">
        <v>0</v>
      </c>
      <c r="P2502" s="12" t="s">
        <v>2053</v>
      </c>
      <c r="Q2502" s="7" t="str">
        <f t="shared" si="90"/>
        <v>equipment/1216.png</v>
      </c>
      <c r="R2502" s="1">
        <v>1</v>
      </c>
    </row>
    <row r="2503" spans="1:18" s="12" customFormat="1" ht="14.25" thickBot="1">
      <c r="A2503" s="12">
        <f t="shared" si="89"/>
        <v>50402056</v>
      </c>
      <c r="B2503" s="2">
        <v>0</v>
      </c>
      <c r="C2503" s="12" t="s">
        <v>2571</v>
      </c>
      <c r="D2503" s="12" t="s">
        <v>12</v>
      </c>
      <c r="E2503" s="12">
        <v>5</v>
      </c>
      <c r="F2503" s="12">
        <v>5</v>
      </c>
      <c r="G2503" s="12">
        <v>40</v>
      </c>
      <c r="H2503" s="12" t="s">
        <v>2121</v>
      </c>
      <c r="I2503" s="12">
        <v>86000</v>
      </c>
      <c r="J2503" s="12">
        <v>150</v>
      </c>
      <c r="K2503" s="12">
        <v>1500</v>
      </c>
      <c r="L2503" s="12">
        <v>25000</v>
      </c>
      <c r="M2503" s="12" t="s">
        <v>2019</v>
      </c>
      <c r="N2503" s="12" t="s">
        <v>2924</v>
      </c>
      <c r="O2503" s="12">
        <v>0</v>
      </c>
      <c r="P2503" s="12" t="s">
        <v>2053</v>
      </c>
      <c r="Q2503" s="7" t="str">
        <f t="shared" si="90"/>
        <v>equipment/1214.png</v>
      </c>
      <c r="R2503" s="1">
        <v>1</v>
      </c>
    </row>
    <row r="2504" spans="1:18" s="12" customFormat="1" ht="14.25" thickBot="1">
      <c r="A2504" s="12">
        <f t="shared" si="89"/>
        <v>50402065</v>
      </c>
      <c r="B2504" s="2">
        <v>0</v>
      </c>
      <c r="C2504" s="12" t="s">
        <v>2572</v>
      </c>
      <c r="D2504" s="12" t="s">
        <v>13</v>
      </c>
      <c r="E2504" s="12">
        <v>6</v>
      </c>
      <c r="F2504" s="12">
        <v>5</v>
      </c>
      <c r="G2504" s="12">
        <v>40</v>
      </c>
      <c r="H2504" s="12" t="s">
        <v>2121</v>
      </c>
      <c r="I2504" s="12">
        <v>80000</v>
      </c>
      <c r="J2504" s="12">
        <v>150</v>
      </c>
      <c r="K2504" s="12">
        <v>1500</v>
      </c>
      <c r="L2504" s="12">
        <v>22500</v>
      </c>
      <c r="M2504" s="12" t="s">
        <v>1923</v>
      </c>
      <c r="N2504" s="12" t="s">
        <v>2924</v>
      </c>
      <c r="O2504" s="12">
        <v>0</v>
      </c>
      <c r="P2504" s="12" t="s">
        <v>2053</v>
      </c>
      <c r="Q2504" s="7" t="str">
        <f t="shared" si="90"/>
        <v>equipment/2209.png</v>
      </c>
      <c r="R2504" s="1">
        <v>1</v>
      </c>
    </row>
    <row r="2505" spans="1:18" s="12" customFormat="1" ht="14.25" thickBot="1">
      <c r="A2505" s="12">
        <f t="shared" si="89"/>
        <v>50402066</v>
      </c>
      <c r="B2505" s="2">
        <v>0</v>
      </c>
      <c r="C2505" s="12" t="s">
        <v>2094</v>
      </c>
      <c r="D2505" s="12" t="s">
        <v>13</v>
      </c>
      <c r="E2505" s="12">
        <v>6</v>
      </c>
      <c r="F2505" s="12">
        <v>5</v>
      </c>
      <c r="G2505" s="12">
        <v>40</v>
      </c>
      <c r="H2505" s="12" t="s">
        <v>2121</v>
      </c>
      <c r="I2505" s="12">
        <v>86000</v>
      </c>
      <c r="J2505" s="12">
        <v>150</v>
      </c>
      <c r="K2505" s="12">
        <v>1500</v>
      </c>
      <c r="L2505" s="12">
        <v>25000</v>
      </c>
      <c r="M2505" s="12" t="s">
        <v>1927</v>
      </c>
      <c r="N2505" s="12" t="s">
        <v>2924</v>
      </c>
      <c r="O2505" s="12">
        <v>0</v>
      </c>
      <c r="P2505" s="12" t="s">
        <v>2053</v>
      </c>
      <c r="Q2505" s="7" t="str">
        <f t="shared" si="90"/>
        <v>equipment/2201.png</v>
      </c>
      <c r="R2505" s="1">
        <v>1</v>
      </c>
    </row>
    <row r="2506" spans="1:18" s="12" customFormat="1" ht="14.25" thickBot="1">
      <c r="A2506" s="12">
        <f t="shared" si="89"/>
        <v>50403055</v>
      </c>
      <c r="B2506" s="2">
        <v>0</v>
      </c>
      <c r="C2506" s="12" t="s">
        <v>2573</v>
      </c>
      <c r="D2506" s="12" t="s">
        <v>12</v>
      </c>
      <c r="E2506" s="12">
        <v>5</v>
      </c>
      <c r="F2506" s="12">
        <v>5</v>
      </c>
      <c r="G2506" s="12">
        <v>40</v>
      </c>
      <c r="H2506" s="12" t="s">
        <v>2122</v>
      </c>
      <c r="I2506" s="12">
        <v>80000</v>
      </c>
      <c r="J2506" s="12">
        <v>150</v>
      </c>
      <c r="K2506" s="12">
        <v>1500</v>
      </c>
      <c r="L2506" s="12">
        <v>22500</v>
      </c>
      <c r="M2506" s="12" t="s">
        <v>1924</v>
      </c>
      <c r="N2506" s="12" t="s">
        <v>2924</v>
      </c>
      <c r="O2506" s="12">
        <v>0</v>
      </c>
      <c r="P2506" s="12" t="s">
        <v>2053</v>
      </c>
      <c r="Q2506" s="7" t="str">
        <f t="shared" si="90"/>
        <v>equipment/1317.png</v>
      </c>
      <c r="R2506" s="1">
        <v>1</v>
      </c>
    </row>
    <row r="2507" spans="1:18" s="12" customFormat="1" ht="14.25" thickBot="1">
      <c r="A2507" s="12">
        <f t="shared" si="89"/>
        <v>50403056</v>
      </c>
      <c r="B2507" s="2">
        <v>0</v>
      </c>
      <c r="C2507" s="12" t="s">
        <v>2574</v>
      </c>
      <c r="D2507" s="12" t="s">
        <v>12</v>
      </c>
      <c r="E2507" s="12">
        <v>5</v>
      </c>
      <c r="F2507" s="12">
        <v>5</v>
      </c>
      <c r="G2507" s="12">
        <v>40</v>
      </c>
      <c r="H2507" s="12" t="s">
        <v>2122</v>
      </c>
      <c r="I2507" s="12">
        <v>86000</v>
      </c>
      <c r="J2507" s="12">
        <v>150</v>
      </c>
      <c r="K2507" s="12">
        <v>1500</v>
      </c>
      <c r="L2507" s="12">
        <v>25000</v>
      </c>
      <c r="M2507" s="12" t="s">
        <v>2019</v>
      </c>
      <c r="N2507" s="12" t="s">
        <v>2924</v>
      </c>
      <c r="O2507" s="12">
        <v>0</v>
      </c>
      <c r="P2507" s="12" t="s">
        <v>2053</v>
      </c>
      <c r="Q2507" s="7" t="str">
        <f t="shared" si="90"/>
        <v>equipment/1315.png</v>
      </c>
      <c r="R2507" s="1">
        <v>1</v>
      </c>
    </row>
    <row r="2508" spans="1:18" s="12" customFormat="1" ht="14.25" thickBot="1">
      <c r="A2508" s="12">
        <f t="shared" si="89"/>
        <v>50403065</v>
      </c>
      <c r="B2508" s="2">
        <v>0</v>
      </c>
      <c r="C2508" s="12" t="s">
        <v>2575</v>
      </c>
      <c r="D2508" s="12" t="s">
        <v>13</v>
      </c>
      <c r="E2508" s="12">
        <v>6</v>
      </c>
      <c r="F2508" s="12">
        <v>5</v>
      </c>
      <c r="G2508" s="12">
        <v>40</v>
      </c>
      <c r="H2508" s="12" t="s">
        <v>2122</v>
      </c>
      <c r="I2508" s="12">
        <v>80000</v>
      </c>
      <c r="J2508" s="12">
        <v>150</v>
      </c>
      <c r="K2508" s="12">
        <v>1500</v>
      </c>
      <c r="L2508" s="12">
        <v>22500</v>
      </c>
      <c r="M2508" s="12" t="s">
        <v>1928</v>
      </c>
      <c r="N2508" s="12" t="s">
        <v>2924</v>
      </c>
      <c r="O2508" s="12">
        <v>0</v>
      </c>
      <c r="P2508" s="12" t="s">
        <v>2053</v>
      </c>
      <c r="Q2508" s="7" t="str">
        <f t="shared" si="90"/>
        <v>equipment/2309.png</v>
      </c>
      <c r="R2508" s="1">
        <v>1</v>
      </c>
    </row>
    <row r="2509" spans="1:18" s="12" customFormat="1" ht="14.25" thickBot="1">
      <c r="A2509" s="12">
        <f t="shared" ref="A2509:A2572" si="91">A1585+10000005</f>
        <v>50403066</v>
      </c>
      <c r="B2509" s="2">
        <v>0</v>
      </c>
      <c r="C2509" s="12" t="s">
        <v>2095</v>
      </c>
      <c r="D2509" s="12" t="s">
        <v>13</v>
      </c>
      <c r="E2509" s="12">
        <v>6</v>
      </c>
      <c r="F2509" s="12">
        <v>5</v>
      </c>
      <c r="G2509" s="12">
        <v>40</v>
      </c>
      <c r="H2509" s="12" t="s">
        <v>2122</v>
      </c>
      <c r="I2509" s="12">
        <v>86000</v>
      </c>
      <c r="J2509" s="12">
        <v>150</v>
      </c>
      <c r="K2509" s="12">
        <v>1500</v>
      </c>
      <c r="L2509" s="12">
        <v>25000</v>
      </c>
      <c r="M2509" s="12" t="s">
        <v>1929</v>
      </c>
      <c r="N2509" s="12" t="s">
        <v>2924</v>
      </c>
      <c r="O2509" s="12">
        <v>0</v>
      </c>
      <c r="P2509" s="12" t="s">
        <v>2053</v>
      </c>
      <c r="Q2509" s="7" t="str">
        <f t="shared" si="90"/>
        <v>equipment/2301.png</v>
      </c>
      <c r="R2509" s="1">
        <v>1</v>
      </c>
    </row>
    <row r="2510" spans="1:18" s="12" customFormat="1" ht="14.25" thickBot="1">
      <c r="A2510" s="12">
        <f t="shared" si="91"/>
        <v>50400045</v>
      </c>
      <c r="B2510" s="2">
        <v>0</v>
      </c>
      <c r="C2510" s="12" t="s">
        <v>2086</v>
      </c>
      <c r="D2510" s="12" t="s">
        <v>11</v>
      </c>
      <c r="E2510" s="12">
        <v>4</v>
      </c>
      <c r="F2510" s="12">
        <v>5</v>
      </c>
      <c r="G2510" s="12">
        <v>40</v>
      </c>
      <c r="H2510" s="12">
        <v>0</v>
      </c>
      <c r="I2510" s="12">
        <v>80000</v>
      </c>
      <c r="J2510" s="12">
        <v>150</v>
      </c>
      <c r="K2510" s="12">
        <v>1500</v>
      </c>
      <c r="L2510" s="12">
        <v>22500</v>
      </c>
      <c r="M2510" s="12" t="s">
        <v>1930</v>
      </c>
      <c r="N2510" s="12" t="s">
        <v>2923</v>
      </c>
      <c r="O2510" s="12">
        <v>0</v>
      </c>
      <c r="P2510" s="12" t="s">
        <v>2053</v>
      </c>
      <c r="Q2510" s="7" t="str">
        <f t="shared" si="90"/>
        <v>equipment/5012.png</v>
      </c>
      <c r="R2510" s="1">
        <v>1</v>
      </c>
    </row>
    <row r="2511" spans="1:18" s="12" customFormat="1" ht="14.25" thickBot="1">
      <c r="A2511" s="12">
        <f t="shared" si="91"/>
        <v>50400046</v>
      </c>
      <c r="B2511" s="2">
        <v>0</v>
      </c>
      <c r="C2511" s="12" t="s">
        <v>2499</v>
      </c>
      <c r="D2511" s="12" t="s">
        <v>11</v>
      </c>
      <c r="E2511" s="12">
        <v>4</v>
      </c>
      <c r="F2511" s="12">
        <v>5</v>
      </c>
      <c r="G2511" s="12">
        <v>40</v>
      </c>
      <c r="H2511" s="12">
        <v>0</v>
      </c>
      <c r="I2511" s="12">
        <v>86000</v>
      </c>
      <c r="J2511" s="12">
        <v>150</v>
      </c>
      <c r="K2511" s="12">
        <v>1500</v>
      </c>
      <c r="L2511" s="12">
        <v>25000</v>
      </c>
      <c r="M2511" s="12" t="s">
        <v>1931</v>
      </c>
      <c r="N2511" s="12" t="s">
        <v>2923</v>
      </c>
      <c r="O2511" s="12">
        <v>0</v>
      </c>
      <c r="P2511" s="12" t="s">
        <v>2053</v>
      </c>
      <c r="Q2511" s="7" t="str">
        <f t="shared" si="90"/>
        <v>equipment/5001.png</v>
      </c>
      <c r="R2511" s="1">
        <v>1</v>
      </c>
    </row>
    <row r="2512" spans="1:18" s="12" customFormat="1" ht="14.25" thickBot="1">
      <c r="A2512" s="12">
        <f t="shared" si="91"/>
        <v>50400075</v>
      </c>
      <c r="B2512" s="2">
        <v>0</v>
      </c>
      <c r="C2512" s="12" t="s">
        <v>2091</v>
      </c>
      <c r="D2512" s="12" t="s">
        <v>14</v>
      </c>
      <c r="E2512" s="12">
        <v>7</v>
      </c>
      <c r="F2512" s="12">
        <v>5</v>
      </c>
      <c r="G2512" s="12">
        <v>40</v>
      </c>
      <c r="H2512" s="12">
        <v>0</v>
      </c>
      <c r="I2512" s="12">
        <v>80000</v>
      </c>
      <c r="J2512" s="12">
        <v>150</v>
      </c>
      <c r="K2512" s="12">
        <v>1500</v>
      </c>
      <c r="L2512" s="12">
        <v>22500</v>
      </c>
      <c r="M2512" s="12" t="s">
        <v>1932</v>
      </c>
      <c r="N2512" s="12" t="s">
        <v>2923</v>
      </c>
      <c r="O2512" s="12">
        <v>0</v>
      </c>
      <c r="P2512" s="12" t="s">
        <v>2053</v>
      </c>
      <c r="Q2512" s="7" t="str">
        <f t="shared" si="90"/>
        <v>equipment/7009.png</v>
      </c>
      <c r="R2512" s="1">
        <v>1</v>
      </c>
    </row>
    <row r="2513" spans="1:18" s="12" customFormat="1" ht="14.25" thickBot="1">
      <c r="A2513" s="12">
        <f t="shared" si="91"/>
        <v>50400076</v>
      </c>
      <c r="B2513" s="2">
        <v>0</v>
      </c>
      <c r="C2513" s="12" t="s">
        <v>2501</v>
      </c>
      <c r="D2513" s="12" t="s">
        <v>14</v>
      </c>
      <c r="E2513" s="12">
        <v>7</v>
      </c>
      <c r="F2513" s="12">
        <v>5</v>
      </c>
      <c r="G2513" s="12">
        <v>40</v>
      </c>
      <c r="H2513" s="12">
        <v>0</v>
      </c>
      <c r="I2513" s="12">
        <v>86000</v>
      </c>
      <c r="J2513" s="12">
        <v>150</v>
      </c>
      <c r="K2513" s="12">
        <v>1500</v>
      </c>
      <c r="L2513" s="12">
        <v>25000</v>
      </c>
      <c r="M2513" s="12" t="s">
        <v>1933</v>
      </c>
      <c r="N2513" s="12" t="s">
        <v>2923</v>
      </c>
      <c r="O2513" s="12">
        <v>0</v>
      </c>
      <c r="P2513" s="12" t="s">
        <v>2053</v>
      </c>
      <c r="Q2513" s="7" t="str">
        <f t="shared" si="90"/>
        <v>equipment/7001.png</v>
      </c>
      <c r="R2513" s="1">
        <v>1</v>
      </c>
    </row>
    <row r="2514" spans="1:18" s="12" customFormat="1" ht="14.25" thickBot="1">
      <c r="A2514" s="12">
        <f t="shared" si="91"/>
        <v>50450015</v>
      </c>
      <c r="B2514" s="2">
        <v>0</v>
      </c>
      <c r="C2514" s="12" t="s">
        <v>2576</v>
      </c>
      <c r="D2514" s="12" t="s">
        <v>8</v>
      </c>
      <c r="E2514" s="12">
        <v>1</v>
      </c>
      <c r="F2514" s="12">
        <v>5</v>
      </c>
      <c r="G2514" s="12">
        <v>45</v>
      </c>
      <c r="H2514" s="12">
        <v>0</v>
      </c>
      <c r="I2514" s="12">
        <v>90000</v>
      </c>
      <c r="J2514" s="12">
        <v>150</v>
      </c>
      <c r="K2514" s="12">
        <v>1500</v>
      </c>
      <c r="L2514" s="12">
        <v>25000</v>
      </c>
      <c r="M2514" s="12" t="s">
        <v>1919</v>
      </c>
      <c r="N2514" s="12" t="s">
        <v>2925</v>
      </c>
      <c r="O2514" s="12">
        <v>0</v>
      </c>
      <c r="P2514" s="12" t="s">
        <v>2054</v>
      </c>
      <c r="Q2514" s="7" t="str">
        <f t="shared" si="90"/>
        <v>equipment/3003.png</v>
      </c>
      <c r="R2514" s="1">
        <v>1</v>
      </c>
    </row>
    <row r="2515" spans="1:18" s="12" customFormat="1" ht="14.25" thickBot="1">
      <c r="A2515" s="12">
        <f t="shared" si="91"/>
        <v>50450025</v>
      </c>
      <c r="B2515" s="2">
        <v>0</v>
      </c>
      <c r="C2515" s="12" t="s">
        <v>2577</v>
      </c>
      <c r="D2515" s="12" t="s">
        <v>9</v>
      </c>
      <c r="E2515" s="12">
        <v>2</v>
      </c>
      <c r="F2515" s="12">
        <v>5</v>
      </c>
      <c r="G2515" s="12">
        <v>45</v>
      </c>
      <c r="H2515" s="12">
        <v>0</v>
      </c>
      <c r="I2515" s="12">
        <v>90000</v>
      </c>
      <c r="J2515" s="12">
        <v>150</v>
      </c>
      <c r="K2515" s="12">
        <v>1500</v>
      </c>
      <c r="L2515" s="12">
        <v>25000</v>
      </c>
      <c r="M2515" s="12" t="s">
        <v>1920</v>
      </c>
      <c r="N2515" s="12" t="s">
        <v>2925</v>
      </c>
      <c r="O2515" s="12">
        <v>0</v>
      </c>
      <c r="P2515" s="12" t="s">
        <v>2054</v>
      </c>
      <c r="Q2515" s="7" t="str">
        <f t="shared" si="90"/>
        <v>equipment/14001.png</v>
      </c>
      <c r="R2515" s="1">
        <v>1</v>
      </c>
    </row>
    <row r="2516" spans="1:18" s="12" customFormat="1" ht="14.25" thickBot="1">
      <c r="A2516" s="12">
        <f t="shared" si="91"/>
        <v>50450035</v>
      </c>
      <c r="B2516" s="2">
        <v>0</v>
      </c>
      <c r="C2516" s="12" t="s">
        <v>2578</v>
      </c>
      <c r="D2516" s="12" t="s">
        <v>10</v>
      </c>
      <c r="E2516" s="12">
        <v>3</v>
      </c>
      <c r="F2516" s="12">
        <v>5</v>
      </c>
      <c r="G2516" s="12">
        <v>45</v>
      </c>
      <c r="H2516" s="12">
        <v>0</v>
      </c>
      <c r="I2516" s="12">
        <v>90000</v>
      </c>
      <c r="J2516" s="12">
        <v>150</v>
      </c>
      <c r="K2516" s="12">
        <v>1500</v>
      </c>
      <c r="L2516" s="12">
        <v>25000</v>
      </c>
      <c r="M2516" s="12" t="s">
        <v>1934</v>
      </c>
      <c r="N2516" s="12" t="s">
        <v>2925</v>
      </c>
      <c r="O2516" s="12">
        <v>0</v>
      </c>
      <c r="P2516" s="12" t="s">
        <v>2054</v>
      </c>
      <c r="Q2516" s="7" t="str">
        <f t="shared" si="90"/>
        <v>equipment/6008.png</v>
      </c>
      <c r="R2516" s="1">
        <v>1</v>
      </c>
    </row>
    <row r="2517" spans="1:18" s="12" customFormat="1" ht="14.25" thickBot="1">
      <c r="A2517" s="12">
        <f t="shared" si="91"/>
        <v>50450085</v>
      </c>
      <c r="B2517" s="2">
        <v>0</v>
      </c>
      <c r="C2517" s="12" t="s">
        <v>2070</v>
      </c>
      <c r="D2517" s="12" t="s">
        <v>15</v>
      </c>
      <c r="E2517" s="12">
        <v>8</v>
      </c>
      <c r="F2517" s="12">
        <v>5</v>
      </c>
      <c r="G2517" s="12">
        <v>45</v>
      </c>
      <c r="H2517" s="12">
        <v>0</v>
      </c>
      <c r="I2517" s="12">
        <v>90000</v>
      </c>
      <c r="J2517" s="12">
        <v>150</v>
      </c>
      <c r="K2517" s="12">
        <v>1500</v>
      </c>
      <c r="L2517" s="12">
        <v>25000</v>
      </c>
      <c r="M2517" s="12" t="s">
        <v>1935</v>
      </c>
      <c r="N2517" s="12" t="s">
        <v>2925</v>
      </c>
      <c r="O2517" s="12">
        <v>0</v>
      </c>
      <c r="P2517" s="12" t="s">
        <v>2054</v>
      </c>
      <c r="Q2517" s="7" t="str">
        <f t="shared" ref="Q2517:Q2580" si="92">Q2055</f>
        <v>equipment/8008.png</v>
      </c>
      <c r="R2517" s="1">
        <v>1</v>
      </c>
    </row>
    <row r="2518" spans="1:18" s="12" customFormat="1" ht="14.25" thickBot="1">
      <c r="A2518" s="12">
        <f t="shared" si="91"/>
        <v>50450095</v>
      </c>
      <c r="B2518" s="2">
        <v>0</v>
      </c>
      <c r="C2518" s="12" t="s">
        <v>2579</v>
      </c>
      <c r="D2518" s="12" t="s">
        <v>16</v>
      </c>
      <c r="E2518" s="12">
        <v>9</v>
      </c>
      <c r="F2518" s="12">
        <v>5</v>
      </c>
      <c r="G2518" s="12">
        <v>45</v>
      </c>
      <c r="H2518" s="12">
        <v>0</v>
      </c>
      <c r="I2518" s="12">
        <v>90000</v>
      </c>
      <c r="J2518" s="12">
        <v>150</v>
      </c>
      <c r="K2518" s="12">
        <v>1500</v>
      </c>
      <c r="L2518" s="12">
        <v>25000</v>
      </c>
      <c r="M2518" s="12" t="s">
        <v>1936</v>
      </c>
      <c r="N2518" s="12" t="s">
        <v>2925</v>
      </c>
      <c r="O2518" s="12">
        <v>0</v>
      </c>
      <c r="P2518" s="12" t="s">
        <v>2054</v>
      </c>
      <c r="Q2518" s="7" t="str">
        <f t="shared" si="92"/>
        <v>equipment/10008.png</v>
      </c>
      <c r="R2518" s="1">
        <v>1</v>
      </c>
    </row>
    <row r="2519" spans="1:18" s="12" customFormat="1" ht="14.25" thickBot="1">
      <c r="A2519" s="12">
        <f t="shared" si="91"/>
        <v>50450105</v>
      </c>
      <c r="B2519" s="2">
        <v>0</v>
      </c>
      <c r="C2519" s="12" t="s">
        <v>2580</v>
      </c>
      <c r="D2519" s="12" t="s">
        <v>17</v>
      </c>
      <c r="E2519" s="12">
        <v>10</v>
      </c>
      <c r="F2519" s="12">
        <v>5</v>
      </c>
      <c r="G2519" s="12">
        <v>45</v>
      </c>
      <c r="H2519" s="12">
        <v>0</v>
      </c>
      <c r="I2519" s="12">
        <v>90000</v>
      </c>
      <c r="J2519" s="12">
        <v>150</v>
      </c>
      <c r="K2519" s="12">
        <v>1500</v>
      </c>
      <c r="L2519" s="12">
        <v>25000</v>
      </c>
      <c r="M2519" s="12" t="s">
        <v>1937</v>
      </c>
      <c r="N2519" s="12" t="s">
        <v>2925</v>
      </c>
      <c r="O2519" s="12">
        <v>0</v>
      </c>
      <c r="P2519" s="12" t="s">
        <v>2054</v>
      </c>
      <c r="Q2519" s="7" t="str">
        <f t="shared" si="92"/>
        <v>equipment/12007.png</v>
      </c>
      <c r="R2519" s="1">
        <v>1</v>
      </c>
    </row>
    <row r="2520" spans="1:18" s="12" customFormat="1" ht="14.25" thickBot="1">
      <c r="A2520" s="12">
        <f t="shared" si="91"/>
        <v>50451055</v>
      </c>
      <c r="B2520" s="2">
        <v>0</v>
      </c>
      <c r="C2520" s="12" t="s">
        <v>2581</v>
      </c>
      <c r="D2520" s="12" t="s">
        <v>12</v>
      </c>
      <c r="E2520" s="12">
        <v>5</v>
      </c>
      <c r="F2520" s="12">
        <v>5</v>
      </c>
      <c r="G2520" s="12">
        <v>45</v>
      </c>
      <c r="H2520" s="12" t="s">
        <v>2120</v>
      </c>
      <c r="I2520" s="12">
        <v>90000</v>
      </c>
      <c r="J2520" s="12">
        <v>150</v>
      </c>
      <c r="K2520" s="12">
        <v>1500</v>
      </c>
      <c r="L2520" s="12">
        <v>25000</v>
      </c>
      <c r="M2520" s="12" t="s">
        <v>2020</v>
      </c>
      <c r="N2520" s="12" t="s">
        <v>2926</v>
      </c>
      <c r="O2520" s="12">
        <v>0</v>
      </c>
      <c r="P2520" s="12" t="s">
        <v>2054</v>
      </c>
      <c r="Q2520" s="7" t="str">
        <f t="shared" si="92"/>
        <v>equipment/1117.png</v>
      </c>
      <c r="R2520" s="1">
        <v>1</v>
      </c>
    </row>
    <row r="2521" spans="1:18" s="12" customFormat="1" ht="14.25" thickBot="1">
      <c r="A2521" s="12">
        <f t="shared" si="91"/>
        <v>50451056</v>
      </c>
      <c r="B2521" s="2">
        <v>0</v>
      </c>
      <c r="C2521" s="12" t="s">
        <v>2491</v>
      </c>
      <c r="D2521" s="12" t="s">
        <v>12</v>
      </c>
      <c r="E2521" s="12">
        <v>5</v>
      </c>
      <c r="F2521" s="12">
        <v>5</v>
      </c>
      <c r="G2521" s="12">
        <v>45</v>
      </c>
      <c r="H2521" s="12" t="s">
        <v>2120</v>
      </c>
      <c r="I2521" s="12">
        <v>96000</v>
      </c>
      <c r="J2521" s="12">
        <v>150</v>
      </c>
      <c r="K2521" s="12">
        <v>1500</v>
      </c>
      <c r="L2521" s="12">
        <v>27500</v>
      </c>
      <c r="M2521" s="12" t="s">
        <v>2021</v>
      </c>
      <c r="N2521" s="12" t="s">
        <v>2926</v>
      </c>
      <c r="O2521" s="12">
        <v>0</v>
      </c>
      <c r="P2521" s="12" t="s">
        <v>2054</v>
      </c>
      <c r="Q2521" s="7" t="str">
        <f t="shared" si="92"/>
        <v>equipment/1101.png</v>
      </c>
      <c r="R2521" s="1">
        <v>1</v>
      </c>
    </row>
    <row r="2522" spans="1:18" s="12" customFormat="1" ht="14.25" thickBot="1">
      <c r="A2522" s="12">
        <f t="shared" si="91"/>
        <v>50451065</v>
      </c>
      <c r="B2522" s="2">
        <v>0</v>
      </c>
      <c r="C2522" s="12" t="s">
        <v>2582</v>
      </c>
      <c r="D2522" s="12" t="s">
        <v>13</v>
      </c>
      <c r="E2522" s="12">
        <v>6</v>
      </c>
      <c r="F2522" s="12">
        <v>5</v>
      </c>
      <c r="G2522" s="12">
        <v>45</v>
      </c>
      <c r="H2522" s="12" t="s">
        <v>2120</v>
      </c>
      <c r="I2522" s="12">
        <v>90000</v>
      </c>
      <c r="J2522" s="12">
        <v>150</v>
      </c>
      <c r="K2522" s="12">
        <v>1500</v>
      </c>
      <c r="L2522" s="12">
        <v>25000</v>
      </c>
      <c r="M2522" s="12" t="s">
        <v>1938</v>
      </c>
      <c r="N2522" s="12" t="s">
        <v>2926</v>
      </c>
      <c r="O2522" s="12">
        <v>0</v>
      </c>
      <c r="P2522" s="12" t="s">
        <v>2054</v>
      </c>
      <c r="Q2522" s="7" t="str">
        <f t="shared" si="92"/>
        <v>equipment/2110.png</v>
      </c>
      <c r="R2522" s="1">
        <v>1</v>
      </c>
    </row>
    <row r="2523" spans="1:18" s="12" customFormat="1" ht="14.25" thickBot="1">
      <c r="A2523" s="12">
        <f t="shared" si="91"/>
        <v>50451066</v>
      </c>
      <c r="B2523" s="2">
        <v>0</v>
      </c>
      <c r="C2523" s="12" t="s">
        <v>2061</v>
      </c>
      <c r="D2523" s="12" t="s">
        <v>13</v>
      </c>
      <c r="E2523" s="12">
        <v>6</v>
      </c>
      <c r="F2523" s="12">
        <v>5</v>
      </c>
      <c r="G2523" s="12">
        <v>45</v>
      </c>
      <c r="H2523" s="12" t="s">
        <v>2120</v>
      </c>
      <c r="I2523" s="12">
        <v>96000</v>
      </c>
      <c r="J2523" s="12">
        <v>150</v>
      </c>
      <c r="K2523" s="12">
        <v>1500</v>
      </c>
      <c r="L2523" s="12">
        <v>27500</v>
      </c>
      <c r="M2523" s="12" t="s">
        <v>1939</v>
      </c>
      <c r="N2523" s="12" t="s">
        <v>2926</v>
      </c>
      <c r="O2523" s="12">
        <v>0</v>
      </c>
      <c r="P2523" s="12" t="s">
        <v>2054</v>
      </c>
      <c r="Q2523" s="7" t="str">
        <f t="shared" si="92"/>
        <v>equipment/2101.png</v>
      </c>
      <c r="R2523" s="1">
        <v>1</v>
      </c>
    </row>
    <row r="2524" spans="1:18" s="12" customFormat="1" ht="14.25" thickBot="1">
      <c r="A2524" s="12">
        <f t="shared" si="91"/>
        <v>50452055</v>
      </c>
      <c r="B2524" s="2">
        <v>0</v>
      </c>
      <c r="C2524" s="12" t="s">
        <v>2583</v>
      </c>
      <c r="D2524" s="12" t="s">
        <v>12</v>
      </c>
      <c r="E2524" s="12">
        <v>5</v>
      </c>
      <c r="F2524" s="12">
        <v>5</v>
      </c>
      <c r="G2524" s="12">
        <v>45</v>
      </c>
      <c r="H2524" s="12" t="s">
        <v>2121</v>
      </c>
      <c r="I2524" s="12">
        <v>90000</v>
      </c>
      <c r="J2524" s="12">
        <v>150</v>
      </c>
      <c r="K2524" s="12">
        <v>1500</v>
      </c>
      <c r="L2524" s="12">
        <v>25000</v>
      </c>
      <c r="M2524" s="12" t="s">
        <v>2020</v>
      </c>
      <c r="N2524" s="12" t="s">
        <v>2926</v>
      </c>
      <c r="O2524" s="12">
        <v>0</v>
      </c>
      <c r="P2524" s="12" t="s">
        <v>2054</v>
      </c>
      <c r="Q2524" s="7" t="str">
        <f t="shared" si="92"/>
        <v>equipment/1217.png</v>
      </c>
      <c r="R2524" s="1">
        <v>1</v>
      </c>
    </row>
    <row r="2525" spans="1:18" s="12" customFormat="1" ht="14.25" thickBot="1">
      <c r="A2525" s="12">
        <f t="shared" si="91"/>
        <v>50452056</v>
      </c>
      <c r="B2525" s="2">
        <v>0</v>
      </c>
      <c r="C2525" s="12" t="s">
        <v>2494</v>
      </c>
      <c r="D2525" s="12" t="s">
        <v>12</v>
      </c>
      <c r="E2525" s="12">
        <v>5</v>
      </c>
      <c r="F2525" s="12">
        <v>5</v>
      </c>
      <c r="G2525" s="12">
        <v>45</v>
      </c>
      <c r="H2525" s="12" t="s">
        <v>2121</v>
      </c>
      <c r="I2525" s="12">
        <v>96000</v>
      </c>
      <c r="J2525" s="12">
        <v>150</v>
      </c>
      <c r="K2525" s="12">
        <v>1500</v>
      </c>
      <c r="L2525" s="12">
        <v>27500</v>
      </c>
      <c r="M2525" s="12" t="s">
        <v>2021</v>
      </c>
      <c r="N2525" s="12" t="s">
        <v>2926</v>
      </c>
      <c r="O2525" s="12">
        <v>0</v>
      </c>
      <c r="P2525" s="12" t="s">
        <v>2054</v>
      </c>
      <c r="Q2525" s="7" t="str">
        <f t="shared" si="92"/>
        <v>equipment/1201.png</v>
      </c>
      <c r="R2525" s="1">
        <v>1</v>
      </c>
    </row>
    <row r="2526" spans="1:18" s="12" customFormat="1" ht="14.25" thickBot="1">
      <c r="A2526" s="12">
        <f t="shared" si="91"/>
        <v>50452065</v>
      </c>
      <c r="B2526" s="2">
        <v>0</v>
      </c>
      <c r="C2526" s="12" t="s">
        <v>2584</v>
      </c>
      <c r="D2526" s="12" t="s">
        <v>13</v>
      </c>
      <c r="E2526" s="12">
        <v>6</v>
      </c>
      <c r="F2526" s="12">
        <v>5</v>
      </c>
      <c r="G2526" s="12">
        <v>45</v>
      </c>
      <c r="H2526" s="12" t="s">
        <v>2121</v>
      </c>
      <c r="I2526" s="12">
        <v>90000</v>
      </c>
      <c r="J2526" s="12">
        <v>150</v>
      </c>
      <c r="K2526" s="12">
        <v>1500</v>
      </c>
      <c r="L2526" s="12">
        <v>25000</v>
      </c>
      <c r="M2526" s="12" t="s">
        <v>1940</v>
      </c>
      <c r="N2526" s="12" t="s">
        <v>2926</v>
      </c>
      <c r="O2526" s="12">
        <v>0</v>
      </c>
      <c r="P2526" s="12" t="s">
        <v>2054</v>
      </c>
      <c r="Q2526" s="7" t="str">
        <f t="shared" si="92"/>
        <v>equipment/2211.png</v>
      </c>
      <c r="R2526" s="1">
        <v>1</v>
      </c>
    </row>
    <row r="2527" spans="1:18" s="12" customFormat="1" ht="14.25" thickBot="1">
      <c r="A2527" s="12">
        <f t="shared" si="91"/>
        <v>50452066</v>
      </c>
      <c r="B2527" s="2">
        <v>0</v>
      </c>
      <c r="C2527" s="12" t="s">
        <v>2094</v>
      </c>
      <c r="D2527" s="12" t="s">
        <v>13</v>
      </c>
      <c r="E2527" s="12">
        <v>6</v>
      </c>
      <c r="F2527" s="12">
        <v>5</v>
      </c>
      <c r="G2527" s="12">
        <v>45</v>
      </c>
      <c r="H2527" s="12" t="s">
        <v>2121</v>
      </c>
      <c r="I2527" s="12">
        <v>96000</v>
      </c>
      <c r="J2527" s="12">
        <v>150</v>
      </c>
      <c r="K2527" s="12">
        <v>1500</v>
      </c>
      <c r="L2527" s="12">
        <v>27500</v>
      </c>
      <c r="M2527" s="12" t="s">
        <v>1941</v>
      </c>
      <c r="N2527" s="12" t="s">
        <v>2926</v>
      </c>
      <c r="O2527" s="12">
        <v>0</v>
      </c>
      <c r="P2527" s="12" t="s">
        <v>2054</v>
      </c>
      <c r="Q2527" s="7" t="str">
        <f t="shared" si="92"/>
        <v>equipment/2201.png</v>
      </c>
      <c r="R2527" s="1">
        <v>1</v>
      </c>
    </row>
    <row r="2528" spans="1:18" s="12" customFormat="1" ht="14.25" thickBot="1">
      <c r="A2528" s="12">
        <f t="shared" si="91"/>
        <v>50453055</v>
      </c>
      <c r="B2528" s="2">
        <v>0</v>
      </c>
      <c r="C2528" s="12" t="s">
        <v>2585</v>
      </c>
      <c r="D2528" s="12" t="s">
        <v>12</v>
      </c>
      <c r="E2528" s="12">
        <v>5</v>
      </c>
      <c r="F2528" s="12">
        <v>5</v>
      </c>
      <c r="G2528" s="12">
        <v>45</v>
      </c>
      <c r="H2528" s="12" t="s">
        <v>2122</v>
      </c>
      <c r="I2528" s="12">
        <v>90000</v>
      </c>
      <c r="J2528" s="12">
        <v>150</v>
      </c>
      <c r="K2528" s="12">
        <v>1500</v>
      </c>
      <c r="L2528" s="12">
        <v>25000</v>
      </c>
      <c r="M2528" s="12" t="s">
        <v>2020</v>
      </c>
      <c r="N2528" s="12" t="s">
        <v>2926</v>
      </c>
      <c r="O2528" s="12">
        <v>0</v>
      </c>
      <c r="P2528" s="12" t="s">
        <v>2054</v>
      </c>
      <c r="Q2528" s="7" t="str">
        <f t="shared" si="92"/>
        <v>equipment/1316.png</v>
      </c>
      <c r="R2528" s="1">
        <v>1</v>
      </c>
    </row>
    <row r="2529" spans="1:18" s="12" customFormat="1" ht="14.25" thickBot="1">
      <c r="A2529" s="12">
        <f t="shared" si="91"/>
        <v>50453056</v>
      </c>
      <c r="B2529" s="2">
        <v>0</v>
      </c>
      <c r="C2529" s="12" t="s">
        <v>2586</v>
      </c>
      <c r="D2529" s="12" t="s">
        <v>12</v>
      </c>
      <c r="E2529" s="12">
        <v>5</v>
      </c>
      <c r="F2529" s="12">
        <v>5</v>
      </c>
      <c r="G2529" s="12">
        <v>45</v>
      </c>
      <c r="H2529" s="12" t="s">
        <v>2122</v>
      </c>
      <c r="I2529" s="12">
        <v>96000</v>
      </c>
      <c r="J2529" s="12">
        <v>150</v>
      </c>
      <c r="K2529" s="12">
        <v>1500</v>
      </c>
      <c r="L2529" s="12">
        <v>27500</v>
      </c>
      <c r="M2529" s="12" t="s">
        <v>2021</v>
      </c>
      <c r="N2529" s="12" t="s">
        <v>2926</v>
      </c>
      <c r="O2529" s="12">
        <v>0</v>
      </c>
      <c r="P2529" s="12" t="s">
        <v>2054</v>
      </c>
      <c r="Q2529" s="7" t="str">
        <f t="shared" si="92"/>
        <v>equipment/1318.png</v>
      </c>
      <c r="R2529" s="1">
        <v>1</v>
      </c>
    </row>
    <row r="2530" spans="1:18" s="12" customFormat="1" ht="14.25" thickBot="1">
      <c r="A2530" s="12">
        <f t="shared" si="91"/>
        <v>50453065</v>
      </c>
      <c r="B2530" s="2">
        <v>0</v>
      </c>
      <c r="C2530" s="12" t="s">
        <v>2587</v>
      </c>
      <c r="D2530" s="12" t="s">
        <v>13</v>
      </c>
      <c r="E2530" s="12">
        <v>6</v>
      </c>
      <c r="F2530" s="12">
        <v>5</v>
      </c>
      <c r="G2530" s="12">
        <v>45</v>
      </c>
      <c r="H2530" s="12" t="s">
        <v>2122</v>
      </c>
      <c r="I2530" s="12">
        <v>90000</v>
      </c>
      <c r="J2530" s="12">
        <v>150</v>
      </c>
      <c r="K2530" s="12">
        <v>1500</v>
      </c>
      <c r="L2530" s="12">
        <v>25000</v>
      </c>
      <c r="M2530" s="12" t="s">
        <v>1942</v>
      </c>
      <c r="N2530" s="12" t="s">
        <v>2926</v>
      </c>
      <c r="O2530" s="12">
        <v>0</v>
      </c>
      <c r="P2530" s="12" t="s">
        <v>2054</v>
      </c>
      <c r="Q2530" s="7" t="str">
        <f t="shared" si="92"/>
        <v>equipment/2310.png</v>
      </c>
      <c r="R2530" s="1">
        <v>1</v>
      </c>
    </row>
    <row r="2531" spans="1:18" s="12" customFormat="1" ht="14.25" thickBot="1">
      <c r="A2531" s="12">
        <f t="shared" si="91"/>
        <v>50453066</v>
      </c>
      <c r="B2531" s="2">
        <v>0</v>
      </c>
      <c r="C2531" s="12" t="s">
        <v>2095</v>
      </c>
      <c r="D2531" s="12" t="s">
        <v>13</v>
      </c>
      <c r="E2531" s="12">
        <v>6</v>
      </c>
      <c r="F2531" s="12">
        <v>5</v>
      </c>
      <c r="G2531" s="12">
        <v>45</v>
      </c>
      <c r="H2531" s="12" t="s">
        <v>2122</v>
      </c>
      <c r="I2531" s="12">
        <v>96000</v>
      </c>
      <c r="J2531" s="12">
        <v>150</v>
      </c>
      <c r="K2531" s="12">
        <v>1500</v>
      </c>
      <c r="L2531" s="12">
        <v>27500</v>
      </c>
      <c r="M2531" s="12" t="s">
        <v>1943</v>
      </c>
      <c r="N2531" s="12" t="s">
        <v>2926</v>
      </c>
      <c r="O2531" s="12">
        <v>0</v>
      </c>
      <c r="P2531" s="12" t="s">
        <v>2054</v>
      </c>
      <c r="Q2531" s="7" t="str">
        <f t="shared" si="92"/>
        <v>equipment/2301.png</v>
      </c>
      <c r="R2531" s="1">
        <v>1</v>
      </c>
    </row>
    <row r="2532" spans="1:18" s="12" customFormat="1" ht="14.25" thickBot="1">
      <c r="A2532" s="12">
        <f t="shared" si="91"/>
        <v>50450045</v>
      </c>
      <c r="B2532" s="2">
        <v>0</v>
      </c>
      <c r="C2532" s="12" t="s">
        <v>2588</v>
      </c>
      <c r="D2532" s="12" t="s">
        <v>11</v>
      </c>
      <c r="E2532" s="12">
        <v>4</v>
      </c>
      <c r="F2532" s="12">
        <v>5</v>
      </c>
      <c r="G2532" s="12">
        <v>45</v>
      </c>
      <c r="H2532" s="12">
        <v>0</v>
      </c>
      <c r="I2532" s="12">
        <v>90000</v>
      </c>
      <c r="J2532" s="12">
        <v>150</v>
      </c>
      <c r="K2532" s="12">
        <v>1500</v>
      </c>
      <c r="L2532" s="12">
        <v>25000</v>
      </c>
      <c r="M2532" s="12" t="s">
        <v>1944</v>
      </c>
      <c r="N2532" s="12" t="s">
        <v>2925</v>
      </c>
      <c r="O2532" s="12">
        <v>0</v>
      </c>
      <c r="P2532" s="12" t="s">
        <v>2054</v>
      </c>
      <c r="Q2532" s="7" t="str">
        <f t="shared" si="92"/>
        <v>equipment/5013.png</v>
      </c>
      <c r="R2532" s="1">
        <v>1</v>
      </c>
    </row>
    <row r="2533" spans="1:18" s="12" customFormat="1" ht="14.25" thickBot="1">
      <c r="A2533" s="12">
        <f t="shared" si="91"/>
        <v>50450046</v>
      </c>
      <c r="B2533" s="2">
        <v>0</v>
      </c>
      <c r="C2533" s="12" t="s">
        <v>2589</v>
      </c>
      <c r="D2533" s="12" t="s">
        <v>11</v>
      </c>
      <c r="E2533" s="12">
        <v>4</v>
      </c>
      <c r="F2533" s="12">
        <v>5</v>
      </c>
      <c r="G2533" s="12">
        <v>45</v>
      </c>
      <c r="H2533" s="12">
        <v>0</v>
      </c>
      <c r="I2533" s="12">
        <v>96000</v>
      </c>
      <c r="J2533" s="12">
        <v>150</v>
      </c>
      <c r="K2533" s="12">
        <v>1500</v>
      </c>
      <c r="L2533" s="12">
        <v>27500</v>
      </c>
      <c r="M2533" s="12" t="s">
        <v>1945</v>
      </c>
      <c r="N2533" s="12" t="s">
        <v>2925</v>
      </c>
      <c r="O2533" s="12">
        <v>0</v>
      </c>
      <c r="P2533" s="12" t="s">
        <v>2054</v>
      </c>
      <c r="Q2533" s="7" t="str">
        <f t="shared" si="92"/>
        <v>equipment/5014.png</v>
      </c>
      <c r="R2533" s="1">
        <v>1</v>
      </c>
    </row>
    <row r="2534" spans="1:18" s="12" customFormat="1" ht="14.25" thickBot="1">
      <c r="A2534" s="12">
        <f t="shared" si="91"/>
        <v>50450075</v>
      </c>
      <c r="B2534" s="2">
        <v>0</v>
      </c>
      <c r="C2534" s="12" t="s">
        <v>2092</v>
      </c>
      <c r="D2534" s="12" t="s">
        <v>14</v>
      </c>
      <c r="E2534" s="12">
        <v>7</v>
      </c>
      <c r="F2534" s="12">
        <v>5</v>
      </c>
      <c r="G2534" s="12">
        <v>45</v>
      </c>
      <c r="H2534" s="12">
        <v>0</v>
      </c>
      <c r="I2534" s="12">
        <v>90000</v>
      </c>
      <c r="J2534" s="12">
        <v>150</v>
      </c>
      <c r="K2534" s="12">
        <v>1500</v>
      </c>
      <c r="L2534" s="12">
        <v>25000</v>
      </c>
      <c r="M2534" s="12" t="s">
        <v>1930</v>
      </c>
      <c r="N2534" s="12" t="s">
        <v>2925</v>
      </c>
      <c r="O2534" s="12">
        <v>0</v>
      </c>
      <c r="P2534" s="12" t="s">
        <v>2054</v>
      </c>
      <c r="Q2534" s="7" t="str">
        <f t="shared" si="92"/>
        <v>equipment/7011.png</v>
      </c>
      <c r="R2534" s="1">
        <v>1</v>
      </c>
    </row>
    <row r="2535" spans="1:18" s="12" customFormat="1" ht="14.25" thickBot="1">
      <c r="A2535" s="12">
        <f t="shared" si="91"/>
        <v>50450076</v>
      </c>
      <c r="B2535" s="2">
        <v>0</v>
      </c>
      <c r="C2535" s="12" t="s">
        <v>2590</v>
      </c>
      <c r="D2535" s="12" t="s">
        <v>14</v>
      </c>
      <c r="E2535" s="12">
        <v>7</v>
      </c>
      <c r="F2535" s="12">
        <v>5</v>
      </c>
      <c r="G2535" s="12">
        <v>45</v>
      </c>
      <c r="H2535" s="12">
        <v>0</v>
      </c>
      <c r="I2535" s="12">
        <v>96000</v>
      </c>
      <c r="J2535" s="12">
        <v>150</v>
      </c>
      <c r="K2535" s="12">
        <v>1500</v>
      </c>
      <c r="L2535" s="12">
        <v>27500</v>
      </c>
      <c r="M2535" s="12" t="s">
        <v>1931</v>
      </c>
      <c r="N2535" s="12" t="s">
        <v>2925</v>
      </c>
      <c r="O2535" s="12">
        <v>0</v>
      </c>
      <c r="P2535" s="12" t="s">
        <v>2054</v>
      </c>
      <c r="Q2535" s="7" t="str">
        <f t="shared" si="92"/>
        <v>equipment/7010.png</v>
      </c>
      <c r="R2535" s="1">
        <v>1</v>
      </c>
    </row>
    <row r="2536" spans="1:18" s="12" customFormat="1" ht="14.25" thickBot="1">
      <c r="A2536" s="12">
        <f t="shared" si="91"/>
        <v>50500015</v>
      </c>
      <c r="B2536" s="2">
        <v>0</v>
      </c>
      <c r="C2536" s="12" t="s">
        <v>2591</v>
      </c>
      <c r="D2536" s="12" t="s">
        <v>8</v>
      </c>
      <c r="E2536" s="12">
        <v>1</v>
      </c>
      <c r="F2536" s="12">
        <v>5</v>
      </c>
      <c r="G2536" s="12">
        <v>50</v>
      </c>
      <c r="H2536" s="12">
        <v>0</v>
      </c>
      <c r="I2536" s="12">
        <v>100000</v>
      </c>
      <c r="J2536" s="12">
        <v>150</v>
      </c>
      <c r="K2536" s="12">
        <v>1500</v>
      </c>
      <c r="L2536" s="12">
        <v>27500</v>
      </c>
      <c r="M2536" s="12" t="s">
        <v>1946</v>
      </c>
      <c r="N2536" s="12" t="s">
        <v>2927</v>
      </c>
      <c r="O2536" s="12">
        <v>0</v>
      </c>
      <c r="P2536" s="12" t="s">
        <v>2055</v>
      </c>
      <c r="Q2536" s="7" t="str">
        <f t="shared" si="92"/>
        <v>equipment/3008.png</v>
      </c>
      <c r="R2536" s="1">
        <v>1</v>
      </c>
    </row>
    <row r="2537" spans="1:18" s="12" customFormat="1" ht="14.25" thickBot="1">
      <c r="A2537" s="12">
        <f t="shared" si="91"/>
        <v>50500025</v>
      </c>
      <c r="B2537" s="2">
        <v>0</v>
      </c>
      <c r="C2537" s="12" t="s">
        <v>2592</v>
      </c>
      <c r="D2537" s="12" t="s">
        <v>9</v>
      </c>
      <c r="E2537" s="12">
        <v>2</v>
      </c>
      <c r="F2537" s="12">
        <v>5</v>
      </c>
      <c r="G2537" s="12">
        <v>50</v>
      </c>
      <c r="H2537" s="12">
        <v>0</v>
      </c>
      <c r="I2537" s="12">
        <v>100000</v>
      </c>
      <c r="J2537" s="12">
        <v>150</v>
      </c>
      <c r="K2537" s="12">
        <v>1500</v>
      </c>
      <c r="L2537" s="12">
        <v>27500</v>
      </c>
      <c r="M2537" s="12" t="s">
        <v>1947</v>
      </c>
      <c r="N2537" s="12" t="s">
        <v>2927</v>
      </c>
      <c r="O2537" s="12">
        <v>0</v>
      </c>
      <c r="P2537" s="12" t="s">
        <v>2055</v>
      </c>
      <c r="Q2537" s="7" t="str">
        <f t="shared" si="92"/>
        <v>equipment/14008.png</v>
      </c>
      <c r="R2537" s="1">
        <v>1</v>
      </c>
    </row>
    <row r="2538" spans="1:18" s="12" customFormat="1" ht="14.25" thickBot="1">
      <c r="A2538" s="12">
        <f t="shared" si="91"/>
        <v>50500035</v>
      </c>
      <c r="B2538" s="2">
        <v>0</v>
      </c>
      <c r="C2538" s="12" t="s">
        <v>2593</v>
      </c>
      <c r="D2538" s="12" t="s">
        <v>10</v>
      </c>
      <c r="E2538" s="12">
        <v>3</v>
      </c>
      <c r="F2538" s="12">
        <v>5</v>
      </c>
      <c r="G2538" s="12">
        <v>50</v>
      </c>
      <c r="H2538" s="12">
        <v>0</v>
      </c>
      <c r="I2538" s="12">
        <v>100000</v>
      </c>
      <c r="J2538" s="12">
        <v>150</v>
      </c>
      <c r="K2538" s="12">
        <v>1500</v>
      </c>
      <c r="L2538" s="12">
        <v>27500</v>
      </c>
      <c r="M2538" s="12" t="s">
        <v>1948</v>
      </c>
      <c r="N2538" s="12" t="s">
        <v>2927</v>
      </c>
      <c r="O2538" s="12">
        <v>0</v>
      </c>
      <c r="P2538" s="12" t="s">
        <v>2055</v>
      </c>
      <c r="Q2538" s="7" t="str">
        <f t="shared" si="92"/>
        <v>equipment/6009.png</v>
      </c>
      <c r="R2538" s="1">
        <v>1</v>
      </c>
    </row>
    <row r="2539" spans="1:18" s="12" customFormat="1" ht="14.25" thickBot="1">
      <c r="A2539" s="12">
        <f t="shared" si="91"/>
        <v>50500085</v>
      </c>
      <c r="B2539" s="2">
        <v>0</v>
      </c>
      <c r="C2539" s="12" t="s">
        <v>2594</v>
      </c>
      <c r="D2539" s="12" t="s">
        <v>15</v>
      </c>
      <c r="E2539" s="12">
        <v>8</v>
      </c>
      <c r="F2539" s="12">
        <v>5</v>
      </c>
      <c r="G2539" s="12">
        <v>50</v>
      </c>
      <c r="H2539" s="12">
        <v>0</v>
      </c>
      <c r="I2539" s="12">
        <v>100000</v>
      </c>
      <c r="J2539" s="12">
        <v>150</v>
      </c>
      <c r="K2539" s="12">
        <v>1500</v>
      </c>
      <c r="L2539" s="12">
        <v>27500</v>
      </c>
      <c r="M2539" s="12" t="s">
        <v>1949</v>
      </c>
      <c r="N2539" s="12" t="s">
        <v>2927</v>
      </c>
      <c r="O2539" s="12">
        <v>0</v>
      </c>
      <c r="P2539" s="12" t="s">
        <v>2055</v>
      </c>
      <c r="Q2539" s="7" t="str">
        <f t="shared" si="92"/>
        <v>equipment/8004.png</v>
      </c>
      <c r="R2539" s="1">
        <v>1</v>
      </c>
    </row>
    <row r="2540" spans="1:18" s="12" customFormat="1" ht="14.25" thickBot="1">
      <c r="A2540" s="12">
        <f t="shared" si="91"/>
        <v>50500095</v>
      </c>
      <c r="B2540" s="2">
        <v>0</v>
      </c>
      <c r="C2540" s="12" t="s">
        <v>2075</v>
      </c>
      <c r="D2540" s="12" t="s">
        <v>16</v>
      </c>
      <c r="E2540" s="12">
        <v>9</v>
      </c>
      <c r="F2540" s="12">
        <v>5</v>
      </c>
      <c r="G2540" s="12">
        <v>50</v>
      </c>
      <c r="H2540" s="12">
        <v>0</v>
      </c>
      <c r="I2540" s="12">
        <v>100000</v>
      </c>
      <c r="J2540" s="12">
        <v>150</v>
      </c>
      <c r="K2540" s="12">
        <v>1500</v>
      </c>
      <c r="L2540" s="12">
        <v>27500</v>
      </c>
      <c r="M2540" s="12" t="s">
        <v>1950</v>
      </c>
      <c r="N2540" s="12" t="s">
        <v>2927</v>
      </c>
      <c r="O2540" s="12">
        <v>0</v>
      </c>
      <c r="P2540" s="12" t="s">
        <v>2055</v>
      </c>
      <c r="Q2540" s="7" t="str">
        <f t="shared" si="92"/>
        <v>equipment/10009.png</v>
      </c>
      <c r="R2540" s="1">
        <v>1</v>
      </c>
    </row>
    <row r="2541" spans="1:18" s="12" customFormat="1" ht="14.25" thickBot="1">
      <c r="A2541" s="12">
        <f t="shared" si="91"/>
        <v>50500105</v>
      </c>
      <c r="B2541" s="2">
        <v>0</v>
      </c>
      <c r="C2541" s="12" t="s">
        <v>2595</v>
      </c>
      <c r="D2541" s="12" t="s">
        <v>17</v>
      </c>
      <c r="E2541" s="12">
        <v>10</v>
      </c>
      <c r="F2541" s="12">
        <v>5</v>
      </c>
      <c r="G2541" s="12">
        <v>50</v>
      </c>
      <c r="H2541" s="12">
        <v>0</v>
      </c>
      <c r="I2541" s="12">
        <v>100000</v>
      </c>
      <c r="J2541" s="12">
        <v>150</v>
      </c>
      <c r="K2541" s="12">
        <v>1500</v>
      </c>
      <c r="L2541" s="12">
        <v>27500</v>
      </c>
      <c r="M2541" s="12" t="s">
        <v>1951</v>
      </c>
      <c r="N2541" s="12" t="s">
        <v>2927</v>
      </c>
      <c r="O2541" s="12">
        <v>0</v>
      </c>
      <c r="P2541" s="12" t="s">
        <v>2055</v>
      </c>
      <c r="Q2541" s="7" t="str">
        <f t="shared" si="92"/>
        <v>equipment/12008.png</v>
      </c>
      <c r="R2541" s="1">
        <v>1</v>
      </c>
    </row>
    <row r="2542" spans="1:18" s="12" customFormat="1" ht="14.25" thickBot="1">
      <c r="A2542" s="12">
        <f t="shared" si="91"/>
        <v>50501055</v>
      </c>
      <c r="B2542" s="2">
        <v>0</v>
      </c>
      <c r="C2542" s="12" t="s">
        <v>2596</v>
      </c>
      <c r="D2542" s="12" t="s">
        <v>12</v>
      </c>
      <c r="E2542" s="12">
        <v>5</v>
      </c>
      <c r="F2542" s="12">
        <v>5</v>
      </c>
      <c r="G2542" s="12">
        <v>50</v>
      </c>
      <c r="H2542" s="12" t="s">
        <v>2120</v>
      </c>
      <c r="I2542" s="12">
        <v>100000</v>
      </c>
      <c r="J2542" s="12">
        <v>150</v>
      </c>
      <c r="K2542" s="12">
        <v>1500</v>
      </c>
      <c r="L2542" s="12">
        <v>27500</v>
      </c>
      <c r="M2542" s="12" t="s">
        <v>1952</v>
      </c>
      <c r="N2542" s="12" t="s">
        <v>2928</v>
      </c>
      <c r="O2542" s="12">
        <v>0</v>
      </c>
      <c r="P2542" s="12" t="s">
        <v>2055</v>
      </c>
      <c r="Q2542" s="7" t="str">
        <f t="shared" si="92"/>
        <v>equipment/1119.png</v>
      </c>
      <c r="R2542" s="1">
        <v>1</v>
      </c>
    </row>
    <row r="2543" spans="1:18" s="12" customFormat="1" ht="14.25" thickBot="1">
      <c r="A2543" s="12">
        <f t="shared" si="91"/>
        <v>50501056</v>
      </c>
      <c r="B2543" s="2">
        <v>0</v>
      </c>
      <c r="C2543" s="12" t="s">
        <v>2597</v>
      </c>
      <c r="D2543" s="12" t="s">
        <v>12</v>
      </c>
      <c r="E2543" s="12">
        <v>5</v>
      </c>
      <c r="F2543" s="12">
        <v>5</v>
      </c>
      <c r="G2543" s="12">
        <v>50</v>
      </c>
      <c r="H2543" s="12" t="s">
        <v>2120</v>
      </c>
      <c r="I2543" s="12">
        <v>106000</v>
      </c>
      <c r="J2543" s="12">
        <v>150</v>
      </c>
      <c r="K2543" s="12">
        <v>1500</v>
      </c>
      <c r="L2543" s="12">
        <v>30000</v>
      </c>
      <c r="M2543" s="12" t="s">
        <v>1953</v>
      </c>
      <c r="N2543" s="12" t="s">
        <v>2928</v>
      </c>
      <c r="O2543" s="12">
        <v>0</v>
      </c>
      <c r="P2543" s="12" t="s">
        <v>2055</v>
      </c>
      <c r="Q2543" s="7" t="str">
        <f t="shared" si="92"/>
        <v>equipment/1120.png</v>
      </c>
      <c r="R2543" s="1">
        <v>1</v>
      </c>
    </row>
    <row r="2544" spans="1:18" s="12" customFormat="1" ht="14.25" thickBot="1">
      <c r="A2544" s="12">
        <f t="shared" si="91"/>
        <v>50501065</v>
      </c>
      <c r="B2544" s="2">
        <v>0</v>
      </c>
      <c r="C2544" s="12" t="s">
        <v>2598</v>
      </c>
      <c r="D2544" s="12" t="s">
        <v>13</v>
      </c>
      <c r="E2544" s="12">
        <v>6</v>
      </c>
      <c r="F2544" s="12">
        <v>5</v>
      </c>
      <c r="G2544" s="12">
        <v>50</v>
      </c>
      <c r="H2544" s="12" t="s">
        <v>2120</v>
      </c>
      <c r="I2544" s="12">
        <v>100000</v>
      </c>
      <c r="J2544" s="12">
        <v>150</v>
      </c>
      <c r="K2544" s="12">
        <v>1500</v>
      </c>
      <c r="L2544" s="12">
        <v>27500</v>
      </c>
      <c r="M2544" s="12" t="s">
        <v>1954</v>
      </c>
      <c r="N2544" s="12" t="s">
        <v>2928</v>
      </c>
      <c r="O2544" s="12">
        <v>0</v>
      </c>
      <c r="P2544" s="12" t="s">
        <v>2055</v>
      </c>
      <c r="Q2544" s="7" t="str">
        <f t="shared" si="92"/>
        <v>equipment/2111.png</v>
      </c>
      <c r="R2544" s="1">
        <v>1</v>
      </c>
    </row>
    <row r="2545" spans="1:18" s="12" customFormat="1" ht="14.25" thickBot="1">
      <c r="A2545" s="12">
        <f t="shared" si="91"/>
        <v>50501066</v>
      </c>
      <c r="B2545" s="2">
        <v>0</v>
      </c>
      <c r="C2545" s="12" t="s">
        <v>2599</v>
      </c>
      <c r="D2545" s="12" t="s">
        <v>13</v>
      </c>
      <c r="E2545" s="12">
        <v>6</v>
      </c>
      <c r="F2545" s="12">
        <v>5</v>
      </c>
      <c r="G2545" s="12">
        <v>50</v>
      </c>
      <c r="H2545" s="12" t="s">
        <v>2120</v>
      </c>
      <c r="I2545" s="12">
        <v>106000</v>
      </c>
      <c r="J2545" s="12">
        <v>150</v>
      </c>
      <c r="K2545" s="12">
        <v>1500</v>
      </c>
      <c r="L2545" s="12">
        <v>30000</v>
      </c>
      <c r="M2545" s="12" t="s">
        <v>1955</v>
      </c>
      <c r="N2545" s="12" t="s">
        <v>2928</v>
      </c>
      <c r="O2545" s="12">
        <v>0</v>
      </c>
      <c r="P2545" s="12" t="s">
        <v>2055</v>
      </c>
      <c r="Q2545" s="7" t="str">
        <f t="shared" si="92"/>
        <v>equipment/2112.png</v>
      </c>
      <c r="R2545" s="1">
        <v>1</v>
      </c>
    </row>
    <row r="2546" spans="1:18" s="12" customFormat="1" ht="14.25" thickBot="1">
      <c r="A2546" s="12">
        <f t="shared" si="91"/>
        <v>50502055</v>
      </c>
      <c r="B2546" s="2">
        <v>0</v>
      </c>
      <c r="C2546" s="12" t="s">
        <v>2600</v>
      </c>
      <c r="D2546" s="12" t="s">
        <v>12</v>
      </c>
      <c r="E2546" s="12">
        <v>5</v>
      </c>
      <c r="F2546" s="12">
        <v>5</v>
      </c>
      <c r="G2546" s="12">
        <v>50</v>
      </c>
      <c r="H2546" s="12" t="s">
        <v>2121</v>
      </c>
      <c r="I2546" s="12">
        <v>100000</v>
      </c>
      <c r="J2546" s="12">
        <v>150</v>
      </c>
      <c r="K2546" s="12">
        <v>1500</v>
      </c>
      <c r="L2546" s="12">
        <v>27500</v>
      </c>
      <c r="M2546" s="12" t="s">
        <v>1952</v>
      </c>
      <c r="N2546" s="12" t="s">
        <v>2928</v>
      </c>
      <c r="O2546" s="12">
        <v>0</v>
      </c>
      <c r="P2546" s="12" t="s">
        <v>2055</v>
      </c>
      <c r="Q2546" s="7" t="str">
        <f t="shared" si="92"/>
        <v>equipment/1218.png</v>
      </c>
      <c r="R2546" s="1">
        <v>1</v>
      </c>
    </row>
    <row r="2547" spans="1:18" s="12" customFormat="1" ht="14.25" thickBot="1">
      <c r="A2547" s="12">
        <f t="shared" si="91"/>
        <v>50502056</v>
      </c>
      <c r="B2547" s="2">
        <v>0</v>
      </c>
      <c r="C2547" s="12" t="s">
        <v>2601</v>
      </c>
      <c r="D2547" s="12" t="s">
        <v>12</v>
      </c>
      <c r="E2547" s="12">
        <v>5</v>
      </c>
      <c r="F2547" s="12">
        <v>5</v>
      </c>
      <c r="G2547" s="12">
        <v>50</v>
      </c>
      <c r="H2547" s="12" t="s">
        <v>2121</v>
      </c>
      <c r="I2547" s="12">
        <v>106000</v>
      </c>
      <c r="J2547" s="12">
        <v>150</v>
      </c>
      <c r="K2547" s="12">
        <v>1500</v>
      </c>
      <c r="L2547" s="12">
        <v>30000</v>
      </c>
      <c r="M2547" s="12" t="s">
        <v>1953</v>
      </c>
      <c r="N2547" s="12" t="s">
        <v>2928</v>
      </c>
      <c r="O2547" s="12">
        <v>0</v>
      </c>
      <c r="P2547" s="12" t="s">
        <v>2055</v>
      </c>
      <c r="Q2547" s="7" t="str">
        <f t="shared" si="92"/>
        <v>equipment/1221.png</v>
      </c>
      <c r="R2547" s="1">
        <v>1</v>
      </c>
    </row>
    <row r="2548" spans="1:18" s="12" customFormat="1" ht="14.25" thickBot="1">
      <c r="A2548" s="12">
        <f t="shared" si="91"/>
        <v>50502065</v>
      </c>
      <c r="B2548" s="2">
        <v>0</v>
      </c>
      <c r="C2548" s="12" t="s">
        <v>2602</v>
      </c>
      <c r="D2548" s="12" t="s">
        <v>13</v>
      </c>
      <c r="E2548" s="12">
        <v>6</v>
      </c>
      <c r="F2548" s="12">
        <v>5</v>
      </c>
      <c r="G2548" s="12">
        <v>50</v>
      </c>
      <c r="H2548" s="12" t="s">
        <v>2121</v>
      </c>
      <c r="I2548" s="12">
        <v>100000</v>
      </c>
      <c r="J2548" s="12">
        <v>150</v>
      </c>
      <c r="K2548" s="12">
        <v>1500</v>
      </c>
      <c r="L2548" s="12">
        <v>27500</v>
      </c>
      <c r="M2548" s="12" t="s">
        <v>1956</v>
      </c>
      <c r="N2548" s="12" t="s">
        <v>2928</v>
      </c>
      <c r="O2548" s="12">
        <v>0</v>
      </c>
      <c r="P2548" s="12" t="s">
        <v>2055</v>
      </c>
      <c r="Q2548" s="7" t="str">
        <f t="shared" si="92"/>
        <v>equipment/2210.png</v>
      </c>
      <c r="R2548" s="1">
        <v>1</v>
      </c>
    </row>
    <row r="2549" spans="1:18" s="12" customFormat="1" ht="14.25" thickBot="1">
      <c r="A2549" s="12">
        <f t="shared" si="91"/>
        <v>50502066</v>
      </c>
      <c r="B2549" s="2">
        <v>0</v>
      </c>
      <c r="C2549" s="12" t="s">
        <v>2603</v>
      </c>
      <c r="D2549" s="12" t="s">
        <v>13</v>
      </c>
      <c r="E2549" s="12">
        <v>6</v>
      </c>
      <c r="F2549" s="12">
        <v>5</v>
      </c>
      <c r="G2549" s="12">
        <v>50</v>
      </c>
      <c r="H2549" s="12" t="s">
        <v>2121</v>
      </c>
      <c r="I2549" s="12">
        <v>106000</v>
      </c>
      <c r="J2549" s="12">
        <v>150</v>
      </c>
      <c r="K2549" s="12">
        <v>1500</v>
      </c>
      <c r="L2549" s="12">
        <v>30000</v>
      </c>
      <c r="M2549" s="12" t="s">
        <v>1957</v>
      </c>
      <c r="N2549" s="12" t="s">
        <v>2928</v>
      </c>
      <c r="O2549" s="12">
        <v>0</v>
      </c>
      <c r="P2549" s="12" t="s">
        <v>2055</v>
      </c>
      <c r="Q2549" s="7" t="str">
        <f t="shared" si="92"/>
        <v>equipment/2212.png</v>
      </c>
      <c r="R2549" s="1">
        <v>1</v>
      </c>
    </row>
    <row r="2550" spans="1:18" s="12" customFormat="1" ht="14.25" thickBot="1">
      <c r="A2550" s="12">
        <f t="shared" si="91"/>
        <v>50503055</v>
      </c>
      <c r="B2550" s="2">
        <v>0</v>
      </c>
      <c r="C2550" s="12" t="s">
        <v>2604</v>
      </c>
      <c r="D2550" s="12" t="s">
        <v>12</v>
      </c>
      <c r="E2550" s="12">
        <v>5</v>
      </c>
      <c r="F2550" s="12">
        <v>5</v>
      </c>
      <c r="G2550" s="12">
        <v>50</v>
      </c>
      <c r="H2550" s="12" t="s">
        <v>2122</v>
      </c>
      <c r="I2550" s="12">
        <v>100000</v>
      </c>
      <c r="J2550" s="12">
        <v>150</v>
      </c>
      <c r="K2550" s="12">
        <v>1500</v>
      </c>
      <c r="L2550" s="12">
        <v>27500</v>
      </c>
      <c r="M2550" s="12" t="s">
        <v>1952</v>
      </c>
      <c r="N2550" s="12" t="s">
        <v>2928</v>
      </c>
      <c r="O2550" s="12">
        <v>0</v>
      </c>
      <c r="P2550" s="12" t="s">
        <v>2055</v>
      </c>
      <c r="Q2550" s="7" t="str">
        <f t="shared" si="92"/>
        <v>equipment/1319.png</v>
      </c>
      <c r="R2550" s="1">
        <v>1</v>
      </c>
    </row>
    <row r="2551" spans="1:18" s="12" customFormat="1" ht="14.25" thickBot="1">
      <c r="A2551" s="12">
        <f t="shared" si="91"/>
        <v>50503056</v>
      </c>
      <c r="B2551" s="2">
        <v>0</v>
      </c>
      <c r="C2551" s="12" t="s">
        <v>2605</v>
      </c>
      <c r="D2551" s="12" t="s">
        <v>12</v>
      </c>
      <c r="E2551" s="12">
        <v>5</v>
      </c>
      <c r="F2551" s="12">
        <v>5</v>
      </c>
      <c r="G2551" s="12">
        <v>50</v>
      </c>
      <c r="H2551" s="12" t="s">
        <v>2122</v>
      </c>
      <c r="I2551" s="12">
        <v>106000</v>
      </c>
      <c r="J2551" s="12">
        <v>150</v>
      </c>
      <c r="K2551" s="12">
        <v>1500</v>
      </c>
      <c r="L2551" s="12">
        <v>30000</v>
      </c>
      <c r="M2551" s="12" t="s">
        <v>1953</v>
      </c>
      <c r="N2551" s="12" t="s">
        <v>2928</v>
      </c>
      <c r="O2551" s="12">
        <v>0</v>
      </c>
      <c r="P2551" s="12" t="s">
        <v>2055</v>
      </c>
      <c r="Q2551" s="7" t="str">
        <f t="shared" si="92"/>
        <v>equipment/1320.png</v>
      </c>
      <c r="R2551" s="1">
        <v>1</v>
      </c>
    </row>
    <row r="2552" spans="1:18" s="12" customFormat="1" ht="14.25" thickBot="1">
      <c r="A2552" s="12">
        <f t="shared" si="91"/>
        <v>50503065</v>
      </c>
      <c r="B2552" s="2">
        <v>0</v>
      </c>
      <c r="C2552" s="12" t="s">
        <v>2606</v>
      </c>
      <c r="D2552" s="12" t="s">
        <v>13</v>
      </c>
      <c r="E2552" s="12">
        <v>6</v>
      </c>
      <c r="F2552" s="12">
        <v>5</v>
      </c>
      <c r="G2552" s="12">
        <v>50</v>
      </c>
      <c r="H2552" s="12" t="s">
        <v>2122</v>
      </c>
      <c r="I2552" s="12">
        <v>100000</v>
      </c>
      <c r="J2552" s="12">
        <v>150</v>
      </c>
      <c r="K2552" s="12">
        <v>1500</v>
      </c>
      <c r="L2552" s="12">
        <v>27500</v>
      </c>
      <c r="M2552" s="12" t="s">
        <v>1958</v>
      </c>
      <c r="N2552" s="12" t="s">
        <v>2928</v>
      </c>
      <c r="O2552" s="12">
        <v>0</v>
      </c>
      <c r="P2552" s="12" t="s">
        <v>2055</v>
      </c>
      <c r="Q2552" s="7" t="str">
        <f t="shared" si="92"/>
        <v>equipment/2311.png</v>
      </c>
      <c r="R2552" s="1">
        <v>1</v>
      </c>
    </row>
    <row r="2553" spans="1:18" s="12" customFormat="1" ht="14.25" thickBot="1">
      <c r="A2553" s="12">
        <f t="shared" si="91"/>
        <v>50503066</v>
      </c>
      <c r="B2553" s="2">
        <v>0</v>
      </c>
      <c r="C2553" s="12" t="s">
        <v>2607</v>
      </c>
      <c r="D2553" s="12" t="s">
        <v>13</v>
      </c>
      <c r="E2553" s="12">
        <v>6</v>
      </c>
      <c r="F2553" s="12">
        <v>5</v>
      </c>
      <c r="G2553" s="12">
        <v>50</v>
      </c>
      <c r="H2553" s="12" t="s">
        <v>2122</v>
      </c>
      <c r="I2553" s="12">
        <v>106000</v>
      </c>
      <c r="J2553" s="12">
        <v>150</v>
      </c>
      <c r="K2553" s="12">
        <v>1500</v>
      </c>
      <c r="L2553" s="12">
        <v>30000</v>
      </c>
      <c r="M2553" s="12" t="s">
        <v>1959</v>
      </c>
      <c r="N2553" s="12" t="s">
        <v>2928</v>
      </c>
      <c r="O2553" s="12">
        <v>0</v>
      </c>
      <c r="P2553" s="12" t="s">
        <v>2055</v>
      </c>
      <c r="Q2553" s="7" t="str">
        <f t="shared" si="92"/>
        <v>equipment/2312.png</v>
      </c>
      <c r="R2553" s="1">
        <v>1</v>
      </c>
    </row>
    <row r="2554" spans="1:18" s="12" customFormat="1" ht="14.25" thickBot="1">
      <c r="A2554" s="12">
        <f t="shared" si="91"/>
        <v>50500045</v>
      </c>
      <c r="B2554" s="2">
        <v>0</v>
      </c>
      <c r="C2554" s="12" t="s">
        <v>2608</v>
      </c>
      <c r="D2554" s="12" t="s">
        <v>11</v>
      </c>
      <c r="E2554" s="12">
        <v>4</v>
      </c>
      <c r="F2554" s="12">
        <v>5</v>
      </c>
      <c r="G2554" s="12">
        <v>50</v>
      </c>
      <c r="H2554" s="12">
        <v>0</v>
      </c>
      <c r="I2554" s="12">
        <v>100000</v>
      </c>
      <c r="J2554" s="12">
        <v>150</v>
      </c>
      <c r="K2554" s="12">
        <v>1500</v>
      </c>
      <c r="L2554" s="12">
        <v>27500</v>
      </c>
      <c r="M2554" s="12" t="s">
        <v>1960</v>
      </c>
      <c r="N2554" s="12" t="s">
        <v>2927</v>
      </c>
      <c r="O2554" s="12">
        <v>0</v>
      </c>
      <c r="P2554" s="12" t="s">
        <v>2055</v>
      </c>
      <c r="Q2554" s="7" t="str">
        <f t="shared" si="92"/>
        <v>equipment/5003.png</v>
      </c>
      <c r="R2554" s="1">
        <v>1</v>
      </c>
    </row>
    <row r="2555" spans="1:18" s="12" customFormat="1" ht="14.25" thickBot="1">
      <c r="A2555" s="12">
        <f t="shared" si="91"/>
        <v>50500046</v>
      </c>
      <c r="B2555" s="2">
        <v>0</v>
      </c>
      <c r="C2555" s="12" t="s">
        <v>2499</v>
      </c>
      <c r="D2555" s="12" t="s">
        <v>11</v>
      </c>
      <c r="E2555" s="12">
        <v>4</v>
      </c>
      <c r="F2555" s="12">
        <v>5</v>
      </c>
      <c r="G2555" s="12">
        <v>50</v>
      </c>
      <c r="H2555" s="12">
        <v>0</v>
      </c>
      <c r="I2555" s="12">
        <v>106000</v>
      </c>
      <c r="J2555" s="12">
        <v>150</v>
      </c>
      <c r="K2555" s="12">
        <v>1500</v>
      </c>
      <c r="L2555" s="12">
        <v>30000</v>
      </c>
      <c r="M2555" s="12" t="s">
        <v>1961</v>
      </c>
      <c r="N2555" s="12" t="s">
        <v>2927</v>
      </c>
      <c r="O2555" s="12">
        <v>0</v>
      </c>
      <c r="P2555" s="12" t="s">
        <v>2055</v>
      </c>
      <c r="Q2555" s="7" t="str">
        <f t="shared" si="92"/>
        <v>equipment/5001.png</v>
      </c>
      <c r="R2555" s="1">
        <v>1</v>
      </c>
    </row>
    <row r="2556" spans="1:18" s="12" customFormat="1" ht="14.25" thickBot="1">
      <c r="A2556" s="12">
        <f t="shared" si="91"/>
        <v>50500075</v>
      </c>
      <c r="B2556" s="2">
        <v>0</v>
      </c>
      <c r="C2556" s="12" t="s">
        <v>2609</v>
      </c>
      <c r="D2556" s="12" t="s">
        <v>14</v>
      </c>
      <c r="E2556" s="12">
        <v>7</v>
      </c>
      <c r="F2556" s="12">
        <v>5</v>
      </c>
      <c r="G2556" s="12">
        <v>50</v>
      </c>
      <c r="H2556" s="12">
        <v>0</v>
      </c>
      <c r="I2556" s="12">
        <v>100000</v>
      </c>
      <c r="J2556" s="12">
        <v>150</v>
      </c>
      <c r="K2556" s="12">
        <v>1500</v>
      </c>
      <c r="L2556" s="12">
        <v>27500</v>
      </c>
      <c r="M2556" s="12" t="s">
        <v>1944</v>
      </c>
      <c r="N2556" s="12" t="s">
        <v>2927</v>
      </c>
      <c r="O2556" s="12">
        <v>0</v>
      </c>
      <c r="P2556" s="12" t="s">
        <v>2055</v>
      </c>
      <c r="Q2556" s="7" t="str">
        <f t="shared" si="92"/>
        <v>equipment/7012.png</v>
      </c>
      <c r="R2556" s="1">
        <v>1</v>
      </c>
    </row>
    <row r="2557" spans="1:18" s="12" customFormat="1" ht="14.25" thickBot="1">
      <c r="A2557" s="12">
        <f t="shared" si="91"/>
        <v>50500076</v>
      </c>
      <c r="B2557" s="2">
        <v>0</v>
      </c>
      <c r="C2557" s="12" t="s">
        <v>2501</v>
      </c>
      <c r="D2557" s="12" t="s">
        <v>14</v>
      </c>
      <c r="E2557" s="12">
        <v>7</v>
      </c>
      <c r="F2557" s="12">
        <v>5</v>
      </c>
      <c r="G2557" s="12">
        <v>50</v>
      </c>
      <c r="H2557" s="12">
        <v>0</v>
      </c>
      <c r="I2557" s="12">
        <v>106000</v>
      </c>
      <c r="J2557" s="12">
        <v>150</v>
      </c>
      <c r="K2557" s="12">
        <v>1500</v>
      </c>
      <c r="L2557" s="12">
        <v>30000</v>
      </c>
      <c r="M2557" s="12" t="s">
        <v>1945</v>
      </c>
      <c r="N2557" s="12" t="s">
        <v>2927</v>
      </c>
      <c r="O2557" s="12">
        <v>0</v>
      </c>
      <c r="P2557" s="12" t="s">
        <v>2055</v>
      </c>
      <c r="Q2557" s="7" t="str">
        <f t="shared" si="92"/>
        <v>equipment/7001.png</v>
      </c>
      <c r="R2557" s="1">
        <v>1</v>
      </c>
    </row>
    <row r="2558" spans="1:18" s="12" customFormat="1" ht="14.25" thickBot="1">
      <c r="A2558" s="12">
        <f t="shared" si="91"/>
        <v>50550015</v>
      </c>
      <c r="B2558" s="2">
        <v>0</v>
      </c>
      <c r="C2558" s="12" t="s">
        <v>2610</v>
      </c>
      <c r="D2558" s="12" t="s">
        <v>8</v>
      </c>
      <c r="E2558" s="12">
        <v>1</v>
      </c>
      <c r="F2558" s="12">
        <v>5</v>
      </c>
      <c r="G2558" s="12">
        <v>55</v>
      </c>
      <c r="H2558" s="12">
        <v>0</v>
      </c>
      <c r="I2558" s="12">
        <v>110000</v>
      </c>
      <c r="J2558" s="12">
        <v>150</v>
      </c>
      <c r="K2558" s="12">
        <v>1500</v>
      </c>
      <c r="L2558" s="12">
        <v>30000</v>
      </c>
      <c r="M2558" s="12" t="s">
        <v>1962</v>
      </c>
      <c r="N2558" s="12" t="s">
        <v>2929</v>
      </c>
      <c r="O2558" s="12">
        <v>0</v>
      </c>
      <c r="P2558" s="12" t="s">
        <v>2056</v>
      </c>
      <c r="Q2558" s="7" t="str">
        <f t="shared" si="92"/>
        <v>equipment/3009.png</v>
      </c>
      <c r="R2558" s="1">
        <v>1</v>
      </c>
    </row>
    <row r="2559" spans="1:18" s="12" customFormat="1" ht="14.25" thickBot="1">
      <c r="A2559" s="12">
        <f t="shared" si="91"/>
        <v>50550025</v>
      </c>
      <c r="B2559" s="2">
        <v>0</v>
      </c>
      <c r="C2559" s="12" t="s">
        <v>2611</v>
      </c>
      <c r="D2559" s="12" t="s">
        <v>9</v>
      </c>
      <c r="E2559" s="12">
        <v>2</v>
      </c>
      <c r="F2559" s="12">
        <v>5</v>
      </c>
      <c r="G2559" s="12">
        <v>55</v>
      </c>
      <c r="H2559" s="12">
        <v>0</v>
      </c>
      <c r="I2559" s="12">
        <v>110000</v>
      </c>
      <c r="J2559" s="12">
        <v>150</v>
      </c>
      <c r="K2559" s="12">
        <v>1500</v>
      </c>
      <c r="L2559" s="12">
        <v>30000</v>
      </c>
      <c r="M2559" s="12" t="s">
        <v>1963</v>
      </c>
      <c r="N2559" s="12" t="s">
        <v>2929</v>
      </c>
      <c r="O2559" s="12">
        <v>0</v>
      </c>
      <c r="P2559" s="12" t="s">
        <v>2056</v>
      </c>
      <c r="Q2559" s="7" t="str">
        <f t="shared" si="92"/>
        <v>equipment/14009.png</v>
      </c>
      <c r="R2559" s="1">
        <v>1</v>
      </c>
    </row>
    <row r="2560" spans="1:18" s="12" customFormat="1" ht="14.25" thickBot="1">
      <c r="A2560" s="12">
        <f t="shared" si="91"/>
        <v>50550035</v>
      </c>
      <c r="B2560" s="2">
        <v>0</v>
      </c>
      <c r="C2560" s="12" t="s">
        <v>2612</v>
      </c>
      <c r="D2560" s="12" t="s">
        <v>10</v>
      </c>
      <c r="E2560" s="12">
        <v>3</v>
      </c>
      <c r="F2560" s="12">
        <v>5</v>
      </c>
      <c r="G2560" s="12">
        <v>55</v>
      </c>
      <c r="H2560" s="12">
        <v>0</v>
      </c>
      <c r="I2560" s="12">
        <v>110000</v>
      </c>
      <c r="J2560" s="12">
        <v>150</v>
      </c>
      <c r="K2560" s="12">
        <v>1500</v>
      </c>
      <c r="L2560" s="12">
        <v>30000</v>
      </c>
      <c r="M2560" s="12" t="s">
        <v>2475</v>
      </c>
      <c r="N2560" s="12" t="s">
        <v>2929</v>
      </c>
      <c r="O2560" s="12">
        <v>0</v>
      </c>
      <c r="P2560" s="12" t="s">
        <v>2056</v>
      </c>
      <c r="Q2560" s="7" t="str">
        <f t="shared" si="92"/>
        <v>equipment/6004.png</v>
      </c>
      <c r="R2560" s="1">
        <v>1</v>
      </c>
    </row>
    <row r="2561" spans="1:18" s="12" customFormat="1" ht="14.25" thickBot="1">
      <c r="A2561" s="12">
        <f t="shared" si="91"/>
        <v>50550085</v>
      </c>
      <c r="B2561" s="2">
        <v>0</v>
      </c>
      <c r="C2561" s="12" t="s">
        <v>2613</v>
      </c>
      <c r="D2561" s="12" t="s">
        <v>15</v>
      </c>
      <c r="E2561" s="12">
        <v>8</v>
      </c>
      <c r="F2561" s="12">
        <v>5</v>
      </c>
      <c r="G2561" s="12">
        <v>55</v>
      </c>
      <c r="H2561" s="12">
        <v>0</v>
      </c>
      <c r="I2561" s="12">
        <v>110000</v>
      </c>
      <c r="J2561" s="12">
        <v>150</v>
      </c>
      <c r="K2561" s="12">
        <v>1500</v>
      </c>
      <c r="L2561" s="12">
        <v>30000</v>
      </c>
      <c r="M2561" s="12" t="s">
        <v>1965</v>
      </c>
      <c r="N2561" s="12" t="s">
        <v>2929</v>
      </c>
      <c r="O2561" s="12">
        <v>0</v>
      </c>
      <c r="P2561" s="12" t="s">
        <v>2056</v>
      </c>
      <c r="Q2561" s="7" t="str">
        <f t="shared" si="92"/>
        <v>equipment/8009.png</v>
      </c>
      <c r="R2561" s="1">
        <v>1</v>
      </c>
    </row>
    <row r="2562" spans="1:18" s="12" customFormat="1" ht="14.25" thickBot="1">
      <c r="A2562" s="12">
        <f t="shared" si="91"/>
        <v>50550095</v>
      </c>
      <c r="B2562" s="2">
        <v>0</v>
      </c>
      <c r="C2562" s="12" t="s">
        <v>2872</v>
      </c>
      <c r="D2562" s="12" t="s">
        <v>16</v>
      </c>
      <c r="E2562" s="12">
        <v>9</v>
      </c>
      <c r="F2562" s="12">
        <v>5</v>
      </c>
      <c r="G2562" s="12">
        <v>55</v>
      </c>
      <c r="H2562" s="12">
        <v>0</v>
      </c>
      <c r="I2562" s="12">
        <v>110000</v>
      </c>
      <c r="J2562" s="12">
        <v>150</v>
      </c>
      <c r="K2562" s="12">
        <v>1500</v>
      </c>
      <c r="L2562" s="12">
        <v>30000</v>
      </c>
      <c r="M2562" s="12" t="s">
        <v>1950</v>
      </c>
      <c r="N2562" s="12" t="s">
        <v>2929</v>
      </c>
      <c r="O2562" s="12">
        <v>0</v>
      </c>
      <c r="P2562" s="12" t="s">
        <v>2056</v>
      </c>
      <c r="Q2562" s="7" t="str">
        <f t="shared" si="92"/>
        <v>equipment/10006.png</v>
      </c>
      <c r="R2562" s="1">
        <v>1</v>
      </c>
    </row>
    <row r="2563" spans="1:18" s="12" customFormat="1" ht="14.25" thickBot="1">
      <c r="A2563" s="12">
        <f t="shared" si="91"/>
        <v>50550105</v>
      </c>
      <c r="B2563" s="2">
        <v>0</v>
      </c>
      <c r="C2563" s="12" t="s">
        <v>2614</v>
      </c>
      <c r="D2563" s="12" t="s">
        <v>17</v>
      </c>
      <c r="E2563" s="12">
        <v>10</v>
      </c>
      <c r="F2563" s="12">
        <v>5</v>
      </c>
      <c r="G2563" s="12">
        <v>55</v>
      </c>
      <c r="H2563" s="12">
        <v>0</v>
      </c>
      <c r="I2563" s="12">
        <v>110000</v>
      </c>
      <c r="J2563" s="12">
        <v>150</v>
      </c>
      <c r="K2563" s="12">
        <v>1500</v>
      </c>
      <c r="L2563" s="12">
        <v>30000</v>
      </c>
      <c r="M2563" s="12" t="s">
        <v>1966</v>
      </c>
      <c r="N2563" s="12" t="s">
        <v>2929</v>
      </c>
      <c r="O2563" s="12">
        <v>0</v>
      </c>
      <c r="P2563" s="12" t="s">
        <v>2056</v>
      </c>
      <c r="Q2563" s="7" t="str">
        <f t="shared" si="92"/>
        <v>equipment/12009.png</v>
      </c>
      <c r="R2563" s="1">
        <v>1</v>
      </c>
    </row>
    <row r="2564" spans="1:18" s="12" customFormat="1" ht="14.25" thickBot="1">
      <c r="A2564" s="12">
        <f t="shared" si="91"/>
        <v>50551055</v>
      </c>
      <c r="B2564" s="2">
        <v>0</v>
      </c>
      <c r="C2564" s="12" t="s">
        <v>2615</v>
      </c>
      <c r="D2564" s="12" t="s">
        <v>12</v>
      </c>
      <c r="E2564" s="12">
        <v>5</v>
      </c>
      <c r="F2564" s="12">
        <v>5</v>
      </c>
      <c r="G2564" s="12">
        <v>55</v>
      </c>
      <c r="H2564" s="12" t="s">
        <v>2120</v>
      </c>
      <c r="I2564" s="12">
        <v>110000</v>
      </c>
      <c r="J2564" s="12">
        <v>150</v>
      </c>
      <c r="K2564" s="12">
        <v>1500</v>
      </c>
      <c r="L2564" s="12">
        <v>30000</v>
      </c>
      <c r="M2564" s="12" t="s">
        <v>2022</v>
      </c>
      <c r="N2564" s="12" t="s">
        <v>2930</v>
      </c>
      <c r="O2564" s="12">
        <v>0</v>
      </c>
      <c r="P2564" s="12" t="s">
        <v>2056</v>
      </c>
      <c r="Q2564" s="7" t="str">
        <f t="shared" si="92"/>
        <v>equipment/1121.png</v>
      </c>
      <c r="R2564" s="1">
        <v>1</v>
      </c>
    </row>
    <row r="2565" spans="1:18" s="12" customFormat="1" ht="14.25" thickBot="1">
      <c r="A2565" s="12">
        <f t="shared" si="91"/>
        <v>50551056</v>
      </c>
      <c r="B2565" s="2">
        <v>0</v>
      </c>
      <c r="C2565" s="12" t="s">
        <v>2491</v>
      </c>
      <c r="D2565" s="12" t="s">
        <v>12</v>
      </c>
      <c r="E2565" s="12">
        <v>5</v>
      </c>
      <c r="F2565" s="12">
        <v>5</v>
      </c>
      <c r="G2565" s="12">
        <v>55</v>
      </c>
      <c r="H2565" s="12" t="s">
        <v>2120</v>
      </c>
      <c r="I2565" s="12">
        <v>116000</v>
      </c>
      <c r="J2565" s="12">
        <v>150</v>
      </c>
      <c r="K2565" s="12">
        <v>1500</v>
      </c>
      <c r="L2565" s="12">
        <v>32500</v>
      </c>
      <c r="M2565" s="12" t="s">
        <v>2023</v>
      </c>
      <c r="N2565" s="12" t="s">
        <v>2930</v>
      </c>
      <c r="O2565" s="12">
        <v>0</v>
      </c>
      <c r="P2565" s="12" t="s">
        <v>2056</v>
      </c>
      <c r="Q2565" s="7" t="str">
        <f t="shared" si="92"/>
        <v>equipment/1101.png</v>
      </c>
      <c r="R2565" s="1">
        <v>1</v>
      </c>
    </row>
    <row r="2566" spans="1:18" s="12" customFormat="1" ht="14.25" thickBot="1">
      <c r="A2566" s="12">
        <f t="shared" si="91"/>
        <v>50551065</v>
      </c>
      <c r="B2566" s="2">
        <v>0</v>
      </c>
      <c r="C2566" s="12" t="s">
        <v>2616</v>
      </c>
      <c r="D2566" s="12" t="s">
        <v>13</v>
      </c>
      <c r="E2566" s="12">
        <v>6</v>
      </c>
      <c r="F2566" s="12">
        <v>5</v>
      </c>
      <c r="G2566" s="12">
        <v>55</v>
      </c>
      <c r="H2566" s="12" t="s">
        <v>2120</v>
      </c>
      <c r="I2566" s="12">
        <v>110000</v>
      </c>
      <c r="J2566" s="12">
        <v>150</v>
      </c>
      <c r="K2566" s="12">
        <v>1500</v>
      </c>
      <c r="L2566" s="12">
        <v>30000</v>
      </c>
      <c r="M2566" s="12" t="s">
        <v>1967</v>
      </c>
      <c r="N2566" s="12" t="s">
        <v>2930</v>
      </c>
      <c r="O2566" s="12">
        <v>0</v>
      </c>
      <c r="P2566" s="12" t="s">
        <v>2056</v>
      </c>
      <c r="Q2566" s="7" t="str">
        <f t="shared" si="92"/>
        <v>equipment/2113.png</v>
      </c>
      <c r="R2566" s="1">
        <v>1</v>
      </c>
    </row>
    <row r="2567" spans="1:18" s="12" customFormat="1" ht="14.25" thickBot="1">
      <c r="A2567" s="12">
        <f t="shared" si="91"/>
        <v>50551066</v>
      </c>
      <c r="B2567" s="2">
        <v>0</v>
      </c>
      <c r="C2567" s="12" t="s">
        <v>2617</v>
      </c>
      <c r="D2567" s="12" t="s">
        <v>13</v>
      </c>
      <c r="E2567" s="12">
        <v>6</v>
      </c>
      <c r="F2567" s="12">
        <v>5</v>
      </c>
      <c r="G2567" s="12">
        <v>55</v>
      </c>
      <c r="H2567" s="12" t="s">
        <v>2120</v>
      </c>
      <c r="I2567" s="12">
        <v>116000</v>
      </c>
      <c r="J2567" s="12">
        <v>150</v>
      </c>
      <c r="K2567" s="12">
        <v>1500</v>
      </c>
      <c r="L2567" s="12">
        <v>32500</v>
      </c>
      <c r="M2567" s="12" t="s">
        <v>1968</v>
      </c>
      <c r="N2567" s="12" t="s">
        <v>2930</v>
      </c>
      <c r="O2567" s="12">
        <v>0</v>
      </c>
      <c r="P2567" s="12" t="s">
        <v>2056</v>
      </c>
      <c r="Q2567" s="7" t="str">
        <f t="shared" si="92"/>
        <v>equipment/2114.png</v>
      </c>
      <c r="R2567" s="1">
        <v>1</v>
      </c>
    </row>
    <row r="2568" spans="1:18" s="12" customFormat="1" ht="14.25" thickBot="1">
      <c r="A2568" s="12">
        <f t="shared" si="91"/>
        <v>50552055</v>
      </c>
      <c r="B2568" s="2">
        <v>0</v>
      </c>
      <c r="C2568" s="12" t="s">
        <v>2618</v>
      </c>
      <c r="D2568" s="12" t="s">
        <v>12</v>
      </c>
      <c r="E2568" s="12">
        <v>5</v>
      </c>
      <c r="F2568" s="12">
        <v>5</v>
      </c>
      <c r="G2568" s="12">
        <v>55</v>
      </c>
      <c r="H2568" s="12" t="s">
        <v>2121</v>
      </c>
      <c r="I2568" s="12">
        <v>110000</v>
      </c>
      <c r="J2568" s="12">
        <v>150</v>
      </c>
      <c r="K2568" s="12">
        <v>1500</v>
      </c>
      <c r="L2568" s="12">
        <v>30000</v>
      </c>
      <c r="M2568" s="12" t="s">
        <v>2022</v>
      </c>
      <c r="N2568" s="12" t="s">
        <v>2930</v>
      </c>
      <c r="O2568" s="12">
        <v>0</v>
      </c>
      <c r="P2568" s="12" t="s">
        <v>2056</v>
      </c>
      <c r="Q2568" s="7" t="str">
        <f t="shared" si="92"/>
        <v>equipment/1219.png</v>
      </c>
      <c r="R2568" s="1">
        <v>1</v>
      </c>
    </row>
    <row r="2569" spans="1:18" s="12" customFormat="1" ht="14.25" thickBot="1">
      <c r="A2569" s="12">
        <f t="shared" si="91"/>
        <v>50552056</v>
      </c>
      <c r="B2569" s="2">
        <v>0</v>
      </c>
      <c r="C2569" s="12" t="s">
        <v>2494</v>
      </c>
      <c r="D2569" s="12" t="s">
        <v>12</v>
      </c>
      <c r="E2569" s="12">
        <v>5</v>
      </c>
      <c r="F2569" s="12">
        <v>5</v>
      </c>
      <c r="G2569" s="12">
        <v>55</v>
      </c>
      <c r="H2569" s="12" t="s">
        <v>2121</v>
      </c>
      <c r="I2569" s="12">
        <v>116000</v>
      </c>
      <c r="J2569" s="12">
        <v>150</v>
      </c>
      <c r="K2569" s="12">
        <v>1500</v>
      </c>
      <c r="L2569" s="12">
        <v>32500</v>
      </c>
      <c r="M2569" s="12" t="s">
        <v>2023</v>
      </c>
      <c r="N2569" s="12" t="s">
        <v>2930</v>
      </c>
      <c r="O2569" s="12">
        <v>0</v>
      </c>
      <c r="P2569" s="12" t="s">
        <v>2056</v>
      </c>
      <c r="Q2569" s="7" t="str">
        <f t="shared" si="92"/>
        <v>equipment/1201.png</v>
      </c>
      <c r="R2569" s="1">
        <v>1</v>
      </c>
    </row>
    <row r="2570" spans="1:18" s="12" customFormat="1" ht="14.25" thickBot="1">
      <c r="A2570" s="12">
        <f t="shared" si="91"/>
        <v>50552065</v>
      </c>
      <c r="B2570" s="2">
        <v>0</v>
      </c>
      <c r="C2570" s="12" t="s">
        <v>2619</v>
      </c>
      <c r="D2570" s="12" t="s">
        <v>13</v>
      </c>
      <c r="E2570" s="12">
        <v>6</v>
      </c>
      <c r="F2570" s="12">
        <v>5</v>
      </c>
      <c r="G2570" s="12">
        <v>55</v>
      </c>
      <c r="H2570" s="12" t="s">
        <v>2121</v>
      </c>
      <c r="I2570" s="12">
        <v>110000</v>
      </c>
      <c r="J2570" s="12">
        <v>150</v>
      </c>
      <c r="K2570" s="12">
        <v>1500</v>
      </c>
      <c r="L2570" s="12">
        <v>30000</v>
      </c>
      <c r="M2570" s="12" t="s">
        <v>1969</v>
      </c>
      <c r="N2570" s="12" t="s">
        <v>2930</v>
      </c>
      <c r="O2570" s="12">
        <v>0</v>
      </c>
      <c r="P2570" s="12" t="s">
        <v>2056</v>
      </c>
      <c r="Q2570" s="7" t="str">
        <f t="shared" si="92"/>
        <v>equipment/2213.png</v>
      </c>
      <c r="R2570" s="1">
        <v>1</v>
      </c>
    </row>
    <row r="2571" spans="1:18" s="12" customFormat="1" ht="14.25" thickBot="1">
      <c r="A2571" s="12">
        <f t="shared" si="91"/>
        <v>50552066</v>
      </c>
      <c r="B2571" s="2">
        <v>0</v>
      </c>
      <c r="C2571" s="12" t="s">
        <v>2620</v>
      </c>
      <c r="D2571" s="12" t="s">
        <v>13</v>
      </c>
      <c r="E2571" s="12">
        <v>6</v>
      </c>
      <c r="F2571" s="12">
        <v>5</v>
      </c>
      <c r="G2571" s="12">
        <v>55</v>
      </c>
      <c r="H2571" s="12" t="s">
        <v>2121</v>
      </c>
      <c r="I2571" s="12">
        <v>116000</v>
      </c>
      <c r="J2571" s="12">
        <v>150</v>
      </c>
      <c r="K2571" s="12">
        <v>1500</v>
      </c>
      <c r="L2571" s="12">
        <v>32500</v>
      </c>
      <c r="M2571" s="12" t="s">
        <v>1970</v>
      </c>
      <c r="N2571" s="12" t="s">
        <v>2930</v>
      </c>
      <c r="O2571" s="12">
        <v>0</v>
      </c>
      <c r="P2571" s="12" t="s">
        <v>2056</v>
      </c>
      <c r="Q2571" s="7" t="str">
        <f t="shared" si="92"/>
        <v>equipment/2214.png</v>
      </c>
      <c r="R2571" s="1">
        <v>1</v>
      </c>
    </row>
    <row r="2572" spans="1:18" s="12" customFormat="1" ht="14.25" thickBot="1">
      <c r="A2572" s="12">
        <f t="shared" si="91"/>
        <v>50553055</v>
      </c>
      <c r="B2572" s="2">
        <v>0</v>
      </c>
      <c r="C2572" s="12" t="s">
        <v>2621</v>
      </c>
      <c r="D2572" s="12" t="s">
        <v>12</v>
      </c>
      <c r="E2572" s="12">
        <v>5</v>
      </c>
      <c r="F2572" s="12">
        <v>5</v>
      </c>
      <c r="G2572" s="12">
        <v>55</v>
      </c>
      <c r="H2572" s="12" t="s">
        <v>2122</v>
      </c>
      <c r="I2572" s="12">
        <v>110000</v>
      </c>
      <c r="J2572" s="12">
        <v>150</v>
      </c>
      <c r="K2572" s="12">
        <v>1500</v>
      </c>
      <c r="L2572" s="12">
        <v>30000</v>
      </c>
      <c r="M2572" s="12" t="s">
        <v>2022</v>
      </c>
      <c r="N2572" s="12" t="s">
        <v>2930</v>
      </c>
      <c r="O2572" s="12">
        <v>0</v>
      </c>
      <c r="P2572" s="12" t="s">
        <v>2056</v>
      </c>
      <c r="Q2572" s="7" t="str">
        <f t="shared" si="92"/>
        <v>equipment/1321.png</v>
      </c>
      <c r="R2572" s="1">
        <v>1</v>
      </c>
    </row>
    <row r="2573" spans="1:18" s="12" customFormat="1" ht="14.25" thickBot="1">
      <c r="A2573" s="12">
        <f t="shared" ref="A2573:A2636" si="93">A1649+10000005</f>
        <v>50553056</v>
      </c>
      <c r="B2573" s="2">
        <v>0</v>
      </c>
      <c r="C2573" s="12" t="s">
        <v>2497</v>
      </c>
      <c r="D2573" s="12" t="s">
        <v>12</v>
      </c>
      <c r="E2573" s="12">
        <v>5</v>
      </c>
      <c r="F2573" s="12">
        <v>5</v>
      </c>
      <c r="G2573" s="12">
        <v>55</v>
      </c>
      <c r="H2573" s="12" t="s">
        <v>2122</v>
      </c>
      <c r="I2573" s="12">
        <v>116000</v>
      </c>
      <c r="J2573" s="12">
        <v>150</v>
      </c>
      <c r="K2573" s="12">
        <v>1500</v>
      </c>
      <c r="L2573" s="12">
        <v>32500</v>
      </c>
      <c r="M2573" s="12" t="s">
        <v>2023</v>
      </c>
      <c r="N2573" s="12" t="s">
        <v>2930</v>
      </c>
      <c r="O2573" s="12">
        <v>0</v>
      </c>
      <c r="P2573" s="12" t="s">
        <v>2056</v>
      </c>
      <c r="Q2573" s="7" t="str">
        <f t="shared" si="92"/>
        <v>equipment/1301.png</v>
      </c>
      <c r="R2573" s="1">
        <v>1</v>
      </c>
    </row>
    <row r="2574" spans="1:18" s="12" customFormat="1" ht="14.25" thickBot="1">
      <c r="A2574" s="12">
        <f t="shared" si="93"/>
        <v>50553065</v>
      </c>
      <c r="B2574" s="2">
        <v>0</v>
      </c>
      <c r="C2574" s="12" t="s">
        <v>2622</v>
      </c>
      <c r="D2574" s="12" t="s">
        <v>13</v>
      </c>
      <c r="E2574" s="12">
        <v>6</v>
      </c>
      <c r="F2574" s="12">
        <v>5</v>
      </c>
      <c r="G2574" s="12">
        <v>55</v>
      </c>
      <c r="H2574" s="12" t="s">
        <v>2122</v>
      </c>
      <c r="I2574" s="12">
        <v>110000</v>
      </c>
      <c r="J2574" s="12">
        <v>150</v>
      </c>
      <c r="K2574" s="12">
        <v>1500</v>
      </c>
      <c r="L2574" s="12">
        <v>30000</v>
      </c>
      <c r="M2574" s="12" t="s">
        <v>1971</v>
      </c>
      <c r="N2574" s="12" t="s">
        <v>2930</v>
      </c>
      <c r="O2574" s="12">
        <v>0</v>
      </c>
      <c r="P2574" s="12" t="s">
        <v>2056</v>
      </c>
      <c r="Q2574" s="7" t="str">
        <f t="shared" si="92"/>
        <v>equipment/2313.png</v>
      </c>
      <c r="R2574" s="1">
        <v>1</v>
      </c>
    </row>
    <row r="2575" spans="1:18" s="12" customFormat="1" ht="14.25" thickBot="1">
      <c r="A2575" s="12">
        <f t="shared" si="93"/>
        <v>50553066</v>
      </c>
      <c r="B2575" s="2">
        <v>0</v>
      </c>
      <c r="C2575" s="12" t="s">
        <v>2623</v>
      </c>
      <c r="D2575" s="12" t="s">
        <v>13</v>
      </c>
      <c r="E2575" s="12">
        <v>6</v>
      </c>
      <c r="F2575" s="12">
        <v>5</v>
      </c>
      <c r="G2575" s="12">
        <v>55</v>
      </c>
      <c r="H2575" s="12" t="s">
        <v>2122</v>
      </c>
      <c r="I2575" s="12">
        <v>116000</v>
      </c>
      <c r="J2575" s="12">
        <v>150</v>
      </c>
      <c r="K2575" s="12">
        <v>1500</v>
      </c>
      <c r="L2575" s="12">
        <v>32500</v>
      </c>
      <c r="M2575" s="12" t="s">
        <v>1972</v>
      </c>
      <c r="N2575" s="12" t="s">
        <v>2930</v>
      </c>
      <c r="O2575" s="12">
        <v>0</v>
      </c>
      <c r="P2575" s="12" t="s">
        <v>2056</v>
      </c>
      <c r="Q2575" s="7" t="str">
        <f t="shared" si="92"/>
        <v>equipment/2316.png</v>
      </c>
      <c r="R2575" s="1">
        <v>1</v>
      </c>
    </row>
    <row r="2576" spans="1:18" s="12" customFormat="1" ht="14.25" thickBot="1">
      <c r="A2576" s="12">
        <f t="shared" si="93"/>
        <v>50550045</v>
      </c>
      <c r="B2576" s="2">
        <v>0</v>
      </c>
      <c r="C2576" s="12" t="s">
        <v>2624</v>
      </c>
      <c r="D2576" s="12" t="s">
        <v>11</v>
      </c>
      <c r="E2576" s="12">
        <v>4</v>
      </c>
      <c r="F2576" s="12">
        <v>5</v>
      </c>
      <c r="G2576" s="12">
        <v>55</v>
      </c>
      <c r="H2576" s="12">
        <v>0</v>
      </c>
      <c r="I2576" s="12">
        <v>110000</v>
      </c>
      <c r="J2576" s="12">
        <v>150</v>
      </c>
      <c r="K2576" s="12">
        <v>1500</v>
      </c>
      <c r="L2576" s="12">
        <v>30000</v>
      </c>
      <c r="M2576" s="12" t="s">
        <v>1973</v>
      </c>
      <c r="N2576" s="12" t="s">
        <v>2929</v>
      </c>
      <c r="O2576" s="12">
        <v>0</v>
      </c>
      <c r="P2576" s="12" t="s">
        <v>2056</v>
      </c>
      <c r="Q2576" s="7" t="str">
        <f t="shared" si="92"/>
        <v>equipment/5015.png</v>
      </c>
      <c r="R2576" s="1">
        <v>1</v>
      </c>
    </row>
    <row r="2577" spans="1:18" s="12" customFormat="1" ht="14.25" thickBot="1">
      <c r="A2577" s="12">
        <f t="shared" si="93"/>
        <v>50550046</v>
      </c>
      <c r="B2577" s="2">
        <v>0</v>
      </c>
      <c r="C2577" s="12" t="s">
        <v>2499</v>
      </c>
      <c r="D2577" s="12" t="s">
        <v>11</v>
      </c>
      <c r="E2577" s="12">
        <v>4</v>
      </c>
      <c r="F2577" s="12">
        <v>5</v>
      </c>
      <c r="G2577" s="12">
        <v>55</v>
      </c>
      <c r="H2577" s="12">
        <v>0</v>
      </c>
      <c r="I2577" s="12">
        <v>116000</v>
      </c>
      <c r="J2577" s="12">
        <v>150</v>
      </c>
      <c r="K2577" s="12">
        <v>1500</v>
      </c>
      <c r="L2577" s="12">
        <v>32500</v>
      </c>
      <c r="M2577" s="12" t="s">
        <v>1974</v>
      </c>
      <c r="N2577" s="12" t="s">
        <v>2929</v>
      </c>
      <c r="O2577" s="12">
        <v>0</v>
      </c>
      <c r="P2577" s="12" t="s">
        <v>2056</v>
      </c>
      <c r="Q2577" s="7" t="str">
        <f t="shared" si="92"/>
        <v>equipment/5001.png</v>
      </c>
      <c r="R2577" s="1">
        <v>1</v>
      </c>
    </row>
    <row r="2578" spans="1:18" s="12" customFormat="1" ht="14.25" thickBot="1">
      <c r="A2578" s="12">
        <f t="shared" si="93"/>
        <v>50550075</v>
      </c>
      <c r="B2578" s="2">
        <v>0</v>
      </c>
      <c r="C2578" s="12" t="s">
        <v>2625</v>
      </c>
      <c r="D2578" s="12" t="s">
        <v>14</v>
      </c>
      <c r="E2578" s="12">
        <v>7</v>
      </c>
      <c r="F2578" s="12">
        <v>5</v>
      </c>
      <c r="G2578" s="12">
        <v>55</v>
      </c>
      <c r="H2578" s="12">
        <v>0</v>
      </c>
      <c r="I2578" s="12">
        <v>110000</v>
      </c>
      <c r="J2578" s="12">
        <v>150</v>
      </c>
      <c r="K2578" s="12">
        <v>1500</v>
      </c>
      <c r="L2578" s="12">
        <v>30000</v>
      </c>
      <c r="M2578" s="12" t="s">
        <v>1960</v>
      </c>
      <c r="N2578" s="12" t="s">
        <v>2929</v>
      </c>
      <c r="O2578" s="12">
        <v>0</v>
      </c>
      <c r="P2578" s="12" t="s">
        <v>2056</v>
      </c>
      <c r="Q2578" s="7" t="str">
        <f t="shared" si="92"/>
        <v>equipment/7013.png</v>
      </c>
      <c r="R2578" s="1">
        <v>1</v>
      </c>
    </row>
    <row r="2579" spans="1:18" s="12" customFormat="1" ht="14.25" thickBot="1">
      <c r="A2579" s="12">
        <f t="shared" si="93"/>
        <v>50550076</v>
      </c>
      <c r="B2579" s="2">
        <v>0</v>
      </c>
      <c r="C2579" s="12" t="s">
        <v>2501</v>
      </c>
      <c r="D2579" s="12" t="s">
        <v>14</v>
      </c>
      <c r="E2579" s="12">
        <v>7</v>
      </c>
      <c r="F2579" s="12">
        <v>5</v>
      </c>
      <c r="G2579" s="12">
        <v>55</v>
      </c>
      <c r="H2579" s="12">
        <v>0</v>
      </c>
      <c r="I2579" s="12">
        <v>116000</v>
      </c>
      <c r="J2579" s="12">
        <v>150</v>
      </c>
      <c r="K2579" s="12">
        <v>1500</v>
      </c>
      <c r="L2579" s="12">
        <v>32500</v>
      </c>
      <c r="M2579" s="12" t="s">
        <v>1961</v>
      </c>
      <c r="N2579" s="12" t="s">
        <v>2929</v>
      </c>
      <c r="O2579" s="12">
        <v>0</v>
      </c>
      <c r="P2579" s="12" t="s">
        <v>2056</v>
      </c>
      <c r="Q2579" s="7" t="str">
        <f t="shared" si="92"/>
        <v>equipment/7001.png</v>
      </c>
      <c r="R2579" s="1">
        <v>1</v>
      </c>
    </row>
    <row r="2580" spans="1:18" s="12" customFormat="1" ht="14.25" thickBot="1">
      <c r="A2580" s="12">
        <f t="shared" si="93"/>
        <v>50600015</v>
      </c>
      <c r="B2580" s="2">
        <v>0</v>
      </c>
      <c r="C2580" s="12" t="s">
        <v>2626</v>
      </c>
      <c r="D2580" s="12" t="s">
        <v>8</v>
      </c>
      <c r="E2580" s="12">
        <v>1</v>
      </c>
      <c r="F2580" s="12">
        <v>5</v>
      </c>
      <c r="G2580" s="12">
        <v>60</v>
      </c>
      <c r="H2580" s="12">
        <v>0</v>
      </c>
      <c r="I2580" s="12">
        <v>120000</v>
      </c>
      <c r="J2580" s="12">
        <v>150</v>
      </c>
      <c r="K2580" s="12">
        <v>1500</v>
      </c>
      <c r="L2580" s="12">
        <v>32500</v>
      </c>
      <c r="M2580" s="12" t="s">
        <v>1975</v>
      </c>
      <c r="N2580" s="12" t="s">
        <v>2931</v>
      </c>
      <c r="O2580" s="12">
        <v>0</v>
      </c>
      <c r="P2580" s="12" t="s">
        <v>2057</v>
      </c>
      <c r="Q2580" s="7" t="str">
        <f t="shared" si="92"/>
        <v>equipment/3010.png</v>
      </c>
      <c r="R2580" s="1">
        <v>1</v>
      </c>
    </row>
    <row r="2581" spans="1:18" s="12" customFormat="1" ht="14.25" thickBot="1">
      <c r="A2581" s="12">
        <f t="shared" si="93"/>
        <v>50600025</v>
      </c>
      <c r="B2581" s="2">
        <v>0</v>
      </c>
      <c r="C2581" s="12" t="s">
        <v>2627</v>
      </c>
      <c r="D2581" s="12" t="s">
        <v>9</v>
      </c>
      <c r="E2581" s="12">
        <v>2</v>
      </c>
      <c r="F2581" s="12">
        <v>5</v>
      </c>
      <c r="G2581" s="12">
        <v>60</v>
      </c>
      <c r="H2581" s="12">
        <v>0</v>
      </c>
      <c r="I2581" s="12">
        <v>120000</v>
      </c>
      <c r="J2581" s="12">
        <v>150</v>
      </c>
      <c r="K2581" s="12">
        <v>1500</v>
      </c>
      <c r="L2581" s="12">
        <v>32500</v>
      </c>
      <c r="M2581" s="12" t="s">
        <v>1976</v>
      </c>
      <c r="N2581" s="12" t="s">
        <v>2931</v>
      </c>
      <c r="O2581" s="12">
        <v>0</v>
      </c>
      <c r="P2581" s="12" t="s">
        <v>2057</v>
      </c>
      <c r="Q2581" s="7" t="str">
        <f t="shared" ref="Q2581:Q2644" si="94">Q2119</f>
        <v>equipment/14010.png</v>
      </c>
      <c r="R2581" s="1">
        <v>1</v>
      </c>
    </row>
    <row r="2582" spans="1:18" s="12" customFormat="1" ht="14.25" thickBot="1">
      <c r="A2582" s="12">
        <f t="shared" si="93"/>
        <v>50600035</v>
      </c>
      <c r="B2582" s="2">
        <v>0</v>
      </c>
      <c r="C2582" s="12" t="s">
        <v>2628</v>
      </c>
      <c r="D2582" s="12" t="s">
        <v>10</v>
      </c>
      <c r="E2582" s="12">
        <v>3</v>
      </c>
      <c r="F2582" s="12">
        <v>5</v>
      </c>
      <c r="G2582" s="12">
        <v>60</v>
      </c>
      <c r="H2582" s="12">
        <v>0</v>
      </c>
      <c r="I2582" s="12">
        <v>120000</v>
      </c>
      <c r="J2582" s="12">
        <v>150</v>
      </c>
      <c r="K2582" s="12">
        <v>1500</v>
      </c>
      <c r="L2582" s="12">
        <v>32500</v>
      </c>
      <c r="M2582" s="12" t="s">
        <v>1964</v>
      </c>
      <c r="N2582" s="12" t="s">
        <v>2931</v>
      </c>
      <c r="O2582" s="12">
        <v>0</v>
      </c>
      <c r="P2582" s="12" t="s">
        <v>2057</v>
      </c>
      <c r="Q2582" s="7" t="str">
        <f t="shared" si="94"/>
        <v>equipment/6010.png</v>
      </c>
      <c r="R2582" s="1">
        <v>1</v>
      </c>
    </row>
    <row r="2583" spans="1:18" s="12" customFormat="1" ht="14.25" thickBot="1">
      <c r="A2583" s="12">
        <f t="shared" si="93"/>
        <v>50600085</v>
      </c>
      <c r="B2583" s="2">
        <v>0</v>
      </c>
      <c r="C2583" s="12" t="s">
        <v>2629</v>
      </c>
      <c r="D2583" s="12" t="s">
        <v>15</v>
      </c>
      <c r="E2583" s="12">
        <v>8</v>
      </c>
      <c r="F2583" s="12">
        <v>5</v>
      </c>
      <c r="G2583" s="12">
        <v>60</v>
      </c>
      <c r="H2583" s="12">
        <v>0</v>
      </c>
      <c r="I2583" s="12">
        <v>120000</v>
      </c>
      <c r="J2583" s="12">
        <v>150</v>
      </c>
      <c r="K2583" s="12">
        <v>1500</v>
      </c>
      <c r="L2583" s="12">
        <v>32500</v>
      </c>
      <c r="M2583" s="12" t="s">
        <v>1977</v>
      </c>
      <c r="N2583" s="12" t="s">
        <v>2931</v>
      </c>
      <c r="O2583" s="12">
        <v>0</v>
      </c>
      <c r="P2583" s="12" t="s">
        <v>2057</v>
      </c>
      <c r="Q2583" s="7" t="str">
        <f t="shared" si="94"/>
        <v>equipment/8010.png</v>
      </c>
      <c r="R2583" s="1">
        <v>1</v>
      </c>
    </row>
    <row r="2584" spans="1:18" s="12" customFormat="1" ht="14.25" thickBot="1">
      <c r="A2584" s="12">
        <f t="shared" si="93"/>
        <v>50600095</v>
      </c>
      <c r="B2584" s="2">
        <v>0</v>
      </c>
      <c r="C2584" s="12" t="s">
        <v>2630</v>
      </c>
      <c r="D2584" s="12" t="s">
        <v>16</v>
      </c>
      <c r="E2584" s="12">
        <v>9</v>
      </c>
      <c r="F2584" s="12">
        <v>5</v>
      </c>
      <c r="G2584" s="12">
        <v>60</v>
      </c>
      <c r="H2584" s="12">
        <v>0</v>
      </c>
      <c r="I2584" s="12">
        <v>120000</v>
      </c>
      <c r="J2584" s="12">
        <v>150</v>
      </c>
      <c r="K2584" s="12">
        <v>1500</v>
      </c>
      <c r="L2584" s="12">
        <v>32500</v>
      </c>
      <c r="M2584" s="12" t="s">
        <v>1978</v>
      </c>
      <c r="N2584" s="12" t="s">
        <v>2931</v>
      </c>
      <c r="O2584" s="12">
        <v>0</v>
      </c>
      <c r="P2584" s="12" t="s">
        <v>2057</v>
      </c>
      <c r="Q2584" s="7" t="str">
        <f t="shared" si="94"/>
        <v>equipment/10010.png</v>
      </c>
      <c r="R2584" s="1">
        <v>1</v>
      </c>
    </row>
    <row r="2585" spans="1:18" s="12" customFormat="1" ht="14.25" thickBot="1">
      <c r="A2585" s="12">
        <f t="shared" si="93"/>
        <v>50600105</v>
      </c>
      <c r="B2585" s="2">
        <v>0</v>
      </c>
      <c r="C2585" s="12" t="s">
        <v>2631</v>
      </c>
      <c r="D2585" s="12" t="s">
        <v>17</v>
      </c>
      <c r="E2585" s="12">
        <v>10</v>
      </c>
      <c r="F2585" s="12">
        <v>5</v>
      </c>
      <c r="G2585" s="12">
        <v>60</v>
      </c>
      <c r="H2585" s="12">
        <v>0</v>
      </c>
      <c r="I2585" s="12">
        <v>120000</v>
      </c>
      <c r="J2585" s="12">
        <v>150</v>
      </c>
      <c r="K2585" s="12">
        <v>1500</v>
      </c>
      <c r="L2585" s="12">
        <v>32500</v>
      </c>
      <c r="M2585" s="12" t="s">
        <v>1979</v>
      </c>
      <c r="N2585" s="12" t="s">
        <v>2931</v>
      </c>
      <c r="O2585" s="12">
        <v>0</v>
      </c>
      <c r="P2585" s="12" t="s">
        <v>2057</v>
      </c>
      <c r="Q2585" s="7" t="str">
        <f t="shared" si="94"/>
        <v>equipment/12010.png</v>
      </c>
      <c r="R2585" s="1">
        <v>1</v>
      </c>
    </row>
    <row r="2586" spans="1:18" s="12" customFormat="1" ht="14.25" thickBot="1">
      <c r="A2586" s="12">
        <f t="shared" si="93"/>
        <v>50601055</v>
      </c>
      <c r="B2586" s="2">
        <v>0</v>
      </c>
      <c r="C2586" s="12" t="s">
        <v>2632</v>
      </c>
      <c r="D2586" s="12" t="s">
        <v>12</v>
      </c>
      <c r="E2586" s="12">
        <v>5</v>
      </c>
      <c r="F2586" s="12">
        <v>5</v>
      </c>
      <c r="G2586" s="12">
        <v>60</v>
      </c>
      <c r="H2586" s="12" t="s">
        <v>2120</v>
      </c>
      <c r="I2586" s="12">
        <v>120000</v>
      </c>
      <c r="J2586" s="12">
        <v>150</v>
      </c>
      <c r="K2586" s="12">
        <v>1500</v>
      </c>
      <c r="L2586" s="12">
        <v>32500</v>
      </c>
      <c r="M2586" s="12" t="s">
        <v>1980</v>
      </c>
      <c r="N2586" s="12" t="s">
        <v>2932</v>
      </c>
      <c r="O2586" s="12">
        <v>0</v>
      </c>
      <c r="P2586" s="12" t="s">
        <v>2057</v>
      </c>
      <c r="Q2586" s="7" t="str">
        <f t="shared" si="94"/>
        <v>equipment/1118.png</v>
      </c>
      <c r="R2586" s="1">
        <v>1</v>
      </c>
    </row>
    <row r="2587" spans="1:18" s="12" customFormat="1" ht="14.25" thickBot="1">
      <c r="A2587" s="12">
        <f t="shared" si="93"/>
        <v>50601056</v>
      </c>
      <c r="B2587" s="2">
        <v>0</v>
      </c>
      <c r="C2587" s="12" t="s">
        <v>2633</v>
      </c>
      <c r="D2587" s="12" t="s">
        <v>12</v>
      </c>
      <c r="E2587" s="12">
        <v>5</v>
      </c>
      <c r="F2587" s="12">
        <v>5</v>
      </c>
      <c r="G2587" s="12">
        <v>60</v>
      </c>
      <c r="H2587" s="12" t="s">
        <v>2120</v>
      </c>
      <c r="I2587" s="12">
        <v>126000</v>
      </c>
      <c r="J2587" s="12">
        <v>150</v>
      </c>
      <c r="K2587" s="12">
        <v>1500</v>
      </c>
      <c r="L2587" s="12">
        <v>35000</v>
      </c>
      <c r="M2587" s="12" t="s">
        <v>1981</v>
      </c>
      <c r="N2587" s="12" t="s">
        <v>2932</v>
      </c>
      <c r="O2587" s="12">
        <v>0</v>
      </c>
      <c r="P2587" s="12" t="s">
        <v>2057</v>
      </c>
      <c r="Q2587" s="7" t="str">
        <f t="shared" si="94"/>
        <v>equipment/1122.png</v>
      </c>
      <c r="R2587" s="1">
        <v>1</v>
      </c>
    </row>
    <row r="2588" spans="1:18" s="12" customFormat="1" ht="14.25" thickBot="1">
      <c r="A2588" s="12">
        <f t="shared" si="93"/>
        <v>50601065</v>
      </c>
      <c r="B2588" s="2">
        <v>0</v>
      </c>
      <c r="C2588" s="12" t="s">
        <v>2634</v>
      </c>
      <c r="D2588" s="12" t="s">
        <v>13</v>
      </c>
      <c r="E2588" s="12">
        <v>6</v>
      </c>
      <c r="F2588" s="12">
        <v>5</v>
      </c>
      <c r="G2588" s="12">
        <v>60</v>
      </c>
      <c r="H2588" s="12" t="s">
        <v>2120</v>
      </c>
      <c r="I2588" s="12">
        <v>120000</v>
      </c>
      <c r="J2588" s="12">
        <v>150</v>
      </c>
      <c r="K2588" s="12">
        <v>1500</v>
      </c>
      <c r="L2588" s="12">
        <v>32500</v>
      </c>
      <c r="M2588" s="12" t="s">
        <v>1982</v>
      </c>
      <c r="N2588" s="12" t="s">
        <v>2932</v>
      </c>
      <c r="O2588" s="12">
        <v>0</v>
      </c>
      <c r="P2588" s="12" t="s">
        <v>2057</v>
      </c>
      <c r="Q2588" s="7" t="str">
        <f t="shared" si="94"/>
        <v>equipment/2115.png</v>
      </c>
      <c r="R2588" s="1">
        <v>1</v>
      </c>
    </row>
    <row r="2589" spans="1:18" s="12" customFormat="1" ht="14.25" thickBot="1">
      <c r="A2589" s="12">
        <f t="shared" si="93"/>
        <v>50601066</v>
      </c>
      <c r="B2589" s="2">
        <v>0</v>
      </c>
      <c r="C2589" s="12" t="s">
        <v>2061</v>
      </c>
      <c r="D2589" s="12" t="s">
        <v>13</v>
      </c>
      <c r="E2589" s="12">
        <v>6</v>
      </c>
      <c r="F2589" s="12">
        <v>5</v>
      </c>
      <c r="G2589" s="12">
        <v>60</v>
      </c>
      <c r="H2589" s="12" t="s">
        <v>2120</v>
      </c>
      <c r="I2589" s="12">
        <v>126000</v>
      </c>
      <c r="J2589" s="12">
        <v>150</v>
      </c>
      <c r="K2589" s="12">
        <v>1500</v>
      </c>
      <c r="L2589" s="12">
        <v>35000</v>
      </c>
      <c r="M2589" s="12" t="s">
        <v>1983</v>
      </c>
      <c r="N2589" s="12" t="s">
        <v>2932</v>
      </c>
      <c r="O2589" s="12">
        <v>0</v>
      </c>
      <c r="P2589" s="12" t="s">
        <v>2057</v>
      </c>
      <c r="Q2589" s="7" t="str">
        <f t="shared" si="94"/>
        <v>equipment/2101.png</v>
      </c>
      <c r="R2589" s="1">
        <v>1</v>
      </c>
    </row>
    <row r="2590" spans="1:18" s="12" customFormat="1" ht="14.25" thickBot="1">
      <c r="A2590" s="12">
        <f t="shared" si="93"/>
        <v>50602055</v>
      </c>
      <c r="B2590" s="2">
        <v>0</v>
      </c>
      <c r="C2590" s="12" t="s">
        <v>2635</v>
      </c>
      <c r="D2590" s="12" t="s">
        <v>12</v>
      </c>
      <c r="E2590" s="12">
        <v>5</v>
      </c>
      <c r="F2590" s="12">
        <v>5</v>
      </c>
      <c r="G2590" s="12">
        <v>60</v>
      </c>
      <c r="H2590" s="12" t="s">
        <v>2121</v>
      </c>
      <c r="I2590" s="12">
        <v>120000</v>
      </c>
      <c r="J2590" s="12">
        <v>150</v>
      </c>
      <c r="K2590" s="12">
        <v>1500</v>
      </c>
      <c r="L2590" s="12">
        <v>32500</v>
      </c>
      <c r="M2590" s="12" t="s">
        <v>1980</v>
      </c>
      <c r="N2590" s="12" t="s">
        <v>2932</v>
      </c>
      <c r="O2590" s="12">
        <v>0</v>
      </c>
      <c r="P2590" s="12" t="s">
        <v>2057</v>
      </c>
      <c r="Q2590" s="7" t="str">
        <f t="shared" si="94"/>
        <v>equipment/1220.png</v>
      </c>
      <c r="R2590" s="1">
        <v>1</v>
      </c>
    </row>
    <row r="2591" spans="1:18" s="12" customFormat="1" ht="14.25" thickBot="1">
      <c r="A2591" s="12">
        <f t="shared" si="93"/>
        <v>50602056</v>
      </c>
      <c r="B2591" s="2">
        <v>0</v>
      </c>
      <c r="C2591" s="12" t="s">
        <v>2494</v>
      </c>
      <c r="D2591" s="12" t="s">
        <v>12</v>
      </c>
      <c r="E2591" s="12">
        <v>5</v>
      </c>
      <c r="F2591" s="12">
        <v>5</v>
      </c>
      <c r="G2591" s="12">
        <v>60</v>
      </c>
      <c r="H2591" s="12" t="s">
        <v>2121</v>
      </c>
      <c r="I2591" s="12">
        <v>126000</v>
      </c>
      <c r="J2591" s="12">
        <v>150</v>
      </c>
      <c r="K2591" s="12">
        <v>1500</v>
      </c>
      <c r="L2591" s="12">
        <v>35000</v>
      </c>
      <c r="M2591" s="12" t="s">
        <v>1981</v>
      </c>
      <c r="N2591" s="12" t="s">
        <v>2932</v>
      </c>
      <c r="O2591" s="12">
        <v>0</v>
      </c>
      <c r="P2591" s="12" t="s">
        <v>2057</v>
      </c>
      <c r="Q2591" s="7" t="str">
        <f t="shared" si="94"/>
        <v>equipment/1201.png</v>
      </c>
      <c r="R2591" s="1">
        <v>1</v>
      </c>
    </row>
    <row r="2592" spans="1:18" s="12" customFormat="1" ht="14.25" thickBot="1">
      <c r="A2592" s="12">
        <f t="shared" si="93"/>
        <v>50602065</v>
      </c>
      <c r="B2592" s="2">
        <v>0</v>
      </c>
      <c r="C2592" s="12" t="s">
        <v>2636</v>
      </c>
      <c r="D2592" s="12" t="s">
        <v>13</v>
      </c>
      <c r="E2592" s="12">
        <v>6</v>
      </c>
      <c r="F2592" s="12">
        <v>5</v>
      </c>
      <c r="G2592" s="12">
        <v>60</v>
      </c>
      <c r="H2592" s="12" t="s">
        <v>2121</v>
      </c>
      <c r="I2592" s="12">
        <v>120000</v>
      </c>
      <c r="J2592" s="12">
        <v>150</v>
      </c>
      <c r="K2592" s="12">
        <v>1500</v>
      </c>
      <c r="L2592" s="12">
        <v>32500</v>
      </c>
      <c r="M2592" s="12" t="s">
        <v>1984</v>
      </c>
      <c r="N2592" s="12" t="s">
        <v>2932</v>
      </c>
      <c r="O2592" s="12">
        <v>0</v>
      </c>
      <c r="P2592" s="12" t="s">
        <v>2057</v>
      </c>
      <c r="Q2592" s="7" t="str">
        <f t="shared" si="94"/>
        <v>equipment/2215.png</v>
      </c>
      <c r="R2592" s="1">
        <v>1</v>
      </c>
    </row>
    <row r="2593" spans="1:18" s="12" customFormat="1" ht="14.25" thickBot="1">
      <c r="A2593" s="12">
        <f t="shared" si="93"/>
        <v>50602066</v>
      </c>
      <c r="B2593" s="2">
        <v>0</v>
      </c>
      <c r="C2593" s="12" t="s">
        <v>2094</v>
      </c>
      <c r="D2593" s="12" t="s">
        <v>13</v>
      </c>
      <c r="E2593" s="12">
        <v>6</v>
      </c>
      <c r="F2593" s="12">
        <v>5</v>
      </c>
      <c r="G2593" s="12">
        <v>60</v>
      </c>
      <c r="H2593" s="12" t="s">
        <v>2121</v>
      </c>
      <c r="I2593" s="12">
        <v>126000</v>
      </c>
      <c r="J2593" s="12">
        <v>150</v>
      </c>
      <c r="K2593" s="12">
        <v>1500</v>
      </c>
      <c r="L2593" s="12">
        <v>35000</v>
      </c>
      <c r="M2593" s="12" t="s">
        <v>1985</v>
      </c>
      <c r="N2593" s="12" t="s">
        <v>2932</v>
      </c>
      <c r="O2593" s="12">
        <v>0</v>
      </c>
      <c r="P2593" s="12" t="s">
        <v>2057</v>
      </c>
      <c r="Q2593" s="7" t="str">
        <f t="shared" si="94"/>
        <v>equipment/2201.png</v>
      </c>
      <c r="R2593" s="1">
        <v>1</v>
      </c>
    </row>
    <row r="2594" spans="1:18" s="12" customFormat="1" ht="14.25" thickBot="1">
      <c r="A2594" s="12">
        <f t="shared" si="93"/>
        <v>50603055</v>
      </c>
      <c r="B2594" s="2">
        <v>0</v>
      </c>
      <c r="C2594" s="12" t="s">
        <v>2637</v>
      </c>
      <c r="D2594" s="12" t="s">
        <v>12</v>
      </c>
      <c r="E2594" s="12">
        <v>5</v>
      </c>
      <c r="F2594" s="12">
        <v>5</v>
      </c>
      <c r="G2594" s="12">
        <v>60</v>
      </c>
      <c r="H2594" s="12" t="s">
        <v>2122</v>
      </c>
      <c r="I2594" s="12">
        <v>120000</v>
      </c>
      <c r="J2594" s="12">
        <v>150</v>
      </c>
      <c r="K2594" s="12">
        <v>1500</v>
      </c>
      <c r="L2594" s="12">
        <v>32500</v>
      </c>
      <c r="M2594" s="12" t="s">
        <v>1980</v>
      </c>
      <c r="N2594" s="12" t="s">
        <v>2932</v>
      </c>
      <c r="O2594" s="12">
        <v>0</v>
      </c>
      <c r="P2594" s="12" t="s">
        <v>2057</v>
      </c>
      <c r="Q2594" s="7" t="str">
        <f t="shared" si="94"/>
        <v>equipment/1322.png</v>
      </c>
      <c r="R2594" s="1">
        <v>1</v>
      </c>
    </row>
    <row r="2595" spans="1:18" s="12" customFormat="1" ht="14.25" thickBot="1">
      <c r="A2595" s="12">
        <f t="shared" si="93"/>
        <v>50603056</v>
      </c>
      <c r="B2595" s="2">
        <v>0</v>
      </c>
      <c r="C2595" s="12" t="s">
        <v>2638</v>
      </c>
      <c r="D2595" s="12" t="s">
        <v>12</v>
      </c>
      <c r="E2595" s="12">
        <v>5</v>
      </c>
      <c r="F2595" s="12">
        <v>5</v>
      </c>
      <c r="G2595" s="12">
        <v>60</v>
      </c>
      <c r="H2595" s="12" t="s">
        <v>2122</v>
      </c>
      <c r="I2595" s="12">
        <v>126000</v>
      </c>
      <c r="J2595" s="12">
        <v>150</v>
      </c>
      <c r="K2595" s="12">
        <v>1500</v>
      </c>
      <c r="L2595" s="12">
        <v>35000</v>
      </c>
      <c r="M2595" s="12" t="s">
        <v>1981</v>
      </c>
      <c r="N2595" s="12" t="s">
        <v>2932</v>
      </c>
      <c r="O2595" s="12">
        <v>0</v>
      </c>
      <c r="P2595" s="12" t="s">
        <v>2057</v>
      </c>
      <c r="Q2595" s="7" t="str">
        <f t="shared" si="94"/>
        <v>equipment/1301.png</v>
      </c>
      <c r="R2595" s="1">
        <v>1</v>
      </c>
    </row>
    <row r="2596" spans="1:18" s="12" customFormat="1" ht="14.25" thickBot="1">
      <c r="A2596" s="12">
        <f t="shared" si="93"/>
        <v>50603065</v>
      </c>
      <c r="B2596" s="2">
        <v>0</v>
      </c>
      <c r="C2596" s="12" t="s">
        <v>2639</v>
      </c>
      <c r="D2596" s="12" t="s">
        <v>13</v>
      </c>
      <c r="E2596" s="12">
        <v>6</v>
      </c>
      <c r="F2596" s="12">
        <v>5</v>
      </c>
      <c r="G2596" s="12">
        <v>60</v>
      </c>
      <c r="H2596" s="12" t="s">
        <v>2122</v>
      </c>
      <c r="I2596" s="12">
        <v>120000</v>
      </c>
      <c r="J2596" s="12">
        <v>150</v>
      </c>
      <c r="K2596" s="12">
        <v>1500</v>
      </c>
      <c r="L2596" s="12">
        <v>32500</v>
      </c>
      <c r="M2596" s="12" t="s">
        <v>1986</v>
      </c>
      <c r="N2596" s="12" t="s">
        <v>2932</v>
      </c>
      <c r="O2596" s="12">
        <v>0</v>
      </c>
      <c r="P2596" s="12" t="s">
        <v>2057</v>
      </c>
      <c r="Q2596" s="7" t="str">
        <f t="shared" si="94"/>
        <v>equipment/2315.png</v>
      </c>
      <c r="R2596" s="1">
        <v>1</v>
      </c>
    </row>
    <row r="2597" spans="1:18" s="12" customFormat="1" ht="14.25" thickBot="1">
      <c r="A2597" s="12">
        <f t="shared" si="93"/>
        <v>50603066</v>
      </c>
      <c r="B2597" s="2">
        <v>0</v>
      </c>
      <c r="C2597" s="12" t="s">
        <v>2095</v>
      </c>
      <c r="D2597" s="12" t="s">
        <v>13</v>
      </c>
      <c r="E2597" s="12">
        <v>6</v>
      </c>
      <c r="F2597" s="12">
        <v>5</v>
      </c>
      <c r="G2597" s="12">
        <v>60</v>
      </c>
      <c r="H2597" s="12" t="s">
        <v>2122</v>
      </c>
      <c r="I2597" s="12">
        <v>126000</v>
      </c>
      <c r="J2597" s="12">
        <v>150</v>
      </c>
      <c r="K2597" s="12">
        <v>1500</v>
      </c>
      <c r="L2597" s="12">
        <v>35000</v>
      </c>
      <c r="M2597" s="12" t="s">
        <v>1987</v>
      </c>
      <c r="N2597" s="12" t="s">
        <v>2932</v>
      </c>
      <c r="O2597" s="12">
        <v>0</v>
      </c>
      <c r="P2597" s="12" t="s">
        <v>2057</v>
      </c>
      <c r="Q2597" s="7" t="str">
        <f t="shared" si="94"/>
        <v>equipment/2301.png</v>
      </c>
      <c r="R2597" s="1">
        <v>1</v>
      </c>
    </row>
    <row r="2598" spans="1:18" s="12" customFormat="1" ht="14.25" thickBot="1">
      <c r="A2598" s="12">
        <f t="shared" si="93"/>
        <v>50600045</v>
      </c>
      <c r="B2598" s="2">
        <v>0</v>
      </c>
      <c r="C2598" s="12" t="s">
        <v>2640</v>
      </c>
      <c r="D2598" s="12" t="s">
        <v>11</v>
      </c>
      <c r="E2598" s="12">
        <v>4</v>
      </c>
      <c r="F2598" s="12">
        <v>5</v>
      </c>
      <c r="G2598" s="12">
        <v>60</v>
      </c>
      <c r="H2598" s="12">
        <v>0</v>
      </c>
      <c r="I2598" s="12">
        <v>120000</v>
      </c>
      <c r="J2598" s="12">
        <v>150</v>
      </c>
      <c r="K2598" s="12">
        <v>1500</v>
      </c>
      <c r="L2598" s="12">
        <v>32500</v>
      </c>
      <c r="M2598" s="12" t="s">
        <v>1988</v>
      </c>
      <c r="N2598" s="12" t="s">
        <v>2931</v>
      </c>
      <c r="O2598" s="12">
        <v>0</v>
      </c>
      <c r="P2598" s="12" t="s">
        <v>2057</v>
      </c>
      <c r="Q2598" s="7" t="str">
        <f t="shared" si="94"/>
        <v>equipment/5016.png</v>
      </c>
      <c r="R2598" s="1">
        <v>1</v>
      </c>
    </row>
    <row r="2599" spans="1:18" s="12" customFormat="1" ht="14.25" thickBot="1">
      <c r="A2599" s="12">
        <f t="shared" si="93"/>
        <v>50600046</v>
      </c>
      <c r="B2599" s="2">
        <v>0</v>
      </c>
      <c r="C2599" s="12" t="s">
        <v>2641</v>
      </c>
      <c r="D2599" s="12" t="s">
        <v>11</v>
      </c>
      <c r="E2599" s="12">
        <v>4</v>
      </c>
      <c r="F2599" s="12">
        <v>5</v>
      </c>
      <c r="G2599" s="12">
        <v>60</v>
      </c>
      <c r="H2599" s="12">
        <v>0</v>
      </c>
      <c r="I2599" s="12">
        <v>126000</v>
      </c>
      <c r="J2599" s="12">
        <v>150</v>
      </c>
      <c r="K2599" s="12">
        <v>1500</v>
      </c>
      <c r="L2599" s="12">
        <v>35000</v>
      </c>
      <c r="M2599" s="12" t="s">
        <v>1989</v>
      </c>
      <c r="N2599" s="12" t="s">
        <v>2931</v>
      </c>
      <c r="O2599" s="12">
        <v>0</v>
      </c>
      <c r="P2599" s="12" t="s">
        <v>2057</v>
      </c>
      <c r="Q2599" s="7" t="str">
        <f t="shared" si="94"/>
        <v>equipment/5001.png</v>
      </c>
      <c r="R2599" s="1">
        <v>1</v>
      </c>
    </row>
    <row r="2600" spans="1:18" s="12" customFormat="1" ht="14.25" thickBot="1">
      <c r="A2600" s="12">
        <f t="shared" si="93"/>
        <v>50600075</v>
      </c>
      <c r="B2600" s="2">
        <v>0</v>
      </c>
      <c r="C2600" s="12" t="s">
        <v>2642</v>
      </c>
      <c r="D2600" s="12" t="s">
        <v>14</v>
      </c>
      <c r="E2600" s="12">
        <v>7</v>
      </c>
      <c r="F2600" s="12">
        <v>5</v>
      </c>
      <c r="G2600" s="12">
        <v>60</v>
      </c>
      <c r="H2600" s="12">
        <v>0</v>
      </c>
      <c r="I2600" s="12">
        <v>120000</v>
      </c>
      <c r="J2600" s="12">
        <v>150</v>
      </c>
      <c r="K2600" s="12">
        <v>1500</v>
      </c>
      <c r="L2600" s="12">
        <v>32500</v>
      </c>
      <c r="M2600" s="12" t="s">
        <v>1990</v>
      </c>
      <c r="N2600" s="12" t="s">
        <v>2931</v>
      </c>
      <c r="O2600" s="12">
        <v>0</v>
      </c>
      <c r="P2600" s="12" t="s">
        <v>2057</v>
      </c>
      <c r="Q2600" s="7" t="str">
        <f t="shared" si="94"/>
        <v>equipment/7014.png</v>
      </c>
      <c r="R2600" s="1">
        <v>1</v>
      </c>
    </row>
    <row r="2601" spans="1:18" s="12" customFormat="1" ht="14.25" thickBot="1">
      <c r="A2601" s="12">
        <f t="shared" si="93"/>
        <v>50600076</v>
      </c>
      <c r="B2601" s="2">
        <v>0</v>
      </c>
      <c r="C2601" s="12" t="s">
        <v>2643</v>
      </c>
      <c r="D2601" s="12" t="s">
        <v>14</v>
      </c>
      <c r="E2601" s="12">
        <v>7</v>
      </c>
      <c r="F2601" s="12">
        <v>5</v>
      </c>
      <c r="G2601" s="12">
        <v>60</v>
      </c>
      <c r="H2601" s="12">
        <v>0</v>
      </c>
      <c r="I2601" s="12">
        <v>126000</v>
      </c>
      <c r="J2601" s="12">
        <v>150</v>
      </c>
      <c r="K2601" s="12">
        <v>1500</v>
      </c>
      <c r="L2601" s="12">
        <v>35000</v>
      </c>
      <c r="M2601" s="12" t="s">
        <v>1991</v>
      </c>
      <c r="N2601" s="12" t="s">
        <v>2931</v>
      </c>
      <c r="O2601" s="12">
        <v>0</v>
      </c>
      <c r="P2601" s="12" t="s">
        <v>2057</v>
      </c>
      <c r="Q2601" s="7" t="str">
        <f t="shared" si="94"/>
        <v>equipment/7015.png</v>
      </c>
      <c r="R2601" s="1">
        <v>1</v>
      </c>
    </row>
    <row r="2602" spans="1:18" s="12" customFormat="1" ht="14.25" thickBot="1">
      <c r="A2602" s="12">
        <f t="shared" si="93"/>
        <v>50650015</v>
      </c>
      <c r="B2602" s="2">
        <v>0</v>
      </c>
      <c r="C2602" s="12" t="s">
        <v>2066</v>
      </c>
      <c r="D2602" s="12" t="s">
        <v>8</v>
      </c>
      <c r="E2602" s="12">
        <v>1</v>
      </c>
      <c r="F2602" s="12">
        <v>5</v>
      </c>
      <c r="G2602" s="12">
        <v>65</v>
      </c>
      <c r="H2602" s="12">
        <v>0</v>
      </c>
      <c r="I2602" s="12">
        <v>130000</v>
      </c>
      <c r="J2602" s="12">
        <v>150</v>
      </c>
      <c r="K2602" s="12">
        <v>1500</v>
      </c>
      <c r="L2602" s="12">
        <v>35000</v>
      </c>
      <c r="M2602" s="12" t="s">
        <v>1992</v>
      </c>
      <c r="N2602" s="12" t="s">
        <v>2933</v>
      </c>
      <c r="O2602" s="12">
        <v>0</v>
      </c>
      <c r="P2602" s="12" t="s">
        <v>2058</v>
      </c>
      <c r="Q2602" s="7" t="str">
        <f t="shared" si="94"/>
        <v>equipment/3011.png</v>
      </c>
      <c r="R2602" s="1">
        <v>1</v>
      </c>
    </row>
    <row r="2603" spans="1:18" s="12" customFormat="1" ht="14.25" thickBot="1">
      <c r="A2603" s="12">
        <f t="shared" si="93"/>
        <v>50650025</v>
      </c>
      <c r="B2603" s="2">
        <v>0</v>
      </c>
      <c r="C2603" s="12" t="s">
        <v>2644</v>
      </c>
      <c r="D2603" s="12" t="s">
        <v>9</v>
      </c>
      <c r="E2603" s="12">
        <v>2</v>
      </c>
      <c r="F2603" s="12">
        <v>5</v>
      </c>
      <c r="G2603" s="12">
        <v>65</v>
      </c>
      <c r="H2603" s="12">
        <v>0</v>
      </c>
      <c r="I2603" s="12">
        <v>130000</v>
      </c>
      <c r="J2603" s="12">
        <v>150</v>
      </c>
      <c r="K2603" s="12">
        <v>1500</v>
      </c>
      <c r="L2603" s="12">
        <v>35000</v>
      </c>
      <c r="M2603" s="12" t="s">
        <v>1993</v>
      </c>
      <c r="N2603" s="12" t="s">
        <v>2933</v>
      </c>
      <c r="O2603" s="12">
        <v>0</v>
      </c>
      <c r="P2603" s="12" t="s">
        <v>2058</v>
      </c>
      <c r="Q2603" s="7" t="str">
        <f t="shared" si="94"/>
        <v>equipment/14011.png</v>
      </c>
      <c r="R2603" s="1">
        <v>1</v>
      </c>
    </row>
    <row r="2604" spans="1:18" s="12" customFormat="1" ht="14.25" thickBot="1">
      <c r="A2604" s="12">
        <f t="shared" si="93"/>
        <v>50650035</v>
      </c>
      <c r="B2604" s="2">
        <v>0</v>
      </c>
      <c r="C2604" s="12" t="s">
        <v>2645</v>
      </c>
      <c r="D2604" s="12" t="s">
        <v>10</v>
      </c>
      <c r="E2604" s="12">
        <v>3</v>
      </c>
      <c r="F2604" s="12">
        <v>5</v>
      </c>
      <c r="G2604" s="12">
        <v>65</v>
      </c>
      <c r="H2604" s="12">
        <v>0</v>
      </c>
      <c r="I2604" s="12">
        <v>130000</v>
      </c>
      <c r="J2604" s="12">
        <v>150</v>
      </c>
      <c r="K2604" s="12">
        <v>1500</v>
      </c>
      <c r="L2604" s="12">
        <v>35000</v>
      </c>
      <c r="M2604" s="12" t="s">
        <v>1994</v>
      </c>
      <c r="N2604" s="12" t="s">
        <v>2933</v>
      </c>
      <c r="O2604" s="12">
        <v>0</v>
      </c>
      <c r="P2604" s="12" t="s">
        <v>2058</v>
      </c>
      <c r="Q2604" s="7" t="str">
        <f t="shared" si="94"/>
        <v>equipment/6011.png</v>
      </c>
      <c r="R2604" s="1">
        <v>1</v>
      </c>
    </row>
    <row r="2605" spans="1:18" s="12" customFormat="1" ht="14.25" thickBot="1">
      <c r="A2605" s="12">
        <f t="shared" si="93"/>
        <v>50650085</v>
      </c>
      <c r="B2605" s="2">
        <v>0</v>
      </c>
      <c r="C2605" s="12" t="s">
        <v>2646</v>
      </c>
      <c r="D2605" s="12" t="s">
        <v>15</v>
      </c>
      <c r="E2605" s="12">
        <v>8</v>
      </c>
      <c r="F2605" s="12">
        <v>5</v>
      </c>
      <c r="G2605" s="12">
        <v>65</v>
      </c>
      <c r="H2605" s="12">
        <v>0</v>
      </c>
      <c r="I2605" s="12">
        <v>130000</v>
      </c>
      <c r="J2605" s="12">
        <v>150</v>
      </c>
      <c r="K2605" s="12">
        <v>1500</v>
      </c>
      <c r="L2605" s="12">
        <v>35000</v>
      </c>
      <c r="M2605" s="12" t="s">
        <v>1995</v>
      </c>
      <c r="N2605" s="12" t="s">
        <v>2933</v>
      </c>
      <c r="O2605" s="12">
        <v>0</v>
      </c>
      <c r="P2605" s="12" t="s">
        <v>2058</v>
      </c>
      <c r="Q2605" s="7" t="str">
        <f t="shared" si="94"/>
        <v>equipment/8011.png</v>
      </c>
      <c r="R2605" s="1">
        <v>1</v>
      </c>
    </row>
    <row r="2606" spans="1:18" s="12" customFormat="1" ht="14.25" thickBot="1">
      <c r="A2606" s="12">
        <f t="shared" si="93"/>
        <v>50650095</v>
      </c>
      <c r="B2606" s="2">
        <v>0</v>
      </c>
      <c r="C2606" s="12" t="s">
        <v>2647</v>
      </c>
      <c r="D2606" s="12" t="s">
        <v>16</v>
      </c>
      <c r="E2606" s="12">
        <v>9</v>
      </c>
      <c r="F2606" s="12">
        <v>5</v>
      </c>
      <c r="G2606" s="12">
        <v>65</v>
      </c>
      <c r="H2606" s="12">
        <v>0</v>
      </c>
      <c r="I2606" s="12">
        <v>130000</v>
      </c>
      <c r="J2606" s="12">
        <v>150</v>
      </c>
      <c r="K2606" s="12">
        <v>1500</v>
      </c>
      <c r="L2606" s="12">
        <v>35000</v>
      </c>
      <c r="M2606" s="12" t="s">
        <v>1996</v>
      </c>
      <c r="N2606" s="12" t="s">
        <v>2933</v>
      </c>
      <c r="O2606" s="12">
        <v>0</v>
      </c>
      <c r="P2606" s="12" t="s">
        <v>2058</v>
      </c>
      <c r="Q2606" s="7" t="str">
        <f t="shared" si="94"/>
        <v>equipment/10011.png</v>
      </c>
      <c r="R2606" s="1">
        <v>1</v>
      </c>
    </row>
    <row r="2607" spans="1:18" s="12" customFormat="1" ht="14.25" thickBot="1">
      <c r="A2607" s="12">
        <f t="shared" si="93"/>
        <v>50650105</v>
      </c>
      <c r="B2607" s="2">
        <v>0</v>
      </c>
      <c r="C2607" s="12" t="s">
        <v>2648</v>
      </c>
      <c r="D2607" s="12" t="s">
        <v>17</v>
      </c>
      <c r="E2607" s="12">
        <v>10</v>
      </c>
      <c r="F2607" s="12">
        <v>5</v>
      </c>
      <c r="G2607" s="12">
        <v>65</v>
      </c>
      <c r="H2607" s="12">
        <v>0</v>
      </c>
      <c r="I2607" s="12">
        <v>130000</v>
      </c>
      <c r="J2607" s="12">
        <v>150</v>
      </c>
      <c r="K2607" s="12">
        <v>1500</v>
      </c>
      <c r="L2607" s="12">
        <v>35000</v>
      </c>
      <c r="M2607" s="12" t="s">
        <v>1997</v>
      </c>
      <c r="N2607" s="12" t="s">
        <v>2933</v>
      </c>
      <c r="O2607" s="12">
        <v>0</v>
      </c>
      <c r="P2607" s="12" t="s">
        <v>2058</v>
      </c>
      <c r="Q2607" s="7" t="str">
        <f t="shared" si="94"/>
        <v>equipment/12011.png</v>
      </c>
      <c r="R2607" s="1">
        <v>1</v>
      </c>
    </row>
    <row r="2608" spans="1:18" s="12" customFormat="1" ht="14.25" thickBot="1">
      <c r="A2608" s="12">
        <f t="shared" si="93"/>
        <v>50651055</v>
      </c>
      <c r="B2608" s="2">
        <v>0</v>
      </c>
      <c r="C2608" s="12" t="s">
        <v>2649</v>
      </c>
      <c r="D2608" s="12" t="s">
        <v>12</v>
      </c>
      <c r="E2608" s="12">
        <v>5</v>
      </c>
      <c r="F2608" s="12">
        <v>5</v>
      </c>
      <c r="G2608" s="12">
        <v>65</v>
      </c>
      <c r="H2608" s="12" t="s">
        <v>2120</v>
      </c>
      <c r="I2608" s="12">
        <v>130000</v>
      </c>
      <c r="J2608" s="12">
        <v>150</v>
      </c>
      <c r="K2608" s="12">
        <v>1500</v>
      </c>
      <c r="L2608" s="12">
        <v>35000</v>
      </c>
      <c r="M2608" s="12" t="s">
        <v>2024</v>
      </c>
      <c r="N2608" s="12" t="s">
        <v>2934</v>
      </c>
      <c r="O2608" s="12">
        <v>0</v>
      </c>
      <c r="P2608" s="12" t="s">
        <v>2058</v>
      </c>
      <c r="Q2608" s="7" t="str">
        <f t="shared" si="94"/>
        <v>equipment/1123.png</v>
      </c>
      <c r="R2608" s="1">
        <v>1</v>
      </c>
    </row>
    <row r="2609" spans="1:18" s="12" customFormat="1" ht="14.25" thickBot="1">
      <c r="A2609" s="12">
        <f t="shared" si="93"/>
        <v>50651056</v>
      </c>
      <c r="B2609" s="2">
        <v>0</v>
      </c>
      <c r="C2609" s="12" t="s">
        <v>2650</v>
      </c>
      <c r="D2609" s="12" t="s">
        <v>12</v>
      </c>
      <c r="E2609" s="12">
        <v>5</v>
      </c>
      <c r="F2609" s="12">
        <v>5</v>
      </c>
      <c r="G2609" s="12">
        <v>65</v>
      </c>
      <c r="H2609" s="12" t="s">
        <v>2120</v>
      </c>
      <c r="I2609" s="12">
        <v>136000</v>
      </c>
      <c r="J2609" s="12">
        <v>150</v>
      </c>
      <c r="K2609" s="12">
        <v>1500</v>
      </c>
      <c r="L2609" s="12">
        <v>37500</v>
      </c>
      <c r="M2609" s="12" t="s">
        <v>1998</v>
      </c>
      <c r="N2609" s="12" t="s">
        <v>2934</v>
      </c>
      <c r="O2609" s="12">
        <v>0</v>
      </c>
      <c r="P2609" s="12" t="s">
        <v>2058</v>
      </c>
      <c r="Q2609" s="7" t="str">
        <f t="shared" si="94"/>
        <v>equipment/1101.png</v>
      </c>
      <c r="R2609" s="1">
        <v>1</v>
      </c>
    </row>
    <row r="2610" spans="1:18" s="12" customFormat="1" ht="14.25" thickBot="1">
      <c r="A2610" s="12">
        <f t="shared" si="93"/>
        <v>50651065</v>
      </c>
      <c r="B2610" s="2">
        <v>0</v>
      </c>
      <c r="C2610" s="12" t="s">
        <v>2651</v>
      </c>
      <c r="D2610" s="12" t="s">
        <v>13</v>
      </c>
      <c r="E2610" s="12">
        <v>6</v>
      </c>
      <c r="F2610" s="12">
        <v>5</v>
      </c>
      <c r="G2610" s="12">
        <v>65</v>
      </c>
      <c r="H2610" s="12" t="s">
        <v>2120</v>
      </c>
      <c r="I2610" s="12">
        <v>130000</v>
      </c>
      <c r="J2610" s="12">
        <v>150</v>
      </c>
      <c r="K2610" s="12">
        <v>1500</v>
      </c>
      <c r="L2610" s="12">
        <v>35000</v>
      </c>
      <c r="M2610" s="12" t="s">
        <v>1999</v>
      </c>
      <c r="N2610" s="12" t="s">
        <v>2934</v>
      </c>
      <c r="O2610" s="12">
        <v>0</v>
      </c>
      <c r="P2610" s="12" t="s">
        <v>2058</v>
      </c>
      <c r="Q2610" s="7" t="str">
        <f t="shared" si="94"/>
        <v>equipment/2116.png</v>
      </c>
      <c r="R2610" s="1">
        <v>1</v>
      </c>
    </row>
    <row r="2611" spans="1:18" s="12" customFormat="1" ht="14.25" thickBot="1">
      <c r="A2611" s="12">
        <f t="shared" si="93"/>
        <v>50651066</v>
      </c>
      <c r="B2611" s="2">
        <v>0</v>
      </c>
      <c r="C2611" s="12" t="s">
        <v>2061</v>
      </c>
      <c r="D2611" s="12" t="s">
        <v>13</v>
      </c>
      <c r="E2611" s="12">
        <v>6</v>
      </c>
      <c r="F2611" s="12">
        <v>5</v>
      </c>
      <c r="G2611" s="12">
        <v>65</v>
      </c>
      <c r="H2611" s="12" t="s">
        <v>2120</v>
      </c>
      <c r="I2611" s="12">
        <v>136000</v>
      </c>
      <c r="J2611" s="12">
        <v>150</v>
      </c>
      <c r="K2611" s="12">
        <v>1500</v>
      </c>
      <c r="L2611" s="12">
        <v>37500</v>
      </c>
      <c r="M2611" s="12" t="s">
        <v>1999</v>
      </c>
      <c r="N2611" s="12" t="s">
        <v>2934</v>
      </c>
      <c r="O2611" s="12">
        <v>0</v>
      </c>
      <c r="P2611" s="12" t="s">
        <v>2058</v>
      </c>
      <c r="Q2611" s="7" t="str">
        <f t="shared" si="94"/>
        <v>equipment/2101.png</v>
      </c>
      <c r="R2611" s="1">
        <v>1</v>
      </c>
    </row>
    <row r="2612" spans="1:18" s="12" customFormat="1" ht="14.25" thickBot="1">
      <c r="A2612" s="12">
        <f t="shared" si="93"/>
        <v>50652055</v>
      </c>
      <c r="B2612" s="2">
        <v>0</v>
      </c>
      <c r="C2612" s="12" t="s">
        <v>2652</v>
      </c>
      <c r="D2612" s="12" t="s">
        <v>12</v>
      </c>
      <c r="E2612" s="12">
        <v>5</v>
      </c>
      <c r="F2612" s="12">
        <v>5</v>
      </c>
      <c r="G2612" s="12">
        <v>65</v>
      </c>
      <c r="H2612" s="12" t="s">
        <v>2121</v>
      </c>
      <c r="I2612" s="12">
        <v>130000</v>
      </c>
      <c r="J2612" s="12">
        <v>150</v>
      </c>
      <c r="K2612" s="12">
        <v>1500</v>
      </c>
      <c r="L2612" s="12">
        <v>35000</v>
      </c>
      <c r="M2612" s="12" t="s">
        <v>2024</v>
      </c>
      <c r="N2612" s="12" t="s">
        <v>2934</v>
      </c>
      <c r="O2612" s="12">
        <v>0</v>
      </c>
      <c r="P2612" s="12" t="s">
        <v>2058</v>
      </c>
      <c r="Q2612" s="7" t="str">
        <f t="shared" si="94"/>
        <v>equipment/1224.png</v>
      </c>
      <c r="R2612" s="1">
        <v>1</v>
      </c>
    </row>
    <row r="2613" spans="1:18" s="12" customFormat="1" ht="14.25" thickBot="1">
      <c r="A2613" s="12">
        <f t="shared" si="93"/>
        <v>50652056</v>
      </c>
      <c r="B2613" s="2">
        <v>0</v>
      </c>
      <c r="C2613" s="12" t="s">
        <v>2653</v>
      </c>
      <c r="D2613" s="12" t="s">
        <v>12</v>
      </c>
      <c r="E2613" s="12">
        <v>5</v>
      </c>
      <c r="F2613" s="12">
        <v>5</v>
      </c>
      <c r="G2613" s="12">
        <v>65</v>
      </c>
      <c r="H2613" s="12" t="s">
        <v>2121</v>
      </c>
      <c r="I2613" s="12">
        <v>136000</v>
      </c>
      <c r="J2613" s="12">
        <v>150</v>
      </c>
      <c r="K2613" s="12">
        <v>1500</v>
      </c>
      <c r="L2613" s="12">
        <v>37500</v>
      </c>
      <c r="M2613" s="12" t="s">
        <v>1998</v>
      </c>
      <c r="N2613" s="12" t="s">
        <v>2934</v>
      </c>
      <c r="O2613" s="12">
        <v>0</v>
      </c>
      <c r="P2613" s="12" t="s">
        <v>2058</v>
      </c>
      <c r="Q2613" s="7" t="str">
        <f t="shared" si="94"/>
        <v>equipment/1201.png</v>
      </c>
      <c r="R2613" s="1">
        <v>1</v>
      </c>
    </row>
    <row r="2614" spans="1:18" s="12" customFormat="1" ht="14.25" thickBot="1">
      <c r="A2614" s="12">
        <f t="shared" si="93"/>
        <v>50652065</v>
      </c>
      <c r="B2614" s="2">
        <v>0</v>
      </c>
      <c r="C2614" s="12" t="s">
        <v>2654</v>
      </c>
      <c r="D2614" s="12" t="s">
        <v>13</v>
      </c>
      <c r="E2614" s="12">
        <v>6</v>
      </c>
      <c r="F2614" s="12">
        <v>5</v>
      </c>
      <c r="G2614" s="12">
        <v>65</v>
      </c>
      <c r="H2614" s="12" t="s">
        <v>2121</v>
      </c>
      <c r="I2614" s="12">
        <v>130000</v>
      </c>
      <c r="J2614" s="12">
        <v>150</v>
      </c>
      <c r="K2614" s="12">
        <v>1500</v>
      </c>
      <c r="L2614" s="12">
        <v>35000</v>
      </c>
      <c r="M2614" s="12" t="s">
        <v>2000</v>
      </c>
      <c r="N2614" s="12" t="s">
        <v>2934</v>
      </c>
      <c r="O2614" s="12">
        <v>0</v>
      </c>
      <c r="P2614" s="12" t="s">
        <v>2058</v>
      </c>
      <c r="Q2614" s="7" t="str">
        <f t="shared" si="94"/>
        <v>equipment/2216.png</v>
      </c>
      <c r="R2614" s="1">
        <v>1</v>
      </c>
    </row>
    <row r="2615" spans="1:18" s="12" customFormat="1" ht="14.25" thickBot="1">
      <c r="A2615" s="12">
        <f t="shared" si="93"/>
        <v>50652066</v>
      </c>
      <c r="B2615" s="2">
        <v>0</v>
      </c>
      <c r="C2615" s="12" t="s">
        <v>2094</v>
      </c>
      <c r="D2615" s="12" t="s">
        <v>13</v>
      </c>
      <c r="E2615" s="12">
        <v>6</v>
      </c>
      <c r="F2615" s="12">
        <v>5</v>
      </c>
      <c r="G2615" s="12">
        <v>65</v>
      </c>
      <c r="H2615" s="12" t="s">
        <v>2121</v>
      </c>
      <c r="I2615" s="12">
        <v>136000</v>
      </c>
      <c r="J2615" s="12">
        <v>150</v>
      </c>
      <c r="K2615" s="12">
        <v>1500</v>
      </c>
      <c r="L2615" s="12">
        <v>37500</v>
      </c>
      <c r="M2615" s="12" t="s">
        <v>2000</v>
      </c>
      <c r="N2615" s="12" t="s">
        <v>2934</v>
      </c>
      <c r="O2615" s="12">
        <v>0</v>
      </c>
      <c r="P2615" s="12" t="s">
        <v>2058</v>
      </c>
      <c r="Q2615" s="7" t="str">
        <f t="shared" si="94"/>
        <v>equipment/2201.png</v>
      </c>
      <c r="R2615" s="1">
        <v>1</v>
      </c>
    </row>
    <row r="2616" spans="1:18" s="12" customFormat="1" ht="14.25" thickBot="1">
      <c r="A2616" s="12">
        <f t="shared" si="93"/>
        <v>50653055</v>
      </c>
      <c r="B2616" s="2">
        <v>0</v>
      </c>
      <c r="C2616" s="12" t="s">
        <v>2655</v>
      </c>
      <c r="D2616" s="12" t="s">
        <v>12</v>
      </c>
      <c r="E2616" s="12">
        <v>5</v>
      </c>
      <c r="F2616" s="12">
        <v>5</v>
      </c>
      <c r="G2616" s="12">
        <v>65</v>
      </c>
      <c r="H2616" s="12" t="s">
        <v>2122</v>
      </c>
      <c r="I2616" s="12">
        <v>130000</v>
      </c>
      <c r="J2616" s="12">
        <v>150</v>
      </c>
      <c r="K2616" s="12">
        <v>1500</v>
      </c>
      <c r="L2616" s="12">
        <v>35000</v>
      </c>
      <c r="M2616" s="12" t="s">
        <v>2024</v>
      </c>
      <c r="N2616" s="12" t="s">
        <v>2934</v>
      </c>
      <c r="O2616" s="12">
        <v>0</v>
      </c>
      <c r="P2616" s="12" t="s">
        <v>2058</v>
      </c>
      <c r="Q2616" s="7" t="str">
        <f t="shared" si="94"/>
        <v>equipment/1323.png</v>
      </c>
      <c r="R2616" s="1">
        <v>1</v>
      </c>
    </row>
    <row r="2617" spans="1:18" s="12" customFormat="1" ht="14.25" thickBot="1">
      <c r="A2617" s="12">
        <f t="shared" si="93"/>
        <v>50653056</v>
      </c>
      <c r="B2617" s="2">
        <v>0</v>
      </c>
      <c r="C2617" s="12" t="s">
        <v>2497</v>
      </c>
      <c r="D2617" s="12" t="s">
        <v>12</v>
      </c>
      <c r="E2617" s="12">
        <v>5</v>
      </c>
      <c r="F2617" s="12">
        <v>5</v>
      </c>
      <c r="G2617" s="12">
        <v>65</v>
      </c>
      <c r="H2617" s="12" t="s">
        <v>2122</v>
      </c>
      <c r="I2617" s="12">
        <v>136000</v>
      </c>
      <c r="J2617" s="12">
        <v>150</v>
      </c>
      <c r="K2617" s="12">
        <v>1500</v>
      </c>
      <c r="L2617" s="12">
        <v>37500</v>
      </c>
      <c r="M2617" s="12" t="s">
        <v>1998</v>
      </c>
      <c r="N2617" s="12" t="s">
        <v>2934</v>
      </c>
      <c r="O2617" s="12">
        <v>0</v>
      </c>
      <c r="P2617" s="12" t="s">
        <v>2058</v>
      </c>
      <c r="Q2617" s="7" t="str">
        <f t="shared" si="94"/>
        <v>equipment/1301.png</v>
      </c>
      <c r="R2617" s="1">
        <v>1</v>
      </c>
    </row>
    <row r="2618" spans="1:18" s="12" customFormat="1" ht="14.25" thickBot="1">
      <c r="A2618" s="12">
        <f t="shared" si="93"/>
        <v>50653065</v>
      </c>
      <c r="B2618" s="2">
        <v>0</v>
      </c>
      <c r="C2618" s="12" t="s">
        <v>2656</v>
      </c>
      <c r="D2618" s="12" t="s">
        <v>13</v>
      </c>
      <c r="E2618" s="12">
        <v>6</v>
      </c>
      <c r="F2618" s="12">
        <v>5</v>
      </c>
      <c r="G2618" s="12">
        <v>65</v>
      </c>
      <c r="H2618" s="12" t="s">
        <v>2122</v>
      </c>
      <c r="I2618" s="12">
        <v>130000</v>
      </c>
      <c r="J2618" s="12">
        <v>150</v>
      </c>
      <c r="K2618" s="12">
        <v>1500</v>
      </c>
      <c r="L2618" s="12">
        <v>35000</v>
      </c>
      <c r="M2618" s="12" t="s">
        <v>2001</v>
      </c>
      <c r="N2618" s="12" t="s">
        <v>2934</v>
      </c>
      <c r="O2618" s="12">
        <v>0</v>
      </c>
      <c r="P2618" s="12" t="s">
        <v>2058</v>
      </c>
      <c r="Q2618" s="7" t="str">
        <f t="shared" si="94"/>
        <v>equipment/2317.png</v>
      </c>
      <c r="R2618" s="1">
        <v>1</v>
      </c>
    </row>
    <row r="2619" spans="1:18" s="12" customFormat="1" ht="14.25" thickBot="1">
      <c r="A2619" s="12">
        <f t="shared" si="93"/>
        <v>50653066</v>
      </c>
      <c r="B2619" s="2">
        <v>0</v>
      </c>
      <c r="C2619" s="12" t="s">
        <v>2095</v>
      </c>
      <c r="D2619" s="12" t="s">
        <v>13</v>
      </c>
      <c r="E2619" s="12">
        <v>6</v>
      </c>
      <c r="F2619" s="12">
        <v>5</v>
      </c>
      <c r="G2619" s="12">
        <v>65</v>
      </c>
      <c r="H2619" s="12" t="s">
        <v>2122</v>
      </c>
      <c r="I2619" s="12">
        <v>136000</v>
      </c>
      <c r="J2619" s="12">
        <v>150</v>
      </c>
      <c r="K2619" s="12">
        <v>1500</v>
      </c>
      <c r="L2619" s="12">
        <v>37500</v>
      </c>
      <c r="M2619" s="12" t="s">
        <v>2002</v>
      </c>
      <c r="N2619" s="12" t="s">
        <v>2934</v>
      </c>
      <c r="O2619" s="12">
        <v>0</v>
      </c>
      <c r="P2619" s="12" t="s">
        <v>2058</v>
      </c>
      <c r="Q2619" s="7" t="str">
        <f t="shared" si="94"/>
        <v>equipment/2301.png</v>
      </c>
      <c r="R2619" s="1">
        <v>1</v>
      </c>
    </row>
    <row r="2620" spans="1:18" s="12" customFormat="1" ht="14.25" thickBot="1">
      <c r="A2620" s="12">
        <f t="shared" si="93"/>
        <v>50650045</v>
      </c>
      <c r="B2620" s="2">
        <v>0</v>
      </c>
      <c r="C2620" s="12" t="s">
        <v>2657</v>
      </c>
      <c r="D2620" s="12" t="s">
        <v>11</v>
      </c>
      <c r="E2620" s="12">
        <v>4</v>
      </c>
      <c r="F2620" s="12">
        <v>5</v>
      </c>
      <c r="G2620" s="12">
        <v>65</v>
      </c>
      <c r="H2620" s="12">
        <v>0</v>
      </c>
      <c r="I2620" s="12">
        <v>130000</v>
      </c>
      <c r="J2620" s="12">
        <v>150</v>
      </c>
      <c r="K2620" s="12">
        <v>1500</v>
      </c>
      <c r="L2620" s="12">
        <v>35000</v>
      </c>
      <c r="M2620" s="12" t="s">
        <v>2003</v>
      </c>
      <c r="N2620" s="12" t="s">
        <v>2933</v>
      </c>
      <c r="O2620" s="12">
        <v>0</v>
      </c>
      <c r="P2620" s="12" t="s">
        <v>2058</v>
      </c>
      <c r="Q2620" s="7" t="str">
        <f t="shared" si="94"/>
        <v>equipment/5017.png</v>
      </c>
      <c r="R2620" s="1">
        <v>1</v>
      </c>
    </row>
    <row r="2621" spans="1:18" s="12" customFormat="1" ht="14.25" thickBot="1">
      <c r="A2621" s="12">
        <f t="shared" si="93"/>
        <v>50650046</v>
      </c>
      <c r="B2621" s="2">
        <v>0</v>
      </c>
      <c r="C2621" s="12" t="s">
        <v>2499</v>
      </c>
      <c r="D2621" s="12" t="s">
        <v>11</v>
      </c>
      <c r="E2621" s="12">
        <v>4</v>
      </c>
      <c r="F2621" s="12">
        <v>5</v>
      </c>
      <c r="G2621" s="12">
        <v>65</v>
      </c>
      <c r="H2621" s="12">
        <v>0</v>
      </c>
      <c r="I2621" s="12">
        <v>136000</v>
      </c>
      <c r="J2621" s="12">
        <v>150</v>
      </c>
      <c r="K2621" s="12">
        <v>1500</v>
      </c>
      <c r="L2621" s="12">
        <v>37500</v>
      </c>
      <c r="M2621" s="12" t="s">
        <v>2003</v>
      </c>
      <c r="N2621" s="12" t="s">
        <v>2933</v>
      </c>
      <c r="O2621" s="12">
        <v>0</v>
      </c>
      <c r="P2621" s="12" t="s">
        <v>2058</v>
      </c>
      <c r="Q2621" s="7" t="str">
        <f t="shared" si="94"/>
        <v>equipment/5001.png</v>
      </c>
      <c r="R2621" s="1">
        <v>1</v>
      </c>
    </row>
    <row r="2622" spans="1:18" s="12" customFormat="1" ht="14.25" thickBot="1">
      <c r="A2622" s="12">
        <f t="shared" si="93"/>
        <v>50650075</v>
      </c>
      <c r="B2622" s="2">
        <v>0</v>
      </c>
      <c r="C2622" s="12" t="s">
        <v>2658</v>
      </c>
      <c r="D2622" s="12" t="s">
        <v>14</v>
      </c>
      <c r="E2622" s="12">
        <v>7</v>
      </c>
      <c r="F2622" s="12">
        <v>5</v>
      </c>
      <c r="G2622" s="12">
        <v>65</v>
      </c>
      <c r="H2622" s="12">
        <v>0</v>
      </c>
      <c r="I2622" s="12">
        <v>130000</v>
      </c>
      <c r="J2622" s="12">
        <v>150</v>
      </c>
      <c r="K2622" s="12">
        <v>1500</v>
      </c>
      <c r="L2622" s="12">
        <v>35000</v>
      </c>
      <c r="M2622" s="12" t="s">
        <v>2004</v>
      </c>
      <c r="N2622" s="12" t="s">
        <v>2933</v>
      </c>
      <c r="O2622" s="12">
        <v>0</v>
      </c>
      <c r="P2622" s="12" t="s">
        <v>2058</v>
      </c>
      <c r="Q2622" s="7" t="str">
        <f t="shared" si="94"/>
        <v>equipment/7017.png</v>
      </c>
      <c r="R2622" s="1">
        <v>1</v>
      </c>
    </row>
    <row r="2623" spans="1:18" s="12" customFormat="1" ht="14.25" thickBot="1">
      <c r="A2623" s="12">
        <f t="shared" si="93"/>
        <v>50650076</v>
      </c>
      <c r="B2623" s="2">
        <v>0</v>
      </c>
      <c r="C2623" s="12" t="s">
        <v>2501</v>
      </c>
      <c r="D2623" s="12" t="s">
        <v>14</v>
      </c>
      <c r="E2623" s="12">
        <v>7</v>
      </c>
      <c r="F2623" s="12">
        <v>5</v>
      </c>
      <c r="G2623" s="12">
        <v>65</v>
      </c>
      <c r="H2623" s="12">
        <v>0</v>
      </c>
      <c r="I2623" s="12">
        <v>136000</v>
      </c>
      <c r="J2623" s="12">
        <v>150</v>
      </c>
      <c r="K2623" s="12">
        <v>1500</v>
      </c>
      <c r="L2623" s="12">
        <v>37500</v>
      </c>
      <c r="M2623" s="12" t="s">
        <v>2004</v>
      </c>
      <c r="N2623" s="12" t="s">
        <v>2933</v>
      </c>
      <c r="O2623" s="12">
        <v>0</v>
      </c>
      <c r="P2623" s="12" t="s">
        <v>2058</v>
      </c>
      <c r="Q2623" s="7" t="str">
        <f t="shared" si="94"/>
        <v>equipment/7001.png</v>
      </c>
      <c r="R2623" s="1">
        <v>1</v>
      </c>
    </row>
    <row r="2624" spans="1:18" s="12" customFormat="1" ht="14.25" thickBot="1">
      <c r="A2624" s="12">
        <f t="shared" si="93"/>
        <v>50700015</v>
      </c>
      <c r="B2624" s="2">
        <v>0</v>
      </c>
      <c r="C2624" s="12" t="s">
        <v>2659</v>
      </c>
      <c r="D2624" s="12" t="s">
        <v>8</v>
      </c>
      <c r="E2624" s="12">
        <v>1</v>
      </c>
      <c r="F2624" s="12">
        <v>5</v>
      </c>
      <c r="G2624" s="12">
        <v>70</v>
      </c>
      <c r="H2624" s="12">
        <v>0</v>
      </c>
      <c r="I2624" s="12">
        <v>140000</v>
      </c>
      <c r="J2624" s="12">
        <v>150</v>
      </c>
      <c r="K2624" s="12">
        <v>1500</v>
      </c>
      <c r="L2624" s="12">
        <v>37500</v>
      </c>
      <c r="M2624" s="12" t="s">
        <v>2477</v>
      </c>
      <c r="N2624" s="12" t="s">
        <v>2935</v>
      </c>
      <c r="O2624" s="12">
        <v>0</v>
      </c>
      <c r="P2624" s="12" t="s">
        <v>2059</v>
      </c>
      <c r="Q2624" s="7" t="str">
        <f t="shared" si="94"/>
        <v>equipment/3014.png</v>
      </c>
      <c r="R2624" s="1">
        <v>1</v>
      </c>
    </row>
    <row r="2625" spans="1:18" s="12" customFormat="1" ht="14.25" thickBot="1">
      <c r="A2625" s="12">
        <f t="shared" si="93"/>
        <v>50700025</v>
      </c>
      <c r="B2625" s="2">
        <v>0</v>
      </c>
      <c r="C2625" s="12" t="s">
        <v>2660</v>
      </c>
      <c r="D2625" s="12" t="s">
        <v>9</v>
      </c>
      <c r="E2625" s="12">
        <v>2</v>
      </c>
      <c r="F2625" s="12">
        <v>5</v>
      </c>
      <c r="G2625" s="12">
        <v>70</v>
      </c>
      <c r="H2625" s="12">
        <v>0</v>
      </c>
      <c r="I2625" s="12">
        <v>140000</v>
      </c>
      <c r="J2625" s="12">
        <v>150</v>
      </c>
      <c r="K2625" s="12">
        <v>1500</v>
      </c>
      <c r="L2625" s="12">
        <v>37500</v>
      </c>
      <c r="M2625" s="12" t="s">
        <v>2478</v>
      </c>
      <c r="N2625" s="12" t="s">
        <v>2935</v>
      </c>
      <c r="O2625" s="12">
        <v>0</v>
      </c>
      <c r="P2625" s="12" t="s">
        <v>2059</v>
      </c>
      <c r="Q2625" s="7" t="str">
        <f t="shared" si="94"/>
        <v>equipment/14012.png</v>
      </c>
      <c r="R2625" s="1">
        <v>1</v>
      </c>
    </row>
    <row r="2626" spans="1:18" s="12" customFormat="1" ht="14.25" thickBot="1">
      <c r="A2626" s="12">
        <f t="shared" si="93"/>
        <v>50700035</v>
      </c>
      <c r="B2626" s="2">
        <v>0</v>
      </c>
      <c r="C2626" s="12" t="s">
        <v>2661</v>
      </c>
      <c r="D2626" s="12" t="s">
        <v>10</v>
      </c>
      <c r="E2626" s="12">
        <v>3</v>
      </c>
      <c r="F2626" s="12">
        <v>5</v>
      </c>
      <c r="G2626" s="12">
        <v>70</v>
      </c>
      <c r="H2626" s="12">
        <v>0</v>
      </c>
      <c r="I2626" s="12">
        <v>140000</v>
      </c>
      <c r="J2626" s="12">
        <v>150</v>
      </c>
      <c r="K2626" s="12">
        <v>1500</v>
      </c>
      <c r="L2626" s="12">
        <v>37500</v>
      </c>
      <c r="M2626" s="12" t="s">
        <v>2479</v>
      </c>
      <c r="N2626" s="12" t="s">
        <v>2935</v>
      </c>
      <c r="O2626" s="12">
        <v>0</v>
      </c>
      <c r="P2626" s="12" t="s">
        <v>2059</v>
      </c>
      <c r="Q2626" s="7" t="str">
        <f t="shared" si="94"/>
        <v>equipment/6013.png</v>
      </c>
      <c r="R2626" s="1">
        <v>1</v>
      </c>
    </row>
    <row r="2627" spans="1:18" s="12" customFormat="1" ht="14.25" thickBot="1">
      <c r="A2627" s="12">
        <f t="shared" si="93"/>
        <v>50700085</v>
      </c>
      <c r="B2627" s="2">
        <v>0</v>
      </c>
      <c r="C2627" s="12" t="s">
        <v>2662</v>
      </c>
      <c r="D2627" s="12" t="s">
        <v>15</v>
      </c>
      <c r="E2627" s="12">
        <v>8</v>
      </c>
      <c r="F2627" s="12">
        <v>5</v>
      </c>
      <c r="G2627" s="12">
        <v>70</v>
      </c>
      <c r="H2627" s="12">
        <v>0</v>
      </c>
      <c r="I2627" s="12">
        <v>140000</v>
      </c>
      <c r="J2627" s="12">
        <v>150</v>
      </c>
      <c r="K2627" s="12">
        <v>1500</v>
      </c>
      <c r="L2627" s="12">
        <v>37500</v>
      </c>
      <c r="M2627" s="12" t="s">
        <v>2480</v>
      </c>
      <c r="N2627" s="12" t="s">
        <v>2935</v>
      </c>
      <c r="O2627" s="12">
        <v>0</v>
      </c>
      <c r="P2627" s="12" t="s">
        <v>2059</v>
      </c>
      <c r="Q2627" s="7" t="str">
        <f t="shared" si="94"/>
        <v>equipment/8012.png</v>
      </c>
      <c r="R2627" s="1">
        <v>1</v>
      </c>
    </row>
    <row r="2628" spans="1:18" s="12" customFormat="1" ht="14.25" thickBot="1">
      <c r="A2628" s="12">
        <f t="shared" si="93"/>
        <v>50700095</v>
      </c>
      <c r="B2628" s="2">
        <v>0</v>
      </c>
      <c r="C2628" s="12" t="s">
        <v>2663</v>
      </c>
      <c r="D2628" s="12" t="s">
        <v>16</v>
      </c>
      <c r="E2628" s="12">
        <v>9</v>
      </c>
      <c r="F2628" s="12">
        <v>5</v>
      </c>
      <c r="G2628" s="12">
        <v>70</v>
      </c>
      <c r="H2628" s="12">
        <v>0</v>
      </c>
      <c r="I2628" s="12">
        <v>140000</v>
      </c>
      <c r="J2628" s="12">
        <v>150</v>
      </c>
      <c r="K2628" s="12">
        <v>1500</v>
      </c>
      <c r="L2628" s="12">
        <v>37500</v>
      </c>
      <c r="M2628" s="12" t="s">
        <v>2481</v>
      </c>
      <c r="N2628" s="12" t="s">
        <v>2935</v>
      </c>
      <c r="O2628" s="12">
        <v>0</v>
      </c>
      <c r="P2628" s="12" t="s">
        <v>2059</v>
      </c>
      <c r="Q2628" s="7" t="str">
        <f t="shared" si="94"/>
        <v>equipment/10013.png</v>
      </c>
      <c r="R2628" s="1">
        <v>1</v>
      </c>
    </row>
    <row r="2629" spans="1:18" s="12" customFormat="1" ht="14.25" thickBot="1">
      <c r="A2629" s="12">
        <f t="shared" si="93"/>
        <v>50700105</v>
      </c>
      <c r="B2629" s="2">
        <v>0</v>
      </c>
      <c r="C2629" s="12" t="s">
        <v>2664</v>
      </c>
      <c r="D2629" s="12" t="s">
        <v>17</v>
      </c>
      <c r="E2629" s="12">
        <v>10</v>
      </c>
      <c r="F2629" s="12">
        <v>5</v>
      </c>
      <c r="G2629" s="12">
        <v>70</v>
      </c>
      <c r="H2629" s="12">
        <v>0</v>
      </c>
      <c r="I2629" s="12">
        <v>140000</v>
      </c>
      <c r="J2629" s="12">
        <v>150</v>
      </c>
      <c r="K2629" s="12">
        <v>1500</v>
      </c>
      <c r="L2629" s="12">
        <v>37500</v>
      </c>
      <c r="M2629" s="12" t="s">
        <v>2482</v>
      </c>
      <c r="N2629" s="12" t="s">
        <v>2935</v>
      </c>
      <c r="O2629" s="12">
        <v>0</v>
      </c>
      <c r="P2629" s="12" t="s">
        <v>2059</v>
      </c>
      <c r="Q2629" s="7" t="str">
        <f t="shared" si="94"/>
        <v>equipment/12014.png</v>
      </c>
      <c r="R2629" s="1">
        <v>1</v>
      </c>
    </row>
    <row r="2630" spans="1:18" s="12" customFormat="1" ht="14.25" thickBot="1">
      <c r="A2630" s="12">
        <f t="shared" si="93"/>
        <v>50701055</v>
      </c>
      <c r="B2630" s="2">
        <v>0</v>
      </c>
      <c r="C2630" s="12" t="s">
        <v>2650</v>
      </c>
      <c r="D2630" s="12" t="s">
        <v>12</v>
      </c>
      <c r="E2630" s="12">
        <v>5</v>
      </c>
      <c r="F2630" s="12">
        <v>5</v>
      </c>
      <c r="G2630" s="12">
        <v>70</v>
      </c>
      <c r="H2630" s="12" t="s">
        <v>2120</v>
      </c>
      <c r="I2630" s="12">
        <v>140000</v>
      </c>
      <c r="J2630" s="12">
        <v>150</v>
      </c>
      <c r="K2630" s="12">
        <v>1500</v>
      </c>
      <c r="L2630" s="12">
        <v>37500</v>
      </c>
      <c r="M2630" s="12" t="s">
        <v>2025</v>
      </c>
      <c r="N2630" s="12" t="s">
        <v>2936</v>
      </c>
      <c r="O2630" s="12">
        <v>0</v>
      </c>
      <c r="P2630" s="12" t="s">
        <v>2059</v>
      </c>
      <c r="Q2630" s="7" t="str">
        <f t="shared" si="94"/>
        <v>equipment/1124.png</v>
      </c>
      <c r="R2630" s="1">
        <v>1</v>
      </c>
    </row>
    <row r="2631" spans="1:18" s="12" customFormat="1" ht="14.25" thickBot="1">
      <c r="A2631" s="12">
        <f t="shared" si="93"/>
        <v>50701056</v>
      </c>
      <c r="B2631" s="2">
        <v>0</v>
      </c>
      <c r="C2631" s="12" t="s">
        <v>2665</v>
      </c>
      <c r="D2631" s="12" t="s">
        <v>12</v>
      </c>
      <c r="E2631" s="12">
        <v>5</v>
      </c>
      <c r="F2631" s="12">
        <v>5</v>
      </c>
      <c r="G2631" s="12">
        <v>70</v>
      </c>
      <c r="H2631" s="12" t="s">
        <v>2120</v>
      </c>
      <c r="I2631" s="12">
        <v>146000</v>
      </c>
      <c r="J2631" s="12">
        <v>150</v>
      </c>
      <c r="K2631" s="12">
        <v>1500</v>
      </c>
      <c r="L2631" s="12">
        <v>40000</v>
      </c>
      <c r="M2631" s="12" t="s">
        <v>2025</v>
      </c>
      <c r="N2631" s="12" t="s">
        <v>2936</v>
      </c>
      <c r="O2631" s="12">
        <v>0</v>
      </c>
      <c r="P2631" s="12" t="s">
        <v>2059</v>
      </c>
      <c r="Q2631" s="7" t="str">
        <f t="shared" si="94"/>
        <v>equipment/1101.png</v>
      </c>
      <c r="R2631" s="1">
        <v>1</v>
      </c>
    </row>
    <row r="2632" spans="1:18" s="12" customFormat="1" ht="14.25" thickBot="1">
      <c r="A2632" s="12">
        <f t="shared" si="93"/>
        <v>50701065</v>
      </c>
      <c r="B2632" s="2">
        <v>0</v>
      </c>
      <c r="C2632" s="12" t="s">
        <v>2666</v>
      </c>
      <c r="D2632" s="12" t="s">
        <v>13</v>
      </c>
      <c r="E2632" s="12">
        <v>6</v>
      </c>
      <c r="F2632" s="12">
        <v>5</v>
      </c>
      <c r="G2632" s="12">
        <v>70</v>
      </c>
      <c r="H2632" s="12" t="s">
        <v>2120</v>
      </c>
      <c r="I2632" s="12">
        <v>140000</v>
      </c>
      <c r="J2632" s="12">
        <v>150</v>
      </c>
      <c r="K2632" s="12">
        <v>1500</v>
      </c>
      <c r="L2632" s="12">
        <v>37500</v>
      </c>
      <c r="M2632" s="12" t="s">
        <v>2007</v>
      </c>
      <c r="N2632" s="12" t="s">
        <v>2936</v>
      </c>
      <c r="O2632" s="12">
        <v>0</v>
      </c>
      <c r="P2632" s="12" t="s">
        <v>2059</v>
      </c>
      <c r="Q2632" s="7" t="str">
        <f t="shared" si="94"/>
        <v>equipment/2118.png</v>
      </c>
      <c r="R2632" s="1">
        <v>1</v>
      </c>
    </row>
    <row r="2633" spans="1:18" s="12" customFormat="1" ht="14.25" thickBot="1">
      <c r="A2633" s="12">
        <f t="shared" si="93"/>
        <v>50701066</v>
      </c>
      <c r="B2633" s="2">
        <v>0</v>
      </c>
      <c r="C2633" s="12" t="s">
        <v>2667</v>
      </c>
      <c r="D2633" s="12" t="s">
        <v>13</v>
      </c>
      <c r="E2633" s="12">
        <v>6</v>
      </c>
      <c r="F2633" s="12">
        <v>5</v>
      </c>
      <c r="G2633" s="12">
        <v>70</v>
      </c>
      <c r="H2633" s="12" t="s">
        <v>2120</v>
      </c>
      <c r="I2633" s="12">
        <v>146000</v>
      </c>
      <c r="J2633" s="12">
        <v>150</v>
      </c>
      <c r="K2633" s="12">
        <v>1500</v>
      </c>
      <c r="L2633" s="12">
        <v>40000</v>
      </c>
      <c r="M2633" s="12" t="s">
        <v>2007</v>
      </c>
      <c r="N2633" s="12" t="s">
        <v>2936</v>
      </c>
      <c r="O2633" s="12">
        <v>0</v>
      </c>
      <c r="P2633" s="12" t="s">
        <v>2059</v>
      </c>
      <c r="Q2633" s="7" t="str">
        <f t="shared" si="94"/>
        <v>equipment/2101.png</v>
      </c>
      <c r="R2633" s="1">
        <v>1</v>
      </c>
    </row>
    <row r="2634" spans="1:18" s="12" customFormat="1" ht="14.25" thickBot="1">
      <c r="A2634" s="12">
        <f t="shared" si="93"/>
        <v>50702055</v>
      </c>
      <c r="B2634" s="2">
        <v>0</v>
      </c>
      <c r="C2634" s="12" t="s">
        <v>2653</v>
      </c>
      <c r="D2634" s="12" t="s">
        <v>12</v>
      </c>
      <c r="E2634" s="12">
        <v>5</v>
      </c>
      <c r="F2634" s="12">
        <v>5</v>
      </c>
      <c r="G2634" s="12">
        <v>70</v>
      </c>
      <c r="H2634" s="12" t="s">
        <v>2121</v>
      </c>
      <c r="I2634" s="12">
        <v>140000</v>
      </c>
      <c r="J2634" s="12">
        <v>150</v>
      </c>
      <c r="K2634" s="12">
        <v>1500</v>
      </c>
      <c r="L2634" s="12">
        <v>37500</v>
      </c>
      <c r="M2634" s="12" t="s">
        <v>2025</v>
      </c>
      <c r="N2634" s="12" t="s">
        <v>2936</v>
      </c>
      <c r="O2634" s="12">
        <v>0</v>
      </c>
      <c r="P2634" s="12" t="s">
        <v>2059</v>
      </c>
      <c r="Q2634" s="7" t="str">
        <f t="shared" si="94"/>
        <v>equipment/1222.png</v>
      </c>
      <c r="R2634" s="1">
        <v>1</v>
      </c>
    </row>
    <row r="2635" spans="1:18" s="12" customFormat="1" ht="14.25" thickBot="1">
      <c r="A2635" s="12">
        <f t="shared" si="93"/>
        <v>50702056</v>
      </c>
      <c r="B2635" s="2">
        <v>0</v>
      </c>
      <c r="C2635" s="12" t="s">
        <v>2668</v>
      </c>
      <c r="D2635" s="12" t="s">
        <v>12</v>
      </c>
      <c r="E2635" s="12">
        <v>5</v>
      </c>
      <c r="F2635" s="12">
        <v>5</v>
      </c>
      <c r="G2635" s="12">
        <v>70</v>
      </c>
      <c r="H2635" s="12" t="s">
        <v>2121</v>
      </c>
      <c r="I2635" s="12">
        <v>146000</v>
      </c>
      <c r="J2635" s="12">
        <v>150</v>
      </c>
      <c r="K2635" s="12">
        <v>1500</v>
      </c>
      <c r="L2635" s="12">
        <v>40000</v>
      </c>
      <c r="M2635" s="12" t="s">
        <v>2025</v>
      </c>
      <c r="N2635" s="12" t="s">
        <v>2936</v>
      </c>
      <c r="O2635" s="12">
        <v>0</v>
      </c>
      <c r="P2635" s="12" t="s">
        <v>2059</v>
      </c>
      <c r="Q2635" s="7" t="str">
        <f t="shared" si="94"/>
        <v>equipment/1201.png</v>
      </c>
      <c r="R2635" s="1">
        <v>1</v>
      </c>
    </row>
    <row r="2636" spans="1:18" s="12" customFormat="1" ht="14.25" thickBot="1">
      <c r="A2636" s="12">
        <f t="shared" si="93"/>
        <v>50702065</v>
      </c>
      <c r="B2636" s="2">
        <v>0</v>
      </c>
      <c r="C2636" s="12" t="s">
        <v>2669</v>
      </c>
      <c r="D2636" s="12" t="s">
        <v>13</v>
      </c>
      <c r="E2636" s="12">
        <v>6</v>
      </c>
      <c r="F2636" s="12">
        <v>5</v>
      </c>
      <c r="G2636" s="12">
        <v>70</v>
      </c>
      <c r="H2636" s="12" t="s">
        <v>2121</v>
      </c>
      <c r="I2636" s="12">
        <v>140000</v>
      </c>
      <c r="J2636" s="12">
        <v>150</v>
      </c>
      <c r="K2636" s="12">
        <v>1500</v>
      </c>
      <c r="L2636" s="12">
        <v>37500</v>
      </c>
      <c r="M2636" s="12" t="s">
        <v>2008</v>
      </c>
      <c r="N2636" s="12" t="s">
        <v>2936</v>
      </c>
      <c r="O2636" s="12">
        <v>0</v>
      </c>
      <c r="P2636" s="12" t="s">
        <v>2059</v>
      </c>
      <c r="Q2636" s="7" t="str">
        <f t="shared" si="94"/>
        <v>equipment/2218.png</v>
      </c>
      <c r="R2636" s="1">
        <v>1</v>
      </c>
    </row>
    <row r="2637" spans="1:18" s="12" customFormat="1" ht="14.25" thickBot="1">
      <c r="A2637" s="12">
        <f t="shared" ref="A2637:A2645" si="95">A1713+10000005</f>
        <v>50702066</v>
      </c>
      <c r="B2637" s="2">
        <v>0</v>
      </c>
      <c r="C2637" s="12" t="s">
        <v>2094</v>
      </c>
      <c r="D2637" s="12" t="s">
        <v>13</v>
      </c>
      <c r="E2637" s="12">
        <v>6</v>
      </c>
      <c r="F2637" s="12">
        <v>5</v>
      </c>
      <c r="G2637" s="12">
        <v>70</v>
      </c>
      <c r="H2637" s="12" t="s">
        <v>2121</v>
      </c>
      <c r="I2637" s="12">
        <v>146000</v>
      </c>
      <c r="J2637" s="12">
        <v>150</v>
      </c>
      <c r="K2637" s="12">
        <v>1500</v>
      </c>
      <c r="L2637" s="12">
        <v>40000</v>
      </c>
      <c r="M2637" s="12" t="s">
        <v>2008</v>
      </c>
      <c r="N2637" s="12" t="s">
        <v>2936</v>
      </c>
      <c r="O2637" s="12">
        <v>0</v>
      </c>
      <c r="P2637" s="12" t="s">
        <v>2059</v>
      </c>
      <c r="Q2637" s="7" t="str">
        <f t="shared" si="94"/>
        <v>equipment/2201.png</v>
      </c>
      <c r="R2637" s="1">
        <v>1</v>
      </c>
    </row>
    <row r="2638" spans="1:18" s="12" customFormat="1" ht="14.25" thickBot="1">
      <c r="A2638" s="12">
        <f t="shared" si="95"/>
        <v>50703055</v>
      </c>
      <c r="B2638" s="2">
        <v>0</v>
      </c>
      <c r="C2638" s="12" t="s">
        <v>2670</v>
      </c>
      <c r="D2638" s="12" t="s">
        <v>12</v>
      </c>
      <c r="E2638" s="12">
        <v>5</v>
      </c>
      <c r="F2638" s="12">
        <v>5</v>
      </c>
      <c r="G2638" s="12">
        <v>70</v>
      </c>
      <c r="H2638" s="12" t="s">
        <v>2122</v>
      </c>
      <c r="I2638" s="12">
        <v>140000</v>
      </c>
      <c r="J2638" s="12">
        <v>150</v>
      </c>
      <c r="K2638" s="12">
        <v>1500</v>
      </c>
      <c r="L2638" s="12">
        <v>37500</v>
      </c>
      <c r="M2638" s="12" t="s">
        <v>2025</v>
      </c>
      <c r="N2638" s="12" t="s">
        <v>2936</v>
      </c>
      <c r="O2638" s="12">
        <v>0</v>
      </c>
      <c r="P2638" s="12" t="s">
        <v>2059</v>
      </c>
      <c r="Q2638" s="7" t="str">
        <f t="shared" si="94"/>
        <v>equipment/1324.png</v>
      </c>
      <c r="R2638" s="1">
        <v>1</v>
      </c>
    </row>
    <row r="2639" spans="1:18" s="12" customFormat="1" ht="14.25" thickBot="1">
      <c r="A2639" s="12">
        <f t="shared" si="95"/>
        <v>50703056</v>
      </c>
      <c r="B2639" s="2">
        <v>0</v>
      </c>
      <c r="C2639" s="12" t="s">
        <v>2671</v>
      </c>
      <c r="D2639" s="12" t="s">
        <v>12</v>
      </c>
      <c r="E2639" s="12">
        <v>5</v>
      </c>
      <c r="F2639" s="12">
        <v>5</v>
      </c>
      <c r="G2639" s="12">
        <v>70</v>
      </c>
      <c r="H2639" s="12" t="s">
        <v>2122</v>
      </c>
      <c r="I2639" s="12">
        <v>146000</v>
      </c>
      <c r="J2639" s="12">
        <v>150</v>
      </c>
      <c r="K2639" s="12">
        <v>1500</v>
      </c>
      <c r="L2639" s="12">
        <v>40000</v>
      </c>
      <c r="M2639" s="12" t="s">
        <v>2025</v>
      </c>
      <c r="N2639" s="12" t="s">
        <v>2936</v>
      </c>
      <c r="O2639" s="12">
        <v>0</v>
      </c>
      <c r="P2639" s="12" t="s">
        <v>2059</v>
      </c>
      <c r="Q2639" s="7" t="str">
        <f t="shared" si="94"/>
        <v>equipment/1301.png</v>
      </c>
      <c r="R2639" s="1">
        <v>1</v>
      </c>
    </row>
    <row r="2640" spans="1:18" s="12" customFormat="1" ht="14.25" thickBot="1">
      <c r="A2640" s="12">
        <f t="shared" si="95"/>
        <v>50703065</v>
      </c>
      <c r="B2640" s="2">
        <v>0</v>
      </c>
      <c r="C2640" s="12" t="s">
        <v>2672</v>
      </c>
      <c r="D2640" s="12" t="s">
        <v>13</v>
      </c>
      <c r="E2640" s="12">
        <v>6</v>
      </c>
      <c r="F2640" s="12">
        <v>5</v>
      </c>
      <c r="G2640" s="12">
        <v>70</v>
      </c>
      <c r="H2640" s="12" t="s">
        <v>2122</v>
      </c>
      <c r="I2640" s="12">
        <v>140000</v>
      </c>
      <c r="J2640" s="12">
        <v>150</v>
      </c>
      <c r="K2640" s="12">
        <v>1500</v>
      </c>
      <c r="L2640" s="12">
        <v>37500</v>
      </c>
      <c r="M2640" s="12" t="s">
        <v>2009</v>
      </c>
      <c r="N2640" s="12" t="s">
        <v>2936</v>
      </c>
      <c r="O2640" s="12">
        <v>0</v>
      </c>
      <c r="P2640" s="12" t="s">
        <v>2059</v>
      </c>
      <c r="Q2640" s="7" t="str">
        <f t="shared" si="94"/>
        <v>equipment/2318.png</v>
      </c>
      <c r="R2640" s="1">
        <v>1</v>
      </c>
    </row>
    <row r="2641" spans="1:18" s="12" customFormat="1" ht="14.25" thickBot="1">
      <c r="A2641" s="12">
        <f t="shared" si="95"/>
        <v>50703066</v>
      </c>
      <c r="B2641" s="2">
        <v>0</v>
      </c>
      <c r="C2641" s="12" t="s">
        <v>2673</v>
      </c>
      <c r="D2641" s="12" t="s">
        <v>13</v>
      </c>
      <c r="E2641" s="12">
        <v>6</v>
      </c>
      <c r="F2641" s="12">
        <v>5</v>
      </c>
      <c r="G2641" s="12">
        <v>70</v>
      </c>
      <c r="H2641" s="12" t="s">
        <v>2122</v>
      </c>
      <c r="I2641" s="12">
        <v>146000</v>
      </c>
      <c r="J2641" s="12">
        <v>150</v>
      </c>
      <c r="K2641" s="12">
        <v>1500</v>
      </c>
      <c r="L2641" s="12">
        <v>40000</v>
      </c>
      <c r="M2641" s="12" t="s">
        <v>2009</v>
      </c>
      <c r="N2641" s="12" t="s">
        <v>2936</v>
      </c>
      <c r="O2641" s="12">
        <v>0</v>
      </c>
      <c r="P2641" s="12" t="s">
        <v>2059</v>
      </c>
      <c r="Q2641" s="7" t="str">
        <f t="shared" si="94"/>
        <v>equipment/2301.png</v>
      </c>
      <c r="R2641" s="1">
        <v>1</v>
      </c>
    </row>
    <row r="2642" spans="1:18" s="12" customFormat="1" ht="14.25" thickBot="1">
      <c r="A2642" s="12">
        <f t="shared" si="95"/>
        <v>50700045</v>
      </c>
      <c r="B2642" s="2">
        <v>0</v>
      </c>
      <c r="C2642" s="12" t="s">
        <v>2674</v>
      </c>
      <c r="D2642" s="12" t="s">
        <v>11</v>
      </c>
      <c r="E2642" s="12">
        <v>4</v>
      </c>
      <c r="F2642" s="12">
        <v>5</v>
      </c>
      <c r="G2642" s="12">
        <v>70</v>
      </c>
      <c r="H2642" s="12">
        <v>0</v>
      </c>
      <c r="I2642" s="12">
        <v>140000</v>
      </c>
      <c r="J2642" s="12">
        <v>150</v>
      </c>
      <c r="K2642" s="12">
        <v>1500</v>
      </c>
      <c r="L2642" s="12">
        <v>37500</v>
      </c>
      <c r="M2642" s="12" t="s">
        <v>2483</v>
      </c>
      <c r="N2642" s="12" t="s">
        <v>2935</v>
      </c>
      <c r="O2642" s="12">
        <v>0</v>
      </c>
      <c r="P2642" s="12" t="s">
        <v>2059</v>
      </c>
      <c r="Q2642" s="7" t="str">
        <f t="shared" si="94"/>
        <v>equipment/5018.png</v>
      </c>
      <c r="R2642" s="1">
        <v>1</v>
      </c>
    </row>
    <row r="2643" spans="1:18" s="12" customFormat="1" ht="14.25" thickBot="1">
      <c r="A2643" s="12">
        <f t="shared" si="95"/>
        <v>50700046</v>
      </c>
      <c r="B2643" s="2">
        <v>0</v>
      </c>
      <c r="C2643" s="12" t="s">
        <v>2675</v>
      </c>
      <c r="D2643" s="12" t="s">
        <v>11</v>
      </c>
      <c r="E2643" s="12">
        <v>4</v>
      </c>
      <c r="F2643" s="12">
        <v>5</v>
      </c>
      <c r="G2643" s="12">
        <v>70</v>
      </c>
      <c r="H2643" s="12">
        <v>0</v>
      </c>
      <c r="I2643" s="12">
        <v>146000</v>
      </c>
      <c r="J2643" s="12">
        <v>150</v>
      </c>
      <c r="K2643" s="12">
        <v>1500</v>
      </c>
      <c r="L2643" s="12">
        <v>40000</v>
      </c>
      <c r="M2643" s="12" t="s">
        <v>1811</v>
      </c>
      <c r="N2643" s="12" t="s">
        <v>2935</v>
      </c>
      <c r="O2643" s="12">
        <v>0</v>
      </c>
      <c r="P2643" s="12" t="s">
        <v>2059</v>
      </c>
      <c r="Q2643" s="7" t="str">
        <f t="shared" si="94"/>
        <v>equipment/5001.png</v>
      </c>
      <c r="R2643" s="1">
        <v>1</v>
      </c>
    </row>
    <row r="2644" spans="1:18" s="12" customFormat="1" ht="14.25" thickBot="1">
      <c r="A2644" s="12">
        <f t="shared" si="95"/>
        <v>50700075</v>
      </c>
      <c r="B2644" s="2">
        <v>0</v>
      </c>
      <c r="C2644" s="12" t="s">
        <v>2676</v>
      </c>
      <c r="D2644" s="12" t="s">
        <v>14</v>
      </c>
      <c r="E2644" s="12">
        <v>7</v>
      </c>
      <c r="F2644" s="12">
        <v>5</v>
      </c>
      <c r="G2644" s="12">
        <v>70</v>
      </c>
      <c r="H2644" s="12">
        <v>0</v>
      </c>
      <c r="I2644" s="12">
        <v>140000</v>
      </c>
      <c r="J2644" s="12">
        <v>150</v>
      </c>
      <c r="K2644" s="12">
        <v>1500</v>
      </c>
      <c r="L2644" s="12">
        <v>37500</v>
      </c>
      <c r="M2644" s="12" t="s">
        <v>2483</v>
      </c>
      <c r="N2644" s="12" t="s">
        <v>2935</v>
      </c>
      <c r="O2644" s="12">
        <v>0</v>
      </c>
      <c r="P2644" s="12" t="s">
        <v>2059</v>
      </c>
      <c r="Q2644" s="7" t="str">
        <f t="shared" si="94"/>
        <v>equipment/7018.png</v>
      </c>
      <c r="R2644" s="1">
        <v>1</v>
      </c>
    </row>
    <row r="2645" spans="1:18" s="12" customFormat="1" ht="14.25" thickBot="1">
      <c r="A2645" s="12">
        <f t="shared" si="95"/>
        <v>50700076</v>
      </c>
      <c r="B2645" s="2">
        <v>0</v>
      </c>
      <c r="C2645" s="12" t="s">
        <v>2677</v>
      </c>
      <c r="D2645" s="12" t="s">
        <v>14</v>
      </c>
      <c r="E2645" s="12">
        <v>7</v>
      </c>
      <c r="F2645" s="12">
        <v>5</v>
      </c>
      <c r="G2645" s="12">
        <v>70</v>
      </c>
      <c r="H2645" s="12">
        <v>0</v>
      </c>
      <c r="I2645" s="12">
        <v>146000</v>
      </c>
      <c r="J2645" s="12">
        <v>150</v>
      </c>
      <c r="K2645" s="12">
        <v>1500</v>
      </c>
      <c r="L2645" s="12">
        <v>40000</v>
      </c>
      <c r="M2645" s="12" t="s">
        <v>1811</v>
      </c>
      <c r="N2645" s="12" t="s">
        <v>2935</v>
      </c>
      <c r="O2645" s="12">
        <v>0</v>
      </c>
      <c r="P2645" s="12" t="s">
        <v>2059</v>
      </c>
      <c r="Q2645" s="7" t="str">
        <f t="shared" ref="Q2645:Q2708" si="96">Q2183</f>
        <v>equipment/7001.png</v>
      </c>
      <c r="R2645" s="1">
        <v>1</v>
      </c>
    </row>
    <row r="2646" spans="1:18" s="12" customFormat="1" ht="14.25" thickBot="1">
      <c r="A2646" s="12">
        <f>A2184+5</f>
        <v>50750015</v>
      </c>
      <c r="B2646" s="2">
        <v>0</v>
      </c>
      <c r="C2646" s="12" t="str">
        <f>C2184</f>
        <v>凛冬头盔</v>
      </c>
      <c r="D2646" s="12" t="s">
        <v>8</v>
      </c>
      <c r="E2646" s="12">
        <v>1</v>
      </c>
      <c r="F2646" s="1">
        <v>5</v>
      </c>
      <c r="G2646" s="12">
        <v>75</v>
      </c>
      <c r="H2646" s="13">
        <v>0</v>
      </c>
      <c r="I2646" s="12">
        <v>152000</v>
      </c>
      <c r="J2646" s="12">
        <v>150</v>
      </c>
      <c r="K2646" s="1">
        <v>1500</v>
      </c>
      <c r="L2646" s="12">
        <v>40000</v>
      </c>
      <c r="M2646" s="12" t="s">
        <v>2336</v>
      </c>
      <c r="N2646" s="12" t="str">
        <f>ROUND(MID(N2184,6,4)*0.88,0)&amp;","&amp;ROUND(MID(N2184,6,4)*1.05,0)</f>
        <v>1457,1739</v>
      </c>
      <c r="O2646" s="12">
        <v>0</v>
      </c>
      <c r="P2646" s="12" t="s">
        <v>2059</v>
      </c>
      <c r="Q2646" s="7" t="str">
        <f t="shared" si="96"/>
        <v>equipment/3013.png</v>
      </c>
      <c r="R2646" s="1">
        <v>1</v>
      </c>
    </row>
    <row r="2647" spans="1:18" s="12" customFormat="1" ht="14.25" thickBot="1">
      <c r="A2647" s="12">
        <f t="shared" ref="A2647:A2710" si="97">A2185+5</f>
        <v>50750025</v>
      </c>
      <c r="B2647" s="2">
        <v>0</v>
      </c>
      <c r="C2647" s="12" t="str">
        <f t="shared" ref="C2647:C2710" si="98">C2185</f>
        <v>地脉之环</v>
      </c>
      <c r="D2647" s="12" t="s">
        <v>9</v>
      </c>
      <c r="E2647" s="12">
        <v>2</v>
      </c>
      <c r="F2647" s="1">
        <v>5</v>
      </c>
      <c r="G2647" s="12">
        <v>75</v>
      </c>
      <c r="H2647" s="13">
        <v>0</v>
      </c>
      <c r="I2647" s="12">
        <v>152000</v>
      </c>
      <c r="J2647" s="12">
        <v>150</v>
      </c>
      <c r="K2647" s="1">
        <v>1500</v>
      </c>
      <c r="L2647" s="12">
        <v>40000</v>
      </c>
      <c r="M2647" s="12" t="s">
        <v>2337</v>
      </c>
      <c r="N2647" s="12" t="str">
        <f t="shared" ref="N2647:N2710" si="99">ROUND(MID(N2185,6,4)*0.88,0)&amp;","&amp;ROUND(MID(N2185,6,4)*1.05,0)</f>
        <v>1457,1739</v>
      </c>
      <c r="O2647" s="12">
        <v>0</v>
      </c>
      <c r="P2647" s="12" t="s">
        <v>2059</v>
      </c>
      <c r="Q2647" s="7" t="str">
        <f t="shared" si="96"/>
        <v>equipment/14013.png</v>
      </c>
      <c r="R2647" s="1">
        <v>1</v>
      </c>
    </row>
    <row r="2648" spans="1:18" s="12" customFormat="1" ht="14.25" thickBot="1">
      <c r="A2648" s="12">
        <f t="shared" si="97"/>
        <v>50750035</v>
      </c>
      <c r="B2648" s="2">
        <v>0</v>
      </c>
      <c r="C2648" s="12" t="str">
        <f t="shared" si="98"/>
        <v>缚誓护腰</v>
      </c>
      <c r="D2648" s="12" t="s">
        <v>10</v>
      </c>
      <c r="E2648" s="12">
        <v>3</v>
      </c>
      <c r="F2648" s="1">
        <v>5</v>
      </c>
      <c r="G2648" s="12">
        <v>75</v>
      </c>
      <c r="H2648" s="13">
        <v>0</v>
      </c>
      <c r="I2648" s="12">
        <v>152000</v>
      </c>
      <c r="J2648" s="12">
        <v>150</v>
      </c>
      <c r="K2648" s="1">
        <v>1500</v>
      </c>
      <c r="L2648" s="12">
        <v>40000</v>
      </c>
      <c r="M2648" s="12" t="s">
        <v>2338</v>
      </c>
      <c r="N2648" s="12" t="str">
        <f t="shared" si="99"/>
        <v>1457,1739</v>
      </c>
      <c r="O2648" s="12">
        <v>0</v>
      </c>
      <c r="P2648" s="12" t="s">
        <v>2059</v>
      </c>
      <c r="Q2648" s="7" t="str">
        <f t="shared" si="96"/>
        <v>equipment/6014.png</v>
      </c>
      <c r="R2648" s="1">
        <v>1</v>
      </c>
    </row>
    <row r="2649" spans="1:18" s="12" customFormat="1" ht="14.25" thickBot="1">
      <c r="A2649" s="12">
        <f t="shared" si="97"/>
        <v>50750085</v>
      </c>
      <c r="B2649" s="2">
        <v>0</v>
      </c>
      <c r="C2649" s="12" t="str">
        <f t="shared" si="98"/>
        <v>踏冰长靴</v>
      </c>
      <c r="D2649" s="12" t="s">
        <v>15</v>
      </c>
      <c r="E2649" s="12">
        <v>8</v>
      </c>
      <c r="F2649" s="1">
        <v>5</v>
      </c>
      <c r="G2649" s="12">
        <v>75</v>
      </c>
      <c r="H2649" s="13">
        <v>0</v>
      </c>
      <c r="I2649" s="12">
        <v>152000</v>
      </c>
      <c r="J2649" s="12">
        <v>150</v>
      </c>
      <c r="K2649" s="1">
        <v>1500</v>
      </c>
      <c r="L2649" s="12">
        <v>40000</v>
      </c>
      <c r="M2649" s="12" t="s">
        <v>2339</v>
      </c>
      <c r="N2649" s="12" t="str">
        <f t="shared" si="99"/>
        <v>1457,1739</v>
      </c>
      <c r="O2649" s="12">
        <v>0</v>
      </c>
      <c r="P2649" s="12" t="s">
        <v>2059</v>
      </c>
      <c r="Q2649" s="7" t="str">
        <f t="shared" si="96"/>
        <v>equipment/8014.png</v>
      </c>
      <c r="R2649" s="1">
        <v>1</v>
      </c>
    </row>
    <row r="2650" spans="1:18" s="12" customFormat="1" ht="14.25" thickBot="1">
      <c r="A2650" s="12">
        <f t="shared" si="97"/>
        <v>50750095</v>
      </c>
      <c r="B2650" s="2">
        <v>0</v>
      </c>
      <c r="C2650" s="12" t="str">
        <f t="shared" si="98"/>
        <v>薄霜护手</v>
      </c>
      <c r="D2650" s="12" t="s">
        <v>16</v>
      </c>
      <c r="E2650" s="12">
        <v>9</v>
      </c>
      <c r="F2650" s="1">
        <v>5</v>
      </c>
      <c r="G2650" s="12">
        <v>75</v>
      </c>
      <c r="H2650" s="13">
        <v>0</v>
      </c>
      <c r="I2650" s="12">
        <v>152000</v>
      </c>
      <c r="J2650" s="12">
        <v>150</v>
      </c>
      <c r="K2650" s="1">
        <v>1500</v>
      </c>
      <c r="L2650" s="12">
        <v>40000</v>
      </c>
      <c r="M2650" s="12" t="s">
        <v>2340</v>
      </c>
      <c r="N2650" s="12" t="str">
        <f t="shared" si="99"/>
        <v>1457,1739</v>
      </c>
      <c r="O2650" s="12">
        <v>0</v>
      </c>
      <c r="P2650" s="12" t="s">
        <v>2059</v>
      </c>
      <c r="Q2650" s="7" t="str">
        <f t="shared" si="96"/>
        <v>equipment/10012.png</v>
      </c>
      <c r="R2650" s="1">
        <v>1</v>
      </c>
    </row>
    <row r="2651" spans="1:18" s="12" customFormat="1" ht="14.25" thickBot="1">
      <c r="A2651" s="12">
        <f t="shared" si="97"/>
        <v>50750105</v>
      </c>
      <c r="B2651" s="2">
        <v>0</v>
      </c>
      <c r="C2651" s="12" t="str">
        <f t="shared" si="98"/>
        <v>极光挂坠</v>
      </c>
      <c r="D2651" s="12" t="s">
        <v>17</v>
      </c>
      <c r="E2651" s="12">
        <v>10</v>
      </c>
      <c r="F2651" s="1">
        <v>5</v>
      </c>
      <c r="G2651" s="12">
        <v>75</v>
      </c>
      <c r="H2651" s="13">
        <v>0</v>
      </c>
      <c r="I2651" s="12">
        <v>152000</v>
      </c>
      <c r="J2651" s="12">
        <v>150</v>
      </c>
      <c r="K2651" s="1">
        <v>1500</v>
      </c>
      <c r="L2651" s="12">
        <v>40000</v>
      </c>
      <c r="M2651" s="12" t="s">
        <v>2341</v>
      </c>
      <c r="N2651" s="12" t="str">
        <f t="shared" si="99"/>
        <v>1457,1739</v>
      </c>
      <c r="O2651" s="12">
        <v>0</v>
      </c>
      <c r="P2651" s="12" t="s">
        <v>2059</v>
      </c>
      <c r="Q2651" s="7" t="str">
        <f t="shared" si="96"/>
        <v>equipment/12013.png</v>
      </c>
      <c r="R2651" s="1">
        <v>1</v>
      </c>
    </row>
    <row r="2652" spans="1:18" s="12" customFormat="1" ht="14.25" thickBot="1">
      <c r="A2652" s="12">
        <f t="shared" si="97"/>
        <v>50751055</v>
      </c>
      <c r="B2652" s="2">
        <v>0</v>
      </c>
      <c r="C2652" s="12" t="str">
        <f t="shared" si="98"/>
        <v>凌风之刃</v>
      </c>
      <c r="D2652" s="12" t="s">
        <v>12</v>
      </c>
      <c r="E2652" s="12">
        <v>5</v>
      </c>
      <c r="F2652" s="1">
        <v>5</v>
      </c>
      <c r="G2652" s="12">
        <v>75</v>
      </c>
      <c r="H2652" s="13" t="s">
        <v>2120</v>
      </c>
      <c r="I2652" s="12">
        <v>152000</v>
      </c>
      <c r="J2652" s="12">
        <v>150</v>
      </c>
      <c r="K2652" s="1">
        <v>1500</v>
      </c>
      <c r="L2652" s="12">
        <v>40000</v>
      </c>
      <c r="M2652" s="12" t="s">
        <v>2803</v>
      </c>
      <c r="N2652" s="12" t="str">
        <f t="shared" si="99"/>
        <v>1984,2367</v>
      </c>
      <c r="O2652" s="12">
        <v>0</v>
      </c>
      <c r="P2652" s="12" t="s">
        <v>2059</v>
      </c>
      <c r="Q2652" s="7" t="str">
        <f t="shared" si="96"/>
        <v>equipment/1126.png</v>
      </c>
      <c r="R2652" s="1">
        <v>1</v>
      </c>
    </row>
    <row r="2653" spans="1:18" s="12" customFormat="1" ht="14.25" thickBot="1">
      <c r="A2653" s="12">
        <f t="shared" si="97"/>
        <v>50751056</v>
      </c>
      <c r="B2653" s="2">
        <v>0</v>
      </c>
      <c r="C2653" s="12" t="str">
        <f t="shared" si="98"/>
        <v>鸣醒之剑</v>
      </c>
      <c r="D2653" s="12" t="s">
        <v>12</v>
      </c>
      <c r="E2653" s="12">
        <v>5</v>
      </c>
      <c r="F2653" s="1">
        <v>5</v>
      </c>
      <c r="G2653" s="12">
        <v>75</v>
      </c>
      <c r="H2653" s="13" t="s">
        <v>2120</v>
      </c>
      <c r="I2653" s="12">
        <v>158000</v>
      </c>
      <c r="J2653" s="12">
        <v>150</v>
      </c>
      <c r="K2653" s="1">
        <v>1500</v>
      </c>
      <c r="L2653" s="12">
        <v>42500</v>
      </c>
      <c r="M2653" s="12" t="s">
        <v>2804</v>
      </c>
      <c r="N2653" s="12" t="str">
        <f t="shared" si="99"/>
        <v>1984,2367</v>
      </c>
      <c r="O2653" s="12">
        <v>0</v>
      </c>
      <c r="P2653" s="12" t="s">
        <v>2059</v>
      </c>
      <c r="Q2653" s="7" t="str">
        <f t="shared" si="96"/>
        <v>equipment/1127.png</v>
      </c>
      <c r="R2653" s="1">
        <v>1</v>
      </c>
    </row>
    <row r="2654" spans="1:18" s="12" customFormat="1" ht="14.25" thickBot="1">
      <c r="A2654" s="12">
        <f t="shared" si="97"/>
        <v>50751065</v>
      </c>
      <c r="B2654" s="2">
        <v>0</v>
      </c>
      <c r="C2654" s="12" t="str">
        <f t="shared" si="98"/>
        <v>凯旋护盾</v>
      </c>
      <c r="D2654" s="12" t="s">
        <v>13</v>
      </c>
      <c r="E2654" s="12">
        <v>6</v>
      </c>
      <c r="F2654" s="1">
        <v>5</v>
      </c>
      <c r="G2654" s="12">
        <v>75</v>
      </c>
      <c r="H2654" s="13" t="s">
        <v>2120</v>
      </c>
      <c r="I2654" s="12">
        <v>152000</v>
      </c>
      <c r="J2654" s="12">
        <v>150</v>
      </c>
      <c r="K2654" s="1">
        <v>1500</v>
      </c>
      <c r="L2654" s="12">
        <v>40000</v>
      </c>
      <c r="M2654" s="12" t="s">
        <v>2342</v>
      </c>
      <c r="N2654" s="12" t="str">
        <f t="shared" si="99"/>
        <v>1984,2367</v>
      </c>
      <c r="O2654" s="12">
        <v>0</v>
      </c>
      <c r="P2654" s="12" t="s">
        <v>2059</v>
      </c>
      <c r="Q2654" s="7" t="str">
        <f t="shared" si="96"/>
        <v>equipment/2121.png</v>
      </c>
      <c r="R2654" s="1">
        <v>1</v>
      </c>
    </row>
    <row r="2655" spans="1:18" s="12" customFormat="1" ht="14.25" thickBot="1">
      <c r="A2655" s="12">
        <f t="shared" si="97"/>
        <v>50751066</v>
      </c>
      <c r="B2655" s="2">
        <v>0</v>
      </c>
      <c r="C2655" s="12" t="str">
        <f t="shared" si="98"/>
        <v>集结护盾</v>
      </c>
      <c r="D2655" s="12" t="s">
        <v>13</v>
      </c>
      <c r="E2655" s="12">
        <v>6</v>
      </c>
      <c r="F2655" s="1">
        <v>5</v>
      </c>
      <c r="G2655" s="12">
        <v>75</v>
      </c>
      <c r="H2655" s="13" t="s">
        <v>2120</v>
      </c>
      <c r="I2655" s="12">
        <v>158000</v>
      </c>
      <c r="J2655" s="12">
        <v>150</v>
      </c>
      <c r="K2655" s="1">
        <v>1500</v>
      </c>
      <c r="L2655" s="12">
        <v>42500</v>
      </c>
      <c r="M2655" s="12" t="s">
        <v>2343</v>
      </c>
      <c r="N2655" s="12" t="str">
        <f t="shared" si="99"/>
        <v>1984,2367</v>
      </c>
      <c r="O2655" s="12">
        <v>0</v>
      </c>
      <c r="P2655" s="12" t="s">
        <v>2059</v>
      </c>
      <c r="Q2655" s="7" t="str">
        <f t="shared" si="96"/>
        <v>equipment/2123.png</v>
      </c>
      <c r="R2655" s="1">
        <v>1</v>
      </c>
    </row>
    <row r="2656" spans="1:18" s="12" customFormat="1" ht="14.25" thickBot="1">
      <c r="A2656" s="12">
        <f t="shared" si="97"/>
        <v>50752055</v>
      </c>
      <c r="B2656" s="2">
        <v>0</v>
      </c>
      <c r="C2656" s="12" t="str">
        <f t="shared" si="98"/>
        <v>嚎风之息</v>
      </c>
      <c r="D2656" s="12" t="s">
        <v>12</v>
      </c>
      <c r="E2656" s="12">
        <v>5</v>
      </c>
      <c r="F2656" s="1">
        <v>5</v>
      </c>
      <c r="G2656" s="12">
        <v>75</v>
      </c>
      <c r="H2656" s="13" t="s">
        <v>2121</v>
      </c>
      <c r="I2656" s="12">
        <v>152000</v>
      </c>
      <c r="J2656" s="12">
        <v>150</v>
      </c>
      <c r="K2656" s="1">
        <v>1500</v>
      </c>
      <c r="L2656" s="12">
        <v>40000</v>
      </c>
      <c r="M2656" s="12" t="s">
        <v>2803</v>
      </c>
      <c r="N2656" s="12" t="str">
        <f t="shared" si="99"/>
        <v>1984,2367</v>
      </c>
      <c r="O2656" s="12">
        <v>0</v>
      </c>
      <c r="P2656" s="12" t="s">
        <v>2059</v>
      </c>
      <c r="Q2656" s="7" t="str">
        <f t="shared" si="96"/>
        <v>equipment/1225.png</v>
      </c>
      <c r="R2656" s="1">
        <v>1</v>
      </c>
    </row>
    <row r="2657" spans="1:18" s="12" customFormat="1" ht="14.25" thickBot="1">
      <c r="A2657" s="12">
        <f t="shared" si="97"/>
        <v>50752056</v>
      </c>
      <c r="B2657" s="2">
        <v>0</v>
      </c>
      <c r="C2657" s="12" t="str">
        <f t="shared" si="98"/>
        <v>瞭天长弓</v>
      </c>
      <c r="D2657" s="12" t="s">
        <v>12</v>
      </c>
      <c r="E2657" s="12">
        <v>5</v>
      </c>
      <c r="F2657" s="1">
        <v>5</v>
      </c>
      <c r="G2657" s="12">
        <v>75</v>
      </c>
      <c r="H2657" s="13" t="s">
        <v>2121</v>
      </c>
      <c r="I2657" s="12">
        <v>158000</v>
      </c>
      <c r="J2657" s="12">
        <v>150</v>
      </c>
      <c r="K2657" s="1">
        <v>1500</v>
      </c>
      <c r="L2657" s="12">
        <v>42500</v>
      </c>
      <c r="M2657" s="12" t="s">
        <v>2804</v>
      </c>
      <c r="N2657" s="12" t="str">
        <f t="shared" si="99"/>
        <v>1984,2367</v>
      </c>
      <c r="O2657" s="12">
        <v>0</v>
      </c>
      <c r="P2657" s="12" t="s">
        <v>2059</v>
      </c>
      <c r="Q2657" s="7" t="str">
        <f t="shared" si="96"/>
        <v>equipment/1226.png</v>
      </c>
      <c r="R2657" s="1">
        <v>1</v>
      </c>
    </row>
    <row r="2658" spans="1:18" s="12" customFormat="1" ht="14.25" thickBot="1">
      <c r="A2658" s="12">
        <f t="shared" si="97"/>
        <v>50752065</v>
      </c>
      <c r="B2658" s="2">
        <v>0</v>
      </c>
      <c r="C2658" s="12" t="str">
        <f t="shared" si="98"/>
        <v>疾鹰箭袋</v>
      </c>
      <c r="D2658" s="12" t="s">
        <v>13</v>
      </c>
      <c r="E2658" s="12">
        <v>6</v>
      </c>
      <c r="F2658" s="1">
        <v>5</v>
      </c>
      <c r="G2658" s="12">
        <v>75</v>
      </c>
      <c r="H2658" s="13" t="s">
        <v>2121</v>
      </c>
      <c r="I2658" s="12">
        <v>152000</v>
      </c>
      <c r="J2658" s="12">
        <v>150</v>
      </c>
      <c r="K2658" s="1">
        <v>1500</v>
      </c>
      <c r="L2658" s="12">
        <v>40000</v>
      </c>
      <c r="M2658" s="12" t="s">
        <v>2344</v>
      </c>
      <c r="N2658" s="12" t="str">
        <f t="shared" si="99"/>
        <v>1984,2367</v>
      </c>
      <c r="O2658" s="12">
        <v>0</v>
      </c>
      <c r="P2658" s="12" t="s">
        <v>2059</v>
      </c>
      <c r="Q2658" s="7" t="str">
        <f t="shared" si="96"/>
        <v>equipment/2219.png</v>
      </c>
      <c r="R2658" s="1">
        <v>1</v>
      </c>
    </row>
    <row r="2659" spans="1:18" s="12" customFormat="1" ht="14.25" thickBot="1">
      <c r="A2659" s="12">
        <f t="shared" si="97"/>
        <v>50752066</v>
      </c>
      <c r="B2659" s="2">
        <v>0</v>
      </c>
      <c r="C2659" s="12" t="str">
        <f t="shared" si="98"/>
        <v>灵犀箭筒</v>
      </c>
      <c r="D2659" s="12" t="s">
        <v>13</v>
      </c>
      <c r="E2659" s="12">
        <v>6</v>
      </c>
      <c r="F2659" s="1">
        <v>5</v>
      </c>
      <c r="G2659" s="12">
        <v>75</v>
      </c>
      <c r="H2659" s="13" t="s">
        <v>2121</v>
      </c>
      <c r="I2659" s="12">
        <v>158000</v>
      </c>
      <c r="J2659" s="12">
        <v>150</v>
      </c>
      <c r="K2659" s="1">
        <v>1500</v>
      </c>
      <c r="L2659" s="12">
        <v>42500</v>
      </c>
      <c r="M2659" s="12" t="s">
        <v>2345</v>
      </c>
      <c r="N2659" s="12" t="str">
        <f t="shared" si="99"/>
        <v>1984,2367</v>
      </c>
      <c r="O2659" s="12">
        <v>0</v>
      </c>
      <c r="P2659" s="12" t="s">
        <v>2059</v>
      </c>
      <c r="Q2659" s="7" t="str">
        <f t="shared" si="96"/>
        <v>equipment/2220.png</v>
      </c>
      <c r="R2659" s="1">
        <v>1</v>
      </c>
    </row>
    <row r="2660" spans="1:18" s="12" customFormat="1" ht="14.25" thickBot="1">
      <c r="A2660" s="12">
        <f t="shared" si="97"/>
        <v>50753055</v>
      </c>
      <c r="B2660" s="2">
        <v>0</v>
      </c>
      <c r="C2660" s="12" t="str">
        <f t="shared" si="98"/>
        <v>唤海长杖</v>
      </c>
      <c r="D2660" s="12" t="s">
        <v>12</v>
      </c>
      <c r="E2660" s="12">
        <v>5</v>
      </c>
      <c r="F2660" s="1">
        <v>5</v>
      </c>
      <c r="G2660" s="12">
        <v>75</v>
      </c>
      <c r="H2660" s="13" t="s">
        <v>2122</v>
      </c>
      <c r="I2660" s="12">
        <v>152000</v>
      </c>
      <c r="J2660" s="12">
        <v>150</v>
      </c>
      <c r="K2660" s="1">
        <v>1500</v>
      </c>
      <c r="L2660" s="12">
        <v>40000</v>
      </c>
      <c r="M2660" s="12" t="s">
        <v>2803</v>
      </c>
      <c r="N2660" s="12" t="str">
        <f t="shared" si="99"/>
        <v>1984,2367</v>
      </c>
      <c r="O2660" s="12">
        <v>0</v>
      </c>
      <c r="P2660" s="12" t="s">
        <v>2059</v>
      </c>
      <c r="Q2660" s="7" t="str">
        <f t="shared" si="96"/>
        <v>equipment/1326.png</v>
      </c>
      <c r="R2660" s="1">
        <v>1</v>
      </c>
    </row>
    <row r="2661" spans="1:18" s="12" customFormat="1" ht="14.25" thickBot="1">
      <c r="A2661" s="12">
        <f t="shared" si="97"/>
        <v>50753056</v>
      </c>
      <c r="B2661" s="2">
        <v>0</v>
      </c>
      <c r="C2661" s="12" t="str">
        <f t="shared" si="98"/>
        <v>奥核之杖</v>
      </c>
      <c r="D2661" s="12" t="s">
        <v>12</v>
      </c>
      <c r="E2661" s="12">
        <v>5</v>
      </c>
      <c r="F2661" s="1">
        <v>5</v>
      </c>
      <c r="G2661" s="12">
        <v>75</v>
      </c>
      <c r="H2661" s="13" t="s">
        <v>2122</v>
      </c>
      <c r="I2661" s="12">
        <v>158000</v>
      </c>
      <c r="J2661" s="12">
        <v>150</v>
      </c>
      <c r="K2661" s="1">
        <v>1500</v>
      </c>
      <c r="L2661" s="12">
        <v>42500</v>
      </c>
      <c r="M2661" s="12" t="s">
        <v>2804</v>
      </c>
      <c r="N2661" s="12" t="str">
        <f t="shared" si="99"/>
        <v>1984,2367</v>
      </c>
      <c r="O2661" s="12">
        <v>0</v>
      </c>
      <c r="P2661" s="12" t="s">
        <v>2059</v>
      </c>
      <c r="Q2661" s="7" t="str">
        <f t="shared" si="96"/>
        <v>equipment/1325.png</v>
      </c>
      <c r="R2661" s="1">
        <v>1</v>
      </c>
    </row>
    <row r="2662" spans="1:18" s="12" customFormat="1" ht="14.25" thickBot="1">
      <c r="A2662" s="12">
        <f t="shared" si="97"/>
        <v>50753065</v>
      </c>
      <c r="B2662" s="2">
        <v>0</v>
      </c>
      <c r="C2662" s="12" t="str">
        <f t="shared" si="98"/>
        <v>尘封遗典</v>
      </c>
      <c r="D2662" s="12" t="s">
        <v>13</v>
      </c>
      <c r="E2662" s="12">
        <v>6</v>
      </c>
      <c r="F2662" s="1">
        <v>5</v>
      </c>
      <c r="G2662" s="12">
        <v>75</v>
      </c>
      <c r="H2662" s="13" t="s">
        <v>2122</v>
      </c>
      <c r="I2662" s="12">
        <v>152000</v>
      </c>
      <c r="J2662" s="12">
        <v>150</v>
      </c>
      <c r="K2662" s="1">
        <v>1500</v>
      </c>
      <c r="L2662" s="12">
        <v>40000</v>
      </c>
      <c r="M2662" s="12" t="s">
        <v>2346</v>
      </c>
      <c r="N2662" s="12" t="str">
        <f t="shared" si="99"/>
        <v>1984,2367</v>
      </c>
      <c r="O2662" s="12">
        <v>0</v>
      </c>
      <c r="P2662" s="12" t="s">
        <v>2059</v>
      </c>
      <c r="Q2662" s="7" t="str">
        <f t="shared" si="96"/>
        <v>equipment/2319.png</v>
      </c>
      <c r="R2662" s="1">
        <v>1</v>
      </c>
    </row>
    <row r="2663" spans="1:18" s="12" customFormat="1" ht="14.25" thickBot="1">
      <c r="A2663" s="12">
        <f t="shared" si="97"/>
        <v>50753066</v>
      </c>
      <c r="B2663" s="2">
        <v>0</v>
      </c>
      <c r="C2663" s="12" t="str">
        <f t="shared" si="98"/>
        <v>魔枢秘典</v>
      </c>
      <c r="D2663" s="12" t="s">
        <v>13</v>
      </c>
      <c r="E2663" s="12">
        <v>6</v>
      </c>
      <c r="F2663" s="1">
        <v>5</v>
      </c>
      <c r="G2663" s="12">
        <v>75</v>
      </c>
      <c r="H2663" s="13" t="s">
        <v>2122</v>
      </c>
      <c r="I2663" s="12">
        <v>158000</v>
      </c>
      <c r="J2663" s="12">
        <v>150</v>
      </c>
      <c r="K2663" s="1">
        <v>1500</v>
      </c>
      <c r="L2663" s="12">
        <v>42500</v>
      </c>
      <c r="M2663" s="12" t="s">
        <v>2347</v>
      </c>
      <c r="N2663" s="12" t="str">
        <f t="shared" si="99"/>
        <v>1984,2367</v>
      </c>
      <c r="O2663" s="12">
        <v>0</v>
      </c>
      <c r="P2663" s="12" t="s">
        <v>2059</v>
      </c>
      <c r="Q2663" s="7" t="str">
        <f t="shared" si="96"/>
        <v>equipment/2321.png</v>
      </c>
      <c r="R2663" s="1">
        <v>1</v>
      </c>
    </row>
    <row r="2664" spans="1:18" s="12" customFormat="1" ht="14.25" thickBot="1">
      <c r="A2664" s="12">
        <f t="shared" si="97"/>
        <v>50750045</v>
      </c>
      <c r="B2664" s="2">
        <v>0</v>
      </c>
      <c r="C2664" s="12" t="str">
        <f t="shared" si="98"/>
        <v>守望胸甲</v>
      </c>
      <c r="D2664" s="12" t="s">
        <v>11</v>
      </c>
      <c r="E2664" s="12">
        <v>4</v>
      </c>
      <c r="F2664" s="1">
        <v>5</v>
      </c>
      <c r="G2664" s="12">
        <v>75</v>
      </c>
      <c r="H2664" s="13">
        <v>0</v>
      </c>
      <c r="I2664" s="12">
        <v>152000</v>
      </c>
      <c r="J2664" s="12">
        <v>150</v>
      </c>
      <c r="K2664" s="1">
        <v>1500</v>
      </c>
      <c r="L2664" s="12">
        <v>40000</v>
      </c>
      <c r="M2664" s="12" t="s">
        <v>1968</v>
      </c>
      <c r="N2664" s="12" t="str">
        <f t="shared" si="99"/>
        <v>1457,1739</v>
      </c>
      <c r="O2664" s="12">
        <v>0</v>
      </c>
      <c r="P2664" s="12" t="s">
        <v>2059</v>
      </c>
      <c r="Q2664" s="7" t="str">
        <f t="shared" si="96"/>
        <v>equipment/5019.png</v>
      </c>
      <c r="R2664" s="1">
        <v>1</v>
      </c>
    </row>
    <row r="2665" spans="1:18" s="12" customFormat="1" ht="14.25" thickBot="1">
      <c r="A2665" s="12">
        <f t="shared" si="97"/>
        <v>50750046</v>
      </c>
      <c r="B2665" s="2">
        <v>0</v>
      </c>
      <c r="C2665" s="12" t="str">
        <f t="shared" si="98"/>
        <v>冥铸之铠</v>
      </c>
      <c r="D2665" s="12" t="s">
        <v>11</v>
      </c>
      <c r="E2665" s="12">
        <v>4</v>
      </c>
      <c r="F2665" s="1">
        <v>5</v>
      </c>
      <c r="G2665" s="12">
        <v>75</v>
      </c>
      <c r="H2665" s="13">
        <v>0</v>
      </c>
      <c r="I2665" s="12">
        <v>158000</v>
      </c>
      <c r="J2665" s="12">
        <v>150</v>
      </c>
      <c r="K2665" s="1">
        <v>1500</v>
      </c>
      <c r="L2665" s="12">
        <v>42500</v>
      </c>
      <c r="M2665" s="12" t="s">
        <v>2348</v>
      </c>
      <c r="N2665" s="12" t="str">
        <f t="shared" si="99"/>
        <v>1457,1739</v>
      </c>
      <c r="O2665" s="12">
        <v>0</v>
      </c>
      <c r="P2665" s="12" t="s">
        <v>2059</v>
      </c>
      <c r="Q2665" s="7" t="str">
        <f t="shared" si="96"/>
        <v>equipment/5020.png</v>
      </c>
      <c r="R2665" s="1">
        <v>1</v>
      </c>
    </row>
    <row r="2666" spans="1:18" s="12" customFormat="1" ht="14.25" thickBot="1">
      <c r="A2666" s="12">
        <f t="shared" si="97"/>
        <v>50750075</v>
      </c>
      <c r="B2666" s="2">
        <v>0</v>
      </c>
      <c r="C2666" s="12" t="str">
        <f t="shared" si="98"/>
        <v>怜悯护腿</v>
      </c>
      <c r="D2666" s="12" t="s">
        <v>14</v>
      </c>
      <c r="E2666" s="12">
        <v>7</v>
      </c>
      <c r="F2666" s="1">
        <v>5</v>
      </c>
      <c r="G2666" s="12">
        <v>75</v>
      </c>
      <c r="H2666" s="13">
        <v>0</v>
      </c>
      <c r="I2666" s="12">
        <v>152000</v>
      </c>
      <c r="J2666" s="12">
        <v>150</v>
      </c>
      <c r="K2666" s="1">
        <v>1500</v>
      </c>
      <c r="L2666" s="12">
        <v>40000</v>
      </c>
      <c r="M2666" s="12" t="s">
        <v>1968</v>
      </c>
      <c r="N2666" s="12" t="str">
        <f t="shared" si="99"/>
        <v>1457,1739</v>
      </c>
      <c r="O2666" s="12">
        <v>0</v>
      </c>
      <c r="P2666" s="12" t="s">
        <v>2059</v>
      </c>
      <c r="Q2666" s="7" t="str">
        <f t="shared" si="96"/>
        <v>equipment/7019.png</v>
      </c>
      <c r="R2666" s="1">
        <v>1</v>
      </c>
    </row>
    <row r="2667" spans="1:18" s="12" customFormat="1" ht="14.25" thickBot="1">
      <c r="A2667" s="12">
        <f t="shared" si="97"/>
        <v>50750076</v>
      </c>
      <c r="B2667" s="2">
        <v>0</v>
      </c>
      <c r="C2667" s="12" t="str">
        <f t="shared" si="98"/>
        <v>魔痕护腿</v>
      </c>
      <c r="D2667" s="12" t="s">
        <v>14</v>
      </c>
      <c r="E2667" s="12">
        <v>7</v>
      </c>
      <c r="F2667" s="1">
        <v>5</v>
      </c>
      <c r="G2667" s="12">
        <v>75</v>
      </c>
      <c r="H2667" s="13">
        <v>0</v>
      </c>
      <c r="I2667" s="12">
        <v>158000</v>
      </c>
      <c r="J2667" s="12">
        <v>150</v>
      </c>
      <c r="K2667" s="1">
        <v>1500</v>
      </c>
      <c r="L2667" s="12">
        <v>42500</v>
      </c>
      <c r="M2667" s="12" t="s">
        <v>2348</v>
      </c>
      <c r="N2667" s="12" t="str">
        <f t="shared" si="99"/>
        <v>1457,1739</v>
      </c>
      <c r="O2667" s="12">
        <v>0</v>
      </c>
      <c r="P2667" s="12" t="s">
        <v>2059</v>
      </c>
      <c r="Q2667" s="7" t="str">
        <f t="shared" si="96"/>
        <v>equipment/7020.png</v>
      </c>
      <c r="R2667" s="1">
        <v>1</v>
      </c>
    </row>
    <row r="2668" spans="1:18" s="12" customFormat="1" ht="14.25" thickBot="1">
      <c r="A2668" s="12">
        <f t="shared" si="97"/>
        <v>50800015</v>
      </c>
      <c r="B2668" s="2">
        <v>0</v>
      </c>
      <c r="C2668" s="12" t="str">
        <f t="shared" si="98"/>
        <v>浴火战盔</v>
      </c>
      <c r="D2668" s="12" t="s">
        <v>8</v>
      </c>
      <c r="E2668" s="12">
        <v>1</v>
      </c>
      <c r="F2668" s="1">
        <v>5</v>
      </c>
      <c r="G2668" s="12">
        <v>80</v>
      </c>
      <c r="H2668" s="13">
        <v>0</v>
      </c>
      <c r="I2668" s="12">
        <v>164000</v>
      </c>
      <c r="J2668" s="12">
        <v>150</v>
      </c>
      <c r="K2668" s="1">
        <v>1500</v>
      </c>
      <c r="L2668" s="12">
        <v>42500</v>
      </c>
      <c r="M2668" s="12" t="s">
        <v>2349</v>
      </c>
      <c r="N2668" s="12" t="str">
        <f t="shared" si="99"/>
        <v>1640,1957</v>
      </c>
      <c r="O2668" s="12">
        <v>0</v>
      </c>
      <c r="P2668" s="12" t="s">
        <v>2059</v>
      </c>
      <c r="Q2668" s="7" t="str">
        <f t="shared" si="96"/>
        <v>equipment/3015.png</v>
      </c>
      <c r="R2668" s="1">
        <v>1</v>
      </c>
    </row>
    <row r="2669" spans="1:18" s="12" customFormat="1" ht="14.25" thickBot="1">
      <c r="A2669" s="12">
        <f t="shared" si="97"/>
        <v>50800025</v>
      </c>
      <c r="B2669" s="2">
        <v>0</v>
      </c>
      <c r="C2669" s="12" t="str">
        <f t="shared" si="98"/>
        <v>联合徽记</v>
      </c>
      <c r="D2669" s="12" t="s">
        <v>9</v>
      </c>
      <c r="E2669" s="12">
        <v>2</v>
      </c>
      <c r="F2669" s="1">
        <v>5</v>
      </c>
      <c r="G2669" s="12">
        <v>80</v>
      </c>
      <c r="H2669" s="13">
        <v>0</v>
      </c>
      <c r="I2669" s="12">
        <v>164000</v>
      </c>
      <c r="J2669" s="12">
        <v>150</v>
      </c>
      <c r="K2669" s="1">
        <v>1500</v>
      </c>
      <c r="L2669" s="12">
        <v>42500</v>
      </c>
      <c r="M2669" s="12" t="s">
        <v>2350</v>
      </c>
      <c r="N2669" s="12" t="str">
        <f t="shared" si="99"/>
        <v>1640,1957</v>
      </c>
      <c r="O2669" s="12">
        <v>0</v>
      </c>
      <c r="P2669" s="12" t="s">
        <v>2059</v>
      </c>
      <c r="Q2669" s="7" t="str">
        <f t="shared" si="96"/>
        <v>equipment/14014.png</v>
      </c>
      <c r="R2669" s="1">
        <v>1</v>
      </c>
    </row>
    <row r="2670" spans="1:18" s="12" customFormat="1" ht="14.25" thickBot="1">
      <c r="A2670" s="12">
        <f t="shared" si="97"/>
        <v>50800035</v>
      </c>
      <c r="B2670" s="2">
        <v>0</v>
      </c>
      <c r="C2670" s="12" t="str">
        <f t="shared" si="98"/>
        <v>怒岩腰带</v>
      </c>
      <c r="D2670" s="12" t="s">
        <v>10</v>
      </c>
      <c r="E2670" s="12">
        <v>3</v>
      </c>
      <c r="F2670" s="1">
        <v>5</v>
      </c>
      <c r="G2670" s="12">
        <v>80</v>
      </c>
      <c r="H2670" s="13">
        <v>0</v>
      </c>
      <c r="I2670" s="12">
        <v>164000</v>
      </c>
      <c r="J2670" s="12">
        <v>150</v>
      </c>
      <c r="K2670" s="1">
        <v>1500</v>
      </c>
      <c r="L2670" s="12">
        <v>42500</v>
      </c>
      <c r="M2670" s="12" t="s">
        <v>2351</v>
      </c>
      <c r="N2670" s="12" t="str">
        <f t="shared" si="99"/>
        <v>1640,1957</v>
      </c>
      <c r="O2670" s="12">
        <v>0</v>
      </c>
      <c r="P2670" s="12" t="s">
        <v>2059</v>
      </c>
      <c r="Q2670" s="7" t="str">
        <f t="shared" si="96"/>
        <v>equipment/6015.png</v>
      </c>
      <c r="R2670" s="1">
        <v>1</v>
      </c>
    </row>
    <row r="2671" spans="1:18" s="12" customFormat="1" ht="14.25" thickBot="1">
      <c r="A2671" s="12">
        <f t="shared" si="97"/>
        <v>50800085</v>
      </c>
      <c r="B2671" s="2">
        <v>0</v>
      </c>
      <c r="C2671" s="12" t="str">
        <f t="shared" si="98"/>
        <v>缚法之靴</v>
      </c>
      <c r="D2671" s="12" t="s">
        <v>15</v>
      </c>
      <c r="E2671" s="12">
        <v>8</v>
      </c>
      <c r="F2671" s="1">
        <v>5</v>
      </c>
      <c r="G2671" s="12">
        <v>80</v>
      </c>
      <c r="H2671" s="13">
        <v>0</v>
      </c>
      <c r="I2671" s="12">
        <v>164000</v>
      </c>
      <c r="J2671" s="12">
        <v>150</v>
      </c>
      <c r="K2671" s="1">
        <v>1500</v>
      </c>
      <c r="L2671" s="12">
        <v>42500</v>
      </c>
      <c r="M2671" s="12" t="s">
        <v>2352</v>
      </c>
      <c r="N2671" s="12" t="str">
        <f t="shared" si="99"/>
        <v>1640,1957</v>
      </c>
      <c r="O2671" s="12">
        <v>0</v>
      </c>
      <c r="P2671" s="12" t="s">
        <v>2059</v>
      </c>
      <c r="Q2671" s="7" t="str">
        <f t="shared" si="96"/>
        <v>equipment/8015.png</v>
      </c>
      <c r="R2671" s="1">
        <v>1</v>
      </c>
    </row>
    <row r="2672" spans="1:18" s="12" customFormat="1" ht="14.25" thickBot="1">
      <c r="A2672" s="12">
        <f t="shared" si="97"/>
        <v>50800095</v>
      </c>
      <c r="B2672" s="2">
        <v>0</v>
      </c>
      <c r="C2672" s="12" t="str">
        <f t="shared" si="98"/>
        <v>梦境护手</v>
      </c>
      <c r="D2672" s="12" t="s">
        <v>16</v>
      </c>
      <c r="E2672" s="12">
        <v>9</v>
      </c>
      <c r="F2672" s="1">
        <v>5</v>
      </c>
      <c r="G2672" s="12">
        <v>80</v>
      </c>
      <c r="H2672" s="13">
        <v>0</v>
      </c>
      <c r="I2672" s="12">
        <v>164000</v>
      </c>
      <c r="J2672" s="12">
        <v>150</v>
      </c>
      <c r="K2672" s="1">
        <v>1500</v>
      </c>
      <c r="L2672" s="12">
        <v>42500</v>
      </c>
      <c r="M2672" s="12" t="s">
        <v>2353</v>
      </c>
      <c r="N2672" s="12" t="str">
        <f t="shared" si="99"/>
        <v>1640,1957</v>
      </c>
      <c r="O2672" s="12">
        <v>0</v>
      </c>
      <c r="P2672" s="12" t="s">
        <v>2059</v>
      </c>
      <c r="Q2672" s="7" t="str">
        <f t="shared" si="96"/>
        <v>equipment/10016.png</v>
      </c>
      <c r="R2672" s="1">
        <v>1</v>
      </c>
    </row>
    <row r="2673" spans="1:18" s="12" customFormat="1" ht="14.25" thickBot="1">
      <c r="A2673" s="12">
        <f t="shared" si="97"/>
        <v>50800105</v>
      </c>
      <c r="B2673" s="2">
        <v>0</v>
      </c>
      <c r="C2673" s="12" t="str">
        <f t="shared" si="98"/>
        <v>亏蚀项链</v>
      </c>
      <c r="D2673" s="12" t="s">
        <v>17</v>
      </c>
      <c r="E2673" s="12">
        <v>10</v>
      </c>
      <c r="F2673" s="1">
        <v>5</v>
      </c>
      <c r="G2673" s="12">
        <v>80</v>
      </c>
      <c r="H2673" s="13">
        <v>0</v>
      </c>
      <c r="I2673" s="12">
        <v>164000</v>
      </c>
      <c r="J2673" s="12">
        <v>150</v>
      </c>
      <c r="K2673" s="1">
        <v>1500</v>
      </c>
      <c r="L2673" s="12">
        <v>42500</v>
      </c>
      <c r="M2673" s="12" t="s">
        <v>2354</v>
      </c>
      <c r="N2673" s="12" t="str">
        <f t="shared" si="99"/>
        <v>1640,1957</v>
      </c>
      <c r="O2673" s="12">
        <v>0</v>
      </c>
      <c r="P2673" s="12" t="s">
        <v>2059</v>
      </c>
      <c r="Q2673" s="7" t="str">
        <f t="shared" si="96"/>
        <v>equipment/12015.png</v>
      </c>
      <c r="R2673" s="1">
        <v>1</v>
      </c>
    </row>
    <row r="2674" spans="1:18" s="12" customFormat="1" ht="14.25" thickBot="1">
      <c r="A2674" s="12">
        <f t="shared" si="97"/>
        <v>50801055</v>
      </c>
      <c r="B2674" s="2">
        <v>0</v>
      </c>
      <c r="C2674" s="12" t="str">
        <f t="shared" si="98"/>
        <v>死寂之剑</v>
      </c>
      <c r="D2674" s="12" t="s">
        <v>12</v>
      </c>
      <c r="E2674" s="12">
        <v>5</v>
      </c>
      <c r="F2674" s="1">
        <v>5</v>
      </c>
      <c r="G2674" s="12">
        <v>80</v>
      </c>
      <c r="H2674" s="13" t="s">
        <v>2120</v>
      </c>
      <c r="I2674" s="12">
        <v>164000</v>
      </c>
      <c r="J2674" s="12">
        <v>150</v>
      </c>
      <c r="K2674" s="1">
        <v>1500</v>
      </c>
      <c r="L2674" s="12">
        <v>42500</v>
      </c>
      <c r="M2674" s="12" t="s">
        <v>2805</v>
      </c>
      <c r="N2674" s="12" t="str">
        <f t="shared" si="99"/>
        <v>2320,2768</v>
      </c>
      <c r="O2674" s="12">
        <v>0</v>
      </c>
      <c r="P2674" s="12" t="s">
        <v>2059</v>
      </c>
      <c r="Q2674" s="7" t="str">
        <f t="shared" si="96"/>
        <v>equipment/1130.png</v>
      </c>
      <c r="R2674" s="1">
        <v>1</v>
      </c>
    </row>
    <row r="2675" spans="1:18" s="12" customFormat="1" ht="14.25" thickBot="1">
      <c r="A2675" s="12">
        <f t="shared" si="97"/>
        <v>50801056</v>
      </c>
      <c r="B2675" s="2">
        <v>0</v>
      </c>
      <c r="C2675" s="12" t="str">
        <f t="shared" si="98"/>
        <v>千魂之刃</v>
      </c>
      <c r="D2675" s="12" t="s">
        <v>12</v>
      </c>
      <c r="E2675" s="12">
        <v>5</v>
      </c>
      <c r="F2675" s="1">
        <v>5</v>
      </c>
      <c r="G2675" s="12">
        <v>80</v>
      </c>
      <c r="H2675" s="13" t="s">
        <v>2120</v>
      </c>
      <c r="I2675" s="12">
        <v>170000</v>
      </c>
      <c r="J2675" s="12">
        <v>150</v>
      </c>
      <c r="K2675" s="1">
        <v>1500</v>
      </c>
      <c r="L2675" s="12">
        <v>45000</v>
      </c>
      <c r="M2675" s="12" t="s">
        <v>2806</v>
      </c>
      <c r="N2675" s="12" t="str">
        <f t="shared" si="99"/>
        <v>2320,2768</v>
      </c>
      <c r="O2675" s="12">
        <v>0</v>
      </c>
      <c r="P2675" s="12" t="s">
        <v>2059</v>
      </c>
      <c r="Q2675" s="7" t="str">
        <f t="shared" si="96"/>
        <v>equipment/1125.png</v>
      </c>
      <c r="R2675" s="1">
        <v>1</v>
      </c>
    </row>
    <row r="2676" spans="1:18" s="12" customFormat="1" ht="14.25" thickBot="1">
      <c r="A2676" s="12">
        <f t="shared" si="97"/>
        <v>50801065</v>
      </c>
      <c r="B2676" s="2">
        <v>0</v>
      </c>
      <c r="C2676" s="12" t="str">
        <f t="shared" si="98"/>
        <v>折戟之盾</v>
      </c>
      <c r="D2676" s="12" t="s">
        <v>13</v>
      </c>
      <c r="E2676" s="12">
        <v>6</v>
      </c>
      <c r="F2676" s="1">
        <v>5</v>
      </c>
      <c r="G2676" s="12">
        <v>80</v>
      </c>
      <c r="H2676" s="13" t="s">
        <v>2120</v>
      </c>
      <c r="I2676" s="12">
        <v>164000</v>
      </c>
      <c r="J2676" s="12">
        <v>150</v>
      </c>
      <c r="K2676" s="1">
        <v>1500</v>
      </c>
      <c r="L2676" s="12">
        <v>42500</v>
      </c>
      <c r="M2676" s="12" t="s">
        <v>2355</v>
      </c>
      <c r="N2676" s="12" t="str">
        <f t="shared" si="99"/>
        <v>2320,2768</v>
      </c>
      <c r="O2676" s="12">
        <v>0</v>
      </c>
      <c r="P2676" s="12" t="s">
        <v>2059</v>
      </c>
      <c r="Q2676" s="7" t="str">
        <f t="shared" si="96"/>
        <v>equipment/2122.png</v>
      </c>
      <c r="R2676" s="1">
        <v>1</v>
      </c>
    </row>
    <row r="2677" spans="1:18" s="12" customFormat="1" ht="14.25" thickBot="1">
      <c r="A2677" s="12">
        <f t="shared" si="97"/>
        <v>50801066</v>
      </c>
      <c r="B2677" s="2">
        <v>0</v>
      </c>
      <c r="C2677" s="12" t="str">
        <f t="shared" si="98"/>
        <v>古石壁垒</v>
      </c>
      <c r="D2677" s="12" t="s">
        <v>13</v>
      </c>
      <c r="E2677" s="12">
        <v>6</v>
      </c>
      <c r="F2677" s="1">
        <v>5</v>
      </c>
      <c r="G2677" s="12">
        <v>80</v>
      </c>
      <c r="H2677" s="13" t="s">
        <v>2120</v>
      </c>
      <c r="I2677" s="12">
        <v>170000</v>
      </c>
      <c r="J2677" s="12">
        <v>150</v>
      </c>
      <c r="K2677" s="1">
        <v>1500</v>
      </c>
      <c r="L2677" s="12">
        <v>45000</v>
      </c>
      <c r="M2677" s="12" t="s">
        <v>2356</v>
      </c>
      <c r="N2677" s="12" t="str">
        <f t="shared" si="99"/>
        <v>2320,2768</v>
      </c>
      <c r="O2677" s="12">
        <v>0</v>
      </c>
      <c r="P2677" s="12" t="s">
        <v>2059</v>
      </c>
      <c r="Q2677" s="7" t="str">
        <f t="shared" si="96"/>
        <v>equipment/2120.png</v>
      </c>
      <c r="R2677" s="1">
        <v>1</v>
      </c>
    </row>
    <row r="2678" spans="1:18" s="12" customFormat="1" ht="14.25" thickBot="1">
      <c r="A2678" s="12">
        <f t="shared" si="97"/>
        <v>50802055</v>
      </c>
      <c r="B2678" s="2">
        <v>0</v>
      </c>
      <c r="C2678" s="12" t="str">
        <f t="shared" si="98"/>
        <v>龙骨弯弓</v>
      </c>
      <c r="D2678" s="12" t="s">
        <v>12</v>
      </c>
      <c r="E2678" s="12">
        <v>5</v>
      </c>
      <c r="F2678" s="1">
        <v>5</v>
      </c>
      <c r="G2678" s="12">
        <v>80</v>
      </c>
      <c r="H2678" s="13" t="s">
        <v>2121</v>
      </c>
      <c r="I2678" s="12">
        <v>164000</v>
      </c>
      <c r="J2678" s="12">
        <v>150</v>
      </c>
      <c r="K2678" s="1">
        <v>1500</v>
      </c>
      <c r="L2678" s="12">
        <v>42500</v>
      </c>
      <c r="M2678" s="12" t="s">
        <v>2805</v>
      </c>
      <c r="N2678" s="12" t="str">
        <f t="shared" si="99"/>
        <v>2320,2768</v>
      </c>
      <c r="O2678" s="12">
        <v>0</v>
      </c>
      <c r="P2678" s="12" t="s">
        <v>2059</v>
      </c>
      <c r="Q2678" s="7" t="str">
        <f t="shared" si="96"/>
        <v>equipment/1227.png</v>
      </c>
      <c r="R2678" s="1">
        <v>1</v>
      </c>
    </row>
    <row r="2679" spans="1:18" s="12" customFormat="1" ht="14.25" thickBot="1">
      <c r="A2679" s="12">
        <f t="shared" si="97"/>
        <v>50802056</v>
      </c>
      <c r="B2679" s="2">
        <v>0</v>
      </c>
      <c r="C2679" s="12" t="str">
        <f t="shared" si="98"/>
        <v>川流长弓</v>
      </c>
      <c r="D2679" s="12" t="s">
        <v>12</v>
      </c>
      <c r="E2679" s="12">
        <v>5</v>
      </c>
      <c r="F2679" s="1">
        <v>5</v>
      </c>
      <c r="G2679" s="12">
        <v>80</v>
      </c>
      <c r="H2679" s="13" t="s">
        <v>2121</v>
      </c>
      <c r="I2679" s="12">
        <v>170000</v>
      </c>
      <c r="J2679" s="12">
        <v>150</v>
      </c>
      <c r="K2679" s="1">
        <v>1500</v>
      </c>
      <c r="L2679" s="12">
        <v>45000</v>
      </c>
      <c r="M2679" s="12" t="s">
        <v>2806</v>
      </c>
      <c r="N2679" s="12" t="str">
        <f t="shared" si="99"/>
        <v>2320,2768</v>
      </c>
      <c r="O2679" s="12">
        <v>0</v>
      </c>
      <c r="P2679" s="12" t="s">
        <v>2059</v>
      </c>
      <c r="Q2679" s="7" t="str">
        <f t="shared" si="96"/>
        <v>equipment/1229.png</v>
      </c>
      <c r="R2679" s="1">
        <v>1</v>
      </c>
    </row>
    <row r="2680" spans="1:18" s="12" customFormat="1" ht="14.25" thickBot="1">
      <c r="A2680" s="12">
        <f t="shared" si="97"/>
        <v>50802065</v>
      </c>
      <c r="B2680" s="2">
        <v>0</v>
      </c>
      <c r="C2680" s="12" t="str">
        <f t="shared" si="98"/>
        <v>荒原箭袋</v>
      </c>
      <c r="D2680" s="12" t="s">
        <v>13</v>
      </c>
      <c r="E2680" s="12">
        <v>6</v>
      </c>
      <c r="F2680" s="1">
        <v>5</v>
      </c>
      <c r="G2680" s="12">
        <v>80</v>
      </c>
      <c r="H2680" s="13" t="s">
        <v>2121</v>
      </c>
      <c r="I2680" s="12">
        <v>164000</v>
      </c>
      <c r="J2680" s="12">
        <v>150</v>
      </c>
      <c r="K2680" s="1">
        <v>1500</v>
      </c>
      <c r="L2680" s="12">
        <v>42500</v>
      </c>
      <c r="M2680" s="12" t="s">
        <v>2357</v>
      </c>
      <c r="N2680" s="12" t="str">
        <f t="shared" si="99"/>
        <v>2320,2768</v>
      </c>
      <c r="O2680" s="12">
        <v>0</v>
      </c>
      <c r="P2680" s="12" t="s">
        <v>2059</v>
      </c>
      <c r="Q2680" s="7" t="str">
        <f t="shared" si="96"/>
        <v>equipment/2222.png</v>
      </c>
      <c r="R2680" s="1">
        <v>1</v>
      </c>
    </row>
    <row r="2681" spans="1:18" s="12" customFormat="1" ht="14.25" thickBot="1">
      <c r="A2681" s="12">
        <f t="shared" si="97"/>
        <v>50802066</v>
      </c>
      <c r="B2681" s="2">
        <v>0</v>
      </c>
      <c r="C2681" s="12" t="str">
        <f t="shared" si="98"/>
        <v>追逝箭袋</v>
      </c>
      <c r="D2681" s="12" t="s">
        <v>13</v>
      </c>
      <c r="E2681" s="12">
        <v>6</v>
      </c>
      <c r="F2681" s="1">
        <v>5</v>
      </c>
      <c r="G2681" s="12">
        <v>80</v>
      </c>
      <c r="H2681" s="13" t="s">
        <v>2121</v>
      </c>
      <c r="I2681" s="12">
        <v>170000</v>
      </c>
      <c r="J2681" s="12">
        <v>150</v>
      </c>
      <c r="K2681" s="1">
        <v>1500</v>
      </c>
      <c r="L2681" s="12">
        <v>45000</v>
      </c>
      <c r="M2681" s="12" t="s">
        <v>2358</v>
      </c>
      <c r="N2681" s="12" t="str">
        <f t="shared" si="99"/>
        <v>2320,2768</v>
      </c>
      <c r="O2681" s="12">
        <v>0</v>
      </c>
      <c r="P2681" s="12" t="s">
        <v>2059</v>
      </c>
      <c r="Q2681" s="7" t="str">
        <f t="shared" si="96"/>
        <v>equipment/2223.png</v>
      </c>
      <c r="R2681" s="1">
        <v>1</v>
      </c>
    </row>
    <row r="2682" spans="1:18" s="12" customFormat="1" ht="14.25" thickBot="1">
      <c r="A2682" s="12">
        <f t="shared" si="97"/>
        <v>50803055</v>
      </c>
      <c r="B2682" s="2">
        <v>0</v>
      </c>
      <c r="C2682" s="12" t="str">
        <f t="shared" si="98"/>
        <v>显像符杖</v>
      </c>
      <c r="D2682" s="12" t="s">
        <v>12</v>
      </c>
      <c r="E2682" s="12">
        <v>5</v>
      </c>
      <c r="F2682" s="1">
        <v>5</v>
      </c>
      <c r="G2682" s="12">
        <v>80</v>
      </c>
      <c r="H2682" s="13" t="s">
        <v>2122</v>
      </c>
      <c r="I2682" s="12">
        <v>164000</v>
      </c>
      <c r="J2682" s="12">
        <v>150</v>
      </c>
      <c r="K2682" s="1">
        <v>1500</v>
      </c>
      <c r="L2682" s="12">
        <v>42500</v>
      </c>
      <c r="M2682" s="12" t="s">
        <v>2805</v>
      </c>
      <c r="N2682" s="12" t="str">
        <f t="shared" si="99"/>
        <v>2320,2768</v>
      </c>
      <c r="O2682" s="12">
        <v>0</v>
      </c>
      <c r="P2682" s="12" t="s">
        <v>2059</v>
      </c>
      <c r="Q2682" s="7" t="str">
        <f t="shared" si="96"/>
        <v>equipment/1327.png</v>
      </c>
      <c r="R2682" s="1">
        <v>1</v>
      </c>
    </row>
    <row r="2683" spans="1:18" s="12" customFormat="1" ht="14.25" thickBot="1">
      <c r="A2683" s="12">
        <f t="shared" si="97"/>
        <v>50803056</v>
      </c>
      <c r="B2683" s="2">
        <v>0</v>
      </c>
      <c r="C2683" s="12" t="str">
        <f t="shared" si="98"/>
        <v>幻灭之杖</v>
      </c>
      <c r="D2683" s="12" t="s">
        <v>12</v>
      </c>
      <c r="E2683" s="12">
        <v>5</v>
      </c>
      <c r="F2683" s="1">
        <v>5</v>
      </c>
      <c r="G2683" s="12">
        <v>80</v>
      </c>
      <c r="H2683" s="13" t="s">
        <v>2122</v>
      </c>
      <c r="I2683" s="12">
        <v>170000</v>
      </c>
      <c r="J2683" s="12">
        <v>150</v>
      </c>
      <c r="K2683" s="1">
        <v>1500</v>
      </c>
      <c r="L2683" s="12">
        <v>45000</v>
      </c>
      <c r="M2683" s="12" t="s">
        <v>2806</v>
      </c>
      <c r="N2683" s="12" t="str">
        <f t="shared" si="99"/>
        <v>2320,2768</v>
      </c>
      <c r="O2683" s="12">
        <v>0</v>
      </c>
      <c r="P2683" s="12" t="s">
        <v>2059</v>
      </c>
      <c r="Q2683" s="7" t="str">
        <f t="shared" si="96"/>
        <v>equipment/1329.png</v>
      </c>
      <c r="R2683" s="1">
        <v>1</v>
      </c>
    </row>
    <row r="2684" spans="1:18" s="12" customFormat="1" ht="14.25" thickBot="1">
      <c r="A2684" s="12">
        <f t="shared" si="97"/>
        <v>50803065</v>
      </c>
      <c r="B2684" s="2">
        <v>0</v>
      </c>
      <c r="C2684" s="12" t="str">
        <f t="shared" si="98"/>
        <v>王国古书</v>
      </c>
      <c r="D2684" s="12" t="s">
        <v>13</v>
      </c>
      <c r="E2684" s="12">
        <v>6</v>
      </c>
      <c r="F2684" s="1">
        <v>5</v>
      </c>
      <c r="G2684" s="12">
        <v>80</v>
      </c>
      <c r="H2684" s="13" t="s">
        <v>2122</v>
      </c>
      <c r="I2684" s="12">
        <v>164000</v>
      </c>
      <c r="J2684" s="12">
        <v>150</v>
      </c>
      <c r="K2684" s="1">
        <v>1500</v>
      </c>
      <c r="L2684" s="12">
        <v>42500</v>
      </c>
      <c r="M2684" s="12" t="s">
        <v>2359</v>
      </c>
      <c r="N2684" s="12" t="str">
        <f t="shared" si="99"/>
        <v>2320,2768</v>
      </c>
      <c r="O2684" s="12">
        <v>0</v>
      </c>
      <c r="P2684" s="12" t="s">
        <v>2059</v>
      </c>
      <c r="Q2684" s="7" t="str">
        <f t="shared" si="96"/>
        <v>equipment/2320.png</v>
      </c>
      <c r="R2684" s="1">
        <v>1</v>
      </c>
    </row>
    <row r="2685" spans="1:18" s="12" customFormat="1" ht="14.25" thickBot="1">
      <c r="A2685" s="12">
        <f t="shared" si="97"/>
        <v>50803066</v>
      </c>
      <c r="B2685" s="2">
        <v>0</v>
      </c>
      <c r="C2685" s="12" t="str">
        <f t="shared" si="98"/>
        <v>上古纪事</v>
      </c>
      <c r="D2685" s="12" t="s">
        <v>13</v>
      </c>
      <c r="E2685" s="12">
        <v>6</v>
      </c>
      <c r="F2685" s="1">
        <v>5</v>
      </c>
      <c r="G2685" s="12">
        <v>80</v>
      </c>
      <c r="H2685" s="13" t="s">
        <v>2122</v>
      </c>
      <c r="I2685" s="12">
        <v>170000</v>
      </c>
      <c r="J2685" s="12">
        <v>150</v>
      </c>
      <c r="K2685" s="1">
        <v>1500</v>
      </c>
      <c r="L2685" s="12">
        <v>45000</v>
      </c>
      <c r="M2685" s="12" t="s">
        <v>2360</v>
      </c>
      <c r="N2685" s="12" t="str">
        <f t="shared" si="99"/>
        <v>2320,2768</v>
      </c>
      <c r="O2685" s="12">
        <v>0</v>
      </c>
      <c r="P2685" s="12" t="s">
        <v>2059</v>
      </c>
      <c r="Q2685" s="7" t="str">
        <f t="shared" si="96"/>
        <v>equipment/2322.png</v>
      </c>
      <c r="R2685" s="1">
        <v>1</v>
      </c>
    </row>
    <row r="2686" spans="1:18" s="12" customFormat="1" ht="14.25" thickBot="1">
      <c r="A2686" s="12">
        <f t="shared" si="97"/>
        <v>50800045</v>
      </c>
      <c r="B2686" s="2">
        <v>0</v>
      </c>
      <c r="C2686" s="12" t="str">
        <f t="shared" si="98"/>
        <v>复仇战甲</v>
      </c>
      <c r="D2686" s="12" t="s">
        <v>11</v>
      </c>
      <c r="E2686" s="12">
        <v>4</v>
      </c>
      <c r="F2686" s="1">
        <v>5</v>
      </c>
      <c r="G2686" s="12">
        <v>80</v>
      </c>
      <c r="H2686" s="13">
        <v>0</v>
      </c>
      <c r="I2686" s="12">
        <v>164000</v>
      </c>
      <c r="J2686" s="12">
        <v>150</v>
      </c>
      <c r="K2686" s="1">
        <v>1500</v>
      </c>
      <c r="L2686" s="12">
        <v>42500</v>
      </c>
      <c r="M2686" s="12" t="s">
        <v>2361</v>
      </c>
      <c r="N2686" s="12" t="str">
        <f t="shared" si="99"/>
        <v>1640,1957</v>
      </c>
      <c r="O2686" s="12">
        <v>0</v>
      </c>
      <c r="P2686" s="12" t="s">
        <v>2059</v>
      </c>
      <c r="Q2686" s="7" t="str">
        <f t="shared" si="96"/>
        <v>equipment/5021.png</v>
      </c>
      <c r="R2686" s="1">
        <v>1</v>
      </c>
    </row>
    <row r="2687" spans="1:18" s="12" customFormat="1" ht="14.25" thickBot="1">
      <c r="A2687" s="12">
        <f t="shared" si="97"/>
        <v>50800046</v>
      </c>
      <c r="B2687" s="2">
        <v>0</v>
      </c>
      <c r="C2687" s="12" t="str">
        <f t="shared" si="98"/>
        <v>预兆胸甲</v>
      </c>
      <c r="D2687" s="12" t="s">
        <v>11</v>
      </c>
      <c r="E2687" s="12">
        <v>4</v>
      </c>
      <c r="F2687" s="1">
        <v>5</v>
      </c>
      <c r="G2687" s="12">
        <v>80</v>
      </c>
      <c r="H2687" s="13">
        <v>0</v>
      </c>
      <c r="I2687" s="12">
        <v>170000</v>
      </c>
      <c r="J2687" s="12">
        <v>150</v>
      </c>
      <c r="K2687" s="1">
        <v>1500</v>
      </c>
      <c r="L2687" s="12">
        <v>45000</v>
      </c>
      <c r="M2687" s="12" t="s">
        <v>2362</v>
      </c>
      <c r="N2687" s="12" t="str">
        <f t="shared" si="99"/>
        <v>1640,1957</v>
      </c>
      <c r="O2687" s="12">
        <v>0</v>
      </c>
      <c r="P2687" s="12" t="s">
        <v>2059</v>
      </c>
      <c r="Q2687" s="7" t="str">
        <f t="shared" si="96"/>
        <v>equipment/5022.png</v>
      </c>
      <c r="R2687" s="1">
        <v>1</v>
      </c>
    </row>
    <row r="2688" spans="1:18" s="12" customFormat="1" ht="14.25" thickBot="1">
      <c r="A2688" s="12">
        <f t="shared" si="97"/>
        <v>50800075</v>
      </c>
      <c r="B2688" s="2">
        <v>0</v>
      </c>
      <c r="C2688" s="12" t="str">
        <f t="shared" si="98"/>
        <v>迷失护腿</v>
      </c>
      <c r="D2688" s="12" t="s">
        <v>14</v>
      </c>
      <c r="E2688" s="12">
        <v>7</v>
      </c>
      <c r="F2688" s="1">
        <v>5</v>
      </c>
      <c r="G2688" s="12">
        <v>80</v>
      </c>
      <c r="H2688" s="13">
        <v>0</v>
      </c>
      <c r="I2688" s="12">
        <v>164000</v>
      </c>
      <c r="J2688" s="12">
        <v>150</v>
      </c>
      <c r="K2688" s="1">
        <v>1500</v>
      </c>
      <c r="L2688" s="12">
        <v>42500</v>
      </c>
      <c r="M2688" s="12" t="s">
        <v>2361</v>
      </c>
      <c r="N2688" s="12" t="str">
        <f t="shared" si="99"/>
        <v>1640,1957</v>
      </c>
      <c r="O2688" s="12">
        <v>0</v>
      </c>
      <c r="P2688" s="12" t="s">
        <v>2059</v>
      </c>
      <c r="Q2688" s="7" t="str">
        <f t="shared" si="96"/>
        <v>equipment/7022.png</v>
      </c>
      <c r="R2688" s="1">
        <v>1</v>
      </c>
    </row>
    <row r="2689" spans="1:18" s="12" customFormat="1" ht="14.25" thickBot="1">
      <c r="A2689" s="12">
        <f t="shared" si="97"/>
        <v>50800076</v>
      </c>
      <c r="B2689" s="2">
        <v>0</v>
      </c>
      <c r="C2689" s="12" t="str">
        <f t="shared" si="98"/>
        <v>幽影腿甲</v>
      </c>
      <c r="D2689" s="12" t="s">
        <v>14</v>
      </c>
      <c r="E2689" s="12">
        <v>7</v>
      </c>
      <c r="F2689" s="1">
        <v>5</v>
      </c>
      <c r="G2689" s="12">
        <v>80</v>
      </c>
      <c r="H2689" s="13">
        <v>0</v>
      </c>
      <c r="I2689" s="12">
        <v>170000</v>
      </c>
      <c r="J2689" s="12">
        <v>150</v>
      </c>
      <c r="K2689" s="1">
        <v>1500</v>
      </c>
      <c r="L2689" s="12">
        <v>45000</v>
      </c>
      <c r="M2689" s="12" t="s">
        <v>2362</v>
      </c>
      <c r="N2689" s="12" t="str">
        <f t="shared" si="99"/>
        <v>1640,1957</v>
      </c>
      <c r="O2689" s="12">
        <v>0</v>
      </c>
      <c r="P2689" s="12" t="s">
        <v>2059</v>
      </c>
      <c r="Q2689" s="7" t="str">
        <f t="shared" si="96"/>
        <v>equipment/7021.png</v>
      </c>
      <c r="R2689" s="1">
        <v>1</v>
      </c>
    </row>
    <row r="2690" spans="1:18" s="12" customFormat="1" ht="14.25" thickBot="1">
      <c r="A2690" s="12">
        <f t="shared" si="97"/>
        <v>50850015</v>
      </c>
      <c r="B2690" s="2">
        <v>0</v>
      </c>
      <c r="C2690" s="12" t="str">
        <f t="shared" si="98"/>
        <v>低语之冠</v>
      </c>
      <c r="D2690" s="12" t="s">
        <v>8</v>
      </c>
      <c r="E2690" s="12">
        <v>1</v>
      </c>
      <c r="F2690" s="1">
        <v>5</v>
      </c>
      <c r="G2690" s="12">
        <v>85</v>
      </c>
      <c r="H2690" s="13">
        <v>0</v>
      </c>
      <c r="I2690" s="12">
        <v>176000</v>
      </c>
      <c r="J2690" s="12">
        <v>150</v>
      </c>
      <c r="K2690" s="1">
        <v>1500</v>
      </c>
      <c r="L2690" s="12">
        <v>45000</v>
      </c>
      <c r="M2690" s="12" t="s">
        <v>2363</v>
      </c>
      <c r="N2690" s="12" t="str">
        <f t="shared" si="99"/>
        <v>1829,2182</v>
      </c>
      <c r="O2690" s="12">
        <v>0</v>
      </c>
      <c r="P2690" s="12" t="s">
        <v>2059</v>
      </c>
      <c r="Q2690" s="7" t="str">
        <f t="shared" si="96"/>
        <v>equipment/3012.png</v>
      </c>
      <c r="R2690" s="1">
        <v>1</v>
      </c>
    </row>
    <row r="2691" spans="1:18" s="12" customFormat="1" ht="14.25" thickBot="1">
      <c r="A2691" s="12">
        <f t="shared" si="97"/>
        <v>50850025</v>
      </c>
      <c r="B2691" s="2">
        <v>0</v>
      </c>
      <c r="C2691" s="12" t="str">
        <f t="shared" si="98"/>
        <v>神迹指环</v>
      </c>
      <c r="D2691" s="12" t="s">
        <v>9</v>
      </c>
      <c r="E2691" s="12">
        <v>2</v>
      </c>
      <c r="F2691" s="1">
        <v>5</v>
      </c>
      <c r="G2691" s="12">
        <v>85</v>
      </c>
      <c r="H2691" s="13">
        <v>0</v>
      </c>
      <c r="I2691" s="12">
        <v>176000</v>
      </c>
      <c r="J2691" s="12">
        <v>150</v>
      </c>
      <c r="K2691" s="1">
        <v>1500</v>
      </c>
      <c r="L2691" s="12">
        <v>45000</v>
      </c>
      <c r="M2691" s="12" t="s">
        <v>2364</v>
      </c>
      <c r="N2691" s="12" t="str">
        <f t="shared" si="99"/>
        <v>1829,2182</v>
      </c>
      <c r="O2691" s="12">
        <v>0</v>
      </c>
      <c r="P2691" s="12" t="s">
        <v>2059</v>
      </c>
      <c r="Q2691" s="7" t="str">
        <f t="shared" si="96"/>
        <v>equipment/14016.png</v>
      </c>
      <c r="R2691" s="1">
        <v>1</v>
      </c>
    </row>
    <row r="2692" spans="1:18" s="12" customFormat="1" ht="14.25" thickBot="1">
      <c r="A2692" s="12">
        <f t="shared" si="97"/>
        <v>50850035</v>
      </c>
      <c r="B2692" s="2">
        <v>0</v>
      </c>
      <c r="C2692" s="12" t="str">
        <f t="shared" si="98"/>
        <v>威严腰带</v>
      </c>
      <c r="D2692" s="12" t="s">
        <v>10</v>
      </c>
      <c r="E2692" s="12">
        <v>3</v>
      </c>
      <c r="F2692" s="1">
        <v>5</v>
      </c>
      <c r="G2692" s="12">
        <v>85</v>
      </c>
      <c r="H2692" s="13">
        <v>0</v>
      </c>
      <c r="I2692" s="12">
        <v>176000</v>
      </c>
      <c r="J2692" s="12">
        <v>150</v>
      </c>
      <c r="K2692" s="1">
        <v>1500</v>
      </c>
      <c r="L2692" s="12">
        <v>45000</v>
      </c>
      <c r="M2692" s="12" t="s">
        <v>2365</v>
      </c>
      <c r="N2692" s="12" t="str">
        <f t="shared" si="99"/>
        <v>1829,2182</v>
      </c>
      <c r="O2692" s="12">
        <v>0</v>
      </c>
      <c r="P2692" s="12" t="s">
        <v>2059</v>
      </c>
      <c r="Q2692" s="7" t="str">
        <f t="shared" si="96"/>
        <v>equipment/6017.png</v>
      </c>
      <c r="R2692" s="1">
        <v>1</v>
      </c>
    </row>
    <row r="2693" spans="1:18" s="12" customFormat="1" ht="14.25" thickBot="1">
      <c r="A2693" s="12">
        <f t="shared" si="97"/>
        <v>50850085</v>
      </c>
      <c r="B2693" s="2">
        <v>0</v>
      </c>
      <c r="C2693" s="12" t="str">
        <f t="shared" si="98"/>
        <v>统治长靴</v>
      </c>
      <c r="D2693" s="12" t="s">
        <v>15</v>
      </c>
      <c r="E2693" s="12">
        <v>8</v>
      </c>
      <c r="F2693" s="1">
        <v>5</v>
      </c>
      <c r="G2693" s="12">
        <v>85</v>
      </c>
      <c r="H2693" s="13">
        <v>0</v>
      </c>
      <c r="I2693" s="12">
        <v>176000</v>
      </c>
      <c r="J2693" s="12">
        <v>150</v>
      </c>
      <c r="K2693" s="1">
        <v>1500</v>
      </c>
      <c r="L2693" s="12">
        <v>45000</v>
      </c>
      <c r="M2693" s="12" t="s">
        <v>2366</v>
      </c>
      <c r="N2693" s="12" t="str">
        <f t="shared" si="99"/>
        <v>1829,2182</v>
      </c>
      <c r="O2693" s="12">
        <v>0</v>
      </c>
      <c r="P2693" s="12" t="s">
        <v>2059</v>
      </c>
      <c r="Q2693" s="7" t="str">
        <f t="shared" si="96"/>
        <v>equipment/8016.png</v>
      </c>
      <c r="R2693" s="1">
        <v>1</v>
      </c>
    </row>
    <row r="2694" spans="1:18" s="12" customFormat="1" ht="14.25" thickBot="1">
      <c r="A2694" s="12">
        <f t="shared" si="97"/>
        <v>50850095</v>
      </c>
      <c r="B2694" s="2">
        <v>0</v>
      </c>
      <c r="C2694" s="12" t="str">
        <f t="shared" si="98"/>
        <v>誓烈手甲</v>
      </c>
      <c r="D2694" s="12" t="s">
        <v>16</v>
      </c>
      <c r="E2694" s="12">
        <v>9</v>
      </c>
      <c r="F2694" s="1">
        <v>5</v>
      </c>
      <c r="G2694" s="12">
        <v>85</v>
      </c>
      <c r="H2694" s="13">
        <v>0</v>
      </c>
      <c r="I2694" s="12">
        <v>176000</v>
      </c>
      <c r="J2694" s="12">
        <v>150</v>
      </c>
      <c r="K2694" s="1">
        <v>1500</v>
      </c>
      <c r="L2694" s="12">
        <v>45000</v>
      </c>
      <c r="M2694" s="12" t="s">
        <v>2367</v>
      </c>
      <c r="N2694" s="12" t="str">
        <f t="shared" si="99"/>
        <v>1829,2182</v>
      </c>
      <c r="O2694" s="12">
        <v>0</v>
      </c>
      <c r="P2694" s="12" t="s">
        <v>2059</v>
      </c>
      <c r="Q2694" s="7" t="str">
        <f t="shared" si="96"/>
        <v>equipment/10014.png</v>
      </c>
      <c r="R2694" s="1">
        <v>1</v>
      </c>
    </row>
    <row r="2695" spans="1:18" s="12" customFormat="1" ht="14.25" thickBot="1">
      <c r="A2695" s="12">
        <f t="shared" si="97"/>
        <v>50850105</v>
      </c>
      <c r="B2695" s="2">
        <v>0</v>
      </c>
      <c r="C2695" s="12" t="str">
        <f t="shared" si="98"/>
        <v>漂泊者之链</v>
      </c>
      <c r="D2695" s="12" t="s">
        <v>17</v>
      </c>
      <c r="E2695" s="12">
        <v>10</v>
      </c>
      <c r="F2695" s="1">
        <v>5</v>
      </c>
      <c r="G2695" s="12">
        <v>85</v>
      </c>
      <c r="H2695" s="13">
        <v>0</v>
      </c>
      <c r="I2695" s="12">
        <v>176000</v>
      </c>
      <c r="J2695" s="12">
        <v>150</v>
      </c>
      <c r="K2695" s="1">
        <v>1500</v>
      </c>
      <c r="L2695" s="12">
        <v>45000</v>
      </c>
      <c r="M2695" s="12" t="s">
        <v>2368</v>
      </c>
      <c r="N2695" s="12" t="str">
        <f t="shared" si="99"/>
        <v>1829,2182</v>
      </c>
      <c r="O2695" s="12">
        <v>0</v>
      </c>
      <c r="P2695" s="12" t="s">
        <v>2059</v>
      </c>
      <c r="Q2695" s="7" t="str">
        <f t="shared" si="96"/>
        <v>equipment/12016.png</v>
      </c>
      <c r="R2695" s="1">
        <v>1</v>
      </c>
    </row>
    <row r="2696" spans="1:18" s="12" customFormat="1" ht="14.25" thickBot="1">
      <c r="A2696" s="12">
        <f t="shared" si="97"/>
        <v>50851055</v>
      </c>
      <c r="B2696" s="2">
        <v>0</v>
      </c>
      <c r="C2696" s="12" t="str">
        <f t="shared" si="98"/>
        <v>谦逊之剑</v>
      </c>
      <c r="D2696" s="12" t="s">
        <v>12</v>
      </c>
      <c r="E2696" s="12">
        <v>5</v>
      </c>
      <c r="F2696" s="1">
        <v>5</v>
      </c>
      <c r="G2696" s="12">
        <v>85</v>
      </c>
      <c r="H2696" s="13" t="s">
        <v>2120</v>
      </c>
      <c r="I2696" s="12">
        <v>176000</v>
      </c>
      <c r="J2696" s="12">
        <v>150</v>
      </c>
      <c r="K2696" s="1">
        <v>1500</v>
      </c>
      <c r="L2696" s="12">
        <v>45000</v>
      </c>
      <c r="M2696" s="12" t="s">
        <v>2807</v>
      </c>
      <c r="N2696" s="12" t="str">
        <f t="shared" si="99"/>
        <v>2585,3085</v>
      </c>
      <c r="O2696" s="12">
        <v>0</v>
      </c>
      <c r="P2696" s="12" t="s">
        <v>2059</v>
      </c>
      <c r="Q2696" s="7" t="str">
        <f t="shared" si="96"/>
        <v>equipment/1128.png</v>
      </c>
      <c r="R2696" s="1">
        <v>1</v>
      </c>
    </row>
    <row r="2697" spans="1:18" s="12" customFormat="1" ht="14.25" thickBot="1">
      <c r="A2697" s="12">
        <f t="shared" si="97"/>
        <v>50851056</v>
      </c>
      <c r="B2697" s="2">
        <v>0</v>
      </c>
      <c r="C2697" s="12" t="str">
        <f t="shared" si="98"/>
        <v>破壁之刃</v>
      </c>
      <c r="D2697" s="12" t="s">
        <v>12</v>
      </c>
      <c r="E2697" s="12">
        <v>5</v>
      </c>
      <c r="F2697" s="1">
        <v>5</v>
      </c>
      <c r="G2697" s="12">
        <v>85</v>
      </c>
      <c r="H2697" s="13" t="s">
        <v>2120</v>
      </c>
      <c r="I2697" s="12">
        <v>182000</v>
      </c>
      <c r="J2697" s="12">
        <v>150</v>
      </c>
      <c r="K2697" s="1">
        <v>1500</v>
      </c>
      <c r="L2697" s="12">
        <v>47500</v>
      </c>
      <c r="M2697" s="12" t="s">
        <v>2808</v>
      </c>
      <c r="N2697" s="12" t="str">
        <f t="shared" si="99"/>
        <v>2585,3085</v>
      </c>
      <c r="O2697" s="12">
        <v>0</v>
      </c>
      <c r="P2697" s="12" t="s">
        <v>2059</v>
      </c>
      <c r="Q2697" s="7" t="str">
        <f t="shared" si="96"/>
        <v>equipment/1129.png</v>
      </c>
      <c r="R2697" s="1">
        <v>1</v>
      </c>
    </row>
    <row r="2698" spans="1:18" s="12" customFormat="1" ht="14.25" thickBot="1">
      <c r="A2698" s="12">
        <f t="shared" si="97"/>
        <v>50851065</v>
      </c>
      <c r="B2698" s="2">
        <v>0</v>
      </c>
      <c r="C2698" s="12" t="str">
        <f t="shared" si="98"/>
        <v>邪铁盾牌</v>
      </c>
      <c r="D2698" s="12" t="s">
        <v>13</v>
      </c>
      <c r="E2698" s="12">
        <v>6</v>
      </c>
      <c r="F2698" s="1">
        <v>5</v>
      </c>
      <c r="G2698" s="12">
        <v>85</v>
      </c>
      <c r="H2698" s="13" t="s">
        <v>2120</v>
      </c>
      <c r="I2698" s="12">
        <v>176000</v>
      </c>
      <c r="J2698" s="12">
        <v>150</v>
      </c>
      <c r="K2698" s="1">
        <v>1500</v>
      </c>
      <c r="L2698" s="12">
        <v>45000</v>
      </c>
      <c r="M2698" s="12" t="s">
        <v>2369</v>
      </c>
      <c r="N2698" s="12" t="str">
        <f t="shared" si="99"/>
        <v>2585,3085</v>
      </c>
      <c r="O2698" s="12">
        <v>0</v>
      </c>
      <c r="P2698" s="12" t="s">
        <v>2059</v>
      </c>
      <c r="Q2698" s="7" t="str">
        <f t="shared" si="96"/>
        <v>equipment/2124.png</v>
      </c>
      <c r="R2698" s="1">
        <v>1</v>
      </c>
    </row>
    <row r="2699" spans="1:18" s="12" customFormat="1" ht="14.25" thickBot="1">
      <c r="A2699" s="12">
        <f t="shared" si="97"/>
        <v>50851066</v>
      </c>
      <c r="B2699" s="2">
        <v>0</v>
      </c>
      <c r="C2699" s="12" t="str">
        <f t="shared" si="98"/>
        <v>埋骨之盾</v>
      </c>
      <c r="D2699" s="12" t="s">
        <v>13</v>
      </c>
      <c r="E2699" s="12">
        <v>6</v>
      </c>
      <c r="F2699" s="1">
        <v>5</v>
      </c>
      <c r="G2699" s="12">
        <v>85</v>
      </c>
      <c r="H2699" s="13" t="s">
        <v>2120</v>
      </c>
      <c r="I2699" s="12">
        <v>182000</v>
      </c>
      <c r="J2699" s="12">
        <v>150</v>
      </c>
      <c r="K2699" s="1">
        <v>1500</v>
      </c>
      <c r="L2699" s="12">
        <v>47500</v>
      </c>
      <c r="M2699" s="12" t="s">
        <v>2370</v>
      </c>
      <c r="N2699" s="12" t="str">
        <f t="shared" si="99"/>
        <v>2585,3085</v>
      </c>
      <c r="O2699" s="12">
        <v>0</v>
      </c>
      <c r="P2699" s="12" t="s">
        <v>2059</v>
      </c>
      <c r="Q2699" s="7" t="str">
        <f t="shared" si="96"/>
        <v>equipment/2119.png</v>
      </c>
      <c r="R2699" s="1">
        <v>1</v>
      </c>
    </row>
    <row r="2700" spans="1:18" s="12" customFormat="1" ht="14.25" thickBot="1">
      <c r="A2700" s="12">
        <f t="shared" si="97"/>
        <v>50852055</v>
      </c>
      <c r="B2700" s="2">
        <v>0</v>
      </c>
      <c r="C2700" s="12" t="str">
        <f t="shared" si="98"/>
        <v>悔恨长弓</v>
      </c>
      <c r="D2700" s="12" t="s">
        <v>12</v>
      </c>
      <c r="E2700" s="12">
        <v>5</v>
      </c>
      <c r="F2700" s="1">
        <v>5</v>
      </c>
      <c r="G2700" s="12">
        <v>85</v>
      </c>
      <c r="H2700" s="13" t="s">
        <v>2121</v>
      </c>
      <c r="I2700" s="12">
        <v>176000</v>
      </c>
      <c r="J2700" s="12">
        <v>150</v>
      </c>
      <c r="K2700" s="1">
        <v>1500</v>
      </c>
      <c r="L2700" s="12">
        <v>45000</v>
      </c>
      <c r="M2700" s="12" t="s">
        <v>2807</v>
      </c>
      <c r="N2700" s="12" t="str">
        <f t="shared" si="99"/>
        <v>2585,3085</v>
      </c>
      <c r="O2700" s="12">
        <v>0</v>
      </c>
      <c r="P2700" s="12" t="s">
        <v>2059</v>
      </c>
      <c r="Q2700" s="7" t="str">
        <f t="shared" si="96"/>
        <v>equipment/1228.png</v>
      </c>
      <c r="R2700" s="1">
        <v>1</v>
      </c>
    </row>
    <row r="2701" spans="1:18" s="12" customFormat="1" ht="14.25" thickBot="1">
      <c r="A2701" s="12">
        <f t="shared" si="97"/>
        <v>50852056</v>
      </c>
      <c r="B2701" s="2">
        <v>0</v>
      </c>
      <c r="C2701" s="12" t="str">
        <f t="shared" si="98"/>
        <v>祈圣之弓</v>
      </c>
      <c r="D2701" s="12" t="s">
        <v>12</v>
      </c>
      <c r="E2701" s="12">
        <v>5</v>
      </c>
      <c r="F2701" s="1">
        <v>5</v>
      </c>
      <c r="G2701" s="12">
        <v>85</v>
      </c>
      <c r="H2701" s="13" t="s">
        <v>2121</v>
      </c>
      <c r="I2701" s="12">
        <v>182000</v>
      </c>
      <c r="J2701" s="12">
        <v>150</v>
      </c>
      <c r="K2701" s="1">
        <v>1500</v>
      </c>
      <c r="L2701" s="12">
        <v>47500</v>
      </c>
      <c r="M2701" s="12" t="s">
        <v>2808</v>
      </c>
      <c r="N2701" s="12" t="str">
        <f t="shared" si="99"/>
        <v>2585,3085</v>
      </c>
      <c r="O2701" s="12">
        <v>0</v>
      </c>
      <c r="P2701" s="12" t="s">
        <v>2059</v>
      </c>
      <c r="Q2701" s="7" t="str">
        <f t="shared" si="96"/>
        <v>equipment/1230.png</v>
      </c>
      <c r="R2701" s="1">
        <v>1</v>
      </c>
    </row>
    <row r="2702" spans="1:18" s="12" customFormat="1" ht="14.25" thickBot="1">
      <c r="A2702" s="12">
        <f t="shared" si="97"/>
        <v>50852065</v>
      </c>
      <c r="B2702" s="2">
        <v>0</v>
      </c>
      <c r="C2702" s="12" t="str">
        <f t="shared" si="98"/>
        <v>悲鸣箭筒</v>
      </c>
      <c r="D2702" s="12" t="s">
        <v>13</v>
      </c>
      <c r="E2702" s="12">
        <v>6</v>
      </c>
      <c r="F2702" s="1">
        <v>5</v>
      </c>
      <c r="G2702" s="12">
        <v>85</v>
      </c>
      <c r="H2702" s="13" t="s">
        <v>2121</v>
      </c>
      <c r="I2702" s="12">
        <v>176000</v>
      </c>
      <c r="J2702" s="12">
        <v>150</v>
      </c>
      <c r="K2702" s="1">
        <v>1500</v>
      </c>
      <c r="L2702" s="12">
        <v>45000</v>
      </c>
      <c r="M2702" s="12" t="s">
        <v>2371</v>
      </c>
      <c r="N2702" s="12" t="str">
        <f t="shared" si="99"/>
        <v>2585,3085</v>
      </c>
      <c r="O2702" s="12">
        <v>0</v>
      </c>
      <c r="P2702" s="12" t="s">
        <v>2059</v>
      </c>
      <c r="Q2702" s="7" t="str">
        <f t="shared" si="96"/>
        <v>equipment/2224.png</v>
      </c>
      <c r="R2702" s="1">
        <v>1</v>
      </c>
    </row>
    <row r="2703" spans="1:18" s="12" customFormat="1" ht="14.25" thickBot="1">
      <c r="A2703" s="12">
        <f t="shared" si="97"/>
        <v>50852066</v>
      </c>
      <c r="B2703" s="2">
        <v>0</v>
      </c>
      <c r="C2703" s="12" t="str">
        <f t="shared" si="98"/>
        <v>咒逐箭筒</v>
      </c>
      <c r="D2703" s="12" t="s">
        <v>13</v>
      </c>
      <c r="E2703" s="12">
        <v>6</v>
      </c>
      <c r="F2703" s="1">
        <v>5</v>
      </c>
      <c r="G2703" s="12">
        <v>85</v>
      </c>
      <c r="H2703" s="13" t="s">
        <v>2121</v>
      </c>
      <c r="I2703" s="12">
        <v>182000</v>
      </c>
      <c r="J2703" s="12">
        <v>150</v>
      </c>
      <c r="K2703" s="1">
        <v>1500</v>
      </c>
      <c r="L2703" s="12">
        <v>47500</v>
      </c>
      <c r="M2703" s="12" t="s">
        <v>2372</v>
      </c>
      <c r="N2703" s="12" t="str">
        <f t="shared" si="99"/>
        <v>2585,3085</v>
      </c>
      <c r="O2703" s="12">
        <v>0</v>
      </c>
      <c r="P2703" s="12" t="s">
        <v>2059</v>
      </c>
      <c r="Q2703" s="7" t="str">
        <f t="shared" si="96"/>
        <v>equipment/2221.png</v>
      </c>
      <c r="R2703" s="1">
        <v>1</v>
      </c>
    </row>
    <row r="2704" spans="1:18" s="12" customFormat="1" ht="14.25" thickBot="1">
      <c r="A2704" s="12">
        <f t="shared" si="97"/>
        <v>50853055</v>
      </c>
      <c r="B2704" s="2">
        <v>0</v>
      </c>
      <c r="C2704" s="12" t="str">
        <f t="shared" si="98"/>
        <v>归还法杖</v>
      </c>
      <c r="D2704" s="12" t="s">
        <v>12</v>
      </c>
      <c r="E2704" s="12">
        <v>5</v>
      </c>
      <c r="F2704" s="1">
        <v>5</v>
      </c>
      <c r="G2704" s="12">
        <v>85</v>
      </c>
      <c r="H2704" s="13" t="s">
        <v>2122</v>
      </c>
      <c r="I2704" s="12">
        <v>176000</v>
      </c>
      <c r="J2704" s="12">
        <v>150</v>
      </c>
      <c r="K2704" s="1">
        <v>1500</v>
      </c>
      <c r="L2704" s="12">
        <v>45000</v>
      </c>
      <c r="M2704" s="12" t="s">
        <v>2807</v>
      </c>
      <c r="N2704" s="12" t="str">
        <f t="shared" si="99"/>
        <v>2585,3085</v>
      </c>
      <c r="O2704" s="12">
        <v>0</v>
      </c>
      <c r="P2704" s="12" t="s">
        <v>2059</v>
      </c>
      <c r="Q2704" s="7" t="str">
        <f t="shared" si="96"/>
        <v>equipment/1329.png</v>
      </c>
      <c r="R2704" s="1">
        <v>1</v>
      </c>
    </row>
    <row r="2705" spans="1:18" s="12" customFormat="1" ht="14.25" thickBot="1">
      <c r="A2705" s="12">
        <f t="shared" si="97"/>
        <v>50853056</v>
      </c>
      <c r="B2705" s="2">
        <v>0</v>
      </c>
      <c r="C2705" s="12" t="str">
        <f t="shared" si="98"/>
        <v>荒寂之杖</v>
      </c>
      <c r="D2705" s="12" t="s">
        <v>12</v>
      </c>
      <c r="E2705" s="12">
        <v>5</v>
      </c>
      <c r="F2705" s="1">
        <v>5</v>
      </c>
      <c r="G2705" s="12">
        <v>85</v>
      </c>
      <c r="H2705" s="13" t="s">
        <v>2122</v>
      </c>
      <c r="I2705" s="12">
        <v>182000</v>
      </c>
      <c r="J2705" s="12">
        <v>150</v>
      </c>
      <c r="K2705" s="1">
        <v>1500</v>
      </c>
      <c r="L2705" s="12">
        <v>47500</v>
      </c>
      <c r="M2705" s="12" t="s">
        <v>2808</v>
      </c>
      <c r="N2705" s="12" t="str">
        <f t="shared" si="99"/>
        <v>2585,3085</v>
      </c>
      <c r="O2705" s="12">
        <v>0</v>
      </c>
      <c r="P2705" s="12" t="s">
        <v>2059</v>
      </c>
      <c r="Q2705" s="7" t="str">
        <f t="shared" si="96"/>
        <v>equipment/1331.png</v>
      </c>
      <c r="R2705" s="1">
        <v>1</v>
      </c>
    </row>
    <row r="2706" spans="1:18" s="12" customFormat="1" ht="14.25" thickBot="1">
      <c r="A2706" s="12">
        <f t="shared" si="97"/>
        <v>50853065</v>
      </c>
      <c r="B2706" s="2">
        <v>0</v>
      </c>
      <c r="C2706" s="12" t="str">
        <f t="shared" si="98"/>
        <v>幻咒秘语</v>
      </c>
      <c r="D2706" s="12" t="s">
        <v>13</v>
      </c>
      <c r="E2706" s="12">
        <v>6</v>
      </c>
      <c r="F2706" s="1">
        <v>5</v>
      </c>
      <c r="G2706" s="12">
        <v>85</v>
      </c>
      <c r="H2706" s="13" t="s">
        <v>2122</v>
      </c>
      <c r="I2706" s="12">
        <v>176000</v>
      </c>
      <c r="J2706" s="12">
        <v>150</v>
      </c>
      <c r="K2706" s="1">
        <v>1500</v>
      </c>
      <c r="L2706" s="12">
        <v>45000</v>
      </c>
      <c r="M2706" s="12" t="s">
        <v>2373</v>
      </c>
      <c r="N2706" s="12" t="str">
        <f t="shared" si="99"/>
        <v>2585,3085</v>
      </c>
      <c r="O2706" s="12">
        <v>0</v>
      </c>
      <c r="P2706" s="12" t="s">
        <v>2059</v>
      </c>
      <c r="Q2706" s="7" t="str">
        <f t="shared" si="96"/>
        <v>equipment/102301.png</v>
      </c>
      <c r="R2706" s="1">
        <v>1</v>
      </c>
    </row>
    <row r="2707" spans="1:18" s="12" customFormat="1" ht="14.25" thickBot="1">
      <c r="A2707" s="12">
        <f t="shared" si="97"/>
        <v>50853066</v>
      </c>
      <c r="B2707" s="2">
        <v>0</v>
      </c>
      <c r="C2707" s="12" t="str">
        <f t="shared" si="98"/>
        <v>岁月之书</v>
      </c>
      <c r="D2707" s="12" t="s">
        <v>13</v>
      </c>
      <c r="E2707" s="12">
        <v>6</v>
      </c>
      <c r="F2707" s="1">
        <v>5</v>
      </c>
      <c r="G2707" s="12">
        <v>85</v>
      </c>
      <c r="H2707" s="13" t="s">
        <v>2122</v>
      </c>
      <c r="I2707" s="12">
        <v>182000</v>
      </c>
      <c r="J2707" s="12">
        <v>150</v>
      </c>
      <c r="K2707" s="1">
        <v>1500</v>
      </c>
      <c r="L2707" s="12">
        <v>47500</v>
      </c>
      <c r="M2707" s="12" t="s">
        <v>2374</v>
      </c>
      <c r="N2707" s="12" t="str">
        <f t="shared" si="99"/>
        <v>2585,3085</v>
      </c>
      <c r="O2707" s="12">
        <v>0</v>
      </c>
      <c r="P2707" s="12" t="s">
        <v>2059</v>
      </c>
      <c r="Q2707" s="7" t="str">
        <f t="shared" si="96"/>
        <v>equipment/2323.png</v>
      </c>
      <c r="R2707" s="1">
        <v>1</v>
      </c>
    </row>
    <row r="2708" spans="1:18" s="12" customFormat="1" ht="14.25" thickBot="1">
      <c r="A2708" s="12">
        <f t="shared" si="97"/>
        <v>50850045</v>
      </c>
      <c r="B2708" s="2">
        <v>0</v>
      </c>
      <c r="C2708" s="12" t="str">
        <f t="shared" si="98"/>
        <v>梦魇胸甲</v>
      </c>
      <c r="D2708" s="12" t="s">
        <v>11</v>
      </c>
      <c r="E2708" s="12">
        <v>4</v>
      </c>
      <c r="F2708" s="1">
        <v>5</v>
      </c>
      <c r="G2708" s="12">
        <v>85</v>
      </c>
      <c r="H2708" s="13">
        <v>0</v>
      </c>
      <c r="I2708" s="12">
        <v>176000</v>
      </c>
      <c r="J2708" s="12">
        <v>150</v>
      </c>
      <c r="K2708" s="1">
        <v>1500</v>
      </c>
      <c r="L2708" s="12">
        <v>45000</v>
      </c>
      <c r="M2708" s="12" t="s">
        <v>2375</v>
      </c>
      <c r="N2708" s="12" t="str">
        <f t="shared" si="99"/>
        <v>1829,2182</v>
      </c>
      <c r="O2708" s="12">
        <v>0</v>
      </c>
      <c r="P2708" s="12" t="s">
        <v>2059</v>
      </c>
      <c r="Q2708" s="7" t="str">
        <f t="shared" si="96"/>
        <v>equipment/105001.png</v>
      </c>
      <c r="R2708" s="1">
        <v>1</v>
      </c>
    </row>
    <row r="2709" spans="1:18" s="12" customFormat="1" ht="14.25" thickBot="1">
      <c r="A2709" s="12">
        <f t="shared" si="97"/>
        <v>50850046</v>
      </c>
      <c r="B2709" s="2">
        <v>0</v>
      </c>
      <c r="C2709" s="12" t="str">
        <f t="shared" si="98"/>
        <v>鬼域战铠</v>
      </c>
      <c r="D2709" s="12" t="s">
        <v>11</v>
      </c>
      <c r="E2709" s="12">
        <v>4</v>
      </c>
      <c r="F2709" s="1">
        <v>5</v>
      </c>
      <c r="G2709" s="12">
        <v>85</v>
      </c>
      <c r="H2709" s="13">
        <v>0</v>
      </c>
      <c r="I2709" s="12">
        <v>182000</v>
      </c>
      <c r="J2709" s="12">
        <v>150</v>
      </c>
      <c r="K2709" s="1">
        <v>1500</v>
      </c>
      <c r="L2709" s="12">
        <v>47500</v>
      </c>
      <c r="M2709" s="12" t="s">
        <v>2376</v>
      </c>
      <c r="N2709" s="12" t="str">
        <f t="shared" si="99"/>
        <v>1829,2182</v>
      </c>
      <c r="O2709" s="12">
        <v>0</v>
      </c>
      <c r="P2709" s="12" t="s">
        <v>2059</v>
      </c>
      <c r="Q2709" s="7" t="str">
        <f t="shared" ref="Q2709:Q2772" si="100">Q2247</f>
        <v>equipment/5023.png</v>
      </c>
      <c r="R2709" s="1">
        <v>1</v>
      </c>
    </row>
    <row r="2710" spans="1:18" s="12" customFormat="1" ht="14.25" thickBot="1">
      <c r="A2710" s="12">
        <f t="shared" si="97"/>
        <v>50850075</v>
      </c>
      <c r="B2710" s="2">
        <v>0</v>
      </c>
      <c r="C2710" s="12" t="str">
        <f t="shared" si="98"/>
        <v>逝亡护腿</v>
      </c>
      <c r="D2710" s="12" t="s">
        <v>14</v>
      </c>
      <c r="E2710" s="12">
        <v>7</v>
      </c>
      <c r="F2710" s="1">
        <v>5</v>
      </c>
      <c r="G2710" s="12">
        <v>85</v>
      </c>
      <c r="H2710" s="13">
        <v>0</v>
      </c>
      <c r="I2710" s="12">
        <v>176000</v>
      </c>
      <c r="J2710" s="12">
        <v>150</v>
      </c>
      <c r="K2710" s="1">
        <v>1500</v>
      </c>
      <c r="L2710" s="12">
        <v>45000</v>
      </c>
      <c r="M2710" s="12" t="s">
        <v>2375</v>
      </c>
      <c r="N2710" s="12" t="str">
        <f t="shared" si="99"/>
        <v>1829,2182</v>
      </c>
      <c r="O2710" s="12">
        <v>0</v>
      </c>
      <c r="P2710" s="12" t="s">
        <v>2059</v>
      </c>
      <c r="Q2710" s="7" t="str">
        <f t="shared" si="100"/>
        <v>equipment/7023.png</v>
      </c>
      <c r="R2710" s="1">
        <v>1</v>
      </c>
    </row>
    <row r="2711" spans="1:18" s="12" customFormat="1" ht="14.25" thickBot="1">
      <c r="A2711" s="12">
        <f t="shared" ref="A2711:A2774" si="101">A2249+5</f>
        <v>50850076</v>
      </c>
      <c r="B2711" s="2">
        <v>0</v>
      </c>
      <c r="C2711" s="12" t="str">
        <f t="shared" ref="C2711:C2719" si="102">C2249</f>
        <v>泯灭护腿</v>
      </c>
      <c r="D2711" s="12" t="s">
        <v>14</v>
      </c>
      <c r="E2711" s="12">
        <v>7</v>
      </c>
      <c r="F2711" s="1">
        <v>5</v>
      </c>
      <c r="G2711" s="12">
        <v>85</v>
      </c>
      <c r="H2711" s="13">
        <v>0</v>
      </c>
      <c r="I2711" s="12">
        <v>182000</v>
      </c>
      <c r="J2711" s="12">
        <v>150</v>
      </c>
      <c r="K2711" s="1">
        <v>1500</v>
      </c>
      <c r="L2711" s="12">
        <v>47500</v>
      </c>
      <c r="M2711" s="12" t="s">
        <v>2376</v>
      </c>
      <c r="N2711" s="12" t="str">
        <f t="shared" ref="N2711:N2774" si="103">ROUND(MID(N2249,6,4)*0.88,0)&amp;","&amp;ROUND(MID(N2249,6,4)*1.05,0)</f>
        <v>1829,2182</v>
      </c>
      <c r="O2711" s="12">
        <v>0</v>
      </c>
      <c r="P2711" s="12" t="s">
        <v>2059</v>
      </c>
      <c r="Q2711" s="7" t="str">
        <f t="shared" si="100"/>
        <v>equipment/107001.png</v>
      </c>
      <c r="R2711" s="1">
        <v>1</v>
      </c>
    </row>
    <row r="2712" spans="1:18" s="12" customFormat="1" ht="14.25" thickBot="1">
      <c r="A2712" s="12">
        <f t="shared" si="101"/>
        <v>50900015</v>
      </c>
      <c r="B2712" s="2">
        <v>0</v>
      </c>
      <c r="C2712" s="12" t="str">
        <f t="shared" si="102"/>
        <v>风暴之冠</v>
      </c>
      <c r="D2712" s="12" t="s">
        <v>8</v>
      </c>
      <c r="E2712" s="12">
        <v>1</v>
      </c>
      <c r="F2712" s="1">
        <v>5</v>
      </c>
      <c r="G2712" s="12">
        <v>90</v>
      </c>
      <c r="H2712" s="13">
        <v>0</v>
      </c>
      <c r="I2712" s="12">
        <v>188000</v>
      </c>
      <c r="J2712" s="12">
        <v>150</v>
      </c>
      <c r="K2712" s="1">
        <v>1500</v>
      </c>
      <c r="L2712" s="12">
        <v>47500</v>
      </c>
      <c r="M2712" s="12" t="s">
        <v>2377</v>
      </c>
      <c r="N2712" s="12" t="str">
        <f t="shared" si="103"/>
        <v>2026,2417</v>
      </c>
      <c r="O2712" s="12">
        <v>0</v>
      </c>
      <c r="P2712" s="12" t="s">
        <v>2059</v>
      </c>
      <c r="Q2712" s="7" t="str">
        <f t="shared" si="100"/>
        <v>equipment/3017.png</v>
      </c>
      <c r="R2712" s="1">
        <v>1</v>
      </c>
    </row>
    <row r="2713" spans="1:18" s="12" customFormat="1" ht="14.25" thickBot="1">
      <c r="A2713" s="12">
        <f t="shared" si="101"/>
        <v>50900025</v>
      </c>
      <c r="B2713" s="2">
        <v>0</v>
      </c>
      <c r="C2713" s="12" t="str">
        <f t="shared" si="102"/>
        <v>无尽智慧指环</v>
      </c>
      <c r="D2713" s="12" t="s">
        <v>9</v>
      </c>
      <c r="E2713" s="12">
        <v>2</v>
      </c>
      <c r="F2713" s="1">
        <v>5</v>
      </c>
      <c r="G2713" s="12">
        <v>90</v>
      </c>
      <c r="H2713" s="13">
        <v>0</v>
      </c>
      <c r="I2713" s="12">
        <v>188000</v>
      </c>
      <c r="J2713" s="12">
        <v>150</v>
      </c>
      <c r="K2713" s="1">
        <v>1500</v>
      </c>
      <c r="L2713" s="12">
        <v>47500</v>
      </c>
      <c r="M2713" s="12" t="s">
        <v>2378</v>
      </c>
      <c r="N2713" s="12" t="str">
        <f t="shared" si="103"/>
        <v>2026,2417</v>
      </c>
      <c r="O2713" s="12">
        <v>0</v>
      </c>
      <c r="P2713" s="12" t="s">
        <v>2059</v>
      </c>
      <c r="Q2713" s="7" t="str">
        <f t="shared" si="100"/>
        <v>equipment/14015.png</v>
      </c>
      <c r="R2713" s="1">
        <v>1</v>
      </c>
    </row>
    <row r="2714" spans="1:18" s="12" customFormat="1" ht="14.25" thickBot="1">
      <c r="A2714" s="12">
        <f t="shared" si="101"/>
        <v>50900035</v>
      </c>
      <c r="B2714" s="2">
        <v>0</v>
      </c>
      <c r="C2714" s="12" t="str">
        <f t="shared" si="102"/>
        <v>丰饶腰带</v>
      </c>
      <c r="D2714" s="12" t="s">
        <v>10</v>
      </c>
      <c r="E2714" s="12">
        <v>3</v>
      </c>
      <c r="F2714" s="1">
        <v>5</v>
      </c>
      <c r="G2714" s="12">
        <v>90</v>
      </c>
      <c r="H2714" s="13">
        <v>0</v>
      </c>
      <c r="I2714" s="12">
        <v>188000</v>
      </c>
      <c r="J2714" s="12">
        <v>150</v>
      </c>
      <c r="K2714" s="1">
        <v>1500</v>
      </c>
      <c r="L2714" s="12">
        <v>47500</v>
      </c>
      <c r="M2714" s="12" t="s">
        <v>2379</v>
      </c>
      <c r="N2714" s="12" t="str">
        <f t="shared" si="103"/>
        <v>2026,2417</v>
      </c>
      <c r="O2714" s="12">
        <v>0</v>
      </c>
      <c r="P2714" s="12" t="s">
        <v>2059</v>
      </c>
      <c r="Q2714" s="7" t="str">
        <f t="shared" si="100"/>
        <v>equipment/6016.png</v>
      </c>
      <c r="R2714" s="1">
        <v>1</v>
      </c>
    </row>
    <row r="2715" spans="1:18" s="12" customFormat="1" ht="14.25" thickBot="1">
      <c r="A2715" s="12">
        <f t="shared" si="101"/>
        <v>50900085</v>
      </c>
      <c r="B2715" s="2">
        <v>0</v>
      </c>
      <c r="C2715" s="12" t="str">
        <f t="shared" si="102"/>
        <v>秩序战靴</v>
      </c>
      <c r="D2715" s="12" t="s">
        <v>15</v>
      </c>
      <c r="E2715" s="12">
        <v>8</v>
      </c>
      <c r="F2715" s="1">
        <v>5</v>
      </c>
      <c r="G2715" s="12">
        <v>90</v>
      </c>
      <c r="H2715" s="13">
        <v>0</v>
      </c>
      <c r="I2715" s="12">
        <v>188000</v>
      </c>
      <c r="J2715" s="12">
        <v>150</v>
      </c>
      <c r="K2715" s="1">
        <v>1500</v>
      </c>
      <c r="L2715" s="12">
        <v>47500</v>
      </c>
      <c r="M2715" s="12" t="s">
        <v>2380</v>
      </c>
      <c r="N2715" s="12" t="str">
        <f t="shared" si="103"/>
        <v>2026,2417</v>
      </c>
      <c r="O2715" s="12">
        <v>0</v>
      </c>
      <c r="P2715" s="12" t="s">
        <v>2059</v>
      </c>
      <c r="Q2715" s="7" t="str">
        <f t="shared" si="100"/>
        <v>equipment/8017.png</v>
      </c>
      <c r="R2715" s="1">
        <v>1</v>
      </c>
    </row>
    <row r="2716" spans="1:18" s="12" customFormat="1" ht="14.25" thickBot="1">
      <c r="A2716" s="12">
        <f t="shared" si="101"/>
        <v>50900095</v>
      </c>
      <c r="B2716" s="2">
        <v>0</v>
      </c>
      <c r="C2716" s="12" t="str">
        <f t="shared" si="102"/>
        <v>超载护手</v>
      </c>
      <c r="D2716" s="12" t="s">
        <v>16</v>
      </c>
      <c r="E2716" s="12">
        <v>9</v>
      </c>
      <c r="F2716" s="1">
        <v>5</v>
      </c>
      <c r="G2716" s="12">
        <v>90</v>
      </c>
      <c r="H2716" s="13">
        <v>0</v>
      </c>
      <c r="I2716" s="12">
        <v>188000</v>
      </c>
      <c r="J2716" s="12">
        <v>150</v>
      </c>
      <c r="K2716" s="1">
        <v>1500</v>
      </c>
      <c r="L2716" s="12">
        <v>47500</v>
      </c>
      <c r="M2716" s="12" t="s">
        <v>2381</v>
      </c>
      <c r="N2716" s="12" t="str">
        <f t="shared" si="103"/>
        <v>2026,2417</v>
      </c>
      <c r="O2716" s="12">
        <v>0</v>
      </c>
      <c r="P2716" s="12" t="s">
        <v>2059</v>
      </c>
      <c r="Q2716" s="7" t="str">
        <f t="shared" si="100"/>
        <v>equipment/10017.png</v>
      </c>
      <c r="R2716" s="1">
        <v>1</v>
      </c>
    </row>
    <row r="2717" spans="1:18" s="12" customFormat="1" ht="14.25" thickBot="1">
      <c r="A2717" s="12">
        <f t="shared" si="101"/>
        <v>50900105</v>
      </c>
      <c r="B2717" s="2">
        <v>0</v>
      </c>
      <c r="C2717" s="12" t="str">
        <f t="shared" si="102"/>
        <v>寒霜之心</v>
      </c>
      <c r="D2717" s="12" t="s">
        <v>17</v>
      </c>
      <c r="E2717" s="12">
        <v>10</v>
      </c>
      <c r="F2717" s="1">
        <v>5</v>
      </c>
      <c r="G2717" s="12">
        <v>90</v>
      </c>
      <c r="H2717" s="13">
        <v>0</v>
      </c>
      <c r="I2717" s="12">
        <v>188000</v>
      </c>
      <c r="J2717" s="12">
        <v>150</v>
      </c>
      <c r="K2717" s="1">
        <v>1500</v>
      </c>
      <c r="L2717" s="12">
        <v>47500</v>
      </c>
      <c r="M2717" s="12" t="s">
        <v>2382</v>
      </c>
      <c r="N2717" s="12" t="str">
        <f t="shared" si="103"/>
        <v>2026,2417</v>
      </c>
      <c r="O2717" s="12">
        <v>0</v>
      </c>
      <c r="P2717" s="12" t="s">
        <v>2059</v>
      </c>
      <c r="Q2717" s="7" t="str">
        <f t="shared" si="100"/>
        <v>equipment/12017.png</v>
      </c>
      <c r="R2717" s="1">
        <v>1</v>
      </c>
    </row>
    <row r="2718" spans="1:18" s="12" customFormat="1" ht="14.25" thickBot="1">
      <c r="A2718" s="12">
        <f t="shared" si="101"/>
        <v>50901055</v>
      </c>
      <c r="B2718" s="2">
        <v>0</v>
      </c>
      <c r="C2718" s="12" t="str">
        <f t="shared" si="102"/>
        <v>湮灭之剑</v>
      </c>
      <c r="D2718" s="12" t="s">
        <v>12</v>
      </c>
      <c r="E2718" s="12">
        <v>5</v>
      </c>
      <c r="F2718" s="1">
        <v>5</v>
      </c>
      <c r="G2718" s="12">
        <v>90</v>
      </c>
      <c r="H2718" s="13" t="s">
        <v>2120</v>
      </c>
      <c r="I2718" s="12">
        <v>188000</v>
      </c>
      <c r="J2718" s="12">
        <v>150</v>
      </c>
      <c r="K2718" s="1">
        <v>1500</v>
      </c>
      <c r="L2718" s="12">
        <v>47500</v>
      </c>
      <c r="M2718" s="12" t="s">
        <v>2809</v>
      </c>
      <c r="N2718" s="12" t="str">
        <f t="shared" si="103"/>
        <v>2863,3416</v>
      </c>
      <c r="O2718" s="12">
        <v>0</v>
      </c>
      <c r="P2718" s="12" t="s">
        <v>2059</v>
      </c>
      <c r="Q2718" s="7" t="str">
        <f t="shared" si="100"/>
        <v>equipment/101101.png</v>
      </c>
      <c r="R2718" s="1">
        <v>1</v>
      </c>
    </row>
    <row r="2719" spans="1:18" s="12" customFormat="1" ht="14.25" thickBot="1">
      <c r="A2719" s="12">
        <f t="shared" si="101"/>
        <v>50901056</v>
      </c>
      <c r="B2719" s="2">
        <v>0</v>
      </c>
      <c r="C2719" s="12" t="str">
        <f t="shared" si="102"/>
        <v>封印之剑</v>
      </c>
      <c r="D2719" s="12" t="s">
        <v>12</v>
      </c>
      <c r="E2719" s="12">
        <v>5</v>
      </c>
      <c r="F2719" s="1">
        <v>5</v>
      </c>
      <c r="G2719" s="12">
        <v>90</v>
      </c>
      <c r="H2719" s="13" t="s">
        <v>2120</v>
      </c>
      <c r="I2719" s="12">
        <v>194000</v>
      </c>
      <c r="J2719" s="12">
        <v>150</v>
      </c>
      <c r="K2719" s="1">
        <v>1500</v>
      </c>
      <c r="L2719" s="12">
        <v>50000</v>
      </c>
      <c r="M2719" s="12" t="s">
        <v>2810</v>
      </c>
      <c r="N2719" s="12" t="str">
        <f t="shared" si="103"/>
        <v>2863,3416</v>
      </c>
      <c r="O2719" s="12">
        <v>0</v>
      </c>
      <c r="P2719" s="12" t="s">
        <v>2059</v>
      </c>
      <c r="Q2719" s="7" t="str">
        <f t="shared" si="100"/>
        <v>equipment/1131.png</v>
      </c>
      <c r="R2719" s="1">
        <v>1</v>
      </c>
    </row>
    <row r="2720" spans="1:18" s="12" customFormat="1" ht="14.25" thickBot="1">
      <c r="A2720" s="12">
        <f t="shared" si="101"/>
        <v>50901065</v>
      </c>
      <c r="B2720" s="2">
        <v>0</v>
      </c>
      <c r="C2720" s="12" t="str">
        <f t="shared" ref="C2720:C2774" si="104">C2258</f>
        <v>灾祸之盾</v>
      </c>
      <c r="D2720" s="12" t="s">
        <v>13</v>
      </c>
      <c r="E2720" s="12">
        <v>6</v>
      </c>
      <c r="F2720" s="1">
        <v>5</v>
      </c>
      <c r="G2720" s="12">
        <v>90</v>
      </c>
      <c r="H2720" s="13" t="s">
        <v>2120</v>
      </c>
      <c r="I2720" s="12">
        <v>188000</v>
      </c>
      <c r="J2720" s="12">
        <v>150</v>
      </c>
      <c r="K2720" s="1">
        <v>1500</v>
      </c>
      <c r="L2720" s="12">
        <v>47500</v>
      </c>
      <c r="M2720" s="12" t="s">
        <v>2383</v>
      </c>
      <c r="N2720" s="12" t="str">
        <f t="shared" si="103"/>
        <v>2863,3416</v>
      </c>
      <c r="O2720" s="12">
        <v>0</v>
      </c>
      <c r="P2720" s="12" t="s">
        <v>2059</v>
      </c>
      <c r="Q2720" s="7" t="str">
        <f t="shared" si="100"/>
        <v>equipment/2125.png</v>
      </c>
      <c r="R2720" s="1">
        <v>1</v>
      </c>
    </row>
    <row r="2721" spans="1:18" s="12" customFormat="1" ht="14.25" thickBot="1">
      <c r="A2721" s="12">
        <f t="shared" si="101"/>
        <v>50901066</v>
      </c>
      <c r="B2721" s="2">
        <v>0</v>
      </c>
      <c r="C2721" s="12" t="str">
        <f t="shared" si="104"/>
        <v>堕神之盾</v>
      </c>
      <c r="D2721" s="12" t="s">
        <v>13</v>
      </c>
      <c r="E2721" s="12">
        <v>6</v>
      </c>
      <c r="F2721" s="1">
        <v>5</v>
      </c>
      <c r="G2721" s="12">
        <v>90</v>
      </c>
      <c r="H2721" s="13" t="s">
        <v>2120</v>
      </c>
      <c r="I2721" s="12">
        <v>194000</v>
      </c>
      <c r="J2721" s="12">
        <v>150</v>
      </c>
      <c r="K2721" s="1">
        <v>1500</v>
      </c>
      <c r="L2721" s="12">
        <v>50000</v>
      </c>
      <c r="M2721" s="12" t="s">
        <v>2384</v>
      </c>
      <c r="N2721" s="12" t="str">
        <f t="shared" si="103"/>
        <v>2863,3416</v>
      </c>
      <c r="O2721" s="12">
        <v>0</v>
      </c>
      <c r="P2721" s="12" t="s">
        <v>2059</v>
      </c>
      <c r="Q2721" s="7" t="str">
        <f t="shared" si="100"/>
        <v>equipment/102101.png</v>
      </c>
      <c r="R2721" s="1">
        <v>1</v>
      </c>
    </row>
    <row r="2722" spans="1:18" s="12" customFormat="1" ht="14.25" thickBot="1">
      <c r="A2722" s="12">
        <f t="shared" si="101"/>
        <v>50902055</v>
      </c>
      <c r="B2722" s="2">
        <v>0</v>
      </c>
      <c r="C2722" s="12" t="str">
        <f t="shared" si="104"/>
        <v>破晓之弓</v>
      </c>
      <c r="D2722" s="12" t="s">
        <v>12</v>
      </c>
      <c r="E2722" s="12">
        <v>5</v>
      </c>
      <c r="F2722" s="1">
        <v>5</v>
      </c>
      <c r="G2722" s="12">
        <v>90</v>
      </c>
      <c r="H2722" s="13" t="s">
        <v>2121</v>
      </c>
      <c r="I2722" s="12">
        <v>188000</v>
      </c>
      <c r="J2722" s="12">
        <v>150</v>
      </c>
      <c r="K2722" s="1">
        <v>1500</v>
      </c>
      <c r="L2722" s="12">
        <v>47500</v>
      </c>
      <c r="M2722" s="12" t="s">
        <v>2809</v>
      </c>
      <c r="N2722" s="12" t="str">
        <f t="shared" si="103"/>
        <v>2863,3416</v>
      </c>
      <c r="O2722" s="12">
        <v>0</v>
      </c>
      <c r="P2722" s="12" t="s">
        <v>2059</v>
      </c>
      <c r="Q2722" s="7" t="str">
        <f t="shared" si="100"/>
        <v>equipment/1231.png</v>
      </c>
      <c r="R2722" s="1">
        <v>1</v>
      </c>
    </row>
    <row r="2723" spans="1:18" s="12" customFormat="1" ht="14.25" thickBot="1">
      <c r="A2723" s="12">
        <f t="shared" si="101"/>
        <v>50902056</v>
      </c>
      <c r="B2723" s="2">
        <v>0</v>
      </c>
      <c r="C2723" s="12" t="str">
        <f t="shared" si="104"/>
        <v>彗星之击</v>
      </c>
      <c r="D2723" s="12" t="s">
        <v>12</v>
      </c>
      <c r="E2723" s="12">
        <v>5</v>
      </c>
      <c r="F2723" s="1">
        <v>5</v>
      </c>
      <c r="G2723" s="12">
        <v>90</v>
      </c>
      <c r="H2723" s="13" t="s">
        <v>2121</v>
      </c>
      <c r="I2723" s="12">
        <v>194000</v>
      </c>
      <c r="J2723" s="12">
        <v>150</v>
      </c>
      <c r="K2723" s="1">
        <v>1500</v>
      </c>
      <c r="L2723" s="12">
        <v>50000</v>
      </c>
      <c r="M2723" s="12" t="s">
        <v>2810</v>
      </c>
      <c r="N2723" s="12" t="str">
        <f t="shared" si="103"/>
        <v>2863,3416</v>
      </c>
      <c r="O2723" s="12">
        <v>0</v>
      </c>
      <c r="P2723" s="12" t="s">
        <v>2059</v>
      </c>
      <c r="Q2723" s="7" t="str">
        <f t="shared" si="100"/>
        <v>equipment/101201.png</v>
      </c>
      <c r="R2723" s="1">
        <v>1</v>
      </c>
    </row>
    <row r="2724" spans="1:18" s="12" customFormat="1" ht="14.25" thickBot="1">
      <c r="A2724" s="12">
        <f t="shared" si="101"/>
        <v>50902065</v>
      </c>
      <c r="B2724" s="2">
        <v>0</v>
      </c>
      <c r="C2724" s="12" t="str">
        <f t="shared" si="104"/>
        <v>灵痕箭袋</v>
      </c>
      <c r="D2724" s="12" t="s">
        <v>13</v>
      </c>
      <c r="E2724" s="12">
        <v>6</v>
      </c>
      <c r="F2724" s="1">
        <v>5</v>
      </c>
      <c r="G2724" s="12">
        <v>90</v>
      </c>
      <c r="H2724" s="13" t="s">
        <v>2121</v>
      </c>
      <c r="I2724" s="12">
        <v>188000</v>
      </c>
      <c r="J2724" s="12">
        <v>150</v>
      </c>
      <c r="K2724" s="1">
        <v>1500</v>
      </c>
      <c r="L2724" s="12">
        <v>47500</v>
      </c>
      <c r="M2724" s="12" t="s">
        <v>2385</v>
      </c>
      <c r="N2724" s="12" t="str">
        <f t="shared" si="103"/>
        <v>2863,3416</v>
      </c>
      <c r="O2724" s="12">
        <v>0</v>
      </c>
      <c r="P2724" s="12" t="s">
        <v>2059</v>
      </c>
      <c r="Q2724" s="7" t="str">
        <f t="shared" si="100"/>
        <v>equipment/2225.png</v>
      </c>
      <c r="R2724" s="1">
        <v>1</v>
      </c>
    </row>
    <row r="2725" spans="1:18" s="12" customFormat="1" ht="14.25" thickBot="1">
      <c r="A2725" s="12">
        <f t="shared" si="101"/>
        <v>50902066</v>
      </c>
      <c r="B2725" s="2">
        <v>0</v>
      </c>
      <c r="C2725" s="12" t="str">
        <f t="shared" si="104"/>
        <v>星坠箭筒</v>
      </c>
      <c r="D2725" s="12" t="s">
        <v>13</v>
      </c>
      <c r="E2725" s="12">
        <v>6</v>
      </c>
      <c r="F2725" s="1">
        <v>5</v>
      </c>
      <c r="G2725" s="12">
        <v>90</v>
      </c>
      <c r="H2725" s="13" t="s">
        <v>2121</v>
      </c>
      <c r="I2725" s="12">
        <v>194000</v>
      </c>
      <c r="J2725" s="12">
        <v>150</v>
      </c>
      <c r="K2725" s="1">
        <v>1500</v>
      </c>
      <c r="L2725" s="12">
        <v>50000</v>
      </c>
      <c r="M2725" s="12" t="s">
        <v>2386</v>
      </c>
      <c r="N2725" s="12" t="str">
        <f t="shared" si="103"/>
        <v>2863,3416</v>
      </c>
      <c r="O2725" s="12">
        <v>0</v>
      </c>
      <c r="P2725" s="12" t="s">
        <v>2059</v>
      </c>
      <c r="Q2725" s="7" t="str">
        <f t="shared" si="100"/>
        <v>equipment/2217.png</v>
      </c>
      <c r="R2725" s="1">
        <v>1</v>
      </c>
    </row>
    <row r="2726" spans="1:18" s="12" customFormat="1" ht="14.25" thickBot="1">
      <c r="A2726" s="12">
        <f t="shared" si="101"/>
        <v>50903055</v>
      </c>
      <c r="B2726" s="2">
        <v>0</v>
      </c>
      <c r="C2726" s="12" t="str">
        <f t="shared" si="104"/>
        <v>观察者之杖</v>
      </c>
      <c r="D2726" s="12" t="s">
        <v>12</v>
      </c>
      <c r="E2726" s="12">
        <v>5</v>
      </c>
      <c r="F2726" s="1">
        <v>5</v>
      </c>
      <c r="G2726" s="12">
        <v>90</v>
      </c>
      <c r="H2726" s="13" t="s">
        <v>2122</v>
      </c>
      <c r="I2726" s="12">
        <v>188000</v>
      </c>
      <c r="J2726" s="12">
        <v>150</v>
      </c>
      <c r="K2726" s="1">
        <v>1500</v>
      </c>
      <c r="L2726" s="12">
        <v>47500</v>
      </c>
      <c r="M2726" s="12" t="s">
        <v>2809</v>
      </c>
      <c r="N2726" s="12" t="str">
        <f t="shared" si="103"/>
        <v>2863,3416</v>
      </c>
      <c r="O2726" s="12">
        <v>0</v>
      </c>
      <c r="P2726" s="12" t="s">
        <v>2059</v>
      </c>
      <c r="Q2726" s="7" t="str">
        <f t="shared" si="100"/>
        <v>equipment/1330.png</v>
      </c>
      <c r="R2726" s="1">
        <v>1</v>
      </c>
    </row>
    <row r="2727" spans="1:18" s="12" customFormat="1" ht="14.25" thickBot="1">
      <c r="A2727" s="12">
        <f t="shared" si="101"/>
        <v>50903056</v>
      </c>
      <c r="B2727" s="2">
        <v>0</v>
      </c>
      <c r="C2727" s="12" t="str">
        <f t="shared" si="104"/>
        <v>星辰权杖</v>
      </c>
      <c r="D2727" s="12" t="s">
        <v>12</v>
      </c>
      <c r="E2727" s="12">
        <v>5</v>
      </c>
      <c r="F2727" s="1">
        <v>5</v>
      </c>
      <c r="G2727" s="12">
        <v>90</v>
      </c>
      <c r="H2727" s="13" t="s">
        <v>2122</v>
      </c>
      <c r="I2727" s="12">
        <v>194000</v>
      </c>
      <c r="J2727" s="12">
        <v>150</v>
      </c>
      <c r="K2727" s="1">
        <v>1500</v>
      </c>
      <c r="L2727" s="12">
        <v>50000</v>
      </c>
      <c r="M2727" s="12" t="s">
        <v>2810</v>
      </c>
      <c r="N2727" s="12" t="str">
        <f t="shared" si="103"/>
        <v>2863,3416</v>
      </c>
      <c r="O2727" s="12">
        <v>0</v>
      </c>
      <c r="P2727" s="12" t="s">
        <v>2059</v>
      </c>
      <c r="Q2727" s="7" t="str">
        <f t="shared" si="100"/>
        <v>equipment/1328.png</v>
      </c>
      <c r="R2727" s="1">
        <v>1</v>
      </c>
    </row>
    <row r="2728" spans="1:18" s="12" customFormat="1" ht="14.25" thickBot="1">
      <c r="A2728" s="12">
        <f t="shared" si="101"/>
        <v>50903065</v>
      </c>
      <c r="B2728" s="2">
        <v>0</v>
      </c>
      <c r="C2728" s="12" t="str">
        <f t="shared" si="104"/>
        <v>云河指南</v>
      </c>
      <c r="D2728" s="12" t="s">
        <v>13</v>
      </c>
      <c r="E2728" s="12">
        <v>6</v>
      </c>
      <c r="F2728" s="1">
        <v>5</v>
      </c>
      <c r="G2728" s="12">
        <v>90</v>
      </c>
      <c r="H2728" s="13" t="s">
        <v>2122</v>
      </c>
      <c r="I2728" s="12">
        <v>188000</v>
      </c>
      <c r="J2728" s="12">
        <v>150</v>
      </c>
      <c r="K2728" s="1">
        <v>1500</v>
      </c>
      <c r="L2728" s="12">
        <v>47500</v>
      </c>
      <c r="M2728" s="12" t="s">
        <v>2387</v>
      </c>
      <c r="N2728" s="12" t="str">
        <f t="shared" si="103"/>
        <v>2863,3416</v>
      </c>
      <c r="O2728" s="12">
        <v>0</v>
      </c>
      <c r="P2728" s="12" t="s">
        <v>2059</v>
      </c>
      <c r="Q2728" s="7" t="str">
        <f t="shared" si="100"/>
        <v>equipment/2325.png</v>
      </c>
      <c r="R2728" s="1">
        <v>1</v>
      </c>
    </row>
    <row r="2729" spans="1:18" s="12" customFormat="1" ht="14.25" thickBot="1">
      <c r="A2729" s="12">
        <f t="shared" si="101"/>
        <v>50903066</v>
      </c>
      <c r="B2729" s="2">
        <v>0</v>
      </c>
      <c r="C2729" s="12" t="str">
        <f t="shared" si="104"/>
        <v>星界之书</v>
      </c>
      <c r="D2729" s="12" t="s">
        <v>13</v>
      </c>
      <c r="E2729" s="12">
        <v>6</v>
      </c>
      <c r="F2729" s="1">
        <v>5</v>
      </c>
      <c r="G2729" s="12">
        <v>90</v>
      </c>
      <c r="H2729" s="13" t="s">
        <v>2122</v>
      </c>
      <c r="I2729" s="12">
        <v>194000</v>
      </c>
      <c r="J2729" s="12">
        <v>150</v>
      </c>
      <c r="K2729" s="1">
        <v>1500</v>
      </c>
      <c r="L2729" s="12">
        <v>50000</v>
      </c>
      <c r="M2729" s="12" t="s">
        <v>2388</v>
      </c>
      <c r="N2729" s="12" t="str">
        <f t="shared" si="103"/>
        <v>2863,3416</v>
      </c>
      <c r="O2729" s="12">
        <v>0</v>
      </c>
      <c r="P2729" s="12" t="s">
        <v>2059</v>
      </c>
      <c r="Q2729" s="7" t="str">
        <f t="shared" si="100"/>
        <v>equipment/2324.png</v>
      </c>
      <c r="R2729" s="1">
        <v>1</v>
      </c>
    </row>
    <row r="2730" spans="1:18" s="12" customFormat="1" ht="14.25" thickBot="1">
      <c r="A2730" s="12">
        <f t="shared" si="101"/>
        <v>50900045</v>
      </c>
      <c r="B2730" s="2">
        <v>0</v>
      </c>
      <c r="C2730" s="12" t="str">
        <f t="shared" si="104"/>
        <v>坚毅胸甲</v>
      </c>
      <c r="D2730" s="12" t="s">
        <v>11</v>
      </c>
      <c r="E2730" s="12">
        <v>4</v>
      </c>
      <c r="F2730" s="1">
        <v>5</v>
      </c>
      <c r="G2730" s="12">
        <v>90</v>
      </c>
      <c r="H2730" s="13">
        <v>0</v>
      </c>
      <c r="I2730" s="12">
        <v>188000</v>
      </c>
      <c r="J2730" s="12">
        <v>150</v>
      </c>
      <c r="K2730" s="1">
        <v>1500</v>
      </c>
      <c r="L2730" s="12">
        <v>47500</v>
      </c>
      <c r="M2730" s="12" t="s">
        <v>2389</v>
      </c>
      <c r="N2730" s="12" t="str">
        <f t="shared" si="103"/>
        <v>2026,2417</v>
      </c>
      <c r="O2730" s="12">
        <v>0</v>
      </c>
      <c r="P2730" s="12" t="s">
        <v>2059</v>
      </c>
      <c r="Q2730" s="7" t="str">
        <f t="shared" si="100"/>
        <v>equipment/5024.png</v>
      </c>
      <c r="R2730" s="1">
        <v>1</v>
      </c>
    </row>
    <row r="2731" spans="1:18" s="12" customFormat="1" ht="14.25" thickBot="1">
      <c r="A2731" s="12">
        <f t="shared" si="101"/>
        <v>50900046</v>
      </c>
      <c r="B2731" s="2">
        <v>0</v>
      </c>
      <c r="C2731" s="12" t="str">
        <f t="shared" si="104"/>
        <v>群山之拥</v>
      </c>
      <c r="D2731" s="12" t="s">
        <v>11</v>
      </c>
      <c r="E2731" s="12">
        <v>4</v>
      </c>
      <c r="F2731" s="1">
        <v>5</v>
      </c>
      <c r="G2731" s="12">
        <v>90</v>
      </c>
      <c r="H2731" s="13">
        <v>0</v>
      </c>
      <c r="I2731" s="12">
        <v>194000</v>
      </c>
      <c r="J2731" s="12">
        <v>150</v>
      </c>
      <c r="K2731" s="1">
        <v>1500</v>
      </c>
      <c r="L2731" s="12">
        <v>50000</v>
      </c>
      <c r="M2731" s="12" t="s">
        <v>2390</v>
      </c>
      <c r="N2731" s="12" t="str">
        <f t="shared" si="103"/>
        <v>2026,2417</v>
      </c>
      <c r="O2731" s="12">
        <v>0</v>
      </c>
      <c r="P2731" s="12" t="s">
        <v>2059</v>
      </c>
      <c r="Q2731" s="7" t="str">
        <f t="shared" si="100"/>
        <v>equipment/5001.png</v>
      </c>
      <c r="R2731" s="1">
        <v>1</v>
      </c>
    </row>
    <row r="2732" spans="1:18" s="12" customFormat="1" ht="14.25" thickBot="1">
      <c r="A2732" s="12">
        <f t="shared" si="101"/>
        <v>50900075</v>
      </c>
      <c r="B2732" s="2">
        <v>0</v>
      </c>
      <c r="C2732" s="12" t="str">
        <f t="shared" si="104"/>
        <v>复苏护腿</v>
      </c>
      <c r="D2732" s="12" t="s">
        <v>14</v>
      </c>
      <c r="E2732" s="12">
        <v>7</v>
      </c>
      <c r="F2732" s="1">
        <v>5</v>
      </c>
      <c r="G2732" s="12">
        <v>90</v>
      </c>
      <c r="H2732" s="13">
        <v>0</v>
      </c>
      <c r="I2732" s="12">
        <v>188000</v>
      </c>
      <c r="J2732" s="12">
        <v>150</v>
      </c>
      <c r="K2732" s="1">
        <v>1500</v>
      </c>
      <c r="L2732" s="12">
        <v>47500</v>
      </c>
      <c r="M2732" s="12" t="s">
        <v>2389</v>
      </c>
      <c r="N2732" s="12" t="str">
        <f t="shared" si="103"/>
        <v>2026,2417</v>
      </c>
      <c r="O2732" s="12">
        <v>0</v>
      </c>
      <c r="P2732" s="12" t="s">
        <v>2059</v>
      </c>
      <c r="Q2732" s="7" t="str">
        <f t="shared" si="100"/>
        <v>equipment/7016.png</v>
      </c>
      <c r="R2732" s="1">
        <v>1</v>
      </c>
    </row>
    <row r="2733" spans="1:18" s="12" customFormat="1" ht="14.25" thickBot="1">
      <c r="A2733" s="12">
        <f t="shared" si="101"/>
        <v>50900076</v>
      </c>
      <c r="B2733" s="2">
        <v>0</v>
      </c>
      <c r="C2733" s="12" t="str">
        <f t="shared" si="104"/>
        <v>虔信腿甲</v>
      </c>
      <c r="D2733" s="12" t="s">
        <v>14</v>
      </c>
      <c r="E2733" s="12">
        <v>7</v>
      </c>
      <c r="F2733" s="1">
        <v>5</v>
      </c>
      <c r="G2733" s="12">
        <v>90</v>
      </c>
      <c r="H2733" s="13">
        <v>0</v>
      </c>
      <c r="I2733" s="12">
        <v>194000</v>
      </c>
      <c r="J2733" s="12">
        <v>150</v>
      </c>
      <c r="K2733" s="1">
        <v>1500</v>
      </c>
      <c r="L2733" s="12">
        <v>50000</v>
      </c>
      <c r="M2733" s="12" t="s">
        <v>2390</v>
      </c>
      <c r="N2733" s="12" t="str">
        <f t="shared" si="103"/>
        <v>2026,2417</v>
      </c>
      <c r="O2733" s="12">
        <v>0</v>
      </c>
      <c r="P2733" s="12" t="s">
        <v>2059</v>
      </c>
      <c r="Q2733" s="7" t="str">
        <f t="shared" si="100"/>
        <v>equipment/7001.png</v>
      </c>
      <c r="R2733" s="1">
        <v>1</v>
      </c>
    </row>
    <row r="2734" spans="1:18" s="12" customFormat="1" ht="14.25" thickBot="1">
      <c r="A2734" s="12">
        <f t="shared" si="101"/>
        <v>50950015</v>
      </c>
      <c r="B2734" s="2">
        <v>0</v>
      </c>
      <c r="C2734" s="12" t="str">
        <f t="shared" si="104"/>
        <v>魂铸头盔</v>
      </c>
      <c r="D2734" s="12" t="s">
        <v>8</v>
      </c>
      <c r="E2734" s="12">
        <v>1</v>
      </c>
      <c r="F2734" s="1">
        <v>5</v>
      </c>
      <c r="G2734" s="12">
        <v>95</v>
      </c>
      <c r="H2734" s="13">
        <v>0</v>
      </c>
      <c r="I2734" s="12">
        <v>200000</v>
      </c>
      <c r="J2734" s="12">
        <v>150</v>
      </c>
      <c r="K2734" s="1">
        <v>1500</v>
      </c>
      <c r="L2734" s="12">
        <v>50000</v>
      </c>
      <c r="M2734" s="12" t="s">
        <v>2391</v>
      </c>
      <c r="N2734" s="12" t="str">
        <f t="shared" si="103"/>
        <v>2229,2660</v>
      </c>
      <c r="O2734" s="12">
        <v>0</v>
      </c>
      <c r="P2734" s="12" t="s">
        <v>2059</v>
      </c>
      <c r="Q2734" s="7" t="str">
        <f t="shared" si="100"/>
        <v>equipment/3001.png</v>
      </c>
      <c r="R2734" s="1">
        <v>1</v>
      </c>
    </row>
    <row r="2735" spans="1:18" s="12" customFormat="1" ht="14.25" thickBot="1">
      <c r="A2735" s="12">
        <f t="shared" si="101"/>
        <v>50950025</v>
      </c>
      <c r="B2735" s="2">
        <v>0</v>
      </c>
      <c r="C2735" s="12" t="str">
        <f t="shared" si="104"/>
        <v>云霄之环</v>
      </c>
      <c r="D2735" s="12" t="s">
        <v>9</v>
      </c>
      <c r="E2735" s="12">
        <v>2</v>
      </c>
      <c r="F2735" s="1">
        <v>5</v>
      </c>
      <c r="G2735" s="12">
        <v>95</v>
      </c>
      <c r="H2735" s="13">
        <v>0</v>
      </c>
      <c r="I2735" s="12">
        <v>200000</v>
      </c>
      <c r="J2735" s="12">
        <v>150</v>
      </c>
      <c r="K2735" s="1">
        <v>1500</v>
      </c>
      <c r="L2735" s="12">
        <v>50000</v>
      </c>
      <c r="M2735" s="12" t="s">
        <v>2392</v>
      </c>
      <c r="N2735" s="12" t="str">
        <f t="shared" si="103"/>
        <v>2229,2660</v>
      </c>
      <c r="O2735" s="12">
        <v>0</v>
      </c>
      <c r="P2735" s="12" t="s">
        <v>2059</v>
      </c>
      <c r="Q2735" s="7" t="str">
        <f t="shared" si="100"/>
        <v>equipment/14001.png</v>
      </c>
      <c r="R2735" s="1">
        <v>1</v>
      </c>
    </row>
    <row r="2736" spans="1:18" s="12" customFormat="1" ht="14.25" thickBot="1">
      <c r="A2736" s="12">
        <f t="shared" si="101"/>
        <v>50950035</v>
      </c>
      <c r="B2736" s="2">
        <v>0</v>
      </c>
      <c r="C2736" s="12" t="str">
        <f t="shared" si="104"/>
        <v>破天者腰带</v>
      </c>
      <c r="D2736" s="12" t="s">
        <v>10</v>
      </c>
      <c r="E2736" s="12">
        <v>3</v>
      </c>
      <c r="F2736" s="1">
        <v>5</v>
      </c>
      <c r="G2736" s="12">
        <v>95</v>
      </c>
      <c r="H2736" s="13">
        <v>0</v>
      </c>
      <c r="I2736" s="12">
        <v>200000</v>
      </c>
      <c r="J2736" s="12">
        <v>150</v>
      </c>
      <c r="K2736" s="1">
        <v>1500</v>
      </c>
      <c r="L2736" s="12">
        <v>50000</v>
      </c>
      <c r="M2736" s="12" t="s">
        <v>2393</v>
      </c>
      <c r="N2736" s="12" t="str">
        <f t="shared" si="103"/>
        <v>2229,2660</v>
      </c>
      <c r="O2736" s="12">
        <v>0</v>
      </c>
      <c r="P2736" s="12" t="s">
        <v>2059</v>
      </c>
      <c r="Q2736" s="7" t="str">
        <f t="shared" si="100"/>
        <v>equipment/6001.png</v>
      </c>
      <c r="R2736" s="1">
        <v>1</v>
      </c>
    </row>
    <row r="2737" spans="1:18" s="12" customFormat="1" ht="14.25" thickBot="1">
      <c r="A2737" s="12">
        <f t="shared" si="101"/>
        <v>50950085</v>
      </c>
      <c r="B2737" s="2">
        <v>0</v>
      </c>
      <c r="C2737" s="12" t="str">
        <f t="shared" si="104"/>
        <v>圣洁怒火之靴</v>
      </c>
      <c r="D2737" s="12" t="s">
        <v>15</v>
      </c>
      <c r="E2737" s="12">
        <v>8</v>
      </c>
      <c r="F2737" s="1">
        <v>5</v>
      </c>
      <c r="G2737" s="12">
        <v>95</v>
      </c>
      <c r="H2737" s="13">
        <v>0</v>
      </c>
      <c r="I2737" s="12">
        <v>200000</v>
      </c>
      <c r="J2737" s="12">
        <v>150</v>
      </c>
      <c r="K2737" s="1">
        <v>1500</v>
      </c>
      <c r="L2737" s="12">
        <v>50000</v>
      </c>
      <c r="M2737" s="12" t="s">
        <v>2394</v>
      </c>
      <c r="N2737" s="12" t="str">
        <f t="shared" si="103"/>
        <v>2229,2660</v>
      </c>
      <c r="O2737" s="12">
        <v>0</v>
      </c>
      <c r="P2737" s="12" t="s">
        <v>2059</v>
      </c>
      <c r="Q2737" s="7" t="str">
        <f t="shared" si="100"/>
        <v>equipment/8001.png</v>
      </c>
      <c r="R2737" s="1">
        <v>1</v>
      </c>
    </row>
    <row r="2738" spans="1:18" s="12" customFormat="1" ht="14.25" thickBot="1">
      <c r="A2738" s="12">
        <f t="shared" si="101"/>
        <v>50950095</v>
      </c>
      <c r="B2738" s="2">
        <v>0</v>
      </c>
      <c r="C2738" s="12" t="str">
        <f t="shared" si="104"/>
        <v>破灭之手</v>
      </c>
      <c r="D2738" s="12" t="s">
        <v>16</v>
      </c>
      <c r="E2738" s="12">
        <v>9</v>
      </c>
      <c r="F2738" s="1">
        <v>5</v>
      </c>
      <c r="G2738" s="12">
        <v>95</v>
      </c>
      <c r="H2738" s="13">
        <v>0</v>
      </c>
      <c r="I2738" s="12">
        <v>200000</v>
      </c>
      <c r="J2738" s="12">
        <v>150</v>
      </c>
      <c r="K2738" s="1">
        <v>1500</v>
      </c>
      <c r="L2738" s="12">
        <v>50000</v>
      </c>
      <c r="M2738" s="12" t="s">
        <v>2395</v>
      </c>
      <c r="N2738" s="12" t="str">
        <f t="shared" si="103"/>
        <v>2229,2660</v>
      </c>
      <c r="O2738" s="12">
        <v>0</v>
      </c>
      <c r="P2738" s="12" t="s">
        <v>2059</v>
      </c>
      <c r="Q2738" s="7" t="str">
        <f t="shared" si="100"/>
        <v>equipment/10001.png</v>
      </c>
      <c r="R2738" s="1">
        <v>1</v>
      </c>
    </row>
    <row r="2739" spans="1:18" s="12" customFormat="1" ht="14.25" thickBot="1">
      <c r="A2739" s="12">
        <f t="shared" si="101"/>
        <v>50950105</v>
      </c>
      <c r="B2739" s="2">
        <v>0</v>
      </c>
      <c r="C2739" s="12" t="str">
        <f t="shared" si="104"/>
        <v>圣灵之佑</v>
      </c>
      <c r="D2739" s="12" t="s">
        <v>17</v>
      </c>
      <c r="E2739" s="12">
        <v>10</v>
      </c>
      <c r="F2739" s="1">
        <v>5</v>
      </c>
      <c r="G2739" s="12">
        <v>95</v>
      </c>
      <c r="H2739" s="13">
        <v>0</v>
      </c>
      <c r="I2739" s="12">
        <v>200000</v>
      </c>
      <c r="J2739" s="12">
        <v>150</v>
      </c>
      <c r="K2739" s="1">
        <v>1500</v>
      </c>
      <c r="L2739" s="12">
        <v>50000</v>
      </c>
      <c r="M2739" s="12" t="s">
        <v>2396</v>
      </c>
      <c r="N2739" s="12" t="str">
        <f t="shared" si="103"/>
        <v>2229,2660</v>
      </c>
      <c r="O2739" s="12">
        <v>0</v>
      </c>
      <c r="P2739" s="12" t="s">
        <v>2059</v>
      </c>
      <c r="Q2739" s="7" t="str">
        <f t="shared" si="100"/>
        <v>equipment/12001.png</v>
      </c>
      <c r="R2739" s="1">
        <v>1</v>
      </c>
    </row>
    <row r="2740" spans="1:18" s="12" customFormat="1" ht="14.25" thickBot="1">
      <c r="A2740" s="12">
        <f t="shared" si="101"/>
        <v>50951055</v>
      </c>
      <c r="B2740" s="2">
        <v>0</v>
      </c>
      <c r="C2740" s="12" t="str">
        <f t="shared" si="104"/>
        <v>云颠之剑</v>
      </c>
      <c r="D2740" s="12" t="s">
        <v>12</v>
      </c>
      <c r="E2740" s="12">
        <v>5</v>
      </c>
      <c r="F2740" s="1">
        <v>5</v>
      </c>
      <c r="G2740" s="12">
        <v>95</v>
      </c>
      <c r="H2740" s="13" t="s">
        <v>2120</v>
      </c>
      <c r="I2740" s="12">
        <v>200000</v>
      </c>
      <c r="J2740" s="12">
        <v>150</v>
      </c>
      <c r="K2740" s="1">
        <v>1500</v>
      </c>
      <c r="L2740" s="12">
        <v>50000</v>
      </c>
      <c r="M2740" s="12" t="s">
        <v>2811</v>
      </c>
      <c r="N2740" s="12" t="str">
        <f t="shared" si="103"/>
        <v>3151,3760</v>
      </c>
      <c r="O2740" s="12">
        <v>0</v>
      </c>
      <c r="P2740" s="12" t="s">
        <v>2059</v>
      </c>
      <c r="Q2740" s="7" t="str">
        <f t="shared" si="100"/>
        <v>equipment/1124.png</v>
      </c>
      <c r="R2740" s="1">
        <v>1</v>
      </c>
    </row>
    <row r="2741" spans="1:18" s="12" customFormat="1" ht="14.25" thickBot="1">
      <c r="A2741" s="12">
        <f t="shared" si="101"/>
        <v>50951056</v>
      </c>
      <c r="B2741" s="2">
        <v>0</v>
      </c>
      <c r="C2741" s="12" t="str">
        <f t="shared" si="104"/>
        <v>血色黎明</v>
      </c>
      <c r="D2741" s="12" t="s">
        <v>12</v>
      </c>
      <c r="E2741" s="12">
        <v>5</v>
      </c>
      <c r="F2741" s="1">
        <v>5</v>
      </c>
      <c r="G2741" s="12">
        <v>95</v>
      </c>
      <c r="H2741" s="13" t="s">
        <v>2120</v>
      </c>
      <c r="I2741" s="12">
        <v>206000</v>
      </c>
      <c r="J2741" s="12">
        <v>150</v>
      </c>
      <c r="K2741" s="1">
        <v>1500</v>
      </c>
      <c r="L2741" s="12">
        <v>52500</v>
      </c>
      <c r="M2741" s="12" t="s">
        <v>2812</v>
      </c>
      <c r="N2741" s="12" t="str">
        <f t="shared" si="103"/>
        <v>3151,3760</v>
      </c>
      <c r="O2741" s="12">
        <v>0</v>
      </c>
      <c r="P2741" s="12" t="s">
        <v>2059</v>
      </c>
      <c r="Q2741" s="7" t="str">
        <f t="shared" si="100"/>
        <v>equipment/1101.png</v>
      </c>
      <c r="R2741" s="1">
        <v>1</v>
      </c>
    </row>
    <row r="2742" spans="1:18" s="12" customFormat="1" ht="14.25" thickBot="1">
      <c r="A2742" s="12">
        <f t="shared" si="101"/>
        <v>50951065</v>
      </c>
      <c r="B2742" s="2">
        <v>0</v>
      </c>
      <c r="C2742" s="12" t="str">
        <f t="shared" si="104"/>
        <v>荣耀壁垒</v>
      </c>
      <c r="D2742" s="12" t="s">
        <v>13</v>
      </c>
      <c r="E2742" s="12">
        <v>6</v>
      </c>
      <c r="F2742" s="1">
        <v>5</v>
      </c>
      <c r="G2742" s="12">
        <v>95</v>
      </c>
      <c r="H2742" s="13" t="s">
        <v>2120</v>
      </c>
      <c r="I2742" s="12">
        <v>200000</v>
      </c>
      <c r="J2742" s="12">
        <v>150</v>
      </c>
      <c r="K2742" s="1">
        <v>1500</v>
      </c>
      <c r="L2742" s="12">
        <v>50000</v>
      </c>
      <c r="M2742" s="12" t="s">
        <v>2397</v>
      </c>
      <c r="N2742" s="12" t="str">
        <f t="shared" si="103"/>
        <v>3151,3760</v>
      </c>
      <c r="O2742" s="12">
        <v>0</v>
      </c>
      <c r="P2742" s="12" t="s">
        <v>2059</v>
      </c>
      <c r="Q2742" s="7" t="str">
        <f t="shared" si="100"/>
        <v>equipment/2118.png</v>
      </c>
      <c r="R2742" s="1">
        <v>1</v>
      </c>
    </row>
    <row r="2743" spans="1:18" s="12" customFormat="1" ht="14.25" thickBot="1">
      <c r="A2743" s="12">
        <f t="shared" si="101"/>
        <v>50951066</v>
      </c>
      <c r="B2743" s="2">
        <v>0</v>
      </c>
      <c r="C2743" s="12" t="str">
        <f t="shared" si="104"/>
        <v>曙光之盾</v>
      </c>
      <c r="D2743" s="12" t="s">
        <v>13</v>
      </c>
      <c r="E2743" s="12">
        <v>6</v>
      </c>
      <c r="F2743" s="1">
        <v>5</v>
      </c>
      <c r="G2743" s="12">
        <v>95</v>
      </c>
      <c r="H2743" s="13" t="s">
        <v>2120</v>
      </c>
      <c r="I2743" s="12">
        <v>206000</v>
      </c>
      <c r="J2743" s="12">
        <v>150</v>
      </c>
      <c r="K2743" s="1">
        <v>1500</v>
      </c>
      <c r="L2743" s="12">
        <v>52500</v>
      </c>
      <c r="M2743" s="12" t="s">
        <v>2398</v>
      </c>
      <c r="N2743" s="12" t="str">
        <f t="shared" si="103"/>
        <v>3151,3760</v>
      </c>
      <c r="O2743" s="12">
        <v>0</v>
      </c>
      <c r="P2743" s="12" t="s">
        <v>2059</v>
      </c>
      <c r="Q2743" s="7" t="str">
        <f t="shared" si="100"/>
        <v>equipment/2101.png</v>
      </c>
      <c r="R2743" s="1">
        <v>1</v>
      </c>
    </row>
    <row r="2744" spans="1:18" s="12" customFormat="1" ht="14.25" thickBot="1">
      <c r="A2744" s="12">
        <f t="shared" si="101"/>
        <v>50952055</v>
      </c>
      <c r="B2744" s="2">
        <v>0</v>
      </c>
      <c r="C2744" s="12" t="str">
        <f t="shared" si="104"/>
        <v>灵魂之弦</v>
      </c>
      <c r="D2744" s="12" t="s">
        <v>12</v>
      </c>
      <c r="E2744" s="12">
        <v>5</v>
      </c>
      <c r="F2744" s="1">
        <v>5</v>
      </c>
      <c r="G2744" s="12">
        <v>95</v>
      </c>
      <c r="H2744" s="13" t="s">
        <v>2121</v>
      </c>
      <c r="I2744" s="12">
        <v>200000</v>
      </c>
      <c r="J2744" s="12">
        <v>150</v>
      </c>
      <c r="K2744" s="1">
        <v>1500</v>
      </c>
      <c r="L2744" s="12">
        <v>50000</v>
      </c>
      <c r="M2744" s="12" t="s">
        <v>2811</v>
      </c>
      <c r="N2744" s="12" t="str">
        <f t="shared" si="103"/>
        <v>3151,3760</v>
      </c>
      <c r="O2744" s="12">
        <v>0</v>
      </c>
      <c r="P2744" s="12" t="s">
        <v>2059</v>
      </c>
      <c r="Q2744" s="7" t="str">
        <f t="shared" si="100"/>
        <v>equipment/1222.png</v>
      </c>
      <c r="R2744" s="1">
        <v>1</v>
      </c>
    </row>
    <row r="2745" spans="1:18" s="12" customFormat="1" ht="14.25" thickBot="1">
      <c r="A2745" s="12">
        <f t="shared" si="101"/>
        <v>50952056</v>
      </c>
      <c r="B2745" s="2">
        <v>0</v>
      </c>
      <c r="C2745" s="12" t="str">
        <f t="shared" si="104"/>
        <v>风暴凝视</v>
      </c>
      <c r="D2745" s="12" t="s">
        <v>12</v>
      </c>
      <c r="E2745" s="12">
        <v>5</v>
      </c>
      <c r="F2745" s="1">
        <v>5</v>
      </c>
      <c r="G2745" s="12">
        <v>95</v>
      </c>
      <c r="H2745" s="13" t="s">
        <v>2121</v>
      </c>
      <c r="I2745" s="12">
        <v>206000</v>
      </c>
      <c r="J2745" s="12">
        <v>150</v>
      </c>
      <c r="K2745" s="1">
        <v>1500</v>
      </c>
      <c r="L2745" s="12">
        <v>52500</v>
      </c>
      <c r="M2745" s="12" t="s">
        <v>2812</v>
      </c>
      <c r="N2745" s="12" t="str">
        <f t="shared" si="103"/>
        <v>3151,3760</v>
      </c>
      <c r="O2745" s="12">
        <v>0</v>
      </c>
      <c r="P2745" s="12" t="s">
        <v>2059</v>
      </c>
      <c r="Q2745" s="7" t="str">
        <f t="shared" si="100"/>
        <v>equipment/1201.png</v>
      </c>
      <c r="R2745" s="1">
        <v>1</v>
      </c>
    </row>
    <row r="2746" spans="1:18" s="12" customFormat="1" ht="14.25" thickBot="1">
      <c r="A2746" s="12">
        <f t="shared" si="101"/>
        <v>50952065</v>
      </c>
      <c r="B2746" s="2">
        <v>0</v>
      </c>
      <c r="C2746" s="12" t="str">
        <f t="shared" si="104"/>
        <v>魂织箭袋</v>
      </c>
      <c r="D2746" s="12" t="s">
        <v>13</v>
      </c>
      <c r="E2746" s="12">
        <v>6</v>
      </c>
      <c r="F2746" s="1">
        <v>5</v>
      </c>
      <c r="G2746" s="12">
        <v>95</v>
      </c>
      <c r="H2746" s="13" t="s">
        <v>2121</v>
      </c>
      <c r="I2746" s="12">
        <v>200000</v>
      </c>
      <c r="J2746" s="12">
        <v>150</v>
      </c>
      <c r="K2746" s="1">
        <v>1500</v>
      </c>
      <c r="L2746" s="12">
        <v>50000</v>
      </c>
      <c r="M2746" s="12" t="s">
        <v>2399</v>
      </c>
      <c r="N2746" s="12" t="str">
        <f t="shared" si="103"/>
        <v>3151,3760</v>
      </c>
      <c r="O2746" s="12">
        <v>0</v>
      </c>
      <c r="P2746" s="12" t="s">
        <v>2059</v>
      </c>
      <c r="Q2746" s="7" t="str">
        <f t="shared" si="100"/>
        <v>equipment/2218.png</v>
      </c>
      <c r="R2746" s="1">
        <v>1</v>
      </c>
    </row>
    <row r="2747" spans="1:18" s="12" customFormat="1" ht="14.25" thickBot="1">
      <c r="A2747" s="12">
        <f t="shared" si="101"/>
        <v>50952066</v>
      </c>
      <c r="B2747" s="2">
        <v>0</v>
      </c>
      <c r="C2747" s="12" t="str">
        <f t="shared" si="104"/>
        <v>闪电之矢</v>
      </c>
      <c r="D2747" s="12" t="s">
        <v>13</v>
      </c>
      <c r="E2747" s="12">
        <v>6</v>
      </c>
      <c r="F2747" s="1">
        <v>5</v>
      </c>
      <c r="G2747" s="12">
        <v>95</v>
      </c>
      <c r="H2747" s="13" t="s">
        <v>2121</v>
      </c>
      <c r="I2747" s="12">
        <v>206000</v>
      </c>
      <c r="J2747" s="12">
        <v>150</v>
      </c>
      <c r="K2747" s="1">
        <v>1500</v>
      </c>
      <c r="L2747" s="12">
        <v>52500</v>
      </c>
      <c r="M2747" s="12" t="s">
        <v>2400</v>
      </c>
      <c r="N2747" s="12" t="str">
        <f t="shared" si="103"/>
        <v>3151,3760</v>
      </c>
      <c r="O2747" s="12">
        <v>0</v>
      </c>
      <c r="P2747" s="12" t="s">
        <v>2059</v>
      </c>
      <c r="Q2747" s="7" t="str">
        <f t="shared" si="100"/>
        <v>equipment/2201.png</v>
      </c>
      <c r="R2747" s="1">
        <v>1</v>
      </c>
    </row>
    <row r="2748" spans="1:18" s="12" customFormat="1" ht="14.25" thickBot="1">
      <c r="A2748" s="12">
        <f t="shared" si="101"/>
        <v>50953055</v>
      </c>
      <c r="B2748" s="2">
        <v>0</v>
      </c>
      <c r="C2748" s="12" t="str">
        <f t="shared" si="104"/>
        <v>歼灭之杖</v>
      </c>
      <c r="D2748" s="12" t="s">
        <v>12</v>
      </c>
      <c r="E2748" s="12">
        <v>5</v>
      </c>
      <c r="F2748" s="1">
        <v>5</v>
      </c>
      <c r="G2748" s="12">
        <v>95</v>
      </c>
      <c r="H2748" s="13" t="s">
        <v>2122</v>
      </c>
      <c r="I2748" s="12">
        <v>200000</v>
      </c>
      <c r="J2748" s="12">
        <v>150</v>
      </c>
      <c r="K2748" s="1">
        <v>1500</v>
      </c>
      <c r="L2748" s="12">
        <v>50000</v>
      </c>
      <c r="M2748" s="12" t="s">
        <v>2811</v>
      </c>
      <c r="N2748" s="12" t="str">
        <f t="shared" si="103"/>
        <v>3151,3760</v>
      </c>
      <c r="O2748" s="12">
        <v>0</v>
      </c>
      <c r="P2748" s="12" t="s">
        <v>2059</v>
      </c>
      <c r="Q2748" s="7" t="str">
        <f t="shared" si="100"/>
        <v>equipment/1324.png</v>
      </c>
      <c r="R2748" s="1">
        <v>1</v>
      </c>
    </row>
    <row r="2749" spans="1:18" s="12" customFormat="1" ht="14.25" thickBot="1">
      <c r="A2749" s="12">
        <f t="shared" si="101"/>
        <v>50953056</v>
      </c>
      <c r="B2749" s="2">
        <v>0</v>
      </c>
      <c r="C2749" s="12" t="str">
        <f t="shared" si="104"/>
        <v>末日降临</v>
      </c>
      <c r="D2749" s="12" t="s">
        <v>12</v>
      </c>
      <c r="E2749" s="12">
        <v>5</v>
      </c>
      <c r="F2749" s="1">
        <v>5</v>
      </c>
      <c r="G2749" s="12">
        <v>95</v>
      </c>
      <c r="H2749" s="13" t="s">
        <v>2122</v>
      </c>
      <c r="I2749" s="12">
        <v>206000</v>
      </c>
      <c r="J2749" s="12">
        <v>150</v>
      </c>
      <c r="K2749" s="1">
        <v>1500</v>
      </c>
      <c r="L2749" s="12">
        <v>52500</v>
      </c>
      <c r="M2749" s="12" t="s">
        <v>2812</v>
      </c>
      <c r="N2749" s="12" t="str">
        <f t="shared" si="103"/>
        <v>3151,3760</v>
      </c>
      <c r="O2749" s="12">
        <v>0</v>
      </c>
      <c r="P2749" s="12" t="s">
        <v>2059</v>
      </c>
      <c r="Q2749" s="7" t="str">
        <f t="shared" si="100"/>
        <v>equipment/1301.png</v>
      </c>
      <c r="R2749" s="1">
        <v>1</v>
      </c>
    </row>
    <row r="2750" spans="1:18" s="12" customFormat="1" ht="14.25" thickBot="1">
      <c r="A2750" s="12">
        <f t="shared" si="101"/>
        <v>50953065</v>
      </c>
      <c r="B2750" s="2">
        <v>0</v>
      </c>
      <c r="C2750" s="12" t="str">
        <f t="shared" si="104"/>
        <v>聚能魔典</v>
      </c>
      <c r="D2750" s="12" t="s">
        <v>13</v>
      </c>
      <c r="E2750" s="12">
        <v>6</v>
      </c>
      <c r="F2750" s="1">
        <v>5</v>
      </c>
      <c r="G2750" s="12">
        <v>95</v>
      </c>
      <c r="H2750" s="13" t="s">
        <v>2122</v>
      </c>
      <c r="I2750" s="12">
        <v>200000</v>
      </c>
      <c r="J2750" s="12">
        <v>150</v>
      </c>
      <c r="K2750" s="1">
        <v>1500</v>
      </c>
      <c r="L2750" s="12">
        <v>50000</v>
      </c>
      <c r="M2750" s="12" t="s">
        <v>2401</v>
      </c>
      <c r="N2750" s="12" t="str">
        <f t="shared" si="103"/>
        <v>3151,3760</v>
      </c>
      <c r="O2750" s="12">
        <v>0</v>
      </c>
      <c r="P2750" s="12" t="s">
        <v>2059</v>
      </c>
      <c r="Q2750" s="7" t="str">
        <f t="shared" si="100"/>
        <v>equipment/2318.png</v>
      </c>
      <c r="R2750" s="1">
        <v>1</v>
      </c>
    </row>
    <row r="2751" spans="1:18" s="12" customFormat="1" ht="14.25" thickBot="1">
      <c r="A2751" s="12">
        <f t="shared" si="101"/>
        <v>50953066</v>
      </c>
      <c r="B2751" s="2">
        <v>0</v>
      </c>
      <c r="C2751" s="12" t="str">
        <f t="shared" si="104"/>
        <v>启示圣典</v>
      </c>
      <c r="D2751" s="12" t="s">
        <v>13</v>
      </c>
      <c r="E2751" s="12">
        <v>6</v>
      </c>
      <c r="F2751" s="1">
        <v>5</v>
      </c>
      <c r="G2751" s="12">
        <v>95</v>
      </c>
      <c r="H2751" s="13" t="s">
        <v>2122</v>
      </c>
      <c r="I2751" s="12">
        <v>206000</v>
      </c>
      <c r="J2751" s="12">
        <v>150</v>
      </c>
      <c r="K2751" s="1">
        <v>1500</v>
      </c>
      <c r="L2751" s="12">
        <v>52500</v>
      </c>
      <c r="M2751" s="12" t="s">
        <v>2402</v>
      </c>
      <c r="N2751" s="12" t="str">
        <f t="shared" si="103"/>
        <v>3151,3760</v>
      </c>
      <c r="O2751" s="12">
        <v>0</v>
      </c>
      <c r="P2751" s="12" t="s">
        <v>2059</v>
      </c>
      <c r="Q2751" s="7" t="str">
        <f t="shared" si="100"/>
        <v>equipment/2301.png</v>
      </c>
      <c r="R2751" s="1">
        <v>1</v>
      </c>
    </row>
    <row r="2752" spans="1:18" s="12" customFormat="1" ht="14.25" thickBot="1">
      <c r="A2752" s="12">
        <f t="shared" si="101"/>
        <v>50950045</v>
      </c>
      <c r="B2752" s="2">
        <v>0</v>
      </c>
      <c r="C2752" s="12" t="str">
        <f t="shared" si="104"/>
        <v>湮没胸甲</v>
      </c>
      <c r="D2752" s="12" t="s">
        <v>11</v>
      </c>
      <c r="E2752" s="12">
        <v>4</v>
      </c>
      <c r="F2752" s="1">
        <v>5</v>
      </c>
      <c r="G2752" s="12">
        <v>95</v>
      </c>
      <c r="H2752" s="13">
        <v>0</v>
      </c>
      <c r="I2752" s="12">
        <v>200000</v>
      </c>
      <c r="J2752" s="12">
        <v>150</v>
      </c>
      <c r="K2752" s="1">
        <v>1500</v>
      </c>
      <c r="L2752" s="12">
        <v>50000</v>
      </c>
      <c r="M2752" s="12" t="s">
        <v>2403</v>
      </c>
      <c r="N2752" s="12" t="str">
        <f t="shared" si="103"/>
        <v>2229,2660</v>
      </c>
      <c r="O2752" s="12">
        <v>0</v>
      </c>
      <c r="P2752" s="12" t="s">
        <v>2059</v>
      </c>
      <c r="Q2752" s="7" t="str">
        <f t="shared" si="100"/>
        <v>equipment/5001.png</v>
      </c>
      <c r="R2752" s="1">
        <v>1</v>
      </c>
    </row>
    <row r="2753" spans="1:18" s="12" customFormat="1" ht="14.25" thickBot="1">
      <c r="A2753" s="12">
        <f t="shared" si="101"/>
        <v>50950046</v>
      </c>
      <c r="B2753" s="2">
        <v>0</v>
      </c>
      <c r="C2753" s="12" t="str">
        <f t="shared" si="104"/>
        <v>诸王战铠</v>
      </c>
      <c r="D2753" s="12" t="s">
        <v>11</v>
      </c>
      <c r="E2753" s="12">
        <v>4</v>
      </c>
      <c r="F2753" s="1">
        <v>5</v>
      </c>
      <c r="G2753" s="12">
        <v>95</v>
      </c>
      <c r="H2753" s="13">
        <v>0</v>
      </c>
      <c r="I2753" s="12">
        <v>206000</v>
      </c>
      <c r="J2753" s="12">
        <v>150</v>
      </c>
      <c r="K2753" s="1">
        <v>1500</v>
      </c>
      <c r="L2753" s="12">
        <v>52500</v>
      </c>
      <c r="M2753" s="12" t="s">
        <v>2404</v>
      </c>
      <c r="N2753" s="12" t="str">
        <f t="shared" si="103"/>
        <v>2229,2660</v>
      </c>
      <c r="O2753" s="12">
        <v>0</v>
      </c>
      <c r="P2753" s="12" t="s">
        <v>2059</v>
      </c>
      <c r="Q2753" s="7" t="str">
        <f t="shared" si="100"/>
        <v>equipment/5001.png</v>
      </c>
      <c r="R2753" s="1">
        <v>1</v>
      </c>
    </row>
    <row r="2754" spans="1:18" s="12" customFormat="1" ht="14.25" thickBot="1">
      <c r="A2754" s="12">
        <f t="shared" si="101"/>
        <v>50950075</v>
      </c>
      <c r="B2754" s="2">
        <v>0</v>
      </c>
      <c r="C2754" s="12" t="str">
        <f t="shared" si="104"/>
        <v>魂卫护腿</v>
      </c>
      <c r="D2754" s="12" t="s">
        <v>14</v>
      </c>
      <c r="E2754" s="12">
        <v>7</v>
      </c>
      <c r="F2754" s="1">
        <v>5</v>
      </c>
      <c r="G2754" s="12">
        <v>95</v>
      </c>
      <c r="H2754" s="13">
        <v>0</v>
      </c>
      <c r="I2754" s="12">
        <v>200000</v>
      </c>
      <c r="J2754" s="12">
        <v>150</v>
      </c>
      <c r="K2754" s="1">
        <v>1500</v>
      </c>
      <c r="L2754" s="12">
        <v>50000</v>
      </c>
      <c r="M2754" s="12" t="s">
        <v>2403</v>
      </c>
      <c r="N2754" s="12" t="str">
        <f t="shared" si="103"/>
        <v>2229,2660</v>
      </c>
      <c r="O2754" s="12">
        <v>0</v>
      </c>
      <c r="P2754" s="12" t="s">
        <v>2059</v>
      </c>
      <c r="Q2754" s="7" t="str">
        <f t="shared" si="100"/>
        <v>equipment/7001.png</v>
      </c>
      <c r="R2754" s="1">
        <v>1</v>
      </c>
    </row>
    <row r="2755" spans="1:18" s="12" customFormat="1" ht="14.25" thickBot="1">
      <c r="A2755" s="12">
        <f t="shared" si="101"/>
        <v>50950076</v>
      </c>
      <c r="B2755" s="2">
        <v>0</v>
      </c>
      <c r="C2755" s="12" t="str">
        <f t="shared" si="104"/>
        <v>不朽护腿</v>
      </c>
      <c r="D2755" s="12" t="s">
        <v>14</v>
      </c>
      <c r="E2755" s="12">
        <v>7</v>
      </c>
      <c r="F2755" s="1">
        <v>5</v>
      </c>
      <c r="G2755" s="12">
        <v>95</v>
      </c>
      <c r="H2755" s="13">
        <v>0</v>
      </c>
      <c r="I2755" s="12">
        <v>206000</v>
      </c>
      <c r="J2755" s="12">
        <v>150</v>
      </c>
      <c r="K2755" s="1">
        <v>1500</v>
      </c>
      <c r="L2755" s="12">
        <v>52500</v>
      </c>
      <c r="M2755" s="12" t="s">
        <v>2404</v>
      </c>
      <c r="N2755" s="12" t="str">
        <f t="shared" si="103"/>
        <v>2229,2660</v>
      </c>
      <c r="O2755" s="12">
        <v>0</v>
      </c>
      <c r="P2755" s="12" t="s">
        <v>2059</v>
      </c>
      <c r="Q2755" s="7" t="str">
        <f t="shared" si="100"/>
        <v>equipment/7001.png</v>
      </c>
      <c r="R2755" s="1">
        <v>1</v>
      </c>
    </row>
    <row r="2756" spans="1:18" s="12" customFormat="1" ht="14.25" thickBot="1">
      <c r="A2756" s="12">
        <f t="shared" si="101"/>
        <v>51000015</v>
      </c>
      <c r="B2756" s="2">
        <v>0</v>
      </c>
      <c r="C2756" s="12" t="str">
        <f t="shared" si="104"/>
        <v>天灾统领</v>
      </c>
      <c r="D2756" s="12" t="s">
        <v>8</v>
      </c>
      <c r="E2756" s="12">
        <v>1</v>
      </c>
      <c r="F2756" s="1">
        <v>5</v>
      </c>
      <c r="G2756" s="12">
        <v>100</v>
      </c>
      <c r="H2756" s="13">
        <v>0</v>
      </c>
      <c r="I2756" s="12">
        <v>212000</v>
      </c>
      <c r="J2756" s="12">
        <v>150</v>
      </c>
      <c r="K2756" s="1">
        <v>1500</v>
      </c>
      <c r="L2756" s="12">
        <v>52500</v>
      </c>
      <c r="M2756" s="12" t="s">
        <v>2405</v>
      </c>
      <c r="N2756" s="12" t="str">
        <f t="shared" si="103"/>
        <v>2440,2912</v>
      </c>
      <c r="O2756" s="12">
        <v>0</v>
      </c>
      <c r="P2756" s="12" t="s">
        <v>2059</v>
      </c>
      <c r="Q2756" s="7" t="str">
        <f t="shared" si="100"/>
        <v>equipment/3001.png</v>
      </c>
      <c r="R2756" s="1">
        <v>1</v>
      </c>
    </row>
    <row r="2757" spans="1:18" s="12" customFormat="1" ht="14.25" thickBot="1">
      <c r="A2757" s="12">
        <f t="shared" si="101"/>
        <v>51000025</v>
      </c>
      <c r="B2757" s="2">
        <v>0</v>
      </c>
      <c r="C2757" s="12" t="str">
        <f t="shared" si="104"/>
        <v>镇魂挽歌</v>
      </c>
      <c r="D2757" s="12" t="s">
        <v>9</v>
      </c>
      <c r="E2757" s="12">
        <v>2</v>
      </c>
      <c r="F2757" s="1">
        <v>5</v>
      </c>
      <c r="G2757" s="12">
        <v>100</v>
      </c>
      <c r="H2757" s="13">
        <v>0</v>
      </c>
      <c r="I2757" s="12">
        <v>212000</v>
      </c>
      <c r="J2757" s="12">
        <v>150</v>
      </c>
      <c r="K2757" s="1">
        <v>1500</v>
      </c>
      <c r="L2757" s="12">
        <v>52500</v>
      </c>
      <c r="M2757" s="12" t="s">
        <v>2406</v>
      </c>
      <c r="N2757" s="12" t="str">
        <f t="shared" si="103"/>
        <v>2440,2912</v>
      </c>
      <c r="O2757" s="12">
        <v>0</v>
      </c>
      <c r="P2757" s="12" t="s">
        <v>2059</v>
      </c>
      <c r="Q2757" s="7" t="str">
        <f t="shared" si="100"/>
        <v>equipment/14001.png</v>
      </c>
      <c r="R2757" s="1">
        <v>1</v>
      </c>
    </row>
    <row r="2758" spans="1:18" s="12" customFormat="1" ht="14.25" thickBot="1">
      <c r="A2758" s="12">
        <f t="shared" si="101"/>
        <v>51000035</v>
      </c>
      <c r="B2758" s="2">
        <v>0</v>
      </c>
      <c r="C2758" s="12" t="str">
        <f t="shared" si="104"/>
        <v>雷霆护腰</v>
      </c>
      <c r="D2758" s="12" t="s">
        <v>10</v>
      </c>
      <c r="E2758" s="12">
        <v>3</v>
      </c>
      <c r="F2758" s="1">
        <v>5</v>
      </c>
      <c r="G2758" s="12">
        <v>100</v>
      </c>
      <c r="H2758" s="13">
        <v>0</v>
      </c>
      <c r="I2758" s="12">
        <v>212000</v>
      </c>
      <c r="J2758" s="12">
        <v>150</v>
      </c>
      <c r="K2758" s="1">
        <v>1500</v>
      </c>
      <c r="L2758" s="12">
        <v>52500</v>
      </c>
      <c r="M2758" s="12" t="s">
        <v>2407</v>
      </c>
      <c r="N2758" s="12" t="str">
        <f t="shared" si="103"/>
        <v>2440,2912</v>
      </c>
      <c r="O2758" s="12">
        <v>0</v>
      </c>
      <c r="P2758" s="12" t="s">
        <v>2059</v>
      </c>
      <c r="Q2758" s="7" t="str">
        <f t="shared" si="100"/>
        <v>equipment/6001.png</v>
      </c>
      <c r="R2758" s="1">
        <v>1</v>
      </c>
    </row>
    <row r="2759" spans="1:18" s="12" customFormat="1" ht="14.25" thickBot="1">
      <c r="A2759" s="12">
        <f t="shared" si="101"/>
        <v>51000085</v>
      </c>
      <c r="B2759" s="2">
        <v>0</v>
      </c>
      <c r="C2759" s="12" t="str">
        <f t="shared" si="104"/>
        <v>星旅之靴</v>
      </c>
      <c r="D2759" s="12" t="s">
        <v>15</v>
      </c>
      <c r="E2759" s="12">
        <v>8</v>
      </c>
      <c r="F2759" s="1">
        <v>5</v>
      </c>
      <c r="G2759" s="12">
        <v>100</v>
      </c>
      <c r="H2759" s="13">
        <v>0</v>
      </c>
      <c r="I2759" s="12">
        <v>212000</v>
      </c>
      <c r="J2759" s="12">
        <v>150</v>
      </c>
      <c r="K2759" s="1">
        <v>1500</v>
      </c>
      <c r="L2759" s="12">
        <v>52500</v>
      </c>
      <c r="M2759" s="12" t="s">
        <v>2408</v>
      </c>
      <c r="N2759" s="12" t="str">
        <f t="shared" si="103"/>
        <v>2440,2912</v>
      </c>
      <c r="O2759" s="12">
        <v>0</v>
      </c>
      <c r="P2759" s="12" t="s">
        <v>2059</v>
      </c>
      <c r="Q2759" s="7" t="str">
        <f t="shared" si="100"/>
        <v>equipment/8001.png</v>
      </c>
      <c r="R2759" s="1">
        <v>1</v>
      </c>
    </row>
    <row r="2760" spans="1:18" s="12" customFormat="1" ht="14.25" thickBot="1">
      <c r="A2760" s="12">
        <f t="shared" si="101"/>
        <v>51000095</v>
      </c>
      <c r="B2760" s="2">
        <v>0</v>
      </c>
      <c r="C2760" s="12" t="str">
        <f t="shared" si="104"/>
        <v>泰坦之拳</v>
      </c>
      <c r="D2760" s="12" t="s">
        <v>16</v>
      </c>
      <c r="E2760" s="12">
        <v>9</v>
      </c>
      <c r="F2760" s="1">
        <v>5</v>
      </c>
      <c r="G2760" s="12">
        <v>100</v>
      </c>
      <c r="H2760" s="13">
        <v>0</v>
      </c>
      <c r="I2760" s="12">
        <v>212000</v>
      </c>
      <c r="J2760" s="12">
        <v>150</v>
      </c>
      <c r="K2760" s="1">
        <v>1500</v>
      </c>
      <c r="L2760" s="12">
        <v>52500</v>
      </c>
      <c r="M2760" s="12" t="s">
        <v>2409</v>
      </c>
      <c r="N2760" s="12" t="str">
        <f t="shared" si="103"/>
        <v>2440,2912</v>
      </c>
      <c r="O2760" s="12">
        <v>0</v>
      </c>
      <c r="P2760" s="12" t="s">
        <v>2059</v>
      </c>
      <c r="Q2760" s="7" t="str">
        <f t="shared" si="100"/>
        <v>equipment/10001.png</v>
      </c>
      <c r="R2760" s="1">
        <v>1</v>
      </c>
    </row>
    <row r="2761" spans="1:18" s="12" customFormat="1" ht="14.25" thickBot="1">
      <c r="A2761" s="12">
        <f t="shared" si="101"/>
        <v>51000105</v>
      </c>
      <c r="B2761" s="2">
        <v>0</v>
      </c>
      <c r="C2761" s="12" t="str">
        <f t="shared" si="104"/>
        <v>永志不渝</v>
      </c>
      <c r="D2761" s="12" t="s">
        <v>17</v>
      </c>
      <c r="E2761" s="12">
        <v>10</v>
      </c>
      <c r="F2761" s="1">
        <v>5</v>
      </c>
      <c r="G2761" s="12">
        <v>100</v>
      </c>
      <c r="H2761" s="13">
        <v>0</v>
      </c>
      <c r="I2761" s="12">
        <v>212000</v>
      </c>
      <c r="J2761" s="12">
        <v>150</v>
      </c>
      <c r="K2761" s="1">
        <v>1500</v>
      </c>
      <c r="L2761" s="12">
        <v>52500</v>
      </c>
      <c r="M2761" s="12" t="s">
        <v>2410</v>
      </c>
      <c r="N2761" s="12" t="str">
        <f t="shared" si="103"/>
        <v>2440,2912</v>
      </c>
      <c r="O2761" s="12">
        <v>0</v>
      </c>
      <c r="P2761" s="12" t="s">
        <v>2059</v>
      </c>
      <c r="Q2761" s="7" t="str">
        <f t="shared" si="100"/>
        <v>equipment/12001.png</v>
      </c>
      <c r="R2761" s="1">
        <v>1</v>
      </c>
    </row>
    <row r="2762" spans="1:18" s="12" customFormat="1" ht="14.25" thickBot="1">
      <c r="A2762" s="12">
        <f t="shared" si="101"/>
        <v>51001055</v>
      </c>
      <c r="B2762" s="2">
        <v>0</v>
      </c>
      <c r="C2762" s="12" t="str">
        <f t="shared" si="104"/>
        <v>毁天灭地</v>
      </c>
      <c r="D2762" s="12" t="s">
        <v>12</v>
      </c>
      <c r="E2762" s="12">
        <v>5</v>
      </c>
      <c r="F2762" s="1">
        <v>5</v>
      </c>
      <c r="G2762" s="12">
        <v>100</v>
      </c>
      <c r="H2762" s="13" t="s">
        <v>2120</v>
      </c>
      <c r="I2762" s="12">
        <v>212000</v>
      </c>
      <c r="J2762" s="12">
        <v>150</v>
      </c>
      <c r="K2762" s="1">
        <v>1500</v>
      </c>
      <c r="L2762" s="12">
        <v>52500</v>
      </c>
      <c r="M2762" s="12" t="s">
        <v>2813</v>
      </c>
      <c r="N2762" s="12" t="str">
        <f t="shared" si="103"/>
        <v>3449,4115</v>
      </c>
      <c r="O2762" s="12">
        <v>0</v>
      </c>
      <c r="P2762" s="12" t="s">
        <v>2059</v>
      </c>
      <c r="Q2762" s="7" t="str">
        <f t="shared" si="100"/>
        <v>equipment/1124.png</v>
      </c>
      <c r="R2762" s="1">
        <v>1</v>
      </c>
    </row>
    <row r="2763" spans="1:18" s="12" customFormat="1" ht="14.25" thickBot="1">
      <c r="A2763" s="12">
        <f t="shared" si="101"/>
        <v>51001056</v>
      </c>
      <c r="B2763" s="2">
        <v>0</v>
      </c>
      <c r="C2763" s="12" t="str">
        <f t="shared" si="104"/>
        <v>灰烬使者</v>
      </c>
      <c r="D2763" s="12" t="s">
        <v>12</v>
      </c>
      <c r="E2763" s="12">
        <v>5</v>
      </c>
      <c r="F2763" s="1">
        <v>5</v>
      </c>
      <c r="G2763" s="12">
        <v>100</v>
      </c>
      <c r="H2763" s="13" t="s">
        <v>2120</v>
      </c>
      <c r="I2763" s="12">
        <v>218000</v>
      </c>
      <c r="J2763" s="12">
        <v>150</v>
      </c>
      <c r="K2763" s="1">
        <v>1500</v>
      </c>
      <c r="L2763" s="12">
        <v>55000</v>
      </c>
      <c r="M2763" s="12" t="s">
        <v>2411</v>
      </c>
      <c r="N2763" s="12" t="str">
        <f t="shared" si="103"/>
        <v>3449,4115</v>
      </c>
      <c r="O2763" s="12">
        <v>0</v>
      </c>
      <c r="P2763" s="12" t="s">
        <v>2059</v>
      </c>
      <c r="Q2763" s="7" t="str">
        <f t="shared" si="100"/>
        <v>equipment/1101.png</v>
      </c>
      <c r="R2763" s="1">
        <v>1</v>
      </c>
    </row>
    <row r="2764" spans="1:18" s="12" customFormat="1" ht="14.25" thickBot="1">
      <c r="A2764" s="12">
        <f t="shared" si="101"/>
        <v>51001065</v>
      </c>
      <c r="B2764" s="2">
        <v>0</v>
      </c>
      <c r="C2764" s="12" t="str">
        <f t="shared" si="104"/>
        <v>叹息之墙</v>
      </c>
      <c r="D2764" s="12" t="s">
        <v>13</v>
      </c>
      <c r="E2764" s="12">
        <v>6</v>
      </c>
      <c r="F2764" s="1">
        <v>5</v>
      </c>
      <c r="G2764" s="12">
        <v>100</v>
      </c>
      <c r="H2764" s="13" t="s">
        <v>2120</v>
      </c>
      <c r="I2764" s="12">
        <v>212000</v>
      </c>
      <c r="J2764" s="12">
        <v>150</v>
      </c>
      <c r="K2764" s="1">
        <v>1500</v>
      </c>
      <c r="L2764" s="12">
        <v>52500</v>
      </c>
      <c r="M2764" s="12" t="s">
        <v>2412</v>
      </c>
      <c r="N2764" s="12" t="str">
        <f t="shared" si="103"/>
        <v>3449,4115</v>
      </c>
      <c r="O2764" s="12">
        <v>0</v>
      </c>
      <c r="P2764" s="12" t="s">
        <v>2059</v>
      </c>
      <c r="Q2764" s="7" t="str">
        <f t="shared" si="100"/>
        <v>equipment/2118.png</v>
      </c>
      <c r="R2764" s="1">
        <v>1</v>
      </c>
    </row>
    <row r="2765" spans="1:18" s="12" customFormat="1" ht="14.25" thickBot="1">
      <c r="A2765" s="12">
        <f t="shared" si="101"/>
        <v>51001066</v>
      </c>
      <c r="B2765" s="2">
        <v>0</v>
      </c>
      <c r="C2765" s="12" t="str">
        <f t="shared" si="104"/>
        <v>叹息之墙</v>
      </c>
      <c r="D2765" s="12" t="s">
        <v>13</v>
      </c>
      <c r="E2765" s="12">
        <v>6</v>
      </c>
      <c r="F2765" s="1">
        <v>5</v>
      </c>
      <c r="G2765" s="12">
        <v>100</v>
      </c>
      <c r="H2765" s="13" t="s">
        <v>2120</v>
      </c>
      <c r="I2765" s="12">
        <v>218000</v>
      </c>
      <c r="J2765" s="12">
        <v>150</v>
      </c>
      <c r="K2765" s="1">
        <v>1500</v>
      </c>
      <c r="L2765" s="12">
        <v>55000</v>
      </c>
      <c r="M2765" s="12" t="s">
        <v>1811</v>
      </c>
      <c r="N2765" s="12" t="str">
        <f t="shared" si="103"/>
        <v>3449,4115</v>
      </c>
      <c r="O2765" s="12">
        <v>0</v>
      </c>
      <c r="P2765" s="12" t="s">
        <v>2059</v>
      </c>
      <c r="Q2765" s="7" t="str">
        <f t="shared" si="100"/>
        <v>equipment/2101.png</v>
      </c>
      <c r="R2765" s="1">
        <v>1</v>
      </c>
    </row>
    <row r="2766" spans="1:18" s="12" customFormat="1" ht="14.25" thickBot="1">
      <c r="A2766" s="12">
        <f t="shared" si="101"/>
        <v>51002055</v>
      </c>
      <c r="B2766" s="2">
        <v>0</v>
      </c>
      <c r="C2766" s="12" t="str">
        <f t="shared" si="104"/>
        <v>苍穹怒火</v>
      </c>
      <c r="D2766" s="12" t="s">
        <v>12</v>
      </c>
      <c r="E2766" s="12">
        <v>5</v>
      </c>
      <c r="F2766" s="1">
        <v>5</v>
      </c>
      <c r="G2766" s="12">
        <v>100</v>
      </c>
      <c r="H2766" s="13" t="s">
        <v>2121</v>
      </c>
      <c r="I2766" s="12">
        <v>212000</v>
      </c>
      <c r="J2766" s="12">
        <v>150</v>
      </c>
      <c r="K2766" s="1">
        <v>1500</v>
      </c>
      <c r="L2766" s="12">
        <v>52500</v>
      </c>
      <c r="M2766" s="12" t="s">
        <v>2813</v>
      </c>
      <c r="N2766" s="12" t="str">
        <f t="shared" si="103"/>
        <v>3449,4115</v>
      </c>
      <c r="O2766" s="12">
        <v>0</v>
      </c>
      <c r="P2766" s="12" t="s">
        <v>2059</v>
      </c>
      <c r="Q2766" s="7" t="str">
        <f t="shared" si="100"/>
        <v>equipment/1222.png</v>
      </c>
      <c r="R2766" s="1">
        <v>1</v>
      </c>
    </row>
    <row r="2767" spans="1:18" s="12" customFormat="1" ht="14.25" thickBot="1">
      <c r="A2767" s="12">
        <f t="shared" si="101"/>
        <v>51002056</v>
      </c>
      <c r="B2767" s="2">
        <v>0</v>
      </c>
      <c r="C2767" s="12" t="str">
        <f t="shared" si="104"/>
        <v>群星之怒</v>
      </c>
      <c r="D2767" s="12" t="s">
        <v>12</v>
      </c>
      <c r="E2767" s="12">
        <v>5</v>
      </c>
      <c r="F2767" s="1">
        <v>5</v>
      </c>
      <c r="G2767" s="12">
        <v>100</v>
      </c>
      <c r="H2767" s="13" t="s">
        <v>2121</v>
      </c>
      <c r="I2767" s="12">
        <v>218000</v>
      </c>
      <c r="J2767" s="12">
        <v>150</v>
      </c>
      <c r="K2767" s="1">
        <v>1500</v>
      </c>
      <c r="L2767" s="12">
        <v>55000</v>
      </c>
      <c r="M2767" s="12" t="s">
        <v>2411</v>
      </c>
      <c r="N2767" s="12" t="str">
        <f t="shared" si="103"/>
        <v>3449,4115</v>
      </c>
      <c r="O2767" s="12">
        <v>0</v>
      </c>
      <c r="P2767" s="12" t="s">
        <v>2059</v>
      </c>
      <c r="Q2767" s="7" t="str">
        <f t="shared" si="100"/>
        <v>equipment/1201.png</v>
      </c>
      <c r="R2767" s="1">
        <v>1</v>
      </c>
    </row>
    <row r="2768" spans="1:18" s="12" customFormat="1" ht="14.25" thickBot="1">
      <c r="A2768" s="12">
        <f t="shared" si="101"/>
        <v>51002065</v>
      </c>
      <c r="B2768" s="2">
        <v>0</v>
      </c>
      <c r="C2768" s="12" t="str">
        <f t="shared" si="104"/>
        <v>天际之矢</v>
      </c>
      <c r="D2768" s="12" t="s">
        <v>13</v>
      </c>
      <c r="E2768" s="12">
        <v>6</v>
      </c>
      <c r="F2768" s="1">
        <v>5</v>
      </c>
      <c r="G2768" s="12">
        <v>100</v>
      </c>
      <c r="H2768" s="13" t="s">
        <v>2121</v>
      </c>
      <c r="I2768" s="12">
        <v>212000</v>
      </c>
      <c r="J2768" s="12">
        <v>150</v>
      </c>
      <c r="K2768" s="1">
        <v>1500</v>
      </c>
      <c r="L2768" s="12">
        <v>52500</v>
      </c>
      <c r="M2768" s="12" t="s">
        <v>2413</v>
      </c>
      <c r="N2768" s="12" t="str">
        <f t="shared" si="103"/>
        <v>3449,4115</v>
      </c>
      <c r="O2768" s="12">
        <v>0</v>
      </c>
      <c r="P2768" s="12" t="s">
        <v>2059</v>
      </c>
      <c r="Q2768" s="7" t="str">
        <f t="shared" si="100"/>
        <v>equipment/2218.png</v>
      </c>
      <c r="R2768" s="1">
        <v>1</v>
      </c>
    </row>
    <row r="2769" spans="1:18" s="12" customFormat="1" ht="14.25" thickBot="1">
      <c r="A2769" s="12">
        <f t="shared" si="101"/>
        <v>51002066</v>
      </c>
      <c r="B2769" s="2">
        <v>0</v>
      </c>
      <c r="C2769" s="12" t="str">
        <f t="shared" si="104"/>
        <v>天际之矢</v>
      </c>
      <c r="D2769" s="12" t="s">
        <v>13</v>
      </c>
      <c r="E2769" s="12">
        <v>6</v>
      </c>
      <c r="F2769" s="1">
        <v>5</v>
      </c>
      <c r="G2769" s="12">
        <v>100</v>
      </c>
      <c r="H2769" s="13" t="s">
        <v>2121</v>
      </c>
      <c r="I2769" s="12">
        <v>218000</v>
      </c>
      <c r="J2769" s="12">
        <v>150</v>
      </c>
      <c r="K2769" s="1">
        <v>1500</v>
      </c>
      <c r="L2769" s="12">
        <v>55000</v>
      </c>
      <c r="M2769" s="12" t="s">
        <v>2006</v>
      </c>
      <c r="N2769" s="12" t="str">
        <f t="shared" si="103"/>
        <v>3449,4115</v>
      </c>
      <c r="O2769" s="12">
        <v>0</v>
      </c>
      <c r="P2769" s="12" t="s">
        <v>2059</v>
      </c>
      <c r="Q2769" s="7" t="str">
        <f t="shared" si="100"/>
        <v>equipment/2201.png</v>
      </c>
      <c r="R2769" s="1">
        <v>1</v>
      </c>
    </row>
    <row r="2770" spans="1:18" s="12" customFormat="1" ht="14.25" thickBot="1">
      <c r="A2770" s="12">
        <f t="shared" si="101"/>
        <v>51003055</v>
      </c>
      <c r="B2770" s="2">
        <v>0</v>
      </c>
      <c r="C2770" s="12" t="str">
        <f>C2308</f>
        <v>混沌终幕</v>
      </c>
      <c r="D2770" s="12" t="s">
        <v>12</v>
      </c>
      <c r="E2770" s="12">
        <v>5</v>
      </c>
      <c r="F2770" s="1">
        <v>5</v>
      </c>
      <c r="G2770" s="12">
        <v>100</v>
      </c>
      <c r="H2770" s="13" t="s">
        <v>2122</v>
      </c>
      <c r="I2770" s="12">
        <v>212000</v>
      </c>
      <c r="J2770" s="12">
        <v>150</v>
      </c>
      <c r="K2770" s="1">
        <v>1500</v>
      </c>
      <c r="L2770" s="12">
        <v>52500</v>
      </c>
      <c r="M2770" s="12" t="s">
        <v>2813</v>
      </c>
      <c r="N2770" s="12" t="str">
        <f t="shared" si="103"/>
        <v>3449,4115</v>
      </c>
      <c r="O2770" s="12">
        <v>0</v>
      </c>
      <c r="P2770" s="12" t="s">
        <v>2059</v>
      </c>
      <c r="Q2770" s="7" t="str">
        <f t="shared" si="100"/>
        <v>equipment/1324.png</v>
      </c>
      <c r="R2770" s="1">
        <v>1</v>
      </c>
    </row>
    <row r="2771" spans="1:18" s="12" customFormat="1" ht="14.25" thickBot="1">
      <c r="A2771" s="12">
        <f t="shared" si="101"/>
        <v>51003056</v>
      </c>
      <c r="B2771" s="2">
        <v>0</v>
      </c>
      <c r="C2771" s="12" t="str">
        <f t="shared" si="104"/>
        <v>埃提耶什，守护者的传说之杖</v>
      </c>
      <c r="D2771" s="12" t="s">
        <v>12</v>
      </c>
      <c r="E2771" s="12">
        <v>5</v>
      </c>
      <c r="F2771" s="1">
        <v>5</v>
      </c>
      <c r="G2771" s="12">
        <v>100</v>
      </c>
      <c r="H2771" s="13" t="s">
        <v>2122</v>
      </c>
      <c r="I2771" s="12">
        <v>218000</v>
      </c>
      <c r="J2771" s="12">
        <v>150</v>
      </c>
      <c r="K2771" s="1">
        <v>1500</v>
      </c>
      <c r="L2771" s="12">
        <v>55000</v>
      </c>
      <c r="M2771" s="12" t="s">
        <v>2411</v>
      </c>
      <c r="N2771" s="12" t="str">
        <f t="shared" si="103"/>
        <v>3449,4115</v>
      </c>
      <c r="O2771" s="12">
        <v>0</v>
      </c>
      <c r="P2771" s="12" t="s">
        <v>2059</v>
      </c>
      <c r="Q2771" s="7" t="str">
        <f t="shared" si="100"/>
        <v>equipment/1301.png</v>
      </c>
      <c r="R2771" s="1">
        <v>1</v>
      </c>
    </row>
    <row r="2772" spans="1:18" s="12" customFormat="1" ht="14.25" thickBot="1">
      <c r="A2772" s="12">
        <f t="shared" si="101"/>
        <v>51003065</v>
      </c>
      <c r="B2772" s="2">
        <v>0</v>
      </c>
      <c r="C2772" s="12" t="str">
        <f t="shared" si="104"/>
        <v>决战之书</v>
      </c>
      <c r="D2772" s="12" t="s">
        <v>13</v>
      </c>
      <c r="E2772" s="12">
        <v>6</v>
      </c>
      <c r="F2772" s="1">
        <v>5</v>
      </c>
      <c r="G2772" s="12">
        <v>100</v>
      </c>
      <c r="H2772" s="13" t="s">
        <v>2122</v>
      </c>
      <c r="I2772" s="12">
        <v>212000</v>
      </c>
      <c r="J2772" s="12">
        <v>150</v>
      </c>
      <c r="K2772" s="1">
        <v>1500</v>
      </c>
      <c r="L2772" s="12">
        <v>52500</v>
      </c>
      <c r="M2772" s="12" t="s">
        <v>2414</v>
      </c>
      <c r="N2772" s="12" t="str">
        <f t="shared" si="103"/>
        <v>3449,4115</v>
      </c>
      <c r="O2772" s="12">
        <v>0</v>
      </c>
      <c r="P2772" s="12" t="s">
        <v>2059</v>
      </c>
      <c r="Q2772" s="7" t="str">
        <f t="shared" si="100"/>
        <v>equipment/2318.png</v>
      </c>
      <c r="R2772" s="1">
        <v>1</v>
      </c>
    </row>
    <row r="2773" spans="1:18" s="12" customFormat="1" ht="14.25" thickBot="1">
      <c r="A2773" s="12">
        <f t="shared" si="101"/>
        <v>51003066</v>
      </c>
      <c r="B2773" s="2">
        <v>0</v>
      </c>
      <c r="C2773" s="12" t="str">
        <f t="shared" si="104"/>
        <v>诸界流声</v>
      </c>
      <c r="D2773" s="12" t="s">
        <v>13</v>
      </c>
      <c r="E2773" s="12">
        <v>6</v>
      </c>
      <c r="F2773" s="1">
        <v>5</v>
      </c>
      <c r="G2773" s="12">
        <v>100</v>
      </c>
      <c r="H2773" s="13" t="s">
        <v>2122</v>
      </c>
      <c r="I2773" s="12">
        <v>218000</v>
      </c>
      <c r="J2773" s="12">
        <v>150</v>
      </c>
      <c r="K2773" s="1">
        <v>1500</v>
      </c>
      <c r="L2773" s="12">
        <v>55000</v>
      </c>
      <c r="M2773" s="12" t="s">
        <v>2005</v>
      </c>
      <c r="N2773" s="12" t="str">
        <f t="shared" si="103"/>
        <v>3449,4115</v>
      </c>
      <c r="O2773" s="12">
        <v>0</v>
      </c>
      <c r="P2773" s="12" t="s">
        <v>2059</v>
      </c>
      <c r="Q2773" s="7" t="str">
        <f t="shared" ref="Q2773:Q2777" si="105">Q2311</f>
        <v>equipment/2301.png</v>
      </c>
      <c r="R2773" s="1">
        <v>1</v>
      </c>
    </row>
    <row r="2774" spans="1:18" s="12" customFormat="1" ht="14.25" thickBot="1">
      <c r="A2774" s="12">
        <f t="shared" si="101"/>
        <v>51000045</v>
      </c>
      <c r="B2774" s="2">
        <v>0</v>
      </c>
      <c r="C2774" s="12" t="str">
        <f t="shared" si="104"/>
        <v>光明圣铠</v>
      </c>
      <c r="D2774" s="12" t="s">
        <v>11</v>
      </c>
      <c r="E2774" s="12">
        <v>4</v>
      </c>
      <c r="F2774" s="1">
        <v>5</v>
      </c>
      <c r="G2774" s="12">
        <v>100</v>
      </c>
      <c r="H2774" s="13">
        <v>0</v>
      </c>
      <c r="I2774" s="12">
        <v>212000</v>
      </c>
      <c r="J2774" s="12">
        <v>150</v>
      </c>
      <c r="K2774" s="1">
        <v>1500</v>
      </c>
      <c r="L2774" s="12">
        <v>52500</v>
      </c>
      <c r="M2774" s="12" t="s">
        <v>2415</v>
      </c>
      <c r="N2774" s="12" t="str">
        <f t="shared" si="103"/>
        <v>2440,2912</v>
      </c>
      <c r="O2774" s="12">
        <v>0</v>
      </c>
      <c r="P2774" s="12" t="s">
        <v>2059</v>
      </c>
      <c r="Q2774" s="7" t="str">
        <f t="shared" si="105"/>
        <v>equipment/5001.png</v>
      </c>
      <c r="R2774" s="1">
        <v>1</v>
      </c>
    </row>
    <row r="2775" spans="1:18" s="12" customFormat="1" ht="14.25" thickBot="1">
      <c r="A2775" s="12">
        <f t="shared" ref="A2775:A2777" si="106">A2313+5</f>
        <v>51000046</v>
      </c>
      <c r="B2775" s="2">
        <v>0</v>
      </c>
      <c r="C2775" s="12" t="str">
        <f t="shared" ref="C2775:C2777" si="107">C2313</f>
        <v>碎界之铠</v>
      </c>
      <c r="D2775" s="12" t="s">
        <v>11</v>
      </c>
      <c r="E2775" s="12">
        <v>4</v>
      </c>
      <c r="F2775" s="1">
        <v>5</v>
      </c>
      <c r="G2775" s="12">
        <v>100</v>
      </c>
      <c r="H2775" s="13">
        <v>0</v>
      </c>
      <c r="I2775" s="12">
        <v>218000</v>
      </c>
      <c r="J2775" s="12">
        <v>150</v>
      </c>
      <c r="K2775" s="1">
        <v>1500</v>
      </c>
      <c r="L2775" s="12">
        <v>55000</v>
      </c>
      <c r="M2775" s="12" t="s">
        <v>1811</v>
      </c>
      <c r="N2775" s="12" t="str">
        <f t="shared" ref="N2775:N2777" si="108">ROUND(MID(N2313,6,4)*0.88,0)&amp;","&amp;ROUND(MID(N2313,6,4)*1.05,0)</f>
        <v>2440,2912</v>
      </c>
      <c r="O2775" s="12">
        <v>0</v>
      </c>
      <c r="P2775" s="12" t="s">
        <v>2059</v>
      </c>
      <c r="Q2775" s="7" t="str">
        <f t="shared" si="105"/>
        <v>equipment/5001.png</v>
      </c>
      <c r="R2775" s="1">
        <v>1</v>
      </c>
    </row>
    <row r="2776" spans="1:18" s="12" customFormat="1" ht="14.25" thickBot="1">
      <c r="A2776" s="12">
        <f t="shared" si="106"/>
        <v>51000075</v>
      </c>
      <c r="B2776" s="2">
        <v>0</v>
      </c>
      <c r="C2776" s="12" t="str">
        <f t="shared" si="107"/>
        <v>渡魂护腿</v>
      </c>
      <c r="D2776" s="12" t="s">
        <v>14</v>
      </c>
      <c r="E2776" s="12">
        <v>7</v>
      </c>
      <c r="F2776" s="1">
        <v>5</v>
      </c>
      <c r="G2776" s="12">
        <v>100</v>
      </c>
      <c r="H2776" s="13">
        <v>0</v>
      </c>
      <c r="I2776" s="12">
        <v>212000</v>
      </c>
      <c r="J2776" s="12">
        <v>150</v>
      </c>
      <c r="K2776" s="1">
        <v>1500</v>
      </c>
      <c r="L2776" s="12">
        <v>52500</v>
      </c>
      <c r="M2776" s="12" t="s">
        <v>2415</v>
      </c>
      <c r="N2776" s="12" t="str">
        <f t="shared" si="108"/>
        <v>2440,2912</v>
      </c>
      <c r="O2776" s="12">
        <v>0</v>
      </c>
      <c r="P2776" s="12" t="s">
        <v>2059</v>
      </c>
      <c r="Q2776" s="7" t="str">
        <f t="shared" si="105"/>
        <v>equipment/7001.png</v>
      </c>
      <c r="R2776" s="1">
        <v>1</v>
      </c>
    </row>
    <row r="2777" spans="1:18" s="12" customFormat="1" ht="14.25" thickBot="1">
      <c r="A2777" s="12">
        <f t="shared" si="106"/>
        <v>51000076</v>
      </c>
      <c r="B2777" s="2">
        <v>0</v>
      </c>
      <c r="C2777" s="12" t="str">
        <f t="shared" si="107"/>
        <v>涅磐腿甲</v>
      </c>
      <c r="D2777" s="12" t="s">
        <v>14</v>
      </c>
      <c r="E2777" s="12">
        <v>7</v>
      </c>
      <c r="F2777" s="1">
        <v>5</v>
      </c>
      <c r="G2777" s="12">
        <v>100</v>
      </c>
      <c r="H2777" s="13">
        <v>0</v>
      </c>
      <c r="I2777" s="12">
        <v>218000</v>
      </c>
      <c r="J2777" s="12">
        <v>150</v>
      </c>
      <c r="K2777" s="1">
        <v>1500</v>
      </c>
      <c r="L2777" s="12">
        <v>55000</v>
      </c>
      <c r="M2777" s="12" t="s">
        <v>1811</v>
      </c>
      <c r="N2777" s="12" t="str">
        <f t="shared" si="108"/>
        <v>2440,2912</v>
      </c>
      <c r="O2777" s="12">
        <v>0</v>
      </c>
      <c r="P2777" s="12" t="s">
        <v>2059</v>
      </c>
      <c r="Q2777" s="7" t="str">
        <f t="shared" si="105"/>
        <v>equipment/7001.png</v>
      </c>
      <c r="R2777" s="1">
        <v>1</v>
      </c>
    </row>
    <row r="2778" spans="1:18" customFormat="1">
      <c r="A2778">
        <v>50301052</v>
      </c>
      <c r="B2778">
        <v>0</v>
      </c>
      <c r="C2778" t="s">
        <v>2464</v>
      </c>
      <c r="D2778" t="s">
        <v>12</v>
      </c>
      <c r="E2778">
        <v>5</v>
      </c>
      <c r="F2778" s="1">
        <v>5</v>
      </c>
      <c r="G2778">
        <v>30</v>
      </c>
      <c r="H2778" t="s">
        <v>2120</v>
      </c>
      <c r="I2778">
        <v>60000</v>
      </c>
      <c r="J2778">
        <v>150</v>
      </c>
      <c r="K2778">
        <v>5000</v>
      </c>
      <c r="L2778">
        <v>17500</v>
      </c>
      <c r="M2778" t="s">
        <v>1894</v>
      </c>
      <c r="N2778" t="s">
        <v>1780</v>
      </c>
      <c r="O2778">
        <v>1008</v>
      </c>
      <c r="P2778" t="s">
        <v>2051</v>
      </c>
      <c r="Q2778" t="s">
        <v>2202</v>
      </c>
      <c r="R2778" s="1">
        <v>0</v>
      </c>
    </row>
    <row r="2779" spans="1:18" customFormat="1">
      <c r="A2779">
        <v>50302052</v>
      </c>
      <c r="B2779">
        <v>0</v>
      </c>
      <c r="C2779" t="s">
        <v>2114</v>
      </c>
      <c r="D2779" t="s">
        <v>12</v>
      </c>
      <c r="E2779">
        <v>5</v>
      </c>
      <c r="F2779" s="1">
        <v>5</v>
      </c>
      <c r="G2779">
        <v>30</v>
      </c>
      <c r="H2779" t="s">
        <v>2121</v>
      </c>
      <c r="I2779">
        <v>60000</v>
      </c>
      <c r="J2779">
        <v>150</v>
      </c>
      <c r="K2779">
        <v>5000</v>
      </c>
      <c r="L2779">
        <v>17500</v>
      </c>
      <c r="M2779" t="s">
        <v>1894</v>
      </c>
      <c r="N2779" t="s">
        <v>1780</v>
      </c>
      <c r="O2779">
        <v>1008</v>
      </c>
      <c r="P2779" t="s">
        <v>2051</v>
      </c>
      <c r="Q2779" t="s">
        <v>2206</v>
      </c>
      <c r="R2779" s="1">
        <v>0</v>
      </c>
    </row>
    <row r="2780" spans="1:18" customFormat="1">
      <c r="A2780">
        <v>50303052</v>
      </c>
      <c r="B2780">
        <v>0</v>
      </c>
      <c r="C2780" t="s">
        <v>2465</v>
      </c>
      <c r="D2780" t="s">
        <v>12</v>
      </c>
      <c r="E2780">
        <v>5</v>
      </c>
      <c r="F2780" s="1">
        <v>5</v>
      </c>
      <c r="G2780">
        <v>30</v>
      </c>
      <c r="H2780" t="s">
        <v>2122</v>
      </c>
      <c r="I2780">
        <v>60000</v>
      </c>
      <c r="J2780">
        <v>150</v>
      </c>
      <c r="K2780">
        <v>5000</v>
      </c>
      <c r="L2780">
        <v>17500</v>
      </c>
      <c r="M2780" t="s">
        <v>1894</v>
      </c>
      <c r="N2780" t="s">
        <v>1780</v>
      </c>
      <c r="O2780">
        <v>1008</v>
      </c>
      <c r="P2780" t="s">
        <v>2051</v>
      </c>
      <c r="Q2780" t="s">
        <v>2193</v>
      </c>
      <c r="R2780" s="1">
        <v>0</v>
      </c>
    </row>
    <row r="2781" spans="1:18" customFormat="1">
      <c r="A2781">
        <v>50201052</v>
      </c>
      <c r="B2781">
        <v>0</v>
      </c>
      <c r="C2781" t="s">
        <v>2104</v>
      </c>
      <c r="D2781" t="s">
        <v>12</v>
      </c>
      <c r="E2781">
        <v>5</v>
      </c>
      <c r="F2781" s="1">
        <v>5</v>
      </c>
      <c r="G2781">
        <v>20</v>
      </c>
      <c r="H2781" t="s">
        <v>2120</v>
      </c>
      <c r="I2781">
        <v>40000</v>
      </c>
      <c r="J2781">
        <v>150</v>
      </c>
      <c r="K2781">
        <v>5000</v>
      </c>
      <c r="L2781">
        <v>12500</v>
      </c>
      <c r="M2781" t="s">
        <v>2014</v>
      </c>
      <c r="N2781" t="s">
        <v>1776</v>
      </c>
      <c r="O2781">
        <v>1008</v>
      </c>
      <c r="P2781" t="s">
        <v>2049</v>
      </c>
      <c r="Q2781" t="s">
        <v>2170</v>
      </c>
      <c r="R2781" s="1">
        <v>0</v>
      </c>
    </row>
    <row r="2782" spans="1:18" customFormat="1">
      <c r="A2782">
        <v>50202052</v>
      </c>
      <c r="B2782">
        <v>0</v>
      </c>
      <c r="C2782" t="s">
        <v>2105</v>
      </c>
      <c r="D2782" t="s">
        <v>12</v>
      </c>
      <c r="E2782">
        <v>5</v>
      </c>
      <c r="F2782" s="1">
        <v>5</v>
      </c>
      <c r="G2782">
        <v>20</v>
      </c>
      <c r="H2782" t="s">
        <v>2121</v>
      </c>
      <c r="I2782">
        <v>40000</v>
      </c>
      <c r="J2782">
        <v>150</v>
      </c>
      <c r="K2782">
        <v>5000</v>
      </c>
      <c r="L2782">
        <v>12500</v>
      </c>
      <c r="M2782" t="s">
        <v>2014</v>
      </c>
      <c r="N2782" t="s">
        <v>1776</v>
      </c>
      <c r="O2782">
        <v>1008</v>
      </c>
      <c r="P2782" t="s">
        <v>2049</v>
      </c>
      <c r="Q2782" t="s">
        <v>2172</v>
      </c>
      <c r="R2782" s="1">
        <v>0</v>
      </c>
    </row>
    <row r="2783" spans="1:18" customFormat="1">
      <c r="A2783">
        <v>50203052</v>
      </c>
      <c r="B2783">
        <v>0</v>
      </c>
      <c r="C2783" t="s">
        <v>2107</v>
      </c>
      <c r="D2783" t="s">
        <v>12</v>
      </c>
      <c r="E2783">
        <v>5</v>
      </c>
      <c r="F2783" s="1">
        <v>5</v>
      </c>
      <c r="G2783">
        <v>20</v>
      </c>
      <c r="H2783" t="s">
        <v>2122</v>
      </c>
      <c r="I2783">
        <v>40000</v>
      </c>
      <c r="J2783">
        <v>150</v>
      </c>
      <c r="K2783">
        <v>5000</v>
      </c>
      <c r="L2783">
        <v>12500</v>
      </c>
      <c r="M2783" t="s">
        <v>2014</v>
      </c>
      <c r="N2783" t="s">
        <v>1776</v>
      </c>
      <c r="O2783">
        <v>1008</v>
      </c>
      <c r="P2783" t="s">
        <v>2049</v>
      </c>
      <c r="Q2783" t="s">
        <v>2174</v>
      </c>
      <c r="R2783" s="1">
        <v>0</v>
      </c>
    </row>
    <row r="2784" spans="1:18" customFormat="1">
      <c r="A2784">
        <v>50351062</v>
      </c>
      <c r="B2784">
        <v>0</v>
      </c>
      <c r="C2784" t="s">
        <v>2118</v>
      </c>
      <c r="D2784" t="s">
        <v>13</v>
      </c>
      <c r="E2784">
        <v>6</v>
      </c>
      <c r="F2784" s="1">
        <v>5</v>
      </c>
      <c r="G2784">
        <v>35</v>
      </c>
      <c r="H2784" t="s">
        <v>2120</v>
      </c>
      <c r="I2784">
        <v>70000</v>
      </c>
      <c r="J2784">
        <v>150</v>
      </c>
      <c r="K2784">
        <v>5000</v>
      </c>
      <c r="L2784">
        <v>20000</v>
      </c>
      <c r="M2784" t="s">
        <v>1910</v>
      </c>
      <c r="N2784" t="s">
        <v>1782</v>
      </c>
      <c r="O2784">
        <v>1007</v>
      </c>
      <c r="P2784" t="s">
        <v>2052</v>
      </c>
      <c r="Q2784" t="s">
        <v>2205</v>
      </c>
      <c r="R2784" s="1">
        <v>0</v>
      </c>
    </row>
    <row r="2785" spans="1:18" customFormat="1">
      <c r="A2785">
        <v>50352062</v>
      </c>
      <c r="B2785">
        <v>0</v>
      </c>
      <c r="C2785" t="s">
        <v>2466</v>
      </c>
      <c r="D2785" t="s">
        <v>13</v>
      </c>
      <c r="E2785">
        <v>6</v>
      </c>
      <c r="F2785" s="1">
        <v>5</v>
      </c>
      <c r="G2785">
        <v>35</v>
      </c>
      <c r="H2785" t="s">
        <v>2121</v>
      </c>
      <c r="I2785">
        <v>70000</v>
      </c>
      <c r="J2785">
        <v>150</v>
      </c>
      <c r="K2785">
        <v>5000</v>
      </c>
      <c r="L2785">
        <v>20000</v>
      </c>
      <c r="M2785" t="s">
        <v>1912</v>
      </c>
      <c r="N2785" t="s">
        <v>1782</v>
      </c>
      <c r="O2785">
        <v>1007</v>
      </c>
      <c r="P2785" t="s">
        <v>2052</v>
      </c>
      <c r="Q2785" t="s">
        <v>2209</v>
      </c>
      <c r="R2785" s="1">
        <v>0</v>
      </c>
    </row>
    <row r="2786" spans="1:18" customFormat="1" ht="14.25" thickBot="1">
      <c r="A2786">
        <v>50353062</v>
      </c>
      <c r="B2786">
        <v>0</v>
      </c>
      <c r="C2786" t="s">
        <v>2467</v>
      </c>
      <c r="D2786" t="s">
        <v>13</v>
      </c>
      <c r="E2786">
        <v>6</v>
      </c>
      <c r="F2786" s="1">
        <v>5</v>
      </c>
      <c r="G2786">
        <v>35</v>
      </c>
      <c r="H2786" t="s">
        <v>2122</v>
      </c>
      <c r="I2786">
        <v>70000</v>
      </c>
      <c r="J2786">
        <v>150</v>
      </c>
      <c r="K2786">
        <v>5000</v>
      </c>
      <c r="L2786">
        <v>20000</v>
      </c>
      <c r="M2786" t="s">
        <v>1914</v>
      </c>
      <c r="N2786" t="s">
        <v>1782</v>
      </c>
      <c r="O2786">
        <v>1007</v>
      </c>
      <c r="P2786" t="s">
        <v>2052</v>
      </c>
      <c r="Q2786" t="s">
        <v>2212</v>
      </c>
      <c r="R2786" s="1">
        <v>0</v>
      </c>
    </row>
    <row r="2787" spans="1:18" ht="14.25" thickBot="1">
      <c r="A2787" s="1">
        <v>66666666</v>
      </c>
      <c r="B2787" s="2">
        <v>0</v>
      </c>
      <c r="C2787" s="9" t="s">
        <v>2468</v>
      </c>
      <c r="D2787" s="1" t="s">
        <v>2332</v>
      </c>
      <c r="E2787" s="1">
        <v>5</v>
      </c>
      <c r="F2787" s="1">
        <v>5</v>
      </c>
      <c r="G2787" s="1">
        <v>1</v>
      </c>
      <c r="H2787" s="10" t="s">
        <v>2329</v>
      </c>
      <c r="I2787" s="1">
        <v>146000</v>
      </c>
      <c r="J2787" s="1">
        <v>150</v>
      </c>
      <c r="K2787">
        <v>5000</v>
      </c>
      <c r="L2787" s="1">
        <v>40000</v>
      </c>
      <c r="M2787" s="1" t="s">
        <v>2330</v>
      </c>
      <c r="N2787" s="10" t="s">
        <v>2331</v>
      </c>
      <c r="O2787" s="1">
        <v>0</v>
      </c>
      <c r="P2787" s="1" t="s">
        <v>2059</v>
      </c>
      <c r="Q2787" s="7" t="s">
        <v>2328</v>
      </c>
      <c r="R2787" s="1">
        <v>0</v>
      </c>
    </row>
    <row r="2788" spans="1:18" ht="14.25" thickBot="1">
      <c r="A2788" s="1">
        <v>50250022</v>
      </c>
      <c r="B2788" s="3">
        <v>0</v>
      </c>
      <c r="C2788" s="1" t="s">
        <v>2334</v>
      </c>
      <c r="D2788" s="1" t="s">
        <v>9</v>
      </c>
      <c r="E2788" s="1">
        <v>2</v>
      </c>
      <c r="F2788" s="1">
        <v>5</v>
      </c>
      <c r="G2788" s="1">
        <v>25</v>
      </c>
      <c r="H2788" s="10">
        <v>0</v>
      </c>
      <c r="I2788" s="1">
        <v>50000</v>
      </c>
      <c r="J2788" s="1">
        <v>150</v>
      </c>
      <c r="K2788">
        <v>5000</v>
      </c>
      <c r="L2788" s="1">
        <v>15000</v>
      </c>
      <c r="M2788" s="1" t="s">
        <v>1874</v>
      </c>
      <c r="N2788" s="1" t="s">
        <v>1777</v>
      </c>
      <c r="O2788" s="1">
        <v>1001</v>
      </c>
      <c r="P2788" s="1" t="s">
        <v>2050</v>
      </c>
      <c r="Q2788" s="7" t="s">
        <v>2182</v>
      </c>
      <c r="R2788" s="1">
        <v>0</v>
      </c>
    </row>
    <row r="2789" spans="1:18" ht="14.25" thickBot="1">
      <c r="A2789" s="1">
        <v>50300082</v>
      </c>
      <c r="B2789" s="3">
        <v>0</v>
      </c>
      <c r="C2789" s="1" t="s">
        <v>2069</v>
      </c>
      <c r="D2789" s="1" t="s">
        <v>15</v>
      </c>
      <c r="E2789" s="1">
        <v>8</v>
      </c>
      <c r="F2789" s="1">
        <v>5</v>
      </c>
      <c r="G2789" s="1">
        <v>30</v>
      </c>
      <c r="H2789" s="10">
        <v>0</v>
      </c>
      <c r="I2789" s="1">
        <v>60000</v>
      </c>
      <c r="J2789" s="1">
        <v>150</v>
      </c>
      <c r="K2789">
        <v>5000</v>
      </c>
      <c r="L2789" s="1">
        <v>17500</v>
      </c>
      <c r="M2789" s="1" t="s">
        <v>1891</v>
      </c>
      <c r="N2789" s="1" t="s">
        <v>1779</v>
      </c>
      <c r="O2789" s="1">
        <v>1002</v>
      </c>
      <c r="P2789" s="1" t="s">
        <v>2051</v>
      </c>
      <c r="Q2789" s="7" t="s">
        <v>2199</v>
      </c>
      <c r="R2789" s="1">
        <v>0</v>
      </c>
    </row>
    <row r="2790" spans="1:18">
      <c r="A2790" s="1">
        <v>50350102</v>
      </c>
      <c r="B2790" s="1">
        <v>0</v>
      </c>
      <c r="C2790" s="1" t="s">
        <v>2333</v>
      </c>
      <c r="D2790" s="1" t="s">
        <v>17</v>
      </c>
      <c r="E2790" s="1">
        <v>10</v>
      </c>
      <c r="F2790" s="1">
        <v>5</v>
      </c>
      <c r="G2790" s="1">
        <v>35</v>
      </c>
      <c r="H2790" s="10">
        <v>0</v>
      </c>
      <c r="I2790" s="1">
        <v>70000</v>
      </c>
      <c r="J2790" s="1">
        <v>150</v>
      </c>
      <c r="K2790">
        <v>5000</v>
      </c>
      <c r="L2790" s="1">
        <v>20000</v>
      </c>
      <c r="M2790" s="1" t="s">
        <v>1908</v>
      </c>
      <c r="N2790" s="1" t="s">
        <v>1781</v>
      </c>
      <c r="O2790" s="1">
        <v>1003</v>
      </c>
      <c r="P2790" s="1" t="s">
        <v>2052</v>
      </c>
      <c r="Q2790" s="7" t="s">
        <v>2222</v>
      </c>
      <c r="R2790" s="1">
        <v>0</v>
      </c>
    </row>
    <row r="2791" spans="1:18">
      <c r="A2791" s="1">
        <v>50300012</v>
      </c>
      <c r="B2791" s="1">
        <v>0</v>
      </c>
      <c r="C2791" s="1" t="s">
        <v>2063</v>
      </c>
      <c r="D2791" s="1" t="s">
        <v>8</v>
      </c>
      <c r="E2791" s="1">
        <v>1</v>
      </c>
      <c r="F2791" s="1">
        <v>5</v>
      </c>
      <c r="G2791" s="1">
        <v>30</v>
      </c>
      <c r="H2791" s="10">
        <v>0</v>
      </c>
      <c r="I2791" s="1">
        <v>60000</v>
      </c>
      <c r="J2791" s="1">
        <v>150</v>
      </c>
      <c r="K2791" s="1">
        <v>1500</v>
      </c>
      <c r="L2791" s="1">
        <v>17500</v>
      </c>
      <c r="M2791" s="1" t="s">
        <v>1889</v>
      </c>
      <c r="N2791" s="1" t="s">
        <v>1779</v>
      </c>
      <c r="O2791" s="1">
        <v>1009</v>
      </c>
      <c r="P2791" s="1" t="s">
        <v>2051</v>
      </c>
      <c r="Q2791" s="7" t="s">
        <v>2197</v>
      </c>
      <c r="R2791" s="1">
        <v>0</v>
      </c>
    </row>
    <row r="2792" spans="1:18">
      <c r="A2792" s="1">
        <v>50300032</v>
      </c>
      <c r="B2792" s="1">
        <v>0</v>
      </c>
      <c r="C2792" s="1" t="s">
        <v>2544</v>
      </c>
      <c r="D2792" s="1" t="s">
        <v>10</v>
      </c>
      <c r="E2792" s="1">
        <v>3</v>
      </c>
      <c r="F2792" s="1">
        <v>5</v>
      </c>
      <c r="G2792" s="1">
        <v>30</v>
      </c>
      <c r="H2792" s="10">
        <v>0</v>
      </c>
      <c r="I2792" s="1">
        <v>60000</v>
      </c>
      <c r="J2792" s="1">
        <v>150</v>
      </c>
      <c r="K2792" s="1">
        <v>1500</v>
      </c>
      <c r="L2792" s="1">
        <v>17500</v>
      </c>
      <c r="M2792" s="1" t="s">
        <v>2473</v>
      </c>
      <c r="N2792" s="1" t="s">
        <v>1779</v>
      </c>
      <c r="O2792" s="1">
        <v>1004</v>
      </c>
      <c r="P2792" s="1" t="s">
        <v>2051</v>
      </c>
      <c r="Q2792" s="7" t="s">
        <v>2138</v>
      </c>
      <c r="R2792" s="1">
        <v>0</v>
      </c>
    </row>
    <row r="2793" spans="1:18">
      <c r="A2793" s="1">
        <v>50300092</v>
      </c>
      <c r="B2793" s="1">
        <v>0</v>
      </c>
      <c r="C2793" s="1" t="s">
        <v>2073</v>
      </c>
      <c r="D2793" s="1" t="s">
        <v>16</v>
      </c>
      <c r="E2793" s="1">
        <v>9</v>
      </c>
      <c r="F2793" s="1">
        <v>5</v>
      </c>
      <c r="G2793" s="1">
        <v>30</v>
      </c>
      <c r="H2793" s="10">
        <v>0</v>
      </c>
      <c r="I2793" s="1">
        <v>60000</v>
      </c>
      <c r="J2793" s="1">
        <v>150</v>
      </c>
      <c r="K2793" s="1">
        <v>1500</v>
      </c>
      <c r="L2793" s="1">
        <v>17500</v>
      </c>
      <c r="M2793" s="1" t="s">
        <v>1892</v>
      </c>
      <c r="N2793" s="1" t="s">
        <v>1779</v>
      </c>
      <c r="O2793" s="1">
        <v>1010</v>
      </c>
      <c r="P2793" s="1" t="s">
        <v>2051</v>
      </c>
      <c r="Q2793" s="7" t="s">
        <v>2200</v>
      </c>
      <c r="R2793" s="1">
        <v>0</v>
      </c>
    </row>
    <row r="2794" spans="1:18">
      <c r="A2794" s="1">
        <v>50300042</v>
      </c>
      <c r="B2794" s="1">
        <v>0</v>
      </c>
      <c r="C2794" s="1" t="s">
        <v>2549</v>
      </c>
      <c r="D2794" s="1" t="s">
        <v>11</v>
      </c>
      <c r="E2794" s="1">
        <v>4</v>
      </c>
      <c r="F2794" s="1">
        <v>5</v>
      </c>
      <c r="G2794" s="1">
        <v>30</v>
      </c>
      <c r="H2794" s="10">
        <v>0</v>
      </c>
      <c r="I2794" s="1">
        <v>66000</v>
      </c>
      <c r="J2794" s="1">
        <v>150</v>
      </c>
      <c r="K2794" s="1">
        <v>1500</v>
      </c>
      <c r="L2794" s="1">
        <v>20000</v>
      </c>
      <c r="M2794" s="1" t="s">
        <v>1902</v>
      </c>
      <c r="N2794" s="1" t="s">
        <v>1779</v>
      </c>
      <c r="O2794" s="1">
        <v>1005</v>
      </c>
      <c r="P2794" s="1" t="s">
        <v>2051</v>
      </c>
      <c r="Q2794" s="7" t="s">
        <v>2214</v>
      </c>
      <c r="R2794" s="1">
        <v>0</v>
      </c>
    </row>
    <row r="2795" spans="1:18">
      <c r="A2795" s="1">
        <v>50300072</v>
      </c>
      <c r="B2795" s="1">
        <v>0</v>
      </c>
      <c r="C2795" s="1" t="s">
        <v>2550</v>
      </c>
      <c r="D2795" s="1" t="s">
        <v>14</v>
      </c>
      <c r="E2795" s="1">
        <v>7</v>
      </c>
      <c r="F2795" s="1">
        <v>5</v>
      </c>
      <c r="G2795" s="1">
        <v>30</v>
      </c>
      <c r="H2795" s="10">
        <v>0</v>
      </c>
      <c r="I2795" s="1">
        <v>66000</v>
      </c>
      <c r="J2795" s="1">
        <v>150</v>
      </c>
      <c r="K2795" s="1">
        <v>1500</v>
      </c>
      <c r="L2795" s="1">
        <v>20000</v>
      </c>
      <c r="M2795" s="1" t="s">
        <v>1902</v>
      </c>
      <c r="N2795" s="1" t="s">
        <v>1779</v>
      </c>
      <c r="O2795" s="1">
        <v>1006</v>
      </c>
      <c r="P2795" s="1" t="s">
        <v>2051</v>
      </c>
      <c r="Q2795" s="7" t="s">
        <v>2216</v>
      </c>
      <c r="R2795" s="1"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2791"/>
  <sheetViews>
    <sheetView topLeftCell="A2766" workbookViewId="0">
      <selection activeCell="B2790" sqref="A1:O2791"/>
    </sheetView>
  </sheetViews>
  <sheetFormatPr defaultColWidth="9" defaultRowHeight="13.5"/>
  <cols>
    <col min="1" max="1" width="9.5" bestFit="1" customWidth="1"/>
    <col min="2" max="2" width="9.125" bestFit="1" customWidth="1"/>
    <col min="3" max="3" width="15.5" customWidth="1"/>
    <col min="4" max="4" width="14.875" customWidth="1"/>
    <col min="5" max="5" width="20.5" customWidth="1"/>
    <col min="6" max="6" width="20.625" customWidth="1"/>
    <col min="7" max="7" width="23.125" customWidth="1"/>
    <col min="8" max="8" width="22.75" customWidth="1"/>
    <col min="9" max="9" width="27.75" customWidth="1"/>
    <col min="10" max="10" width="31" customWidth="1"/>
    <col min="11" max="11" width="26" customWidth="1"/>
    <col min="12" max="12" width="28.75" customWidth="1"/>
    <col min="13" max="13" width="21.625" customWidth="1"/>
  </cols>
  <sheetData>
    <row r="1" spans="1:15">
      <c r="A1" s="14" t="s">
        <v>0</v>
      </c>
      <c r="B1" s="15" t="s">
        <v>2937</v>
      </c>
      <c r="C1" s="14" t="s">
        <v>1</v>
      </c>
      <c r="D1" s="16" t="s">
        <v>2938</v>
      </c>
      <c r="E1" s="16" t="s">
        <v>2938</v>
      </c>
      <c r="F1" s="14" t="s">
        <v>2</v>
      </c>
      <c r="G1" s="14" t="s">
        <v>3</v>
      </c>
      <c r="H1" s="14" t="s">
        <v>4</v>
      </c>
      <c r="I1" s="14" t="s">
        <v>6</v>
      </c>
      <c r="J1" s="14" t="s">
        <v>7</v>
      </c>
      <c r="K1" s="14" t="s">
        <v>2939</v>
      </c>
      <c r="L1" s="14" t="s">
        <v>2940</v>
      </c>
      <c r="M1" s="17" t="s">
        <v>2941</v>
      </c>
      <c r="N1" s="14" t="s">
        <v>2942</v>
      </c>
      <c r="O1" s="14" t="s">
        <v>2946</v>
      </c>
    </row>
    <row r="2" spans="1:15">
      <c r="A2" s="14" t="str">
        <f>equip.xml!A6</f>
        <v>10010010</v>
      </c>
      <c r="B2" s="14">
        <f>equip.xml!B6</f>
        <v>0</v>
      </c>
      <c r="C2" s="14" t="str">
        <f>equip.xml!C6</f>
        <v>纹饰帽</v>
      </c>
      <c r="D2" s="14" t="str">
        <f>equip.xml!D6</f>
        <v>头盔</v>
      </c>
      <c r="E2" s="14">
        <f>equip.xml!E6</f>
        <v>1</v>
      </c>
      <c r="F2" s="14">
        <f>equip.xml!F6</f>
        <v>1</v>
      </c>
      <c r="G2" s="14">
        <f>equip.xml!G6</f>
        <v>1</v>
      </c>
      <c r="H2" s="14">
        <f>equip.xml!H6</f>
        <v>0</v>
      </c>
      <c r="I2" s="14">
        <f>equip.xml!J6</f>
        <v>5</v>
      </c>
      <c r="J2" s="14">
        <f>equip.xml!K6</f>
        <v>0</v>
      </c>
      <c r="K2" s="14">
        <f>equip.xml!L6</f>
        <v>0</v>
      </c>
      <c r="L2" s="14" t="str">
        <f>equip.xml!M6</f>
        <v>106_0_0</v>
      </c>
      <c r="M2" s="17" t="str">
        <f>equip.xml!Q6</f>
        <v>equipment/3001.png</v>
      </c>
      <c r="N2" s="16" t="str">
        <f>equip.xml!P6</f>
        <v>10000_1002_1000,30000_30001_1,30000_30002_1,30000_30003_1</v>
      </c>
      <c r="O2">
        <f>equip.xml!R6</f>
        <v>0</v>
      </c>
    </row>
    <row r="3" spans="1:15">
      <c r="A3" s="14" t="str">
        <f>equip.xml!A7</f>
        <v>10010020</v>
      </c>
      <c r="B3" s="14">
        <f>equip.xml!B7</f>
        <v>0</v>
      </c>
      <c r="C3" s="14" t="str">
        <f>equip.xml!C7</f>
        <v>金戒指</v>
      </c>
      <c r="D3" s="14" t="str">
        <f>equip.xml!D7</f>
        <v>戒指</v>
      </c>
      <c r="E3" s="14">
        <f>equip.xml!E7</f>
        <v>2</v>
      </c>
      <c r="F3" s="14">
        <f>equip.xml!F7</f>
        <v>1</v>
      </c>
      <c r="G3" s="14">
        <f>equip.xml!G7</f>
        <v>1</v>
      </c>
      <c r="H3" s="14">
        <f>equip.xml!H7</f>
        <v>0</v>
      </c>
      <c r="I3" s="14">
        <f>equip.xml!J7</f>
        <v>5</v>
      </c>
      <c r="J3" s="14">
        <f>equip.xml!K7</f>
        <v>0</v>
      </c>
      <c r="K3" s="14">
        <f>equip.xml!L7</f>
        <v>0</v>
      </c>
      <c r="L3" s="14" t="str">
        <f>equip.xml!M7</f>
        <v>102_20_20</v>
      </c>
      <c r="M3" s="17" t="str">
        <f>equip.xml!Q7</f>
        <v>equipment/14001.png</v>
      </c>
      <c r="N3" s="16" t="str">
        <f>equip.xml!P7</f>
        <v>10000_1002_1000,30000_30001_1,30000_30002_1,30000_30003_1</v>
      </c>
      <c r="O3">
        <f>equip.xml!R7</f>
        <v>0</v>
      </c>
    </row>
    <row r="4" spans="1:15">
      <c r="A4" s="14" t="str">
        <f>equip.xml!A8</f>
        <v>10010030</v>
      </c>
      <c r="B4" s="14">
        <f>equip.xml!B8</f>
        <v>0</v>
      </c>
      <c r="C4" s="14" t="str">
        <f>equip.xml!C8</f>
        <v>兽皮腰带</v>
      </c>
      <c r="D4" s="14" t="str">
        <f>equip.xml!D8</f>
        <v>腰带</v>
      </c>
      <c r="E4" s="14">
        <f>equip.xml!E8</f>
        <v>3</v>
      </c>
      <c r="F4" s="14">
        <f>equip.xml!F8</f>
        <v>1</v>
      </c>
      <c r="G4" s="14">
        <f>equip.xml!G8</f>
        <v>1</v>
      </c>
      <c r="H4" s="14">
        <f>equip.xml!H8</f>
        <v>0</v>
      </c>
      <c r="I4" s="14">
        <f>equip.xml!J8</f>
        <v>5</v>
      </c>
      <c r="J4" s="14">
        <f>equip.xml!K8</f>
        <v>0</v>
      </c>
      <c r="K4" s="14">
        <f>equip.xml!L8</f>
        <v>0</v>
      </c>
      <c r="L4" s="14" t="str">
        <f>equip.xml!M8</f>
        <v>101_100_100</v>
      </c>
      <c r="M4" s="17" t="str">
        <f>equip.xml!Q8</f>
        <v>equipment/6001.png</v>
      </c>
      <c r="N4" s="16" t="str">
        <f>equip.xml!P8</f>
        <v>10000_1002_1000,30000_30001_1,30000_30002_1,30000_30003_1</v>
      </c>
      <c r="O4">
        <f>equip.xml!R8</f>
        <v>0</v>
      </c>
    </row>
    <row r="5" spans="1:15">
      <c r="A5" s="14" t="str">
        <f>equip.xml!A9</f>
        <v>10010080</v>
      </c>
      <c r="B5" s="14">
        <f>equip.xml!B9</f>
        <v>1</v>
      </c>
      <c r="C5" s="14" t="str">
        <f>equip.xml!C9</f>
        <v>皮靴</v>
      </c>
      <c r="D5" s="14" t="str">
        <f>equip.xml!D9</f>
        <v>鞋子</v>
      </c>
      <c r="E5" s="14">
        <f>equip.xml!E9</f>
        <v>8</v>
      </c>
      <c r="F5" s="14">
        <f>equip.xml!F9</f>
        <v>1</v>
      </c>
      <c r="G5" s="14">
        <f>equip.xml!G9</f>
        <v>1</v>
      </c>
      <c r="H5" s="14">
        <f>equip.xml!H9</f>
        <v>0</v>
      </c>
      <c r="I5" s="14">
        <f>equip.xml!J9</f>
        <v>5</v>
      </c>
      <c r="J5" s="14">
        <f>equip.xml!K9</f>
        <v>0</v>
      </c>
      <c r="K5" s="14">
        <f>equip.xml!L9</f>
        <v>0</v>
      </c>
      <c r="L5" s="14" t="str">
        <f>equip.xml!M9</f>
        <v>110_4_4</v>
      </c>
      <c r="M5" s="17" t="str">
        <f>equip.xml!Q9</f>
        <v>equipment/8001.png</v>
      </c>
      <c r="N5" s="16" t="str">
        <f>equip.xml!P9</f>
        <v>10000_1002_1000,30000_30001_1,30000_30002_1,30000_30003_1</v>
      </c>
      <c r="O5">
        <f>equip.xml!R9</f>
        <v>0</v>
      </c>
    </row>
    <row r="6" spans="1:15">
      <c r="A6" s="14" t="str">
        <f>equip.xml!A10</f>
        <v>10010090</v>
      </c>
      <c r="B6" s="14">
        <f>equip.xml!B10</f>
        <v>1</v>
      </c>
      <c r="C6" s="14" t="str">
        <f>equip.xml!C10</f>
        <v>轻布手套</v>
      </c>
      <c r="D6" s="14" t="str">
        <f>equip.xml!D10</f>
        <v>手套</v>
      </c>
      <c r="E6" s="14">
        <f>equip.xml!E10</f>
        <v>9</v>
      </c>
      <c r="F6" s="14">
        <f>equip.xml!F10</f>
        <v>1</v>
      </c>
      <c r="G6" s="14">
        <f>equip.xml!G10</f>
        <v>1</v>
      </c>
      <c r="H6" s="14">
        <f>equip.xml!H10</f>
        <v>0</v>
      </c>
      <c r="I6" s="14">
        <f>equip.xml!J10</f>
        <v>5</v>
      </c>
      <c r="J6" s="14">
        <f>equip.xml!K10</f>
        <v>0</v>
      </c>
      <c r="K6" s="14">
        <f>equip.xml!L10</f>
        <v>0</v>
      </c>
      <c r="L6" s="14" t="str">
        <f>equip.xml!M10</f>
        <v>108_9_9</v>
      </c>
      <c r="M6" s="17" t="str">
        <f>equip.xml!Q10</f>
        <v>equipment/10001.png</v>
      </c>
      <c r="N6" s="16" t="str">
        <f>equip.xml!P10</f>
        <v>10000_1002_1000,30000_30001_1,30000_30002_1,30000_30003_1</v>
      </c>
      <c r="O6">
        <f>equip.xml!R10</f>
        <v>0</v>
      </c>
    </row>
    <row r="7" spans="1:15">
      <c r="A7" s="14" t="str">
        <f>equip.xml!A11</f>
        <v>10010100</v>
      </c>
      <c r="B7" s="14">
        <f>equip.xml!B11</f>
        <v>0</v>
      </c>
      <c r="C7" s="14" t="str">
        <f>equip.xml!C11</f>
        <v>贝壳项链</v>
      </c>
      <c r="D7" s="14" t="str">
        <f>equip.xml!D11</f>
        <v>项链</v>
      </c>
      <c r="E7" s="14">
        <f>equip.xml!E11</f>
        <v>10</v>
      </c>
      <c r="F7" s="14">
        <f>equip.xml!F11</f>
        <v>1</v>
      </c>
      <c r="G7" s="14">
        <f>equip.xml!G11</f>
        <v>1</v>
      </c>
      <c r="H7" s="14">
        <f>equip.xml!H11</f>
        <v>0</v>
      </c>
      <c r="I7" s="14">
        <f>equip.xml!J11</f>
        <v>5</v>
      </c>
      <c r="J7" s="14">
        <f>equip.xml!K11</f>
        <v>0</v>
      </c>
      <c r="K7" s="14">
        <f>equip.xml!L11</f>
        <v>0</v>
      </c>
      <c r="L7" s="14" t="str">
        <f>equip.xml!M11</f>
        <v>107_0_0</v>
      </c>
      <c r="M7" s="17" t="str">
        <f>equip.xml!Q11</f>
        <v>equipment/12001.png</v>
      </c>
      <c r="N7" s="16" t="str">
        <f>equip.xml!P11</f>
        <v>10000_1002_1000,30000_30001_1,30000_30002_1,30000_30003_1</v>
      </c>
      <c r="O7">
        <f>equip.xml!R11</f>
        <v>0</v>
      </c>
    </row>
    <row r="8" spans="1:15">
      <c r="A8" s="14" t="str">
        <f>equip.xml!A12</f>
        <v>10011050</v>
      </c>
      <c r="B8" s="14">
        <f>equip.xml!B12</f>
        <v>1</v>
      </c>
      <c r="C8" s="14" t="str">
        <f>equip.xml!C12</f>
        <v>短剑</v>
      </c>
      <c r="D8" s="14" t="str">
        <f>equip.xml!D12</f>
        <v>主手武器</v>
      </c>
      <c r="E8" s="14">
        <f>equip.xml!E12</f>
        <v>5</v>
      </c>
      <c r="F8" s="14">
        <f>equip.xml!F12</f>
        <v>1</v>
      </c>
      <c r="G8" s="14">
        <f>equip.xml!G12</f>
        <v>1</v>
      </c>
      <c r="H8" s="14" t="str">
        <f>equip.xml!H12</f>
        <v>1,1001</v>
      </c>
      <c r="I8" s="14">
        <f>equip.xml!J12</f>
        <v>5</v>
      </c>
      <c r="J8" s="14">
        <f>equip.xml!K12</f>
        <v>0</v>
      </c>
      <c r="K8" s="14">
        <f>equip.xml!L12</f>
        <v>0</v>
      </c>
      <c r="L8" s="14" t="str">
        <f>equip.xml!M12</f>
        <v>103_2_2,104_6_6</v>
      </c>
      <c r="M8" s="17" t="str">
        <f>equip.xml!Q12</f>
        <v>equipment/1101.png</v>
      </c>
      <c r="N8" s="16" t="str">
        <f>equip.xml!P12</f>
        <v>10000_1002_1000,30000_30001_1,30000_30002_1,30000_30003_1</v>
      </c>
      <c r="O8">
        <f>equip.xml!R12</f>
        <v>0</v>
      </c>
    </row>
    <row r="9" spans="1:15">
      <c r="A9" s="14" t="str">
        <f>equip.xml!A13</f>
        <v>10011051</v>
      </c>
      <c r="B9" s="14">
        <f>equip.xml!B13</f>
        <v>1</v>
      </c>
      <c r="C9" s="14" t="str">
        <f>equip.xml!C13</f>
        <v>军刀</v>
      </c>
      <c r="D9" s="14" t="str">
        <f>equip.xml!D13</f>
        <v>主手武器</v>
      </c>
      <c r="E9" s="14">
        <f>equip.xml!E13</f>
        <v>5</v>
      </c>
      <c r="F9" s="14">
        <f>equip.xml!F13</f>
        <v>1</v>
      </c>
      <c r="G9" s="14">
        <f>equip.xml!G13</f>
        <v>1</v>
      </c>
      <c r="H9" s="14" t="str">
        <f>equip.xml!H13</f>
        <v>1,1001</v>
      </c>
      <c r="I9" s="14">
        <f>equip.xml!J13</f>
        <v>5</v>
      </c>
      <c r="J9" s="14">
        <f>equip.xml!K13</f>
        <v>0</v>
      </c>
      <c r="K9" s="14">
        <f>equip.xml!L13</f>
        <v>0</v>
      </c>
      <c r="L9" s="14" t="str">
        <f>equip.xml!M13</f>
        <v>103_5_5,104_12_12</v>
      </c>
      <c r="M9" s="17" t="str">
        <f>equip.xml!Q13</f>
        <v>equipment/1102.png</v>
      </c>
      <c r="N9" s="16" t="str">
        <f>equip.xml!P13</f>
        <v>10000_1002_1000,30000_30001_1,30000_30002_1,30000_30003_1</v>
      </c>
      <c r="O9">
        <f>equip.xml!R13</f>
        <v>0</v>
      </c>
    </row>
    <row r="10" spans="1:15">
      <c r="A10" s="14" t="str">
        <f>equip.xml!A14</f>
        <v>10011060</v>
      </c>
      <c r="B10" s="14">
        <f>equip.xml!B14</f>
        <v>1</v>
      </c>
      <c r="C10" s="14" t="str">
        <f>equip.xml!C14</f>
        <v>小圆盾</v>
      </c>
      <c r="D10" s="14" t="str">
        <f>equip.xml!D14</f>
        <v>副手武器</v>
      </c>
      <c r="E10" s="14">
        <f>equip.xml!E14</f>
        <v>6</v>
      </c>
      <c r="F10" s="14">
        <f>equip.xml!F14</f>
        <v>1</v>
      </c>
      <c r="G10" s="14">
        <f>equip.xml!G14</f>
        <v>1</v>
      </c>
      <c r="H10" s="14" t="str">
        <f>equip.xml!H14</f>
        <v>1,1001</v>
      </c>
      <c r="I10" s="14">
        <f>equip.xml!J14</f>
        <v>5</v>
      </c>
      <c r="J10" s="14">
        <f>equip.xml!K14</f>
        <v>0</v>
      </c>
      <c r="K10" s="14">
        <f>equip.xml!L14</f>
        <v>0</v>
      </c>
      <c r="L10" s="14" t="str">
        <f>equip.xml!M14</f>
        <v>105_4_4</v>
      </c>
      <c r="M10" s="17" t="str">
        <f>equip.xml!Q14</f>
        <v>equipment/2101.png</v>
      </c>
      <c r="N10" s="16" t="str">
        <f>equip.xml!P14</f>
        <v>10000_1002_1000,30000_30001_1,30000_30002_1,30000_30003_1</v>
      </c>
      <c r="O10">
        <f>equip.xml!R14</f>
        <v>0</v>
      </c>
    </row>
    <row r="11" spans="1:15">
      <c r="A11" s="14" t="str">
        <f>equip.xml!A15</f>
        <v>10011061</v>
      </c>
      <c r="B11" s="14">
        <f>equip.xml!B15</f>
        <v>0</v>
      </c>
      <c r="C11" s="14" t="str">
        <f>equip.xml!C15</f>
        <v>尖头盾</v>
      </c>
      <c r="D11" s="14" t="str">
        <f>equip.xml!D15</f>
        <v>副手武器</v>
      </c>
      <c r="E11" s="14">
        <f>equip.xml!E15</f>
        <v>6</v>
      </c>
      <c r="F11" s="14">
        <f>equip.xml!F15</f>
        <v>1</v>
      </c>
      <c r="G11" s="14">
        <f>equip.xml!G15</f>
        <v>1</v>
      </c>
      <c r="H11" s="14" t="str">
        <f>equip.xml!H15</f>
        <v>1,1001</v>
      </c>
      <c r="I11" s="14">
        <f>equip.xml!J15</f>
        <v>5</v>
      </c>
      <c r="J11" s="14">
        <f>equip.xml!K15</f>
        <v>0</v>
      </c>
      <c r="K11" s="14">
        <f>equip.xml!L15</f>
        <v>0</v>
      </c>
      <c r="L11" s="14" t="str">
        <f>equip.xml!M15</f>
        <v>105_7_7</v>
      </c>
      <c r="M11" s="17" t="str">
        <f>equip.xml!Q15</f>
        <v>equipment/2101.png</v>
      </c>
      <c r="N11" s="16" t="str">
        <f>equip.xml!P15</f>
        <v>10000_1002_1000,30000_30001_1,30000_30002_1,30000_30003_1</v>
      </c>
      <c r="O11">
        <f>equip.xml!R15</f>
        <v>0</v>
      </c>
    </row>
    <row r="12" spans="1:15">
      <c r="A12" s="14" t="str">
        <f>equip.xml!A16</f>
        <v>10012050</v>
      </c>
      <c r="B12" s="14">
        <f>equip.xml!B16</f>
        <v>1</v>
      </c>
      <c r="C12" s="14" t="str">
        <f>equip.xml!C16</f>
        <v>短弓</v>
      </c>
      <c r="D12" s="14" t="str">
        <f>equip.xml!D16</f>
        <v>主手武器</v>
      </c>
      <c r="E12" s="14">
        <f>equip.xml!E16</f>
        <v>5</v>
      </c>
      <c r="F12" s="14">
        <f>equip.xml!F16</f>
        <v>1</v>
      </c>
      <c r="G12" s="14">
        <f>equip.xml!G16</f>
        <v>1</v>
      </c>
      <c r="H12" s="14" t="str">
        <f>equip.xml!H16</f>
        <v>2,1002</v>
      </c>
      <c r="I12" s="14">
        <f>equip.xml!J16</f>
        <v>5</v>
      </c>
      <c r="J12" s="14">
        <f>equip.xml!K16</f>
        <v>0</v>
      </c>
      <c r="K12" s="14">
        <f>equip.xml!L16</f>
        <v>0</v>
      </c>
      <c r="L12" s="14" t="str">
        <f>equip.xml!M16</f>
        <v>103_2_2,104_6_6</v>
      </c>
      <c r="M12" s="17" t="str">
        <f>equip.xml!Q16</f>
        <v>equipment/1201.png</v>
      </c>
      <c r="N12" s="16" t="str">
        <f>equip.xml!P16</f>
        <v>10000_1002_1000,30000_30001_1,30000_30002_1,30000_30003_1</v>
      </c>
      <c r="O12">
        <f>equip.xml!R16</f>
        <v>0</v>
      </c>
    </row>
    <row r="13" spans="1:15">
      <c r="A13" s="14" t="str">
        <f>equip.xml!A17</f>
        <v>10012051</v>
      </c>
      <c r="B13" s="14">
        <f>equip.xml!B17</f>
        <v>1</v>
      </c>
      <c r="C13" s="14" t="str">
        <f>equip.xml!C17</f>
        <v>棘木弓</v>
      </c>
      <c r="D13" s="14" t="str">
        <f>equip.xml!D17</f>
        <v>主手武器</v>
      </c>
      <c r="E13" s="14">
        <f>equip.xml!E17</f>
        <v>5</v>
      </c>
      <c r="F13" s="14">
        <f>equip.xml!F17</f>
        <v>1</v>
      </c>
      <c r="G13" s="14">
        <f>equip.xml!G17</f>
        <v>1</v>
      </c>
      <c r="H13" s="14" t="str">
        <f>equip.xml!H17</f>
        <v>2,1002</v>
      </c>
      <c r="I13" s="14">
        <f>equip.xml!J17</f>
        <v>5</v>
      </c>
      <c r="J13" s="14">
        <f>equip.xml!K17</f>
        <v>0</v>
      </c>
      <c r="K13" s="14">
        <f>equip.xml!L17</f>
        <v>0</v>
      </c>
      <c r="L13" s="14" t="str">
        <f>equip.xml!M17</f>
        <v>103_5_5,104_12_12</v>
      </c>
      <c r="M13" s="17" t="str">
        <f>equip.xml!Q17</f>
        <v>equipment/1202.png</v>
      </c>
      <c r="N13" s="16" t="str">
        <f>equip.xml!P17</f>
        <v>10000_1002_1000,30000_30001_1,30000_30002_1,30000_30003_1</v>
      </c>
      <c r="O13">
        <f>equip.xml!R17</f>
        <v>0</v>
      </c>
    </row>
    <row r="14" spans="1:15">
      <c r="A14" s="14" t="str">
        <f>equip.xml!A18</f>
        <v>10012060</v>
      </c>
      <c r="B14" s="14">
        <f>equip.xml!B18</f>
        <v>1</v>
      </c>
      <c r="C14" s="14" t="str">
        <f>equip.xml!C18</f>
        <v>小箭筒</v>
      </c>
      <c r="D14" s="14" t="str">
        <f>equip.xml!D18</f>
        <v>副手武器</v>
      </c>
      <c r="E14" s="14">
        <f>equip.xml!E18</f>
        <v>6</v>
      </c>
      <c r="F14" s="14">
        <f>equip.xml!F18</f>
        <v>1</v>
      </c>
      <c r="G14" s="14">
        <f>equip.xml!G18</f>
        <v>1</v>
      </c>
      <c r="H14" s="14" t="str">
        <f>equip.xml!H18</f>
        <v>2,1002</v>
      </c>
      <c r="I14" s="14">
        <f>equip.xml!J18</f>
        <v>5</v>
      </c>
      <c r="J14" s="14">
        <f>equip.xml!K18</f>
        <v>0</v>
      </c>
      <c r="K14" s="14">
        <f>equip.xml!L18</f>
        <v>0</v>
      </c>
      <c r="L14" s="14" t="str">
        <f>equip.xml!M18</f>
        <v>108_4_4</v>
      </c>
      <c r="M14" s="17" t="str">
        <f>equip.xml!Q18</f>
        <v>equipment/2201.png</v>
      </c>
      <c r="N14" s="16" t="str">
        <f>equip.xml!P18</f>
        <v>10000_1002_1000,30000_30001_1,30000_30002_1,30000_30003_1</v>
      </c>
      <c r="O14">
        <f>equip.xml!R18</f>
        <v>0</v>
      </c>
    </row>
    <row r="15" spans="1:15">
      <c r="A15" s="14" t="str">
        <f>equip.xml!A19</f>
        <v>10012061</v>
      </c>
      <c r="B15" s="14">
        <f>equip.xml!B19</f>
        <v>0</v>
      </c>
      <c r="C15" s="14" t="str">
        <f>equip.xml!C19</f>
        <v>箭筒</v>
      </c>
      <c r="D15" s="14" t="str">
        <f>equip.xml!D19</f>
        <v>副手武器</v>
      </c>
      <c r="E15" s="14">
        <f>equip.xml!E19</f>
        <v>6</v>
      </c>
      <c r="F15" s="14">
        <f>equip.xml!F19</f>
        <v>1</v>
      </c>
      <c r="G15" s="14">
        <f>equip.xml!G19</f>
        <v>1</v>
      </c>
      <c r="H15" s="14" t="str">
        <f>equip.xml!H19</f>
        <v>2,1002</v>
      </c>
      <c r="I15" s="14">
        <f>equip.xml!J19</f>
        <v>5</v>
      </c>
      <c r="J15" s="14">
        <f>equip.xml!K19</f>
        <v>0</v>
      </c>
      <c r="K15" s="14">
        <f>equip.xml!L19</f>
        <v>0</v>
      </c>
      <c r="L15" s="14" t="str">
        <f>equip.xml!M19</f>
        <v>108_7_7</v>
      </c>
      <c r="M15" s="17" t="str">
        <f>equip.xml!Q19</f>
        <v>equipment/2201.png</v>
      </c>
      <c r="N15" s="16" t="str">
        <f>equip.xml!P19</f>
        <v>10000_1002_1000,30000_30001_1,30000_30002_1,30000_30003_1</v>
      </c>
      <c r="O15">
        <f>equip.xml!R19</f>
        <v>0</v>
      </c>
    </row>
    <row r="16" spans="1:15">
      <c r="A16" s="14" t="str">
        <f>equip.xml!A20</f>
        <v>10013050</v>
      </c>
      <c r="B16" s="14">
        <f>equip.xml!B20</f>
        <v>1</v>
      </c>
      <c r="C16" s="14" t="str">
        <f>equip.xml!C20</f>
        <v>训练用杖</v>
      </c>
      <c r="D16" s="14" t="str">
        <f>equip.xml!D20</f>
        <v>主手武器</v>
      </c>
      <c r="E16" s="14">
        <f>equip.xml!E20</f>
        <v>5</v>
      </c>
      <c r="F16" s="14">
        <f>equip.xml!F20</f>
        <v>1</v>
      </c>
      <c r="G16" s="14">
        <f>equip.xml!G20</f>
        <v>1</v>
      </c>
      <c r="H16" s="14" t="str">
        <f>equip.xml!H20</f>
        <v>3,1003</v>
      </c>
      <c r="I16" s="14">
        <f>equip.xml!J20</f>
        <v>5</v>
      </c>
      <c r="J16" s="14">
        <f>equip.xml!K20</f>
        <v>0</v>
      </c>
      <c r="K16" s="14">
        <f>equip.xml!L20</f>
        <v>0</v>
      </c>
      <c r="L16" s="14" t="str">
        <f>equip.xml!M20</f>
        <v>103_2_2,104_6_6</v>
      </c>
      <c r="M16" s="17" t="str">
        <f>equip.xml!Q20</f>
        <v>equipment/1301.png</v>
      </c>
      <c r="N16" s="16" t="str">
        <f>equip.xml!P20</f>
        <v>10000_1002_1000,30000_30001_1,30000_30002_1,30000_30003_1</v>
      </c>
      <c r="O16">
        <f>equip.xml!R20</f>
        <v>0</v>
      </c>
    </row>
    <row r="17" spans="1:15">
      <c r="A17" s="14" t="str">
        <f>equip.xml!A21</f>
        <v>10013051</v>
      </c>
      <c r="B17" s="14">
        <f>equip.xml!B21</f>
        <v>1</v>
      </c>
      <c r="C17" s="14" t="str">
        <f>equip.xml!C21</f>
        <v>学徒法杖</v>
      </c>
      <c r="D17" s="14" t="str">
        <f>equip.xml!D21</f>
        <v>主手武器</v>
      </c>
      <c r="E17" s="14">
        <f>equip.xml!E21</f>
        <v>5</v>
      </c>
      <c r="F17" s="14">
        <f>equip.xml!F21</f>
        <v>1</v>
      </c>
      <c r="G17" s="14">
        <f>equip.xml!G21</f>
        <v>1</v>
      </c>
      <c r="H17" s="14" t="str">
        <f>equip.xml!H21</f>
        <v>3,1003</v>
      </c>
      <c r="I17" s="14">
        <f>equip.xml!J21</f>
        <v>5</v>
      </c>
      <c r="J17" s="14">
        <f>equip.xml!K21</f>
        <v>0</v>
      </c>
      <c r="K17" s="14">
        <f>equip.xml!L21</f>
        <v>0</v>
      </c>
      <c r="L17" s="14" t="str">
        <f>equip.xml!M21</f>
        <v>103_5_5,104_12_12</v>
      </c>
      <c r="M17" s="17" t="str">
        <f>equip.xml!Q21</f>
        <v>equipment/1302.png</v>
      </c>
      <c r="N17" s="16" t="str">
        <f>equip.xml!P21</f>
        <v>10000_1002_1000,30000_30001_1,30000_30002_1,30000_30003_1</v>
      </c>
      <c r="O17">
        <f>equip.xml!R21</f>
        <v>0</v>
      </c>
    </row>
    <row r="18" spans="1:15">
      <c r="A18" s="14" t="str">
        <f>equip.xml!A22</f>
        <v>10013060</v>
      </c>
      <c r="B18" s="14">
        <f>equip.xml!B22</f>
        <v>1</v>
      </c>
      <c r="C18" s="14" t="str">
        <f>equip.xml!C22</f>
        <v>学徒手册</v>
      </c>
      <c r="D18" s="14" t="str">
        <f>equip.xml!D22</f>
        <v>副手武器</v>
      </c>
      <c r="E18" s="14">
        <f>equip.xml!E22</f>
        <v>6</v>
      </c>
      <c r="F18" s="14">
        <f>equip.xml!F22</f>
        <v>1</v>
      </c>
      <c r="G18" s="14">
        <f>equip.xml!G22</f>
        <v>1</v>
      </c>
      <c r="H18" s="14" t="str">
        <f>equip.xml!H22</f>
        <v>3,1003</v>
      </c>
      <c r="I18" s="14">
        <f>equip.xml!J22</f>
        <v>5</v>
      </c>
      <c r="J18" s="14">
        <f>equip.xml!K22</f>
        <v>0</v>
      </c>
      <c r="K18" s="14">
        <f>equip.xml!L22</f>
        <v>0</v>
      </c>
      <c r="L18" s="14" t="str">
        <f>equip.xml!M22</f>
        <v>102_30_30</v>
      </c>
      <c r="M18" s="17" t="str">
        <f>equip.xml!Q22</f>
        <v>equipment/2301.png</v>
      </c>
      <c r="N18" s="16" t="str">
        <f>equip.xml!P22</f>
        <v>10000_1002_1000,30000_30001_1,30000_30002_1,30000_30003_1</v>
      </c>
      <c r="O18">
        <f>equip.xml!R22</f>
        <v>0</v>
      </c>
    </row>
    <row r="19" spans="1:15">
      <c r="A19" s="14" t="str">
        <f>equip.xml!A23</f>
        <v>10013061</v>
      </c>
      <c r="B19" s="14">
        <f>equip.xml!B23</f>
        <v>0</v>
      </c>
      <c r="C19" s="14" t="str">
        <f>equip.xml!C23</f>
        <v>法术指南</v>
      </c>
      <c r="D19" s="14" t="str">
        <f>equip.xml!D23</f>
        <v>副手武器</v>
      </c>
      <c r="E19" s="14">
        <f>equip.xml!E23</f>
        <v>6</v>
      </c>
      <c r="F19" s="14">
        <f>equip.xml!F23</f>
        <v>1</v>
      </c>
      <c r="G19" s="14">
        <f>equip.xml!G23</f>
        <v>1</v>
      </c>
      <c r="H19" s="14" t="str">
        <f>equip.xml!H23</f>
        <v>3,1003</v>
      </c>
      <c r="I19" s="14">
        <f>equip.xml!J23</f>
        <v>5</v>
      </c>
      <c r="J19" s="14">
        <f>equip.xml!K23</f>
        <v>0</v>
      </c>
      <c r="K19" s="14">
        <f>equip.xml!L23</f>
        <v>0</v>
      </c>
      <c r="L19" s="14" t="str">
        <f>equip.xml!M23</f>
        <v>102_7_7</v>
      </c>
      <c r="M19" s="17" t="str">
        <f>equip.xml!Q23</f>
        <v>equipment/2301.png</v>
      </c>
      <c r="N19" s="16" t="str">
        <f>equip.xml!P23</f>
        <v>10000_1002_1000,30000_30001_1,30000_30002_1,30000_30003_1</v>
      </c>
      <c r="O19">
        <f>equip.xml!R23</f>
        <v>0</v>
      </c>
    </row>
    <row r="20" spans="1:15">
      <c r="A20" s="14" t="str">
        <f>equip.xml!A24</f>
        <v>10010040</v>
      </c>
      <c r="B20" s="14">
        <f>equip.xml!B24</f>
        <v>1</v>
      </c>
      <c r="C20" s="14" t="str">
        <f>equip.xml!C24</f>
        <v>新兵外套</v>
      </c>
      <c r="D20" s="14" t="str">
        <f>equip.xml!D24</f>
        <v>胸甲</v>
      </c>
      <c r="E20" s="14">
        <f>equip.xml!E24</f>
        <v>4</v>
      </c>
      <c r="F20" s="14">
        <f>equip.xml!F24</f>
        <v>1</v>
      </c>
      <c r="G20" s="14">
        <f>equip.xml!G24</f>
        <v>1</v>
      </c>
      <c r="H20" s="14">
        <f>equip.xml!H24</f>
        <v>0</v>
      </c>
      <c r="I20" s="14">
        <f>equip.xml!J24</f>
        <v>5</v>
      </c>
      <c r="J20" s="14">
        <f>equip.xml!K24</f>
        <v>0</v>
      </c>
      <c r="K20" s="14">
        <f>equip.xml!L24</f>
        <v>0</v>
      </c>
      <c r="L20" s="14" t="str">
        <f>equip.xml!M24</f>
        <v>105_3_3</v>
      </c>
      <c r="M20" s="17" t="str">
        <f>equip.xml!Q24</f>
        <v>equipment/5001.png</v>
      </c>
      <c r="N20" s="16" t="str">
        <f>equip.xml!P24</f>
        <v>10000_1002_1000,30000_30001_1,30000_30002_1,30000_30003_1</v>
      </c>
      <c r="O20">
        <f>equip.xml!R24</f>
        <v>0</v>
      </c>
    </row>
    <row r="21" spans="1:15">
      <c r="A21" s="14" t="str">
        <f>equip.xml!A25</f>
        <v>10010041</v>
      </c>
      <c r="B21" s="14">
        <f>equip.xml!B25</f>
        <v>0</v>
      </c>
      <c r="C21" s="14" t="str">
        <f>equip.xml!C25</f>
        <v>新兵外套</v>
      </c>
      <c r="D21" s="14" t="str">
        <f>equip.xml!D25</f>
        <v>胸甲</v>
      </c>
      <c r="E21" s="14">
        <f>equip.xml!E25</f>
        <v>4</v>
      </c>
      <c r="F21" s="14">
        <f>equip.xml!F25</f>
        <v>1</v>
      </c>
      <c r="G21" s="14">
        <f>equip.xml!G25</f>
        <v>1</v>
      </c>
      <c r="H21" s="14">
        <f>equip.xml!H25</f>
        <v>0</v>
      </c>
      <c r="I21" s="14">
        <f>equip.xml!J25</f>
        <v>5</v>
      </c>
      <c r="J21" s="14">
        <f>equip.xml!K25</f>
        <v>0</v>
      </c>
      <c r="K21" s="14">
        <f>equip.xml!L25</f>
        <v>0</v>
      </c>
      <c r="L21" s="14" t="str">
        <f>equip.xml!M25</f>
        <v>105_5_5</v>
      </c>
      <c r="M21" s="17" t="str">
        <f>equip.xml!Q25</f>
        <v>equipment/5001.png</v>
      </c>
      <c r="N21" s="16" t="str">
        <f>equip.xml!P25</f>
        <v>10000_1002_1000,30000_30001_1,30000_30002_1,30000_30003_1</v>
      </c>
      <c r="O21">
        <f>equip.xml!R25</f>
        <v>0</v>
      </c>
    </row>
    <row r="22" spans="1:15">
      <c r="A22" s="14" t="str">
        <f>equip.xml!A26</f>
        <v>10010070</v>
      </c>
      <c r="B22" s="14">
        <f>equip.xml!B26</f>
        <v>0</v>
      </c>
      <c r="C22" s="14" t="str">
        <f>equip.xml!C26</f>
        <v>皮甲短裤</v>
      </c>
      <c r="D22" s="14" t="str">
        <f>equip.xml!D26</f>
        <v>护腿</v>
      </c>
      <c r="E22" s="14">
        <f>equip.xml!E26</f>
        <v>7</v>
      </c>
      <c r="F22" s="14">
        <f>equip.xml!F26</f>
        <v>1</v>
      </c>
      <c r="G22" s="14">
        <f>equip.xml!G26</f>
        <v>1</v>
      </c>
      <c r="H22" s="14">
        <f>equip.xml!H26</f>
        <v>0</v>
      </c>
      <c r="I22" s="14">
        <f>equip.xml!J26</f>
        <v>5</v>
      </c>
      <c r="J22" s="14">
        <f>equip.xml!K26</f>
        <v>0</v>
      </c>
      <c r="K22" s="14">
        <f>equip.xml!L26</f>
        <v>0</v>
      </c>
      <c r="L22" s="14" t="str">
        <f>equip.xml!M26</f>
        <v>105_0_0</v>
      </c>
      <c r="M22" s="17" t="str">
        <f>equip.xml!Q26</f>
        <v>equipment/7001.png</v>
      </c>
      <c r="N22" s="16" t="str">
        <f>equip.xml!P26</f>
        <v>10000_1002_1000,30000_30001_1,30000_30002_1,30000_30003_1</v>
      </c>
      <c r="O22">
        <f>equip.xml!R26</f>
        <v>0</v>
      </c>
    </row>
    <row r="23" spans="1:15">
      <c r="A23" s="14" t="str">
        <f>equip.xml!A27</f>
        <v>10010071</v>
      </c>
      <c r="B23" s="14">
        <f>equip.xml!B27</f>
        <v>0</v>
      </c>
      <c r="C23" s="14" t="str">
        <f>equip.xml!C27</f>
        <v>学徒短裤</v>
      </c>
      <c r="D23" s="14" t="str">
        <f>equip.xml!D27</f>
        <v>护腿</v>
      </c>
      <c r="E23" s="14">
        <f>equip.xml!E27</f>
        <v>7</v>
      </c>
      <c r="F23" s="14">
        <f>equip.xml!F27</f>
        <v>1</v>
      </c>
      <c r="G23" s="14">
        <f>equip.xml!G27</f>
        <v>1</v>
      </c>
      <c r="H23" s="14">
        <f>equip.xml!H27</f>
        <v>0</v>
      </c>
      <c r="I23" s="14">
        <f>equip.xml!J27</f>
        <v>5</v>
      </c>
      <c r="J23" s="14">
        <f>equip.xml!K27</f>
        <v>0</v>
      </c>
      <c r="K23" s="14">
        <f>equip.xml!L27</f>
        <v>0</v>
      </c>
      <c r="L23" s="14" t="str">
        <f>equip.xml!M27</f>
        <v>105_1_1</v>
      </c>
      <c r="M23" s="17" t="str">
        <f>equip.xml!Q27</f>
        <v>equipment/7001.png</v>
      </c>
      <c r="N23" s="16" t="str">
        <f>equip.xml!P27</f>
        <v>10000_1002_1000,30000_30001_1,30000_30002_1,30000_30003_1</v>
      </c>
      <c r="O23">
        <f>equip.xml!R27</f>
        <v>0</v>
      </c>
    </row>
    <row r="24" spans="1:15">
      <c r="A24" s="14" t="str">
        <f>equip.xml!A28</f>
        <v>10050010</v>
      </c>
      <c r="B24" s="14">
        <f>equip.xml!B28</f>
        <v>1</v>
      </c>
      <c r="C24" s="14" t="str">
        <f>equip.xml!C28</f>
        <v>纹饰帽</v>
      </c>
      <c r="D24" s="14" t="str">
        <f>equip.xml!D28</f>
        <v>头盔</v>
      </c>
      <c r="E24" s="14">
        <f>equip.xml!E28</f>
        <v>1</v>
      </c>
      <c r="F24" s="14">
        <f>equip.xml!F28</f>
        <v>1</v>
      </c>
      <c r="G24" s="14">
        <f>equip.xml!G28</f>
        <v>5</v>
      </c>
      <c r="H24" s="14">
        <f>equip.xml!H28</f>
        <v>0</v>
      </c>
      <c r="I24" s="14">
        <f>equip.xml!J28</f>
        <v>5</v>
      </c>
      <c r="J24" s="14">
        <f>equip.xml!K28</f>
        <v>0</v>
      </c>
      <c r="K24" s="14">
        <f>equip.xml!L28</f>
        <v>0</v>
      </c>
      <c r="L24" s="14" t="str">
        <f>equip.xml!M28</f>
        <v>106_20_20</v>
      </c>
      <c r="M24" s="17" t="str">
        <f>equip.xml!Q28</f>
        <v>equipment/3001.png</v>
      </c>
      <c r="N24" s="16" t="str">
        <f>equip.xml!P28</f>
        <v>10000_1002_5000,30000_30001_1,30000_30002_1,30000_30003_1</v>
      </c>
      <c r="O24">
        <f>equip.xml!R28</f>
        <v>0</v>
      </c>
    </row>
    <row r="25" spans="1:15">
      <c r="A25" s="14" t="str">
        <f>equip.xml!A29</f>
        <v>10050020</v>
      </c>
      <c r="B25" s="14">
        <f>equip.xml!B29</f>
        <v>1</v>
      </c>
      <c r="C25" s="14" t="str">
        <f>equip.xml!C29</f>
        <v>金戒指</v>
      </c>
      <c r="D25" s="14" t="str">
        <f>equip.xml!D29</f>
        <v>戒指</v>
      </c>
      <c r="E25" s="14">
        <f>equip.xml!E29</f>
        <v>2</v>
      </c>
      <c r="F25" s="14">
        <f>equip.xml!F29</f>
        <v>1</v>
      </c>
      <c r="G25" s="14">
        <f>equip.xml!G29</f>
        <v>5</v>
      </c>
      <c r="H25" s="14">
        <f>equip.xml!H29</f>
        <v>0</v>
      </c>
      <c r="I25" s="14">
        <f>equip.xml!J29</f>
        <v>5</v>
      </c>
      <c r="J25" s="14">
        <f>equip.xml!K29</f>
        <v>0</v>
      </c>
      <c r="K25" s="14">
        <f>equip.xml!L29</f>
        <v>0</v>
      </c>
      <c r="L25" s="14" t="str">
        <f>equip.xml!M29</f>
        <v>102_80_80</v>
      </c>
      <c r="M25" s="17" t="str">
        <f>equip.xml!Q29</f>
        <v>equipment/14001.png</v>
      </c>
      <c r="N25" s="16" t="str">
        <f>equip.xml!P29</f>
        <v>10000_1002_5000,30000_30001_1,30000_30002_1,30000_30003_1</v>
      </c>
      <c r="O25">
        <f>equip.xml!R29</f>
        <v>0</v>
      </c>
    </row>
    <row r="26" spans="1:15">
      <c r="A26" s="14" t="str">
        <f>equip.xml!A30</f>
        <v>10050030</v>
      </c>
      <c r="B26" s="14">
        <f>equip.xml!B30</f>
        <v>1</v>
      </c>
      <c r="C26" s="14" t="str">
        <f>equip.xml!C30</f>
        <v>兽皮腰带</v>
      </c>
      <c r="D26" s="14" t="str">
        <f>equip.xml!D30</f>
        <v>腰带</v>
      </c>
      <c r="E26" s="14">
        <f>equip.xml!E30</f>
        <v>3</v>
      </c>
      <c r="F26" s="14">
        <f>equip.xml!F30</f>
        <v>1</v>
      </c>
      <c r="G26" s="14">
        <f>equip.xml!G30</f>
        <v>5</v>
      </c>
      <c r="H26" s="14">
        <f>equip.xml!H30</f>
        <v>0</v>
      </c>
      <c r="I26" s="14">
        <f>equip.xml!J30</f>
        <v>5</v>
      </c>
      <c r="J26" s="14">
        <f>equip.xml!K30</f>
        <v>0</v>
      </c>
      <c r="K26" s="14">
        <f>equip.xml!L30</f>
        <v>0</v>
      </c>
      <c r="L26" s="14" t="str">
        <f>equip.xml!M30</f>
        <v>101_100_100</v>
      </c>
      <c r="M26" s="17" t="str">
        <f>equip.xml!Q30</f>
        <v>equipment/6001.png</v>
      </c>
      <c r="N26" s="16" t="str">
        <f>equip.xml!P30</f>
        <v>10000_1002_5000,30000_30001_1,30000_30002_1,30000_30003_1</v>
      </c>
      <c r="O26">
        <f>equip.xml!R30</f>
        <v>0</v>
      </c>
    </row>
    <row r="27" spans="1:15">
      <c r="A27" s="14" t="str">
        <f>equip.xml!A31</f>
        <v>10050080</v>
      </c>
      <c r="B27" s="14">
        <f>equip.xml!B31</f>
        <v>0</v>
      </c>
      <c r="C27" s="14" t="str">
        <f>equip.xml!C31</f>
        <v>皮靴</v>
      </c>
      <c r="D27" s="14" t="str">
        <f>equip.xml!D31</f>
        <v>鞋子</v>
      </c>
      <c r="E27" s="14">
        <f>equip.xml!E31</f>
        <v>8</v>
      </c>
      <c r="F27" s="14">
        <f>equip.xml!F31</f>
        <v>1</v>
      </c>
      <c r="G27" s="14">
        <f>equip.xml!G31</f>
        <v>5</v>
      </c>
      <c r="H27" s="14">
        <f>equip.xml!H31</f>
        <v>0</v>
      </c>
      <c r="I27" s="14">
        <f>equip.xml!J31</f>
        <v>5</v>
      </c>
      <c r="J27" s="14">
        <f>equip.xml!K31</f>
        <v>0</v>
      </c>
      <c r="K27" s="14">
        <f>equip.xml!L31</f>
        <v>0</v>
      </c>
      <c r="L27" s="14" t="str">
        <f>equip.xml!M31</f>
        <v>110_7_7</v>
      </c>
      <c r="M27" s="17" t="str">
        <f>equip.xml!Q31</f>
        <v>equipment/8001.png</v>
      </c>
      <c r="N27" s="16" t="str">
        <f>equip.xml!P31</f>
        <v>10000_1002_5000,30000_30001_1,30000_30002_1,30000_30003_1</v>
      </c>
      <c r="O27">
        <f>equip.xml!R31</f>
        <v>0</v>
      </c>
    </row>
    <row r="28" spans="1:15">
      <c r="A28" s="14" t="str">
        <f>equip.xml!A32</f>
        <v>10050090</v>
      </c>
      <c r="B28" s="14">
        <f>equip.xml!B32</f>
        <v>0</v>
      </c>
      <c r="C28" s="14" t="str">
        <f>equip.xml!C32</f>
        <v>轻布手套</v>
      </c>
      <c r="D28" s="14" t="str">
        <f>equip.xml!D32</f>
        <v>手套</v>
      </c>
      <c r="E28" s="14">
        <f>equip.xml!E32</f>
        <v>9</v>
      </c>
      <c r="F28" s="14">
        <f>equip.xml!F32</f>
        <v>1</v>
      </c>
      <c r="G28" s="14">
        <f>equip.xml!G32</f>
        <v>5</v>
      </c>
      <c r="H28" s="14">
        <f>equip.xml!H32</f>
        <v>0</v>
      </c>
      <c r="I28" s="14">
        <f>equip.xml!J32</f>
        <v>5</v>
      </c>
      <c r="J28" s="14">
        <f>equip.xml!K32</f>
        <v>0</v>
      </c>
      <c r="K28" s="14">
        <f>equip.xml!L32</f>
        <v>0</v>
      </c>
      <c r="L28" s="14" t="str">
        <f>equip.xml!M32</f>
        <v>108_23_23</v>
      </c>
      <c r="M28" s="17" t="str">
        <f>equip.xml!Q32</f>
        <v>equipment/10001.png</v>
      </c>
      <c r="N28" s="16" t="str">
        <f>equip.xml!P32</f>
        <v>10000_1002_5000,30000_30001_1,30000_30002_1,30000_30003_1</v>
      </c>
      <c r="O28">
        <f>equip.xml!R32</f>
        <v>0</v>
      </c>
    </row>
    <row r="29" spans="1:15">
      <c r="A29" s="14" t="str">
        <f>equip.xml!A33</f>
        <v>10050100</v>
      </c>
      <c r="B29" s="14">
        <f>equip.xml!B33</f>
        <v>1</v>
      </c>
      <c r="C29" s="14" t="str">
        <f>equip.xml!C33</f>
        <v>贝壳项链</v>
      </c>
      <c r="D29" s="14" t="str">
        <f>equip.xml!D33</f>
        <v>项链</v>
      </c>
      <c r="E29" s="14">
        <f>equip.xml!E33</f>
        <v>10</v>
      </c>
      <c r="F29" s="14">
        <f>equip.xml!F33</f>
        <v>1</v>
      </c>
      <c r="G29" s="14">
        <f>equip.xml!G33</f>
        <v>5</v>
      </c>
      <c r="H29" s="14">
        <f>equip.xml!H33</f>
        <v>0</v>
      </c>
      <c r="I29" s="14">
        <f>equip.xml!J33</f>
        <v>5</v>
      </c>
      <c r="J29" s="14">
        <f>equip.xml!K33</f>
        <v>0</v>
      </c>
      <c r="K29" s="14">
        <f>equip.xml!L33</f>
        <v>0</v>
      </c>
      <c r="L29" s="14" t="str">
        <f>equip.xml!M33</f>
        <v>107_20_20</v>
      </c>
      <c r="M29" s="17" t="str">
        <f>equip.xml!Q33</f>
        <v>equipment/12001.png</v>
      </c>
      <c r="N29" s="16" t="str">
        <f>equip.xml!P33</f>
        <v>10000_1002_5000,30000_30001_1,30000_30002_1,30000_30003_1</v>
      </c>
      <c r="O29">
        <f>equip.xml!R33</f>
        <v>0</v>
      </c>
    </row>
    <row r="30" spans="1:15">
      <c r="A30" s="14" t="str">
        <f>equip.xml!A34</f>
        <v>10051050</v>
      </c>
      <c r="B30" s="14">
        <f>equip.xml!B34</f>
        <v>1</v>
      </c>
      <c r="C30" s="14" t="str">
        <f>equip.xml!C34</f>
        <v>长剑</v>
      </c>
      <c r="D30" s="14" t="str">
        <f>equip.xml!D34</f>
        <v>主手武器</v>
      </c>
      <c r="E30" s="14">
        <f>equip.xml!E34</f>
        <v>5</v>
      </c>
      <c r="F30" s="14">
        <f>equip.xml!F34</f>
        <v>1</v>
      </c>
      <c r="G30" s="14">
        <f>equip.xml!G34</f>
        <v>5</v>
      </c>
      <c r="H30" s="14" t="str">
        <f>equip.xml!H34</f>
        <v>1,1001</v>
      </c>
      <c r="I30" s="14">
        <f>equip.xml!J34</f>
        <v>5</v>
      </c>
      <c r="J30" s="14">
        <f>equip.xml!K34</f>
        <v>0</v>
      </c>
      <c r="K30" s="14">
        <f>equip.xml!L34</f>
        <v>0</v>
      </c>
      <c r="L30" s="14" t="str">
        <f>equip.xml!M34</f>
        <v>103_10_10,104_20_20</v>
      </c>
      <c r="M30" s="17" t="str">
        <f>equip.xml!Q34</f>
        <v>equipment/1103.png</v>
      </c>
      <c r="N30" s="16" t="str">
        <f>equip.xml!P34</f>
        <v>10000_1002_5000,30000_30001_1,30000_30002_1,30000_30003_1</v>
      </c>
      <c r="O30">
        <f>equip.xml!R34</f>
        <v>0</v>
      </c>
    </row>
    <row r="31" spans="1:15">
      <c r="A31" s="14" t="str">
        <f>equip.xml!A35</f>
        <v>10051051</v>
      </c>
      <c r="B31" s="14">
        <f>equip.xml!B35</f>
        <v>1</v>
      </c>
      <c r="C31" s="14" t="str">
        <f>equip.xml!C35</f>
        <v>双刃剑</v>
      </c>
      <c r="D31" s="14" t="str">
        <f>equip.xml!D35</f>
        <v>主手武器</v>
      </c>
      <c r="E31" s="14">
        <f>equip.xml!E35</f>
        <v>5</v>
      </c>
      <c r="F31" s="14">
        <f>equip.xml!F35</f>
        <v>1</v>
      </c>
      <c r="G31" s="14">
        <f>equip.xml!G35</f>
        <v>5</v>
      </c>
      <c r="H31" s="14" t="str">
        <f>equip.xml!H35</f>
        <v>1,1001</v>
      </c>
      <c r="I31" s="14">
        <f>equip.xml!J35</f>
        <v>5</v>
      </c>
      <c r="J31" s="14">
        <f>equip.xml!K35</f>
        <v>0</v>
      </c>
      <c r="K31" s="14">
        <f>equip.xml!L35</f>
        <v>0</v>
      </c>
      <c r="L31" s="14" t="str">
        <f>equip.xml!M35</f>
        <v>103_18_18,104_38_38</v>
      </c>
      <c r="M31" s="17" t="str">
        <f>equip.xml!Q35</f>
        <v>equipment/1104.png</v>
      </c>
      <c r="N31" s="16" t="str">
        <f>equip.xml!P35</f>
        <v>10000_1002_5000,30000_30001_1,30000_30002_1,30000_30003_1</v>
      </c>
      <c r="O31">
        <f>equip.xml!R35</f>
        <v>0</v>
      </c>
    </row>
    <row r="32" spans="1:15">
      <c r="A32" s="14" t="str">
        <f>equip.xml!A36</f>
        <v>10051060</v>
      </c>
      <c r="B32" s="14">
        <f>equip.xml!B36</f>
        <v>1</v>
      </c>
      <c r="C32" s="14" t="str">
        <f>equip.xml!C36</f>
        <v>尖头盾</v>
      </c>
      <c r="D32" s="14" t="str">
        <f>equip.xml!D36</f>
        <v>副手武器</v>
      </c>
      <c r="E32" s="14">
        <f>equip.xml!E36</f>
        <v>6</v>
      </c>
      <c r="F32" s="14">
        <f>equip.xml!F36</f>
        <v>1</v>
      </c>
      <c r="G32" s="14">
        <f>equip.xml!G36</f>
        <v>5</v>
      </c>
      <c r="H32" s="14" t="str">
        <f>equip.xml!H36</f>
        <v>1,1001</v>
      </c>
      <c r="I32" s="14">
        <f>equip.xml!J36</f>
        <v>5</v>
      </c>
      <c r="J32" s="14">
        <f>equip.xml!K36</f>
        <v>0</v>
      </c>
      <c r="K32" s="14">
        <f>equip.xml!L36</f>
        <v>0</v>
      </c>
      <c r="L32" s="14" t="str">
        <f>equip.xml!M36</f>
        <v>105_12_12</v>
      </c>
      <c r="M32" s="17" t="str">
        <f>equip.xml!Q36</f>
        <v>equipment/2102.png</v>
      </c>
      <c r="N32" s="16" t="str">
        <f>equip.xml!P36</f>
        <v>10000_1002_5000,30000_30001_1,30000_30002_1,30000_30003_1</v>
      </c>
      <c r="O32">
        <f>equip.xml!R36</f>
        <v>0</v>
      </c>
    </row>
    <row r="33" spans="1:15">
      <c r="A33" s="14" t="str">
        <f>equip.xml!A37</f>
        <v>10051061</v>
      </c>
      <c r="B33" s="14">
        <f>equip.xml!B37</f>
        <v>0</v>
      </c>
      <c r="C33" s="14" t="str">
        <f>equip.xml!C37</f>
        <v>尖头盾</v>
      </c>
      <c r="D33" s="14" t="str">
        <f>equip.xml!D37</f>
        <v>副手武器</v>
      </c>
      <c r="E33" s="14">
        <f>equip.xml!E37</f>
        <v>6</v>
      </c>
      <c r="F33" s="14">
        <f>equip.xml!F37</f>
        <v>1</v>
      </c>
      <c r="G33" s="14">
        <f>equip.xml!G37</f>
        <v>5</v>
      </c>
      <c r="H33" s="14" t="str">
        <f>equip.xml!H37</f>
        <v>1,1001</v>
      </c>
      <c r="I33" s="14">
        <f>equip.xml!J37</f>
        <v>5</v>
      </c>
      <c r="J33" s="14">
        <f>equip.xml!K37</f>
        <v>0</v>
      </c>
      <c r="K33" s="14">
        <f>equip.xml!L37</f>
        <v>0</v>
      </c>
      <c r="L33" s="14" t="str">
        <f>equip.xml!M37</f>
        <v>105_19_19</v>
      </c>
      <c r="M33" s="17" t="str">
        <f>equip.xml!Q37</f>
        <v>equipment/2101.png</v>
      </c>
      <c r="N33" s="16" t="str">
        <f>equip.xml!P37</f>
        <v>10000_1002_5000,30000_30001_1,30000_30002_1,30000_30003_1</v>
      </c>
      <c r="O33">
        <f>equip.xml!R37</f>
        <v>0</v>
      </c>
    </row>
    <row r="34" spans="1:15">
      <c r="A34" s="14" t="str">
        <f>equip.xml!A38</f>
        <v>10052050</v>
      </c>
      <c r="B34" s="14">
        <f>equip.xml!B38</f>
        <v>1</v>
      </c>
      <c r="C34" s="14" t="str">
        <f>equip.xml!C38</f>
        <v>硬弓</v>
      </c>
      <c r="D34" s="14" t="str">
        <f>equip.xml!D38</f>
        <v>主手武器</v>
      </c>
      <c r="E34" s="14">
        <f>equip.xml!E38</f>
        <v>5</v>
      </c>
      <c r="F34" s="14">
        <f>equip.xml!F38</f>
        <v>1</v>
      </c>
      <c r="G34" s="14">
        <f>equip.xml!G38</f>
        <v>5</v>
      </c>
      <c r="H34" s="14" t="str">
        <f>equip.xml!H38</f>
        <v>2,1002</v>
      </c>
      <c r="I34" s="14">
        <f>equip.xml!J38</f>
        <v>5</v>
      </c>
      <c r="J34" s="14">
        <f>equip.xml!K38</f>
        <v>0</v>
      </c>
      <c r="K34" s="14">
        <f>equip.xml!L38</f>
        <v>0</v>
      </c>
      <c r="L34" s="14" t="str">
        <f>equip.xml!M38</f>
        <v>103_10_10,104_20_20</v>
      </c>
      <c r="M34" s="17" t="str">
        <f>equip.xml!Q38</f>
        <v>equipment/1204.png</v>
      </c>
      <c r="N34" s="16" t="str">
        <f>equip.xml!P38</f>
        <v>10000_1002_5000,30000_30001_1,30000_30002_1,30000_30003_1</v>
      </c>
      <c r="O34">
        <f>equip.xml!R38</f>
        <v>0</v>
      </c>
    </row>
    <row r="35" spans="1:15">
      <c r="A35" s="14" t="str">
        <f>equip.xml!A39</f>
        <v>10052051</v>
      </c>
      <c r="B35" s="14">
        <f>equip.xml!B39</f>
        <v>1</v>
      </c>
      <c r="C35" s="14" t="str">
        <f>equip.xml!C39</f>
        <v>反曲弓</v>
      </c>
      <c r="D35" s="14" t="str">
        <f>equip.xml!D39</f>
        <v>主手武器</v>
      </c>
      <c r="E35" s="14">
        <f>equip.xml!E39</f>
        <v>5</v>
      </c>
      <c r="F35" s="14">
        <f>equip.xml!F39</f>
        <v>1</v>
      </c>
      <c r="G35" s="14">
        <f>equip.xml!G39</f>
        <v>5</v>
      </c>
      <c r="H35" s="14" t="str">
        <f>equip.xml!H39</f>
        <v>2,1002</v>
      </c>
      <c r="I35" s="14">
        <f>equip.xml!J39</f>
        <v>5</v>
      </c>
      <c r="J35" s="14">
        <f>equip.xml!K39</f>
        <v>0</v>
      </c>
      <c r="K35" s="14">
        <f>equip.xml!L39</f>
        <v>0</v>
      </c>
      <c r="L35" s="14" t="str">
        <f>equip.xml!M39</f>
        <v>103_18_18,104_38_38</v>
      </c>
      <c r="M35" s="17" t="str">
        <f>equip.xml!Q39</f>
        <v>equipment/1203.png</v>
      </c>
      <c r="N35" s="16" t="str">
        <f>equip.xml!P39</f>
        <v>10000_1002_5000,30000_30001_1,30000_30002_1,30000_30003_1</v>
      </c>
      <c r="O35">
        <f>equip.xml!R39</f>
        <v>0</v>
      </c>
    </row>
    <row r="36" spans="1:15">
      <c r="A36" s="14" t="str">
        <f>equip.xml!A40</f>
        <v>10052060</v>
      </c>
      <c r="B36" s="14">
        <f>equip.xml!B40</f>
        <v>1</v>
      </c>
      <c r="C36" s="14" t="str">
        <f>equip.xml!C40</f>
        <v>箭筒</v>
      </c>
      <c r="D36" s="14" t="str">
        <f>equip.xml!D40</f>
        <v>副手武器</v>
      </c>
      <c r="E36" s="14">
        <f>equip.xml!E40</f>
        <v>6</v>
      </c>
      <c r="F36" s="14">
        <f>equip.xml!F40</f>
        <v>1</v>
      </c>
      <c r="G36" s="14">
        <f>equip.xml!G40</f>
        <v>5</v>
      </c>
      <c r="H36" s="14" t="str">
        <f>equip.xml!H40</f>
        <v>2,1002</v>
      </c>
      <c r="I36" s="14">
        <f>equip.xml!J40</f>
        <v>5</v>
      </c>
      <c r="J36" s="14">
        <f>equip.xml!K40</f>
        <v>0</v>
      </c>
      <c r="K36" s="14">
        <f>equip.xml!L40</f>
        <v>0</v>
      </c>
      <c r="L36" s="14" t="str">
        <f>equip.xml!M40</f>
        <v>108_12_12</v>
      </c>
      <c r="M36" s="17" t="str">
        <f>equip.xml!Q40</f>
        <v>equipment/2202.png</v>
      </c>
      <c r="N36" s="16" t="str">
        <f>equip.xml!P40</f>
        <v>10000_1002_5000,30000_30001_1,30000_30002_1,30000_30003_1</v>
      </c>
      <c r="O36">
        <f>equip.xml!R40</f>
        <v>0</v>
      </c>
    </row>
    <row r="37" spans="1:15">
      <c r="A37" s="14" t="str">
        <f>equip.xml!A41</f>
        <v>10052061</v>
      </c>
      <c r="B37" s="14">
        <f>equip.xml!B41</f>
        <v>0</v>
      </c>
      <c r="C37" s="14" t="str">
        <f>equip.xml!C41</f>
        <v>箭筒</v>
      </c>
      <c r="D37" s="14" t="str">
        <f>equip.xml!D41</f>
        <v>副手武器</v>
      </c>
      <c r="E37" s="14">
        <f>equip.xml!E41</f>
        <v>6</v>
      </c>
      <c r="F37" s="14">
        <f>equip.xml!F41</f>
        <v>1</v>
      </c>
      <c r="G37" s="14">
        <f>equip.xml!G41</f>
        <v>5</v>
      </c>
      <c r="H37" s="14" t="str">
        <f>equip.xml!H41</f>
        <v>2,1002</v>
      </c>
      <c r="I37" s="14">
        <f>equip.xml!J41</f>
        <v>5</v>
      </c>
      <c r="J37" s="14">
        <f>equip.xml!K41</f>
        <v>0</v>
      </c>
      <c r="K37" s="14">
        <f>equip.xml!L41</f>
        <v>0</v>
      </c>
      <c r="L37" s="14" t="str">
        <f>equip.xml!M41</f>
        <v>108_19_19</v>
      </c>
      <c r="M37" s="17" t="str">
        <f>equip.xml!Q41</f>
        <v>equipment/2201.png</v>
      </c>
      <c r="N37" s="16" t="str">
        <f>equip.xml!P41</f>
        <v>10000_1002_5000,30000_30001_1,30000_30002_1,30000_30003_1</v>
      </c>
      <c r="O37">
        <f>equip.xml!R41</f>
        <v>0</v>
      </c>
    </row>
    <row r="38" spans="1:15">
      <c r="A38" s="14" t="str">
        <f>equip.xml!A42</f>
        <v>10053050</v>
      </c>
      <c r="B38" s="14">
        <f>equip.xml!B42</f>
        <v>1</v>
      </c>
      <c r="C38" s="14" t="str">
        <f>equip.xml!C42</f>
        <v>巫术之杖</v>
      </c>
      <c r="D38" s="14" t="str">
        <f>equip.xml!D42</f>
        <v>主手武器</v>
      </c>
      <c r="E38" s="14">
        <f>equip.xml!E42</f>
        <v>5</v>
      </c>
      <c r="F38" s="14">
        <f>equip.xml!F42</f>
        <v>1</v>
      </c>
      <c r="G38" s="14">
        <f>equip.xml!G42</f>
        <v>5</v>
      </c>
      <c r="H38" s="14" t="str">
        <f>equip.xml!H42</f>
        <v>3,1003</v>
      </c>
      <c r="I38" s="14">
        <f>equip.xml!J42</f>
        <v>5</v>
      </c>
      <c r="J38" s="14">
        <f>equip.xml!K42</f>
        <v>0</v>
      </c>
      <c r="K38" s="14">
        <f>equip.xml!L42</f>
        <v>0</v>
      </c>
      <c r="L38" s="14" t="str">
        <f>equip.xml!M42</f>
        <v>103_10_10,104_20_20</v>
      </c>
      <c r="M38" s="17" t="str">
        <f>equip.xml!Q42</f>
        <v>equipment/1303.png</v>
      </c>
      <c r="N38" s="16" t="str">
        <f>equip.xml!P42</f>
        <v>10000_1002_5000,30000_30001_1,30000_30002_1,30000_30003_1</v>
      </c>
      <c r="O38">
        <f>equip.xml!R42</f>
        <v>0</v>
      </c>
    </row>
    <row r="39" spans="1:15">
      <c r="A39" s="14" t="str">
        <f>equip.xml!A43</f>
        <v>10053051</v>
      </c>
      <c r="B39" s="14">
        <f>equip.xml!B43</f>
        <v>1</v>
      </c>
      <c r="C39" s="14" t="str">
        <f>equip.xml!C43</f>
        <v>秘术法杖</v>
      </c>
      <c r="D39" s="14" t="str">
        <f>equip.xml!D43</f>
        <v>主手武器</v>
      </c>
      <c r="E39" s="14">
        <f>equip.xml!E43</f>
        <v>5</v>
      </c>
      <c r="F39" s="14">
        <f>equip.xml!F43</f>
        <v>1</v>
      </c>
      <c r="G39" s="14">
        <f>equip.xml!G43</f>
        <v>5</v>
      </c>
      <c r="H39" s="14" t="str">
        <f>equip.xml!H43</f>
        <v>3,1003</v>
      </c>
      <c r="I39" s="14">
        <f>equip.xml!J43</f>
        <v>5</v>
      </c>
      <c r="J39" s="14">
        <f>equip.xml!K43</f>
        <v>0</v>
      </c>
      <c r="K39" s="14">
        <f>equip.xml!L43</f>
        <v>0</v>
      </c>
      <c r="L39" s="14" t="str">
        <f>equip.xml!M43</f>
        <v>103_18_18,104_38_38</v>
      </c>
      <c r="M39" s="17" t="str">
        <f>equip.xml!Q43</f>
        <v>equipment/1304.png</v>
      </c>
      <c r="N39" s="16" t="str">
        <f>equip.xml!P43</f>
        <v>10000_1002_5000,30000_30001_1,30000_30002_1,30000_30003_1</v>
      </c>
      <c r="O39">
        <f>equip.xml!R43</f>
        <v>0</v>
      </c>
    </row>
    <row r="40" spans="1:15">
      <c r="A40" s="14" t="str">
        <f>equip.xml!A44</f>
        <v>10053060</v>
      </c>
      <c r="B40" s="14">
        <f>equip.xml!B44</f>
        <v>1</v>
      </c>
      <c r="C40" s="14" t="str">
        <f>equip.xml!C44</f>
        <v>法术指南</v>
      </c>
      <c r="D40" s="14" t="str">
        <f>equip.xml!D44</f>
        <v>副手武器</v>
      </c>
      <c r="E40" s="14">
        <f>equip.xml!E44</f>
        <v>6</v>
      </c>
      <c r="F40" s="14">
        <f>equip.xml!F44</f>
        <v>1</v>
      </c>
      <c r="G40" s="14">
        <f>equip.xml!G44</f>
        <v>5</v>
      </c>
      <c r="H40" s="14" t="str">
        <f>equip.xml!H44</f>
        <v>3,1003</v>
      </c>
      <c r="I40" s="14">
        <f>equip.xml!J44</f>
        <v>5</v>
      </c>
      <c r="J40" s="14">
        <f>equip.xml!K44</f>
        <v>0</v>
      </c>
      <c r="K40" s="14">
        <f>equip.xml!L44</f>
        <v>0</v>
      </c>
      <c r="L40" s="14" t="str">
        <f>equip.xml!M44</f>
        <v>102_110_110</v>
      </c>
      <c r="M40" s="17" t="str">
        <f>equip.xml!Q44</f>
        <v>equipment/2302.png</v>
      </c>
      <c r="N40" s="16" t="str">
        <f>equip.xml!P44</f>
        <v>10000_1002_5000,30000_30001_1,30000_30002_1,30000_30003_1</v>
      </c>
      <c r="O40">
        <f>equip.xml!R44</f>
        <v>0</v>
      </c>
    </row>
    <row r="41" spans="1:15">
      <c r="A41" s="14" t="str">
        <f>equip.xml!A45</f>
        <v>10053061</v>
      </c>
      <c r="B41" s="14">
        <f>equip.xml!B45</f>
        <v>0</v>
      </c>
      <c r="C41" s="14" t="str">
        <f>equip.xml!C45</f>
        <v>法术指南</v>
      </c>
      <c r="D41" s="14" t="str">
        <f>equip.xml!D45</f>
        <v>副手武器</v>
      </c>
      <c r="E41" s="14">
        <f>equip.xml!E45</f>
        <v>6</v>
      </c>
      <c r="F41" s="14">
        <f>equip.xml!F45</f>
        <v>1</v>
      </c>
      <c r="G41" s="14">
        <f>equip.xml!G45</f>
        <v>5</v>
      </c>
      <c r="H41" s="14" t="str">
        <f>equip.xml!H45</f>
        <v>3,1003</v>
      </c>
      <c r="I41" s="14">
        <f>equip.xml!J45</f>
        <v>5</v>
      </c>
      <c r="J41" s="14">
        <f>equip.xml!K45</f>
        <v>0</v>
      </c>
      <c r="K41" s="14">
        <f>equip.xml!L45</f>
        <v>0</v>
      </c>
      <c r="L41" s="14" t="str">
        <f>equip.xml!M45</f>
        <v>102_19_19</v>
      </c>
      <c r="M41" s="17" t="str">
        <f>equip.xml!Q45</f>
        <v>equipment/2301.png</v>
      </c>
      <c r="N41" s="16" t="str">
        <f>equip.xml!P45</f>
        <v>10000_1002_5000,30000_30001_1,30000_30002_1,30000_30003_1</v>
      </c>
      <c r="O41">
        <f>equip.xml!R45</f>
        <v>0</v>
      </c>
    </row>
    <row r="42" spans="1:15">
      <c r="A42" s="14" t="str">
        <f>equip.xml!A46</f>
        <v>10050040</v>
      </c>
      <c r="B42" s="14">
        <f>equip.xml!B46</f>
        <v>1</v>
      </c>
      <c r="C42" s="14" t="str">
        <f>equip.xml!C46</f>
        <v>锁甲外套</v>
      </c>
      <c r="D42" s="14" t="str">
        <f>equip.xml!D46</f>
        <v>胸甲</v>
      </c>
      <c r="E42" s="14">
        <f>equip.xml!E46</f>
        <v>4</v>
      </c>
      <c r="F42" s="14">
        <f>equip.xml!F46</f>
        <v>1</v>
      </c>
      <c r="G42" s="14">
        <f>equip.xml!G46</f>
        <v>5</v>
      </c>
      <c r="H42" s="14">
        <f>equip.xml!H46</f>
        <v>0</v>
      </c>
      <c r="I42" s="14">
        <f>equip.xml!J46</f>
        <v>5</v>
      </c>
      <c r="J42" s="14">
        <f>equip.xml!K46</f>
        <v>0</v>
      </c>
      <c r="K42" s="14">
        <f>equip.xml!L46</f>
        <v>0</v>
      </c>
      <c r="L42" s="14" t="str">
        <f>equip.xml!M46</f>
        <v>105_9_9</v>
      </c>
      <c r="M42" s="17" t="str">
        <f>equip.xml!Q46</f>
        <v>equipment/5002.png</v>
      </c>
      <c r="N42" s="16" t="str">
        <f>equip.xml!P46</f>
        <v>10000_1002_5000,30000_30001_1,30000_30002_1,30000_30003_1</v>
      </c>
      <c r="O42">
        <f>equip.xml!R46</f>
        <v>0</v>
      </c>
    </row>
    <row r="43" spans="1:15">
      <c r="A43" s="14" t="str">
        <f>equip.xml!A47</f>
        <v>10050041</v>
      </c>
      <c r="B43" s="14">
        <f>equip.xml!B47</f>
        <v>1</v>
      </c>
      <c r="C43" s="14" t="str">
        <f>equip.xml!C47</f>
        <v>战士胸甲</v>
      </c>
      <c r="D43" s="14" t="str">
        <f>equip.xml!D47</f>
        <v>胸甲</v>
      </c>
      <c r="E43" s="14">
        <f>equip.xml!E47</f>
        <v>4</v>
      </c>
      <c r="F43" s="14">
        <f>equip.xml!F47</f>
        <v>1</v>
      </c>
      <c r="G43" s="14">
        <f>equip.xml!G47</f>
        <v>5</v>
      </c>
      <c r="H43" s="14">
        <f>equip.xml!H47</f>
        <v>0</v>
      </c>
      <c r="I43" s="14">
        <f>equip.xml!J47</f>
        <v>5</v>
      </c>
      <c r="J43" s="14">
        <f>equip.xml!K47</f>
        <v>0</v>
      </c>
      <c r="K43" s="14">
        <f>equip.xml!L47</f>
        <v>0</v>
      </c>
      <c r="L43" s="14" t="str">
        <f>equip.xml!M47</f>
        <v>105_13_13</v>
      </c>
      <c r="M43" s="17" t="str">
        <f>equip.xml!Q47</f>
        <v>equipment/5003.png</v>
      </c>
      <c r="N43" s="16" t="str">
        <f>equip.xml!P47</f>
        <v>10000_1002_5000,30000_30001_1,30000_30002_1,30000_30003_1</v>
      </c>
      <c r="O43">
        <f>equip.xml!R47</f>
        <v>0</v>
      </c>
    </row>
    <row r="44" spans="1:15">
      <c r="A44" s="14" t="str">
        <f>equip.xml!A48</f>
        <v>10050070</v>
      </c>
      <c r="B44" s="14">
        <f>equip.xml!B48</f>
        <v>1</v>
      </c>
      <c r="C44" s="14" t="str">
        <f>equip.xml!C48</f>
        <v>皮甲短裤</v>
      </c>
      <c r="D44" s="14" t="str">
        <f>equip.xml!D48</f>
        <v>护腿</v>
      </c>
      <c r="E44" s="14">
        <f>equip.xml!E48</f>
        <v>7</v>
      </c>
      <c r="F44" s="14">
        <f>equip.xml!F48</f>
        <v>1</v>
      </c>
      <c r="G44" s="14">
        <f>equip.xml!G48</f>
        <v>5</v>
      </c>
      <c r="H44" s="14">
        <f>equip.xml!H48</f>
        <v>0</v>
      </c>
      <c r="I44" s="14">
        <f>equip.xml!J48</f>
        <v>5</v>
      </c>
      <c r="J44" s="14">
        <f>equip.xml!K48</f>
        <v>0</v>
      </c>
      <c r="K44" s="14">
        <f>equip.xml!L48</f>
        <v>0</v>
      </c>
      <c r="L44" s="14" t="str">
        <f>equip.xml!M48</f>
        <v>105_3_3</v>
      </c>
      <c r="M44" s="17" t="str">
        <f>equip.xml!Q48</f>
        <v>equipment/7001.png</v>
      </c>
      <c r="N44" s="16" t="str">
        <f>equip.xml!P48</f>
        <v>10000_1002_5000,30000_30001_1,30000_30002_1,30000_30003_1</v>
      </c>
      <c r="O44">
        <f>equip.xml!R48</f>
        <v>0</v>
      </c>
    </row>
    <row r="45" spans="1:15">
      <c r="A45" s="14" t="str">
        <f>equip.xml!A49</f>
        <v>10050071</v>
      </c>
      <c r="B45" s="14">
        <f>equip.xml!B49</f>
        <v>1</v>
      </c>
      <c r="C45" s="14" t="str">
        <f>equip.xml!C49</f>
        <v>学徒短裤</v>
      </c>
      <c r="D45" s="14" t="str">
        <f>equip.xml!D49</f>
        <v>护腿</v>
      </c>
      <c r="E45" s="14">
        <f>equip.xml!E49</f>
        <v>7</v>
      </c>
      <c r="F45" s="14">
        <f>equip.xml!F49</f>
        <v>1</v>
      </c>
      <c r="G45" s="14">
        <f>equip.xml!G49</f>
        <v>5</v>
      </c>
      <c r="H45" s="14">
        <f>equip.xml!H49</f>
        <v>0</v>
      </c>
      <c r="I45" s="14">
        <f>equip.xml!J49</f>
        <v>5</v>
      </c>
      <c r="J45" s="14">
        <f>equip.xml!K49</f>
        <v>0</v>
      </c>
      <c r="K45" s="14">
        <f>equip.xml!L49</f>
        <v>0</v>
      </c>
      <c r="L45" s="14" t="str">
        <f>equip.xml!M49</f>
        <v>105_10_10</v>
      </c>
      <c r="M45" s="17" t="str">
        <f>equip.xml!Q49</f>
        <v>equipment/7002.png</v>
      </c>
      <c r="N45" s="16" t="str">
        <f>equip.xml!P49</f>
        <v>10000_1002_5000,30000_30001_1,30000_30002_1,30000_30003_1</v>
      </c>
      <c r="O45">
        <f>equip.xml!R49</f>
        <v>0</v>
      </c>
    </row>
    <row r="46" spans="1:15">
      <c r="A46" s="14" t="str">
        <f>equip.xml!A50</f>
        <v>10100010</v>
      </c>
      <c r="B46" s="14">
        <f>equip.xml!B50</f>
        <v>1</v>
      </c>
      <c r="C46" s="14" t="str">
        <f>equip.xml!C50</f>
        <v>轻便头盔</v>
      </c>
      <c r="D46" s="14" t="str">
        <f>equip.xml!D50</f>
        <v>头盔</v>
      </c>
      <c r="E46" s="14">
        <f>equip.xml!E50</f>
        <v>1</v>
      </c>
      <c r="F46" s="14">
        <f>equip.xml!F50</f>
        <v>1</v>
      </c>
      <c r="G46" s="14">
        <f>equip.xml!G50</f>
        <v>10</v>
      </c>
      <c r="H46" s="14">
        <f>equip.xml!H50</f>
        <v>0</v>
      </c>
      <c r="I46" s="14">
        <f>equip.xml!J50</f>
        <v>5</v>
      </c>
      <c r="J46" s="14">
        <f>equip.xml!K50</f>
        <v>0</v>
      </c>
      <c r="K46" s="14">
        <f>equip.xml!L50</f>
        <v>0</v>
      </c>
      <c r="L46" s="14" t="str">
        <f>equip.xml!M50</f>
        <v>106_64_64</v>
      </c>
      <c r="M46" s="17" t="str">
        <f>equip.xml!Q50</f>
        <v>equipment/3002.png</v>
      </c>
      <c r="N46" s="16" t="str">
        <f>equip.xml!P50</f>
        <v>10000_1002_10000,30000_30001_1,30000_30002_1,30000_30003_1</v>
      </c>
      <c r="O46">
        <f>equip.xml!R50</f>
        <v>0</v>
      </c>
    </row>
    <row r="47" spans="1:15">
      <c r="A47" s="14" t="str">
        <f>equip.xml!A51</f>
        <v>10100020</v>
      </c>
      <c r="B47" s="14">
        <f>equip.xml!B51</f>
        <v>1</v>
      </c>
      <c r="C47" s="14" t="str">
        <f>equip.xml!C51</f>
        <v>宝石戒指</v>
      </c>
      <c r="D47" s="14" t="str">
        <f>equip.xml!D51</f>
        <v>戒指</v>
      </c>
      <c r="E47" s="14">
        <f>equip.xml!E51</f>
        <v>2</v>
      </c>
      <c r="F47" s="14">
        <f>equip.xml!F51</f>
        <v>1</v>
      </c>
      <c r="G47" s="14">
        <f>equip.xml!G51</f>
        <v>10</v>
      </c>
      <c r="H47" s="14">
        <f>equip.xml!H51</f>
        <v>0</v>
      </c>
      <c r="I47" s="14">
        <f>equip.xml!J51</f>
        <v>5</v>
      </c>
      <c r="J47" s="14">
        <f>equip.xml!K51</f>
        <v>0</v>
      </c>
      <c r="K47" s="14">
        <f>equip.xml!L51</f>
        <v>0</v>
      </c>
      <c r="L47" s="14" t="str">
        <f>equip.xml!M51</f>
        <v>102_150_150</v>
      </c>
      <c r="M47" s="17" t="str">
        <f>equip.xml!Q51</f>
        <v>equipment/14002.png</v>
      </c>
      <c r="N47" s="16" t="str">
        <f>equip.xml!P51</f>
        <v>10000_1002_10000,30000_30001_1,30000_30002_1,30000_30003_1</v>
      </c>
      <c r="O47">
        <f>equip.xml!R51</f>
        <v>0</v>
      </c>
    </row>
    <row r="48" spans="1:15">
      <c r="A48" s="14" t="str">
        <f>equip.xml!A52</f>
        <v>10100030</v>
      </c>
      <c r="B48" s="14">
        <f>equip.xml!B52</f>
        <v>1</v>
      </c>
      <c r="C48" s="14" t="str">
        <f>equip.xml!C52</f>
        <v>坚硬皮带</v>
      </c>
      <c r="D48" s="14" t="str">
        <f>equip.xml!D52</f>
        <v>腰带</v>
      </c>
      <c r="E48" s="14">
        <f>equip.xml!E52</f>
        <v>3</v>
      </c>
      <c r="F48" s="14">
        <f>equip.xml!F52</f>
        <v>1</v>
      </c>
      <c r="G48" s="14">
        <f>equip.xml!G52</f>
        <v>10</v>
      </c>
      <c r="H48" s="14">
        <f>equip.xml!H52</f>
        <v>0</v>
      </c>
      <c r="I48" s="14">
        <f>equip.xml!J52</f>
        <v>5</v>
      </c>
      <c r="J48" s="14">
        <f>equip.xml!K52</f>
        <v>0</v>
      </c>
      <c r="K48" s="14">
        <f>equip.xml!L52</f>
        <v>0</v>
      </c>
      <c r="L48" s="14" t="str">
        <f>equip.xml!M52</f>
        <v>101_480_480</v>
      </c>
      <c r="M48" s="17" t="str">
        <f>equip.xml!Q52</f>
        <v>equipment/6002.png</v>
      </c>
      <c r="N48" s="16" t="str">
        <f>equip.xml!P52</f>
        <v>10000_1002_10000,30000_30001_1,30000_30002_1,30000_30003_1</v>
      </c>
      <c r="O48">
        <f>equip.xml!R52</f>
        <v>0</v>
      </c>
    </row>
    <row r="49" spans="1:15">
      <c r="A49" s="14" t="str">
        <f>equip.xml!A53</f>
        <v>10100080</v>
      </c>
      <c r="B49" s="14">
        <f>equip.xml!B53</f>
        <v>1</v>
      </c>
      <c r="C49" s="14" t="str">
        <f>equip.xml!C53</f>
        <v>软垫靴</v>
      </c>
      <c r="D49" s="14" t="str">
        <f>equip.xml!D53</f>
        <v>鞋子</v>
      </c>
      <c r="E49" s="14">
        <f>equip.xml!E53</f>
        <v>8</v>
      </c>
      <c r="F49" s="14">
        <f>equip.xml!F53</f>
        <v>1</v>
      </c>
      <c r="G49" s="14">
        <f>equip.xml!G53</f>
        <v>10</v>
      </c>
      <c r="H49" s="14">
        <f>equip.xml!H53</f>
        <v>0</v>
      </c>
      <c r="I49" s="14">
        <f>equip.xml!J53</f>
        <v>5</v>
      </c>
      <c r="J49" s="14">
        <f>equip.xml!K53</f>
        <v>0</v>
      </c>
      <c r="K49" s="14">
        <f>equip.xml!L53</f>
        <v>0</v>
      </c>
      <c r="L49" s="14" t="str">
        <f>equip.xml!M53</f>
        <v>110_12_12</v>
      </c>
      <c r="M49" s="17" t="str">
        <f>equip.xml!Q53</f>
        <v>equipment/8002.png</v>
      </c>
      <c r="N49" s="16" t="str">
        <f>equip.xml!P53</f>
        <v>10000_1002_10000,30000_30001_1,30000_30002_1,30000_30003_1</v>
      </c>
      <c r="O49">
        <f>equip.xml!R53</f>
        <v>0</v>
      </c>
    </row>
    <row r="50" spans="1:15">
      <c r="A50" s="14" t="str">
        <f>equip.xml!A54</f>
        <v>10100090</v>
      </c>
      <c r="B50" s="14">
        <f>equip.xml!B54</f>
        <v>1</v>
      </c>
      <c r="C50" s="14" t="str">
        <f>equip.xml!C54</f>
        <v>步兵护手</v>
      </c>
      <c r="D50" s="14" t="str">
        <f>equip.xml!D54</f>
        <v>手套</v>
      </c>
      <c r="E50" s="14">
        <f>equip.xml!E54</f>
        <v>9</v>
      </c>
      <c r="F50" s="14">
        <f>equip.xml!F54</f>
        <v>1</v>
      </c>
      <c r="G50" s="14">
        <f>equip.xml!G54</f>
        <v>10</v>
      </c>
      <c r="H50" s="14">
        <f>equip.xml!H54</f>
        <v>0</v>
      </c>
      <c r="I50" s="14">
        <f>equip.xml!J54</f>
        <v>5</v>
      </c>
      <c r="J50" s="14">
        <f>equip.xml!K54</f>
        <v>0</v>
      </c>
      <c r="K50" s="14">
        <f>equip.xml!L54</f>
        <v>0</v>
      </c>
      <c r="L50" s="14" t="str">
        <f>equip.xml!M54</f>
        <v>108_43_43</v>
      </c>
      <c r="M50" s="17" t="str">
        <f>equip.xml!Q54</f>
        <v>equipment/10002.png</v>
      </c>
      <c r="N50" s="16" t="str">
        <f>equip.xml!P54</f>
        <v>10000_1002_10000,30000_30001_1,30000_30002_1,30000_30003_1</v>
      </c>
      <c r="O50">
        <f>equip.xml!R54</f>
        <v>0</v>
      </c>
    </row>
    <row r="51" spans="1:15">
      <c r="A51" s="14" t="str">
        <f>equip.xml!A55</f>
        <v>10100100</v>
      </c>
      <c r="B51" s="14">
        <f>equip.xml!B55</f>
        <v>0</v>
      </c>
      <c r="C51" s="14" t="str">
        <f>equip.xml!C55</f>
        <v>贝壳项链</v>
      </c>
      <c r="D51" s="14" t="str">
        <f>equip.xml!D55</f>
        <v>项链</v>
      </c>
      <c r="E51" s="14">
        <f>equip.xml!E55</f>
        <v>10</v>
      </c>
      <c r="F51" s="14">
        <f>equip.xml!F55</f>
        <v>1</v>
      </c>
      <c r="G51" s="14">
        <f>equip.xml!G55</f>
        <v>10</v>
      </c>
      <c r="H51" s="14">
        <f>equip.xml!H55</f>
        <v>0</v>
      </c>
      <c r="I51" s="14">
        <f>equip.xml!J55</f>
        <v>5</v>
      </c>
      <c r="J51" s="14">
        <f>equip.xml!K55</f>
        <v>0</v>
      </c>
      <c r="K51" s="14">
        <f>equip.xml!L55</f>
        <v>0</v>
      </c>
      <c r="L51" s="14" t="str">
        <f>equip.xml!M55</f>
        <v>107_20_20</v>
      </c>
      <c r="M51" s="17" t="str">
        <f>equip.xml!Q55</f>
        <v>equipment/12001.png</v>
      </c>
      <c r="N51" s="16" t="str">
        <f>equip.xml!P55</f>
        <v>10000_1002_10000,30000_30001_1,30000_30002_1,30000_30003_1</v>
      </c>
      <c r="O51">
        <f>equip.xml!R55</f>
        <v>0</v>
      </c>
    </row>
    <row r="52" spans="1:15">
      <c r="A52" s="14" t="str">
        <f>equip.xml!A56</f>
        <v>10101050</v>
      </c>
      <c r="B52" s="14">
        <f>equip.xml!B56</f>
        <v>1</v>
      </c>
      <c r="C52" s="14" t="str">
        <f>equip.xml!C56</f>
        <v>护卫之刃</v>
      </c>
      <c r="D52" s="14" t="str">
        <f>equip.xml!D56</f>
        <v>主手武器</v>
      </c>
      <c r="E52" s="14">
        <f>equip.xml!E56</f>
        <v>5</v>
      </c>
      <c r="F52" s="14">
        <f>equip.xml!F56</f>
        <v>1</v>
      </c>
      <c r="G52" s="14">
        <f>equip.xml!G56</f>
        <v>10</v>
      </c>
      <c r="H52" s="14" t="str">
        <f>equip.xml!H56</f>
        <v>1,1001</v>
      </c>
      <c r="I52" s="14">
        <f>equip.xml!J56</f>
        <v>5</v>
      </c>
      <c r="J52" s="14">
        <f>equip.xml!K56</f>
        <v>0</v>
      </c>
      <c r="K52" s="14">
        <f>equip.xml!L56</f>
        <v>0</v>
      </c>
      <c r="L52" s="14" t="str">
        <f>equip.xml!M56</f>
        <v>103_32_32,104_64_64</v>
      </c>
      <c r="M52" s="17" t="str">
        <f>equip.xml!Q56</f>
        <v>equipment/1105.png</v>
      </c>
      <c r="N52" s="16" t="str">
        <f>equip.xml!P56</f>
        <v>10000_1002_10000,30000_30001_1,30000_30002_1,30000_30003_1</v>
      </c>
      <c r="O52">
        <f>equip.xml!R56</f>
        <v>0</v>
      </c>
    </row>
    <row r="53" spans="1:15">
      <c r="A53" s="14" t="str">
        <f>equip.xml!A57</f>
        <v>10101051</v>
      </c>
      <c r="B53" s="14">
        <f>equip.xml!B57</f>
        <v>1</v>
      </c>
      <c r="C53" s="14" t="str">
        <f>equip.xml!C57</f>
        <v>铜铸重剑</v>
      </c>
      <c r="D53" s="14" t="str">
        <f>equip.xml!D57</f>
        <v>主手武器</v>
      </c>
      <c r="E53" s="14">
        <f>equip.xml!E57</f>
        <v>5</v>
      </c>
      <c r="F53" s="14">
        <f>equip.xml!F57</f>
        <v>1</v>
      </c>
      <c r="G53" s="14">
        <f>equip.xml!G57</f>
        <v>10</v>
      </c>
      <c r="H53" s="14" t="str">
        <f>equip.xml!H57</f>
        <v>1,1001</v>
      </c>
      <c r="I53" s="14">
        <f>equip.xml!J57</f>
        <v>5</v>
      </c>
      <c r="J53" s="14">
        <f>equip.xml!K57</f>
        <v>0</v>
      </c>
      <c r="K53" s="14">
        <f>equip.xml!L57</f>
        <v>0</v>
      </c>
      <c r="L53" s="14" t="str">
        <f>equip.xml!M57</f>
        <v>103_40_40,104_80_80</v>
      </c>
      <c r="M53" s="17" t="str">
        <f>equip.xml!Q57</f>
        <v>equipment/1106.png</v>
      </c>
      <c r="N53" s="16" t="str">
        <f>equip.xml!P57</f>
        <v>10000_1002_10000,30000_30001_1,30000_30002_1,30000_30003_1</v>
      </c>
      <c r="O53">
        <f>equip.xml!R57</f>
        <v>0</v>
      </c>
    </row>
    <row r="54" spans="1:15">
      <c r="A54" s="14" t="str">
        <f>equip.xml!A58</f>
        <v>10101060</v>
      </c>
      <c r="B54" s="14">
        <f>equip.xml!B58</f>
        <v>1</v>
      </c>
      <c r="C54" s="14" t="str">
        <f>equip.xml!C58</f>
        <v>金属大盾</v>
      </c>
      <c r="D54" s="14" t="str">
        <f>equip.xml!D58</f>
        <v>副手武器</v>
      </c>
      <c r="E54" s="14">
        <f>equip.xml!E58</f>
        <v>6</v>
      </c>
      <c r="F54" s="14">
        <f>equip.xml!F58</f>
        <v>1</v>
      </c>
      <c r="G54" s="14">
        <f>equip.xml!G58</f>
        <v>10</v>
      </c>
      <c r="H54" s="14" t="str">
        <f>equip.xml!H58</f>
        <v>1,1001</v>
      </c>
      <c r="I54" s="14">
        <f>equip.xml!J58</f>
        <v>5</v>
      </c>
      <c r="J54" s="14">
        <f>equip.xml!K58</f>
        <v>0</v>
      </c>
      <c r="K54" s="14">
        <f>equip.xml!L58</f>
        <v>0</v>
      </c>
      <c r="L54" s="14" t="str">
        <f>equip.xml!M58</f>
        <v>105_30_30</v>
      </c>
      <c r="M54" s="17" t="str">
        <f>equip.xml!Q58</f>
        <v>equipment/2103.png</v>
      </c>
      <c r="N54" s="16" t="str">
        <f>equip.xml!P58</f>
        <v>10000_1002_10000,30000_30001_1,30000_30002_1,30000_30003_1</v>
      </c>
      <c r="O54">
        <f>equip.xml!R58</f>
        <v>0</v>
      </c>
    </row>
    <row r="55" spans="1:15">
      <c r="A55" s="14" t="str">
        <f>equip.xml!A59</f>
        <v>10101061</v>
      </c>
      <c r="B55" s="14">
        <f>equip.xml!B59</f>
        <v>0</v>
      </c>
      <c r="C55" s="14" t="str">
        <f>equip.xml!C59</f>
        <v>尖头盾</v>
      </c>
      <c r="D55" s="14" t="str">
        <f>equip.xml!D59</f>
        <v>副手武器</v>
      </c>
      <c r="E55" s="14">
        <f>equip.xml!E59</f>
        <v>6</v>
      </c>
      <c r="F55" s="14">
        <f>equip.xml!F59</f>
        <v>1</v>
      </c>
      <c r="G55" s="14">
        <f>equip.xml!G59</f>
        <v>10</v>
      </c>
      <c r="H55" s="14" t="str">
        <f>equip.xml!H59</f>
        <v>1,1001</v>
      </c>
      <c r="I55" s="14">
        <f>equip.xml!J59</f>
        <v>5</v>
      </c>
      <c r="J55" s="14">
        <f>equip.xml!K59</f>
        <v>0</v>
      </c>
      <c r="K55" s="14">
        <f>equip.xml!L59</f>
        <v>0</v>
      </c>
      <c r="L55" s="14" t="str">
        <f>equip.xml!M59</f>
        <v>105_59_59</v>
      </c>
      <c r="M55" s="17" t="str">
        <f>equip.xml!Q59</f>
        <v>equipment/2101.png</v>
      </c>
      <c r="N55" s="16" t="str">
        <f>equip.xml!P59</f>
        <v>10000_1002_10000,30000_30001_1,30000_30002_1,30000_30003_1</v>
      </c>
      <c r="O55">
        <f>equip.xml!R59</f>
        <v>0</v>
      </c>
    </row>
    <row r="56" spans="1:15">
      <c r="A56" s="14" t="str">
        <f>equip.xml!A60</f>
        <v>10102050</v>
      </c>
      <c r="B56" s="14">
        <f>equip.xml!B60</f>
        <v>1</v>
      </c>
      <c r="C56" s="14" t="str">
        <f>equip.xml!C60</f>
        <v>猎手强弓</v>
      </c>
      <c r="D56" s="14" t="str">
        <f>equip.xml!D60</f>
        <v>主手武器</v>
      </c>
      <c r="E56" s="14">
        <f>equip.xml!E60</f>
        <v>5</v>
      </c>
      <c r="F56" s="14">
        <f>equip.xml!F60</f>
        <v>1</v>
      </c>
      <c r="G56" s="14">
        <f>equip.xml!G60</f>
        <v>10</v>
      </c>
      <c r="H56" s="14" t="str">
        <f>equip.xml!H60</f>
        <v>2,1002</v>
      </c>
      <c r="I56" s="14">
        <f>equip.xml!J60</f>
        <v>5</v>
      </c>
      <c r="J56" s="14">
        <f>equip.xml!K60</f>
        <v>0</v>
      </c>
      <c r="K56" s="14">
        <f>equip.xml!L60</f>
        <v>0</v>
      </c>
      <c r="L56" s="14" t="str">
        <f>equip.xml!M60</f>
        <v>103_32_32,104_64_64</v>
      </c>
      <c r="M56" s="17" t="str">
        <f>equip.xml!Q60</f>
        <v>equipment/1205.png</v>
      </c>
      <c r="N56" s="16" t="str">
        <f>equip.xml!P60</f>
        <v>10000_1002_10000,30000_30001_1,30000_30002_1,30000_30003_1</v>
      </c>
      <c r="O56">
        <f>equip.xml!R60</f>
        <v>0</v>
      </c>
    </row>
    <row r="57" spans="1:15">
      <c r="A57" s="14" t="str">
        <f>equip.xml!A61</f>
        <v>10102051</v>
      </c>
      <c r="B57" s="14">
        <f>equip.xml!B61</f>
        <v>1</v>
      </c>
      <c r="C57" s="14" t="str">
        <f>equip.xml!C61</f>
        <v>灰木弓</v>
      </c>
      <c r="D57" s="14" t="str">
        <f>equip.xml!D61</f>
        <v>主手武器</v>
      </c>
      <c r="E57" s="14">
        <f>equip.xml!E61</f>
        <v>5</v>
      </c>
      <c r="F57" s="14">
        <f>equip.xml!F61</f>
        <v>1</v>
      </c>
      <c r="G57" s="14">
        <f>equip.xml!G61</f>
        <v>10</v>
      </c>
      <c r="H57" s="14" t="str">
        <f>equip.xml!H61</f>
        <v>2,1002</v>
      </c>
      <c r="I57" s="14">
        <f>equip.xml!J61</f>
        <v>5</v>
      </c>
      <c r="J57" s="14">
        <f>equip.xml!K61</f>
        <v>0</v>
      </c>
      <c r="K57" s="14">
        <f>equip.xml!L61</f>
        <v>0</v>
      </c>
      <c r="L57" s="14" t="str">
        <f>equip.xml!M61</f>
        <v>103_40_40,104_80_80</v>
      </c>
      <c r="M57" s="17" t="str">
        <f>equip.xml!Q61</f>
        <v>equipment/1206.png</v>
      </c>
      <c r="N57" s="16" t="str">
        <f>equip.xml!P61</f>
        <v>10000_1002_10000,30000_30001_1,30000_30002_1,30000_30003_1</v>
      </c>
      <c r="O57">
        <f>equip.xml!R61</f>
        <v>0</v>
      </c>
    </row>
    <row r="58" spans="1:15">
      <c r="A58" s="14" t="str">
        <f>equip.xml!A62</f>
        <v>10102060</v>
      </c>
      <c r="B58" s="14">
        <f>equip.xml!B62</f>
        <v>1</v>
      </c>
      <c r="C58" s="14" t="str">
        <f>equip.xml!C62</f>
        <v>帆布箭筒</v>
      </c>
      <c r="D58" s="14" t="str">
        <f>equip.xml!D62</f>
        <v>副手武器</v>
      </c>
      <c r="E58" s="14">
        <f>equip.xml!E62</f>
        <v>6</v>
      </c>
      <c r="F58" s="14">
        <f>equip.xml!F62</f>
        <v>1</v>
      </c>
      <c r="G58" s="14">
        <f>equip.xml!G62</f>
        <v>10</v>
      </c>
      <c r="H58" s="14" t="str">
        <f>equip.xml!H62</f>
        <v>2,1002</v>
      </c>
      <c r="I58" s="14">
        <f>equip.xml!J62</f>
        <v>5</v>
      </c>
      <c r="J58" s="14">
        <f>equip.xml!K62</f>
        <v>0</v>
      </c>
      <c r="K58" s="14">
        <f>equip.xml!L62</f>
        <v>0</v>
      </c>
      <c r="L58" s="14" t="str">
        <f>equip.xml!M62</f>
        <v>108_30_30</v>
      </c>
      <c r="M58" s="17" t="str">
        <f>equip.xml!Q62</f>
        <v>equipment/2203.png</v>
      </c>
      <c r="N58" s="16" t="str">
        <f>equip.xml!P62</f>
        <v>10000_1002_10000,30000_30001_1,30000_30002_1,30000_30003_1</v>
      </c>
      <c r="O58">
        <f>equip.xml!R62</f>
        <v>0</v>
      </c>
    </row>
    <row r="59" spans="1:15">
      <c r="A59" s="14" t="str">
        <f>equip.xml!A63</f>
        <v>10102061</v>
      </c>
      <c r="B59" s="14">
        <f>equip.xml!B63</f>
        <v>0</v>
      </c>
      <c r="C59" s="14" t="str">
        <f>equip.xml!C63</f>
        <v>箭筒</v>
      </c>
      <c r="D59" s="14" t="str">
        <f>equip.xml!D63</f>
        <v>副手武器</v>
      </c>
      <c r="E59" s="14">
        <f>equip.xml!E63</f>
        <v>6</v>
      </c>
      <c r="F59" s="14">
        <f>equip.xml!F63</f>
        <v>1</v>
      </c>
      <c r="G59" s="14">
        <f>equip.xml!G63</f>
        <v>10</v>
      </c>
      <c r="H59" s="14" t="str">
        <f>equip.xml!H63</f>
        <v>2,1002</v>
      </c>
      <c r="I59" s="14">
        <f>equip.xml!J63</f>
        <v>5</v>
      </c>
      <c r="J59" s="14">
        <f>equip.xml!K63</f>
        <v>0</v>
      </c>
      <c r="K59" s="14">
        <f>equip.xml!L63</f>
        <v>0</v>
      </c>
      <c r="L59" s="14" t="str">
        <f>equip.xml!M63</f>
        <v>108_59_59</v>
      </c>
      <c r="M59" s="17" t="str">
        <f>equip.xml!Q63</f>
        <v>equipment/2201.png</v>
      </c>
      <c r="N59" s="16" t="str">
        <f>equip.xml!P63</f>
        <v>10000_1002_10000,30000_30001_1,30000_30002_1,30000_30003_1</v>
      </c>
      <c r="O59">
        <f>equip.xml!R63</f>
        <v>0</v>
      </c>
    </row>
    <row r="60" spans="1:15">
      <c r="A60" s="14" t="str">
        <f>equip.xml!A64</f>
        <v>10103050</v>
      </c>
      <c r="B60" s="14">
        <f>equip.xml!B64</f>
        <v>1</v>
      </c>
      <c r="C60" s="14" t="str">
        <f>equip.xml!C64</f>
        <v>附魔银棒</v>
      </c>
      <c r="D60" s="14" t="str">
        <f>equip.xml!D64</f>
        <v>主手武器</v>
      </c>
      <c r="E60" s="14">
        <f>equip.xml!E64</f>
        <v>5</v>
      </c>
      <c r="F60" s="14">
        <f>equip.xml!F64</f>
        <v>1</v>
      </c>
      <c r="G60" s="14">
        <f>equip.xml!G64</f>
        <v>10</v>
      </c>
      <c r="H60" s="14" t="str">
        <f>equip.xml!H64</f>
        <v>3,1003</v>
      </c>
      <c r="I60" s="14">
        <f>equip.xml!J64</f>
        <v>5</v>
      </c>
      <c r="J60" s="14">
        <f>equip.xml!K64</f>
        <v>0</v>
      </c>
      <c r="K60" s="14">
        <f>equip.xml!L64</f>
        <v>0</v>
      </c>
      <c r="L60" s="14" t="str">
        <f>equip.xml!M64</f>
        <v>103_32_32,104_64_64</v>
      </c>
      <c r="M60" s="17" t="str">
        <f>equip.xml!Q64</f>
        <v>equipment/1305.png</v>
      </c>
      <c r="N60" s="16" t="str">
        <f>equip.xml!P64</f>
        <v>10000_1002_10000,30000_30001_1,30000_30002_1,30000_30003_1</v>
      </c>
      <c r="O60">
        <f>equip.xml!R64</f>
        <v>0</v>
      </c>
    </row>
    <row r="61" spans="1:15">
      <c r="A61" s="14" t="str">
        <f>equip.xml!A65</f>
        <v>10103051</v>
      </c>
      <c r="B61" s="14">
        <f>equip.xml!B65</f>
        <v>1</v>
      </c>
      <c r="C61" s="14" t="str">
        <f>equip.xml!C65</f>
        <v>魔导法杖</v>
      </c>
      <c r="D61" s="14" t="str">
        <f>equip.xml!D65</f>
        <v>主手武器</v>
      </c>
      <c r="E61" s="14">
        <f>equip.xml!E65</f>
        <v>5</v>
      </c>
      <c r="F61" s="14">
        <f>equip.xml!F65</f>
        <v>1</v>
      </c>
      <c r="G61" s="14">
        <f>equip.xml!G65</f>
        <v>10</v>
      </c>
      <c r="H61" s="14" t="str">
        <f>equip.xml!H65</f>
        <v>3,1003</v>
      </c>
      <c r="I61" s="14">
        <f>equip.xml!J65</f>
        <v>5</v>
      </c>
      <c r="J61" s="14">
        <f>equip.xml!K65</f>
        <v>0</v>
      </c>
      <c r="K61" s="14">
        <f>equip.xml!L65</f>
        <v>0</v>
      </c>
      <c r="L61" s="14" t="str">
        <f>equip.xml!M65</f>
        <v>103_40_40,104_80_80</v>
      </c>
      <c r="M61" s="17" t="str">
        <f>equip.xml!Q65</f>
        <v>equipment/1306.png</v>
      </c>
      <c r="N61" s="16" t="str">
        <f>equip.xml!P65</f>
        <v>10000_1002_10000,30000_30001_1,30000_30002_1,30000_30003_1</v>
      </c>
      <c r="O61">
        <f>equip.xml!R65</f>
        <v>0</v>
      </c>
    </row>
    <row r="62" spans="1:15">
      <c r="A62" s="14" t="str">
        <f>equip.xml!A66</f>
        <v>10103060</v>
      </c>
      <c r="B62" s="14">
        <f>equip.xml!B66</f>
        <v>1</v>
      </c>
      <c r="C62" s="14" t="str">
        <f>equip.xml!C66</f>
        <v>奥术典籍</v>
      </c>
      <c r="D62" s="14" t="str">
        <f>equip.xml!D66</f>
        <v>副手武器</v>
      </c>
      <c r="E62" s="14">
        <f>equip.xml!E66</f>
        <v>6</v>
      </c>
      <c r="F62" s="14">
        <f>equip.xml!F66</f>
        <v>1</v>
      </c>
      <c r="G62" s="14">
        <f>equip.xml!G66</f>
        <v>10</v>
      </c>
      <c r="H62" s="14" t="str">
        <f>equip.xml!H66</f>
        <v>3,1003</v>
      </c>
      <c r="I62" s="14">
        <f>equip.xml!J66</f>
        <v>5</v>
      </c>
      <c r="J62" s="14">
        <f>equip.xml!K66</f>
        <v>0</v>
      </c>
      <c r="K62" s="14">
        <f>equip.xml!L66</f>
        <v>0</v>
      </c>
      <c r="L62" s="14" t="str">
        <f>equip.xml!M66</f>
        <v>102_240_240</v>
      </c>
      <c r="M62" s="17" t="str">
        <f>equip.xml!Q66</f>
        <v>equipment/2303.png</v>
      </c>
      <c r="N62" s="16" t="str">
        <f>equip.xml!P66</f>
        <v>10000_1002_10000,30000_30001_1,30000_30002_1,30000_30003_1</v>
      </c>
      <c r="O62">
        <f>equip.xml!R66</f>
        <v>0</v>
      </c>
    </row>
    <row r="63" spans="1:15">
      <c r="A63" s="14" t="str">
        <f>equip.xml!A67</f>
        <v>10103061</v>
      </c>
      <c r="B63" s="14">
        <f>equip.xml!B67</f>
        <v>0</v>
      </c>
      <c r="C63" s="14" t="str">
        <f>equip.xml!C67</f>
        <v>法术指南</v>
      </c>
      <c r="D63" s="14" t="str">
        <f>equip.xml!D67</f>
        <v>副手武器</v>
      </c>
      <c r="E63" s="14">
        <f>equip.xml!E67</f>
        <v>6</v>
      </c>
      <c r="F63" s="14">
        <f>equip.xml!F67</f>
        <v>1</v>
      </c>
      <c r="G63" s="14">
        <f>equip.xml!G67</f>
        <v>10</v>
      </c>
      <c r="H63" s="14" t="str">
        <f>equip.xml!H67</f>
        <v>3,1003</v>
      </c>
      <c r="I63" s="14">
        <f>equip.xml!J67</f>
        <v>5</v>
      </c>
      <c r="J63" s="14">
        <f>equip.xml!K67</f>
        <v>0</v>
      </c>
      <c r="K63" s="14">
        <f>equip.xml!L67</f>
        <v>0</v>
      </c>
      <c r="L63" s="14" t="str">
        <f>equip.xml!M67</f>
        <v>102_59_59</v>
      </c>
      <c r="M63" s="17" t="str">
        <f>equip.xml!Q67</f>
        <v>equipment/2301.png</v>
      </c>
      <c r="N63" s="16" t="str">
        <f>equip.xml!P67</f>
        <v>10000_1002_10000,30000_30001_1,30000_30002_1,30000_30003_1</v>
      </c>
      <c r="O63">
        <f>equip.xml!R67</f>
        <v>0</v>
      </c>
    </row>
    <row r="64" spans="1:15">
      <c r="A64" s="14" t="str">
        <f>equip.xml!A68</f>
        <v>10100040</v>
      </c>
      <c r="B64" s="14">
        <f>equip.xml!B68</f>
        <v>1</v>
      </c>
      <c r="C64" s="14" t="str">
        <f>equip.xml!C68</f>
        <v>硬皮外套</v>
      </c>
      <c r="D64" s="14" t="str">
        <f>equip.xml!D68</f>
        <v>胸甲</v>
      </c>
      <c r="E64" s="14">
        <f>equip.xml!E68</f>
        <v>4</v>
      </c>
      <c r="F64" s="14">
        <f>equip.xml!F68</f>
        <v>1</v>
      </c>
      <c r="G64" s="14">
        <f>equip.xml!G68</f>
        <v>10</v>
      </c>
      <c r="H64" s="14">
        <f>equip.xml!H68</f>
        <v>0</v>
      </c>
      <c r="I64" s="14">
        <f>equip.xml!J68</f>
        <v>5</v>
      </c>
      <c r="J64" s="14">
        <f>equip.xml!K68</f>
        <v>0</v>
      </c>
      <c r="K64" s="14">
        <f>equip.xml!L68</f>
        <v>0</v>
      </c>
      <c r="L64" s="14" t="str">
        <f>equip.xml!M68</f>
        <v>105_20_20</v>
      </c>
      <c r="M64" s="17" t="str">
        <f>equip.xml!Q68</f>
        <v>equipment/5003.png</v>
      </c>
      <c r="N64" s="16" t="str">
        <f>equip.xml!P68</f>
        <v>10000_1002_10000,30000_30001_1,30000_30002_1,30000_30003_1</v>
      </c>
      <c r="O64">
        <f>equip.xml!R68</f>
        <v>0</v>
      </c>
    </row>
    <row r="65" spans="1:15">
      <c r="A65" s="14" t="str">
        <f>equip.xml!A69</f>
        <v>10100041</v>
      </c>
      <c r="B65" s="14">
        <f>equip.xml!B69</f>
        <v>0</v>
      </c>
      <c r="C65" s="14" t="str">
        <f>equip.xml!C69</f>
        <v>新兵外套</v>
      </c>
      <c r="D65" s="14" t="str">
        <f>equip.xml!D69</f>
        <v>胸甲</v>
      </c>
      <c r="E65" s="14">
        <f>equip.xml!E69</f>
        <v>4</v>
      </c>
      <c r="F65" s="14">
        <f>equip.xml!F69</f>
        <v>1</v>
      </c>
      <c r="G65" s="14">
        <f>equip.xml!G69</f>
        <v>10</v>
      </c>
      <c r="H65" s="14">
        <f>equip.xml!H69</f>
        <v>0</v>
      </c>
      <c r="I65" s="14">
        <f>equip.xml!J69</f>
        <v>5</v>
      </c>
      <c r="J65" s="14">
        <f>equip.xml!K69</f>
        <v>0</v>
      </c>
      <c r="K65" s="14">
        <f>equip.xml!L69</f>
        <v>0</v>
      </c>
      <c r="L65" s="14" t="str">
        <f>equip.xml!M69</f>
        <v>105_28_28</v>
      </c>
      <c r="M65" s="17" t="str">
        <f>equip.xml!Q69</f>
        <v>equipment/5001.png</v>
      </c>
      <c r="N65" s="16" t="str">
        <f>equip.xml!P69</f>
        <v>10000_1002_10000,30000_30001_1,30000_30002_1,30000_30003_1</v>
      </c>
      <c r="O65">
        <f>equip.xml!R69</f>
        <v>0</v>
      </c>
    </row>
    <row r="66" spans="1:15">
      <c r="A66" s="14" t="str">
        <f>equip.xml!A70</f>
        <v>10100070</v>
      </c>
      <c r="B66" s="14">
        <f>equip.xml!B70</f>
        <v>1</v>
      </c>
      <c r="C66" s="14" t="str">
        <f>equip.xml!C70</f>
        <v>护卫短裤</v>
      </c>
      <c r="D66" s="14" t="str">
        <f>equip.xml!D70</f>
        <v>护腿</v>
      </c>
      <c r="E66" s="14">
        <f>equip.xml!E70</f>
        <v>7</v>
      </c>
      <c r="F66" s="14">
        <f>equip.xml!F70</f>
        <v>1</v>
      </c>
      <c r="G66" s="14">
        <f>equip.xml!G70</f>
        <v>10</v>
      </c>
      <c r="H66" s="14">
        <f>equip.xml!H70</f>
        <v>0</v>
      </c>
      <c r="I66" s="14">
        <f>equip.xml!J70</f>
        <v>5</v>
      </c>
      <c r="J66" s="14">
        <f>equip.xml!K70</f>
        <v>0</v>
      </c>
      <c r="K66" s="14">
        <f>equip.xml!L70</f>
        <v>0</v>
      </c>
      <c r="L66" s="14" t="str">
        <f>equip.xml!M70</f>
        <v>105_20_20</v>
      </c>
      <c r="M66" s="17" t="str">
        <f>equip.xml!Q70</f>
        <v>equipment/7003.png</v>
      </c>
      <c r="N66" s="16" t="str">
        <f>equip.xml!P70</f>
        <v>10000_1002_10000,30000_30001_1,30000_30002_1,30000_30003_1</v>
      </c>
      <c r="O66">
        <f>equip.xml!R70</f>
        <v>0</v>
      </c>
    </row>
    <row r="67" spans="1:15">
      <c r="A67" s="14" t="str">
        <f>equip.xml!A71</f>
        <v>10100071</v>
      </c>
      <c r="B67" s="14">
        <f>equip.xml!B71</f>
        <v>0</v>
      </c>
      <c r="C67" s="14" t="str">
        <f>equip.xml!C71</f>
        <v>学徒短裤</v>
      </c>
      <c r="D67" s="14" t="str">
        <f>equip.xml!D71</f>
        <v>护腿</v>
      </c>
      <c r="E67" s="14">
        <f>equip.xml!E71</f>
        <v>7</v>
      </c>
      <c r="F67" s="14">
        <f>equip.xml!F71</f>
        <v>1</v>
      </c>
      <c r="G67" s="14">
        <f>equip.xml!G71</f>
        <v>10</v>
      </c>
      <c r="H67" s="14">
        <f>equip.xml!H71</f>
        <v>0</v>
      </c>
      <c r="I67" s="14">
        <f>equip.xml!J71</f>
        <v>5</v>
      </c>
      <c r="J67" s="14">
        <f>equip.xml!K71</f>
        <v>0</v>
      </c>
      <c r="K67" s="14">
        <f>equip.xml!L71</f>
        <v>0</v>
      </c>
      <c r="L67" s="14" t="str">
        <f>equip.xml!M71</f>
        <v>105_28_28</v>
      </c>
      <c r="M67" s="17" t="str">
        <f>equip.xml!Q71</f>
        <v>equipment/7001.png</v>
      </c>
      <c r="N67" s="16" t="str">
        <f>equip.xml!P71</f>
        <v>10000_1002_10000,30000_30001_1,30000_30002_1,30000_30003_1</v>
      </c>
      <c r="O67">
        <f>equip.xml!R71</f>
        <v>0</v>
      </c>
    </row>
    <row r="68" spans="1:15">
      <c r="A68" s="14" t="str">
        <f>equip.xml!A72</f>
        <v>10150010</v>
      </c>
      <c r="B68" s="14">
        <f>equip.xml!B72</f>
        <v>0</v>
      </c>
      <c r="C68" s="14" t="str">
        <f>equip.xml!C72</f>
        <v>纹饰帽</v>
      </c>
      <c r="D68" s="14" t="str">
        <f>equip.xml!D72</f>
        <v>头盔</v>
      </c>
      <c r="E68" s="14">
        <f>equip.xml!E72</f>
        <v>1</v>
      </c>
      <c r="F68" s="14">
        <f>equip.xml!F72</f>
        <v>1</v>
      </c>
      <c r="G68" s="14">
        <f>equip.xml!G72</f>
        <v>15</v>
      </c>
      <c r="H68" s="14">
        <f>equip.xml!H72</f>
        <v>0</v>
      </c>
      <c r="I68" s="14">
        <f>equip.xml!J72</f>
        <v>5</v>
      </c>
      <c r="J68" s="14">
        <f>equip.xml!K72</f>
        <v>0</v>
      </c>
      <c r="K68" s="14">
        <f>equip.xml!L72</f>
        <v>0</v>
      </c>
      <c r="L68" s="14" t="str">
        <f>equip.xml!M72</f>
        <v>106_64_64</v>
      </c>
      <c r="M68" s="17" t="str">
        <f>equip.xml!Q72</f>
        <v>equipment/3001.png</v>
      </c>
      <c r="N68" s="16" t="str">
        <f>equip.xml!P72</f>
        <v>10000_1002_15000,30000_30001_1,30000_30002_1,30000_30003_1</v>
      </c>
      <c r="O68">
        <f>equip.xml!R72</f>
        <v>0</v>
      </c>
    </row>
    <row r="69" spans="1:15">
      <c r="A69" s="14" t="str">
        <f>equip.xml!A73</f>
        <v>10150020</v>
      </c>
      <c r="B69" s="14">
        <f>equip.xml!B73</f>
        <v>0</v>
      </c>
      <c r="C69" s="14" t="str">
        <f>equip.xml!C73</f>
        <v>金戒指</v>
      </c>
      <c r="D69" s="14" t="str">
        <f>equip.xml!D73</f>
        <v>戒指</v>
      </c>
      <c r="E69" s="14">
        <f>equip.xml!E73</f>
        <v>2</v>
      </c>
      <c r="F69" s="14">
        <f>equip.xml!F73</f>
        <v>1</v>
      </c>
      <c r="G69" s="14">
        <f>equip.xml!G73</f>
        <v>15</v>
      </c>
      <c r="H69" s="14">
        <f>equip.xml!H73</f>
        <v>0</v>
      </c>
      <c r="I69" s="14">
        <f>equip.xml!J73</f>
        <v>5</v>
      </c>
      <c r="J69" s="14">
        <f>equip.xml!K73</f>
        <v>0</v>
      </c>
      <c r="K69" s="14">
        <f>equip.xml!L73</f>
        <v>0</v>
      </c>
      <c r="L69" s="14" t="str">
        <f>equip.xml!M73</f>
        <v>102_185_185</v>
      </c>
      <c r="M69" s="17" t="str">
        <f>equip.xml!Q73</f>
        <v>equipment/14001.png</v>
      </c>
      <c r="N69" s="16" t="str">
        <f>equip.xml!P73</f>
        <v>10000_1002_15000,30000_30001_1,30000_30002_1,30000_30003_1</v>
      </c>
      <c r="O69">
        <f>equip.xml!R73</f>
        <v>0</v>
      </c>
    </row>
    <row r="70" spans="1:15">
      <c r="A70" s="14" t="str">
        <f>equip.xml!A74</f>
        <v>10150030</v>
      </c>
      <c r="B70" s="14">
        <f>equip.xml!B74</f>
        <v>1</v>
      </c>
      <c r="C70" s="14" t="str">
        <f>equip.xml!C74</f>
        <v>铁锁腰带</v>
      </c>
      <c r="D70" s="14" t="str">
        <f>equip.xml!D74</f>
        <v>腰带</v>
      </c>
      <c r="E70" s="14">
        <f>equip.xml!E74</f>
        <v>3</v>
      </c>
      <c r="F70" s="14">
        <f>equip.xml!F74</f>
        <v>1</v>
      </c>
      <c r="G70" s="14">
        <f>equip.xml!G74</f>
        <v>15</v>
      </c>
      <c r="H70" s="14">
        <f>equip.xml!H74</f>
        <v>0</v>
      </c>
      <c r="I70" s="14">
        <f>equip.xml!J74</f>
        <v>5</v>
      </c>
      <c r="J70" s="14">
        <f>equip.xml!K74</f>
        <v>0</v>
      </c>
      <c r="K70" s="14">
        <f>equip.xml!L74</f>
        <v>0</v>
      </c>
      <c r="L70" s="14" t="str">
        <f>equip.xml!M74</f>
        <v>101_1160_1160</v>
      </c>
      <c r="M70" s="17" t="str">
        <f>equip.xml!Q74</f>
        <v>equipment/6003.png</v>
      </c>
      <c r="N70" s="16" t="str">
        <f>equip.xml!P74</f>
        <v>10000_1002_15000,30000_30001_1,30000_30002_1,30000_30003_1</v>
      </c>
      <c r="O70">
        <f>equip.xml!R74</f>
        <v>0</v>
      </c>
    </row>
    <row r="71" spans="1:15">
      <c r="A71" s="14" t="str">
        <f>equip.xml!A75</f>
        <v>10150080</v>
      </c>
      <c r="B71" s="14">
        <f>equip.xml!B75</f>
        <v>1</v>
      </c>
      <c r="C71" s="14" t="str">
        <f>equip.xml!C75</f>
        <v>链甲战靴</v>
      </c>
      <c r="D71" s="14" t="str">
        <f>equip.xml!D75</f>
        <v>鞋子</v>
      </c>
      <c r="E71" s="14">
        <f>equip.xml!E75</f>
        <v>8</v>
      </c>
      <c r="F71" s="14">
        <f>equip.xml!F75</f>
        <v>1</v>
      </c>
      <c r="G71" s="14">
        <f>equip.xml!G75</f>
        <v>15</v>
      </c>
      <c r="H71" s="14">
        <f>equip.xml!H75</f>
        <v>0</v>
      </c>
      <c r="I71" s="14">
        <f>equip.xml!J75</f>
        <v>5</v>
      </c>
      <c r="J71" s="14">
        <f>equip.xml!K75</f>
        <v>0</v>
      </c>
      <c r="K71" s="14">
        <f>equip.xml!L75</f>
        <v>0</v>
      </c>
      <c r="L71" s="14" t="str">
        <f>equip.xml!M75</f>
        <v>110_27_27</v>
      </c>
      <c r="M71" s="17" t="str">
        <f>equip.xml!Q75</f>
        <v>equipment/8003.png</v>
      </c>
      <c r="N71" s="16" t="str">
        <f>equip.xml!P75</f>
        <v>10000_1002_15000,30000_30001_1,30000_30002_1,30000_30003_1</v>
      </c>
      <c r="O71">
        <f>equip.xml!R75</f>
        <v>0</v>
      </c>
    </row>
    <row r="72" spans="1:15">
      <c r="A72" s="14" t="str">
        <f>equip.xml!A76</f>
        <v>10150090</v>
      </c>
      <c r="B72" s="14">
        <f>equip.xml!B76</f>
        <v>1</v>
      </c>
      <c r="C72" s="14" t="str">
        <f>equip.xml!C76</f>
        <v>战痕手套</v>
      </c>
      <c r="D72" s="14" t="str">
        <f>equip.xml!D76</f>
        <v>手套</v>
      </c>
      <c r="E72" s="14">
        <f>equip.xml!E76</f>
        <v>9</v>
      </c>
      <c r="F72" s="14">
        <f>equip.xml!F76</f>
        <v>1</v>
      </c>
      <c r="G72" s="14">
        <f>equip.xml!G76</f>
        <v>15</v>
      </c>
      <c r="H72" s="14">
        <f>equip.xml!H76</f>
        <v>0</v>
      </c>
      <c r="I72" s="14">
        <f>equip.xml!J76</f>
        <v>5</v>
      </c>
      <c r="J72" s="14">
        <f>equip.xml!K76</f>
        <v>0</v>
      </c>
      <c r="K72" s="14">
        <f>equip.xml!L76</f>
        <v>0</v>
      </c>
      <c r="L72" s="14" t="str">
        <f>equip.xml!M76</f>
        <v>108_106_106</v>
      </c>
      <c r="M72" s="17" t="str">
        <f>equip.xml!Q76</f>
        <v>equipment/10003.png</v>
      </c>
      <c r="N72" s="16" t="str">
        <f>equip.xml!P76</f>
        <v>10000_1002_15000,30000_30001_1,30000_30002_1,30000_30003_1</v>
      </c>
      <c r="O72">
        <f>equip.xml!R76</f>
        <v>0</v>
      </c>
    </row>
    <row r="73" spans="1:15">
      <c r="A73" s="14" t="str">
        <f>equip.xml!A77</f>
        <v>10150100</v>
      </c>
      <c r="B73" s="14">
        <f>equip.xml!B77</f>
        <v>1</v>
      </c>
      <c r="C73" s="14" t="str">
        <f>equip.xml!C77</f>
        <v>使者项链</v>
      </c>
      <c r="D73" s="14" t="str">
        <f>equip.xml!D77</f>
        <v>项链</v>
      </c>
      <c r="E73" s="14">
        <f>equip.xml!E77</f>
        <v>10</v>
      </c>
      <c r="F73" s="14">
        <f>equip.xml!F77</f>
        <v>1</v>
      </c>
      <c r="G73" s="14">
        <f>equip.xml!G77</f>
        <v>15</v>
      </c>
      <c r="H73" s="14">
        <f>equip.xml!H77</f>
        <v>0</v>
      </c>
      <c r="I73" s="14">
        <f>equip.xml!J77</f>
        <v>5</v>
      </c>
      <c r="J73" s="14">
        <f>equip.xml!K77</f>
        <v>0</v>
      </c>
      <c r="K73" s="14">
        <f>equip.xml!L77</f>
        <v>0</v>
      </c>
      <c r="L73" s="14" t="str">
        <f>equip.xml!M77</f>
        <v>107_64_64</v>
      </c>
      <c r="M73" s="17" t="str">
        <f>equip.xml!Q77</f>
        <v>equipment/12002.png</v>
      </c>
      <c r="N73" s="16" t="str">
        <f>equip.xml!P77</f>
        <v>10000_1002_15000,30000_30001_1,30000_30002_1,30000_30003_1</v>
      </c>
      <c r="O73">
        <f>equip.xml!R77</f>
        <v>0</v>
      </c>
    </row>
    <row r="74" spans="1:15">
      <c r="A74" s="14" t="str">
        <f>equip.xml!A78</f>
        <v>10151050</v>
      </c>
      <c r="B74" s="14">
        <f>equip.xml!B78</f>
        <v>1</v>
      </c>
      <c r="C74" s="14" t="str">
        <f>equip.xml!C78</f>
        <v>宽刃剑</v>
      </c>
      <c r="D74" s="14" t="str">
        <f>equip.xml!D78</f>
        <v>主手武器</v>
      </c>
      <c r="E74" s="14">
        <f>equip.xml!E78</f>
        <v>5</v>
      </c>
      <c r="F74" s="14">
        <f>equip.xml!F78</f>
        <v>1</v>
      </c>
      <c r="G74" s="14">
        <f>equip.xml!G78</f>
        <v>15</v>
      </c>
      <c r="H74" s="14" t="str">
        <f>equip.xml!H78</f>
        <v>1,1001</v>
      </c>
      <c r="I74" s="14">
        <f>equip.xml!J78</f>
        <v>5</v>
      </c>
      <c r="J74" s="14">
        <f>equip.xml!K78</f>
        <v>0</v>
      </c>
      <c r="K74" s="14">
        <f>equip.xml!L78</f>
        <v>0</v>
      </c>
      <c r="L74" s="14" t="str">
        <f>equip.xml!M78</f>
        <v>103_52_52,104_104_104</v>
      </c>
      <c r="M74" s="17" t="str">
        <f>equip.xml!Q78</f>
        <v>equipment/1108.png</v>
      </c>
      <c r="N74" s="16" t="str">
        <f>equip.xml!P78</f>
        <v>10000_1002_15000,30000_30001_1,30000_30002_1,30000_30003_1</v>
      </c>
      <c r="O74">
        <f>equip.xml!R78</f>
        <v>0</v>
      </c>
    </row>
    <row r="75" spans="1:15">
      <c r="A75" s="14" t="str">
        <f>equip.xml!A79</f>
        <v>10151051</v>
      </c>
      <c r="B75" s="14">
        <f>equip.xml!B79</f>
        <v>1</v>
      </c>
      <c r="C75" s="14" t="str">
        <f>equip.xml!C79</f>
        <v>游侠之刃</v>
      </c>
      <c r="D75" s="14" t="str">
        <f>equip.xml!D79</f>
        <v>主手武器</v>
      </c>
      <c r="E75" s="14">
        <f>equip.xml!E79</f>
        <v>5</v>
      </c>
      <c r="F75" s="14">
        <f>equip.xml!F79</f>
        <v>1</v>
      </c>
      <c r="G75" s="14">
        <f>equip.xml!G79</f>
        <v>15</v>
      </c>
      <c r="H75" s="14" t="str">
        <f>equip.xml!H79</f>
        <v>1,1001</v>
      </c>
      <c r="I75" s="14">
        <f>equip.xml!J79</f>
        <v>5</v>
      </c>
      <c r="J75" s="14">
        <f>equip.xml!K79</f>
        <v>0</v>
      </c>
      <c r="K75" s="14">
        <f>equip.xml!L79</f>
        <v>0</v>
      </c>
      <c r="L75" s="14" t="str">
        <f>equip.xml!M79</f>
        <v>103_76_76,104_152_152</v>
      </c>
      <c r="M75" s="17" t="str">
        <f>equip.xml!Q79</f>
        <v>equipment/1107.png</v>
      </c>
      <c r="N75" s="16" t="str">
        <f>equip.xml!P79</f>
        <v>10000_1002_15000,30000_30001_1,30000_30002_1,30000_30003_1</v>
      </c>
      <c r="O75">
        <f>equip.xml!R79</f>
        <v>0</v>
      </c>
    </row>
    <row r="76" spans="1:15">
      <c r="A76" s="14" t="str">
        <f>equip.xml!A80</f>
        <v>10151060</v>
      </c>
      <c r="B76" s="14">
        <f>equip.xml!B80</f>
        <v>1</v>
      </c>
      <c r="C76" s="14" t="str">
        <f>equip.xml!C80</f>
        <v>鸢盾</v>
      </c>
      <c r="D76" s="14" t="str">
        <f>equip.xml!D80</f>
        <v>副手武器</v>
      </c>
      <c r="E76" s="14">
        <f>equip.xml!E80</f>
        <v>6</v>
      </c>
      <c r="F76" s="14">
        <f>equip.xml!F80</f>
        <v>1</v>
      </c>
      <c r="G76" s="14">
        <f>equip.xml!G80</f>
        <v>15</v>
      </c>
      <c r="H76" s="14" t="str">
        <f>equip.xml!H80</f>
        <v>1,1001</v>
      </c>
      <c r="I76" s="14">
        <f>equip.xml!J80</f>
        <v>5</v>
      </c>
      <c r="J76" s="14">
        <f>equip.xml!K80</f>
        <v>0</v>
      </c>
      <c r="K76" s="14">
        <f>equip.xml!L80</f>
        <v>0</v>
      </c>
      <c r="L76" s="14" t="str">
        <f>equip.xml!M80</f>
        <v>105_103_103</v>
      </c>
      <c r="M76" s="17" t="str">
        <f>equip.xml!Q80</f>
        <v>equipment/2105.png</v>
      </c>
      <c r="N76" s="16" t="str">
        <f>equip.xml!P80</f>
        <v>10000_1002_15000,30000_30001_1,30000_30002_1,30000_30003_1</v>
      </c>
      <c r="O76">
        <f>equip.xml!R80</f>
        <v>0</v>
      </c>
    </row>
    <row r="77" spans="1:15">
      <c r="A77" s="14" t="str">
        <f>equip.xml!A81</f>
        <v>10151061</v>
      </c>
      <c r="B77" s="14">
        <f>equip.xml!B81</f>
        <v>0</v>
      </c>
      <c r="C77" s="14" t="str">
        <f>equip.xml!C81</f>
        <v>尖头盾</v>
      </c>
      <c r="D77" s="14" t="str">
        <f>equip.xml!D81</f>
        <v>副手武器</v>
      </c>
      <c r="E77" s="14">
        <f>equip.xml!E81</f>
        <v>6</v>
      </c>
      <c r="F77" s="14">
        <f>equip.xml!F81</f>
        <v>1</v>
      </c>
      <c r="G77" s="14">
        <f>equip.xml!G81</f>
        <v>15</v>
      </c>
      <c r="H77" s="14" t="str">
        <f>equip.xml!H81</f>
        <v>1,1001</v>
      </c>
      <c r="I77" s="14">
        <f>equip.xml!J81</f>
        <v>5</v>
      </c>
      <c r="J77" s="14">
        <f>equip.xml!K81</f>
        <v>0</v>
      </c>
      <c r="K77" s="14">
        <f>equip.xml!L81</f>
        <v>0</v>
      </c>
      <c r="L77" s="14" t="str">
        <f>equip.xml!M81</f>
        <v>105_130_130</v>
      </c>
      <c r="M77" s="17" t="str">
        <f>equip.xml!Q81</f>
        <v>equipment/2101.png</v>
      </c>
      <c r="N77" s="16" t="str">
        <f>equip.xml!P81</f>
        <v>10000_1002_15000,30000_30001_1,30000_30002_1,30000_30003_1</v>
      </c>
      <c r="O77">
        <f>equip.xml!R81</f>
        <v>0</v>
      </c>
    </row>
    <row r="78" spans="1:15">
      <c r="A78" s="14" t="str">
        <f>equip.xml!A82</f>
        <v>10152050</v>
      </c>
      <c r="B78" s="14">
        <f>equip.xml!B82</f>
        <v>1</v>
      </c>
      <c r="C78" s="14" t="str">
        <f>equip.xml!C82</f>
        <v>狩猎之弓</v>
      </c>
      <c r="D78" s="14" t="str">
        <f>equip.xml!D82</f>
        <v>主手武器</v>
      </c>
      <c r="E78" s="14">
        <f>equip.xml!E82</f>
        <v>5</v>
      </c>
      <c r="F78" s="14">
        <f>equip.xml!F82</f>
        <v>1</v>
      </c>
      <c r="G78" s="14">
        <f>equip.xml!G82</f>
        <v>15</v>
      </c>
      <c r="H78" s="14" t="str">
        <f>equip.xml!H82</f>
        <v>2,1002</v>
      </c>
      <c r="I78" s="14">
        <f>equip.xml!J82</f>
        <v>5</v>
      </c>
      <c r="J78" s="14">
        <f>equip.xml!K82</f>
        <v>0</v>
      </c>
      <c r="K78" s="14">
        <f>equip.xml!L82</f>
        <v>0</v>
      </c>
      <c r="L78" s="14" t="str">
        <f>equip.xml!M82</f>
        <v>103_52_52,104_104_104</v>
      </c>
      <c r="M78" s="17" t="str">
        <f>equip.xml!Q82</f>
        <v>equipment/1207.png</v>
      </c>
      <c r="N78" s="16" t="str">
        <f>equip.xml!P82</f>
        <v>10000_1002_15000,30000_30001_1,30000_30002_1,30000_30003_1</v>
      </c>
      <c r="O78">
        <f>equip.xml!R82</f>
        <v>0</v>
      </c>
    </row>
    <row r="79" spans="1:15">
      <c r="A79" s="14" t="str">
        <f>equip.xml!A83</f>
        <v>10152051</v>
      </c>
      <c r="B79" s="14">
        <f>equip.xml!B83</f>
        <v>1</v>
      </c>
      <c r="C79" s="14" t="str">
        <f>equip.xml!C83</f>
        <v>半人马长弓</v>
      </c>
      <c r="D79" s="14" t="str">
        <f>equip.xml!D83</f>
        <v>主手武器</v>
      </c>
      <c r="E79" s="14">
        <f>equip.xml!E83</f>
        <v>5</v>
      </c>
      <c r="F79" s="14">
        <f>equip.xml!F83</f>
        <v>1</v>
      </c>
      <c r="G79" s="14">
        <f>equip.xml!G83</f>
        <v>15</v>
      </c>
      <c r="H79" s="14" t="str">
        <f>equip.xml!H83</f>
        <v>2,1002</v>
      </c>
      <c r="I79" s="14">
        <f>equip.xml!J83</f>
        <v>5</v>
      </c>
      <c r="J79" s="14">
        <f>equip.xml!K83</f>
        <v>0</v>
      </c>
      <c r="K79" s="14">
        <f>equip.xml!L83</f>
        <v>0</v>
      </c>
      <c r="L79" s="14" t="str">
        <f>equip.xml!M83</f>
        <v>103_76_76,104_152_152</v>
      </c>
      <c r="M79" s="17" t="str">
        <f>equip.xml!Q83</f>
        <v>equipment/1208.png</v>
      </c>
      <c r="N79" s="16" t="str">
        <f>equip.xml!P83</f>
        <v>10000_1002_15000,30000_30001_1,30000_30002_1,30000_30003_1</v>
      </c>
      <c r="O79">
        <f>equip.xml!R83</f>
        <v>0</v>
      </c>
    </row>
    <row r="80" spans="1:15">
      <c r="A80" s="14" t="str">
        <f>equip.xml!A84</f>
        <v>10152060</v>
      </c>
      <c r="B80" s="14">
        <f>equip.xml!B84</f>
        <v>1</v>
      </c>
      <c r="C80" s="14" t="str">
        <f>equip.xml!C84</f>
        <v>皮革箭筒</v>
      </c>
      <c r="D80" s="14" t="str">
        <f>equip.xml!D84</f>
        <v>副手武器</v>
      </c>
      <c r="E80" s="14">
        <f>equip.xml!E84</f>
        <v>6</v>
      </c>
      <c r="F80" s="14">
        <f>equip.xml!F84</f>
        <v>1</v>
      </c>
      <c r="G80" s="14">
        <f>equip.xml!G84</f>
        <v>15</v>
      </c>
      <c r="H80" s="14" t="str">
        <f>equip.xml!H84</f>
        <v>2,1002</v>
      </c>
      <c r="I80" s="14">
        <f>equip.xml!J84</f>
        <v>5</v>
      </c>
      <c r="J80" s="14">
        <f>equip.xml!K84</f>
        <v>0</v>
      </c>
      <c r="K80" s="14">
        <f>equip.xml!L84</f>
        <v>0</v>
      </c>
      <c r="L80" s="14" t="str">
        <f>equip.xml!M84</f>
        <v>108_103_103</v>
      </c>
      <c r="M80" s="17" t="str">
        <f>equip.xml!Q84</f>
        <v>equipment/2204.png</v>
      </c>
      <c r="N80" s="16" t="str">
        <f>equip.xml!P84</f>
        <v>10000_1002_15000,30000_30001_1,30000_30002_1,30000_30003_1</v>
      </c>
      <c r="O80">
        <f>equip.xml!R84</f>
        <v>0</v>
      </c>
    </row>
    <row r="81" spans="1:15">
      <c r="A81" s="14" t="str">
        <f>equip.xml!A85</f>
        <v>10152061</v>
      </c>
      <c r="B81" s="14">
        <f>equip.xml!B85</f>
        <v>0</v>
      </c>
      <c r="C81" s="14" t="str">
        <f>equip.xml!C85</f>
        <v>箭筒</v>
      </c>
      <c r="D81" s="14" t="str">
        <f>equip.xml!D85</f>
        <v>副手武器</v>
      </c>
      <c r="E81" s="14">
        <f>equip.xml!E85</f>
        <v>6</v>
      </c>
      <c r="F81" s="14">
        <f>equip.xml!F85</f>
        <v>1</v>
      </c>
      <c r="G81" s="14">
        <f>equip.xml!G85</f>
        <v>15</v>
      </c>
      <c r="H81" s="14" t="str">
        <f>equip.xml!H85</f>
        <v>2,1002</v>
      </c>
      <c r="I81" s="14">
        <f>equip.xml!J85</f>
        <v>5</v>
      </c>
      <c r="J81" s="14">
        <f>equip.xml!K85</f>
        <v>0</v>
      </c>
      <c r="K81" s="14">
        <f>equip.xml!L85</f>
        <v>0</v>
      </c>
      <c r="L81" s="14" t="str">
        <f>equip.xml!M85</f>
        <v>108_130_130</v>
      </c>
      <c r="M81" s="17" t="str">
        <f>equip.xml!Q85</f>
        <v>equipment/2201.png</v>
      </c>
      <c r="N81" s="16" t="str">
        <f>equip.xml!P85</f>
        <v>10000_1002_15000,30000_30001_1,30000_30002_1,30000_30003_1</v>
      </c>
      <c r="O81">
        <f>equip.xml!R85</f>
        <v>0</v>
      </c>
    </row>
    <row r="82" spans="1:15">
      <c r="A82" s="14" t="str">
        <f>equip.xml!A86</f>
        <v>10153050</v>
      </c>
      <c r="B82" s="14">
        <f>equip.xml!B86</f>
        <v>1</v>
      </c>
      <c r="C82" s="14" t="str">
        <f>equip.xml!C86</f>
        <v>风灵法杖</v>
      </c>
      <c r="D82" s="14" t="str">
        <f>equip.xml!D86</f>
        <v>主手武器</v>
      </c>
      <c r="E82" s="14">
        <f>equip.xml!E86</f>
        <v>5</v>
      </c>
      <c r="F82" s="14">
        <f>equip.xml!F86</f>
        <v>1</v>
      </c>
      <c r="G82" s="14">
        <f>equip.xml!G86</f>
        <v>15</v>
      </c>
      <c r="H82" s="14" t="str">
        <f>equip.xml!H86</f>
        <v>3,1003</v>
      </c>
      <c r="I82" s="14">
        <f>equip.xml!J86</f>
        <v>5</v>
      </c>
      <c r="J82" s="14">
        <f>equip.xml!K86</f>
        <v>0</v>
      </c>
      <c r="K82" s="14">
        <f>equip.xml!L86</f>
        <v>0</v>
      </c>
      <c r="L82" s="14" t="str">
        <f>equip.xml!M86</f>
        <v>103_52_52,104_104_104</v>
      </c>
      <c r="M82" s="17" t="str">
        <f>equip.xml!Q86</f>
        <v>equipment/1307.png</v>
      </c>
      <c r="N82" s="16" t="str">
        <f>equip.xml!P86</f>
        <v>10000_1002_15000,30000_30001_1,30000_30002_1,30000_30003_1</v>
      </c>
      <c r="O82">
        <f>equip.xml!R86</f>
        <v>0</v>
      </c>
    </row>
    <row r="83" spans="1:15">
      <c r="A83" s="14" t="str">
        <f>equip.xml!A87</f>
        <v>10153051</v>
      </c>
      <c r="B83" s="14">
        <f>equip.xml!B87</f>
        <v>1</v>
      </c>
      <c r="C83" s="14" t="str">
        <f>equip.xml!C87</f>
        <v>禁锢之杖</v>
      </c>
      <c r="D83" s="14" t="str">
        <f>equip.xml!D87</f>
        <v>主手武器</v>
      </c>
      <c r="E83" s="14">
        <f>equip.xml!E87</f>
        <v>5</v>
      </c>
      <c r="F83" s="14">
        <f>equip.xml!F87</f>
        <v>1</v>
      </c>
      <c r="G83" s="14">
        <f>equip.xml!G87</f>
        <v>15</v>
      </c>
      <c r="H83" s="14" t="str">
        <f>equip.xml!H87</f>
        <v>3,1003</v>
      </c>
      <c r="I83" s="14">
        <f>equip.xml!J87</f>
        <v>5</v>
      </c>
      <c r="J83" s="14">
        <f>equip.xml!K87</f>
        <v>0</v>
      </c>
      <c r="K83" s="14">
        <f>equip.xml!L87</f>
        <v>0</v>
      </c>
      <c r="L83" s="14" t="str">
        <f>equip.xml!M87</f>
        <v>103_76_76,104_152_152</v>
      </c>
      <c r="M83" s="17" t="str">
        <f>equip.xml!Q87</f>
        <v>equipment/1308.png</v>
      </c>
      <c r="N83" s="16" t="str">
        <f>equip.xml!P87</f>
        <v>10000_1002_15000,30000_30001_1,30000_30002_1,30000_30003_1</v>
      </c>
      <c r="O83">
        <f>equip.xml!R87</f>
        <v>0</v>
      </c>
    </row>
    <row r="84" spans="1:15">
      <c r="A84" s="14" t="str">
        <f>equip.xml!A88</f>
        <v>10153060</v>
      </c>
      <c r="B84" s="14">
        <f>equip.xml!B88</f>
        <v>1</v>
      </c>
      <c r="C84" s="14" t="str">
        <f>equip.xml!C88</f>
        <v>秘法之书</v>
      </c>
      <c r="D84" s="14" t="str">
        <f>equip.xml!D88</f>
        <v>副手武器</v>
      </c>
      <c r="E84" s="14">
        <f>equip.xml!E88</f>
        <v>6</v>
      </c>
      <c r="F84" s="14">
        <f>equip.xml!F88</f>
        <v>1</v>
      </c>
      <c r="G84" s="14">
        <f>equip.xml!G88</f>
        <v>15</v>
      </c>
      <c r="H84" s="14" t="str">
        <f>equip.xml!H88</f>
        <v>3,1003</v>
      </c>
      <c r="I84" s="14">
        <f>equip.xml!J88</f>
        <v>5</v>
      </c>
      <c r="J84" s="14">
        <f>equip.xml!K88</f>
        <v>0</v>
      </c>
      <c r="K84" s="14">
        <f>equip.xml!L88</f>
        <v>0</v>
      </c>
      <c r="L84" s="14" t="str">
        <f>equip.xml!M88</f>
        <v>102_420_420</v>
      </c>
      <c r="M84" s="17" t="str">
        <f>equip.xml!Q88</f>
        <v>equipment/2304.png</v>
      </c>
      <c r="N84" s="16" t="str">
        <f>equip.xml!P88</f>
        <v>10000_1002_15000,30000_30001_1,30000_30002_1,30000_30003_1</v>
      </c>
      <c r="O84">
        <f>equip.xml!R88</f>
        <v>0</v>
      </c>
    </row>
    <row r="85" spans="1:15">
      <c r="A85" s="14" t="str">
        <f>equip.xml!A89</f>
        <v>10153061</v>
      </c>
      <c r="B85" s="14">
        <f>equip.xml!B89</f>
        <v>0</v>
      </c>
      <c r="C85" s="14" t="str">
        <f>equip.xml!C89</f>
        <v>法术指南</v>
      </c>
      <c r="D85" s="14" t="str">
        <f>equip.xml!D89</f>
        <v>副手武器</v>
      </c>
      <c r="E85" s="14">
        <f>equip.xml!E89</f>
        <v>6</v>
      </c>
      <c r="F85" s="14">
        <f>equip.xml!F89</f>
        <v>1</v>
      </c>
      <c r="G85" s="14">
        <f>equip.xml!G89</f>
        <v>15</v>
      </c>
      <c r="H85" s="14" t="str">
        <f>equip.xml!H89</f>
        <v>3,1003</v>
      </c>
      <c r="I85" s="14">
        <f>equip.xml!J89</f>
        <v>5</v>
      </c>
      <c r="J85" s="14">
        <f>equip.xml!K89</f>
        <v>0</v>
      </c>
      <c r="K85" s="14">
        <f>equip.xml!L89</f>
        <v>0</v>
      </c>
      <c r="L85" s="14" t="str">
        <f>equip.xml!M89</f>
        <v>102_472_472</v>
      </c>
      <c r="M85" s="17" t="str">
        <f>equip.xml!Q89</f>
        <v>equipment/2301.png</v>
      </c>
      <c r="N85" s="16" t="str">
        <f>equip.xml!P89</f>
        <v>10000_1002_15000,30000_30001_1,30000_30002_1,30000_30003_1</v>
      </c>
      <c r="O85">
        <f>equip.xml!R89</f>
        <v>0</v>
      </c>
    </row>
    <row r="86" spans="1:15">
      <c r="A86" s="14" t="str">
        <f>equip.xml!A90</f>
        <v>10150040</v>
      </c>
      <c r="B86" s="14">
        <f>equip.xml!B90</f>
        <v>1</v>
      </c>
      <c r="C86" s="14" t="str">
        <f>equip.xml!C90</f>
        <v>暗石胸甲</v>
      </c>
      <c r="D86" s="14" t="str">
        <f>equip.xml!D90</f>
        <v>胸甲</v>
      </c>
      <c r="E86" s="14">
        <f>equip.xml!E90</f>
        <v>4</v>
      </c>
      <c r="F86" s="14">
        <f>equip.xml!F90</f>
        <v>1</v>
      </c>
      <c r="G86" s="14">
        <f>equip.xml!G90</f>
        <v>15</v>
      </c>
      <c r="H86" s="14">
        <f>equip.xml!H90</f>
        <v>0</v>
      </c>
      <c r="I86" s="14">
        <f>equip.xml!J90</f>
        <v>5</v>
      </c>
      <c r="J86" s="14">
        <f>equip.xml!K90</f>
        <v>0</v>
      </c>
      <c r="K86" s="14">
        <f>equip.xml!L90</f>
        <v>0</v>
      </c>
      <c r="L86" s="14" t="str">
        <f>equip.xml!M90</f>
        <v>105_39_39</v>
      </c>
      <c r="M86" s="17" t="str">
        <f>equip.xml!Q90</f>
        <v>equipment/5005.png</v>
      </c>
      <c r="N86" s="16" t="str">
        <f>equip.xml!P90</f>
        <v>10000_1002_15000,30000_30001_1,30000_30002_1,30000_30003_1</v>
      </c>
      <c r="O86">
        <f>equip.xml!R90</f>
        <v>0</v>
      </c>
    </row>
    <row r="87" spans="1:15">
      <c r="A87" s="14" t="str">
        <f>equip.xml!A91</f>
        <v>10150041</v>
      </c>
      <c r="B87" s="14">
        <f>equip.xml!B91</f>
        <v>0</v>
      </c>
      <c r="C87" s="14" t="str">
        <f>equip.xml!C91</f>
        <v>新兵外套</v>
      </c>
      <c r="D87" s="14" t="str">
        <f>equip.xml!D91</f>
        <v>胸甲</v>
      </c>
      <c r="E87" s="14">
        <f>equip.xml!E91</f>
        <v>4</v>
      </c>
      <c r="F87" s="14">
        <f>equip.xml!F91</f>
        <v>1</v>
      </c>
      <c r="G87" s="14">
        <f>equip.xml!G91</f>
        <v>15</v>
      </c>
      <c r="H87" s="14">
        <f>equip.xml!H91</f>
        <v>0</v>
      </c>
      <c r="I87" s="14">
        <f>equip.xml!J91</f>
        <v>5</v>
      </c>
      <c r="J87" s="14">
        <f>equip.xml!K91</f>
        <v>0</v>
      </c>
      <c r="K87" s="14">
        <f>equip.xml!L91</f>
        <v>0</v>
      </c>
      <c r="L87" s="14" t="str">
        <f>equip.xml!M91</f>
        <v>105_64_64</v>
      </c>
      <c r="M87" s="17" t="str">
        <f>equip.xml!Q91</f>
        <v>equipment/5001.png</v>
      </c>
      <c r="N87" s="16" t="str">
        <f>equip.xml!P91</f>
        <v>10000_1002_15000,30000_30001_1,30000_30002_1,30000_30003_1</v>
      </c>
      <c r="O87">
        <f>equip.xml!R91</f>
        <v>0</v>
      </c>
    </row>
    <row r="88" spans="1:15">
      <c r="A88" s="14" t="str">
        <f>equip.xml!A92</f>
        <v>10150070</v>
      </c>
      <c r="B88" s="14">
        <f>equip.xml!B92</f>
        <v>1</v>
      </c>
      <c r="C88" s="14" t="str">
        <f>equip.xml!C92</f>
        <v>荒野马裤</v>
      </c>
      <c r="D88" s="14" t="str">
        <f>equip.xml!D92</f>
        <v>护腿</v>
      </c>
      <c r="E88" s="14">
        <f>equip.xml!E92</f>
        <v>7</v>
      </c>
      <c r="F88" s="14">
        <f>equip.xml!F92</f>
        <v>1</v>
      </c>
      <c r="G88" s="14">
        <f>equip.xml!G92</f>
        <v>15</v>
      </c>
      <c r="H88" s="14">
        <f>equip.xml!H92</f>
        <v>0</v>
      </c>
      <c r="I88" s="14">
        <f>equip.xml!J92</f>
        <v>5</v>
      </c>
      <c r="J88" s="14">
        <f>equip.xml!K92</f>
        <v>0</v>
      </c>
      <c r="K88" s="14">
        <f>equip.xml!L92</f>
        <v>0</v>
      </c>
      <c r="L88" s="14" t="str">
        <f>equip.xml!M92</f>
        <v>105_39_39</v>
      </c>
      <c r="M88" s="17" t="str">
        <f>equip.xml!Q92</f>
        <v>equipment/7003.png</v>
      </c>
      <c r="N88" s="16" t="str">
        <f>equip.xml!P92</f>
        <v>10000_1002_15000,30000_30001_1,30000_30002_1,30000_30003_1</v>
      </c>
      <c r="O88">
        <f>equip.xml!R92</f>
        <v>0</v>
      </c>
    </row>
    <row r="89" spans="1:15">
      <c r="A89" s="14" t="str">
        <f>equip.xml!A93</f>
        <v>10150071</v>
      </c>
      <c r="B89" s="14">
        <f>equip.xml!B93</f>
        <v>0</v>
      </c>
      <c r="C89" s="14" t="str">
        <f>equip.xml!C93</f>
        <v>学徒短裤</v>
      </c>
      <c r="D89" s="14" t="str">
        <f>equip.xml!D93</f>
        <v>护腿</v>
      </c>
      <c r="E89" s="14">
        <f>equip.xml!E93</f>
        <v>7</v>
      </c>
      <c r="F89" s="14">
        <f>equip.xml!F93</f>
        <v>1</v>
      </c>
      <c r="G89" s="14">
        <f>equip.xml!G93</f>
        <v>15</v>
      </c>
      <c r="H89" s="14">
        <f>equip.xml!H93</f>
        <v>0</v>
      </c>
      <c r="I89" s="14">
        <f>equip.xml!J93</f>
        <v>5</v>
      </c>
      <c r="J89" s="14">
        <f>equip.xml!K93</f>
        <v>0</v>
      </c>
      <c r="K89" s="14">
        <f>equip.xml!L93</f>
        <v>0</v>
      </c>
      <c r="L89" s="14" t="str">
        <f>equip.xml!M93</f>
        <v>105_50_50</v>
      </c>
      <c r="M89" s="17" t="str">
        <f>equip.xml!Q93</f>
        <v>equipment/7001.png</v>
      </c>
      <c r="N89" s="16" t="str">
        <f>equip.xml!P93</f>
        <v>10000_1002_15000,30000_30001_1,30000_30002_1,30000_30003_1</v>
      </c>
      <c r="O89">
        <f>equip.xml!R93</f>
        <v>0</v>
      </c>
    </row>
    <row r="90" spans="1:15">
      <c r="A90" s="14" t="str">
        <f>equip.xml!A94</f>
        <v>10200010</v>
      </c>
      <c r="B90" s="14">
        <f>equip.xml!B94</f>
        <v>1</v>
      </c>
      <c r="C90" s="14" t="str">
        <f>equip.xml!C94</f>
        <v>卫士头盔</v>
      </c>
      <c r="D90" s="14" t="str">
        <f>equip.xml!D94</f>
        <v>头盔</v>
      </c>
      <c r="E90" s="14">
        <f>equip.xml!E94</f>
        <v>1</v>
      </c>
      <c r="F90" s="14">
        <f>equip.xml!F94</f>
        <v>1</v>
      </c>
      <c r="G90" s="14">
        <f>equip.xml!G94</f>
        <v>20</v>
      </c>
      <c r="H90" s="14">
        <f>equip.xml!H94</f>
        <v>0</v>
      </c>
      <c r="I90" s="14">
        <f>equip.xml!J94</f>
        <v>5</v>
      </c>
      <c r="J90" s="14">
        <f>equip.xml!K94</f>
        <v>0</v>
      </c>
      <c r="K90" s="14">
        <f>equip.xml!L94</f>
        <v>0</v>
      </c>
      <c r="L90" s="14" t="str">
        <f>equip.xml!M94</f>
        <v>106_136_136</v>
      </c>
      <c r="M90" s="17" t="str">
        <f>equip.xml!Q94</f>
        <v>equipment/3003.png</v>
      </c>
      <c r="N90" s="16" t="str">
        <f>equip.xml!P94</f>
        <v>10000_1002_20000,30000_30001_1,30000_30002_1,30000_30003_1</v>
      </c>
      <c r="O90">
        <f>equip.xml!R94</f>
        <v>0</v>
      </c>
    </row>
    <row r="91" spans="1:15">
      <c r="A91" s="14" t="str">
        <f>equip.xml!A95</f>
        <v>10200020</v>
      </c>
      <c r="B91" s="14">
        <f>equip.xml!B95</f>
        <v>1</v>
      </c>
      <c r="C91" s="14" t="str">
        <f>equip.xml!C95</f>
        <v>石岩指环</v>
      </c>
      <c r="D91" s="14" t="str">
        <f>equip.xml!D95</f>
        <v>戒指</v>
      </c>
      <c r="E91" s="14">
        <f>equip.xml!E95</f>
        <v>2</v>
      </c>
      <c r="F91" s="14">
        <f>equip.xml!F95</f>
        <v>1</v>
      </c>
      <c r="G91" s="14">
        <f>equip.xml!G95</f>
        <v>20</v>
      </c>
      <c r="H91" s="14">
        <f>equip.xml!H95</f>
        <v>0</v>
      </c>
      <c r="I91" s="14">
        <f>equip.xml!J95</f>
        <v>5</v>
      </c>
      <c r="J91" s="14">
        <f>equip.xml!K95</f>
        <v>0</v>
      </c>
      <c r="K91" s="14">
        <f>equip.xml!L95</f>
        <v>0</v>
      </c>
      <c r="L91" s="14" t="str">
        <f>equip.xml!M95</f>
        <v>102_240_240</v>
      </c>
      <c r="M91" s="17" t="str">
        <f>equip.xml!Q95</f>
        <v>equipment/14003.png</v>
      </c>
      <c r="N91" s="16" t="str">
        <f>equip.xml!P95</f>
        <v>10000_1002_20000,30000_30001_1,30000_30002_1,30000_30003_1</v>
      </c>
      <c r="O91">
        <f>equip.xml!R95</f>
        <v>0</v>
      </c>
    </row>
    <row r="92" spans="1:15">
      <c r="A92" s="14" t="str">
        <f>equip.xml!A96</f>
        <v>10200030</v>
      </c>
      <c r="B92" s="14">
        <f>equip.xml!B96</f>
        <v>1</v>
      </c>
      <c r="C92" s="14" t="str">
        <f>equip.xml!C96</f>
        <v>勇者束带</v>
      </c>
      <c r="D92" s="14" t="str">
        <f>equip.xml!D96</f>
        <v>腰带</v>
      </c>
      <c r="E92" s="14">
        <f>equip.xml!E96</f>
        <v>3</v>
      </c>
      <c r="F92" s="14">
        <f>equip.xml!F96</f>
        <v>1</v>
      </c>
      <c r="G92" s="14">
        <f>equip.xml!G96</f>
        <v>20</v>
      </c>
      <c r="H92" s="14">
        <f>equip.xml!H96</f>
        <v>0</v>
      </c>
      <c r="I92" s="14">
        <f>equip.xml!J96</f>
        <v>5</v>
      </c>
      <c r="J92" s="14">
        <f>equip.xml!K96</f>
        <v>0</v>
      </c>
      <c r="K92" s="14">
        <f>equip.xml!L96</f>
        <v>0</v>
      </c>
      <c r="L92" s="14" t="str">
        <f>equip.xml!M96</f>
        <v>101_2120_2120</v>
      </c>
      <c r="M92" s="17" t="str">
        <f>equip.xml!Q96</f>
        <v>equipment/6004.png</v>
      </c>
      <c r="N92" s="16" t="str">
        <f>equip.xml!P96</f>
        <v>10000_1002_20000,30000_30001_1,30000_30002_1,30000_30003_1</v>
      </c>
      <c r="O92">
        <f>equip.xml!R96</f>
        <v>0</v>
      </c>
    </row>
    <row r="93" spans="1:15">
      <c r="A93" s="14" t="str">
        <f>equip.xml!A97</f>
        <v>10200080</v>
      </c>
      <c r="B93" s="14">
        <f>equip.xml!B97</f>
        <v>1</v>
      </c>
      <c r="C93" s="14" t="str">
        <f>equip.xml!C97</f>
        <v>冒险长靴</v>
      </c>
      <c r="D93" s="14" t="str">
        <f>equip.xml!D97</f>
        <v>鞋子</v>
      </c>
      <c r="E93" s="14">
        <f>equip.xml!E97</f>
        <v>8</v>
      </c>
      <c r="F93" s="14">
        <f>equip.xml!F97</f>
        <v>1</v>
      </c>
      <c r="G93" s="14">
        <f>equip.xml!G97</f>
        <v>20</v>
      </c>
      <c r="H93" s="14">
        <f>equip.xml!H97</f>
        <v>0</v>
      </c>
      <c r="I93" s="14">
        <f>equip.xml!J97</f>
        <v>5</v>
      </c>
      <c r="J93" s="14">
        <f>equip.xml!K97</f>
        <v>0</v>
      </c>
      <c r="K93" s="14">
        <f>equip.xml!L97</f>
        <v>0</v>
      </c>
      <c r="L93" s="14" t="str">
        <f>equip.xml!M97</f>
        <v>110_32_32</v>
      </c>
      <c r="M93" s="17" t="str">
        <f>equip.xml!Q97</f>
        <v>equipment/8003.png</v>
      </c>
      <c r="N93" s="16" t="str">
        <f>equip.xml!P97</f>
        <v>10000_1002_20000,30000_30001_1,30000_30002_1,30000_30003_1</v>
      </c>
      <c r="O93">
        <f>equip.xml!R97</f>
        <v>0</v>
      </c>
    </row>
    <row r="94" spans="1:15">
      <c r="A94" s="14" t="str">
        <f>equip.xml!A98</f>
        <v>10200090</v>
      </c>
      <c r="B94" s="14">
        <f>equip.xml!B98</f>
        <v>1</v>
      </c>
      <c r="C94" s="14" t="str">
        <f>equip.xml!C98</f>
        <v>工程手套</v>
      </c>
      <c r="D94" s="14" t="str">
        <f>equip.xml!D98</f>
        <v>手套</v>
      </c>
      <c r="E94" s="14">
        <f>equip.xml!E98</f>
        <v>9</v>
      </c>
      <c r="F94" s="14">
        <f>equip.xml!F98</f>
        <v>1</v>
      </c>
      <c r="G94" s="14">
        <f>equip.xml!G98</f>
        <v>20</v>
      </c>
      <c r="H94" s="14">
        <f>equip.xml!H98</f>
        <v>0</v>
      </c>
      <c r="I94" s="14">
        <f>equip.xml!J98</f>
        <v>5</v>
      </c>
      <c r="J94" s="14">
        <f>equip.xml!K98</f>
        <v>0</v>
      </c>
      <c r="K94" s="14">
        <f>equip.xml!L98</f>
        <v>0</v>
      </c>
      <c r="L94" s="14" t="str">
        <f>equip.xml!M98</f>
        <v>108_211_211</v>
      </c>
      <c r="M94" s="17" t="str">
        <f>equip.xml!Q98</f>
        <v>equipment/10004.png</v>
      </c>
      <c r="N94" s="16" t="str">
        <f>equip.xml!P98</f>
        <v>10000_1002_20000,30000_30001_1,30000_30002_1,30000_30003_1</v>
      </c>
      <c r="O94">
        <f>equip.xml!R98</f>
        <v>0</v>
      </c>
    </row>
    <row r="95" spans="1:15">
      <c r="A95" s="14" t="str">
        <f>equip.xml!A99</f>
        <v>10200100</v>
      </c>
      <c r="B95" s="14">
        <f>equip.xml!B99</f>
        <v>1</v>
      </c>
      <c r="C95" s="14" t="str">
        <f>equip.xml!C99</f>
        <v>翡翠项链</v>
      </c>
      <c r="D95" s="14" t="str">
        <f>equip.xml!D99</f>
        <v>项链</v>
      </c>
      <c r="E95" s="14">
        <f>equip.xml!E99</f>
        <v>10</v>
      </c>
      <c r="F95" s="14">
        <f>equip.xml!F99</f>
        <v>1</v>
      </c>
      <c r="G95" s="14">
        <f>equip.xml!G99</f>
        <v>20</v>
      </c>
      <c r="H95" s="14">
        <f>equip.xml!H99</f>
        <v>0</v>
      </c>
      <c r="I95" s="14">
        <f>equip.xml!J99</f>
        <v>5</v>
      </c>
      <c r="J95" s="14">
        <f>equip.xml!K99</f>
        <v>0</v>
      </c>
      <c r="K95" s="14">
        <f>equip.xml!L99</f>
        <v>0</v>
      </c>
      <c r="L95" s="14" t="str">
        <f>equip.xml!M99</f>
        <v>107_136_136</v>
      </c>
      <c r="M95" s="17" t="str">
        <f>equip.xml!Q99</f>
        <v>equipment/12003.png</v>
      </c>
      <c r="N95" s="16" t="str">
        <f>equip.xml!P99</f>
        <v>10000_1002_20000,30000_30001_1,30000_30002_1,30000_30003_1</v>
      </c>
      <c r="O95">
        <f>equip.xml!R99</f>
        <v>0</v>
      </c>
    </row>
    <row r="96" spans="1:15">
      <c r="A96" s="14" t="str">
        <f>equip.xml!A100</f>
        <v>10201050</v>
      </c>
      <c r="B96" s="14">
        <f>equip.xml!B100</f>
        <v>1</v>
      </c>
      <c r="C96" s="14" t="str">
        <f>equip.xml!C100</f>
        <v>勇者长剑</v>
      </c>
      <c r="D96" s="14" t="str">
        <f>equip.xml!D100</f>
        <v>主手武器</v>
      </c>
      <c r="E96" s="14">
        <f>equip.xml!E100</f>
        <v>5</v>
      </c>
      <c r="F96" s="14">
        <f>equip.xml!F100</f>
        <v>1</v>
      </c>
      <c r="G96" s="14">
        <f>equip.xml!G100</f>
        <v>20</v>
      </c>
      <c r="H96" s="14" t="str">
        <f>equip.xml!H100</f>
        <v>1,1001</v>
      </c>
      <c r="I96" s="14">
        <f>equip.xml!J100</f>
        <v>5</v>
      </c>
      <c r="J96" s="14">
        <f>equip.xml!K100</f>
        <v>0</v>
      </c>
      <c r="K96" s="14">
        <f>equip.xml!L100</f>
        <v>0</v>
      </c>
      <c r="L96" s="14" t="str">
        <f>equip.xml!M100</f>
        <v>103_113_113,104_226_226</v>
      </c>
      <c r="M96" s="17" t="str">
        <f>equip.xml!Q100</f>
        <v>equipment/1109.png</v>
      </c>
      <c r="N96" s="16" t="str">
        <f>equip.xml!P100</f>
        <v>10000_1002_20000,30000_30001_1,30000_30002_1,30000_30003_1</v>
      </c>
      <c r="O96">
        <f>equip.xml!R100</f>
        <v>0</v>
      </c>
    </row>
    <row r="97" spans="1:15">
      <c r="A97" s="14" t="str">
        <f>equip.xml!A101</f>
        <v>10201051</v>
      </c>
      <c r="B97" s="14">
        <f>equip.xml!B101</f>
        <v>0</v>
      </c>
      <c r="C97" s="14" t="str">
        <f>equip.xml!C101</f>
        <v>军刀</v>
      </c>
      <c r="D97" s="14" t="str">
        <f>equip.xml!D101</f>
        <v>主手武器</v>
      </c>
      <c r="E97" s="14">
        <f>equip.xml!E101</f>
        <v>5</v>
      </c>
      <c r="F97" s="14">
        <f>equip.xml!F101</f>
        <v>1</v>
      </c>
      <c r="G97" s="14">
        <f>equip.xml!G101</f>
        <v>20</v>
      </c>
      <c r="H97" s="14" t="str">
        <f>equip.xml!H101</f>
        <v>1,1001</v>
      </c>
      <c r="I97" s="14">
        <f>equip.xml!J101</f>
        <v>5</v>
      </c>
      <c r="J97" s="14">
        <f>equip.xml!K101</f>
        <v>0</v>
      </c>
      <c r="K97" s="14">
        <f>equip.xml!L101</f>
        <v>0</v>
      </c>
      <c r="L97" s="14" t="str">
        <f>equip.xml!M101</f>
        <v>103_138_138,104_276_276</v>
      </c>
      <c r="M97" s="17" t="str">
        <f>equip.xml!Q101</f>
        <v>equipment/1101.png</v>
      </c>
      <c r="N97" s="16" t="str">
        <f>equip.xml!P101</f>
        <v>10000_1002_20000,30000_30001_1,30000_30002_1,30000_30003_1</v>
      </c>
      <c r="O97">
        <f>equip.xml!R101</f>
        <v>0</v>
      </c>
    </row>
    <row r="98" spans="1:15">
      <c r="A98" s="14" t="str">
        <f>equip.xml!A102</f>
        <v>10201060</v>
      </c>
      <c r="B98" s="14">
        <f>equip.xml!B102</f>
        <v>1</v>
      </c>
      <c r="C98" s="14" t="str">
        <f>equip.xml!C102</f>
        <v>护卫之盾</v>
      </c>
      <c r="D98" s="14" t="str">
        <f>equip.xml!D102</f>
        <v>副手武器</v>
      </c>
      <c r="E98" s="14">
        <f>equip.xml!E102</f>
        <v>6</v>
      </c>
      <c r="F98" s="14">
        <f>equip.xml!F102</f>
        <v>1</v>
      </c>
      <c r="G98" s="14">
        <f>equip.xml!G102</f>
        <v>20</v>
      </c>
      <c r="H98" s="14" t="str">
        <f>equip.xml!H102</f>
        <v>1,1001</v>
      </c>
      <c r="I98" s="14">
        <f>equip.xml!J102</f>
        <v>5</v>
      </c>
      <c r="J98" s="14">
        <f>equip.xml!K102</f>
        <v>0</v>
      </c>
      <c r="K98" s="14">
        <f>equip.xml!L102</f>
        <v>0</v>
      </c>
      <c r="L98" s="14" t="str">
        <f>equip.xml!M102</f>
        <v>105_171_171</v>
      </c>
      <c r="M98" s="17" t="str">
        <f>equip.xml!Q102</f>
        <v>equipment/2104.png</v>
      </c>
      <c r="N98" s="16" t="str">
        <f>equip.xml!P102</f>
        <v>10000_1002_20000,30000_30001_1,30000_30002_1,30000_30003_1</v>
      </c>
      <c r="O98">
        <f>equip.xml!R102</f>
        <v>0</v>
      </c>
    </row>
    <row r="99" spans="1:15">
      <c r="A99" s="14" t="str">
        <f>equip.xml!A103</f>
        <v>10201061</v>
      </c>
      <c r="B99" s="14">
        <f>equip.xml!B103</f>
        <v>0</v>
      </c>
      <c r="C99" s="14" t="str">
        <f>equip.xml!C103</f>
        <v>尖头盾</v>
      </c>
      <c r="D99" s="14" t="str">
        <f>equip.xml!D103</f>
        <v>副手武器</v>
      </c>
      <c r="E99" s="14">
        <f>equip.xml!E103</f>
        <v>6</v>
      </c>
      <c r="F99" s="14">
        <f>equip.xml!F103</f>
        <v>1</v>
      </c>
      <c r="G99" s="14">
        <f>equip.xml!G103</f>
        <v>20</v>
      </c>
      <c r="H99" s="14" t="str">
        <f>equip.xml!H103</f>
        <v>1,1001</v>
      </c>
      <c r="I99" s="14">
        <f>equip.xml!J103</f>
        <v>5</v>
      </c>
      <c r="J99" s="14">
        <f>equip.xml!K103</f>
        <v>0</v>
      </c>
      <c r="K99" s="14">
        <f>equip.xml!L103</f>
        <v>0</v>
      </c>
      <c r="L99" s="14" t="str">
        <f>equip.xml!M103</f>
        <v>105_205_205</v>
      </c>
      <c r="M99" s="17" t="str">
        <f>equip.xml!Q103</f>
        <v>equipment/2101.png</v>
      </c>
      <c r="N99" s="16" t="str">
        <f>equip.xml!P103</f>
        <v>10000_1002_20000,30000_30001_1,30000_30002_1,30000_30003_1</v>
      </c>
      <c r="O99">
        <f>equip.xml!R103</f>
        <v>0</v>
      </c>
    </row>
    <row r="100" spans="1:15">
      <c r="A100" s="14" t="str">
        <f>equip.xml!A104</f>
        <v>10202050</v>
      </c>
      <c r="B100" s="14">
        <f>equip.xml!B104</f>
        <v>1</v>
      </c>
      <c r="C100" s="14" t="str">
        <f>equip.xml!C104</f>
        <v>护卫之弓</v>
      </c>
      <c r="D100" s="14" t="str">
        <f>equip.xml!D104</f>
        <v>主手武器</v>
      </c>
      <c r="E100" s="14">
        <f>equip.xml!E104</f>
        <v>5</v>
      </c>
      <c r="F100" s="14">
        <f>equip.xml!F104</f>
        <v>1</v>
      </c>
      <c r="G100" s="14">
        <f>equip.xml!G104</f>
        <v>20</v>
      </c>
      <c r="H100" s="14" t="str">
        <f>equip.xml!H104</f>
        <v>2,1002</v>
      </c>
      <c r="I100" s="14">
        <f>equip.xml!J104</f>
        <v>5</v>
      </c>
      <c r="J100" s="14">
        <f>equip.xml!K104</f>
        <v>0</v>
      </c>
      <c r="K100" s="14">
        <f>equip.xml!L104</f>
        <v>0</v>
      </c>
      <c r="L100" s="14" t="str">
        <f>equip.xml!M104</f>
        <v>103_113_113,104_226_226</v>
      </c>
      <c r="M100" s="17" t="str">
        <f>equip.xml!Q104</f>
        <v>equipment/1209.png</v>
      </c>
      <c r="N100" s="16" t="str">
        <f>equip.xml!P104</f>
        <v>10000_1002_20000,30000_30001_1,30000_30002_1,30000_30003_1</v>
      </c>
      <c r="O100">
        <f>equip.xml!R104</f>
        <v>0</v>
      </c>
    </row>
    <row r="101" spans="1:15">
      <c r="A101" s="14" t="str">
        <f>equip.xml!A105</f>
        <v>10202051</v>
      </c>
      <c r="B101" s="14">
        <f>equip.xml!B105</f>
        <v>0</v>
      </c>
      <c r="C101" s="14" t="str">
        <f>equip.xml!C105</f>
        <v>棘木弓</v>
      </c>
      <c r="D101" s="14" t="str">
        <f>equip.xml!D105</f>
        <v>主手武器</v>
      </c>
      <c r="E101" s="14">
        <f>equip.xml!E105</f>
        <v>5</v>
      </c>
      <c r="F101" s="14">
        <f>equip.xml!F105</f>
        <v>1</v>
      </c>
      <c r="G101" s="14">
        <f>equip.xml!G105</f>
        <v>20</v>
      </c>
      <c r="H101" s="14" t="str">
        <f>equip.xml!H105</f>
        <v>2,1002</v>
      </c>
      <c r="I101" s="14">
        <f>equip.xml!J105</f>
        <v>5</v>
      </c>
      <c r="J101" s="14">
        <f>equip.xml!K105</f>
        <v>0</v>
      </c>
      <c r="K101" s="14">
        <f>equip.xml!L105</f>
        <v>0</v>
      </c>
      <c r="L101" s="14" t="str">
        <f>equip.xml!M105</f>
        <v>103_138_138,104_276_276</v>
      </c>
      <c r="M101" s="17" t="str">
        <f>equip.xml!Q105</f>
        <v>equipment/1201.png</v>
      </c>
      <c r="N101" s="16" t="str">
        <f>equip.xml!P105</f>
        <v>10000_1002_20000,30000_30001_1,30000_30002_1,30000_30003_1</v>
      </c>
      <c r="O101">
        <f>equip.xml!R105</f>
        <v>0</v>
      </c>
    </row>
    <row r="102" spans="1:15">
      <c r="A102" s="14" t="str">
        <f>equip.xml!A106</f>
        <v>10202060</v>
      </c>
      <c r="B102" s="14">
        <f>equip.xml!B106</f>
        <v>1</v>
      </c>
      <c r="C102" s="14" t="str">
        <f>equip.xml!C106</f>
        <v>狩猎箭筒</v>
      </c>
      <c r="D102" s="14" t="str">
        <f>equip.xml!D106</f>
        <v>副手武器</v>
      </c>
      <c r="E102" s="14">
        <f>equip.xml!E106</f>
        <v>6</v>
      </c>
      <c r="F102" s="14">
        <f>equip.xml!F106</f>
        <v>1</v>
      </c>
      <c r="G102" s="14">
        <f>equip.xml!G106</f>
        <v>20</v>
      </c>
      <c r="H102" s="14" t="str">
        <f>equip.xml!H106</f>
        <v>2,1002</v>
      </c>
      <c r="I102" s="14">
        <f>equip.xml!J106</f>
        <v>5</v>
      </c>
      <c r="J102" s="14">
        <f>equip.xml!K106</f>
        <v>0</v>
      </c>
      <c r="K102" s="14">
        <f>equip.xml!L106</f>
        <v>0</v>
      </c>
      <c r="L102" s="14" t="str">
        <f>equip.xml!M106</f>
        <v>108_171_171</v>
      </c>
      <c r="M102" s="17" t="str">
        <f>equip.xml!Q106</f>
        <v>equipment/2205.png</v>
      </c>
      <c r="N102" s="16" t="str">
        <f>equip.xml!P106</f>
        <v>10000_1002_20000,30000_30001_1,30000_30002_1,30000_30003_1</v>
      </c>
      <c r="O102">
        <f>equip.xml!R106</f>
        <v>0</v>
      </c>
    </row>
    <row r="103" spans="1:15">
      <c r="A103" s="14" t="str">
        <f>equip.xml!A107</f>
        <v>10202061</v>
      </c>
      <c r="B103" s="14">
        <f>equip.xml!B107</f>
        <v>0</v>
      </c>
      <c r="C103" s="14" t="str">
        <f>equip.xml!C107</f>
        <v>箭筒</v>
      </c>
      <c r="D103" s="14" t="str">
        <f>equip.xml!D107</f>
        <v>副手武器</v>
      </c>
      <c r="E103" s="14">
        <f>equip.xml!E107</f>
        <v>6</v>
      </c>
      <c r="F103" s="14">
        <f>equip.xml!F107</f>
        <v>1</v>
      </c>
      <c r="G103" s="14">
        <f>equip.xml!G107</f>
        <v>20</v>
      </c>
      <c r="H103" s="14" t="str">
        <f>equip.xml!H107</f>
        <v>2,1002</v>
      </c>
      <c r="I103" s="14">
        <f>equip.xml!J107</f>
        <v>5</v>
      </c>
      <c r="J103" s="14">
        <f>equip.xml!K107</f>
        <v>0</v>
      </c>
      <c r="K103" s="14">
        <f>equip.xml!L107</f>
        <v>0</v>
      </c>
      <c r="L103" s="14" t="str">
        <f>equip.xml!M107</f>
        <v>108_205_205</v>
      </c>
      <c r="M103" s="17" t="str">
        <f>equip.xml!Q107</f>
        <v>equipment/2201.png</v>
      </c>
      <c r="N103" s="16" t="str">
        <f>equip.xml!P107</f>
        <v>10000_1002_20000,30000_30001_1,30000_30002_1,30000_30003_1</v>
      </c>
      <c r="O103">
        <f>equip.xml!R107</f>
        <v>0</v>
      </c>
    </row>
    <row r="104" spans="1:15">
      <c r="A104" s="14" t="str">
        <f>equip.xml!A108</f>
        <v>10203050</v>
      </c>
      <c r="B104" s="14">
        <f>equip.xml!B108</f>
        <v>1</v>
      </c>
      <c r="C104" s="14" t="str">
        <f>equip.xml!C108</f>
        <v>保护法杖</v>
      </c>
      <c r="D104" s="14" t="str">
        <f>equip.xml!D108</f>
        <v>主手武器</v>
      </c>
      <c r="E104" s="14">
        <f>equip.xml!E108</f>
        <v>5</v>
      </c>
      <c r="F104" s="14">
        <f>equip.xml!F108</f>
        <v>1</v>
      </c>
      <c r="G104" s="14">
        <f>equip.xml!G108</f>
        <v>20</v>
      </c>
      <c r="H104" s="14" t="str">
        <f>equip.xml!H108</f>
        <v>3,1003</v>
      </c>
      <c r="I104" s="14">
        <f>equip.xml!J108</f>
        <v>5</v>
      </c>
      <c r="J104" s="14">
        <f>equip.xml!K108</f>
        <v>0</v>
      </c>
      <c r="K104" s="14">
        <f>equip.xml!L108</f>
        <v>0</v>
      </c>
      <c r="L104" s="14" t="str">
        <f>equip.xml!M108</f>
        <v>103_113_113,104_226_226</v>
      </c>
      <c r="M104" s="17" t="str">
        <f>equip.xml!Q108</f>
        <v>equipment/1309.png</v>
      </c>
      <c r="N104" s="16" t="str">
        <f>equip.xml!P108</f>
        <v>10000_1002_20000,30000_30001_1,30000_30002_1,30000_30003_1</v>
      </c>
      <c r="O104">
        <f>equip.xml!R108</f>
        <v>0</v>
      </c>
    </row>
    <row r="105" spans="1:15">
      <c r="A105" s="14" t="str">
        <f>equip.xml!A109</f>
        <v>10203051</v>
      </c>
      <c r="B105" s="14">
        <f>equip.xml!B109</f>
        <v>1</v>
      </c>
      <c r="C105" s="14" t="str">
        <f>equip.xml!C109</f>
        <v>火石法杖</v>
      </c>
      <c r="D105" s="14" t="str">
        <f>equip.xml!D109</f>
        <v>主手武器</v>
      </c>
      <c r="E105" s="14">
        <f>equip.xml!E109</f>
        <v>5</v>
      </c>
      <c r="F105" s="14">
        <f>equip.xml!F109</f>
        <v>1</v>
      </c>
      <c r="G105" s="14">
        <f>equip.xml!G109</f>
        <v>20</v>
      </c>
      <c r="H105" s="14" t="str">
        <f>equip.xml!H109</f>
        <v>3,1003</v>
      </c>
      <c r="I105" s="14">
        <f>equip.xml!J109</f>
        <v>5</v>
      </c>
      <c r="J105" s="14">
        <f>equip.xml!K109</f>
        <v>0</v>
      </c>
      <c r="K105" s="14">
        <f>equip.xml!L109</f>
        <v>0</v>
      </c>
      <c r="L105" s="14" t="str">
        <f>equip.xml!M109</f>
        <v>103_138_138,104_276_276</v>
      </c>
      <c r="M105" s="17" t="str">
        <f>equip.xml!Q109</f>
        <v>equipment/1310.png</v>
      </c>
      <c r="N105" s="16" t="str">
        <f>equip.xml!P109</f>
        <v>10000_1002_20000,30000_30001_1,30000_30002_1,30000_30003_1</v>
      </c>
      <c r="O105">
        <f>equip.xml!R109</f>
        <v>0</v>
      </c>
    </row>
    <row r="106" spans="1:15">
      <c r="A106" s="14" t="str">
        <f>equip.xml!A110</f>
        <v>10203060</v>
      </c>
      <c r="B106" s="14">
        <f>equip.xml!B110</f>
        <v>1</v>
      </c>
      <c r="C106" s="14" t="str">
        <f>equip.xml!C110</f>
        <v>奥义之书</v>
      </c>
      <c r="D106" s="14" t="str">
        <f>equip.xml!D110</f>
        <v>副手武器</v>
      </c>
      <c r="E106" s="14">
        <f>equip.xml!E110</f>
        <v>6</v>
      </c>
      <c r="F106" s="14">
        <f>equip.xml!F110</f>
        <v>1</v>
      </c>
      <c r="G106" s="14">
        <f>equip.xml!G110</f>
        <v>20</v>
      </c>
      <c r="H106" s="14" t="str">
        <f>equip.xml!H110</f>
        <v>3,1003</v>
      </c>
      <c r="I106" s="14">
        <f>equip.xml!J110</f>
        <v>5</v>
      </c>
      <c r="J106" s="14">
        <f>equip.xml!K110</f>
        <v>0</v>
      </c>
      <c r="K106" s="14">
        <f>equip.xml!L110</f>
        <v>0</v>
      </c>
      <c r="L106" s="14" t="str">
        <f>equip.xml!M110</f>
        <v>102_550_550</v>
      </c>
      <c r="M106" s="17" t="str">
        <f>equip.xml!Q110</f>
        <v>equipment/2305.png</v>
      </c>
      <c r="N106" s="16" t="str">
        <f>equip.xml!P110</f>
        <v>10000_1002_20000,30000_30001_1,30000_30002_1,30000_30003_1</v>
      </c>
      <c r="O106">
        <f>equip.xml!R110</f>
        <v>0</v>
      </c>
    </row>
    <row r="107" spans="1:15">
      <c r="A107" s="14" t="str">
        <f>equip.xml!A111</f>
        <v>10203061</v>
      </c>
      <c r="B107" s="14">
        <f>equip.xml!B111</f>
        <v>0</v>
      </c>
      <c r="C107" s="14" t="str">
        <f>equip.xml!C111</f>
        <v>法术指南</v>
      </c>
      <c r="D107" s="14" t="str">
        <f>equip.xml!D111</f>
        <v>副手武器</v>
      </c>
      <c r="E107" s="14">
        <f>equip.xml!E111</f>
        <v>6</v>
      </c>
      <c r="F107" s="14">
        <f>equip.xml!F111</f>
        <v>1</v>
      </c>
      <c r="G107" s="14">
        <f>equip.xml!G111</f>
        <v>20</v>
      </c>
      <c r="H107" s="14" t="str">
        <f>equip.xml!H111</f>
        <v>3,1003</v>
      </c>
      <c r="I107" s="14">
        <f>equip.xml!J111</f>
        <v>5</v>
      </c>
      <c r="J107" s="14">
        <f>equip.xml!K111</f>
        <v>0</v>
      </c>
      <c r="K107" s="14">
        <f>equip.xml!L111</f>
        <v>0</v>
      </c>
      <c r="L107" s="14" t="str">
        <f>equip.xml!M111</f>
        <v>102_606_606</v>
      </c>
      <c r="M107" s="17" t="str">
        <f>equip.xml!Q111</f>
        <v>equipment/2301.png</v>
      </c>
      <c r="N107" s="16" t="str">
        <f>equip.xml!P111</f>
        <v>10000_1002_20000,30000_30001_1,30000_30002_1,30000_30003_1</v>
      </c>
      <c r="O107">
        <f>equip.xml!R111</f>
        <v>0</v>
      </c>
    </row>
    <row r="108" spans="1:15">
      <c r="A108" s="14" t="str">
        <f>equip.xml!A112</f>
        <v>10200040</v>
      </c>
      <c r="B108" s="14">
        <f>equip.xml!B112</f>
        <v>1</v>
      </c>
      <c r="C108" s="14" t="str">
        <f>equip.xml!C112</f>
        <v>卫兵胸甲</v>
      </c>
      <c r="D108" s="14" t="str">
        <f>equip.xml!D112</f>
        <v>胸甲</v>
      </c>
      <c r="E108" s="14">
        <f>equip.xml!E112</f>
        <v>4</v>
      </c>
      <c r="F108" s="14">
        <f>equip.xml!F112</f>
        <v>1</v>
      </c>
      <c r="G108" s="14">
        <f>equip.xml!G112</f>
        <v>20</v>
      </c>
      <c r="H108" s="14">
        <f>equip.xml!H112</f>
        <v>0</v>
      </c>
      <c r="I108" s="14">
        <f>equip.xml!J112</f>
        <v>5</v>
      </c>
      <c r="J108" s="14">
        <f>equip.xml!K112</f>
        <v>0</v>
      </c>
      <c r="K108" s="14">
        <f>equip.xml!L112</f>
        <v>0</v>
      </c>
      <c r="L108" s="14" t="str">
        <f>equip.xml!M112</f>
        <v>105_102_102</v>
      </c>
      <c r="M108" s="17" t="str">
        <f>equip.xml!Q112</f>
        <v>equipment/5004.png</v>
      </c>
      <c r="N108" s="16" t="str">
        <f>equip.xml!P112</f>
        <v>10000_1002_20000,30000_30001_1,30000_30002_1,30000_30003_1</v>
      </c>
      <c r="O108">
        <f>equip.xml!R112</f>
        <v>0</v>
      </c>
    </row>
    <row r="109" spans="1:15">
      <c r="A109" s="14" t="str">
        <f>equip.xml!A113</f>
        <v>10200041</v>
      </c>
      <c r="B109" s="14">
        <f>equip.xml!B113</f>
        <v>1</v>
      </c>
      <c r="C109" s="14" t="str">
        <f>equip.xml!C113</f>
        <v>银月护甲</v>
      </c>
      <c r="D109" s="14" t="str">
        <f>equip.xml!D113</f>
        <v>胸甲</v>
      </c>
      <c r="E109" s="14">
        <f>equip.xml!E113</f>
        <v>4</v>
      </c>
      <c r="F109" s="14">
        <f>equip.xml!F113</f>
        <v>1</v>
      </c>
      <c r="G109" s="14">
        <f>equip.xml!G113</f>
        <v>20</v>
      </c>
      <c r="H109" s="14">
        <f>equip.xml!H113</f>
        <v>0</v>
      </c>
      <c r="I109" s="14">
        <f>equip.xml!J113</f>
        <v>5</v>
      </c>
      <c r="J109" s="14">
        <f>equip.xml!K113</f>
        <v>0</v>
      </c>
      <c r="K109" s="14">
        <f>equip.xml!L113</f>
        <v>0</v>
      </c>
      <c r="L109" s="14" t="str">
        <f>equip.xml!M113</f>
        <v>105_122_122</v>
      </c>
      <c r="M109" s="17" t="str">
        <f>equip.xml!Q113</f>
        <v>equipment/5006.png</v>
      </c>
      <c r="N109" s="16" t="str">
        <f>equip.xml!P113</f>
        <v>10000_1002_20000,30000_30001_1,30000_30002_1,30000_30003_1</v>
      </c>
      <c r="O109">
        <f>equip.xml!R113</f>
        <v>0</v>
      </c>
    </row>
    <row r="110" spans="1:15">
      <c r="A110" s="14" t="str">
        <f>equip.xml!A114</f>
        <v>10200070</v>
      </c>
      <c r="B110" s="14">
        <f>equip.xml!B114</f>
        <v>1</v>
      </c>
      <c r="C110" s="14" t="str">
        <f>equip.xml!C114</f>
        <v>手工长裤</v>
      </c>
      <c r="D110" s="14" t="str">
        <f>equip.xml!D114</f>
        <v>护腿</v>
      </c>
      <c r="E110" s="14">
        <f>equip.xml!E114</f>
        <v>7</v>
      </c>
      <c r="F110" s="14">
        <f>equip.xml!F114</f>
        <v>1</v>
      </c>
      <c r="G110" s="14">
        <f>equip.xml!G114</f>
        <v>20</v>
      </c>
      <c r="H110" s="14">
        <f>equip.xml!H114</f>
        <v>0</v>
      </c>
      <c r="I110" s="14">
        <f>equip.xml!J114</f>
        <v>5</v>
      </c>
      <c r="J110" s="14">
        <f>equip.xml!K114</f>
        <v>0</v>
      </c>
      <c r="K110" s="14">
        <f>equip.xml!L114</f>
        <v>0</v>
      </c>
      <c r="L110" s="14" t="str">
        <f>equip.xml!M114</f>
        <v>105_66_66</v>
      </c>
      <c r="M110" s="17" t="str">
        <f>equip.xml!Q114</f>
        <v>equipment/7005.png</v>
      </c>
      <c r="N110" s="16" t="str">
        <f>equip.xml!P114</f>
        <v>10000_1002_20000,30000_30001_1,30000_30002_1,30000_30003_1</v>
      </c>
      <c r="O110">
        <f>equip.xml!R114</f>
        <v>0</v>
      </c>
    </row>
    <row r="111" spans="1:15">
      <c r="A111" s="14" t="str">
        <f>equip.xml!A115</f>
        <v>10200071</v>
      </c>
      <c r="B111" s="14">
        <f>equip.xml!B115</f>
        <v>1</v>
      </c>
      <c r="C111" s="14" t="str">
        <f>equip.xml!C115</f>
        <v>链甲护腿</v>
      </c>
      <c r="D111" s="14" t="str">
        <f>equip.xml!D115</f>
        <v>护腿</v>
      </c>
      <c r="E111" s="14">
        <f>equip.xml!E115</f>
        <v>7</v>
      </c>
      <c r="F111" s="14">
        <f>equip.xml!F115</f>
        <v>1</v>
      </c>
      <c r="G111" s="14">
        <f>equip.xml!G115</f>
        <v>20</v>
      </c>
      <c r="H111" s="14">
        <f>equip.xml!H115</f>
        <v>0</v>
      </c>
      <c r="I111" s="14">
        <f>equip.xml!J115</f>
        <v>5</v>
      </c>
      <c r="J111" s="14">
        <f>equip.xml!K115</f>
        <v>0</v>
      </c>
      <c r="K111" s="14">
        <f>equip.xml!L115</f>
        <v>0</v>
      </c>
      <c r="L111" s="14" t="str">
        <f>equip.xml!M115</f>
        <v>105_81_81</v>
      </c>
      <c r="M111" s="17" t="str">
        <f>equip.xml!Q115</f>
        <v>equipment/7004.png</v>
      </c>
      <c r="N111" s="16" t="str">
        <f>equip.xml!P115</f>
        <v>10000_1002_20000,30000_30001_1,30000_30002_1,30000_30003_1</v>
      </c>
      <c r="O111">
        <f>equip.xml!R115</f>
        <v>0</v>
      </c>
    </row>
    <row r="112" spans="1:15">
      <c r="A112" s="14" t="str">
        <f>equip.xml!A116</f>
        <v>10250010</v>
      </c>
      <c r="B112" s="14">
        <f>equip.xml!B116</f>
        <v>1</v>
      </c>
      <c r="C112" s="14" t="str">
        <f>equip.xml!C116</f>
        <v>盔帽</v>
      </c>
      <c r="D112" s="14" t="str">
        <f>equip.xml!D116</f>
        <v>头盔</v>
      </c>
      <c r="E112" s="14">
        <f>equip.xml!E116</f>
        <v>1</v>
      </c>
      <c r="F112" s="14">
        <f>equip.xml!F116</f>
        <v>1</v>
      </c>
      <c r="G112" s="14">
        <f>equip.xml!G116</f>
        <v>25</v>
      </c>
      <c r="H112" s="14">
        <f>equip.xml!H116</f>
        <v>0</v>
      </c>
      <c r="I112" s="14">
        <f>equip.xml!J116</f>
        <v>5</v>
      </c>
      <c r="J112" s="14">
        <f>equip.xml!K116</f>
        <v>0</v>
      </c>
      <c r="K112" s="14">
        <f>equip.xml!L116</f>
        <v>0</v>
      </c>
      <c r="L112" s="14" t="str">
        <f>equip.xml!M116</f>
        <v>106_237_237</v>
      </c>
      <c r="M112" s="17" t="str">
        <f>equip.xml!Q116</f>
        <v>equipment/3005.png</v>
      </c>
      <c r="N112" s="16" t="str">
        <f>equip.xml!P116</f>
        <v>10000_1002_25000,30000_30001_1,30000_30002_1,30000_30003_1</v>
      </c>
      <c r="O112">
        <f>equip.xml!R116</f>
        <v>0</v>
      </c>
    </row>
    <row r="113" spans="1:15">
      <c r="A113" s="14" t="str">
        <f>equip.xml!A117</f>
        <v>10250020</v>
      </c>
      <c r="B113" s="14">
        <f>equip.xml!B117</f>
        <v>1</v>
      </c>
      <c r="C113" s="14" t="str">
        <f>equip.xml!C117</f>
        <v>血岩戒指</v>
      </c>
      <c r="D113" s="14" t="str">
        <f>equip.xml!D117</f>
        <v>戒指</v>
      </c>
      <c r="E113" s="14">
        <f>equip.xml!E117</f>
        <v>2</v>
      </c>
      <c r="F113" s="14">
        <f>equip.xml!F117</f>
        <v>1</v>
      </c>
      <c r="G113" s="14">
        <f>equip.xml!G117</f>
        <v>25</v>
      </c>
      <c r="H113" s="14">
        <f>equip.xml!H117</f>
        <v>0</v>
      </c>
      <c r="I113" s="14">
        <f>equip.xml!J117</f>
        <v>5</v>
      </c>
      <c r="J113" s="14">
        <f>equip.xml!K117</f>
        <v>0</v>
      </c>
      <c r="K113" s="14">
        <f>equip.xml!L117</f>
        <v>0</v>
      </c>
      <c r="L113" s="14" t="str">
        <f>equip.xml!M117</f>
        <v>102_330_330</v>
      </c>
      <c r="M113" s="17" t="str">
        <f>equip.xml!Q117</f>
        <v>equipment/14004.png</v>
      </c>
      <c r="N113" s="16" t="str">
        <f>equip.xml!P117</f>
        <v>10000_1002_25000,30000_30001_1,30000_30002_1,30000_30003_1</v>
      </c>
      <c r="O113">
        <f>equip.xml!R117</f>
        <v>0</v>
      </c>
    </row>
    <row r="114" spans="1:15">
      <c r="A114" s="14" t="str">
        <f>equip.xml!A118</f>
        <v>10250030</v>
      </c>
      <c r="B114" s="14">
        <f>equip.xml!B118</f>
        <v>1</v>
      </c>
      <c r="C114" s="14" t="str">
        <f>equip.xml!C118</f>
        <v>前锋腰带</v>
      </c>
      <c r="D114" s="14" t="str">
        <f>equip.xml!D118</f>
        <v>腰带</v>
      </c>
      <c r="E114" s="14">
        <f>equip.xml!E118</f>
        <v>3</v>
      </c>
      <c r="F114" s="14">
        <f>equip.xml!F118</f>
        <v>1</v>
      </c>
      <c r="G114" s="14">
        <f>equip.xml!G118</f>
        <v>25</v>
      </c>
      <c r="H114" s="14">
        <f>equip.xml!H118</f>
        <v>0</v>
      </c>
      <c r="I114" s="14">
        <f>equip.xml!J118</f>
        <v>5</v>
      </c>
      <c r="J114" s="14">
        <f>equip.xml!K118</f>
        <v>0</v>
      </c>
      <c r="K114" s="14">
        <f>equip.xml!L118</f>
        <v>0</v>
      </c>
      <c r="L114" s="14" t="str">
        <f>equip.xml!M118</f>
        <v>101_3360_3360</v>
      </c>
      <c r="M114" s="17" t="str">
        <f>equip.xml!Q118</f>
        <v>equipment/6005.png</v>
      </c>
      <c r="N114" s="16" t="str">
        <f>equip.xml!P118</f>
        <v>10000_1002_25000,30000_30001_1,30000_30002_1,30000_30003_1</v>
      </c>
      <c r="O114">
        <f>equip.xml!R118</f>
        <v>0</v>
      </c>
    </row>
    <row r="115" spans="1:15">
      <c r="A115" s="14" t="str">
        <f>equip.xml!A119</f>
        <v>10250080</v>
      </c>
      <c r="B115" s="14">
        <f>equip.xml!B119</f>
        <v>1</v>
      </c>
      <c r="C115" s="14" t="str">
        <f>equip.xml!C119</f>
        <v>探寻者之靴</v>
      </c>
      <c r="D115" s="14" t="str">
        <f>equip.xml!D119</f>
        <v>鞋子</v>
      </c>
      <c r="E115" s="14">
        <f>equip.xml!E119</f>
        <v>8</v>
      </c>
      <c r="F115" s="14">
        <f>equip.xml!F119</f>
        <v>1</v>
      </c>
      <c r="G115" s="14">
        <f>equip.xml!G119</f>
        <v>25</v>
      </c>
      <c r="H115" s="14">
        <f>equip.xml!H119</f>
        <v>0</v>
      </c>
      <c r="I115" s="14">
        <f>equip.xml!J119</f>
        <v>5</v>
      </c>
      <c r="J115" s="14">
        <f>equip.xml!K119</f>
        <v>0</v>
      </c>
      <c r="K115" s="14">
        <f>equip.xml!L119</f>
        <v>0</v>
      </c>
      <c r="L115" s="14" t="str">
        <f>equip.xml!M119</f>
        <v>110_40_40</v>
      </c>
      <c r="M115" s="17" t="str">
        <f>equip.xml!Q119</f>
        <v>equipment/8004.png</v>
      </c>
      <c r="N115" s="16" t="str">
        <f>equip.xml!P119</f>
        <v>10000_1002_25000,30000_30001_1,30000_30002_1,30000_30003_1</v>
      </c>
      <c r="O115">
        <f>equip.xml!R119</f>
        <v>0</v>
      </c>
    </row>
    <row r="116" spans="1:15">
      <c r="A116" s="14" t="str">
        <f>equip.xml!A120</f>
        <v>10250090</v>
      </c>
      <c r="B116" s="14">
        <f>equip.xml!B120</f>
        <v>1</v>
      </c>
      <c r="C116" s="14" t="str">
        <f>equip.xml!C120</f>
        <v>轻型手套</v>
      </c>
      <c r="D116" s="14" t="str">
        <f>equip.xml!D120</f>
        <v>手套</v>
      </c>
      <c r="E116" s="14">
        <f>equip.xml!E120</f>
        <v>9</v>
      </c>
      <c r="F116" s="14">
        <f>equip.xml!F120</f>
        <v>1</v>
      </c>
      <c r="G116" s="14">
        <f>equip.xml!G120</f>
        <v>25</v>
      </c>
      <c r="H116" s="14">
        <f>equip.xml!H120</f>
        <v>0</v>
      </c>
      <c r="I116" s="14">
        <f>equip.xml!J120</f>
        <v>5</v>
      </c>
      <c r="J116" s="14">
        <f>equip.xml!K120</f>
        <v>0</v>
      </c>
      <c r="K116" s="14">
        <f>equip.xml!L120</f>
        <v>0</v>
      </c>
      <c r="L116" s="14" t="str">
        <f>equip.xml!M120</f>
        <v>108_286_286</v>
      </c>
      <c r="M116" s="17" t="str">
        <f>equip.xml!Q120</f>
        <v>equipment/10003.png</v>
      </c>
      <c r="N116" s="16" t="str">
        <f>equip.xml!P120</f>
        <v>10000_1002_25000,30000_30001_1,30000_30002_1,30000_30003_1</v>
      </c>
      <c r="O116">
        <f>equip.xml!R120</f>
        <v>0</v>
      </c>
    </row>
    <row r="117" spans="1:15">
      <c r="A117" s="14" t="str">
        <f>equip.xml!A121</f>
        <v>10250100</v>
      </c>
      <c r="B117" s="14">
        <f>equip.xml!B121</f>
        <v>1</v>
      </c>
      <c r="C117" s="14" t="str">
        <f>equip.xml!C121</f>
        <v>魔光项链</v>
      </c>
      <c r="D117" s="14" t="str">
        <f>equip.xml!D121</f>
        <v>项链</v>
      </c>
      <c r="E117" s="14">
        <f>equip.xml!E121</f>
        <v>10</v>
      </c>
      <c r="F117" s="14">
        <f>equip.xml!F121</f>
        <v>1</v>
      </c>
      <c r="G117" s="14">
        <f>equip.xml!G121</f>
        <v>25</v>
      </c>
      <c r="H117" s="14">
        <f>equip.xml!H121</f>
        <v>0</v>
      </c>
      <c r="I117" s="14">
        <f>equip.xml!J121</f>
        <v>5</v>
      </c>
      <c r="J117" s="14">
        <f>equip.xml!K121</f>
        <v>0</v>
      </c>
      <c r="K117" s="14">
        <f>equip.xml!L121</f>
        <v>0</v>
      </c>
      <c r="L117" s="14" t="str">
        <f>equip.xml!M121</f>
        <v>107_237_237</v>
      </c>
      <c r="M117" s="17" t="str">
        <f>equip.xml!Q121</f>
        <v>equipment/12004.png</v>
      </c>
      <c r="N117" s="16" t="str">
        <f>equip.xml!P121</f>
        <v>10000_1002_25000,30000_30001_1,30000_30002_1,30000_30003_1</v>
      </c>
      <c r="O117">
        <f>equip.xml!R121</f>
        <v>0</v>
      </c>
    </row>
    <row r="118" spans="1:15">
      <c r="A118" s="14" t="str">
        <f>equip.xml!A122</f>
        <v>10251050</v>
      </c>
      <c r="B118" s="14">
        <f>equip.xml!B122</f>
        <v>1</v>
      </c>
      <c r="C118" s="14" t="str">
        <f>equip.xml!C122</f>
        <v>血刃</v>
      </c>
      <c r="D118" s="14" t="str">
        <f>equip.xml!D122</f>
        <v>主手武器</v>
      </c>
      <c r="E118" s="14">
        <f>equip.xml!E122</f>
        <v>5</v>
      </c>
      <c r="F118" s="14">
        <f>equip.xml!F122</f>
        <v>1</v>
      </c>
      <c r="G118" s="14">
        <f>equip.xml!G122</f>
        <v>25</v>
      </c>
      <c r="H118" s="14" t="str">
        <f>equip.xml!H122</f>
        <v>1,1001</v>
      </c>
      <c r="I118" s="14">
        <f>equip.xml!J122</f>
        <v>5</v>
      </c>
      <c r="J118" s="14">
        <f>equip.xml!K122</f>
        <v>0</v>
      </c>
      <c r="K118" s="14">
        <f>equip.xml!L122</f>
        <v>0</v>
      </c>
      <c r="L118" s="14" t="str">
        <f>equip.xml!M122</f>
        <v>103_177_177,104_354_354</v>
      </c>
      <c r="M118" s="17" t="str">
        <f>equip.xml!Q122</f>
        <v>equipment/1110.png</v>
      </c>
      <c r="N118" s="16" t="str">
        <f>equip.xml!P122</f>
        <v>10000_1002_25000,30000_30001_1,30000_30002_1,30000_30003_1</v>
      </c>
      <c r="O118">
        <f>equip.xml!R122</f>
        <v>0</v>
      </c>
    </row>
    <row r="119" spans="1:15">
      <c r="A119" s="14" t="str">
        <f>equip.xml!A123</f>
        <v>10251051</v>
      </c>
      <c r="B119" s="14">
        <f>equip.xml!B123</f>
        <v>1</v>
      </c>
      <c r="C119" s="14" t="str">
        <f>equip.xml!C123</f>
        <v>游侠利刃</v>
      </c>
      <c r="D119" s="14" t="str">
        <f>equip.xml!D123</f>
        <v>主手武器</v>
      </c>
      <c r="E119" s="14">
        <f>equip.xml!E123</f>
        <v>5</v>
      </c>
      <c r="F119" s="14">
        <f>equip.xml!F123</f>
        <v>1</v>
      </c>
      <c r="G119" s="14">
        <f>equip.xml!G123</f>
        <v>25</v>
      </c>
      <c r="H119" s="14" t="str">
        <f>equip.xml!H123</f>
        <v>1,1001</v>
      </c>
      <c r="I119" s="14">
        <f>equip.xml!J123</f>
        <v>5</v>
      </c>
      <c r="J119" s="14">
        <f>equip.xml!K123</f>
        <v>0</v>
      </c>
      <c r="K119" s="14">
        <f>equip.xml!L123</f>
        <v>0</v>
      </c>
      <c r="L119" s="14" t="str">
        <f>equip.xml!M123</f>
        <v>103_216_216,104_432_432</v>
      </c>
      <c r="M119" s="17" t="str">
        <f>equip.xml!Q123</f>
        <v>equipment/1111.png</v>
      </c>
      <c r="N119" s="16" t="str">
        <f>equip.xml!P123</f>
        <v>10000_1002_25000,30000_30001_1,30000_30002_1,30000_30003_1</v>
      </c>
      <c r="O119">
        <f>equip.xml!R123</f>
        <v>0</v>
      </c>
    </row>
    <row r="120" spans="1:15">
      <c r="A120" s="14" t="str">
        <f>equip.xml!A124</f>
        <v>10251060</v>
      </c>
      <c r="B120" s="14">
        <f>equip.xml!B124</f>
        <v>1</v>
      </c>
      <c r="C120" s="14" t="str">
        <f>equip.xml!C124</f>
        <v>坚固重盾</v>
      </c>
      <c r="D120" s="14" t="str">
        <f>equip.xml!D124</f>
        <v>副手武器</v>
      </c>
      <c r="E120" s="14">
        <f>equip.xml!E124</f>
        <v>6</v>
      </c>
      <c r="F120" s="14">
        <f>equip.xml!F124</f>
        <v>1</v>
      </c>
      <c r="G120" s="14">
        <f>equip.xml!G124</f>
        <v>25</v>
      </c>
      <c r="H120" s="14" t="str">
        <f>equip.xml!H124</f>
        <v>1,1001</v>
      </c>
      <c r="I120" s="14">
        <f>equip.xml!J124</f>
        <v>5</v>
      </c>
      <c r="J120" s="14">
        <f>equip.xml!K124</f>
        <v>0</v>
      </c>
      <c r="K120" s="14">
        <f>equip.xml!L124</f>
        <v>0</v>
      </c>
      <c r="L120" s="14" t="str">
        <f>equip.xml!M124</f>
        <v>105_256_256</v>
      </c>
      <c r="M120" s="17" t="str">
        <f>equip.xml!Q124</f>
        <v>equipment/2106.png</v>
      </c>
      <c r="N120" s="16" t="str">
        <f>equip.xml!P124</f>
        <v>10000_1002_25000,30000_30001_1,30000_30002_1,30000_30003_1</v>
      </c>
      <c r="O120">
        <f>equip.xml!R124</f>
        <v>0</v>
      </c>
    </row>
    <row r="121" spans="1:15">
      <c r="A121" s="14" t="str">
        <f>equip.xml!A125</f>
        <v>10251061</v>
      </c>
      <c r="B121" s="14">
        <f>equip.xml!B125</f>
        <v>0</v>
      </c>
      <c r="C121" s="14" t="str">
        <f>equip.xml!C125</f>
        <v>尖头盾</v>
      </c>
      <c r="D121" s="14" t="str">
        <f>equip.xml!D125</f>
        <v>副手武器</v>
      </c>
      <c r="E121" s="14">
        <f>equip.xml!E125</f>
        <v>6</v>
      </c>
      <c r="F121" s="14">
        <f>equip.xml!F125</f>
        <v>1</v>
      </c>
      <c r="G121" s="14">
        <f>equip.xml!G125</f>
        <v>25</v>
      </c>
      <c r="H121" s="14" t="str">
        <f>equip.xml!H125</f>
        <v>1,1001</v>
      </c>
      <c r="I121" s="14">
        <f>equip.xml!J125</f>
        <v>5</v>
      </c>
      <c r="J121" s="14">
        <f>equip.xml!K125</f>
        <v>0</v>
      </c>
      <c r="K121" s="14">
        <f>equip.xml!L125</f>
        <v>0</v>
      </c>
      <c r="L121" s="14" t="str">
        <f>equip.xml!M125</f>
        <v>105_301_301</v>
      </c>
      <c r="M121" s="17" t="str">
        <f>equip.xml!Q125</f>
        <v>equipment/2101.png</v>
      </c>
      <c r="N121" s="16" t="str">
        <f>equip.xml!P125</f>
        <v>10000_1002_25000,30000_30001_1,30000_30002_1,30000_30003_1</v>
      </c>
      <c r="O121">
        <f>equip.xml!R125</f>
        <v>0</v>
      </c>
    </row>
    <row r="122" spans="1:15">
      <c r="A122" s="14" t="str">
        <f>equip.xml!A126</f>
        <v>10252050</v>
      </c>
      <c r="B122" s="14">
        <f>equip.xml!B126</f>
        <v>1</v>
      </c>
      <c r="C122" s="14" t="str">
        <f>equip.xml!C126</f>
        <v>精准之弓</v>
      </c>
      <c r="D122" s="14" t="str">
        <f>equip.xml!D126</f>
        <v>主手武器</v>
      </c>
      <c r="E122" s="14">
        <f>equip.xml!E126</f>
        <v>5</v>
      </c>
      <c r="F122" s="14">
        <f>equip.xml!F126</f>
        <v>1</v>
      </c>
      <c r="G122" s="14">
        <f>equip.xml!G126</f>
        <v>25</v>
      </c>
      <c r="H122" s="14" t="str">
        <f>equip.xml!H126</f>
        <v>2,1002</v>
      </c>
      <c r="I122" s="14">
        <f>equip.xml!J126</f>
        <v>5</v>
      </c>
      <c r="J122" s="14">
        <f>equip.xml!K126</f>
        <v>0</v>
      </c>
      <c r="K122" s="14">
        <f>equip.xml!L126</f>
        <v>0</v>
      </c>
      <c r="L122" s="14" t="str">
        <f>equip.xml!M126</f>
        <v>103_177_177,104_354_354</v>
      </c>
      <c r="M122" s="17" t="str">
        <f>equip.xml!Q126</f>
        <v>equipment/1210.png</v>
      </c>
      <c r="N122" s="16" t="str">
        <f>equip.xml!P126</f>
        <v>10000_1002_25000,30000_30001_1,30000_30002_1,30000_30003_1</v>
      </c>
      <c r="O122">
        <f>equip.xml!R126</f>
        <v>0</v>
      </c>
    </row>
    <row r="123" spans="1:15">
      <c r="A123" s="14" t="str">
        <f>equip.xml!A127</f>
        <v>10252051</v>
      </c>
      <c r="B123" s="14">
        <f>equip.xml!B127</f>
        <v>1</v>
      </c>
      <c r="C123" s="14" t="str">
        <f>equip.xml!C127</f>
        <v>行者弯弓</v>
      </c>
      <c r="D123" s="14" t="str">
        <f>equip.xml!D127</f>
        <v>主手武器</v>
      </c>
      <c r="E123" s="14">
        <f>equip.xml!E127</f>
        <v>5</v>
      </c>
      <c r="F123" s="14">
        <f>equip.xml!F127</f>
        <v>1</v>
      </c>
      <c r="G123" s="14">
        <f>equip.xml!G127</f>
        <v>25</v>
      </c>
      <c r="H123" s="14" t="str">
        <f>equip.xml!H127</f>
        <v>2,1002</v>
      </c>
      <c r="I123" s="14">
        <f>equip.xml!J127</f>
        <v>5</v>
      </c>
      <c r="J123" s="14">
        <f>equip.xml!K127</f>
        <v>0</v>
      </c>
      <c r="K123" s="14">
        <f>equip.xml!L127</f>
        <v>0</v>
      </c>
      <c r="L123" s="14" t="str">
        <f>equip.xml!M127</f>
        <v>103_216_216,104_432_432</v>
      </c>
      <c r="M123" s="17" t="str">
        <f>equip.xml!Q127</f>
        <v>equipment/1215.png</v>
      </c>
      <c r="N123" s="16" t="str">
        <f>equip.xml!P127</f>
        <v>10000_1002_25000,30000_30001_1,30000_30002_1,30000_30003_1</v>
      </c>
      <c r="O123">
        <f>equip.xml!R127</f>
        <v>0</v>
      </c>
    </row>
    <row r="124" spans="1:15">
      <c r="A124" s="14" t="str">
        <f>equip.xml!A128</f>
        <v>10252060</v>
      </c>
      <c r="B124" s="14">
        <f>equip.xml!B128</f>
        <v>1</v>
      </c>
      <c r="C124" s="14" t="str">
        <f>equip.xml!C128</f>
        <v>刺客箭筒</v>
      </c>
      <c r="D124" s="14" t="str">
        <f>equip.xml!D128</f>
        <v>副手武器</v>
      </c>
      <c r="E124" s="14">
        <f>equip.xml!E128</f>
        <v>6</v>
      </c>
      <c r="F124" s="14">
        <f>equip.xml!F128</f>
        <v>1</v>
      </c>
      <c r="G124" s="14">
        <f>equip.xml!G128</f>
        <v>25</v>
      </c>
      <c r="H124" s="14" t="str">
        <f>equip.xml!H128</f>
        <v>2,1002</v>
      </c>
      <c r="I124" s="14">
        <f>equip.xml!J128</f>
        <v>5</v>
      </c>
      <c r="J124" s="14">
        <f>equip.xml!K128</f>
        <v>0</v>
      </c>
      <c r="K124" s="14">
        <f>equip.xml!L128</f>
        <v>0</v>
      </c>
      <c r="L124" s="14" t="str">
        <f>equip.xml!M128</f>
        <v>108_256_256</v>
      </c>
      <c r="M124" s="17" t="str">
        <f>equip.xml!Q128</f>
        <v>equipment/2206.png</v>
      </c>
      <c r="N124" s="16" t="str">
        <f>equip.xml!P128</f>
        <v>10000_1002_25000,30000_30001_1,30000_30002_1,30000_30003_1</v>
      </c>
      <c r="O124">
        <f>equip.xml!R128</f>
        <v>0</v>
      </c>
    </row>
    <row r="125" spans="1:15">
      <c r="A125" s="14" t="str">
        <f>equip.xml!A129</f>
        <v>10252061</v>
      </c>
      <c r="B125" s="14">
        <f>equip.xml!B129</f>
        <v>0</v>
      </c>
      <c r="C125" s="14" t="str">
        <f>equip.xml!C129</f>
        <v>箭筒</v>
      </c>
      <c r="D125" s="14" t="str">
        <f>equip.xml!D129</f>
        <v>副手武器</v>
      </c>
      <c r="E125" s="14">
        <f>equip.xml!E129</f>
        <v>6</v>
      </c>
      <c r="F125" s="14">
        <f>equip.xml!F129</f>
        <v>1</v>
      </c>
      <c r="G125" s="14">
        <f>equip.xml!G129</f>
        <v>25</v>
      </c>
      <c r="H125" s="14" t="str">
        <f>equip.xml!H129</f>
        <v>2,1002</v>
      </c>
      <c r="I125" s="14">
        <f>equip.xml!J129</f>
        <v>5</v>
      </c>
      <c r="J125" s="14">
        <f>equip.xml!K129</f>
        <v>0</v>
      </c>
      <c r="K125" s="14">
        <f>equip.xml!L129</f>
        <v>0</v>
      </c>
      <c r="L125" s="14" t="str">
        <f>equip.xml!M129</f>
        <v>108_301_301</v>
      </c>
      <c r="M125" s="17" t="str">
        <f>equip.xml!Q129</f>
        <v>equipment/2201.png</v>
      </c>
      <c r="N125" s="16" t="str">
        <f>equip.xml!P129</f>
        <v>10000_1002_25000,30000_30001_1,30000_30002_1,30000_30003_1</v>
      </c>
      <c r="O125">
        <f>equip.xml!R129</f>
        <v>0</v>
      </c>
    </row>
    <row r="126" spans="1:15">
      <c r="A126" s="14" t="str">
        <f>equip.xml!A130</f>
        <v>10253050</v>
      </c>
      <c r="B126" s="14">
        <f>equip.xml!B130</f>
        <v>1</v>
      </c>
      <c r="C126" s="14" t="str">
        <f>equip.xml!C130</f>
        <v>预言法杖</v>
      </c>
      <c r="D126" s="14" t="str">
        <f>equip.xml!D130</f>
        <v>主手武器</v>
      </c>
      <c r="E126" s="14">
        <f>equip.xml!E130</f>
        <v>5</v>
      </c>
      <c r="F126" s="14">
        <f>equip.xml!F130</f>
        <v>1</v>
      </c>
      <c r="G126" s="14">
        <f>equip.xml!G130</f>
        <v>25</v>
      </c>
      <c r="H126" s="14" t="str">
        <f>equip.xml!H130</f>
        <v>3,1003</v>
      </c>
      <c r="I126" s="14">
        <f>equip.xml!J130</f>
        <v>5</v>
      </c>
      <c r="J126" s="14">
        <f>equip.xml!K130</f>
        <v>0</v>
      </c>
      <c r="K126" s="14">
        <f>equip.xml!L130</f>
        <v>0</v>
      </c>
      <c r="L126" s="14" t="str">
        <f>equip.xml!M130</f>
        <v>103_177_177,104_354_354</v>
      </c>
      <c r="M126" s="17" t="str">
        <f>equip.xml!Q130</f>
        <v>equipment/1311.png</v>
      </c>
      <c r="N126" s="16" t="str">
        <f>equip.xml!P130</f>
        <v>10000_1002_25000,30000_30001_1,30000_30002_1,30000_30003_1</v>
      </c>
      <c r="O126">
        <f>equip.xml!R130</f>
        <v>0</v>
      </c>
    </row>
    <row r="127" spans="1:15">
      <c r="A127" s="14" t="str">
        <f>equip.xml!A131</f>
        <v>10253051</v>
      </c>
      <c r="B127" s="14">
        <f>equip.xml!B131</f>
        <v>0</v>
      </c>
      <c r="C127" s="14" t="str">
        <f>equip.xml!C131</f>
        <v>荒骨法杖</v>
      </c>
      <c r="D127" s="14" t="str">
        <f>equip.xml!D131</f>
        <v>主手武器</v>
      </c>
      <c r="E127" s="14">
        <f>equip.xml!E131</f>
        <v>5</v>
      </c>
      <c r="F127" s="14">
        <f>equip.xml!F131</f>
        <v>1</v>
      </c>
      <c r="G127" s="14">
        <f>equip.xml!G131</f>
        <v>25</v>
      </c>
      <c r="H127" s="14" t="str">
        <f>equip.xml!H131</f>
        <v>3,1003</v>
      </c>
      <c r="I127" s="14">
        <f>equip.xml!J131</f>
        <v>5</v>
      </c>
      <c r="J127" s="14">
        <f>equip.xml!K131</f>
        <v>0</v>
      </c>
      <c r="K127" s="14">
        <f>equip.xml!L131</f>
        <v>0</v>
      </c>
      <c r="L127" s="14" t="str">
        <f>equip.xml!M131</f>
        <v>103_216_216,104_432_432</v>
      </c>
      <c r="M127" s="17" t="str">
        <f>equip.xml!Q131</f>
        <v>equipment/1312.png</v>
      </c>
      <c r="N127" s="16" t="str">
        <f>equip.xml!P131</f>
        <v>10000_1002_25000,30000_30001_1,30000_30002_1,30000_30003_1</v>
      </c>
      <c r="O127">
        <f>equip.xml!R131</f>
        <v>0</v>
      </c>
    </row>
    <row r="128" spans="1:15">
      <c r="A128" s="14" t="str">
        <f>equip.xml!A132</f>
        <v>10253060</v>
      </c>
      <c r="B128" s="14">
        <f>equip.xml!B132</f>
        <v>1</v>
      </c>
      <c r="C128" s="14" t="str">
        <f>equip.xml!C132</f>
        <v>魔法秘典</v>
      </c>
      <c r="D128" s="14" t="str">
        <f>equip.xml!D132</f>
        <v>副手武器</v>
      </c>
      <c r="E128" s="14">
        <f>equip.xml!E132</f>
        <v>6</v>
      </c>
      <c r="F128" s="14">
        <f>equip.xml!F132</f>
        <v>1</v>
      </c>
      <c r="G128" s="14">
        <f>equip.xml!G132</f>
        <v>25</v>
      </c>
      <c r="H128" s="14" t="str">
        <f>equip.xml!H132</f>
        <v>3,1003</v>
      </c>
      <c r="I128" s="14">
        <f>equip.xml!J132</f>
        <v>5</v>
      </c>
      <c r="J128" s="14">
        <f>equip.xml!K132</f>
        <v>0</v>
      </c>
      <c r="K128" s="14">
        <f>equip.xml!L132</f>
        <v>0</v>
      </c>
      <c r="L128" s="14" t="str">
        <f>equip.xml!M132</f>
        <v>102_690_690</v>
      </c>
      <c r="M128" s="17" t="str">
        <f>equip.xml!Q132</f>
        <v>equipment/2306.png</v>
      </c>
      <c r="N128" s="16" t="str">
        <f>equip.xml!P132</f>
        <v>10000_1002_25000,30000_30001_1,30000_30002_1,30000_30003_1</v>
      </c>
      <c r="O128">
        <f>equip.xml!R132</f>
        <v>0</v>
      </c>
    </row>
    <row r="129" spans="1:15">
      <c r="A129" s="14" t="str">
        <f>equip.xml!A133</f>
        <v>10253061</v>
      </c>
      <c r="B129" s="14">
        <f>equip.xml!B133</f>
        <v>0</v>
      </c>
      <c r="C129" s="14" t="str">
        <f>equip.xml!C133</f>
        <v>法术指南</v>
      </c>
      <c r="D129" s="14" t="str">
        <f>equip.xml!D133</f>
        <v>副手武器</v>
      </c>
      <c r="E129" s="14">
        <f>equip.xml!E133</f>
        <v>6</v>
      </c>
      <c r="F129" s="14">
        <f>equip.xml!F133</f>
        <v>1</v>
      </c>
      <c r="G129" s="14">
        <f>equip.xml!G133</f>
        <v>25</v>
      </c>
      <c r="H129" s="14" t="str">
        <f>equip.xml!H133</f>
        <v>3,1003</v>
      </c>
      <c r="I129" s="14">
        <f>equip.xml!J133</f>
        <v>5</v>
      </c>
      <c r="J129" s="14">
        <f>equip.xml!K133</f>
        <v>0</v>
      </c>
      <c r="K129" s="14">
        <f>equip.xml!L133</f>
        <v>0</v>
      </c>
      <c r="L129" s="14" t="str">
        <f>equip.xml!M133</f>
        <v>102_301_301</v>
      </c>
      <c r="M129" s="17" t="str">
        <f>equip.xml!Q133</f>
        <v>equipment/2301.png</v>
      </c>
      <c r="N129" s="16" t="str">
        <f>equip.xml!P133</f>
        <v>10000_1002_25000,30000_30001_1,30000_30002_1,30000_30003_1</v>
      </c>
      <c r="O129">
        <f>equip.xml!R133</f>
        <v>0</v>
      </c>
    </row>
    <row r="130" spans="1:15">
      <c r="A130" s="14" t="str">
        <f>equip.xml!A134</f>
        <v>10250040</v>
      </c>
      <c r="B130" s="14">
        <f>equip.xml!B134</f>
        <v>1</v>
      </c>
      <c r="C130" s="14" t="str">
        <f>equip.xml!C134</f>
        <v>烙铁胸甲</v>
      </c>
      <c r="D130" s="14" t="str">
        <f>equip.xml!D134</f>
        <v>胸甲</v>
      </c>
      <c r="E130" s="14">
        <f>equip.xml!E134</f>
        <v>4</v>
      </c>
      <c r="F130" s="14">
        <f>equip.xml!F134</f>
        <v>1</v>
      </c>
      <c r="G130" s="14">
        <f>equip.xml!G134</f>
        <v>25</v>
      </c>
      <c r="H130" s="14">
        <f>equip.xml!H134</f>
        <v>0</v>
      </c>
      <c r="I130" s="14">
        <f>equip.xml!J134</f>
        <v>5</v>
      </c>
      <c r="J130" s="14">
        <f>equip.xml!K134</f>
        <v>0</v>
      </c>
      <c r="K130" s="14">
        <f>equip.xml!L134</f>
        <v>0</v>
      </c>
      <c r="L130" s="14" t="str">
        <f>equip.xml!M134</f>
        <v>105_153_153</v>
      </c>
      <c r="M130" s="17" t="str">
        <f>equip.xml!Q134</f>
        <v>equipment/5007.png</v>
      </c>
      <c r="N130" s="16" t="str">
        <f>equip.xml!P134</f>
        <v>10000_1002_25000,30000_30001_1,30000_30002_1,30000_30003_1</v>
      </c>
      <c r="O130">
        <f>equip.xml!R134</f>
        <v>0</v>
      </c>
    </row>
    <row r="131" spans="1:15">
      <c r="A131" s="14" t="str">
        <f>equip.xml!A135</f>
        <v>10250041</v>
      </c>
      <c r="B131" s="14">
        <f>equip.xml!B135</f>
        <v>0</v>
      </c>
      <c r="C131" s="14" t="str">
        <f>equip.xml!C135</f>
        <v>新兵外套</v>
      </c>
      <c r="D131" s="14" t="str">
        <f>equip.xml!D135</f>
        <v>胸甲</v>
      </c>
      <c r="E131" s="14">
        <f>equip.xml!E135</f>
        <v>4</v>
      </c>
      <c r="F131" s="14">
        <f>equip.xml!F135</f>
        <v>1</v>
      </c>
      <c r="G131" s="14">
        <f>equip.xml!G135</f>
        <v>25</v>
      </c>
      <c r="H131" s="14">
        <f>equip.xml!H135</f>
        <v>0</v>
      </c>
      <c r="I131" s="14">
        <f>equip.xml!J135</f>
        <v>5</v>
      </c>
      <c r="J131" s="14">
        <f>equip.xml!K135</f>
        <v>0</v>
      </c>
      <c r="K131" s="14">
        <f>equip.xml!L135</f>
        <v>0</v>
      </c>
      <c r="L131" s="14" t="str">
        <f>equip.xml!M135</f>
        <v>105_178_178</v>
      </c>
      <c r="M131" s="17" t="str">
        <f>equip.xml!Q135</f>
        <v>equipment/5001.png</v>
      </c>
      <c r="N131" s="16" t="str">
        <f>equip.xml!P135</f>
        <v>10000_1002_25000,30000_30001_1,30000_30002_1,30000_30003_1</v>
      </c>
      <c r="O131">
        <f>equip.xml!R135</f>
        <v>0</v>
      </c>
    </row>
    <row r="132" spans="1:15">
      <c r="A132" s="14" t="str">
        <f>equip.xml!A136</f>
        <v>10250070</v>
      </c>
      <c r="B132" s="14">
        <f>equip.xml!B136</f>
        <v>1</v>
      </c>
      <c r="C132" s="14" t="str">
        <f>equip.xml!C136</f>
        <v>勇气腿甲</v>
      </c>
      <c r="D132" s="14" t="str">
        <f>equip.xml!D136</f>
        <v>护腿</v>
      </c>
      <c r="E132" s="14">
        <f>equip.xml!E136</f>
        <v>7</v>
      </c>
      <c r="F132" s="14">
        <f>equip.xml!F136</f>
        <v>1</v>
      </c>
      <c r="G132" s="14">
        <f>equip.xml!G136</f>
        <v>25</v>
      </c>
      <c r="H132" s="14">
        <f>equip.xml!H136</f>
        <v>0</v>
      </c>
      <c r="I132" s="14">
        <f>equip.xml!J136</f>
        <v>5</v>
      </c>
      <c r="J132" s="14">
        <f>equip.xml!K136</f>
        <v>0</v>
      </c>
      <c r="K132" s="14">
        <f>equip.xml!L136</f>
        <v>0</v>
      </c>
      <c r="L132" s="14" t="str">
        <f>equip.xml!M136</f>
        <v>105_104_104</v>
      </c>
      <c r="M132" s="17" t="str">
        <f>equip.xml!Q136</f>
        <v>equipment/7006.png</v>
      </c>
      <c r="N132" s="16" t="str">
        <f>equip.xml!P136</f>
        <v>10000_1002_25000,30000_30001_1,30000_30002_1,30000_30003_1</v>
      </c>
      <c r="O132">
        <f>equip.xml!R136</f>
        <v>0</v>
      </c>
    </row>
    <row r="133" spans="1:15">
      <c r="A133" s="14" t="str">
        <f>equip.xml!A137</f>
        <v>10250071</v>
      </c>
      <c r="B133" s="14">
        <f>equip.xml!B137</f>
        <v>0</v>
      </c>
      <c r="C133" s="14" t="str">
        <f>equip.xml!C137</f>
        <v>学徒短裤</v>
      </c>
      <c r="D133" s="14" t="str">
        <f>equip.xml!D137</f>
        <v>护腿</v>
      </c>
      <c r="E133" s="14">
        <f>equip.xml!E137</f>
        <v>7</v>
      </c>
      <c r="F133" s="14">
        <f>equip.xml!F137</f>
        <v>1</v>
      </c>
      <c r="G133" s="14">
        <f>equip.xml!G137</f>
        <v>25</v>
      </c>
      <c r="H133" s="14">
        <f>equip.xml!H137</f>
        <v>0</v>
      </c>
      <c r="I133" s="14">
        <f>equip.xml!J137</f>
        <v>5</v>
      </c>
      <c r="J133" s="14">
        <f>equip.xml!K137</f>
        <v>0</v>
      </c>
      <c r="K133" s="14">
        <f>equip.xml!L137</f>
        <v>0</v>
      </c>
      <c r="L133" s="14" t="str">
        <f>equip.xml!M137</f>
        <v>105_149_149</v>
      </c>
      <c r="M133" s="17" t="str">
        <f>equip.xml!Q137</f>
        <v>equipment/7001.png</v>
      </c>
      <c r="N133" s="16" t="str">
        <f>equip.xml!P137</f>
        <v>10000_1002_25000,30000_30001_1,30000_30002_1,30000_30003_1</v>
      </c>
      <c r="O133">
        <f>equip.xml!R137</f>
        <v>0</v>
      </c>
    </row>
    <row r="134" spans="1:15">
      <c r="A134" s="14" t="str">
        <f>equip.xml!A138</f>
        <v>10300010</v>
      </c>
      <c r="B134" s="14">
        <f>equip.xml!B138</f>
        <v>1</v>
      </c>
      <c r="C134" s="14" t="str">
        <f>equip.xml!C138</f>
        <v>双链罩帽</v>
      </c>
      <c r="D134" s="14" t="str">
        <f>equip.xml!D138</f>
        <v>头盔</v>
      </c>
      <c r="E134" s="14">
        <f>equip.xml!E138</f>
        <v>1</v>
      </c>
      <c r="F134" s="14">
        <f>equip.xml!F138</f>
        <v>1</v>
      </c>
      <c r="G134" s="14">
        <f>equip.xml!G138</f>
        <v>30</v>
      </c>
      <c r="H134" s="14">
        <f>equip.xml!H138</f>
        <v>0</v>
      </c>
      <c r="I134" s="14">
        <f>equip.xml!J138</f>
        <v>5</v>
      </c>
      <c r="J134" s="14">
        <f>equip.xml!K138</f>
        <v>0</v>
      </c>
      <c r="K134" s="14">
        <f>equip.xml!L138</f>
        <v>0</v>
      </c>
      <c r="L134" s="14" t="str">
        <f>equip.xml!M138</f>
        <v>106_372_372</v>
      </c>
      <c r="M134" s="17" t="str">
        <f>equip.xml!Q138</f>
        <v>equipment/3004.png</v>
      </c>
      <c r="N134" s="16" t="str">
        <f>equip.xml!P138</f>
        <v>10000_1002_30000,30000_30001_1,30000_30002_1,30000_30003_1</v>
      </c>
      <c r="O134">
        <f>equip.xml!R138</f>
        <v>0</v>
      </c>
    </row>
    <row r="135" spans="1:15">
      <c r="A135" s="14" t="str">
        <f>equip.xml!A139</f>
        <v>10300020</v>
      </c>
      <c r="B135" s="14">
        <f>equip.xml!B139</f>
        <v>1</v>
      </c>
      <c r="C135" s="14" t="str">
        <f>equip.xml!C139</f>
        <v>繁星之戒</v>
      </c>
      <c r="D135" s="14" t="str">
        <f>equip.xml!D139</f>
        <v>戒指</v>
      </c>
      <c r="E135" s="14">
        <f>equip.xml!E139</f>
        <v>2</v>
      </c>
      <c r="F135" s="14">
        <f>equip.xml!F139</f>
        <v>1</v>
      </c>
      <c r="G135" s="14">
        <f>equip.xml!G139</f>
        <v>30</v>
      </c>
      <c r="H135" s="14">
        <f>equip.xml!H139</f>
        <v>0</v>
      </c>
      <c r="I135" s="14">
        <f>equip.xml!J139</f>
        <v>5</v>
      </c>
      <c r="J135" s="14">
        <f>equip.xml!K139</f>
        <v>0</v>
      </c>
      <c r="K135" s="14">
        <f>equip.xml!L139</f>
        <v>0</v>
      </c>
      <c r="L135" s="14" t="str">
        <f>equip.xml!M139</f>
        <v>102_460_460</v>
      </c>
      <c r="M135" s="17" t="str">
        <f>equip.xml!Q139</f>
        <v>equipment/14005.png</v>
      </c>
      <c r="N135" s="16" t="str">
        <f>equip.xml!P139</f>
        <v>10000_1002_30000,30000_30001_1,30000_30002_1,30000_30003_1</v>
      </c>
      <c r="O135">
        <f>equip.xml!R139</f>
        <v>0</v>
      </c>
    </row>
    <row r="136" spans="1:15">
      <c r="A136" s="14" t="str">
        <f>equip.xml!A140</f>
        <v>10300030</v>
      </c>
      <c r="B136" s="14">
        <f>equip.xml!B140</f>
        <v>1</v>
      </c>
      <c r="C136" s="14" t="str">
        <f>equip.xml!C140</f>
        <v>秘银腰带</v>
      </c>
      <c r="D136" s="14" t="str">
        <f>equip.xml!D140</f>
        <v>腰带</v>
      </c>
      <c r="E136" s="14">
        <f>equip.xml!E140</f>
        <v>3</v>
      </c>
      <c r="F136" s="14">
        <f>equip.xml!F140</f>
        <v>1</v>
      </c>
      <c r="G136" s="14">
        <f>equip.xml!G140</f>
        <v>30</v>
      </c>
      <c r="H136" s="14">
        <f>equip.xml!H140</f>
        <v>0</v>
      </c>
      <c r="I136" s="14">
        <f>equip.xml!J140</f>
        <v>5</v>
      </c>
      <c r="J136" s="14">
        <f>equip.xml!K140</f>
        <v>0</v>
      </c>
      <c r="K136" s="14">
        <f>equip.xml!L140</f>
        <v>0</v>
      </c>
      <c r="L136" s="14" t="str">
        <f>equip.xml!M140</f>
        <v>101_3920_3920</v>
      </c>
      <c r="M136" s="17" t="str">
        <f>equip.xml!Q140</f>
        <v>equipment/6002.png</v>
      </c>
      <c r="N136" s="16" t="str">
        <f>equip.xml!P140</f>
        <v>10000_1002_30000,30000_30001_1,30000_30002_1,30000_30003_1</v>
      </c>
      <c r="O136">
        <f>equip.xml!R140</f>
        <v>0</v>
      </c>
    </row>
    <row r="137" spans="1:15">
      <c r="A137" s="14" t="str">
        <f>equip.xml!A141</f>
        <v>10300080</v>
      </c>
      <c r="B137" s="14">
        <f>equip.xml!B141</f>
        <v>1</v>
      </c>
      <c r="C137" s="14" t="str">
        <f>equip.xml!C141</f>
        <v>镶饰胫甲</v>
      </c>
      <c r="D137" s="14" t="str">
        <f>equip.xml!D141</f>
        <v>鞋子</v>
      </c>
      <c r="E137" s="14">
        <f>equip.xml!E141</f>
        <v>8</v>
      </c>
      <c r="F137" s="14">
        <f>equip.xml!F141</f>
        <v>1</v>
      </c>
      <c r="G137" s="14">
        <f>equip.xml!G141</f>
        <v>30</v>
      </c>
      <c r="H137" s="14">
        <f>equip.xml!H141</f>
        <v>0</v>
      </c>
      <c r="I137" s="14">
        <f>equip.xml!J141</f>
        <v>5</v>
      </c>
      <c r="J137" s="14">
        <f>equip.xml!K141</f>
        <v>0</v>
      </c>
      <c r="K137" s="14">
        <f>equip.xml!L141</f>
        <v>0</v>
      </c>
      <c r="L137" s="14" t="str">
        <f>equip.xml!M141</f>
        <v>110_65_65</v>
      </c>
      <c r="M137" s="17" t="str">
        <f>equip.xml!Q141</f>
        <v>equipment/8005.png</v>
      </c>
      <c r="N137" s="16" t="str">
        <f>equip.xml!P141</f>
        <v>10000_1002_30000,30000_30001_1,30000_30002_1,30000_30003_1</v>
      </c>
      <c r="O137">
        <f>equip.xml!R141</f>
        <v>0</v>
      </c>
    </row>
    <row r="138" spans="1:15">
      <c r="A138" s="14" t="str">
        <f>equip.xml!A142</f>
        <v>10300090</v>
      </c>
      <c r="B138" s="14">
        <f>equip.xml!B142</f>
        <v>1</v>
      </c>
      <c r="C138" s="14" t="str">
        <f>equip.xml!C142</f>
        <v>链甲手套</v>
      </c>
      <c r="D138" s="14" t="str">
        <f>equip.xml!D142</f>
        <v>手套</v>
      </c>
      <c r="E138" s="14">
        <f>equip.xml!E142</f>
        <v>9</v>
      </c>
      <c r="F138" s="14">
        <f>equip.xml!F142</f>
        <v>1</v>
      </c>
      <c r="G138" s="14">
        <f>equip.xml!G142</f>
        <v>30</v>
      </c>
      <c r="H138" s="14">
        <f>equip.xml!H142</f>
        <v>0</v>
      </c>
      <c r="I138" s="14">
        <f>equip.xml!J142</f>
        <v>5</v>
      </c>
      <c r="J138" s="14">
        <f>equip.xml!K142</f>
        <v>0</v>
      </c>
      <c r="K138" s="14">
        <f>equip.xml!L142</f>
        <v>0</v>
      </c>
      <c r="L138" s="14" t="str">
        <f>equip.xml!M142</f>
        <v>108_367_367</v>
      </c>
      <c r="M138" s="17" t="str">
        <f>equip.xml!Q142</f>
        <v>equipment/10005.png</v>
      </c>
      <c r="N138" s="16" t="str">
        <f>equip.xml!P142</f>
        <v>10000_1002_30000,30000_30001_1,30000_30002_1,30000_30003_1</v>
      </c>
      <c r="O138">
        <f>equip.xml!R142</f>
        <v>0</v>
      </c>
    </row>
    <row r="139" spans="1:15">
      <c r="A139" s="14" t="str">
        <f>equip.xml!A143</f>
        <v>10300100</v>
      </c>
      <c r="B139" s="14">
        <f>equip.xml!B143</f>
        <v>1</v>
      </c>
      <c r="C139" s="14" t="str">
        <f>equip.xml!C143</f>
        <v>虎眼石项链</v>
      </c>
      <c r="D139" s="14" t="str">
        <f>equip.xml!D143</f>
        <v>项链</v>
      </c>
      <c r="E139" s="14">
        <f>equip.xml!E143</f>
        <v>10</v>
      </c>
      <c r="F139" s="14">
        <f>equip.xml!F143</f>
        <v>1</v>
      </c>
      <c r="G139" s="14">
        <f>equip.xml!G143</f>
        <v>30</v>
      </c>
      <c r="H139" s="14">
        <f>equip.xml!H143</f>
        <v>0</v>
      </c>
      <c r="I139" s="14">
        <f>equip.xml!J143</f>
        <v>5</v>
      </c>
      <c r="J139" s="14">
        <f>equip.xml!K143</f>
        <v>0</v>
      </c>
      <c r="K139" s="14">
        <f>equip.xml!L143</f>
        <v>0</v>
      </c>
      <c r="L139" s="14" t="str">
        <f>equip.xml!M143</f>
        <v>107_372_372</v>
      </c>
      <c r="M139" s="17" t="str">
        <f>equip.xml!Q143</f>
        <v>equipment/12005.png</v>
      </c>
      <c r="N139" s="16" t="str">
        <f>equip.xml!P143</f>
        <v>10000_1002_30000,30000_30001_1,30000_30002_1,30000_30003_1</v>
      </c>
      <c r="O139">
        <f>equip.xml!R143</f>
        <v>0</v>
      </c>
    </row>
    <row r="140" spans="1:15">
      <c r="A140" s="14" t="str">
        <f>equip.xml!A144</f>
        <v>10301050</v>
      </c>
      <c r="B140" s="14">
        <f>equip.xml!B144</f>
        <v>1</v>
      </c>
      <c r="C140" s="14" t="str">
        <f>equip.xml!C144</f>
        <v>炽热长剑</v>
      </c>
      <c r="D140" s="14" t="str">
        <f>equip.xml!D144</f>
        <v>主手武器</v>
      </c>
      <c r="E140" s="14">
        <f>equip.xml!E144</f>
        <v>5</v>
      </c>
      <c r="F140" s="14">
        <f>equip.xml!F144</f>
        <v>1</v>
      </c>
      <c r="G140" s="14">
        <f>equip.xml!G144</f>
        <v>30</v>
      </c>
      <c r="H140" s="14" t="str">
        <f>equip.xml!H144</f>
        <v>1,1001</v>
      </c>
      <c r="I140" s="14">
        <f>equip.xml!J144</f>
        <v>5</v>
      </c>
      <c r="J140" s="14">
        <f>equip.xml!K144</f>
        <v>0</v>
      </c>
      <c r="K140" s="14">
        <f>equip.xml!L144</f>
        <v>0</v>
      </c>
      <c r="L140" s="14" t="str">
        <f>equip.xml!M144</f>
        <v>103_275_275,104_550_550</v>
      </c>
      <c r="M140" s="17" t="str">
        <f>equip.xml!Q144</f>
        <v>equipment/1112.png</v>
      </c>
      <c r="N140" s="16" t="str">
        <f>equip.xml!P144</f>
        <v>10000_1002_30000,30000_30001_1,30000_30002_1,30000_30003_1</v>
      </c>
      <c r="O140">
        <f>equip.xml!R144</f>
        <v>0</v>
      </c>
    </row>
    <row r="141" spans="1:15">
      <c r="A141" s="14" t="str">
        <f>equip.xml!A145</f>
        <v>10301051</v>
      </c>
      <c r="B141" s="14">
        <f>equip.xml!B145</f>
        <v>1</v>
      </c>
      <c r="C141" s="14" t="str">
        <f>equip.xml!C145</f>
        <v>贵族阔剑</v>
      </c>
      <c r="D141" s="14" t="str">
        <f>equip.xml!D145</f>
        <v>主手武器</v>
      </c>
      <c r="E141" s="14">
        <f>equip.xml!E145</f>
        <v>5</v>
      </c>
      <c r="F141" s="14">
        <f>equip.xml!F145</f>
        <v>1</v>
      </c>
      <c r="G141" s="14">
        <f>equip.xml!G145</f>
        <v>30</v>
      </c>
      <c r="H141" s="14" t="str">
        <f>equip.xml!H145</f>
        <v>1,1001</v>
      </c>
      <c r="I141" s="14">
        <f>equip.xml!J145</f>
        <v>5</v>
      </c>
      <c r="J141" s="14">
        <f>equip.xml!K145</f>
        <v>0</v>
      </c>
      <c r="K141" s="14">
        <f>equip.xml!L145</f>
        <v>0</v>
      </c>
      <c r="L141" s="14" t="str">
        <f>equip.xml!M145</f>
        <v>103_342_342,104_684_684</v>
      </c>
      <c r="M141" s="17" t="str">
        <f>equip.xml!Q145</f>
        <v>equipment/1113.png</v>
      </c>
      <c r="N141" s="16" t="str">
        <f>equip.xml!P145</f>
        <v>10000_1002_30000,30000_30001_1,30000_30002_1,30000_30003_1</v>
      </c>
      <c r="O141">
        <f>equip.xml!R145</f>
        <v>0</v>
      </c>
    </row>
    <row r="142" spans="1:15">
      <c r="A142" s="14" t="str">
        <f>equip.xml!A146</f>
        <v>10301060</v>
      </c>
      <c r="B142" s="14">
        <f>equip.xml!B146</f>
        <v>1</v>
      </c>
      <c r="C142" s="14" t="str">
        <f>equip.xml!C146</f>
        <v>耐久盾牌</v>
      </c>
      <c r="D142" s="14" t="str">
        <f>equip.xml!D146</f>
        <v>副手武器</v>
      </c>
      <c r="E142" s="14">
        <f>equip.xml!E146</f>
        <v>6</v>
      </c>
      <c r="F142" s="14">
        <f>equip.xml!F146</f>
        <v>1</v>
      </c>
      <c r="G142" s="14">
        <f>equip.xml!G146</f>
        <v>30</v>
      </c>
      <c r="H142" s="14" t="str">
        <f>equip.xml!H146</f>
        <v>1,1001</v>
      </c>
      <c r="I142" s="14">
        <f>equip.xml!J146</f>
        <v>5</v>
      </c>
      <c r="J142" s="14">
        <f>equip.xml!K146</f>
        <v>0</v>
      </c>
      <c r="K142" s="14">
        <f>equip.xml!L146</f>
        <v>0</v>
      </c>
      <c r="L142" s="14" t="str">
        <f>equip.xml!M146</f>
        <v>105_368_368</v>
      </c>
      <c r="M142" s="17" t="str">
        <f>equip.xml!Q146</f>
        <v>equipment/2107.png</v>
      </c>
      <c r="N142" s="16" t="str">
        <f>equip.xml!P146</f>
        <v>10000_1002_30000,30000_30001_1,30000_30002_1,30000_30003_1</v>
      </c>
      <c r="O142">
        <f>equip.xml!R146</f>
        <v>0</v>
      </c>
    </row>
    <row r="143" spans="1:15">
      <c r="A143" s="14" t="str">
        <f>equip.xml!A147</f>
        <v>10301061</v>
      </c>
      <c r="B143" s="14">
        <f>equip.xml!B147</f>
        <v>0</v>
      </c>
      <c r="C143" s="14" t="str">
        <f>equip.xml!C147</f>
        <v>盐石盾牌</v>
      </c>
      <c r="D143" s="14" t="str">
        <f>equip.xml!D147</f>
        <v>副手武器</v>
      </c>
      <c r="E143" s="14">
        <f>equip.xml!E147</f>
        <v>6</v>
      </c>
      <c r="F143" s="14">
        <f>equip.xml!F147</f>
        <v>1</v>
      </c>
      <c r="G143" s="14">
        <f>equip.xml!G147</f>
        <v>30</v>
      </c>
      <c r="H143" s="14" t="str">
        <f>equip.xml!H147</f>
        <v>1,1001</v>
      </c>
      <c r="I143" s="14">
        <f>equip.xml!J147</f>
        <v>5</v>
      </c>
      <c r="J143" s="14">
        <f>equip.xml!K147</f>
        <v>0</v>
      </c>
      <c r="K143" s="14">
        <f>equip.xml!L147</f>
        <v>0</v>
      </c>
      <c r="L143" s="14" t="str">
        <f>equip.xml!M147</f>
        <v>105_491_491</v>
      </c>
      <c r="M143" s="17" t="str">
        <f>equip.xml!Q147</f>
        <v>equipment/2108.png</v>
      </c>
      <c r="N143" s="16" t="str">
        <f>equip.xml!P147</f>
        <v>10000_1002_30000,30000_30001_1,30000_30002_1,30000_30003_1</v>
      </c>
      <c r="O143">
        <f>equip.xml!R147</f>
        <v>0</v>
      </c>
    </row>
    <row r="144" spans="1:15">
      <c r="A144" s="14" t="str">
        <f>equip.xml!A148</f>
        <v>10302050</v>
      </c>
      <c r="B144" s="14">
        <f>equip.xml!B148</f>
        <v>1</v>
      </c>
      <c r="C144" s="14" t="str">
        <f>equip.xml!C148</f>
        <v>红木长弓</v>
      </c>
      <c r="D144" s="14" t="str">
        <f>equip.xml!D148</f>
        <v>主手武器</v>
      </c>
      <c r="E144" s="14">
        <f>equip.xml!E148</f>
        <v>5</v>
      </c>
      <c r="F144" s="14">
        <f>equip.xml!F148</f>
        <v>1</v>
      </c>
      <c r="G144" s="14">
        <f>equip.xml!G148</f>
        <v>30</v>
      </c>
      <c r="H144" s="14" t="str">
        <f>equip.xml!H148</f>
        <v>2,1002</v>
      </c>
      <c r="I144" s="14">
        <f>equip.xml!J148</f>
        <v>5</v>
      </c>
      <c r="J144" s="14">
        <f>equip.xml!K148</f>
        <v>0</v>
      </c>
      <c r="K144" s="14">
        <f>equip.xml!L148</f>
        <v>0</v>
      </c>
      <c r="L144" s="14" t="str">
        <f>equip.xml!M148</f>
        <v>103_275_275,104_550_550</v>
      </c>
      <c r="M144" s="17" t="str">
        <f>equip.xml!Q148</f>
        <v>equipment/1211.png</v>
      </c>
      <c r="N144" s="16" t="str">
        <f>equip.xml!P148</f>
        <v>10000_1002_30000,30000_30001_1,30000_30002_1,30000_30003_1</v>
      </c>
      <c r="O144">
        <f>equip.xml!R148</f>
        <v>0</v>
      </c>
    </row>
    <row r="145" spans="1:15">
      <c r="A145" s="14" t="str">
        <f>equip.xml!A149</f>
        <v>10302051</v>
      </c>
      <c r="B145" s="14">
        <f>equip.xml!B149</f>
        <v>1</v>
      </c>
      <c r="C145" s="14" t="str">
        <f>equip.xml!C149</f>
        <v>灼热弓</v>
      </c>
      <c r="D145" s="14" t="str">
        <f>equip.xml!D149</f>
        <v>主手武器</v>
      </c>
      <c r="E145" s="14">
        <f>equip.xml!E149</f>
        <v>5</v>
      </c>
      <c r="F145" s="14">
        <f>equip.xml!F149</f>
        <v>1</v>
      </c>
      <c r="G145" s="14">
        <f>equip.xml!G149</f>
        <v>30</v>
      </c>
      <c r="H145" s="14" t="str">
        <f>equip.xml!H149</f>
        <v>2,1002</v>
      </c>
      <c r="I145" s="14">
        <f>equip.xml!J149</f>
        <v>5</v>
      </c>
      <c r="J145" s="14">
        <f>equip.xml!K149</f>
        <v>0</v>
      </c>
      <c r="K145" s="14">
        <f>equip.xml!L149</f>
        <v>0</v>
      </c>
      <c r="L145" s="14" t="str">
        <f>equip.xml!M149</f>
        <v>103_342_342,104_684_684</v>
      </c>
      <c r="M145" s="17" t="str">
        <f>equip.xml!Q149</f>
        <v>equipment/1212.png</v>
      </c>
      <c r="N145" s="16" t="str">
        <f>equip.xml!P149</f>
        <v>10000_1002_30000,30000_30001_1,30000_30002_1,30000_30003_1</v>
      </c>
      <c r="O145">
        <f>equip.xml!R149</f>
        <v>0</v>
      </c>
    </row>
    <row r="146" spans="1:15">
      <c r="A146" s="14" t="str">
        <f>equip.xml!A150</f>
        <v>10302060</v>
      </c>
      <c r="B146" s="14">
        <f>equip.xml!B150</f>
        <v>1</v>
      </c>
      <c r="C146" s="14" t="str">
        <f>equip.xml!C150</f>
        <v>倒刺箭筒</v>
      </c>
      <c r="D146" s="14" t="str">
        <f>equip.xml!D150</f>
        <v>副手武器</v>
      </c>
      <c r="E146" s="14">
        <f>equip.xml!E150</f>
        <v>6</v>
      </c>
      <c r="F146" s="14">
        <f>equip.xml!F150</f>
        <v>1</v>
      </c>
      <c r="G146" s="14">
        <f>equip.xml!G150</f>
        <v>30</v>
      </c>
      <c r="H146" s="14" t="str">
        <f>equip.xml!H150</f>
        <v>2,1002</v>
      </c>
      <c r="I146" s="14">
        <f>equip.xml!J150</f>
        <v>5</v>
      </c>
      <c r="J146" s="14">
        <f>equip.xml!K150</f>
        <v>0</v>
      </c>
      <c r="K146" s="14">
        <f>equip.xml!L150</f>
        <v>0</v>
      </c>
      <c r="L146" s="14" t="str">
        <f>equip.xml!M150</f>
        <v>108_368_368</v>
      </c>
      <c r="M146" s="17" t="str">
        <f>equip.xml!Q150</f>
        <v>equipment/2207.png</v>
      </c>
      <c r="N146" s="16" t="str">
        <f>equip.xml!P150</f>
        <v>10000_1002_30000,30000_30001_1,30000_30002_1,30000_30003_1</v>
      </c>
      <c r="O146">
        <f>equip.xml!R150</f>
        <v>0</v>
      </c>
    </row>
    <row r="147" spans="1:15">
      <c r="A147" s="14" t="str">
        <f>equip.xml!A151</f>
        <v>10302061</v>
      </c>
      <c r="B147" s="14">
        <f>equip.xml!B151</f>
        <v>0</v>
      </c>
      <c r="C147" s="14" t="str">
        <f>equip.xml!C151</f>
        <v>崇圣箭筒</v>
      </c>
      <c r="D147" s="14" t="str">
        <f>equip.xml!D151</f>
        <v>副手武器</v>
      </c>
      <c r="E147" s="14">
        <f>equip.xml!E151</f>
        <v>6</v>
      </c>
      <c r="F147" s="14">
        <f>equip.xml!F151</f>
        <v>1</v>
      </c>
      <c r="G147" s="14">
        <f>equip.xml!G151</f>
        <v>30</v>
      </c>
      <c r="H147" s="14" t="str">
        <f>equip.xml!H151</f>
        <v>2,1002</v>
      </c>
      <c r="I147" s="14">
        <f>equip.xml!J151</f>
        <v>5</v>
      </c>
      <c r="J147" s="14">
        <f>equip.xml!K151</f>
        <v>0</v>
      </c>
      <c r="K147" s="14">
        <f>equip.xml!L151</f>
        <v>0</v>
      </c>
      <c r="L147" s="14" t="str">
        <f>equip.xml!M151</f>
        <v>108_491_491</v>
      </c>
      <c r="M147" s="17" t="str">
        <f>equip.xml!Q151</f>
        <v>equipment/2208.png</v>
      </c>
      <c r="N147" s="16" t="str">
        <f>equip.xml!P151</f>
        <v>10000_1002_30000,30000_30001_1,30000_30002_1,30000_30003_1</v>
      </c>
      <c r="O147">
        <f>equip.xml!R151</f>
        <v>0</v>
      </c>
    </row>
    <row r="148" spans="1:15">
      <c r="A148" s="14" t="str">
        <f>equip.xml!A152</f>
        <v>10303050</v>
      </c>
      <c r="B148" s="14">
        <f>equip.xml!B152</f>
        <v>1</v>
      </c>
      <c r="C148" s="14" t="str">
        <f>equip.xml!C152</f>
        <v>荒骨法杖</v>
      </c>
      <c r="D148" s="14" t="str">
        <f>equip.xml!D152</f>
        <v>主手武器</v>
      </c>
      <c r="E148" s="14">
        <f>equip.xml!E152</f>
        <v>5</v>
      </c>
      <c r="F148" s="14">
        <f>equip.xml!F152</f>
        <v>1</v>
      </c>
      <c r="G148" s="14">
        <f>equip.xml!G152</f>
        <v>30</v>
      </c>
      <c r="H148" s="14" t="str">
        <f>equip.xml!H152</f>
        <v>3,1003</v>
      </c>
      <c r="I148" s="14">
        <f>equip.xml!J152</f>
        <v>5</v>
      </c>
      <c r="J148" s="14">
        <f>equip.xml!K152</f>
        <v>0</v>
      </c>
      <c r="K148" s="14">
        <f>equip.xml!L152</f>
        <v>0</v>
      </c>
      <c r="L148" s="14" t="str">
        <f>equip.xml!M152</f>
        <v>103_275_275,104_550_550</v>
      </c>
      <c r="M148" s="17" t="str">
        <f>equip.xml!Q152</f>
        <v>equipment/1312.png</v>
      </c>
      <c r="N148" s="16" t="str">
        <f>equip.xml!P152</f>
        <v>10000_1002_30000,30000_30001_1,30000_30002_1,30000_30003_1</v>
      </c>
      <c r="O148">
        <f>equip.xml!R152</f>
        <v>0</v>
      </c>
    </row>
    <row r="149" spans="1:15">
      <c r="A149" s="14" t="str">
        <f>equip.xml!A153</f>
        <v>10303051</v>
      </c>
      <c r="B149" s="14">
        <f>equip.xml!B153</f>
        <v>1</v>
      </c>
      <c r="C149" s="14" t="str">
        <f>equip.xml!C153</f>
        <v>新月法杖</v>
      </c>
      <c r="D149" s="14" t="str">
        <f>equip.xml!D153</f>
        <v>主手武器</v>
      </c>
      <c r="E149" s="14">
        <f>equip.xml!E153</f>
        <v>5</v>
      </c>
      <c r="F149" s="14">
        <f>equip.xml!F153</f>
        <v>1</v>
      </c>
      <c r="G149" s="14">
        <f>equip.xml!G153</f>
        <v>30</v>
      </c>
      <c r="H149" s="14" t="str">
        <f>equip.xml!H153</f>
        <v>3,1003</v>
      </c>
      <c r="I149" s="14">
        <f>equip.xml!J153</f>
        <v>5</v>
      </c>
      <c r="J149" s="14">
        <f>equip.xml!K153</f>
        <v>0</v>
      </c>
      <c r="K149" s="14">
        <f>equip.xml!L153</f>
        <v>0</v>
      </c>
      <c r="L149" s="14" t="str">
        <f>equip.xml!M153</f>
        <v>103_342_342,104_684_684</v>
      </c>
      <c r="M149" s="17" t="str">
        <f>equip.xml!Q153</f>
        <v>equipment/1313.png</v>
      </c>
      <c r="N149" s="16" t="str">
        <f>equip.xml!P153</f>
        <v>10000_1002_30000,30000_30001_1,30000_30002_1,30000_30003_1</v>
      </c>
      <c r="O149">
        <f>equip.xml!R153</f>
        <v>0</v>
      </c>
    </row>
    <row r="150" spans="1:15">
      <c r="A150" s="14" t="str">
        <f>equip.xml!A154</f>
        <v>10303060</v>
      </c>
      <c r="B150" s="14">
        <f>equip.xml!B154</f>
        <v>1</v>
      </c>
      <c r="C150" s="14" t="str">
        <f>equip.xml!C154</f>
        <v>神圣典籍</v>
      </c>
      <c r="D150" s="14" t="str">
        <f>equip.xml!D154</f>
        <v>副手武器</v>
      </c>
      <c r="E150" s="14">
        <f>equip.xml!E154</f>
        <v>6</v>
      </c>
      <c r="F150" s="14">
        <f>equip.xml!F154</f>
        <v>1</v>
      </c>
      <c r="G150" s="14">
        <f>equip.xml!G154</f>
        <v>30</v>
      </c>
      <c r="H150" s="14" t="str">
        <f>equip.xml!H154</f>
        <v>3,1003</v>
      </c>
      <c r="I150" s="14">
        <f>equip.xml!J154</f>
        <v>5</v>
      </c>
      <c r="J150" s="14">
        <f>equip.xml!K154</f>
        <v>0</v>
      </c>
      <c r="K150" s="14">
        <f>equip.xml!L154</f>
        <v>0</v>
      </c>
      <c r="L150" s="14" t="str">
        <f>equip.xml!M154</f>
        <v>102_880_880</v>
      </c>
      <c r="M150" s="17" t="str">
        <f>equip.xml!Q154</f>
        <v>equipment/2307.png</v>
      </c>
      <c r="N150" s="16" t="str">
        <f>equip.xml!P154</f>
        <v>10000_1002_30000,30000_30001_1,30000_30002_1,30000_30003_1</v>
      </c>
      <c r="O150">
        <f>equip.xml!R154</f>
        <v>0</v>
      </c>
    </row>
    <row r="151" spans="1:15">
      <c r="A151" s="14" t="str">
        <f>equip.xml!A155</f>
        <v>10303061</v>
      </c>
      <c r="B151" s="14">
        <f>equip.xml!B155</f>
        <v>0</v>
      </c>
      <c r="C151" s="14" t="str">
        <f>equip.xml!C155</f>
        <v>召唤之书</v>
      </c>
      <c r="D151" s="14" t="str">
        <f>equip.xml!D155</f>
        <v>副手武器</v>
      </c>
      <c r="E151" s="14">
        <f>equip.xml!E155</f>
        <v>6</v>
      </c>
      <c r="F151" s="14">
        <f>equip.xml!F155</f>
        <v>1</v>
      </c>
      <c r="G151" s="14">
        <f>equip.xml!G155</f>
        <v>30</v>
      </c>
      <c r="H151" s="14" t="str">
        <f>equip.xml!H155</f>
        <v>3,1003</v>
      </c>
      <c r="I151" s="14">
        <f>equip.xml!J155</f>
        <v>5</v>
      </c>
      <c r="J151" s="14">
        <f>equip.xml!K155</f>
        <v>0</v>
      </c>
      <c r="K151" s="14">
        <f>equip.xml!L155</f>
        <v>0</v>
      </c>
      <c r="L151" s="14" t="str">
        <f>equip.xml!M155</f>
        <v>102_944_944</v>
      </c>
      <c r="M151" s="17" t="str">
        <f>equip.xml!Q155</f>
        <v>equipment/2308.png</v>
      </c>
      <c r="N151" s="16" t="str">
        <f>equip.xml!P155</f>
        <v>10000_1002_30000,30000_30001_1,30000_30002_1,30000_30003_1</v>
      </c>
      <c r="O151">
        <f>equip.xml!R155</f>
        <v>0</v>
      </c>
    </row>
    <row r="152" spans="1:15">
      <c r="A152" s="14" t="str">
        <f>equip.xml!A156</f>
        <v>10300040</v>
      </c>
      <c r="B152" s="14">
        <f>equip.xml!B156</f>
        <v>1</v>
      </c>
      <c r="C152" s="14" t="str">
        <f>equip.xml!C156</f>
        <v>水滴胸铠</v>
      </c>
      <c r="D152" s="14" t="str">
        <f>equip.xml!D156</f>
        <v>胸甲</v>
      </c>
      <c r="E152" s="14">
        <f>equip.xml!E156</f>
        <v>4</v>
      </c>
      <c r="F152" s="14">
        <f>equip.xml!F156</f>
        <v>1</v>
      </c>
      <c r="G152" s="14">
        <f>equip.xml!G156</f>
        <v>30</v>
      </c>
      <c r="H152" s="14">
        <f>equip.xml!H156</f>
        <v>0</v>
      </c>
      <c r="I152" s="14">
        <f>equip.xml!J156</f>
        <v>5</v>
      </c>
      <c r="J152" s="14">
        <f>equip.xml!K156</f>
        <v>0</v>
      </c>
      <c r="K152" s="14">
        <f>equip.xml!L156</f>
        <v>0</v>
      </c>
      <c r="L152" s="14" t="str">
        <f>equip.xml!M156</f>
        <v>105_216_216</v>
      </c>
      <c r="M152" s="17" t="str">
        <f>equip.xml!Q156</f>
        <v>equipment/5008.png</v>
      </c>
      <c r="N152" s="16" t="str">
        <f>equip.xml!P156</f>
        <v>10000_1002_30000,30000_30001_1,30000_30002_1,30000_30003_1</v>
      </c>
      <c r="O152">
        <f>equip.xml!R156</f>
        <v>0</v>
      </c>
    </row>
    <row r="153" spans="1:15">
      <c r="A153" s="14" t="str">
        <f>equip.xml!A157</f>
        <v>10300041</v>
      </c>
      <c r="B153" s="14">
        <f>equip.xml!B157</f>
        <v>1</v>
      </c>
      <c r="C153" s="14" t="str">
        <f>equip.xml!C157</f>
        <v>防卫者外套</v>
      </c>
      <c r="D153" s="14" t="str">
        <f>equip.xml!D157</f>
        <v>胸甲</v>
      </c>
      <c r="E153" s="14">
        <f>equip.xml!E157</f>
        <v>4</v>
      </c>
      <c r="F153" s="14">
        <f>equip.xml!F157</f>
        <v>1</v>
      </c>
      <c r="G153" s="14">
        <f>equip.xml!G157</f>
        <v>30</v>
      </c>
      <c r="H153" s="14">
        <f>equip.xml!H157</f>
        <v>0</v>
      </c>
      <c r="I153" s="14">
        <f>equip.xml!J157</f>
        <v>5</v>
      </c>
      <c r="J153" s="14">
        <f>equip.xml!K157</f>
        <v>0</v>
      </c>
      <c r="K153" s="14">
        <f>equip.xml!L157</f>
        <v>0</v>
      </c>
      <c r="L153" s="14" t="str">
        <f>equip.xml!M157</f>
        <v>105_247_247</v>
      </c>
      <c r="M153" s="17" t="str">
        <f>equip.xml!Q157</f>
        <v>equipment/5009.png</v>
      </c>
      <c r="N153" s="16" t="str">
        <f>equip.xml!P157</f>
        <v>10000_1002_30000,30000_30001_1,30000_30002_1,30000_30003_1</v>
      </c>
      <c r="O153">
        <f>equip.xml!R157</f>
        <v>0</v>
      </c>
    </row>
    <row r="154" spans="1:15">
      <c r="A154" s="14" t="str">
        <f>equip.xml!A158</f>
        <v>10300070</v>
      </c>
      <c r="B154" s="14">
        <f>equip.xml!B158</f>
        <v>1</v>
      </c>
      <c r="C154" s="14" t="str">
        <f>equip.xml!C158</f>
        <v>游侠护腿</v>
      </c>
      <c r="D154" s="14" t="str">
        <f>equip.xml!D158</f>
        <v>护腿</v>
      </c>
      <c r="E154" s="14">
        <f>equip.xml!E158</f>
        <v>7</v>
      </c>
      <c r="F154" s="14">
        <f>equip.xml!F158</f>
        <v>1</v>
      </c>
      <c r="G154" s="14">
        <f>equip.xml!G158</f>
        <v>30</v>
      </c>
      <c r="H154" s="14">
        <f>equip.xml!H158</f>
        <v>0</v>
      </c>
      <c r="I154" s="14">
        <f>equip.xml!J158</f>
        <v>5</v>
      </c>
      <c r="J154" s="14">
        <f>equip.xml!K158</f>
        <v>0</v>
      </c>
      <c r="K154" s="14">
        <f>equip.xml!L158</f>
        <v>0</v>
      </c>
      <c r="L154" s="14" t="str">
        <f>equip.xml!M158</f>
        <v>105_216_216</v>
      </c>
      <c r="M154" s="17" t="str">
        <f>equip.xml!Q158</f>
        <v>equipment/7007.png</v>
      </c>
      <c r="N154" s="16" t="str">
        <f>equip.xml!P158</f>
        <v>10000_1002_30000,30000_30001_1,30000_30002_1,30000_30003_1</v>
      </c>
      <c r="O154">
        <f>equip.xml!R158</f>
        <v>0</v>
      </c>
    </row>
    <row r="155" spans="1:15">
      <c r="A155" s="14" t="str">
        <f>equip.xml!A159</f>
        <v>10300071</v>
      </c>
      <c r="B155" s="14">
        <f>equip.xml!B159</f>
        <v>1</v>
      </c>
      <c r="C155" s="14" t="str">
        <f>equip.xml!C159</f>
        <v>逐风护腿</v>
      </c>
      <c r="D155" s="14" t="str">
        <f>equip.xml!D159</f>
        <v>护腿</v>
      </c>
      <c r="E155" s="14">
        <f>equip.xml!E159</f>
        <v>7</v>
      </c>
      <c r="F155" s="14">
        <f>equip.xml!F159</f>
        <v>1</v>
      </c>
      <c r="G155" s="14">
        <f>equip.xml!G159</f>
        <v>30</v>
      </c>
      <c r="H155" s="14">
        <f>equip.xml!H159</f>
        <v>0</v>
      </c>
      <c r="I155" s="14">
        <f>equip.xml!J159</f>
        <v>5</v>
      </c>
      <c r="J155" s="14">
        <f>equip.xml!K159</f>
        <v>0</v>
      </c>
      <c r="K155" s="14">
        <f>equip.xml!L159</f>
        <v>0</v>
      </c>
      <c r="L155" s="14" t="str">
        <f>equip.xml!M159</f>
        <v>105_247_247</v>
      </c>
      <c r="M155" s="17" t="str">
        <f>equip.xml!Q159</f>
        <v>equipment/7008.png</v>
      </c>
      <c r="N155" s="16" t="str">
        <f>equip.xml!P159</f>
        <v>10000_1002_30000,30000_30001_1,30000_30002_1,30000_30003_1</v>
      </c>
      <c r="O155">
        <f>equip.xml!R159</f>
        <v>0</v>
      </c>
    </row>
    <row r="156" spans="1:15">
      <c r="A156" s="14" t="str">
        <f>equip.xml!A160</f>
        <v>10350010</v>
      </c>
      <c r="B156" s="14">
        <f>equip.xml!B160</f>
        <v>1</v>
      </c>
      <c r="C156" s="14" t="str">
        <f>equip.xml!C160</f>
        <v>镶带头盔</v>
      </c>
      <c r="D156" s="14" t="str">
        <f>equip.xml!D160</f>
        <v>头盔</v>
      </c>
      <c r="E156" s="14">
        <f>equip.xml!E160</f>
        <v>1</v>
      </c>
      <c r="F156" s="14">
        <f>equip.xml!F160</f>
        <v>1</v>
      </c>
      <c r="G156" s="14">
        <f>equip.xml!G160</f>
        <v>35</v>
      </c>
      <c r="H156" s="14">
        <f>equip.xml!H160</f>
        <v>0</v>
      </c>
      <c r="I156" s="14">
        <f>equip.xml!J160</f>
        <v>5</v>
      </c>
      <c r="J156" s="14">
        <f>equip.xml!K160</f>
        <v>0</v>
      </c>
      <c r="K156" s="14">
        <f>equip.xml!L160</f>
        <v>0</v>
      </c>
      <c r="L156" s="14" t="str">
        <f>equip.xml!M160</f>
        <v>106_596_596</v>
      </c>
      <c r="M156" s="17" t="str">
        <f>equip.xml!Q160</f>
        <v>equipment/3006.png</v>
      </c>
      <c r="N156" s="16" t="str">
        <f>equip.xml!P160</f>
        <v>10000_1002_35000,30000_30001_1,30000_30002_1,30000_30003_1</v>
      </c>
      <c r="O156">
        <f>equip.xml!R160</f>
        <v>0</v>
      </c>
    </row>
    <row r="157" spans="1:15">
      <c r="A157" s="14" t="str">
        <f>equip.xml!A161</f>
        <v>10350020</v>
      </c>
      <c r="B157" s="14">
        <f>equip.xml!B161</f>
        <v>1</v>
      </c>
      <c r="C157" s="14" t="str">
        <f>equip.xml!C161</f>
        <v>烈焰指环</v>
      </c>
      <c r="D157" s="14" t="str">
        <f>equip.xml!D161</f>
        <v>戒指</v>
      </c>
      <c r="E157" s="14">
        <f>equip.xml!E161</f>
        <v>2</v>
      </c>
      <c r="F157" s="14">
        <f>equip.xml!F161</f>
        <v>1</v>
      </c>
      <c r="G157" s="14">
        <f>equip.xml!G161</f>
        <v>35</v>
      </c>
      <c r="H157" s="14">
        <f>equip.xml!H161</f>
        <v>0</v>
      </c>
      <c r="I157" s="14">
        <f>equip.xml!J161</f>
        <v>5</v>
      </c>
      <c r="J157" s="14">
        <f>equip.xml!K161</f>
        <v>0</v>
      </c>
      <c r="K157" s="14">
        <f>equip.xml!L161</f>
        <v>0</v>
      </c>
      <c r="L157" s="14" t="str">
        <f>equip.xml!M161</f>
        <v>102_590_590</v>
      </c>
      <c r="M157" s="17" t="str">
        <f>equip.xml!Q161</f>
        <v>equipment/14006.png</v>
      </c>
      <c r="N157" s="16" t="str">
        <f>equip.xml!P161</f>
        <v>10000_1002_35000,30000_30001_1,30000_30002_1,30000_30003_1</v>
      </c>
      <c r="O157">
        <f>equip.xml!R161</f>
        <v>0</v>
      </c>
    </row>
    <row r="158" spans="1:15">
      <c r="A158" s="14" t="str">
        <f>equip.xml!A162</f>
        <v>10350030</v>
      </c>
      <c r="B158" s="14">
        <f>equip.xml!B162</f>
        <v>1</v>
      </c>
      <c r="C158" s="14" t="str">
        <f>equip.xml!C162</f>
        <v>斗士腰带</v>
      </c>
      <c r="D158" s="14" t="str">
        <f>equip.xml!D162</f>
        <v>腰带</v>
      </c>
      <c r="E158" s="14">
        <f>equip.xml!E162</f>
        <v>3</v>
      </c>
      <c r="F158" s="14">
        <f>equip.xml!F162</f>
        <v>1</v>
      </c>
      <c r="G158" s="14">
        <f>equip.xml!G162</f>
        <v>35</v>
      </c>
      <c r="H158" s="14">
        <f>equip.xml!H162</f>
        <v>0</v>
      </c>
      <c r="I158" s="14">
        <f>equip.xml!J162</f>
        <v>5</v>
      </c>
      <c r="J158" s="14">
        <f>equip.xml!K162</f>
        <v>0</v>
      </c>
      <c r="K158" s="14">
        <f>equip.xml!L162</f>
        <v>0</v>
      </c>
      <c r="L158" s="14" t="str">
        <f>equip.xml!M162</f>
        <v>101_4900_4900</v>
      </c>
      <c r="M158" s="17" t="str">
        <f>equip.xml!Q162</f>
        <v>equipment/6006.png</v>
      </c>
      <c r="N158" s="16" t="str">
        <f>equip.xml!P162</f>
        <v>10000_1002_35000,30000_30001_1,30000_30002_1,30000_30003_1</v>
      </c>
      <c r="O158">
        <f>equip.xml!R162</f>
        <v>0</v>
      </c>
    </row>
    <row r="159" spans="1:15">
      <c r="A159" s="14" t="str">
        <f>equip.xml!A163</f>
        <v>10350080</v>
      </c>
      <c r="B159" s="14">
        <f>equip.xml!B163</f>
        <v>1</v>
      </c>
      <c r="C159" s="14" t="str">
        <f>equip.xml!C163</f>
        <v>混乱之靴</v>
      </c>
      <c r="D159" s="14" t="str">
        <f>equip.xml!D163</f>
        <v>鞋子</v>
      </c>
      <c r="E159" s="14">
        <f>equip.xml!E163</f>
        <v>8</v>
      </c>
      <c r="F159" s="14">
        <f>equip.xml!F163</f>
        <v>1</v>
      </c>
      <c r="G159" s="14">
        <f>equip.xml!G163</f>
        <v>35</v>
      </c>
      <c r="H159" s="14">
        <f>equip.xml!H163</f>
        <v>0</v>
      </c>
      <c r="I159" s="14">
        <f>equip.xml!J163</f>
        <v>5</v>
      </c>
      <c r="J159" s="14">
        <f>equip.xml!K163</f>
        <v>0</v>
      </c>
      <c r="K159" s="14">
        <f>equip.xml!L163</f>
        <v>0</v>
      </c>
      <c r="L159" s="14" t="str">
        <f>equip.xml!M163</f>
        <v>110_82_82</v>
      </c>
      <c r="M159" s="17" t="str">
        <f>equip.xml!Q163</f>
        <v>equipment/8006.png</v>
      </c>
      <c r="N159" s="16" t="str">
        <f>equip.xml!P163</f>
        <v>10000_1002_35000,30000_30001_1,30000_30002_1,30000_30003_1</v>
      </c>
      <c r="O159">
        <f>equip.xml!R163</f>
        <v>0</v>
      </c>
    </row>
    <row r="160" spans="1:15">
      <c r="A160" s="14" t="str">
        <f>equip.xml!A164</f>
        <v>10350090</v>
      </c>
      <c r="B160" s="14">
        <f>equip.xml!B164</f>
        <v>1</v>
      </c>
      <c r="C160" s="14" t="str">
        <f>equip.xml!C164</f>
        <v>激励手甲</v>
      </c>
      <c r="D160" s="14" t="str">
        <f>equip.xml!D164</f>
        <v>手套</v>
      </c>
      <c r="E160" s="14">
        <f>equip.xml!E164</f>
        <v>9</v>
      </c>
      <c r="F160" s="14">
        <f>equip.xml!F164</f>
        <v>1</v>
      </c>
      <c r="G160" s="14">
        <f>equip.xml!G164</f>
        <v>35</v>
      </c>
      <c r="H160" s="14">
        <f>equip.xml!H164</f>
        <v>0</v>
      </c>
      <c r="I160" s="14">
        <f>equip.xml!J164</f>
        <v>5</v>
      </c>
      <c r="J160" s="14">
        <f>equip.xml!K164</f>
        <v>0</v>
      </c>
      <c r="K160" s="14">
        <f>equip.xml!L164</f>
        <v>0</v>
      </c>
      <c r="L160" s="14" t="str">
        <f>equip.xml!M164</f>
        <v>108_588_588</v>
      </c>
      <c r="M160" s="17" t="str">
        <f>equip.xml!Q164</f>
        <v>equipment/10006.png</v>
      </c>
      <c r="N160" s="16" t="str">
        <f>equip.xml!P164</f>
        <v>10000_1002_35000,30000_30001_1,30000_30002_1,30000_30003_1</v>
      </c>
      <c r="O160">
        <f>equip.xml!R164</f>
        <v>0</v>
      </c>
    </row>
    <row r="161" spans="1:15">
      <c r="A161" s="14" t="str">
        <f>equip.xml!A165</f>
        <v>10350100</v>
      </c>
      <c r="B161" s="14">
        <f>equip.xml!B165</f>
        <v>1</v>
      </c>
      <c r="C161" s="14" t="str">
        <f>equip.xml!C165</f>
        <v>苍蓝挂坠</v>
      </c>
      <c r="D161" s="14" t="str">
        <f>equip.xml!D165</f>
        <v>项链</v>
      </c>
      <c r="E161" s="14">
        <f>equip.xml!E165</f>
        <v>10</v>
      </c>
      <c r="F161" s="14">
        <f>equip.xml!F165</f>
        <v>1</v>
      </c>
      <c r="G161" s="14">
        <f>equip.xml!G165</f>
        <v>35</v>
      </c>
      <c r="H161" s="14">
        <f>equip.xml!H165</f>
        <v>0</v>
      </c>
      <c r="I161" s="14">
        <f>equip.xml!J165</f>
        <v>5</v>
      </c>
      <c r="J161" s="14">
        <f>equip.xml!K165</f>
        <v>0</v>
      </c>
      <c r="K161" s="14">
        <f>equip.xml!L165</f>
        <v>0</v>
      </c>
      <c r="L161" s="14" t="str">
        <f>equip.xml!M165</f>
        <v>107_542_542</v>
      </c>
      <c r="M161" s="17" t="str">
        <f>equip.xml!Q165</f>
        <v>equipment/12006.png</v>
      </c>
      <c r="N161" s="16" t="str">
        <f>equip.xml!P165</f>
        <v>10000_1002_35000,30000_30001_1,30000_30002_1,30000_30003_1</v>
      </c>
      <c r="O161">
        <f>equip.xml!R165</f>
        <v>0</v>
      </c>
    </row>
    <row r="162" spans="1:15">
      <c r="A162" s="14" t="str">
        <f>equip.xml!A166</f>
        <v>10351050</v>
      </c>
      <c r="B162" s="14">
        <f>equip.xml!B166</f>
        <v>1</v>
      </c>
      <c r="C162" s="14" t="str">
        <f>equip.xml!C166</f>
        <v>水晶剑</v>
      </c>
      <c r="D162" s="14" t="str">
        <f>equip.xml!D166</f>
        <v>主手武器</v>
      </c>
      <c r="E162" s="14">
        <f>equip.xml!E166</f>
        <v>5</v>
      </c>
      <c r="F162" s="14">
        <f>equip.xml!F166</f>
        <v>1</v>
      </c>
      <c r="G162" s="14">
        <f>equip.xml!G166</f>
        <v>35</v>
      </c>
      <c r="H162" s="14" t="str">
        <f>equip.xml!H166</f>
        <v>1,1001</v>
      </c>
      <c r="I162" s="14">
        <f>equip.xml!J166</f>
        <v>5</v>
      </c>
      <c r="J162" s="14">
        <f>equip.xml!K166</f>
        <v>0</v>
      </c>
      <c r="K162" s="14">
        <f>equip.xml!L166</f>
        <v>0</v>
      </c>
      <c r="L162" s="14" t="str">
        <f>equip.xml!M166</f>
        <v>103_443_443,104_886_886</v>
      </c>
      <c r="M162" s="17" t="str">
        <f>equip.xml!Q166</f>
        <v>equipment/1114.png</v>
      </c>
      <c r="N162" s="16" t="str">
        <f>equip.xml!P166</f>
        <v>10000_1002_35000,30000_30001_1,30000_30002_1,30000_30003_1</v>
      </c>
      <c r="O162">
        <f>equip.xml!R166</f>
        <v>0</v>
      </c>
    </row>
    <row r="163" spans="1:15">
      <c r="A163" s="14" t="str">
        <f>equip.xml!A167</f>
        <v>10351051</v>
      </c>
      <c r="B163" s="14">
        <f>equip.xml!B167</f>
        <v>0</v>
      </c>
      <c r="C163" s="14" t="str">
        <f>equip.xml!C167</f>
        <v>军刀</v>
      </c>
      <c r="D163" s="14" t="str">
        <f>equip.xml!D167</f>
        <v>主手武器</v>
      </c>
      <c r="E163" s="14">
        <f>equip.xml!E167</f>
        <v>5</v>
      </c>
      <c r="F163" s="14">
        <f>equip.xml!F167</f>
        <v>1</v>
      </c>
      <c r="G163" s="14">
        <f>equip.xml!G167</f>
        <v>35</v>
      </c>
      <c r="H163" s="14" t="str">
        <f>equip.xml!H167</f>
        <v>1,1001</v>
      </c>
      <c r="I163" s="14">
        <f>equip.xml!J167</f>
        <v>5</v>
      </c>
      <c r="J163" s="14">
        <f>equip.xml!K167</f>
        <v>0</v>
      </c>
      <c r="K163" s="14">
        <f>equip.xml!L167</f>
        <v>0</v>
      </c>
      <c r="L163" s="14" t="str">
        <f>equip.xml!M167</f>
        <v>103_533_533,104_1066_1066</v>
      </c>
      <c r="M163" s="17" t="str">
        <f>equip.xml!Q167</f>
        <v>equipment/1101.png</v>
      </c>
      <c r="N163" s="16" t="str">
        <f>equip.xml!P167</f>
        <v>10000_1002_35000,30000_30001_1,30000_30002_1,30000_30003_1</v>
      </c>
      <c r="O163">
        <f>equip.xml!R167</f>
        <v>0</v>
      </c>
    </row>
    <row r="164" spans="1:15">
      <c r="A164" s="14" t="str">
        <f>equip.xml!A168</f>
        <v>10351060</v>
      </c>
      <c r="B164" s="14">
        <f>equip.xml!B168</f>
        <v>1</v>
      </c>
      <c r="C164" s="14" t="str">
        <f>equip.xml!C168</f>
        <v>符记盾牌</v>
      </c>
      <c r="D164" s="14" t="str">
        <f>equip.xml!D168</f>
        <v>副手武器</v>
      </c>
      <c r="E164" s="14">
        <f>equip.xml!E168</f>
        <v>6</v>
      </c>
      <c r="F164" s="14">
        <f>equip.xml!F168</f>
        <v>1</v>
      </c>
      <c r="G164" s="14">
        <f>equip.xml!G168</f>
        <v>35</v>
      </c>
      <c r="H164" s="14" t="str">
        <f>equip.xml!H168</f>
        <v>1,1001</v>
      </c>
      <c r="I164" s="14">
        <f>equip.xml!J168</f>
        <v>5</v>
      </c>
      <c r="J164" s="14">
        <f>equip.xml!K168</f>
        <v>0</v>
      </c>
      <c r="K164" s="14">
        <f>equip.xml!L168</f>
        <v>0</v>
      </c>
      <c r="L164" s="14" t="str">
        <f>equip.xml!M168</f>
        <v>105_676_676</v>
      </c>
      <c r="M164" s="17" t="str">
        <f>equip.xml!Q168</f>
        <v>equipment/2108.png</v>
      </c>
      <c r="N164" s="16" t="str">
        <f>equip.xml!P168</f>
        <v>10000_1002_35000,30000_30001_1,30000_30002_1,30000_30003_1</v>
      </c>
      <c r="O164">
        <f>equip.xml!R168</f>
        <v>0</v>
      </c>
    </row>
    <row r="165" spans="1:15">
      <c r="A165" s="14" t="str">
        <f>equip.xml!A169</f>
        <v>10351061</v>
      </c>
      <c r="B165" s="14">
        <f>equip.xml!B169</f>
        <v>1</v>
      </c>
      <c r="C165" s="14" t="str">
        <f>equip.xml!C169</f>
        <v>秩序盾牌</v>
      </c>
      <c r="D165" s="14" t="str">
        <f>equip.xml!D169</f>
        <v>副手武器</v>
      </c>
      <c r="E165" s="14">
        <f>equip.xml!E169</f>
        <v>6</v>
      </c>
      <c r="F165" s="14">
        <f>equip.xml!F169</f>
        <v>1</v>
      </c>
      <c r="G165" s="14">
        <f>equip.xml!G169</f>
        <v>35</v>
      </c>
      <c r="H165" s="14" t="str">
        <f>equip.xml!H169</f>
        <v>1,1001</v>
      </c>
      <c r="I165" s="14">
        <f>equip.xml!J169</f>
        <v>5</v>
      </c>
      <c r="J165" s="14">
        <f>equip.xml!K169</f>
        <v>0</v>
      </c>
      <c r="K165" s="14">
        <f>equip.xml!L169</f>
        <v>0</v>
      </c>
      <c r="L165" s="14" t="str">
        <f>equip.xml!M169</f>
        <v>105_758_758</v>
      </c>
      <c r="M165" s="17" t="str">
        <f>equip.xml!Q169</f>
        <v>equipment/2117.png</v>
      </c>
      <c r="N165" s="16" t="str">
        <f>equip.xml!P169</f>
        <v>10000_1002_35000,30000_30001_1,30000_30002_1,30000_30003_1</v>
      </c>
      <c r="O165">
        <f>equip.xml!R169</f>
        <v>0</v>
      </c>
    </row>
    <row r="166" spans="1:15">
      <c r="A166" s="14" t="str">
        <f>equip.xml!A170</f>
        <v>10352050</v>
      </c>
      <c r="B166" s="14">
        <f>equip.xml!B170</f>
        <v>1</v>
      </c>
      <c r="C166" s="14" t="str">
        <f>equip.xml!C170</f>
        <v>风语者弯弓</v>
      </c>
      <c r="D166" s="14" t="str">
        <f>equip.xml!D170</f>
        <v>主手武器</v>
      </c>
      <c r="E166" s="14">
        <f>equip.xml!E170</f>
        <v>5</v>
      </c>
      <c r="F166" s="14">
        <f>equip.xml!F170</f>
        <v>1</v>
      </c>
      <c r="G166" s="14">
        <f>equip.xml!G170</f>
        <v>35</v>
      </c>
      <c r="H166" s="14" t="str">
        <f>equip.xml!H170</f>
        <v>2,1002</v>
      </c>
      <c r="I166" s="14">
        <f>equip.xml!J170</f>
        <v>5</v>
      </c>
      <c r="J166" s="14">
        <f>equip.xml!K170</f>
        <v>0</v>
      </c>
      <c r="K166" s="14">
        <f>equip.xml!L170</f>
        <v>0</v>
      </c>
      <c r="L166" s="14" t="str">
        <f>equip.xml!M170</f>
        <v>103_443_443,104_886_886</v>
      </c>
      <c r="M166" s="17" t="str">
        <f>equip.xml!Q170</f>
        <v>equipment/1213.png</v>
      </c>
      <c r="N166" s="16" t="str">
        <f>equip.xml!P170</f>
        <v>10000_1002_35000,30000_30001_1,30000_30002_1,30000_30003_1</v>
      </c>
      <c r="O166">
        <f>equip.xml!R170</f>
        <v>0</v>
      </c>
    </row>
    <row r="167" spans="1:15">
      <c r="A167" s="14" t="str">
        <f>equip.xml!A171</f>
        <v>10352051</v>
      </c>
      <c r="B167" s="14">
        <f>equip.xml!B171</f>
        <v>0</v>
      </c>
      <c r="C167" s="14" t="str">
        <f>equip.xml!C171</f>
        <v>棘木弓</v>
      </c>
      <c r="D167" s="14" t="str">
        <f>equip.xml!D171</f>
        <v>主手武器</v>
      </c>
      <c r="E167" s="14">
        <f>equip.xml!E171</f>
        <v>5</v>
      </c>
      <c r="F167" s="14">
        <f>equip.xml!F171</f>
        <v>1</v>
      </c>
      <c r="G167" s="14">
        <f>equip.xml!G171</f>
        <v>35</v>
      </c>
      <c r="H167" s="14" t="str">
        <f>equip.xml!H171</f>
        <v>2,1002</v>
      </c>
      <c r="I167" s="14">
        <f>equip.xml!J171</f>
        <v>5</v>
      </c>
      <c r="J167" s="14">
        <f>equip.xml!K171</f>
        <v>0</v>
      </c>
      <c r="K167" s="14">
        <f>equip.xml!L171</f>
        <v>0</v>
      </c>
      <c r="L167" s="14" t="str">
        <f>equip.xml!M171</f>
        <v>103_533_533,104_1066_1066</v>
      </c>
      <c r="M167" s="17" t="str">
        <f>equip.xml!Q171</f>
        <v>equipment/1201.png</v>
      </c>
      <c r="N167" s="16" t="str">
        <f>equip.xml!P171</f>
        <v>10000_1002_35000,30000_30001_1,30000_30002_1,30000_30003_1</v>
      </c>
      <c r="O167">
        <f>equip.xml!R171</f>
        <v>0</v>
      </c>
    </row>
    <row r="168" spans="1:15">
      <c r="A168" s="14" t="str">
        <f>equip.xml!A172</f>
        <v>10352060</v>
      </c>
      <c r="B168" s="14">
        <f>equip.xml!B172</f>
        <v>1</v>
      </c>
      <c r="C168" s="14" t="str">
        <f>equip.xml!C172</f>
        <v>游侠箭筒</v>
      </c>
      <c r="D168" s="14" t="str">
        <f>equip.xml!D172</f>
        <v>副手武器</v>
      </c>
      <c r="E168" s="14">
        <f>equip.xml!E172</f>
        <v>6</v>
      </c>
      <c r="F168" s="14">
        <f>equip.xml!F172</f>
        <v>1</v>
      </c>
      <c r="G168" s="14">
        <f>equip.xml!G172</f>
        <v>35</v>
      </c>
      <c r="H168" s="14" t="str">
        <f>equip.xml!H172</f>
        <v>2,1002</v>
      </c>
      <c r="I168" s="14">
        <f>equip.xml!J172</f>
        <v>5</v>
      </c>
      <c r="J168" s="14">
        <f>equip.xml!K172</f>
        <v>0</v>
      </c>
      <c r="K168" s="14">
        <f>equip.xml!L172</f>
        <v>0</v>
      </c>
      <c r="L168" s="14" t="str">
        <f>equip.xml!M172</f>
        <v>108_676_676</v>
      </c>
      <c r="M168" s="17" t="str">
        <f>equip.xml!Q172</f>
        <v>equipment/2208.png</v>
      </c>
      <c r="N168" s="16" t="str">
        <f>equip.xml!P172</f>
        <v>10000_1002_35000,30000_30001_1,30000_30002_1,30000_30003_1</v>
      </c>
      <c r="O168">
        <f>equip.xml!R172</f>
        <v>0</v>
      </c>
    </row>
    <row r="169" spans="1:15">
      <c r="A169" s="14" t="str">
        <f>equip.xml!A173</f>
        <v>10352061</v>
      </c>
      <c r="B169" s="14">
        <f>equip.xml!B173</f>
        <v>1</v>
      </c>
      <c r="C169" s="14" t="str">
        <f>equip.xml!C173</f>
        <v>风行者箭筒</v>
      </c>
      <c r="D169" s="14" t="str">
        <f>equip.xml!D173</f>
        <v>副手武器</v>
      </c>
      <c r="E169" s="14">
        <f>equip.xml!E173</f>
        <v>6</v>
      </c>
      <c r="F169" s="14">
        <f>equip.xml!F173</f>
        <v>1</v>
      </c>
      <c r="G169" s="14">
        <f>equip.xml!G173</f>
        <v>35</v>
      </c>
      <c r="H169" s="14" t="str">
        <f>equip.xml!H173</f>
        <v>2,1002</v>
      </c>
      <c r="I169" s="14">
        <f>equip.xml!J173</f>
        <v>5</v>
      </c>
      <c r="J169" s="14">
        <f>equip.xml!K173</f>
        <v>0</v>
      </c>
      <c r="K169" s="14">
        <f>equip.xml!L173</f>
        <v>0</v>
      </c>
      <c r="L169" s="14" t="str">
        <f>equip.xml!M173</f>
        <v>108_758_758</v>
      </c>
      <c r="M169" s="17" t="str">
        <f>equip.xml!Q173</f>
        <v>equipment/2201.png</v>
      </c>
      <c r="N169" s="16" t="str">
        <f>equip.xml!P173</f>
        <v>10000_1002_35000,30000_30001_1,30000_30002_1,30000_30003_1</v>
      </c>
      <c r="O169">
        <f>equip.xml!R173</f>
        <v>0</v>
      </c>
    </row>
    <row r="170" spans="1:15">
      <c r="A170" s="14" t="str">
        <f>equip.xml!A174</f>
        <v>10353050</v>
      </c>
      <c r="B170" s="14">
        <f>equip.xml!B174</f>
        <v>1</v>
      </c>
      <c r="C170" s="14" t="str">
        <f>equip.xml!C174</f>
        <v>聚能之杖</v>
      </c>
      <c r="D170" s="14" t="str">
        <f>equip.xml!D174</f>
        <v>主手武器</v>
      </c>
      <c r="E170" s="14">
        <f>equip.xml!E174</f>
        <v>5</v>
      </c>
      <c r="F170" s="14">
        <f>equip.xml!F174</f>
        <v>1</v>
      </c>
      <c r="G170" s="14">
        <f>equip.xml!G174</f>
        <v>35</v>
      </c>
      <c r="H170" s="14" t="str">
        <f>equip.xml!H174</f>
        <v>3,1003</v>
      </c>
      <c r="I170" s="14">
        <f>equip.xml!J174</f>
        <v>5</v>
      </c>
      <c r="J170" s="14">
        <f>equip.xml!K174</f>
        <v>0</v>
      </c>
      <c r="K170" s="14">
        <f>equip.xml!L174</f>
        <v>0</v>
      </c>
      <c r="L170" s="14" t="str">
        <f>equip.xml!M174</f>
        <v>103_443_443,104_886_886</v>
      </c>
      <c r="M170" s="17" t="str">
        <f>equip.xml!Q174</f>
        <v>equipment/1314.png</v>
      </c>
      <c r="N170" s="16" t="str">
        <f>equip.xml!P174</f>
        <v>10000_1002_35000,30000_30001_1,30000_30002_1,30000_30003_1</v>
      </c>
      <c r="O170">
        <f>equip.xml!R174</f>
        <v>0</v>
      </c>
    </row>
    <row r="171" spans="1:15">
      <c r="A171" s="14" t="str">
        <f>equip.xml!A175</f>
        <v>10353051</v>
      </c>
      <c r="B171" s="14">
        <f>equip.xml!B175</f>
        <v>0</v>
      </c>
      <c r="C171" s="14" t="str">
        <f>equip.xml!C175</f>
        <v>学徒法杖</v>
      </c>
      <c r="D171" s="14" t="str">
        <f>equip.xml!D175</f>
        <v>主手武器</v>
      </c>
      <c r="E171" s="14">
        <f>equip.xml!E175</f>
        <v>5</v>
      </c>
      <c r="F171" s="14">
        <f>equip.xml!F175</f>
        <v>1</v>
      </c>
      <c r="G171" s="14">
        <f>equip.xml!G175</f>
        <v>35</v>
      </c>
      <c r="H171" s="14" t="str">
        <f>equip.xml!H175</f>
        <v>3,1003</v>
      </c>
      <c r="I171" s="14">
        <f>equip.xml!J175</f>
        <v>5</v>
      </c>
      <c r="J171" s="14">
        <f>equip.xml!K175</f>
        <v>0</v>
      </c>
      <c r="K171" s="14">
        <f>equip.xml!L175</f>
        <v>0</v>
      </c>
      <c r="L171" s="14" t="str">
        <f>equip.xml!M175</f>
        <v>103_533_533,104_1066_1066</v>
      </c>
      <c r="M171" s="17" t="str">
        <f>equip.xml!Q175</f>
        <v>equipment/1301.png</v>
      </c>
      <c r="N171" s="16" t="str">
        <f>equip.xml!P175</f>
        <v>10000_1002_35000,30000_30001_1,30000_30002_1,30000_30003_1</v>
      </c>
      <c r="O171">
        <f>equip.xml!R175</f>
        <v>0</v>
      </c>
    </row>
    <row r="172" spans="1:15">
      <c r="A172" s="14" t="str">
        <f>equip.xml!A176</f>
        <v>10353060</v>
      </c>
      <c r="B172" s="14">
        <f>equip.xml!B176</f>
        <v>1</v>
      </c>
      <c r="C172" s="14" t="str">
        <f>equip.xml!C176</f>
        <v>召唤魔典</v>
      </c>
      <c r="D172" s="14" t="str">
        <f>equip.xml!D176</f>
        <v>副手武器</v>
      </c>
      <c r="E172" s="14">
        <f>equip.xml!E176</f>
        <v>6</v>
      </c>
      <c r="F172" s="14">
        <f>equip.xml!F176</f>
        <v>1</v>
      </c>
      <c r="G172" s="14">
        <f>equip.xml!G176</f>
        <v>35</v>
      </c>
      <c r="H172" s="14" t="str">
        <f>equip.xml!H176</f>
        <v>3,1003</v>
      </c>
      <c r="I172" s="14">
        <f>equip.xml!J176</f>
        <v>5</v>
      </c>
      <c r="J172" s="14">
        <f>equip.xml!K176</f>
        <v>0</v>
      </c>
      <c r="K172" s="14">
        <f>equip.xml!L176</f>
        <v>0</v>
      </c>
      <c r="L172" s="14" t="str">
        <f>equip.xml!M176</f>
        <v>102_1040_1040</v>
      </c>
      <c r="M172" s="17" t="str">
        <f>equip.xml!Q176</f>
        <v>equipment/2308.png</v>
      </c>
      <c r="N172" s="16" t="str">
        <f>equip.xml!P176</f>
        <v>10000_1002_35000,30000_30001_1,30000_30002_1,30000_30003_1</v>
      </c>
      <c r="O172">
        <f>equip.xml!R176</f>
        <v>0</v>
      </c>
    </row>
    <row r="173" spans="1:15">
      <c r="A173" s="14" t="str">
        <f>equip.xml!A177</f>
        <v>10353061</v>
      </c>
      <c r="B173" s="14">
        <f>equip.xml!B177</f>
        <v>1</v>
      </c>
      <c r="C173" s="14" t="str">
        <f>equip.xml!C177</f>
        <v>大法师之书</v>
      </c>
      <c r="D173" s="14" t="str">
        <f>equip.xml!D177</f>
        <v>副手武器</v>
      </c>
      <c r="E173" s="14">
        <f>equip.xml!E177</f>
        <v>6</v>
      </c>
      <c r="F173" s="14">
        <f>equip.xml!F177</f>
        <v>1</v>
      </c>
      <c r="G173" s="14">
        <f>equip.xml!G177</f>
        <v>35</v>
      </c>
      <c r="H173" s="14" t="str">
        <f>equip.xml!H177</f>
        <v>3,1003</v>
      </c>
      <c r="I173" s="14">
        <f>equip.xml!J177</f>
        <v>5</v>
      </c>
      <c r="J173" s="14">
        <f>equip.xml!K177</f>
        <v>0</v>
      </c>
      <c r="K173" s="14">
        <f>equip.xml!L177</f>
        <v>0</v>
      </c>
      <c r="L173" s="14" t="str">
        <f>equip.xml!M177</f>
        <v>102_1120_1120</v>
      </c>
      <c r="M173" s="17" t="str">
        <f>equip.xml!Q177</f>
        <v>equipment/2314.png</v>
      </c>
      <c r="N173" s="16" t="str">
        <f>equip.xml!P177</f>
        <v>10000_1002_35000,30000_30001_1,30000_30002_1,30000_30003_1</v>
      </c>
      <c r="O173">
        <f>equip.xml!R177</f>
        <v>0</v>
      </c>
    </row>
    <row r="174" spans="1:15">
      <c r="A174" s="14" t="str">
        <f>equip.xml!A178</f>
        <v>10350040</v>
      </c>
      <c r="B174" s="14">
        <f>equip.xml!B178</f>
        <v>1</v>
      </c>
      <c r="C174" s="14" t="str">
        <f>equip.xml!C178</f>
        <v>蛮兽胸甲</v>
      </c>
      <c r="D174" s="14" t="str">
        <f>equip.xml!D178</f>
        <v>胸甲</v>
      </c>
      <c r="E174" s="14">
        <f>equip.xml!E178</f>
        <v>4</v>
      </c>
      <c r="F174" s="14">
        <f>equip.xml!F178</f>
        <v>1</v>
      </c>
      <c r="G174" s="14">
        <f>equip.xml!G178</f>
        <v>35</v>
      </c>
      <c r="H174" s="14">
        <f>equip.xml!H178</f>
        <v>0</v>
      </c>
      <c r="I174" s="14">
        <f>equip.xml!J178</f>
        <v>5</v>
      </c>
      <c r="J174" s="14">
        <f>equip.xml!K178</f>
        <v>0</v>
      </c>
      <c r="K174" s="14">
        <f>equip.xml!L178</f>
        <v>0</v>
      </c>
      <c r="L174" s="14" t="str">
        <f>equip.xml!M178</f>
        <v>105_293_293</v>
      </c>
      <c r="M174" s="17" t="str">
        <f>equip.xml!Q178</f>
        <v>equipment/5011.png</v>
      </c>
      <c r="N174" s="16" t="str">
        <f>equip.xml!P178</f>
        <v>10000_1002_35000,30000_30001_1,30000_30002_1,30000_30003_1</v>
      </c>
      <c r="O174">
        <f>equip.xml!R178</f>
        <v>0</v>
      </c>
    </row>
    <row r="175" spans="1:15">
      <c r="A175" s="14" t="str">
        <f>equip.xml!A179</f>
        <v>10350041</v>
      </c>
      <c r="B175" s="14">
        <f>equip.xml!B179</f>
        <v>1</v>
      </c>
      <c r="C175" s="14" t="str">
        <f>equip.xml!C179</f>
        <v>魔鳞外衣</v>
      </c>
      <c r="D175" s="14" t="str">
        <f>equip.xml!D179</f>
        <v>胸甲</v>
      </c>
      <c r="E175" s="14">
        <f>equip.xml!E179</f>
        <v>4</v>
      </c>
      <c r="F175" s="14">
        <f>equip.xml!F179</f>
        <v>1</v>
      </c>
      <c r="G175" s="14">
        <f>equip.xml!G179</f>
        <v>35</v>
      </c>
      <c r="H175" s="14">
        <f>equip.xml!H179</f>
        <v>0</v>
      </c>
      <c r="I175" s="14">
        <f>equip.xml!J179</f>
        <v>5</v>
      </c>
      <c r="J175" s="14">
        <f>equip.xml!K179</f>
        <v>0</v>
      </c>
      <c r="K175" s="14">
        <f>equip.xml!L179</f>
        <v>0</v>
      </c>
      <c r="L175" s="14" t="str">
        <f>equip.xml!M179</f>
        <v>105_375_375</v>
      </c>
      <c r="M175" s="17" t="str">
        <f>equip.xml!Q179</f>
        <v>equipment/5001.png</v>
      </c>
      <c r="N175" s="16" t="str">
        <f>equip.xml!P179</f>
        <v>10000_1002_35000,30000_30001_1,30000_30002_1,30000_30003_1</v>
      </c>
      <c r="O175">
        <f>equip.xml!R179</f>
        <v>0</v>
      </c>
    </row>
    <row r="176" spans="1:15">
      <c r="A176" s="14" t="str">
        <f>equip.xml!A180</f>
        <v>10350070</v>
      </c>
      <c r="B176" s="14">
        <f>equip.xml!B180</f>
        <v>1</v>
      </c>
      <c r="C176" s="14" t="str">
        <f>equip.xml!C180</f>
        <v>残忍腿甲</v>
      </c>
      <c r="D176" s="14" t="str">
        <f>equip.xml!D180</f>
        <v>护腿</v>
      </c>
      <c r="E176" s="14">
        <f>equip.xml!E180</f>
        <v>7</v>
      </c>
      <c r="F176" s="14">
        <f>equip.xml!F180</f>
        <v>1</v>
      </c>
      <c r="G176" s="14">
        <f>equip.xml!G180</f>
        <v>35</v>
      </c>
      <c r="H176" s="14">
        <f>equip.xml!H180</f>
        <v>0</v>
      </c>
      <c r="I176" s="14">
        <f>equip.xml!J180</f>
        <v>5</v>
      </c>
      <c r="J176" s="14">
        <f>equip.xml!K180</f>
        <v>0</v>
      </c>
      <c r="K176" s="14">
        <f>equip.xml!L180</f>
        <v>0</v>
      </c>
      <c r="L176" s="14" t="str">
        <f>equip.xml!M180</f>
        <v>105_293_293</v>
      </c>
      <c r="M176" s="17" t="str">
        <f>equip.xml!Q180</f>
        <v>equipment/7008.png</v>
      </c>
      <c r="N176" s="16" t="str">
        <f>equip.xml!P180</f>
        <v>10000_1002_35000,30000_30001_1,30000_30002_1,30000_30003_1</v>
      </c>
      <c r="O176">
        <f>equip.xml!R180</f>
        <v>0</v>
      </c>
    </row>
    <row r="177" spans="1:15">
      <c r="A177" s="14" t="str">
        <f>equip.xml!A181</f>
        <v>10350071</v>
      </c>
      <c r="B177" s="14">
        <f>equip.xml!B181</f>
        <v>0</v>
      </c>
      <c r="C177" s="14" t="str">
        <f>equip.xml!C181</f>
        <v>学徒短裤</v>
      </c>
      <c r="D177" s="14" t="str">
        <f>equip.xml!D181</f>
        <v>护腿</v>
      </c>
      <c r="E177" s="14">
        <f>equip.xml!E181</f>
        <v>7</v>
      </c>
      <c r="F177" s="14">
        <f>equip.xml!F181</f>
        <v>1</v>
      </c>
      <c r="G177" s="14">
        <f>equip.xml!G181</f>
        <v>35</v>
      </c>
      <c r="H177" s="14">
        <f>equip.xml!H181</f>
        <v>0</v>
      </c>
      <c r="I177" s="14">
        <f>equip.xml!J181</f>
        <v>5</v>
      </c>
      <c r="J177" s="14">
        <f>equip.xml!K181</f>
        <v>0</v>
      </c>
      <c r="K177" s="14">
        <f>equip.xml!L181</f>
        <v>0</v>
      </c>
      <c r="L177" s="14" t="str">
        <f>equip.xml!M181</f>
        <v>105_331_331</v>
      </c>
      <c r="M177" s="17" t="str">
        <f>equip.xml!Q181</f>
        <v>equipment/7001.png</v>
      </c>
      <c r="N177" s="16" t="str">
        <f>equip.xml!P181</f>
        <v>10000_1002_35000,30000_30001_1,30000_30002_1,30000_30003_1</v>
      </c>
      <c r="O177">
        <f>equip.xml!R181</f>
        <v>0</v>
      </c>
    </row>
    <row r="178" spans="1:15">
      <c r="A178" s="14" t="str">
        <f>equip.xml!A182</f>
        <v>10400010</v>
      </c>
      <c r="B178" s="14">
        <f>equip.xml!B182</f>
        <v>1</v>
      </c>
      <c r="C178" s="14" t="str">
        <f>equip.xml!C182</f>
        <v>烈焰头罩</v>
      </c>
      <c r="D178" s="14" t="str">
        <f>equip.xml!D182</f>
        <v>头盔</v>
      </c>
      <c r="E178" s="14">
        <f>equip.xml!E182</f>
        <v>1</v>
      </c>
      <c r="F178" s="14">
        <f>equip.xml!F182</f>
        <v>1</v>
      </c>
      <c r="G178" s="14">
        <f>equip.xml!G182</f>
        <v>40</v>
      </c>
      <c r="H178" s="14">
        <f>equip.xml!H182</f>
        <v>0</v>
      </c>
      <c r="I178" s="14">
        <f>equip.xml!J182</f>
        <v>5</v>
      </c>
      <c r="J178" s="14">
        <f>equip.xml!K182</f>
        <v>0</v>
      </c>
      <c r="K178" s="14">
        <f>equip.xml!L182</f>
        <v>0</v>
      </c>
      <c r="L178" s="14" t="str">
        <f>equip.xml!M182</f>
        <v>106_751_751</v>
      </c>
      <c r="M178" s="17" t="str">
        <f>equip.xml!Q182</f>
        <v>equipment/3007.png</v>
      </c>
      <c r="N178" s="16" t="str">
        <f>equip.xml!P182</f>
        <v>10000_1002_40000,30000_30001_1,30000_30002_1,30000_30003_1</v>
      </c>
      <c r="O178">
        <f>equip.xml!R182</f>
        <v>0</v>
      </c>
    </row>
    <row r="179" spans="1:15">
      <c r="A179" s="14" t="str">
        <f>equip.xml!A183</f>
        <v>10400020</v>
      </c>
      <c r="B179" s="14">
        <f>equip.xml!B183</f>
        <v>1</v>
      </c>
      <c r="C179" s="14" t="str">
        <f>equip.xml!C183</f>
        <v>龙纹戒指</v>
      </c>
      <c r="D179" s="14" t="str">
        <f>equip.xml!D183</f>
        <v>戒指</v>
      </c>
      <c r="E179" s="14">
        <f>equip.xml!E183</f>
        <v>2</v>
      </c>
      <c r="F179" s="14">
        <f>equip.xml!F183</f>
        <v>1</v>
      </c>
      <c r="G179" s="14">
        <f>equip.xml!G183</f>
        <v>40</v>
      </c>
      <c r="H179" s="14">
        <f>equip.xml!H183</f>
        <v>0</v>
      </c>
      <c r="I179" s="14">
        <f>equip.xml!J183</f>
        <v>5</v>
      </c>
      <c r="J179" s="14">
        <f>equip.xml!K183</f>
        <v>0</v>
      </c>
      <c r="K179" s="14">
        <f>equip.xml!L183</f>
        <v>0</v>
      </c>
      <c r="L179" s="14" t="str">
        <f>equip.xml!M183</f>
        <v>102_740_740</v>
      </c>
      <c r="M179" s="17" t="str">
        <f>equip.xml!Q183</f>
        <v>equipment/14007.png</v>
      </c>
      <c r="N179" s="16" t="str">
        <f>equip.xml!P183</f>
        <v>10000_1002_40000,30000_30001_1,30000_30002_1,30000_30003_1</v>
      </c>
      <c r="O179">
        <f>equip.xml!R183</f>
        <v>0</v>
      </c>
    </row>
    <row r="180" spans="1:15">
      <c r="A180" s="14" t="str">
        <f>equip.xml!A184</f>
        <v>10400030</v>
      </c>
      <c r="B180" s="14">
        <f>equip.xml!B184</f>
        <v>1</v>
      </c>
      <c r="C180" s="14" t="str">
        <f>equip.xml!C184</f>
        <v>力量腰带</v>
      </c>
      <c r="D180" s="14" t="str">
        <f>equip.xml!D184</f>
        <v>腰带</v>
      </c>
      <c r="E180" s="14">
        <f>equip.xml!E184</f>
        <v>3</v>
      </c>
      <c r="F180" s="14">
        <f>equip.xml!F184</f>
        <v>1</v>
      </c>
      <c r="G180" s="14">
        <f>equip.xml!G184</f>
        <v>40</v>
      </c>
      <c r="H180" s="14">
        <f>equip.xml!H184</f>
        <v>0</v>
      </c>
      <c r="I180" s="14">
        <f>equip.xml!J184</f>
        <v>5</v>
      </c>
      <c r="J180" s="14">
        <f>equip.xml!K184</f>
        <v>0</v>
      </c>
      <c r="K180" s="14">
        <f>equip.xml!L184</f>
        <v>0</v>
      </c>
      <c r="L180" s="14" t="str">
        <f>equip.xml!M184</f>
        <v>101_6720_6720</v>
      </c>
      <c r="M180" s="17" t="str">
        <f>equip.xml!Q184</f>
        <v>equipment/6007.png</v>
      </c>
      <c r="N180" s="16" t="str">
        <f>equip.xml!P184</f>
        <v>10000_1002_40000,30000_30001_1,30000_30002_1,30000_30003_1</v>
      </c>
      <c r="O180">
        <f>equip.xml!R184</f>
        <v>0</v>
      </c>
    </row>
    <row r="181" spans="1:15">
      <c r="A181" s="14" t="str">
        <f>equip.xml!A185</f>
        <v>10400080</v>
      </c>
      <c r="B181" s="14">
        <f>equip.xml!B185</f>
        <v>1</v>
      </c>
      <c r="C181" s="14" t="str">
        <f>equip.xml!C185</f>
        <v>征战之靴</v>
      </c>
      <c r="D181" s="14" t="str">
        <f>equip.xml!D185</f>
        <v>鞋子</v>
      </c>
      <c r="E181" s="14">
        <f>equip.xml!E185</f>
        <v>8</v>
      </c>
      <c r="F181" s="14">
        <f>equip.xml!F185</f>
        <v>1</v>
      </c>
      <c r="G181" s="14">
        <f>equip.xml!G185</f>
        <v>40</v>
      </c>
      <c r="H181" s="14">
        <f>equip.xml!H185</f>
        <v>0</v>
      </c>
      <c r="I181" s="14">
        <f>equip.xml!J185</f>
        <v>5</v>
      </c>
      <c r="J181" s="14">
        <f>equip.xml!K185</f>
        <v>0</v>
      </c>
      <c r="K181" s="14">
        <f>equip.xml!L185</f>
        <v>0</v>
      </c>
      <c r="L181" s="14" t="str">
        <f>equip.xml!M185</f>
        <v>110_108_108</v>
      </c>
      <c r="M181" s="17" t="str">
        <f>equip.xml!Q185</f>
        <v>equipment/8007.png</v>
      </c>
      <c r="N181" s="16" t="str">
        <f>equip.xml!P185</f>
        <v>10000_1002_40000,30000_30001_1,30000_30002_1,30000_30003_1</v>
      </c>
      <c r="O181">
        <f>equip.xml!R185</f>
        <v>0</v>
      </c>
    </row>
    <row r="182" spans="1:15">
      <c r="A182" s="14" t="str">
        <f>equip.xml!A186</f>
        <v>10400090</v>
      </c>
      <c r="B182" s="14">
        <f>equip.xml!B186</f>
        <v>1</v>
      </c>
      <c r="C182" s="14" t="str">
        <f>equip.xml!C186</f>
        <v>重拳手套</v>
      </c>
      <c r="D182" s="14" t="str">
        <f>equip.xml!D186</f>
        <v>手套</v>
      </c>
      <c r="E182" s="14">
        <f>equip.xml!E186</f>
        <v>9</v>
      </c>
      <c r="F182" s="14">
        <f>equip.xml!F186</f>
        <v>1</v>
      </c>
      <c r="G182" s="14">
        <f>equip.xml!G186</f>
        <v>40</v>
      </c>
      <c r="H182" s="14">
        <f>equip.xml!H186</f>
        <v>0</v>
      </c>
      <c r="I182" s="14">
        <f>equip.xml!J186</f>
        <v>5</v>
      </c>
      <c r="J182" s="14">
        <f>equip.xml!K186</f>
        <v>0</v>
      </c>
      <c r="K182" s="14">
        <f>equip.xml!L186</f>
        <v>0</v>
      </c>
      <c r="L182" s="14" t="str">
        <f>equip.xml!M186</f>
        <v>108_880_880</v>
      </c>
      <c r="M182" s="17" t="str">
        <f>equip.xml!Q186</f>
        <v>equipment/10007.png</v>
      </c>
      <c r="N182" s="16" t="str">
        <f>equip.xml!P186</f>
        <v>10000_1002_40000,30000_30001_1,30000_30002_1,30000_30003_1</v>
      </c>
      <c r="O182">
        <f>equip.xml!R186</f>
        <v>0</v>
      </c>
    </row>
    <row r="183" spans="1:15">
      <c r="A183" s="14" t="str">
        <f>equip.xml!A187</f>
        <v>10400100</v>
      </c>
      <c r="B183" s="14">
        <f>equip.xml!B187</f>
        <v>1</v>
      </c>
      <c r="C183" s="14" t="str">
        <f>equip.xml!C187</f>
        <v>迅捷项链</v>
      </c>
      <c r="D183" s="14" t="str">
        <f>equip.xml!D187</f>
        <v>项链</v>
      </c>
      <c r="E183" s="14">
        <f>equip.xml!E187</f>
        <v>10</v>
      </c>
      <c r="F183" s="14">
        <f>equip.xml!F187</f>
        <v>1</v>
      </c>
      <c r="G183" s="14">
        <f>equip.xml!G187</f>
        <v>40</v>
      </c>
      <c r="H183" s="14">
        <f>equip.xml!H187</f>
        <v>0</v>
      </c>
      <c r="I183" s="14">
        <f>equip.xml!J187</f>
        <v>5</v>
      </c>
      <c r="J183" s="14">
        <f>equip.xml!K187</f>
        <v>0</v>
      </c>
      <c r="K183" s="14">
        <f>equip.xml!L187</f>
        <v>0</v>
      </c>
      <c r="L183" s="14" t="str">
        <f>equip.xml!M187</f>
        <v>107_542_542</v>
      </c>
      <c r="M183" s="17" t="str">
        <f>equip.xml!Q187</f>
        <v>equipment/12012.png</v>
      </c>
      <c r="N183" s="16" t="str">
        <f>equip.xml!P187</f>
        <v>10000_1002_40000,30000_30001_1,30000_30002_1,30000_30003_1</v>
      </c>
      <c r="O183">
        <f>equip.xml!R187</f>
        <v>0</v>
      </c>
    </row>
    <row r="184" spans="1:15">
      <c r="A184" s="14" t="str">
        <f>equip.xml!A188</f>
        <v>10401050</v>
      </c>
      <c r="B184" s="14">
        <f>equip.xml!B188</f>
        <v>1</v>
      </c>
      <c r="C184" s="14" t="str">
        <f>equip.xml!C188</f>
        <v>魔铁巨剑</v>
      </c>
      <c r="D184" s="14" t="str">
        <f>equip.xml!D188</f>
        <v>主手武器</v>
      </c>
      <c r="E184" s="14">
        <f>equip.xml!E188</f>
        <v>5</v>
      </c>
      <c r="F184" s="14">
        <f>equip.xml!F188</f>
        <v>1</v>
      </c>
      <c r="G184" s="14">
        <f>equip.xml!G188</f>
        <v>40</v>
      </c>
      <c r="H184" s="14" t="str">
        <f>equip.xml!H188</f>
        <v>1,1001</v>
      </c>
      <c r="I184" s="14">
        <f>equip.xml!J188</f>
        <v>5</v>
      </c>
      <c r="J184" s="14">
        <f>equip.xml!K188</f>
        <v>0</v>
      </c>
      <c r="K184" s="14">
        <f>equip.xml!L188</f>
        <v>0</v>
      </c>
      <c r="L184" s="14" t="str">
        <f>equip.xml!M188</f>
        <v>103_670_670,104_1340_1340</v>
      </c>
      <c r="M184" s="17" t="str">
        <f>equip.xml!Q188</f>
        <v>equipment/1115.png</v>
      </c>
      <c r="N184" s="16" t="str">
        <f>equip.xml!P188</f>
        <v>10000_1002_40000,30000_30001_1,30000_30002_1,30000_30003_1</v>
      </c>
      <c r="O184">
        <f>equip.xml!R188</f>
        <v>0</v>
      </c>
    </row>
    <row r="185" spans="1:15">
      <c r="A185" s="14" t="str">
        <f>equip.xml!A189</f>
        <v>10401051</v>
      </c>
      <c r="B185" s="14">
        <f>equip.xml!B189</f>
        <v>1</v>
      </c>
      <c r="C185" s="14" t="str">
        <f>equip.xml!C189</f>
        <v>破咒之刃</v>
      </c>
      <c r="D185" s="14" t="str">
        <f>equip.xml!D189</f>
        <v>主手武器</v>
      </c>
      <c r="E185" s="14">
        <f>equip.xml!E189</f>
        <v>5</v>
      </c>
      <c r="F185" s="14">
        <f>equip.xml!F189</f>
        <v>1</v>
      </c>
      <c r="G185" s="14">
        <f>equip.xml!G189</f>
        <v>40</v>
      </c>
      <c r="H185" s="14" t="str">
        <f>equip.xml!H189</f>
        <v>1,1001</v>
      </c>
      <c r="I185" s="14">
        <f>equip.xml!J189</f>
        <v>5</v>
      </c>
      <c r="J185" s="14">
        <f>equip.xml!K189</f>
        <v>0</v>
      </c>
      <c r="K185" s="14">
        <f>equip.xml!L189</f>
        <v>0</v>
      </c>
      <c r="L185" s="14" t="str">
        <f>equip.xml!M189</f>
        <v>103_743_743,104_1486_1486</v>
      </c>
      <c r="M185" s="17" t="str">
        <f>equip.xml!Q189</f>
        <v>equipment/1116.png</v>
      </c>
      <c r="N185" s="16" t="str">
        <f>equip.xml!P189</f>
        <v>10000_1002_40000,30000_30001_1,30000_30002_1,30000_30003_1</v>
      </c>
      <c r="O185">
        <f>equip.xml!R189</f>
        <v>0</v>
      </c>
    </row>
    <row r="186" spans="1:15">
      <c r="A186" s="14" t="str">
        <f>equip.xml!A190</f>
        <v>10401060</v>
      </c>
      <c r="B186" s="14">
        <f>equip.xml!B190</f>
        <v>1</v>
      </c>
      <c r="C186" s="14" t="str">
        <f>equip.xml!C190</f>
        <v>洛阿巨盾</v>
      </c>
      <c r="D186" s="14" t="str">
        <f>equip.xml!D190</f>
        <v>副手武器</v>
      </c>
      <c r="E186" s="14">
        <f>equip.xml!E190</f>
        <v>6</v>
      </c>
      <c r="F186" s="14">
        <f>equip.xml!F190</f>
        <v>1</v>
      </c>
      <c r="G186" s="14">
        <f>equip.xml!G190</f>
        <v>40</v>
      </c>
      <c r="H186" s="14" t="str">
        <f>equip.xml!H190</f>
        <v>1,1001</v>
      </c>
      <c r="I186" s="14">
        <f>equip.xml!J190</f>
        <v>5</v>
      </c>
      <c r="J186" s="14">
        <f>equip.xml!K190</f>
        <v>0</v>
      </c>
      <c r="K186" s="14">
        <f>equip.xml!L190</f>
        <v>0</v>
      </c>
      <c r="L186" s="14" t="str">
        <f>equip.xml!M190</f>
        <v>105_880_880</v>
      </c>
      <c r="M186" s="17" t="str">
        <f>equip.xml!Q190</f>
        <v>equipment/2109.png</v>
      </c>
      <c r="N186" s="16" t="str">
        <f>equip.xml!P190</f>
        <v>10000_1002_40000,30000_30001_1,30000_30002_1,30000_30003_1</v>
      </c>
      <c r="O186">
        <f>equip.xml!R190</f>
        <v>0</v>
      </c>
    </row>
    <row r="187" spans="1:15">
      <c r="A187" s="14" t="str">
        <f>equip.xml!A191</f>
        <v>10401061</v>
      </c>
      <c r="B187" s="14">
        <f>equip.xml!B191</f>
        <v>0</v>
      </c>
      <c r="C187" s="14" t="str">
        <f>equip.xml!C191</f>
        <v>尖头盾</v>
      </c>
      <c r="D187" s="14" t="str">
        <f>equip.xml!D191</f>
        <v>副手武器</v>
      </c>
      <c r="E187" s="14">
        <f>equip.xml!E191</f>
        <v>6</v>
      </c>
      <c r="F187" s="14">
        <f>equip.xml!F191</f>
        <v>1</v>
      </c>
      <c r="G187" s="14">
        <f>equip.xml!G191</f>
        <v>40</v>
      </c>
      <c r="H187" s="14" t="str">
        <f>equip.xml!H191</f>
        <v>1,1001</v>
      </c>
      <c r="I187" s="14">
        <f>equip.xml!J191</f>
        <v>5</v>
      </c>
      <c r="J187" s="14">
        <f>equip.xml!K191</f>
        <v>0</v>
      </c>
      <c r="K187" s="14">
        <f>equip.xml!L191</f>
        <v>0</v>
      </c>
      <c r="L187" s="14" t="str">
        <f>equip.xml!M191</f>
        <v>105_1029_1029</v>
      </c>
      <c r="M187" s="17" t="str">
        <f>equip.xml!Q191</f>
        <v>equipment/2101.png</v>
      </c>
      <c r="N187" s="16" t="str">
        <f>equip.xml!P191</f>
        <v>10000_1002_40000,30000_30001_1,30000_30002_1,30000_30003_1</v>
      </c>
      <c r="O187">
        <f>equip.xml!R191</f>
        <v>0</v>
      </c>
    </row>
    <row r="188" spans="1:15">
      <c r="A188" s="14" t="str">
        <f>equip.xml!A192</f>
        <v>10402050</v>
      </c>
      <c r="B188" s="14">
        <f>equip.xml!B192</f>
        <v>1</v>
      </c>
      <c r="C188" s="14" t="str">
        <f>equip.xml!C192</f>
        <v>强击之弓</v>
      </c>
      <c r="D188" s="14" t="str">
        <f>equip.xml!D192</f>
        <v>主手武器</v>
      </c>
      <c r="E188" s="14">
        <f>equip.xml!E192</f>
        <v>5</v>
      </c>
      <c r="F188" s="14">
        <f>equip.xml!F192</f>
        <v>1</v>
      </c>
      <c r="G188" s="14">
        <f>equip.xml!G192</f>
        <v>40</v>
      </c>
      <c r="H188" s="14" t="str">
        <f>equip.xml!H192</f>
        <v>2,1002</v>
      </c>
      <c r="I188" s="14">
        <f>equip.xml!J192</f>
        <v>5</v>
      </c>
      <c r="J188" s="14">
        <f>equip.xml!K192</f>
        <v>0</v>
      </c>
      <c r="K188" s="14">
        <f>equip.xml!L192</f>
        <v>0</v>
      </c>
      <c r="L188" s="14" t="str">
        <f>equip.xml!M192</f>
        <v>103_670_670,104_1340_1340</v>
      </c>
      <c r="M188" s="17" t="str">
        <f>equip.xml!Q192</f>
        <v>equipment/1216.png</v>
      </c>
      <c r="N188" s="16" t="str">
        <f>equip.xml!P192</f>
        <v>10000_1002_40000,30000_30001_1,30000_30002_1,30000_30003_1</v>
      </c>
      <c r="O188">
        <f>equip.xml!R192</f>
        <v>0</v>
      </c>
    </row>
    <row r="189" spans="1:15">
      <c r="A189" s="14" t="str">
        <f>equip.xml!A193</f>
        <v>10402051</v>
      </c>
      <c r="B189" s="14">
        <f>equip.xml!B193</f>
        <v>1</v>
      </c>
      <c r="C189" s="14" t="str">
        <f>equip.xml!C193</f>
        <v>羽月长弓</v>
      </c>
      <c r="D189" s="14" t="str">
        <f>equip.xml!D193</f>
        <v>主手武器</v>
      </c>
      <c r="E189" s="14">
        <f>equip.xml!E193</f>
        <v>5</v>
      </c>
      <c r="F189" s="14">
        <f>equip.xml!F193</f>
        <v>1</v>
      </c>
      <c r="G189" s="14">
        <f>equip.xml!G193</f>
        <v>40</v>
      </c>
      <c r="H189" s="14" t="str">
        <f>equip.xml!H193</f>
        <v>2,1002</v>
      </c>
      <c r="I189" s="14">
        <f>equip.xml!J193</f>
        <v>5</v>
      </c>
      <c r="J189" s="14">
        <f>equip.xml!K193</f>
        <v>0</v>
      </c>
      <c r="K189" s="14">
        <f>equip.xml!L193</f>
        <v>0</v>
      </c>
      <c r="L189" s="14" t="str">
        <f>equip.xml!M193</f>
        <v>103_743_743,104_1486_1486</v>
      </c>
      <c r="M189" s="17" t="str">
        <f>equip.xml!Q193</f>
        <v>equipment/1214.png</v>
      </c>
      <c r="N189" s="16" t="str">
        <f>equip.xml!P193</f>
        <v>10000_1002_40000,30000_30001_1,30000_30002_1,30000_30003_1</v>
      </c>
      <c r="O189">
        <f>equip.xml!R193</f>
        <v>0</v>
      </c>
    </row>
    <row r="190" spans="1:15">
      <c r="A190" s="14" t="str">
        <f>equip.xml!A194</f>
        <v>10402060</v>
      </c>
      <c r="B190" s="14">
        <f>equip.xml!B194</f>
        <v>1</v>
      </c>
      <c r="C190" s="14" t="str">
        <f>equip.xml!C194</f>
        <v>风怒箭筒</v>
      </c>
      <c r="D190" s="14" t="str">
        <f>equip.xml!D194</f>
        <v>副手武器</v>
      </c>
      <c r="E190" s="14">
        <f>equip.xml!E194</f>
        <v>6</v>
      </c>
      <c r="F190" s="14">
        <f>equip.xml!F194</f>
        <v>1</v>
      </c>
      <c r="G190" s="14">
        <f>equip.xml!G194</f>
        <v>40</v>
      </c>
      <c r="H190" s="14" t="str">
        <f>equip.xml!H194</f>
        <v>2,1002</v>
      </c>
      <c r="I190" s="14">
        <f>equip.xml!J194</f>
        <v>5</v>
      </c>
      <c r="J190" s="14">
        <f>equip.xml!K194</f>
        <v>0</v>
      </c>
      <c r="K190" s="14">
        <f>equip.xml!L194</f>
        <v>0</v>
      </c>
      <c r="L190" s="14" t="str">
        <f>equip.xml!M194</f>
        <v>108_880_880</v>
      </c>
      <c r="M190" s="17" t="str">
        <f>equip.xml!Q194</f>
        <v>equipment/2209.png</v>
      </c>
      <c r="N190" s="16" t="str">
        <f>equip.xml!P194</f>
        <v>10000_1002_40000,30000_30001_1,30000_30002_1,30000_30003_1</v>
      </c>
      <c r="O190">
        <f>equip.xml!R194</f>
        <v>0</v>
      </c>
    </row>
    <row r="191" spans="1:15">
      <c r="A191" s="14" t="str">
        <f>equip.xml!A195</f>
        <v>10402061</v>
      </c>
      <c r="B191" s="14">
        <f>equip.xml!B195</f>
        <v>0</v>
      </c>
      <c r="C191" s="14" t="str">
        <f>equip.xml!C195</f>
        <v>箭筒</v>
      </c>
      <c r="D191" s="14" t="str">
        <f>equip.xml!D195</f>
        <v>副手武器</v>
      </c>
      <c r="E191" s="14">
        <f>equip.xml!E195</f>
        <v>6</v>
      </c>
      <c r="F191" s="14">
        <f>equip.xml!F195</f>
        <v>1</v>
      </c>
      <c r="G191" s="14">
        <f>equip.xml!G195</f>
        <v>40</v>
      </c>
      <c r="H191" s="14" t="str">
        <f>equip.xml!H195</f>
        <v>2,1002</v>
      </c>
      <c r="I191" s="14">
        <f>equip.xml!J195</f>
        <v>5</v>
      </c>
      <c r="J191" s="14">
        <f>equip.xml!K195</f>
        <v>0</v>
      </c>
      <c r="K191" s="14">
        <f>equip.xml!L195</f>
        <v>0</v>
      </c>
      <c r="L191" s="14" t="str">
        <f>equip.xml!M195</f>
        <v>108_1029_1029</v>
      </c>
      <c r="M191" s="17" t="str">
        <f>equip.xml!Q195</f>
        <v>equipment/2201.png</v>
      </c>
      <c r="N191" s="16" t="str">
        <f>equip.xml!P195</f>
        <v>10000_1002_40000,30000_30001_1,30000_30002_1,30000_30003_1</v>
      </c>
      <c r="O191">
        <f>equip.xml!R195</f>
        <v>0</v>
      </c>
    </row>
    <row r="192" spans="1:15">
      <c r="A192" s="14" t="str">
        <f>equip.xml!A196</f>
        <v>10403050</v>
      </c>
      <c r="B192" s="14">
        <f>equip.xml!B196</f>
        <v>1</v>
      </c>
      <c r="C192" s="14" t="str">
        <f>equip.xml!C196</f>
        <v>符文魔杖</v>
      </c>
      <c r="D192" s="14" t="str">
        <f>equip.xml!D196</f>
        <v>主手武器</v>
      </c>
      <c r="E192" s="14">
        <f>equip.xml!E196</f>
        <v>5</v>
      </c>
      <c r="F192" s="14">
        <f>equip.xml!F196</f>
        <v>1</v>
      </c>
      <c r="G192" s="14">
        <f>equip.xml!G196</f>
        <v>40</v>
      </c>
      <c r="H192" s="14" t="str">
        <f>equip.xml!H196</f>
        <v>3,1003</v>
      </c>
      <c r="I192" s="14">
        <f>equip.xml!J196</f>
        <v>5</v>
      </c>
      <c r="J192" s="14">
        <f>equip.xml!K196</f>
        <v>0</v>
      </c>
      <c r="K192" s="14">
        <f>equip.xml!L196</f>
        <v>0</v>
      </c>
      <c r="L192" s="14" t="str">
        <f>equip.xml!M196</f>
        <v>103_670_670,104_1340_1340</v>
      </c>
      <c r="M192" s="17" t="str">
        <f>equip.xml!Q196</f>
        <v>equipment/1317.png</v>
      </c>
      <c r="N192" s="16" t="str">
        <f>equip.xml!P196</f>
        <v>10000_1002_40000,30000_30001_1,30000_30002_1,30000_30003_1</v>
      </c>
      <c r="O192">
        <f>equip.xml!R196</f>
        <v>0</v>
      </c>
    </row>
    <row r="193" spans="1:15">
      <c r="A193" s="14" t="str">
        <f>equip.xml!A197</f>
        <v>10403051</v>
      </c>
      <c r="B193" s="14">
        <f>equip.xml!B197</f>
        <v>1</v>
      </c>
      <c r="C193" s="14" t="str">
        <f>equip.xml!C197</f>
        <v>真理之杖</v>
      </c>
      <c r="D193" s="14" t="str">
        <f>equip.xml!D197</f>
        <v>主手武器</v>
      </c>
      <c r="E193" s="14">
        <f>equip.xml!E197</f>
        <v>5</v>
      </c>
      <c r="F193" s="14">
        <f>equip.xml!F197</f>
        <v>1</v>
      </c>
      <c r="G193" s="14">
        <f>equip.xml!G197</f>
        <v>40</v>
      </c>
      <c r="H193" s="14" t="str">
        <f>equip.xml!H197</f>
        <v>3,1003</v>
      </c>
      <c r="I193" s="14">
        <f>equip.xml!J197</f>
        <v>5</v>
      </c>
      <c r="J193" s="14">
        <f>equip.xml!K197</f>
        <v>0</v>
      </c>
      <c r="K193" s="14">
        <f>equip.xml!L197</f>
        <v>0</v>
      </c>
      <c r="L193" s="14" t="str">
        <f>equip.xml!M197</f>
        <v>103_743_743,104_1486_1486</v>
      </c>
      <c r="M193" s="17" t="str">
        <f>equip.xml!Q197</f>
        <v>equipment/1315.png</v>
      </c>
      <c r="N193" s="16" t="str">
        <f>equip.xml!P197</f>
        <v>10000_1002_40000,30000_30001_1,30000_30002_1,30000_30003_1</v>
      </c>
      <c r="O193">
        <f>equip.xml!R197</f>
        <v>0</v>
      </c>
    </row>
    <row r="194" spans="1:15">
      <c r="A194" s="14" t="str">
        <f>equip.xml!A198</f>
        <v>10403060</v>
      </c>
      <c r="B194" s="14">
        <f>equip.xml!B198</f>
        <v>1</v>
      </c>
      <c r="C194" s="14" t="str">
        <f>equip.xml!C198</f>
        <v>附魔秘典</v>
      </c>
      <c r="D194" s="14" t="str">
        <f>equip.xml!D198</f>
        <v>副手武器</v>
      </c>
      <c r="E194" s="14">
        <f>equip.xml!E198</f>
        <v>6</v>
      </c>
      <c r="F194" s="14">
        <f>equip.xml!F198</f>
        <v>1</v>
      </c>
      <c r="G194" s="14">
        <f>equip.xml!G198</f>
        <v>40</v>
      </c>
      <c r="H194" s="14" t="str">
        <f>equip.xml!H198</f>
        <v>3,1003</v>
      </c>
      <c r="I194" s="14">
        <f>equip.xml!J198</f>
        <v>5</v>
      </c>
      <c r="J194" s="14">
        <f>equip.xml!K198</f>
        <v>0</v>
      </c>
      <c r="K194" s="14">
        <f>equip.xml!L198</f>
        <v>0</v>
      </c>
      <c r="L194" s="14" t="str">
        <f>equip.xml!M198</f>
        <v>102_1240_1240</v>
      </c>
      <c r="M194" s="17" t="str">
        <f>equip.xml!Q198</f>
        <v>equipment/2309.png</v>
      </c>
      <c r="N194" s="16" t="str">
        <f>equip.xml!P198</f>
        <v>10000_1002_40000,30000_30001_1,30000_30002_1,30000_30003_1</v>
      </c>
      <c r="O194">
        <f>equip.xml!R198</f>
        <v>0</v>
      </c>
    </row>
    <row r="195" spans="1:15">
      <c r="A195" s="14" t="str">
        <f>equip.xml!A199</f>
        <v>10403061</v>
      </c>
      <c r="B195" s="14">
        <f>equip.xml!B199</f>
        <v>0</v>
      </c>
      <c r="C195" s="14" t="str">
        <f>equip.xml!C199</f>
        <v>法术指南</v>
      </c>
      <c r="D195" s="14" t="str">
        <f>equip.xml!D199</f>
        <v>副手武器</v>
      </c>
      <c r="E195" s="14">
        <f>equip.xml!E199</f>
        <v>6</v>
      </c>
      <c r="F195" s="14">
        <f>equip.xml!F199</f>
        <v>1</v>
      </c>
      <c r="G195" s="14">
        <f>equip.xml!G199</f>
        <v>40</v>
      </c>
      <c r="H195" s="14" t="str">
        <f>equip.xml!H199</f>
        <v>3,1003</v>
      </c>
      <c r="I195" s="14">
        <f>equip.xml!J199</f>
        <v>5</v>
      </c>
      <c r="J195" s="14">
        <f>equip.xml!K199</f>
        <v>0</v>
      </c>
      <c r="K195" s="14">
        <f>equip.xml!L199</f>
        <v>0</v>
      </c>
      <c r="L195" s="14" t="str">
        <f>equip.xml!M199</f>
        <v>102_1029_1029</v>
      </c>
      <c r="M195" s="17" t="str">
        <f>equip.xml!Q199</f>
        <v>equipment/2301.png</v>
      </c>
      <c r="N195" s="16" t="str">
        <f>equip.xml!P199</f>
        <v>10000_1002_40000,30000_30001_1,30000_30002_1,30000_30003_1</v>
      </c>
      <c r="O195">
        <f>equip.xml!R199</f>
        <v>0</v>
      </c>
    </row>
    <row r="196" spans="1:15">
      <c r="A196" s="14" t="str">
        <f>equip.xml!A200</f>
        <v>10400040</v>
      </c>
      <c r="B196" s="14">
        <f>equip.xml!B200</f>
        <v>1</v>
      </c>
      <c r="C196" s="14" t="str">
        <f>equip.xml!C200</f>
        <v>瑟银护甲</v>
      </c>
      <c r="D196" s="14" t="str">
        <f>equip.xml!D200</f>
        <v>胸甲</v>
      </c>
      <c r="E196" s="14">
        <f>equip.xml!E200</f>
        <v>4</v>
      </c>
      <c r="F196" s="14">
        <f>equip.xml!F200</f>
        <v>1</v>
      </c>
      <c r="G196" s="14">
        <f>equip.xml!G200</f>
        <v>40</v>
      </c>
      <c r="H196" s="14">
        <f>equip.xml!H200</f>
        <v>0</v>
      </c>
      <c r="I196" s="14">
        <f>equip.xml!J200</f>
        <v>5</v>
      </c>
      <c r="J196" s="14">
        <f>equip.xml!K200</f>
        <v>0</v>
      </c>
      <c r="K196" s="14">
        <f>equip.xml!L200</f>
        <v>0</v>
      </c>
      <c r="L196" s="14" t="str">
        <f>equip.xml!M200</f>
        <v>105_497_497</v>
      </c>
      <c r="M196" s="17" t="str">
        <f>equip.xml!Q200</f>
        <v>equipment/5012.png</v>
      </c>
      <c r="N196" s="16" t="str">
        <f>equip.xml!P200</f>
        <v>10000_1002_40000,30000_30001_1,30000_30002_1,30000_30003_1</v>
      </c>
      <c r="O196">
        <f>equip.xml!R200</f>
        <v>0</v>
      </c>
    </row>
    <row r="197" spans="1:15">
      <c r="A197" s="14" t="str">
        <f>equip.xml!A201</f>
        <v>10400041</v>
      </c>
      <c r="B197" s="14">
        <f>equip.xml!B201</f>
        <v>0</v>
      </c>
      <c r="C197" s="14" t="str">
        <f>equip.xml!C201</f>
        <v>新兵外套</v>
      </c>
      <c r="D197" s="14" t="str">
        <f>equip.xml!D201</f>
        <v>胸甲</v>
      </c>
      <c r="E197" s="14">
        <f>equip.xml!E201</f>
        <v>4</v>
      </c>
      <c r="F197" s="14">
        <f>equip.xml!F201</f>
        <v>1</v>
      </c>
      <c r="G197" s="14">
        <f>equip.xml!G201</f>
        <v>40</v>
      </c>
      <c r="H197" s="14">
        <f>equip.xml!H201</f>
        <v>0</v>
      </c>
      <c r="I197" s="14">
        <f>equip.xml!J201</f>
        <v>5</v>
      </c>
      <c r="J197" s="14">
        <f>equip.xml!K201</f>
        <v>0</v>
      </c>
      <c r="K197" s="14">
        <f>equip.xml!L201</f>
        <v>0</v>
      </c>
      <c r="L197" s="14" t="str">
        <f>equip.xml!M201</f>
        <v>105_549_549</v>
      </c>
      <c r="M197" s="17" t="str">
        <f>equip.xml!Q201</f>
        <v>equipment/5001.png</v>
      </c>
      <c r="N197" s="16" t="str">
        <f>equip.xml!P201</f>
        <v>10000_1002_40000,30000_30001_1,30000_30002_1,30000_30003_1</v>
      </c>
      <c r="O197">
        <f>equip.xml!R201</f>
        <v>0</v>
      </c>
    </row>
    <row r="198" spans="1:15">
      <c r="A198" s="14" t="str">
        <f>equip.xml!A202</f>
        <v>10400070</v>
      </c>
      <c r="B198" s="14">
        <f>equip.xml!B202</f>
        <v>1</v>
      </c>
      <c r="C198" s="14" t="str">
        <f>equip.xml!C202</f>
        <v>巨熊护腿</v>
      </c>
      <c r="D198" s="14" t="str">
        <f>equip.xml!D202</f>
        <v>护腿</v>
      </c>
      <c r="E198" s="14">
        <f>equip.xml!E202</f>
        <v>7</v>
      </c>
      <c r="F198" s="14">
        <f>equip.xml!F202</f>
        <v>1</v>
      </c>
      <c r="G198" s="14">
        <f>equip.xml!G202</f>
        <v>40</v>
      </c>
      <c r="H198" s="14">
        <f>equip.xml!H202</f>
        <v>0</v>
      </c>
      <c r="I198" s="14">
        <f>equip.xml!J202</f>
        <v>5</v>
      </c>
      <c r="J198" s="14">
        <f>equip.xml!K202</f>
        <v>0</v>
      </c>
      <c r="K198" s="14">
        <f>equip.xml!L202</f>
        <v>0</v>
      </c>
      <c r="L198" s="14" t="str">
        <f>equip.xml!M202</f>
        <v>105_387_387</v>
      </c>
      <c r="M198" s="17" t="str">
        <f>equip.xml!Q202</f>
        <v>equipment/7009.png</v>
      </c>
      <c r="N198" s="16" t="str">
        <f>equip.xml!P202</f>
        <v>10000_1002_40000,30000_30001_1,30000_30002_1,30000_30003_1</v>
      </c>
      <c r="O198">
        <f>equip.xml!R202</f>
        <v>0</v>
      </c>
    </row>
    <row r="199" spans="1:15">
      <c r="A199" s="14" t="str">
        <f>equip.xml!A203</f>
        <v>10400071</v>
      </c>
      <c r="B199" s="14">
        <f>equip.xml!B203</f>
        <v>0</v>
      </c>
      <c r="C199" s="14" t="str">
        <f>equip.xml!C203</f>
        <v>学徒短裤</v>
      </c>
      <c r="D199" s="14" t="str">
        <f>equip.xml!D203</f>
        <v>护腿</v>
      </c>
      <c r="E199" s="14">
        <f>equip.xml!E203</f>
        <v>7</v>
      </c>
      <c r="F199" s="14">
        <f>equip.xml!F203</f>
        <v>1</v>
      </c>
      <c r="G199" s="14">
        <f>equip.xml!G203</f>
        <v>40</v>
      </c>
      <c r="H199" s="14">
        <f>equip.xml!H203</f>
        <v>0</v>
      </c>
      <c r="I199" s="14">
        <f>equip.xml!J203</f>
        <v>5</v>
      </c>
      <c r="J199" s="14">
        <f>equip.xml!K203</f>
        <v>0</v>
      </c>
      <c r="K199" s="14">
        <f>equip.xml!L203</f>
        <v>0</v>
      </c>
      <c r="L199" s="14" t="str">
        <f>equip.xml!M203</f>
        <v>105_431_431</v>
      </c>
      <c r="M199" s="17" t="str">
        <f>equip.xml!Q203</f>
        <v>equipment/7001.png</v>
      </c>
      <c r="N199" s="16" t="str">
        <f>equip.xml!P203</f>
        <v>10000_1002_40000,30000_30001_1,30000_30002_1,30000_30003_1</v>
      </c>
      <c r="O199">
        <f>equip.xml!R203</f>
        <v>0</v>
      </c>
    </row>
    <row r="200" spans="1:15">
      <c r="A200" s="14" t="str">
        <f>equip.xml!A204</f>
        <v>10450010</v>
      </c>
      <c r="B200" s="14">
        <f>equip.xml!B204</f>
        <v>1</v>
      </c>
      <c r="C200" s="14" t="str">
        <f>equip.xml!C204</f>
        <v>战争头盔</v>
      </c>
      <c r="D200" s="14" t="str">
        <f>equip.xml!D204</f>
        <v>头盔</v>
      </c>
      <c r="E200" s="14">
        <f>equip.xml!E204</f>
        <v>1</v>
      </c>
      <c r="F200" s="14">
        <f>equip.xml!F204</f>
        <v>1</v>
      </c>
      <c r="G200" s="14">
        <f>equip.xml!G204</f>
        <v>45</v>
      </c>
      <c r="H200" s="14">
        <f>equip.xml!H204</f>
        <v>0</v>
      </c>
      <c r="I200" s="14">
        <f>equip.xml!J204</f>
        <v>5</v>
      </c>
      <c r="J200" s="14">
        <f>equip.xml!K204</f>
        <v>0</v>
      </c>
      <c r="K200" s="14">
        <f>equip.xml!L204</f>
        <v>0</v>
      </c>
      <c r="L200" s="14" t="str">
        <f>equip.xml!M204</f>
        <v>106_751_751</v>
      </c>
      <c r="M200" s="17" t="str">
        <f>equip.xml!Q204</f>
        <v>equipment/3003.png</v>
      </c>
      <c r="N200" s="16" t="str">
        <f>equip.xml!P204</f>
        <v>10000_1002_45000,30000_30001_1,30000_30002_1,30000_30003_1</v>
      </c>
      <c r="O200">
        <f>equip.xml!R204</f>
        <v>0</v>
      </c>
    </row>
    <row r="201" spans="1:15">
      <c r="A201" s="14" t="str">
        <f>equip.xml!A205</f>
        <v>10450020</v>
      </c>
      <c r="B201" s="14">
        <f>equip.xml!B205</f>
        <v>1</v>
      </c>
      <c r="C201" s="14" t="str">
        <f>equip.xml!C205</f>
        <v>洞察指环</v>
      </c>
      <c r="D201" s="14" t="str">
        <f>equip.xml!D205</f>
        <v>戒指</v>
      </c>
      <c r="E201" s="14">
        <f>equip.xml!E205</f>
        <v>2</v>
      </c>
      <c r="F201" s="14">
        <f>equip.xml!F205</f>
        <v>1</v>
      </c>
      <c r="G201" s="14">
        <f>equip.xml!G205</f>
        <v>45</v>
      </c>
      <c r="H201" s="14">
        <f>equip.xml!H205</f>
        <v>0</v>
      </c>
      <c r="I201" s="14">
        <f>equip.xml!J205</f>
        <v>5</v>
      </c>
      <c r="J201" s="14">
        <f>equip.xml!K205</f>
        <v>0</v>
      </c>
      <c r="K201" s="14">
        <f>equip.xml!L205</f>
        <v>0</v>
      </c>
      <c r="L201" s="14" t="str">
        <f>equip.xml!M205</f>
        <v>102_740_740</v>
      </c>
      <c r="M201" s="17" t="str">
        <f>equip.xml!Q205</f>
        <v>equipment/14001.png</v>
      </c>
      <c r="N201" s="16" t="str">
        <f>equip.xml!P205</f>
        <v>10000_1002_45000,30000_30001_1,30000_30002_1,30000_30003_1</v>
      </c>
      <c r="O201">
        <f>equip.xml!R205</f>
        <v>0</v>
      </c>
    </row>
    <row r="202" spans="1:15">
      <c r="A202" s="14" t="str">
        <f>equip.xml!A206</f>
        <v>10450030</v>
      </c>
      <c r="B202" s="14">
        <f>equip.xml!B206</f>
        <v>1</v>
      </c>
      <c r="C202" s="14" t="str">
        <f>equip.xml!C206</f>
        <v>督军腰带</v>
      </c>
      <c r="D202" s="14" t="str">
        <f>equip.xml!D206</f>
        <v>腰带</v>
      </c>
      <c r="E202" s="14">
        <f>equip.xml!E206</f>
        <v>3</v>
      </c>
      <c r="F202" s="14">
        <f>equip.xml!F206</f>
        <v>1</v>
      </c>
      <c r="G202" s="14">
        <f>equip.xml!G206</f>
        <v>45</v>
      </c>
      <c r="H202" s="14">
        <f>equip.xml!H206</f>
        <v>0</v>
      </c>
      <c r="I202" s="14">
        <f>equip.xml!J206</f>
        <v>5</v>
      </c>
      <c r="J202" s="14">
        <f>equip.xml!K206</f>
        <v>0</v>
      </c>
      <c r="K202" s="14">
        <f>equip.xml!L206</f>
        <v>0</v>
      </c>
      <c r="L202" s="14" t="str">
        <f>equip.xml!M206</f>
        <v>101_8840_8840</v>
      </c>
      <c r="M202" s="17" t="str">
        <f>equip.xml!Q206</f>
        <v>equipment/6008.png</v>
      </c>
      <c r="N202" s="16" t="str">
        <f>equip.xml!P206</f>
        <v>10000_1002_45000,30000_30001_1,30000_30002_1,30000_30003_1</v>
      </c>
      <c r="O202">
        <f>equip.xml!R206</f>
        <v>0</v>
      </c>
    </row>
    <row r="203" spans="1:15">
      <c r="A203" s="14" t="str">
        <f>equip.xml!A207</f>
        <v>10450080</v>
      </c>
      <c r="B203" s="14">
        <f>equip.xml!B207</f>
        <v>1</v>
      </c>
      <c r="C203" s="14" t="str">
        <f>equip.xml!C207</f>
        <v>浩劫长靴</v>
      </c>
      <c r="D203" s="14" t="str">
        <f>equip.xml!D207</f>
        <v>鞋子</v>
      </c>
      <c r="E203" s="14">
        <f>equip.xml!E207</f>
        <v>8</v>
      </c>
      <c r="F203" s="14">
        <f>equip.xml!F207</f>
        <v>1</v>
      </c>
      <c r="G203" s="14">
        <f>equip.xml!G207</f>
        <v>45</v>
      </c>
      <c r="H203" s="14">
        <f>equip.xml!H207</f>
        <v>0</v>
      </c>
      <c r="I203" s="14">
        <f>equip.xml!J207</f>
        <v>5</v>
      </c>
      <c r="J203" s="14">
        <f>equip.xml!K207</f>
        <v>0</v>
      </c>
      <c r="K203" s="14">
        <f>equip.xml!L207</f>
        <v>0</v>
      </c>
      <c r="L203" s="14" t="str">
        <f>equip.xml!M207</f>
        <v>110_137_137</v>
      </c>
      <c r="M203" s="17" t="str">
        <f>equip.xml!Q207</f>
        <v>equipment/8008.png</v>
      </c>
      <c r="N203" s="16" t="str">
        <f>equip.xml!P207</f>
        <v>10000_1002_45000,30000_30001_1,30000_30002_1,30000_30003_1</v>
      </c>
      <c r="O203">
        <f>equip.xml!R207</f>
        <v>0</v>
      </c>
    </row>
    <row r="204" spans="1:15">
      <c r="A204" s="14" t="str">
        <f>equip.xml!A208</f>
        <v>10450090</v>
      </c>
      <c r="B204" s="14">
        <f>equip.xml!B208</f>
        <v>1</v>
      </c>
      <c r="C204" s="14" t="str">
        <f>equip.xml!C208</f>
        <v>愤怒护手</v>
      </c>
      <c r="D204" s="14" t="str">
        <f>equip.xml!D208</f>
        <v>手套</v>
      </c>
      <c r="E204" s="14">
        <f>equip.xml!E208</f>
        <v>9</v>
      </c>
      <c r="F204" s="14">
        <f>equip.xml!F208</f>
        <v>1</v>
      </c>
      <c r="G204" s="14">
        <f>equip.xml!G208</f>
        <v>45</v>
      </c>
      <c r="H204" s="14">
        <f>equip.xml!H208</f>
        <v>0</v>
      </c>
      <c r="I204" s="14">
        <f>equip.xml!J208</f>
        <v>5</v>
      </c>
      <c r="J204" s="14">
        <f>equip.xml!K208</f>
        <v>0</v>
      </c>
      <c r="K204" s="14">
        <f>equip.xml!L208</f>
        <v>0</v>
      </c>
      <c r="L204" s="14" t="str">
        <f>equip.xml!M208</f>
        <v>108_1255_1255</v>
      </c>
      <c r="M204" s="17" t="str">
        <f>equip.xml!Q208</f>
        <v>equipment/10008.png</v>
      </c>
      <c r="N204" s="16" t="str">
        <f>equip.xml!P208</f>
        <v>10000_1002_45000,30000_30001_1,30000_30002_1,30000_30003_1</v>
      </c>
      <c r="O204">
        <f>equip.xml!R208</f>
        <v>0</v>
      </c>
    </row>
    <row r="205" spans="1:15">
      <c r="A205" s="14" t="str">
        <f>equip.xml!A209</f>
        <v>10450100</v>
      </c>
      <c r="B205" s="14">
        <f>equip.xml!B209</f>
        <v>1</v>
      </c>
      <c r="C205" s="14" t="str">
        <f>equip.xml!C209</f>
        <v>新月项链</v>
      </c>
      <c r="D205" s="14" t="str">
        <f>equip.xml!D209</f>
        <v>项链</v>
      </c>
      <c r="E205" s="14">
        <f>equip.xml!E209</f>
        <v>10</v>
      </c>
      <c r="F205" s="14">
        <f>equip.xml!F209</f>
        <v>1</v>
      </c>
      <c r="G205" s="14">
        <f>equip.xml!G209</f>
        <v>45</v>
      </c>
      <c r="H205" s="14">
        <f>equip.xml!H209</f>
        <v>0</v>
      </c>
      <c r="I205" s="14">
        <f>equip.xml!J209</f>
        <v>5</v>
      </c>
      <c r="J205" s="14">
        <f>equip.xml!K209</f>
        <v>0</v>
      </c>
      <c r="K205" s="14">
        <f>equip.xml!L209</f>
        <v>0</v>
      </c>
      <c r="L205" s="14" t="str">
        <f>equip.xml!M209</f>
        <v>107_751_751</v>
      </c>
      <c r="M205" s="17" t="str">
        <f>equip.xml!Q209</f>
        <v>equipment/12007.png</v>
      </c>
      <c r="N205" s="16" t="str">
        <f>equip.xml!P209</f>
        <v>10000_1002_45000,30000_30001_1,30000_30002_1,30000_30003_1</v>
      </c>
      <c r="O205">
        <f>equip.xml!R209</f>
        <v>0</v>
      </c>
    </row>
    <row r="206" spans="1:15">
      <c r="A206" s="14" t="str">
        <f>equip.xml!A210</f>
        <v>10451050</v>
      </c>
      <c r="B206" s="14">
        <f>equip.xml!B210</f>
        <v>1</v>
      </c>
      <c r="C206" s="14" t="str">
        <f>equip.xml!C210</f>
        <v>龙纹之刃</v>
      </c>
      <c r="D206" s="14" t="str">
        <f>equip.xml!D210</f>
        <v>主手武器</v>
      </c>
      <c r="E206" s="14">
        <f>equip.xml!E210</f>
        <v>5</v>
      </c>
      <c r="F206" s="14">
        <f>equip.xml!F210</f>
        <v>1</v>
      </c>
      <c r="G206" s="14">
        <f>equip.xml!G210</f>
        <v>45</v>
      </c>
      <c r="H206" s="14" t="str">
        <f>equip.xml!H210</f>
        <v>1,1001</v>
      </c>
      <c r="I206" s="14">
        <f>equip.xml!J210</f>
        <v>5</v>
      </c>
      <c r="J206" s="14">
        <f>equip.xml!K210</f>
        <v>0</v>
      </c>
      <c r="K206" s="14">
        <f>equip.xml!L210</f>
        <v>0</v>
      </c>
      <c r="L206" s="14" t="str">
        <f>equip.xml!M210</f>
        <v>103_854_854,104_1708_1708</v>
      </c>
      <c r="M206" s="17" t="str">
        <f>equip.xml!Q210</f>
        <v>equipment/1117.png</v>
      </c>
      <c r="N206" s="16" t="str">
        <f>equip.xml!P210</f>
        <v>10000_1002_45000,30000_30001_1,30000_30002_1,30000_30003_1</v>
      </c>
      <c r="O206">
        <f>equip.xml!R210</f>
        <v>0</v>
      </c>
    </row>
    <row r="207" spans="1:15">
      <c r="A207" s="14" t="str">
        <f>equip.xml!A211</f>
        <v>10451051</v>
      </c>
      <c r="B207" s="14">
        <f>equip.xml!B211</f>
        <v>0</v>
      </c>
      <c r="C207" s="14" t="str">
        <f>equip.xml!C211</f>
        <v>军刀</v>
      </c>
      <c r="D207" s="14" t="str">
        <f>equip.xml!D211</f>
        <v>主手武器</v>
      </c>
      <c r="E207" s="14">
        <f>equip.xml!E211</f>
        <v>5</v>
      </c>
      <c r="F207" s="14">
        <f>equip.xml!F211</f>
        <v>1</v>
      </c>
      <c r="G207" s="14">
        <f>equip.xml!G211</f>
        <v>45</v>
      </c>
      <c r="H207" s="14" t="str">
        <f>equip.xml!H211</f>
        <v>1,1001</v>
      </c>
      <c r="I207" s="14">
        <f>equip.xml!J211</f>
        <v>5</v>
      </c>
      <c r="J207" s="14">
        <f>equip.xml!K211</f>
        <v>0</v>
      </c>
      <c r="K207" s="14">
        <f>equip.xml!L211</f>
        <v>0</v>
      </c>
      <c r="L207" s="14" t="str">
        <f>equip.xml!M211</f>
        <v>103_951_951,104_1902_1902</v>
      </c>
      <c r="M207" s="17" t="str">
        <f>equip.xml!Q211</f>
        <v>equipment/1101.png</v>
      </c>
      <c r="N207" s="16" t="str">
        <f>equip.xml!P211</f>
        <v>10000_1002_45000,30000_30001_1,30000_30002_1,30000_30003_1</v>
      </c>
      <c r="O207">
        <f>equip.xml!R211</f>
        <v>0</v>
      </c>
    </row>
    <row r="208" spans="1:15">
      <c r="A208" s="14" t="str">
        <f>equip.xml!A212</f>
        <v>10451060</v>
      </c>
      <c r="B208" s="14">
        <f>equip.xml!B212</f>
        <v>1</v>
      </c>
      <c r="C208" s="14" t="str">
        <f>equip.xml!C212</f>
        <v>正义壁垒</v>
      </c>
      <c r="D208" s="14" t="str">
        <f>equip.xml!D212</f>
        <v>副手武器</v>
      </c>
      <c r="E208" s="14">
        <f>equip.xml!E212</f>
        <v>6</v>
      </c>
      <c r="F208" s="14">
        <f>equip.xml!F212</f>
        <v>1</v>
      </c>
      <c r="G208" s="14">
        <f>equip.xml!G212</f>
        <v>45</v>
      </c>
      <c r="H208" s="14" t="str">
        <f>equip.xml!H212</f>
        <v>1,1001</v>
      </c>
      <c r="I208" s="14">
        <f>equip.xml!J212</f>
        <v>5</v>
      </c>
      <c r="J208" s="14">
        <f>equip.xml!K212</f>
        <v>0</v>
      </c>
      <c r="K208" s="14">
        <f>equip.xml!L212</f>
        <v>0</v>
      </c>
      <c r="L208" s="14" t="str">
        <f>equip.xml!M212</f>
        <v>105_1253_1253</v>
      </c>
      <c r="M208" s="17" t="str">
        <f>equip.xml!Q212</f>
        <v>equipment/2110.png</v>
      </c>
      <c r="N208" s="16" t="str">
        <f>equip.xml!P212</f>
        <v>10000_1002_45000,30000_30001_1,30000_30002_1,30000_30003_1</v>
      </c>
      <c r="O208">
        <f>equip.xml!R212</f>
        <v>0</v>
      </c>
    </row>
    <row r="209" spans="1:15">
      <c r="A209" s="14" t="str">
        <f>equip.xml!A213</f>
        <v>10451061</v>
      </c>
      <c r="B209" s="14">
        <f>equip.xml!B213</f>
        <v>0</v>
      </c>
      <c r="C209" s="14" t="str">
        <f>equip.xml!C213</f>
        <v>尖头盾</v>
      </c>
      <c r="D209" s="14" t="str">
        <f>equip.xml!D213</f>
        <v>副手武器</v>
      </c>
      <c r="E209" s="14">
        <f>equip.xml!E213</f>
        <v>6</v>
      </c>
      <c r="F209" s="14">
        <f>equip.xml!F213</f>
        <v>1</v>
      </c>
      <c r="G209" s="14">
        <f>equip.xml!G213</f>
        <v>45</v>
      </c>
      <c r="H209" s="14" t="str">
        <f>equip.xml!H213</f>
        <v>1,1001</v>
      </c>
      <c r="I209" s="14">
        <f>equip.xml!J213</f>
        <v>5</v>
      </c>
      <c r="J209" s="14">
        <f>equip.xml!K213</f>
        <v>0</v>
      </c>
      <c r="K209" s="14">
        <f>equip.xml!L213</f>
        <v>0</v>
      </c>
      <c r="L209" s="14" t="str">
        <f>equip.xml!M213</f>
        <v>105_1312_1312</v>
      </c>
      <c r="M209" s="17" t="str">
        <f>equip.xml!Q213</f>
        <v>equipment/2101.png</v>
      </c>
      <c r="N209" s="16" t="str">
        <f>equip.xml!P213</f>
        <v>10000_1002_45000,30000_30001_1,30000_30002_1,30000_30003_1</v>
      </c>
      <c r="O209">
        <f>equip.xml!R213</f>
        <v>0</v>
      </c>
    </row>
    <row r="210" spans="1:15">
      <c r="A210" s="14" t="str">
        <f>equip.xml!A214</f>
        <v>10452050</v>
      </c>
      <c r="B210" s="14">
        <f>equip.xml!B214</f>
        <v>1</v>
      </c>
      <c r="C210" s="14" t="str">
        <f>equip.xml!C214</f>
        <v>霜语长弓</v>
      </c>
      <c r="D210" s="14" t="str">
        <f>equip.xml!D214</f>
        <v>主手武器</v>
      </c>
      <c r="E210" s="14">
        <f>equip.xml!E214</f>
        <v>5</v>
      </c>
      <c r="F210" s="14">
        <f>equip.xml!F214</f>
        <v>1</v>
      </c>
      <c r="G210" s="14">
        <f>equip.xml!G214</f>
        <v>45</v>
      </c>
      <c r="H210" s="14" t="str">
        <f>equip.xml!H214</f>
        <v>2,1002</v>
      </c>
      <c r="I210" s="14">
        <f>equip.xml!J214</f>
        <v>5</v>
      </c>
      <c r="J210" s="14">
        <f>equip.xml!K214</f>
        <v>0</v>
      </c>
      <c r="K210" s="14">
        <f>equip.xml!L214</f>
        <v>0</v>
      </c>
      <c r="L210" s="14" t="str">
        <f>equip.xml!M214</f>
        <v>103_854_854,104_1708_1708</v>
      </c>
      <c r="M210" s="17" t="str">
        <f>equip.xml!Q214</f>
        <v>equipment/1217.png</v>
      </c>
      <c r="N210" s="16" t="str">
        <f>equip.xml!P214</f>
        <v>10000_1002_45000,30000_30001_1,30000_30002_1,30000_30003_1</v>
      </c>
      <c r="O210">
        <f>equip.xml!R214</f>
        <v>0</v>
      </c>
    </row>
    <row r="211" spans="1:15">
      <c r="A211" s="14" t="str">
        <f>equip.xml!A215</f>
        <v>10452051</v>
      </c>
      <c r="B211" s="14">
        <f>equip.xml!B215</f>
        <v>0</v>
      </c>
      <c r="C211" s="14" t="str">
        <f>equip.xml!C215</f>
        <v>棘木弓</v>
      </c>
      <c r="D211" s="14" t="str">
        <f>equip.xml!D215</f>
        <v>主手武器</v>
      </c>
      <c r="E211" s="14">
        <f>equip.xml!E215</f>
        <v>5</v>
      </c>
      <c r="F211" s="14">
        <f>equip.xml!F215</f>
        <v>1</v>
      </c>
      <c r="G211" s="14">
        <f>equip.xml!G215</f>
        <v>45</v>
      </c>
      <c r="H211" s="14" t="str">
        <f>equip.xml!H215</f>
        <v>2,1002</v>
      </c>
      <c r="I211" s="14">
        <f>equip.xml!J215</f>
        <v>5</v>
      </c>
      <c r="J211" s="14">
        <f>equip.xml!K215</f>
        <v>0</v>
      </c>
      <c r="K211" s="14">
        <f>equip.xml!L215</f>
        <v>0</v>
      </c>
      <c r="L211" s="14" t="str">
        <f>equip.xml!M215</f>
        <v>103_951_951,104_1902_1902</v>
      </c>
      <c r="M211" s="17" t="str">
        <f>equip.xml!Q215</f>
        <v>equipment/1201.png</v>
      </c>
      <c r="N211" s="16" t="str">
        <f>equip.xml!P215</f>
        <v>10000_1002_45000,30000_30001_1,30000_30002_1,30000_30003_1</v>
      </c>
      <c r="O211">
        <f>equip.xml!R215</f>
        <v>0</v>
      </c>
    </row>
    <row r="212" spans="1:15">
      <c r="A212" s="14" t="str">
        <f>equip.xml!A216</f>
        <v>10452060</v>
      </c>
      <c r="B212" s="14">
        <f>equip.xml!B216</f>
        <v>1</v>
      </c>
      <c r="C212" s="14" t="str">
        <f>equip.xml!C216</f>
        <v>月沐箭筒</v>
      </c>
      <c r="D212" s="14" t="str">
        <f>equip.xml!D216</f>
        <v>副手武器</v>
      </c>
      <c r="E212" s="14">
        <f>equip.xml!E216</f>
        <v>6</v>
      </c>
      <c r="F212" s="14">
        <f>equip.xml!F216</f>
        <v>1</v>
      </c>
      <c r="G212" s="14">
        <f>equip.xml!G216</f>
        <v>45</v>
      </c>
      <c r="H212" s="14" t="str">
        <f>equip.xml!H216</f>
        <v>2,1002</v>
      </c>
      <c r="I212" s="14">
        <f>equip.xml!J216</f>
        <v>5</v>
      </c>
      <c r="J212" s="14">
        <f>equip.xml!K216</f>
        <v>0</v>
      </c>
      <c r="K212" s="14">
        <f>equip.xml!L216</f>
        <v>0</v>
      </c>
      <c r="L212" s="14" t="str">
        <f>equip.xml!M216</f>
        <v>108_1253_1253</v>
      </c>
      <c r="M212" s="17" t="str">
        <f>equip.xml!Q216</f>
        <v>equipment/2211.png</v>
      </c>
      <c r="N212" s="16" t="str">
        <f>equip.xml!P216</f>
        <v>10000_1002_45000,30000_30001_1,30000_30002_1,30000_30003_1</v>
      </c>
      <c r="O212">
        <f>equip.xml!R216</f>
        <v>0</v>
      </c>
    </row>
    <row r="213" spans="1:15">
      <c r="A213" s="14" t="str">
        <f>equip.xml!A217</f>
        <v>10452061</v>
      </c>
      <c r="B213" s="14">
        <f>equip.xml!B217</f>
        <v>0</v>
      </c>
      <c r="C213" s="14" t="str">
        <f>equip.xml!C217</f>
        <v>箭筒</v>
      </c>
      <c r="D213" s="14" t="str">
        <f>equip.xml!D217</f>
        <v>副手武器</v>
      </c>
      <c r="E213" s="14">
        <f>equip.xml!E217</f>
        <v>6</v>
      </c>
      <c r="F213" s="14">
        <f>equip.xml!F217</f>
        <v>1</v>
      </c>
      <c r="G213" s="14">
        <f>equip.xml!G217</f>
        <v>45</v>
      </c>
      <c r="H213" s="14" t="str">
        <f>equip.xml!H217</f>
        <v>2,1002</v>
      </c>
      <c r="I213" s="14">
        <f>equip.xml!J217</f>
        <v>5</v>
      </c>
      <c r="J213" s="14">
        <f>equip.xml!K217</f>
        <v>0</v>
      </c>
      <c r="K213" s="14">
        <f>equip.xml!L217</f>
        <v>0</v>
      </c>
      <c r="L213" s="14" t="str">
        <f>equip.xml!M217</f>
        <v>108_1312_1312</v>
      </c>
      <c r="M213" s="17" t="str">
        <f>equip.xml!Q217</f>
        <v>equipment/2201.png</v>
      </c>
      <c r="N213" s="16" t="str">
        <f>equip.xml!P217</f>
        <v>10000_1002_45000,30000_30001_1,30000_30002_1,30000_30003_1</v>
      </c>
      <c r="O213">
        <f>equip.xml!R217</f>
        <v>0</v>
      </c>
    </row>
    <row r="214" spans="1:15">
      <c r="A214" s="14" t="str">
        <f>equip.xml!A218</f>
        <v>10453050</v>
      </c>
      <c r="B214" s="14">
        <f>equip.xml!B218</f>
        <v>1</v>
      </c>
      <c r="C214" s="14" t="str">
        <f>equip.xml!C218</f>
        <v>皇权之杖</v>
      </c>
      <c r="D214" s="14" t="str">
        <f>equip.xml!D218</f>
        <v>主手武器</v>
      </c>
      <c r="E214" s="14">
        <f>equip.xml!E218</f>
        <v>5</v>
      </c>
      <c r="F214" s="14">
        <f>equip.xml!F218</f>
        <v>1</v>
      </c>
      <c r="G214" s="14">
        <f>equip.xml!G218</f>
        <v>45</v>
      </c>
      <c r="H214" s="14" t="str">
        <f>equip.xml!H218</f>
        <v>3,1003</v>
      </c>
      <c r="I214" s="14">
        <f>equip.xml!J218</f>
        <v>5</v>
      </c>
      <c r="J214" s="14">
        <f>equip.xml!K218</f>
        <v>0</v>
      </c>
      <c r="K214" s="14">
        <f>equip.xml!L218</f>
        <v>0</v>
      </c>
      <c r="L214" s="14" t="str">
        <f>equip.xml!M218</f>
        <v>103_854_854,104_1708_1708</v>
      </c>
      <c r="M214" s="17" t="str">
        <f>equip.xml!Q218</f>
        <v>equipment/1316.png</v>
      </c>
      <c r="N214" s="16" t="str">
        <f>equip.xml!P218</f>
        <v>10000_1002_45000,30000_30001_1,30000_30002_1,30000_30003_1</v>
      </c>
      <c r="O214">
        <f>equip.xml!R218</f>
        <v>0</v>
      </c>
    </row>
    <row r="215" spans="1:15">
      <c r="A215" s="14" t="str">
        <f>equip.xml!A219</f>
        <v>10453051</v>
      </c>
      <c r="B215" s="14">
        <f>equip.xml!B219</f>
        <v>1</v>
      </c>
      <c r="C215" s="14" t="str">
        <f>equip.xml!C219</f>
        <v>圣晶权杖</v>
      </c>
      <c r="D215" s="14" t="str">
        <f>equip.xml!D219</f>
        <v>主手武器</v>
      </c>
      <c r="E215" s="14">
        <f>equip.xml!E219</f>
        <v>5</v>
      </c>
      <c r="F215" s="14">
        <f>equip.xml!F219</f>
        <v>1</v>
      </c>
      <c r="G215" s="14">
        <f>equip.xml!G219</f>
        <v>45</v>
      </c>
      <c r="H215" s="14" t="str">
        <f>equip.xml!H219</f>
        <v>3,1003</v>
      </c>
      <c r="I215" s="14">
        <f>equip.xml!J219</f>
        <v>5</v>
      </c>
      <c r="J215" s="14">
        <f>equip.xml!K219</f>
        <v>0</v>
      </c>
      <c r="K215" s="14">
        <f>equip.xml!L219</f>
        <v>0</v>
      </c>
      <c r="L215" s="14" t="str">
        <f>equip.xml!M219</f>
        <v>103_951_951,104_1902_1902</v>
      </c>
      <c r="M215" s="17" t="str">
        <f>equip.xml!Q219</f>
        <v>equipment/1318.png</v>
      </c>
      <c r="N215" s="16" t="str">
        <f>equip.xml!P219</f>
        <v>10000_1002_45000,30000_30001_1,30000_30002_1,30000_30003_1</v>
      </c>
      <c r="O215">
        <f>equip.xml!R219</f>
        <v>0</v>
      </c>
    </row>
    <row r="216" spans="1:15">
      <c r="A216" s="14" t="str">
        <f>equip.xml!A220</f>
        <v>10453060</v>
      </c>
      <c r="B216" s="14">
        <f>equip.xml!B220</f>
        <v>1</v>
      </c>
      <c r="C216" s="14" t="str">
        <f>equip.xml!C220</f>
        <v>占卜魔典</v>
      </c>
      <c r="D216" s="14" t="str">
        <f>equip.xml!D220</f>
        <v>副手武器</v>
      </c>
      <c r="E216" s="14">
        <f>equip.xml!E220</f>
        <v>6</v>
      </c>
      <c r="F216" s="14">
        <f>equip.xml!F220</f>
        <v>1</v>
      </c>
      <c r="G216" s="14">
        <f>equip.xml!G220</f>
        <v>45</v>
      </c>
      <c r="H216" s="14" t="str">
        <f>equip.xml!H220</f>
        <v>3,1003</v>
      </c>
      <c r="I216" s="14">
        <f>equip.xml!J220</f>
        <v>5</v>
      </c>
      <c r="J216" s="14">
        <f>equip.xml!K220</f>
        <v>0</v>
      </c>
      <c r="K216" s="14">
        <f>equip.xml!L220</f>
        <v>0</v>
      </c>
      <c r="L216" s="14" t="str">
        <f>equip.xml!M220</f>
        <v>102_1320_1320</v>
      </c>
      <c r="M216" s="17" t="str">
        <f>equip.xml!Q220</f>
        <v>equipment/2310.png</v>
      </c>
      <c r="N216" s="16" t="str">
        <f>equip.xml!P220</f>
        <v>10000_1002_45000,30000_30001_1,30000_30002_1,30000_30003_1</v>
      </c>
      <c r="O216">
        <f>equip.xml!R220</f>
        <v>0</v>
      </c>
    </row>
    <row r="217" spans="1:15">
      <c r="A217" s="14" t="str">
        <f>equip.xml!A221</f>
        <v>10453061</v>
      </c>
      <c r="B217" s="14">
        <f>equip.xml!B221</f>
        <v>0</v>
      </c>
      <c r="C217" s="14" t="str">
        <f>equip.xml!C221</f>
        <v>法术指南</v>
      </c>
      <c r="D217" s="14" t="str">
        <f>equip.xml!D221</f>
        <v>副手武器</v>
      </c>
      <c r="E217" s="14">
        <f>equip.xml!E221</f>
        <v>6</v>
      </c>
      <c r="F217" s="14">
        <f>equip.xml!F221</f>
        <v>1</v>
      </c>
      <c r="G217" s="14">
        <f>equip.xml!G221</f>
        <v>45</v>
      </c>
      <c r="H217" s="14" t="str">
        <f>equip.xml!H221</f>
        <v>3,1003</v>
      </c>
      <c r="I217" s="14">
        <f>equip.xml!J221</f>
        <v>5</v>
      </c>
      <c r="J217" s="14">
        <f>equip.xml!K221</f>
        <v>0</v>
      </c>
      <c r="K217" s="14">
        <f>equip.xml!L221</f>
        <v>0</v>
      </c>
      <c r="L217" s="14" t="str">
        <f>equip.xml!M221</f>
        <v>102_1312_1312</v>
      </c>
      <c r="M217" s="17" t="str">
        <f>equip.xml!Q221</f>
        <v>equipment/2301.png</v>
      </c>
      <c r="N217" s="16" t="str">
        <f>equip.xml!P221</f>
        <v>10000_1002_45000,30000_30001_1,30000_30002_1,30000_30003_1</v>
      </c>
      <c r="O217">
        <f>equip.xml!R221</f>
        <v>0</v>
      </c>
    </row>
    <row r="218" spans="1:15">
      <c r="A218" s="14" t="str">
        <f>equip.xml!A222</f>
        <v>10450040</v>
      </c>
      <c r="B218" s="14">
        <f>equip.xml!B222</f>
        <v>1</v>
      </c>
      <c r="C218" s="14" t="str">
        <f>equip.xml!C222</f>
        <v>执政官胸甲</v>
      </c>
      <c r="D218" s="14" t="str">
        <f>equip.xml!D222</f>
        <v>胸甲</v>
      </c>
      <c r="E218" s="14">
        <f>equip.xml!E222</f>
        <v>4</v>
      </c>
      <c r="F218" s="14">
        <f>equip.xml!F222</f>
        <v>1</v>
      </c>
      <c r="G218" s="14">
        <f>equip.xml!G222</f>
        <v>45</v>
      </c>
      <c r="H218" s="14">
        <f>equip.xml!H222</f>
        <v>0</v>
      </c>
      <c r="I218" s="14">
        <f>equip.xml!J222</f>
        <v>5</v>
      </c>
      <c r="J218" s="14">
        <f>equip.xml!K222</f>
        <v>0</v>
      </c>
      <c r="K218" s="14">
        <f>equip.xml!L222</f>
        <v>0</v>
      </c>
      <c r="L218" s="14" t="str">
        <f>equip.xml!M222</f>
        <v>105_628_628</v>
      </c>
      <c r="M218" s="17" t="str">
        <f>equip.xml!Q222</f>
        <v>equipment/5013.png</v>
      </c>
      <c r="N218" s="16" t="str">
        <f>equip.xml!P222</f>
        <v>10000_1002_45000,30000_30001_1,30000_30002_1,30000_30003_1</v>
      </c>
      <c r="O218">
        <f>equip.xml!R222</f>
        <v>0</v>
      </c>
    </row>
    <row r="219" spans="1:15">
      <c r="A219" s="14" t="str">
        <f>equip.xml!A223</f>
        <v>10450041</v>
      </c>
      <c r="B219" s="14">
        <f>equip.xml!B223</f>
        <v>1</v>
      </c>
      <c r="C219" s="14" t="str">
        <f>equip.xml!C223</f>
        <v>军团胸甲</v>
      </c>
      <c r="D219" s="14" t="str">
        <f>equip.xml!D223</f>
        <v>胸甲</v>
      </c>
      <c r="E219" s="14">
        <f>equip.xml!E223</f>
        <v>4</v>
      </c>
      <c r="F219" s="14">
        <f>equip.xml!F223</f>
        <v>1</v>
      </c>
      <c r="G219" s="14">
        <f>equip.xml!G223</f>
        <v>45</v>
      </c>
      <c r="H219" s="14">
        <f>equip.xml!H223</f>
        <v>0</v>
      </c>
      <c r="I219" s="14">
        <f>equip.xml!J223</f>
        <v>5</v>
      </c>
      <c r="J219" s="14">
        <f>equip.xml!K223</f>
        <v>0</v>
      </c>
      <c r="K219" s="14">
        <f>equip.xml!L223</f>
        <v>0</v>
      </c>
      <c r="L219" s="14" t="str">
        <f>equip.xml!M223</f>
        <v>105_689_689</v>
      </c>
      <c r="M219" s="17" t="str">
        <f>equip.xml!Q223</f>
        <v>equipment/5014.png</v>
      </c>
      <c r="N219" s="16" t="str">
        <f>equip.xml!P223</f>
        <v>10000_1002_45000,30000_30001_1,30000_30002_1,30000_30003_1</v>
      </c>
      <c r="O219">
        <f>equip.xml!R223</f>
        <v>0</v>
      </c>
    </row>
    <row r="220" spans="1:15">
      <c r="A220" s="14" t="str">
        <f>equip.xml!A224</f>
        <v>10450070</v>
      </c>
      <c r="B220" s="14">
        <f>equip.xml!B224</f>
        <v>1</v>
      </c>
      <c r="C220" s="14" t="str">
        <f>equip.xml!C224</f>
        <v>冰铸腿铠</v>
      </c>
      <c r="D220" s="14" t="str">
        <f>equip.xml!D224</f>
        <v>护腿</v>
      </c>
      <c r="E220" s="14">
        <f>equip.xml!E224</f>
        <v>7</v>
      </c>
      <c r="F220" s="14">
        <f>equip.xml!F224</f>
        <v>1</v>
      </c>
      <c r="G220" s="14">
        <f>equip.xml!G224</f>
        <v>45</v>
      </c>
      <c r="H220" s="14">
        <f>equip.xml!H224</f>
        <v>0</v>
      </c>
      <c r="I220" s="14">
        <f>equip.xml!J224</f>
        <v>5</v>
      </c>
      <c r="J220" s="14">
        <f>equip.xml!K224</f>
        <v>0</v>
      </c>
      <c r="K220" s="14">
        <f>equip.xml!L224</f>
        <v>0</v>
      </c>
      <c r="L220" s="14" t="str">
        <f>equip.xml!M224</f>
        <v>105_497_497</v>
      </c>
      <c r="M220" s="17" t="str">
        <f>equip.xml!Q224</f>
        <v>equipment/7011.png</v>
      </c>
      <c r="N220" s="16" t="str">
        <f>equip.xml!P224</f>
        <v>10000_1002_45000,30000_30001_1,30000_30002_1,30000_30003_1</v>
      </c>
      <c r="O220">
        <f>equip.xml!R224</f>
        <v>0</v>
      </c>
    </row>
    <row r="221" spans="1:15">
      <c r="A221" s="14" t="str">
        <f>equip.xml!A225</f>
        <v>10450071</v>
      </c>
      <c r="B221" s="14">
        <f>equip.xml!B225</f>
        <v>1</v>
      </c>
      <c r="C221" s="14" t="str">
        <f>equip.xml!C225</f>
        <v>织灵护腿</v>
      </c>
      <c r="D221" s="14" t="str">
        <f>equip.xml!D225</f>
        <v>护腿</v>
      </c>
      <c r="E221" s="14">
        <f>equip.xml!E225</f>
        <v>7</v>
      </c>
      <c r="F221" s="14">
        <f>equip.xml!F225</f>
        <v>1</v>
      </c>
      <c r="G221" s="14">
        <f>equip.xml!G225</f>
        <v>45</v>
      </c>
      <c r="H221" s="14">
        <f>equip.xml!H225</f>
        <v>0</v>
      </c>
      <c r="I221" s="14">
        <f>equip.xml!J225</f>
        <v>5</v>
      </c>
      <c r="J221" s="14">
        <f>equip.xml!K225</f>
        <v>0</v>
      </c>
      <c r="K221" s="14">
        <f>equip.xml!L225</f>
        <v>0</v>
      </c>
      <c r="L221" s="14" t="str">
        <f>equip.xml!M225</f>
        <v>105_549_549</v>
      </c>
      <c r="M221" s="17" t="str">
        <f>equip.xml!Q225</f>
        <v>equipment/7010.png</v>
      </c>
      <c r="N221" s="16" t="str">
        <f>equip.xml!P225</f>
        <v>10000_1002_45000,30000_30001_1,30000_30002_1,30000_30003_1</v>
      </c>
      <c r="O221">
        <f>equip.xml!R225</f>
        <v>0</v>
      </c>
    </row>
    <row r="222" spans="1:15">
      <c r="A222" s="14" t="str">
        <f>equip.xml!A226</f>
        <v>10500010</v>
      </c>
      <c r="B222" s="14">
        <f>equip.xml!B226</f>
        <v>1</v>
      </c>
      <c r="C222" s="14" t="str">
        <f>equip.xml!C226</f>
        <v>战痕头盔</v>
      </c>
      <c r="D222" s="14" t="str">
        <f>equip.xml!D226</f>
        <v>头盔</v>
      </c>
      <c r="E222" s="14">
        <f>equip.xml!E226</f>
        <v>1</v>
      </c>
      <c r="F222" s="14">
        <f>equip.xml!F226</f>
        <v>1</v>
      </c>
      <c r="G222" s="14">
        <f>equip.xml!G226</f>
        <v>50</v>
      </c>
      <c r="H222" s="14">
        <f>equip.xml!H226</f>
        <v>0</v>
      </c>
      <c r="I222" s="14">
        <f>equip.xml!J226</f>
        <v>5</v>
      </c>
      <c r="J222" s="14">
        <f>equip.xml!K226</f>
        <v>0</v>
      </c>
      <c r="K222" s="14">
        <f>equip.xml!L226</f>
        <v>0</v>
      </c>
      <c r="L222" s="14" t="str">
        <f>equip.xml!M226</f>
        <v>106_1000_1000</v>
      </c>
      <c r="M222" s="17" t="str">
        <f>equip.xml!Q226</f>
        <v>equipment/3008.png</v>
      </c>
      <c r="N222" s="16" t="str">
        <f>equip.xml!P226</f>
        <v>10000_1002_50000,30000_30001_1,30000_30002_1,30000_30003_1</v>
      </c>
      <c r="O222">
        <f>equip.xml!R226</f>
        <v>0</v>
      </c>
    </row>
    <row r="223" spans="1:15">
      <c r="A223" s="14" t="str">
        <f>equip.xml!A227</f>
        <v>10500020</v>
      </c>
      <c r="B223" s="14">
        <f>equip.xml!B227</f>
        <v>1</v>
      </c>
      <c r="C223" s="14" t="str">
        <f>equip.xml!C227</f>
        <v>灵风之戒</v>
      </c>
      <c r="D223" s="14" t="str">
        <f>equip.xml!D227</f>
        <v>戒指</v>
      </c>
      <c r="E223" s="14">
        <f>equip.xml!E227</f>
        <v>2</v>
      </c>
      <c r="F223" s="14">
        <f>equip.xml!F227</f>
        <v>1</v>
      </c>
      <c r="G223" s="14">
        <f>equip.xml!G227</f>
        <v>50</v>
      </c>
      <c r="H223" s="14">
        <f>equip.xml!H227</f>
        <v>0</v>
      </c>
      <c r="I223" s="14">
        <f>equip.xml!J227</f>
        <v>5</v>
      </c>
      <c r="J223" s="14">
        <f>equip.xml!K227</f>
        <v>0</v>
      </c>
      <c r="K223" s="14">
        <f>equip.xml!L227</f>
        <v>0</v>
      </c>
      <c r="L223" s="14" t="str">
        <f>equip.xml!M227</f>
        <v>102_975_975</v>
      </c>
      <c r="M223" s="17" t="str">
        <f>equip.xml!Q227</f>
        <v>equipment/14008.png</v>
      </c>
      <c r="N223" s="16" t="str">
        <f>equip.xml!P227</f>
        <v>10000_1002_50000,30000_30001_1,30000_30002_1,30000_30003_1</v>
      </c>
      <c r="O223">
        <f>equip.xml!R227</f>
        <v>0</v>
      </c>
    </row>
    <row r="224" spans="1:15">
      <c r="A224" s="14" t="str">
        <f>equip.xml!A228</f>
        <v>10500030</v>
      </c>
      <c r="B224" s="14">
        <f>equip.xml!B228</f>
        <v>1</v>
      </c>
      <c r="C224" s="14" t="str">
        <f>equip.xml!C228</f>
        <v>生命腰带</v>
      </c>
      <c r="D224" s="14" t="str">
        <f>equip.xml!D228</f>
        <v>腰带</v>
      </c>
      <c r="E224" s="14">
        <f>equip.xml!E228</f>
        <v>3</v>
      </c>
      <c r="F224" s="14">
        <f>equip.xml!F228</f>
        <v>1</v>
      </c>
      <c r="G224" s="14">
        <f>equip.xml!G228</f>
        <v>50</v>
      </c>
      <c r="H224" s="14">
        <f>equip.xml!H228</f>
        <v>0</v>
      </c>
      <c r="I224" s="14">
        <f>equip.xml!J228</f>
        <v>5</v>
      </c>
      <c r="J224" s="14">
        <f>equip.xml!K228</f>
        <v>0</v>
      </c>
      <c r="K224" s="14">
        <f>equip.xml!L228</f>
        <v>0</v>
      </c>
      <c r="L224" s="14" t="str">
        <f>equip.xml!M228</f>
        <v>101_11560_11560</v>
      </c>
      <c r="M224" s="17" t="str">
        <f>equip.xml!Q228</f>
        <v>equipment/6009.png</v>
      </c>
      <c r="N224" s="16" t="str">
        <f>equip.xml!P228</f>
        <v>10000_1002_50000,30000_30001_1,30000_30002_1,30000_30003_1</v>
      </c>
      <c r="O224">
        <f>equip.xml!R228</f>
        <v>0</v>
      </c>
    </row>
    <row r="225" spans="1:15">
      <c r="A225" s="14" t="str">
        <f>equip.xml!A229</f>
        <v>10500080</v>
      </c>
      <c r="B225" s="14">
        <f>equip.xml!B229</f>
        <v>1</v>
      </c>
      <c r="C225" s="14" t="str">
        <f>equip.xml!C229</f>
        <v>龙鳞护胫</v>
      </c>
      <c r="D225" s="14" t="str">
        <f>equip.xml!D229</f>
        <v>鞋子</v>
      </c>
      <c r="E225" s="14">
        <f>equip.xml!E229</f>
        <v>8</v>
      </c>
      <c r="F225" s="14">
        <f>equip.xml!F229</f>
        <v>1</v>
      </c>
      <c r="G225" s="14">
        <f>equip.xml!G229</f>
        <v>50</v>
      </c>
      <c r="H225" s="14">
        <f>equip.xml!H229</f>
        <v>0</v>
      </c>
      <c r="I225" s="14">
        <f>equip.xml!J229</f>
        <v>5</v>
      </c>
      <c r="J225" s="14">
        <f>equip.xml!K229</f>
        <v>0</v>
      </c>
      <c r="K225" s="14">
        <f>equip.xml!L229</f>
        <v>0</v>
      </c>
      <c r="L225" s="14" t="str">
        <f>equip.xml!M229</f>
        <v>110_172_172</v>
      </c>
      <c r="M225" s="17" t="str">
        <f>equip.xml!Q229</f>
        <v>equipment/8004.png</v>
      </c>
      <c r="N225" s="16" t="str">
        <f>equip.xml!P229</f>
        <v>10000_1002_50000,30000_30001_1,30000_30002_1,30000_30003_1</v>
      </c>
      <c r="O225">
        <f>equip.xml!R229</f>
        <v>0</v>
      </c>
    </row>
    <row r="226" spans="1:15">
      <c r="A226" s="14" t="str">
        <f>equip.xml!A230</f>
        <v>10500090</v>
      </c>
      <c r="B226" s="14">
        <f>equip.xml!B230</f>
        <v>1</v>
      </c>
      <c r="C226" s="14" t="str">
        <f>equip.xml!C230</f>
        <v>血拳手套</v>
      </c>
      <c r="D226" s="14" t="str">
        <f>equip.xml!D230</f>
        <v>手套</v>
      </c>
      <c r="E226" s="14">
        <f>equip.xml!E230</f>
        <v>9</v>
      </c>
      <c r="F226" s="14">
        <f>equip.xml!F230</f>
        <v>1</v>
      </c>
      <c r="G226" s="14">
        <f>equip.xml!G230</f>
        <v>50</v>
      </c>
      <c r="H226" s="14">
        <f>equip.xml!H230</f>
        <v>0</v>
      </c>
      <c r="I226" s="14">
        <f>equip.xml!J230</f>
        <v>5</v>
      </c>
      <c r="J226" s="14">
        <f>equip.xml!K230</f>
        <v>0</v>
      </c>
      <c r="K226" s="14">
        <f>equip.xml!L230</f>
        <v>0</v>
      </c>
      <c r="L226" s="14" t="str">
        <f>equip.xml!M230</f>
        <v>108_1726_1726</v>
      </c>
      <c r="M226" s="17" t="str">
        <f>equip.xml!Q230</f>
        <v>equipment/10009.png</v>
      </c>
      <c r="N226" s="16" t="str">
        <f>equip.xml!P230</f>
        <v>10000_1002_50000,30000_30001_1,30000_30002_1,30000_30003_1</v>
      </c>
      <c r="O226">
        <f>equip.xml!R230</f>
        <v>0</v>
      </c>
    </row>
    <row r="227" spans="1:15">
      <c r="A227" s="14" t="str">
        <f>equip.xml!A231</f>
        <v>10500100</v>
      </c>
      <c r="B227" s="14">
        <f>equip.xml!B231</f>
        <v>1</v>
      </c>
      <c r="C227" s="14" t="str">
        <f>equip.xml!C231</f>
        <v>誓言护坠</v>
      </c>
      <c r="D227" s="14" t="str">
        <f>equip.xml!D231</f>
        <v>项链</v>
      </c>
      <c r="E227" s="14">
        <f>equip.xml!E231</f>
        <v>10</v>
      </c>
      <c r="F227" s="14">
        <f>equip.xml!F231</f>
        <v>1</v>
      </c>
      <c r="G227" s="14">
        <f>equip.xml!G231</f>
        <v>50</v>
      </c>
      <c r="H227" s="14">
        <f>equip.xml!H231</f>
        <v>0</v>
      </c>
      <c r="I227" s="14">
        <f>equip.xml!J231</f>
        <v>5</v>
      </c>
      <c r="J227" s="14">
        <f>equip.xml!K231</f>
        <v>0</v>
      </c>
      <c r="K227" s="14">
        <f>equip.xml!L231</f>
        <v>0</v>
      </c>
      <c r="L227" s="14" t="str">
        <f>equip.xml!M231</f>
        <v>107_1000_1000</v>
      </c>
      <c r="M227" s="17" t="str">
        <f>equip.xml!Q231</f>
        <v>equipment/12008.png</v>
      </c>
      <c r="N227" s="16" t="str">
        <f>equip.xml!P231</f>
        <v>10000_1002_50000,30000_30001_1,30000_30002_1,30000_30003_1</v>
      </c>
      <c r="O227">
        <f>equip.xml!R231</f>
        <v>0</v>
      </c>
    </row>
    <row r="228" spans="1:15">
      <c r="A228" s="14" t="str">
        <f>equip.xml!A232</f>
        <v>10501050</v>
      </c>
      <c r="B228" s="14">
        <f>equip.xml!B232</f>
        <v>1</v>
      </c>
      <c r="C228" s="14" t="str">
        <f>equip.xml!C232</f>
        <v>黎明之刃</v>
      </c>
      <c r="D228" s="14" t="str">
        <f>equip.xml!D232</f>
        <v>主手武器</v>
      </c>
      <c r="E228" s="14">
        <f>equip.xml!E232</f>
        <v>5</v>
      </c>
      <c r="F228" s="14">
        <f>equip.xml!F232</f>
        <v>1</v>
      </c>
      <c r="G228" s="14">
        <f>equip.xml!G232</f>
        <v>50</v>
      </c>
      <c r="H228" s="14" t="str">
        <f>equip.xml!H232</f>
        <v>1,1001</v>
      </c>
      <c r="I228" s="14">
        <f>equip.xml!J232</f>
        <v>5</v>
      </c>
      <c r="J228" s="14">
        <f>equip.xml!K232</f>
        <v>0</v>
      </c>
      <c r="K228" s="14">
        <f>equip.xml!L232</f>
        <v>0</v>
      </c>
      <c r="L228" s="14" t="str">
        <f>equip.xml!M232</f>
        <v>103_1097_1097,104_2194_2194</v>
      </c>
      <c r="M228" s="17" t="str">
        <f>equip.xml!Q232</f>
        <v>equipment/1119.png</v>
      </c>
      <c r="N228" s="16" t="str">
        <f>equip.xml!P232</f>
        <v>10000_1002_50000,30000_30001_1,30000_30002_1,30000_30003_1</v>
      </c>
      <c r="O228">
        <f>equip.xml!R232</f>
        <v>0</v>
      </c>
    </row>
    <row r="229" spans="1:15">
      <c r="A229" s="14" t="str">
        <f>equip.xml!A233</f>
        <v>10501051</v>
      </c>
      <c r="B229" s="14">
        <f>equip.xml!B233</f>
        <v>1</v>
      </c>
      <c r="C229" s="14" t="str">
        <f>equip.xml!C233</f>
        <v>放逐者之刃</v>
      </c>
      <c r="D229" s="14" t="str">
        <f>equip.xml!D233</f>
        <v>主手武器</v>
      </c>
      <c r="E229" s="14">
        <f>equip.xml!E233</f>
        <v>5</v>
      </c>
      <c r="F229" s="14">
        <f>equip.xml!F233</f>
        <v>1</v>
      </c>
      <c r="G229" s="14">
        <f>equip.xml!G233</f>
        <v>50</v>
      </c>
      <c r="H229" s="14" t="str">
        <f>equip.xml!H233</f>
        <v>1,1001</v>
      </c>
      <c r="I229" s="14">
        <f>equip.xml!J233</f>
        <v>5</v>
      </c>
      <c r="J229" s="14">
        <f>equip.xml!K233</f>
        <v>0</v>
      </c>
      <c r="K229" s="14">
        <f>equip.xml!L233</f>
        <v>0</v>
      </c>
      <c r="L229" s="14" t="str">
        <f>equip.xml!M233</f>
        <v>103_1222_1222,104_2444_2444</v>
      </c>
      <c r="M229" s="17" t="str">
        <f>equip.xml!Q233</f>
        <v>equipment/1120.png</v>
      </c>
      <c r="N229" s="16" t="str">
        <f>equip.xml!P233</f>
        <v>10000_1002_50000,30000_30001_1,30000_30002_1,30000_30003_1</v>
      </c>
      <c r="O229">
        <f>equip.xml!R233</f>
        <v>0</v>
      </c>
    </row>
    <row r="230" spans="1:15">
      <c r="A230" s="14" t="str">
        <f>equip.xml!A234</f>
        <v>10501060</v>
      </c>
      <c r="B230" s="14">
        <f>equip.xml!B234</f>
        <v>1</v>
      </c>
      <c r="C230" s="14" t="str">
        <f>equip.xml!C234</f>
        <v>魂祭之盾</v>
      </c>
      <c r="D230" s="14" t="str">
        <f>equip.xml!D234</f>
        <v>副手武器</v>
      </c>
      <c r="E230" s="14">
        <f>equip.xml!E234</f>
        <v>6</v>
      </c>
      <c r="F230" s="14">
        <f>equip.xml!F234</f>
        <v>1</v>
      </c>
      <c r="G230" s="14">
        <f>equip.xml!G234</f>
        <v>50</v>
      </c>
      <c r="H230" s="14" t="str">
        <f>equip.xml!H234</f>
        <v>1,1001</v>
      </c>
      <c r="I230" s="14">
        <f>equip.xml!J234</f>
        <v>5</v>
      </c>
      <c r="J230" s="14">
        <f>equip.xml!K234</f>
        <v>0</v>
      </c>
      <c r="K230" s="14">
        <f>equip.xml!L234</f>
        <v>0</v>
      </c>
      <c r="L230" s="14" t="str">
        <f>equip.xml!M234</f>
        <v>105_1401_1401</v>
      </c>
      <c r="M230" s="17" t="str">
        <f>equip.xml!Q234</f>
        <v>equipment/2111.png</v>
      </c>
      <c r="N230" s="16" t="str">
        <f>equip.xml!P234</f>
        <v>10000_1002_50000,30000_30001_1,30000_30002_1,30000_30003_1</v>
      </c>
      <c r="O230">
        <f>equip.xml!R234</f>
        <v>0</v>
      </c>
    </row>
    <row r="231" spans="1:15">
      <c r="A231" s="14" t="str">
        <f>equip.xml!A235</f>
        <v>10501061</v>
      </c>
      <c r="B231" s="14">
        <f>equip.xml!B235</f>
        <v>1</v>
      </c>
      <c r="C231" s="14" t="str">
        <f>equip.xml!C235</f>
        <v>氪金大盾</v>
      </c>
      <c r="D231" s="14" t="str">
        <f>equip.xml!D235</f>
        <v>副手武器</v>
      </c>
      <c r="E231" s="14">
        <f>equip.xml!E235</f>
        <v>6</v>
      </c>
      <c r="F231" s="14">
        <f>equip.xml!F235</f>
        <v>1</v>
      </c>
      <c r="G231" s="14">
        <f>equip.xml!G235</f>
        <v>50</v>
      </c>
      <c r="H231" s="14" t="str">
        <f>equip.xml!H235</f>
        <v>1,1001</v>
      </c>
      <c r="I231" s="14">
        <f>equip.xml!J235</f>
        <v>5</v>
      </c>
      <c r="J231" s="14">
        <f>equip.xml!K235</f>
        <v>0</v>
      </c>
      <c r="K231" s="14">
        <f>equip.xml!L235</f>
        <v>0</v>
      </c>
      <c r="L231" s="14" t="str">
        <f>equip.xml!M235</f>
        <v>105_1633_1633</v>
      </c>
      <c r="M231" s="17" t="str">
        <f>equip.xml!Q235</f>
        <v>equipment/2112.png</v>
      </c>
      <c r="N231" s="16" t="str">
        <f>equip.xml!P235</f>
        <v>10000_1002_50000,30000_30001_1,30000_30002_1,30000_30003_1</v>
      </c>
      <c r="O231">
        <f>equip.xml!R235</f>
        <v>0</v>
      </c>
    </row>
    <row r="232" spans="1:15">
      <c r="A232" s="14" t="str">
        <f>equip.xml!A236</f>
        <v>10502050</v>
      </c>
      <c r="B232" s="14">
        <f>equip.xml!B236</f>
        <v>1</v>
      </c>
      <c r="C232" s="14" t="str">
        <f>equip.xml!C236</f>
        <v>觅心者长弓</v>
      </c>
      <c r="D232" s="14" t="str">
        <f>equip.xml!D236</f>
        <v>主手武器</v>
      </c>
      <c r="E232" s="14">
        <f>equip.xml!E236</f>
        <v>5</v>
      </c>
      <c r="F232" s="14">
        <f>equip.xml!F236</f>
        <v>1</v>
      </c>
      <c r="G232" s="14">
        <f>equip.xml!G236</f>
        <v>50</v>
      </c>
      <c r="H232" s="14" t="str">
        <f>equip.xml!H236</f>
        <v>2,1002</v>
      </c>
      <c r="I232" s="14">
        <f>equip.xml!J236</f>
        <v>5</v>
      </c>
      <c r="J232" s="14">
        <f>equip.xml!K236</f>
        <v>0</v>
      </c>
      <c r="K232" s="14">
        <f>equip.xml!L236</f>
        <v>0</v>
      </c>
      <c r="L232" s="14" t="str">
        <f>equip.xml!M236</f>
        <v>103_1097_1097,104_2194_2194</v>
      </c>
      <c r="M232" s="17" t="str">
        <f>equip.xml!Q236</f>
        <v>equipment/1218.png</v>
      </c>
      <c r="N232" s="16" t="str">
        <f>equip.xml!P236</f>
        <v>10000_1002_50000,30000_30001_1,30000_30002_1,30000_30003_1</v>
      </c>
      <c r="O232">
        <f>equip.xml!R236</f>
        <v>0</v>
      </c>
    </row>
    <row r="233" spans="1:15">
      <c r="A233" s="14" t="str">
        <f>equip.xml!A237</f>
        <v>10502051</v>
      </c>
      <c r="B233" s="14">
        <f>equip.xml!B237</f>
        <v>1</v>
      </c>
      <c r="C233" s="14" t="str">
        <f>equip.xml!C237</f>
        <v>阳炎之弓</v>
      </c>
      <c r="D233" s="14" t="str">
        <f>equip.xml!D237</f>
        <v>主手武器</v>
      </c>
      <c r="E233" s="14">
        <f>equip.xml!E237</f>
        <v>5</v>
      </c>
      <c r="F233" s="14">
        <f>equip.xml!F237</f>
        <v>1</v>
      </c>
      <c r="G233" s="14">
        <f>equip.xml!G237</f>
        <v>50</v>
      </c>
      <c r="H233" s="14" t="str">
        <f>equip.xml!H237</f>
        <v>2,1002</v>
      </c>
      <c r="I233" s="14">
        <f>equip.xml!J237</f>
        <v>5</v>
      </c>
      <c r="J233" s="14">
        <f>equip.xml!K237</f>
        <v>0</v>
      </c>
      <c r="K233" s="14">
        <f>equip.xml!L237</f>
        <v>0</v>
      </c>
      <c r="L233" s="14" t="str">
        <f>equip.xml!M237</f>
        <v>103_1222_1222,104_2444_2444</v>
      </c>
      <c r="M233" s="17" t="str">
        <f>equip.xml!Q237</f>
        <v>equipment/1221.png</v>
      </c>
      <c r="N233" s="16" t="str">
        <f>equip.xml!P237</f>
        <v>10000_1002_50000,30000_30001_1,30000_30002_1,30000_30003_1</v>
      </c>
      <c r="O233">
        <f>equip.xml!R237</f>
        <v>0</v>
      </c>
    </row>
    <row r="234" spans="1:15">
      <c r="A234" s="14" t="str">
        <f>equip.xml!A238</f>
        <v>10502060</v>
      </c>
      <c r="B234" s="14">
        <f>equip.xml!B238</f>
        <v>1</v>
      </c>
      <c r="C234" s="14" t="str">
        <f>equip.xml!C238</f>
        <v>黑骨箭袋</v>
      </c>
      <c r="D234" s="14" t="str">
        <f>equip.xml!D238</f>
        <v>副手武器</v>
      </c>
      <c r="E234" s="14">
        <f>equip.xml!E238</f>
        <v>6</v>
      </c>
      <c r="F234" s="14">
        <f>equip.xml!F238</f>
        <v>1</v>
      </c>
      <c r="G234" s="14">
        <f>equip.xml!G238</f>
        <v>50</v>
      </c>
      <c r="H234" s="14" t="str">
        <f>equip.xml!H238</f>
        <v>2,1002</v>
      </c>
      <c r="I234" s="14">
        <f>equip.xml!J238</f>
        <v>5</v>
      </c>
      <c r="J234" s="14">
        <f>equip.xml!K238</f>
        <v>0</v>
      </c>
      <c r="K234" s="14">
        <f>equip.xml!L238</f>
        <v>0</v>
      </c>
      <c r="L234" s="14" t="str">
        <f>equip.xml!M238</f>
        <v>108_1401_1401</v>
      </c>
      <c r="M234" s="17" t="str">
        <f>equip.xml!Q238</f>
        <v>equipment/2210.png</v>
      </c>
      <c r="N234" s="16" t="str">
        <f>equip.xml!P238</f>
        <v>10000_1002_50000,30000_30001_1,30000_30002_1,30000_30003_1</v>
      </c>
      <c r="O234">
        <f>equip.xml!R238</f>
        <v>0</v>
      </c>
    </row>
    <row r="235" spans="1:15">
      <c r="A235" s="14" t="str">
        <f>equip.xml!A239</f>
        <v>10502061</v>
      </c>
      <c r="B235" s="14">
        <f>equip.xml!B239</f>
        <v>1</v>
      </c>
      <c r="C235" s="14" t="str">
        <f>equip.xml!C239</f>
        <v>符文箭筒</v>
      </c>
      <c r="D235" s="14" t="str">
        <f>equip.xml!D239</f>
        <v>副手武器</v>
      </c>
      <c r="E235" s="14">
        <f>equip.xml!E239</f>
        <v>6</v>
      </c>
      <c r="F235" s="14">
        <f>equip.xml!F239</f>
        <v>1</v>
      </c>
      <c r="G235" s="14">
        <f>equip.xml!G239</f>
        <v>50</v>
      </c>
      <c r="H235" s="14" t="str">
        <f>equip.xml!H239</f>
        <v>2,1002</v>
      </c>
      <c r="I235" s="14">
        <f>equip.xml!J239</f>
        <v>5</v>
      </c>
      <c r="J235" s="14">
        <f>equip.xml!K239</f>
        <v>0</v>
      </c>
      <c r="K235" s="14">
        <f>equip.xml!L239</f>
        <v>0</v>
      </c>
      <c r="L235" s="14" t="str">
        <f>equip.xml!M239</f>
        <v>108_1633_1633</v>
      </c>
      <c r="M235" s="17" t="str">
        <f>equip.xml!Q239</f>
        <v>equipment/2212.png</v>
      </c>
      <c r="N235" s="16" t="str">
        <f>equip.xml!P239</f>
        <v>10000_1002_50000,30000_30001_1,30000_30002_1,30000_30003_1</v>
      </c>
      <c r="O235">
        <f>equip.xml!R239</f>
        <v>0</v>
      </c>
    </row>
    <row r="236" spans="1:15">
      <c r="A236" s="14" t="str">
        <f>equip.xml!A240</f>
        <v>10503050</v>
      </c>
      <c r="B236" s="14">
        <f>equip.xml!B240</f>
        <v>1</v>
      </c>
      <c r="C236" s="14" t="str">
        <f>equip.xml!C240</f>
        <v>虚灵法杖</v>
      </c>
      <c r="D236" s="14" t="str">
        <f>equip.xml!D240</f>
        <v>主手武器</v>
      </c>
      <c r="E236" s="14">
        <f>equip.xml!E240</f>
        <v>5</v>
      </c>
      <c r="F236" s="14">
        <f>equip.xml!F240</f>
        <v>1</v>
      </c>
      <c r="G236" s="14">
        <f>equip.xml!G240</f>
        <v>50</v>
      </c>
      <c r="H236" s="14" t="str">
        <f>equip.xml!H240</f>
        <v>3,1003</v>
      </c>
      <c r="I236" s="14">
        <f>equip.xml!J240</f>
        <v>5</v>
      </c>
      <c r="J236" s="14">
        <f>equip.xml!K240</f>
        <v>0</v>
      </c>
      <c r="K236" s="14">
        <f>equip.xml!L240</f>
        <v>0</v>
      </c>
      <c r="L236" s="14" t="str">
        <f>equip.xml!M240</f>
        <v>103_1097_1097,104_2194_2194</v>
      </c>
      <c r="M236" s="17" t="str">
        <f>equip.xml!Q240</f>
        <v>equipment/1319.png</v>
      </c>
      <c r="N236" s="16" t="str">
        <f>equip.xml!P240</f>
        <v>10000_1002_50000,30000_30001_1,30000_30002_1,30000_30003_1</v>
      </c>
      <c r="O236">
        <f>equip.xml!R240</f>
        <v>0</v>
      </c>
    </row>
    <row r="237" spans="1:15">
      <c r="A237" s="14" t="str">
        <f>equip.xml!A241</f>
        <v>10503051</v>
      </c>
      <c r="B237" s="14">
        <f>equip.xml!B241</f>
        <v>1</v>
      </c>
      <c r="C237" s="14" t="str">
        <f>equip.xml!C241</f>
        <v>恒光巨杖</v>
      </c>
      <c r="D237" s="14" t="str">
        <f>equip.xml!D241</f>
        <v>主手武器</v>
      </c>
      <c r="E237" s="14">
        <f>equip.xml!E241</f>
        <v>5</v>
      </c>
      <c r="F237" s="14">
        <f>equip.xml!F241</f>
        <v>1</v>
      </c>
      <c r="G237" s="14">
        <f>equip.xml!G241</f>
        <v>50</v>
      </c>
      <c r="H237" s="14" t="str">
        <f>equip.xml!H241</f>
        <v>3,1003</v>
      </c>
      <c r="I237" s="14">
        <f>equip.xml!J241</f>
        <v>5</v>
      </c>
      <c r="J237" s="14">
        <f>equip.xml!K241</f>
        <v>0</v>
      </c>
      <c r="K237" s="14">
        <f>equip.xml!L241</f>
        <v>0</v>
      </c>
      <c r="L237" s="14" t="str">
        <f>equip.xml!M241</f>
        <v>103_1222_1222,104_2444_2444</v>
      </c>
      <c r="M237" s="17" t="str">
        <f>equip.xml!Q241</f>
        <v>equipment/1320.png</v>
      </c>
      <c r="N237" s="16" t="str">
        <f>equip.xml!P241</f>
        <v>10000_1002_50000,30000_30001_1,30000_30002_1,30000_30003_1</v>
      </c>
      <c r="O237">
        <f>equip.xml!R241</f>
        <v>0</v>
      </c>
    </row>
    <row r="238" spans="1:15">
      <c r="A238" s="14" t="str">
        <f>equip.xml!A242</f>
        <v>10503060</v>
      </c>
      <c r="B238" s="14">
        <f>equip.xml!B242</f>
        <v>1</v>
      </c>
      <c r="C238" s="14" t="str">
        <f>equip.xml!C242</f>
        <v>幻术之书</v>
      </c>
      <c r="D238" s="14" t="str">
        <f>equip.xml!D242</f>
        <v>副手武器</v>
      </c>
      <c r="E238" s="14">
        <f>equip.xml!E242</f>
        <v>6</v>
      </c>
      <c r="F238" s="14">
        <f>equip.xml!F242</f>
        <v>1</v>
      </c>
      <c r="G238" s="14">
        <f>equip.xml!G242</f>
        <v>50</v>
      </c>
      <c r="H238" s="14" t="str">
        <f>equip.xml!H242</f>
        <v>3,1003</v>
      </c>
      <c r="I238" s="14">
        <f>equip.xml!J242</f>
        <v>5</v>
      </c>
      <c r="J238" s="14">
        <f>equip.xml!K242</f>
        <v>0</v>
      </c>
      <c r="K238" s="14">
        <f>equip.xml!L242</f>
        <v>0</v>
      </c>
      <c r="L238" s="14" t="str">
        <f>equip.xml!M242</f>
        <v>102_1440_1440</v>
      </c>
      <c r="M238" s="17" t="str">
        <f>equip.xml!Q242</f>
        <v>equipment/2311.png</v>
      </c>
      <c r="N238" s="16" t="str">
        <f>equip.xml!P242</f>
        <v>10000_1002_50000,30000_30001_1,30000_30002_1,30000_30003_1</v>
      </c>
      <c r="O238">
        <f>equip.xml!R242</f>
        <v>0</v>
      </c>
    </row>
    <row r="239" spans="1:15">
      <c r="A239" s="14" t="str">
        <f>equip.xml!A243</f>
        <v>10503061</v>
      </c>
      <c r="B239" s="14">
        <f>equip.xml!B243</f>
        <v>1</v>
      </c>
      <c r="C239" s="14" t="str">
        <f>equip.xml!C243</f>
        <v>护咒之书</v>
      </c>
      <c r="D239" s="14" t="str">
        <f>equip.xml!D243</f>
        <v>副手武器</v>
      </c>
      <c r="E239" s="14">
        <f>equip.xml!E243</f>
        <v>6</v>
      </c>
      <c r="F239" s="14">
        <f>equip.xml!F243</f>
        <v>1</v>
      </c>
      <c r="G239" s="14">
        <f>equip.xml!G243</f>
        <v>50</v>
      </c>
      <c r="H239" s="14" t="str">
        <f>equip.xml!H243</f>
        <v>3,1003</v>
      </c>
      <c r="I239" s="14">
        <f>equip.xml!J243</f>
        <v>5</v>
      </c>
      <c r="J239" s="14">
        <f>equip.xml!K243</f>
        <v>0</v>
      </c>
      <c r="K239" s="14">
        <f>equip.xml!L243</f>
        <v>0</v>
      </c>
      <c r="L239" s="14" t="str">
        <f>equip.xml!M243</f>
        <v>102_1633_1633</v>
      </c>
      <c r="M239" s="17" t="str">
        <f>equip.xml!Q243</f>
        <v>equipment/2312.png</v>
      </c>
      <c r="N239" s="16" t="str">
        <f>equip.xml!P243</f>
        <v>10000_1002_50000,30000_30001_1,30000_30002_1,30000_30003_1</v>
      </c>
      <c r="O239">
        <f>equip.xml!R243</f>
        <v>0</v>
      </c>
    </row>
    <row r="240" spans="1:15">
      <c r="A240" s="14" t="str">
        <f>equip.xml!A244</f>
        <v>10500040</v>
      </c>
      <c r="B240" s="14">
        <f>equip.xml!B244</f>
        <v>1</v>
      </c>
      <c r="C240" s="14" t="str">
        <f>equip.xml!C244</f>
        <v>皇家护胸</v>
      </c>
      <c r="D240" s="14" t="str">
        <f>equip.xml!D244</f>
        <v>胸甲</v>
      </c>
      <c r="E240" s="14">
        <f>equip.xml!E244</f>
        <v>4</v>
      </c>
      <c r="F240" s="14">
        <f>equip.xml!F244</f>
        <v>1</v>
      </c>
      <c r="G240" s="14">
        <f>equip.xml!G244</f>
        <v>50</v>
      </c>
      <c r="H240" s="14">
        <f>equip.xml!H244</f>
        <v>0</v>
      </c>
      <c r="I240" s="14">
        <f>equip.xml!J244</f>
        <v>5</v>
      </c>
      <c r="J240" s="14">
        <f>equip.xml!K244</f>
        <v>0</v>
      </c>
      <c r="K240" s="14">
        <f>equip.xml!L244</f>
        <v>0</v>
      </c>
      <c r="L240" s="14" t="str">
        <f>equip.xml!M244</f>
        <v>105_780_780</v>
      </c>
      <c r="M240" s="17" t="str">
        <f>equip.xml!Q244</f>
        <v>equipment/5003.png</v>
      </c>
      <c r="N240" s="16" t="str">
        <f>equip.xml!P244</f>
        <v>10000_1002_50000,30000_30001_1,30000_30002_1,30000_30003_1</v>
      </c>
      <c r="O240">
        <f>equip.xml!R244</f>
        <v>0</v>
      </c>
    </row>
    <row r="241" spans="1:15">
      <c r="A241" s="14" t="str">
        <f>equip.xml!A245</f>
        <v>10500041</v>
      </c>
      <c r="B241" s="14">
        <f>equip.xml!B245</f>
        <v>0</v>
      </c>
      <c r="C241" s="14" t="str">
        <f>equip.xml!C245</f>
        <v>新兵外套</v>
      </c>
      <c r="D241" s="14" t="str">
        <f>equip.xml!D245</f>
        <v>胸甲</v>
      </c>
      <c r="E241" s="14">
        <f>equip.xml!E245</f>
        <v>4</v>
      </c>
      <c r="F241" s="14">
        <f>equip.xml!F245</f>
        <v>1</v>
      </c>
      <c r="G241" s="14">
        <f>equip.xml!G245</f>
        <v>50</v>
      </c>
      <c r="H241" s="14">
        <f>equip.xml!H245</f>
        <v>0</v>
      </c>
      <c r="I241" s="14">
        <f>equip.xml!J245</f>
        <v>5</v>
      </c>
      <c r="J241" s="14">
        <f>equip.xml!K245</f>
        <v>0</v>
      </c>
      <c r="K241" s="14">
        <f>equip.xml!L245</f>
        <v>0</v>
      </c>
      <c r="L241" s="14" t="str">
        <f>equip.xml!M245</f>
        <v>105_929_929</v>
      </c>
      <c r="M241" s="17" t="str">
        <f>equip.xml!Q245</f>
        <v>equipment/5001.png</v>
      </c>
      <c r="N241" s="16" t="str">
        <f>equip.xml!P245</f>
        <v>10000_1002_50000,30000_30001_1,30000_30002_1,30000_30003_1</v>
      </c>
      <c r="O241">
        <f>equip.xml!R245</f>
        <v>0</v>
      </c>
    </row>
    <row r="242" spans="1:15">
      <c r="A242" s="14" t="str">
        <f>equip.xml!A246</f>
        <v>10500070</v>
      </c>
      <c r="B242" s="14">
        <f>equip.xml!B246</f>
        <v>1</v>
      </c>
      <c r="C242" s="14" t="str">
        <f>equip.xml!C246</f>
        <v>凯旋腿甲</v>
      </c>
      <c r="D242" s="14" t="str">
        <f>equip.xml!D246</f>
        <v>护腿</v>
      </c>
      <c r="E242" s="14">
        <f>equip.xml!E246</f>
        <v>7</v>
      </c>
      <c r="F242" s="14">
        <f>equip.xml!F246</f>
        <v>1</v>
      </c>
      <c r="G242" s="14">
        <f>equip.xml!G246</f>
        <v>50</v>
      </c>
      <c r="H242" s="14">
        <f>equip.xml!H246</f>
        <v>0</v>
      </c>
      <c r="I242" s="14">
        <f>equip.xml!J246</f>
        <v>5</v>
      </c>
      <c r="J242" s="14">
        <f>equip.xml!K246</f>
        <v>0</v>
      </c>
      <c r="K242" s="14">
        <f>equip.xml!L246</f>
        <v>0</v>
      </c>
      <c r="L242" s="14" t="str">
        <f>equip.xml!M246</f>
        <v>105_628_628</v>
      </c>
      <c r="M242" s="17" t="str">
        <f>equip.xml!Q246</f>
        <v>equipment/7012.png</v>
      </c>
      <c r="N242" s="16" t="str">
        <f>equip.xml!P246</f>
        <v>10000_1002_50000,30000_30001_1,30000_30002_1,30000_30003_1</v>
      </c>
      <c r="O242">
        <f>equip.xml!R246</f>
        <v>0</v>
      </c>
    </row>
    <row r="243" spans="1:15">
      <c r="A243" s="14" t="str">
        <f>equip.xml!A247</f>
        <v>10500071</v>
      </c>
      <c r="B243" s="14">
        <f>equip.xml!B247</f>
        <v>0</v>
      </c>
      <c r="C243" s="14" t="str">
        <f>equip.xml!C247</f>
        <v>学徒短裤</v>
      </c>
      <c r="D243" s="14" t="str">
        <f>equip.xml!D247</f>
        <v>护腿</v>
      </c>
      <c r="E243" s="14">
        <f>equip.xml!E247</f>
        <v>7</v>
      </c>
      <c r="F243" s="14">
        <f>equip.xml!F247</f>
        <v>1</v>
      </c>
      <c r="G243" s="14">
        <f>equip.xml!G247</f>
        <v>50</v>
      </c>
      <c r="H243" s="14">
        <f>equip.xml!H247</f>
        <v>0</v>
      </c>
      <c r="I243" s="14">
        <f>equip.xml!J247</f>
        <v>5</v>
      </c>
      <c r="J243" s="14">
        <f>equip.xml!K247</f>
        <v>0</v>
      </c>
      <c r="K243" s="14">
        <f>equip.xml!L247</f>
        <v>0</v>
      </c>
      <c r="L243" s="14" t="str">
        <f>equip.xml!M247</f>
        <v>105_689_689</v>
      </c>
      <c r="M243" s="17" t="str">
        <f>equip.xml!Q247</f>
        <v>equipment/7001.png</v>
      </c>
      <c r="N243" s="16" t="str">
        <f>equip.xml!P247</f>
        <v>10000_1002_50000,30000_30001_1,30000_30002_1,30000_30003_1</v>
      </c>
      <c r="O243">
        <f>equip.xml!R247</f>
        <v>0</v>
      </c>
    </row>
    <row r="244" spans="1:15">
      <c r="A244" s="14" t="str">
        <f>equip.xml!A248</f>
        <v>10550010</v>
      </c>
      <c r="B244" s="14">
        <f>equip.xml!B248</f>
        <v>1</v>
      </c>
      <c r="C244" s="14" t="str">
        <f>equip.xml!C248</f>
        <v>银月头盔</v>
      </c>
      <c r="D244" s="14" t="str">
        <f>equip.xml!D248</f>
        <v>头盔</v>
      </c>
      <c r="E244" s="14">
        <f>equip.xml!E248</f>
        <v>1</v>
      </c>
      <c r="F244" s="14">
        <f>equip.xml!F248</f>
        <v>1</v>
      </c>
      <c r="G244" s="14">
        <f>equip.xml!G248</f>
        <v>55</v>
      </c>
      <c r="H244" s="14">
        <f>equip.xml!H248</f>
        <v>0</v>
      </c>
      <c r="I244" s="14">
        <f>equip.xml!J248</f>
        <v>5</v>
      </c>
      <c r="J244" s="14">
        <f>equip.xml!K248</f>
        <v>0</v>
      </c>
      <c r="K244" s="14">
        <f>equip.xml!L248</f>
        <v>0</v>
      </c>
      <c r="L244" s="14" t="str">
        <f>equip.xml!M248</f>
        <v>106_1291_1291</v>
      </c>
      <c r="M244" s="17" t="str">
        <f>equip.xml!Q248</f>
        <v>equipment/3009.png</v>
      </c>
      <c r="N244" s="16" t="str">
        <f>equip.xml!P248</f>
        <v>10000_1002_55000,30000_30001_1,30000_30002_1,30000_30003_1</v>
      </c>
      <c r="O244">
        <f>equip.xml!R248</f>
        <v>0</v>
      </c>
    </row>
    <row r="245" spans="1:15">
      <c r="A245" s="14" t="str">
        <f>equip.xml!A249</f>
        <v>10550020</v>
      </c>
      <c r="B245" s="14">
        <f>equip.xml!B249</f>
        <v>1</v>
      </c>
      <c r="C245" s="14" t="str">
        <f>equip.xml!C249</f>
        <v>镇魂之戒</v>
      </c>
      <c r="D245" s="14" t="str">
        <f>equip.xml!D249</f>
        <v>戒指</v>
      </c>
      <c r="E245" s="14">
        <f>equip.xml!E249</f>
        <v>2</v>
      </c>
      <c r="F245" s="14">
        <f>equip.xml!F249</f>
        <v>1</v>
      </c>
      <c r="G245" s="14">
        <f>equip.xml!G249</f>
        <v>55</v>
      </c>
      <c r="H245" s="14">
        <f>equip.xml!H249</f>
        <v>0</v>
      </c>
      <c r="I245" s="14">
        <f>equip.xml!J249</f>
        <v>5</v>
      </c>
      <c r="J245" s="14">
        <f>equip.xml!K249</f>
        <v>0</v>
      </c>
      <c r="K245" s="14">
        <f>equip.xml!L249</f>
        <v>0</v>
      </c>
      <c r="L245" s="14" t="str">
        <f>equip.xml!M249</f>
        <v>102_1080_1080</v>
      </c>
      <c r="M245" s="17" t="str">
        <f>equip.xml!Q249</f>
        <v>equipment/14009.png</v>
      </c>
      <c r="N245" s="16" t="str">
        <f>equip.xml!P249</f>
        <v>10000_1002_55000,30000_30001_1,30000_30002_1,30000_30003_1</v>
      </c>
      <c r="O245">
        <f>equip.xml!R249</f>
        <v>0</v>
      </c>
    </row>
    <row r="246" spans="1:15">
      <c r="A246" s="14" t="str">
        <f>equip.xml!A250</f>
        <v>10550030</v>
      </c>
      <c r="B246" s="14">
        <f>equip.xml!B250</f>
        <v>1</v>
      </c>
      <c r="C246" s="14" t="str">
        <f>equip.xml!C250</f>
        <v>魔鳞腰带</v>
      </c>
      <c r="D246" s="14" t="str">
        <f>equip.xml!D250</f>
        <v>腰带</v>
      </c>
      <c r="E246" s="14">
        <f>equip.xml!E250</f>
        <v>3</v>
      </c>
      <c r="F246" s="14">
        <f>equip.xml!F250</f>
        <v>1</v>
      </c>
      <c r="G246" s="14">
        <f>equip.xml!G250</f>
        <v>55</v>
      </c>
      <c r="H246" s="14">
        <f>equip.xml!H250</f>
        <v>0</v>
      </c>
      <c r="I246" s="14">
        <f>equip.xml!J250</f>
        <v>5</v>
      </c>
      <c r="J246" s="14">
        <f>equip.xml!K250</f>
        <v>0</v>
      </c>
      <c r="K246" s="14">
        <f>equip.xml!L250</f>
        <v>0</v>
      </c>
      <c r="L246" s="14" t="str">
        <f>equip.xml!M250</f>
        <v>101_12800_12800</v>
      </c>
      <c r="M246" s="17" t="str">
        <f>equip.xml!Q250</f>
        <v>equipment/6004.png</v>
      </c>
      <c r="N246" s="16" t="str">
        <f>equip.xml!P250</f>
        <v>10000_1002_55000,30000_30001_1,30000_30002_1,30000_30003_1</v>
      </c>
      <c r="O246">
        <f>equip.xml!R250</f>
        <v>0</v>
      </c>
    </row>
    <row r="247" spans="1:15">
      <c r="A247" s="14" t="str">
        <f>equip.xml!A251</f>
        <v>10550080</v>
      </c>
      <c r="B247" s="14">
        <f>equip.xml!B251</f>
        <v>1</v>
      </c>
      <c r="C247" s="14" t="str">
        <f>equip.xml!C251</f>
        <v>天行者之靴</v>
      </c>
      <c r="D247" s="14" t="str">
        <f>equip.xml!D251</f>
        <v>鞋子</v>
      </c>
      <c r="E247" s="14">
        <f>equip.xml!E251</f>
        <v>8</v>
      </c>
      <c r="F247" s="14">
        <f>equip.xml!F251</f>
        <v>1</v>
      </c>
      <c r="G247" s="14">
        <f>equip.xml!G251</f>
        <v>55</v>
      </c>
      <c r="H247" s="14">
        <f>equip.xml!H251</f>
        <v>0</v>
      </c>
      <c r="I247" s="14">
        <f>equip.xml!J251</f>
        <v>5</v>
      </c>
      <c r="J247" s="14">
        <f>equip.xml!K251</f>
        <v>0</v>
      </c>
      <c r="K247" s="14">
        <f>equip.xml!L251</f>
        <v>0</v>
      </c>
      <c r="L247" s="14" t="str">
        <f>equip.xml!M251</f>
        <v>110_219_219</v>
      </c>
      <c r="M247" s="17" t="str">
        <f>equip.xml!Q251</f>
        <v>equipment/8009.png</v>
      </c>
      <c r="N247" s="16" t="str">
        <f>equip.xml!P251</f>
        <v>10000_1002_55000,30000_30001_1,30000_30002_1,30000_30003_1</v>
      </c>
      <c r="O247">
        <f>equip.xml!R251</f>
        <v>0</v>
      </c>
    </row>
    <row r="248" spans="1:15">
      <c r="A248" s="14" t="str">
        <f>equip.xml!A252</f>
        <v>10550090</v>
      </c>
      <c r="B248" s="14">
        <f>equip.xml!B252</f>
        <v>0</v>
      </c>
      <c r="C248" s="14" t="str">
        <f>equip.xml!C252</f>
        <v>轻布手套</v>
      </c>
      <c r="D248" s="14" t="str">
        <f>equip.xml!D252</f>
        <v>手套</v>
      </c>
      <c r="E248" s="14">
        <f>equip.xml!E252</f>
        <v>9</v>
      </c>
      <c r="F248" s="14">
        <f>equip.xml!F252</f>
        <v>1</v>
      </c>
      <c r="G248" s="14">
        <f>equip.xml!G252</f>
        <v>55</v>
      </c>
      <c r="H248" s="14">
        <f>equip.xml!H252</f>
        <v>0</v>
      </c>
      <c r="I248" s="14">
        <f>equip.xml!J252</f>
        <v>5</v>
      </c>
      <c r="J248" s="14">
        <f>equip.xml!K252</f>
        <v>0</v>
      </c>
      <c r="K248" s="14">
        <f>equip.xml!L252</f>
        <v>0</v>
      </c>
      <c r="L248" s="14" t="str">
        <f>equip.xml!M252</f>
        <v>108_1726_1726</v>
      </c>
      <c r="M248" s="17" t="str">
        <f>equip.xml!Q252</f>
        <v>equipment/10006.png</v>
      </c>
      <c r="N248" s="16" t="str">
        <f>equip.xml!P252</f>
        <v>10000_1002_55000,30000_30001_1,30000_30002_1,30000_30003_1</v>
      </c>
      <c r="O248">
        <f>equip.xml!R252</f>
        <v>0</v>
      </c>
    </row>
    <row r="249" spans="1:15">
      <c r="A249" s="14" t="str">
        <f>equip.xml!A253</f>
        <v>10550100</v>
      </c>
      <c r="B249" s="14">
        <f>equip.xml!B253</f>
        <v>1</v>
      </c>
      <c r="C249" s="14" t="str">
        <f>equip.xml!C253</f>
        <v>遗忘石坠</v>
      </c>
      <c r="D249" s="14" t="str">
        <f>equip.xml!D253</f>
        <v>项链</v>
      </c>
      <c r="E249" s="14">
        <f>equip.xml!E253</f>
        <v>10</v>
      </c>
      <c r="F249" s="14">
        <f>equip.xml!F253</f>
        <v>1</v>
      </c>
      <c r="G249" s="14">
        <f>equip.xml!G253</f>
        <v>55</v>
      </c>
      <c r="H249" s="14">
        <f>equip.xml!H253</f>
        <v>0</v>
      </c>
      <c r="I249" s="14">
        <f>equip.xml!J253</f>
        <v>5</v>
      </c>
      <c r="J249" s="14">
        <f>equip.xml!K253</f>
        <v>0</v>
      </c>
      <c r="K249" s="14">
        <f>equip.xml!L253</f>
        <v>0</v>
      </c>
      <c r="L249" s="14" t="str">
        <f>equip.xml!M253</f>
        <v>107_1291_1291</v>
      </c>
      <c r="M249" s="17" t="str">
        <f>equip.xml!Q253</f>
        <v>equipment/12009.png</v>
      </c>
      <c r="N249" s="16" t="str">
        <f>equip.xml!P253</f>
        <v>10000_1002_55000,30000_30001_1,30000_30002_1,30000_30003_1</v>
      </c>
      <c r="O249">
        <f>equip.xml!R253</f>
        <v>0</v>
      </c>
    </row>
    <row r="250" spans="1:15">
      <c r="A250" s="14" t="str">
        <f>equip.xml!A254</f>
        <v>10551050</v>
      </c>
      <c r="B250" s="14">
        <f>equip.xml!B254</f>
        <v>1</v>
      </c>
      <c r="C250" s="14" t="str">
        <f>equip.xml!C254</f>
        <v>噬魂符剑</v>
      </c>
      <c r="D250" s="14" t="str">
        <f>equip.xml!D254</f>
        <v>主手武器</v>
      </c>
      <c r="E250" s="14">
        <f>equip.xml!E254</f>
        <v>5</v>
      </c>
      <c r="F250" s="14">
        <f>equip.xml!F254</f>
        <v>1</v>
      </c>
      <c r="G250" s="14">
        <f>equip.xml!G254</f>
        <v>55</v>
      </c>
      <c r="H250" s="14" t="str">
        <f>equip.xml!H254</f>
        <v>1,1001</v>
      </c>
      <c r="I250" s="14">
        <f>equip.xml!J254</f>
        <v>5</v>
      </c>
      <c r="J250" s="14">
        <f>equip.xml!K254</f>
        <v>0</v>
      </c>
      <c r="K250" s="14">
        <f>equip.xml!L254</f>
        <v>0</v>
      </c>
      <c r="L250" s="14" t="str">
        <f>equip.xml!M254</f>
        <v>103_1409_1409,104_2818_2818</v>
      </c>
      <c r="M250" s="17" t="str">
        <f>equip.xml!Q254</f>
        <v>equipment/1121.png</v>
      </c>
      <c r="N250" s="16" t="str">
        <f>equip.xml!P254</f>
        <v>10000_1002_55000,30000_30001_1,30000_30002_1,30000_30003_1</v>
      </c>
      <c r="O250">
        <f>equip.xml!R254</f>
        <v>0</v>
      </c>
    </row>
    <row r="251" spans="1:15">
      <c r="A251" s="14" t="str">
        <f>equip.xml!A255</f>
        <v>10551051</v>
      </c>
      <c r="B251" s="14">
        <f>equip.xml!B255</f>
        <v>0</v>
      </c>
      <c r="C251" s="14" t="str">
        <f>equip.xml!C255</f>
        <v>军刀</v>
      </c>
      <c r="D251" s="14" t="str">
        <f>equip.xml!D255</f>
        <v>主手武器</v>
      </c>
      <c r="E251" s="14">
        <f>equip.xml!E255</f>
        <v>5</v>
      </c>
      <c r="F251" s="14">
        <f>equip.xml!F255</f>
        <v>1</v>
      </c>
      <c r="G251" s="14">
        <f>equip.xml!G255</f>
        <v>55</v>
      </c>
      <c r="H251" s="14" t="str">
        <f>equip.xml!H255</f>
        <v>1,1001</v>
      </c>
      <c r="I251" s="14">
        <f>equip.xml!J255</f>
        <v>5</v>
      </c>
      <c r="J251" s="14">
        <f>equip.xml!K255</f>
        <v>0</v>
      </c>
      <c r="K251" s="14">
        <f>equip.xml!L255</f>
        <v>0</v>
      </c>
      <c r="L251" s="14" t="str">
        <f>equip.xml!M255</f>
        <v>103_1648_1648,104_3296_3296</v>
      </c>
      <c r="M251" s="17" t="str">
        <f>equip.xml!Q255</f>
        <v>equipment/1101.png</v>
      </c>
      <c r="N251" s="16" t="str">
        <f>equip.xml!P255</f>
        <v>10000_1002_55000,30000_30001_1,30000_30002_1,30000_30003_1</v>
      </c>
      <c r="O251">
        <f>equip.xml!R255</f>
        <v>0</v>
      </c>
    </row>
    <row r="252" spans="1:15">
      <c r="A252" s="14" t="str">
        <f>equip.xml!A256</f>
        <v>10551060</v>
      </c>
      <c r="B252" s="14">
        <f>equip.xml!B256</f>
        <v>1</v>
      </c>
      <c r="C252" s="14" t="str">
        <f>equip.xml!C256</f>
        <v>反射壁垒</v>
      </c>
      <c r="D252" s="14" t="str">
        <f>equip.xml!D256</f>
        <v>副手武器</v>
      </c>
      <c r="E252" s="14">
        <f>equip.xml!E256</f>
        <v>6</v>
      </c>
      <c r="F252" s="14">
        <f>equip.xml!F256</f>
        <v>1</v>
      </c>
      <c r="G252" s="14">
        <f>equip.xml!G256</f>
        <v>55</v>
      </c>
      <c r="H252" s="14" t="str">
        <f>equip.xml!H256</f>
        <v>1,1001</v>
      </c>
      <c r="I252" s="14">
        <f>equip.xml!J256</f>
        <v>5</v>
      </c>
      <c r="J252" s="14">
        <f>equip.xml!K256</f>
        <v>0</v>
      </c>
      <c r="K252" s="14">
        <f>equip.xml!L256</f>
        <v>0</v>
      </c>
      <c r="L252" s="14" t="str">
        <f>equip.xml!M256</f>
        <v>105_1981_1981</v>
      </c>
      <c r="M252" s="17" t="str">
        <f>equip.xml!Q256</f>
        <v>equipment/2113.png</v>
      </c>
      <c r="N252" s="16" t="str">
        <f>equip.xml!P256</f>
        <v>10000_1002_55000,30000_30001_1,30000_30002_1,30000_30003_1</v>
      </c>
      <c r="O252">
        <f>equip.xml!R256</f>
        <v>0</v>
      </c>
    </row>
    <row r="253" spans="1:15">
      <c r="A253" s="14" t="str">
        <f>equip.xml!A257</f>
        <v>10551061</v>
      </c>
      <c r="B253" s="14">
        <f>equip.xml!B257</f>
        <v>1</v>
      </c>
      <c r="C253" s="14" t="str">
        <f>equip.xml!C257</f>
        <v>巨龙之盾</v>
      </c>
      <c r="D253" s="14" t="str">
        <f>equip.xml!D257</f>
        <v>副手武器</v>
      </c>
      <c r="E253" s="14">
        <f>equip.xml!E257</f>
        <v>6</v>
      </c>
      <c r="F253" s="14">
        <f>equip.xml!F257</f>
        <v>1</v>
      </c>
      <c r="G253" s="14">
        <f>equip.xml!G257</f>
        <v>55</v>
      </c>
      <c r="H253" s="14" t="str">
        <f>equip.xml!H257</f>
        <v>1,1001</v>
      </c>
      <c r="I253" s="14">
        <f>equip.xml!J257</f>
        <v>5</v>
      </c>
      <c r="J253" s="14">
        <f>equip.xml!K257</f>
        <v>0</v>
      </c>
      <c r="K253" s="14">
        <f>equip.xml!L257</f>
        <v>0</v>
      </c>
      <c r="L253" s="14" t="str">
        <f>equip.xml!M257</f>
        <v>105_2195_2195</v>
      </c>
      <c r="M253" s="17" t="str">
        <f>equip.xml!Q257</f>
        <v>equipment/2114.png</v>
      </c>
      <c r="N253" s="16" t="str">
        <f>equip.xml!P257</f>
        <v>10000_1002_55000,30000_30001_1,30000_30002_1,30000_30003_1</v>
      </c>
      <c r="O253">
        <f>equip.xml!R257</f>
        <v>0</v>
      </c>
    </row>
    <row r="254" spans="1:15">
      <c r="A254" s="14" t="str">
        <f>equip.xml!A258</f>
        <v>10552050</v>
      </c>
      <c r="B254" s="14">
        <f>equip.xml!B258</f>
        <v>1</v>
      </c>
      <c r="C254" s="14" t="str">
        <f>equip.xml!C258</f>
        <v>魂击长弓</v>
      </c>
      <c r="D254" s="14" t="str">
        <f>equip.xml!D258</f>
        <v>主手武器</v>
      </c>
      <c r="E254" s="14">
        <f>equip.xml!E258</f>
        <v>5</v>
      </c>
      <c r="F254" s="14">
        <f>equip.xml!F258</f>
        <v>1</v>
      </c>
      <c r="G254" s="14">
        <f>equip.xml!G258</f>
        <v>55</v>
      </c>
      <c r="H254" s="14" t="str">
        <f>equip.xml!H258</f>
        <v>2,1002</v>
      </c>
      <c r="I254" s="14">
        <f>equip.xml!J258</f>
        <v>5</v>
      </c>
      <c r="J254" s="14">
        <f>equip.xml!K258</f>
        <v>0</v>
      </c>
      <c r="K254" s="14">
        <f>equip.xml!L258</f>
        <v>0</v>
      </c>
      <c r="L254" s="14" t="str">
        <f>equip.xml!M258</f>
        <v>103_1409_1409,104_2818_2818</v>
      </c>
      <c r="M254" s="17" t="str">
        <f>equip.xml!Q258</f>
        <v>equipment/1219.png</v>
      </c>
      <c r="N254" s="16" t="str">
        <f>equip.xml!P258</f>
        <v>10000_1002_55000,30000_30001_1,30000_30002_1,30000_30003_1</v>
      </c>
      <c r="O254">
        <f>equip.xml!R258</f>
        <v>0</v>
      </c>
    </row>
    <row r="255" spans="1:15">
      <c r="A255" s="14" t="str">
        <f>equip.xml!A259</f>
        <v>10552051</v>
      </c>
      <c r="B255" s="14">
        <f>equip.xml!B259</f>
        <v>0</v>
      </c>
      <c r="C255" s="14" t="str">
        <f>equip.xml!C259</f>
        <v>棘木弓</v>
      </c>
      <c r="D255" s="14" t="str">
        <f>equip.xml!D259</f>
        <v>主手武器</v>
      </c>
      <c r="E255" s="14">
        <f>equip.xml!E259</f>
        <v>5</v>
      </c>
      <c r="F255" s="14">
        <f>equip.xml!F259</f>
        <v>1</v>
      </c>
      <c r="G255" s="14">
        <f>equip.xml!G259</f>
        <v>55</v>
      </c>
      <c r="H255" s="14" t="str">
        <f>equip.xml!H259</f>
        <v>2,1002</v>
      </c>
      <c r="I255" s="14">
        <f>equip.xml!J259</f>
        <v>5</v>
      </c>
      <c r="J255" s="14">
        <f>equip.xml!K259</f>
        <v>0</v>
      </c>
      <c r="K255" s="14">
        <f>equip.xml!L259</f>
        <v>0</v>
      </c>
      <c r="L255" s="14" t="str">
        <f>equip.xml!M259</f>
        <v>103_1648_1648,104_3296_3296</v>
      </c>
      <c r="M255" s="17" t="str">
        <f>equip.xml!Q259</f>
        <v>equipment/1201.png</v>
      </c>
      <c r="N255" s="16" t="str">
        <f>equip.xml!P259</f>
        <v>10000_1002_55000,30000_30001_1,30000_30002_1,30000_30003_1</v>
      </c>
      <c r="O255">
        <f>equip.xml!R259</f>
        <v>0</v>
      </c>
    </row>
    <row r="256" spans="1:15">
      <c r="A256" s="14" t="str">
        <f>equip.xml!A260</f>
        <v>10552060</v>
      </c>
      <c r="B256" s="14">
        <f>equip.xml!B260</f>
        <v>1</v>
      </c>
      <c r="C256" s="14" t="str">
        <f>equip.xml!C260</f>
        <v>银矢箭筒</v>
      </c>
      <c r="D256" s="14" t="str">
        <f>equip.xml!D260</f>
        <v>副手武器</v>
      </c>
      <c r="E256" s="14">
        <f>equip.xml!E260</f>
        <v>6</v>
      </c>
      <c r="F256" s="14">
        <f>equip.xml!F260</f>
        <v>1</v>
      </c>
      <c r="G256" s="14">
        <f>equip.xml!G260</f>
        <v>55</v>
      </c>
      <c r="H256" s="14" t="str">
        <f>equip.xml!H260</f>
        <v>2,1002</v>
      </c>
      <c r="I256" s="14">
        <f>equip.xml!J260</f>
        <v>5</v>
      </c>
      <c r="J256" s="14">
        <f>equip.xml!K260</f>
        <v>0</v>
      </c>
      <c r="K256" s="14">
        <f>equip.xml!L260</f>
        <v>0</v>
      </c>
      <c r="L256" s="14" t="str">
        <f>equip.xml!M260</f>
        <v>108_1981_1981</v>
      </c>
      <c r="M256" s="17" t="str">
        <f>equip.xml!Q260</f>
        <v>equipment/2213.png</v>
      </c>
      <c r="N256" s="16" t="str">
        <f>equip.xml!P260</f>
        <v>10000_1002_55000,30000_30001_1,30000_30002_1,30000_30003_1</v>
      </c>
      <c r="O256">
        <f>equip.xml!R260</f>
        <v>0</v>
      </c>
    </row>
    <row r="257" spans="1:15">
      <c r="A257" s="14" t="str">
        <f>equip.xml!A261</f>
        <v>10552061</v>
      </c>
      <c r="B257" s="14">
        <f>equip.xml!B261</f>
        <v>1</v>
      </c>
      <c r="C257" s="14" t="str">
        <f>equip.xml!C261</f>
        <v>日怒箭筒</v>
      </c>
      <c r="D257" s="14" t="str">
        <f>equip.xml!D261</f>
        <v>副手武器</v>
      </c>
      <c r="E257" s="14">
        <f>equip.xml!E261</f>
        <v>6</v>
      </c>
      <c r="F257" s="14">
        <f>equip.xml!F261</f>
        <v>1</v>
      </c>
      <c r="G257" s="14">
        <f>equip.xml!G261</f>
        <v>55</v>
      </c>
      <c r="H257" s="14" t="str">
        <f>equip.xml!H261</f>
        <v>2,1002</v>
      </c>
      <c r="I257" s="14">
        <f>equip.xml!J261</f>
        <v>5</v>
      </c>
      <c r="J257" s="14">
        <f>equip.xml!K261</f>
        <v>0</v>
      </c>
      <c r="K257" s="14">
        <f>equip.xml!L261</f>
        <v>0</v>
      </c>
      <c r="L257" s="14" t="str">
        <f>equip.xml!M261</f>
        <v>108_2195_2195</v>
      </c>
      <c r="M257" s="17" t="str">
        <f>equip.xml!Q261</f>
        <v>equipment/2214.png</v>
      </c>
      <c r="N257" s="16" t="str">
        <f>equip.xml!P261</f>
        <v>10000_1002_55000,30000_30001_1,30000_30002_1,30000_30003_1</v>
      </c>
      <c r="O257">
        <f>equip.xml!R261</f>
        <v>0</v>
      </c>
    </row>
    <row r="258" spans="1:15">
      <c r="A258" s="14" t="str">
        <f>equip.xml!A262</f>
        <v>10553050</v>
      </c>
      <c r="B258" s="14">
        <f>equip.xml!B262</f>
        <v>1</v>
      </c>
      <c r="C258" s="14" t="str">
        <f>equip.xml!C262</f>
        <v>寒霜之怒</v>
      </c>
      <c r="D258" s="14" t="str">
        <f>equip.xml!D262</f>
        <v>主手武器</v>
      </c>
      <c r="E258" s="14">
        <f>equip.xml!E262</f>
        <v>5</v>
      </c>
      <c r="F258" s="14">
        <f>equip.xml!F262</f>
        <v>1</v>
      </c>
      <c r="G258" s="14">
        <f>equip.xml!G262</f>
        <v>55</v>
      </c>
      <c r="H258" s="14" t="str">
        <f>equip.xml!H262</f>
        <v>3,1003</v>
      </c>
      <c r="I258" s="14">
        <f>equip.xml!J262</f>
        <v>5</v>
      </c>
      <c r="J258" s="14">
        <f>equip.xml!K262</f>
        <v>0</v>
      </c>
      <c r="K258" s="14">
        <f>equip.xml!L262</f>
        <v>0</v>
      </c>
      <c r="L258" s="14" t="str">
        <f>equip.xml!M262</f>
        <v>103_1409_1409,104_2818_2818</v>
      </c>
      <c r="M258" s="17" t="str">
        <f>equip.xml!Q262</f>
        <v>equipment/1321.png</v>
      </c>
      <c r="N258" s="16" t="str">
        <f>equip.xml!P262</f>
        <v>10000_1002_55000,30000_30001_1,30000_30002_1,30000_30003_1</v>
      </c>
      <c r="O258">
        <f>equip.xml!R262</f>
        <v>0</v>
      </c>
    </row>
    <row r="259" spans="1:15">
      <c r="A259" s="14" t="str">
        <f>equip.xml!A263</f>
        <v>10553051</v>
      </c>
      <c r="B259" s="14">
        <f>equip.xml!B263</f>
        <v>0</v>
      </c>
      <c r="C259" s="14" t="str">
        <f>equip.xml!C263</f>
        <v>学徒法杖</v>
      </c>
      <c r="D259" s="14" t="str">
        <f>equip.xml!D263</f>
        <v>主手武器</v>
      </c>
      <c r="E259" s="14">
        <f>equip.xml!E263</f>
        <v>5</v>
      </c>
      <c r="F259" s="14">
        <f>equip.xml!F263</f>
        <v>1</v>
      </c>
      <c r="G259" s="14">
        <f>equip.xml!G263</f>
        <v>55</v>
      </c>
      <c r="H259" s="14" t="str">
        <f>equip.xml!H263</f>
        <v>3,1003</v>
      </c>
      <c r="I259" s="14">
        <f>equip.xml!J263</f>
        <v>5</v>
      </c>
      <c r="J259" s="14">
        <f>equip.xml!K263</f>
        <v>0</v>
      </c>
      <c r="K259" s="14">
        <f>equip.xml!L263</f>
        <v>0</v>
      </c>
      <c r="L259" s="14" t="str">
        <f>equip.xml!M263</f>
        <v>103_1648_1648,104_3296_3296</v>
      </c>
      <c r="M259" s="17" t="str">
        <f>equip.xml!Q263</f>
        <v>equipment/1301.png</v>
      </c>
      <c r="N259" s="16" t="str">
        <f>equip.xml!P263</f>
        <v>10000_1002_55000,30000_30001_1,30000_30002_1,30000_30003_1</v>
      </c>
      <c r="O259">
        <f>equip.xml!R263</f>
        <v>0</v>
      </c>
    </row>
    <row r="260" spans="1:15">
      <c r="A260" s="14" t="str">
        <f>equip.xml!A264</f>
        <v>10553060</v>
      </c>
      <c r="B260" s="14">
        <f>equip.xml!B264</f>
        <v>1</v>
      </c>
      <c r="C260" s="14" t="str">
        <f>equip.xml!C264</f>
        <v>遗忘魔典</v>
      </c>
      <c r="D260" s="14" t="str">
        <f>equip.xml!D264</f>
        <v>副手武器</v>
      </c>
      <c r="E260" s="14">
        <f>equip.xml!E264</f>
        <v>6</v>
      </c>
      <c r="F260" s="14">
        <f>equip.xml!F264</f>
        <v>1</v>
      </c>
      <c r="G260" s="14">
        <f>equip.xml!G264</f>
        <v>55</v>
      </c>
      <c r="H260" s="14" t="str">
        <f>equip.xml!H264</f>
        <v>3,1003</v>
      </c>
      <c r="I260" s="14">
        <f>equip.xml!J264</f>
        <v>5</v>
      </c>
      <c r="J260" s="14">
        <f>equip.xml!K264</f>
        <v>0</v>
      </c>
      <c r="K260" s="14">
        <f>equip.xml!L264</f>
        <v>0</v>
      </c>
      <c r="L260" s="14" t="str">
        <f>equip.xml!M264</f>
        <v>102_1780_1780</v>
      </c>
      <c r="M260" s="17" t="str">
        <f>equip.xml!Q264</f>
        <v>equipment/2313.png</v>
      </c>
      <c r="N260" s="16" t="str">
        <f>equip.xml!P264</f>
        <v>10000_1002_55000,30000_30001_1,30000_30002_1,30000_30003_1</v>
      </c>
      <c r="O260">
        <f>equip.xml!R264</f>
        <v>0</v>
      </c>
    </row>
    <row r="261" spans="1:15">
      <c r="A261" s="14" t="str">
        <f>equip.xml!A265</f>
        <v>10553061</v>
      </c>
      <c r="B261" s="14">
        <f>equip.xml!B265</f>
        <v>1</v>
      </c>
      <c r="C261" s="14" t="str">
        <f>equip.xml!C265</f>
        <v>龙语入门</v>
      </c>
      <c r="D261" s="14" t="str">
        <f>equip.xml!D265</f>
        <v>副手武器</v>
      </c>
      <c r="E261" s="14">
        <f>equip.xml!E265</f>
        <v>6</v>
      </c>
      <c r="F261" s="14">
        <f>equip.xml!F265</f>
        <v>1</v>
      </c>
      <c r="G261" s="14">
        <f>equip.xml!G265</f>
        <v>55</v>
      </c>
      <c r="H261" s="14" t="str">
        <f>equip.xml!H265</f>
        <v>3,1003</v>
      </c>
      <c r="I261" s="14">
        <f>equip.xml!J265</f>
        <v>5</v>
      </c>
      <c r="J261" s="14">
        <f>equip.xml!K265</f>
        <v>0</v>
      </c>
      <c r="K261" s="14">
        <f>equip.xml!L265</f>
        <v>0</v>
      </c>
      <c r="L261" s="14" t="str">
        <f>equip.xml!M265</f>
        <v>102_1972_1972</v>
      </c>
      <c r="M261" s="17" t="str">
        <f>equip.xml!Q265</f>
        <v>equipment/2316.png</v>
      </c>
      <c r="N261" s="16" t="str">
        <f>equip.xml!P265</f>
        <v>10000_1002_55000,30000_30001_1,30000_30002_1,30000_30003_1</v>
      </c>
      <c r="O261">
        <f>equip.xml!R265</f>
        <v>0</v>
      </c>
    </row>
    <row r="262" spans="1:15">
      <c r="A262" s="14" t="str">
        <f>equip.xml!A266</f>
        <v>10550040</v>
      </c>
      <c r="B262" s="14">
        <f>equip.xml!B266</f>
        <v>1</v>
      </c>
      <c r="C262" s="14" t="str">
        <f>equip.xml!C266</f>
        <v>血卫胸甲</v>
      </c>
      <c r="D262" s="14" t="str">
        <f>equip.xml!D266</f>
        <v>胸甲</v>
      </c>
      <c r="E262" s="14">
        <f>equip.xml!E266</f>
        <v>4</v>
      </c>
      <c r="F262" s="14">
        <f>equip.xml!F266</f>
        <v>1</v>
      </c>
      <c r="G262" s="14">
        <f>equip.xml!G266</f>
        <v>55</v>
      </c>
      <c r="H262" s="14">
        <f>equip.xml!H266</f>
        <v>0</v>
      </c>
      <c r="I262" s="14">
        <f>equip.xml!J266</f>
        <v>5</v>
      </c>
      <c r="J262" s="14">
        <f>equip.xml!K266</f>
        <v>0</v>
      </c>
      <c r="K262" s="14">
        <f>equip.xml!L266</f>
        <v>0</v>
      </c>
      <c r="L262" s="14" t="str">
        <f>equip.xml!M266</f>
        <v>105_1153_1153</v>
      </c>
      <c r="M262" s="17" t="str">
        <f>equip.xml!Q266</f>
        <v>equipment/5015.png</v>
      </c>
      <c r="N262" s="16" t="str">
        <f>equip.xml!P266</f>
        <v>10000_1002_55000,30000_30001_1,30000_30002_1,30000_30003_1</v>
      </c>
      <c r="O262">
        <f>equip.xml!R266</f>
        <v>0</v>
      </c>
    </row>
    <row r="263" spans="1:15">
      <c r="A263" s="14" t="str">
        <f>equip.xml!A267</f>
        <v>10550041</v>
      </c>
      <c r="B263" s="14">
        <f>equip.xml!B267</f>
        <v>0</v>
      </c>
      <c r="C263" s="14" t="str">
        <f>equip.xml!C267</f>
        <v>新兵外套</v>
      </c>
      <c r="D263" s="14" t="str">
        <f>equip.xml!D267</f>
        <v>胸甲</v>
      </c>
      <c r="E263" s="14">
        <f>equip.xml!E267</f>
        <v>4</v>
      </c>
      <c r="F263" s="14">
        <f>equip.xml!F267</f>
        <v>1</v>
      </c>
      <c r="G263" s="14">
        <f>equip.xml!G267</f>
        <v>55</v>
      </c>
      <c r="H263" s="14">
        <f>equip.xml!H267</f>
        <v>0</v>
      </c>
      <c r="I263" s="14">
        <f>equip.xml!J267</f>
        <v>5</v>
      </c>
      <c r="J263" s="14">
        <f>equip.xml!K267</f>
        <v>0</v>
      </c>
      <c r="K263" s="14">
        <f>equip.xml!L267</f>
        <v>0</v>
      </c>
      <c r="L263" s="14" t="str">
        <f>equip.xml!M267</f>
        <v>105_1243_1243</v>
      </c>
      <c r="M263" s="17" t="str">
        <f>equip.xml!Q267</f>
        <v>equipment/5001.png</v>
      </c>
      <c r="N263" s="16" t="str">
        <f>equip.xml!P267</f>
        <v>10000_1002_55000,30000_30001_1,30000_30002_1,30000_30003_1</v>
      </c>
      <c r="O263">
        <f>equip.xml!R267</f>
        <v>0</v>
      </c>
    </row>
    <row r="264" spans="1:15">
      <c r="A264" s="14" t="str">
        <f>equip.xml!A268</f>
        <v>10550070</v>
      </c>
      <c r="B264" s="14">
        <f>equip.xml!B268</f>
        <v>1</v>
      </c>
      <c r="C264" s="14" t="str">
        <f>equip.xml!C268</f>
        <v>征服者护腿</v>
      </c>
      <c r="D264" s="14" t="str">
        <f>equip.xml!D268</f>
        <v>护腿</v>
      </c>
      <c r="E264" s="14">
        <f>equip.xml!E268</f>
        <v>7</v>
      </c>
      <c r="F264" s="14">
        <f>equip.xml!F268</f>
        <v>1</v>
      </c>
      <c r="G264" s="14">
        <f>equip.xml!G268</f>
        <v>55</v>
      </c>
      <c r="H264" s="14">
        <f>equip.xml!H268</f>
        <v>0</v>
      </c>
      <c r="I264" s="14">
        <f>equip.xml!J268</f>
        <v>5</v>
      </c>
      <c r="J264" s="14">
        <f>equip.xml!K268</f>
        <v>0</v>
      </c>
      <c r="K264" s="14">
        <f>equip.xml!L268</f>
        <v>0</v>
      </c>
      <c r="L264" s="14" t="str">
        <f>equip.xml!M268</f>
        <v>105_780_780</v>
      </c>
      <c r="M264" s="17" t="str">
        <f>equip.xml!Q268</f>
        <v>equipment/7013.png</v>
      </c>
      <c r="N264" s="16" t="str">
        <f>equip.xml!P268</f>
        <v>10000_1002_55000,30000_30001_1,30000_30002_1,30000_30003_1</v>
      </c>
      <c r="O264">
        <f>equip.xml!R268</f>
        <v>0</v>
      </c>
    </row>
    <row r="265" spans="1:15">
      <c r="A265" s="14" t="str">
        <f>equip.xml!A269</f>
        <v>10550071</v>
      </c>
      <c r="B265" s="14">
        <f>equip.xml!B269</f>
        <v>0</v>
      </c>
      <c r="C265" s="14" t="str">
        <f>equip.xml!C269</f>
        <v>学徒短裤</v>
      </c>
      <c r="D265" s="14" t="str">
        <f>equip.xml!D269</f>
        <v>护腿</v>
      </c>
      <c r="E265" s="14">
        <f>equip.xml!E269</f>
        <v>7</v>
      </c>
      <c r="F265" s="14">
        <f>equip.xml!F269</f>
        <v>1</v>
      </c>
      <c r="G265" s="14">
        <f>equip.xml!G269</f>
        <v>55</v>
      </c>
      <c r="H265" s="14">
        <f>equip.xml!H269</f>
        <v>0</v>
      </c>
      <c r="I265" s="14">
        <f>equip.xml!J269</f>
        <v>5</v>
      </c>
      <c r="J265" s="14">
        <f>equip.xml!K269</f>
        <v>0</v>
      </c>
      <c r="K265" s="14">
        <f>equip.xml!L269</f>
        <v>0</v>
      </c>
      <c r="L265" s="14" t="str">
        <f>equip.xml!M269</f>
        <v>105_929_929</v>
      </c>
      <c r="M265" s="17" t="str">
        <f>equip.xml!Q269</f>
        <v>equipment/7001.png</v>
      </c>
      <c r="N265" s="16" t="str">
        <f>equip.xml!P269</f>
        <v>10000_1002_55000,30000_30001_1,30000_30002_1,30000_30003_1</v>
      </c>
      <c r="O265">
        <f>equip.xml!R269</f>
        <v>0</v>
      </c>
    </row>
    <row r="266" spans="1:15">
      <c r="A266" s="14" t="str">
        <f>equip.xml!A270</f>
        <v>10600010</v>
      </c>
      <c r="B266" s="14">
        <f>equip.xml!B270</f>
        <v>1</v>
      </c>
      <c r="C266" s="14" t="str">
        <f>equip.xml!C270</f>
        <v>英勇战盔</v>
      </c>
      <c r="D266" s="14" t="str">
        <f>equip.xml!D270</f>
        <v>头盔</v>
      </c>
      <c r="E266" s="14">
        <f>equip.xml!E270</f>
        <v>1</v>
      </c>
      <c r="F266" s="14">
        <f>equip.xml!F270</f>
        <v>1</v>
      </c>
      <c r="G266" s="14">
        <f>equip.xml!G270</f>
        <v>60</v>
      </c>
      <c r="H266" s="14">
        <f>equip.xml!H270</f>
        <v>0</v>
      </c>
      <c r="I266" s="14">
        <f>equip.xml!J270</f>
        <v>5</v>
      </c>
      <c r="J266" s="14">
        <f>equip.xml!K270</f>
        <v>0</v>
      </c>
      <c r="K266" s="14">
        <f>equip.xml!L270</f>
        <v>0</v>
      </c>
      <c r="L266" s="14" t="str">
        <f>equip.xml!M270</f>
        <v>106_1628_1628</v>
      </c>
      <c r="M266" s="17" t="str">
        <f>equip.xml!Q270</f>
        <v>equipment/3010.png</v>
      </c>
      <c r="N266" s="16" t="str">
        <f>equip.xml!P270</f>
        <v>10000_1002_60000,30000_30001_1,30000_30002_1,30000_30003_1</v>
      </c>
      <c r="O266">
        <f>equip.xml!R270</f>
        <v>0</v>
      </c>
    </row>
    <row r="267" spans="1:15">
      <c r="A267" s="14" t="str">
        <f>equip.xml!A271</f>
        <v>10600020</v>
      </c>
      <c r="B267" s="14">
        <f>equip.xml!B271</f>
        <v>1</v>
      </c>
      <c r="C267" s="14" t="str">
        <f>equip.xml!C271</f>
        <v>星宇指环</v>
      </c>
      <c r="D267" s="14" t="str">
        <f>equip.xml!D271</f>
        <v>戒指</v>
      </c>
      <c r="E267" s="14">
        <f>equip.xml!E271</f>
        <v>2</v>
      </c>
      <c r="F267" s="14">
        <f>equip.xml!F271</f>
        <v>1</v>
      </c>
      <c r="G267" s="14">
        <f>equip.xml!G271</f>
        <v>60</v>
      </c>
      <c r="H267" s="14">
        <f>equip.xml!H271</f>
        <v>0</v>
      </c>
      <c r="I267" s="14">
        <f>equip.xml!J271</f>
        <v>5</v>
      </c>
      <c r="J267" s="14">
        <f>equip.xml!K271</f>
        <v>0</v>
      </c>
      <c r="K267" s="14">
        <f>equip.xml!L271</f>
        <v>0</v>
      </c>
      <c r="L267" s="14" t="str">
        <f>equip.xml!M271</f>
        <v>102_1260_1260</v>
      </c>
      <c r="M267" s="17" t="str">
        <f>equip.xml!Q271</f>
        <v>equipment/14010.png</v>
      </c>
      <c r="N267" s="16" t="str">
        <f>equip.xml!P271</f>
        <v>10000_1002_60000,30000_30001_1,30000_30002_1,30000_30003_1</v>
      </c>
      <c r="O267">
        <f>equip.xml!R271</f>
        <v>0</v>
      </c>
    </row>
    <row r="268" spans="1:15">
      <c r="A268" s="14" t="str">
        <f>equip.xml!A272</f>
        <v>10600030</v>
      </c>
      <c r="B268" s="14">
        <f>equip.xml!B272</f>
        <v>1</v>
      </c>
      <c r="C268" s="14" t="str">
        <f>equip.xml!C272</f>
        <v>远征腰带</v>
      </c>
      <c r="D268" s="14" t="str">
        <f>equip.xml!D272</f>
        <v>腰带</v>
      </c>
      <c r="E268" s="14">
        <f>equip.xml!E272</f>
        <v>3</v>
      </c>
      <c r="F268" s="14">
        <f>equip.xml!F272</f>
        <v>1</v>
      </c>
      <c r="G268" s="14">
        <f>equip.xml!G272</f>
        <v>60</v>
      </c>
      <c r="H268" s="14">
        <f>equip.xml!H272</f>
        <v>0</v>
      </c>
      <c r="I268" s="14">
        <f>equip.xml!J272</f>
        <v>5</v>
      </c>
      <c r="J268" s="14">
        <f>equip.xml!K272</f>
        <v>0</v>
      </c>
      <c r="K268" s="14">
        <f>equip.xml!L272</f>
        <v>0</v>
      </c>
      <c r="L268" s="14" t="str">
        <f>equip.xml!M272</f>
        <v>101_13920_13920</v>
      </c>
      <c r="M268" s="17" t="str">
        <f>equip.xml!Q272</f>
        <v>equipment/6010.png</v>
      </c>
      <c r="N268" s="16" t="str">
        <f>equip.xml!P272</f>
        <v>10000_1002_60000,30000_30001_1,30000_30002_1,30000_30003_1</v>
      </c>
      <c r="O268">
        <f>equip.xml!R272</f>
        <v>0</v>
      </c>
    </row>
    <row r="269" spans="1:15">
      <c r="A269" s="14" t="str">
        <f>equip.xml!A273</f>
        <v>10600080</v>
      </c>
      <c r="B269" s="14">
        <f>equip.xml!B273</f>
        <v>1</v>
      </c>
      <c r="C269" s="14" t="str">
        <f>equip.xml!C273</f>
        <v>风暴长靴</v>
      </c>
      <c r="D269" s="14" t="str">
        <f>equip.xml!D273</f>
        <v>鞋子</v>
      </c>
      <c r="E269" s="14">
        <f>equip.xml!E273</f>
        <v>8</v>
      </c>
      <c r="F269" s="14">
        <f>equip.xml!F273</f>
        <v>1</v>
      </c>
      <c r="G269" s="14">
        <f>equip.xml!G273</f>
        <v>60</v>
      </c>
      <c r="H269" s="14">
        <f>equip.xml!H273</f>
        <v>0</v>
      </c>
      <c r="I269" s="14">
        <f>equip.xml!J273</f>
        <v>5</v>
      </c>
      <c r="J269" s="14">
        <f>equip.xml!K273</f>
        <v>0</v>
      </c>
      <c r="K269" s="14">
        <f>equip.xml!L273</f>
        <v>0</v>
      </c>
      <c r="L269" s="14" t="str">
        <f>equip.xml!M273</f>
        <v>110_271_271</v>
      </c>
      <c r="M269" s="17" t="str">
        <f>equip.xml!Q273</f>
        <v>equipment/8010.png</v>
      </c>
      <c r="N269" s="16" t="str">
        <f>equip.xml!P273</f>
        <v>10000_1002_60000,30000_30001_1,30000_30002_1,30000_30003_1</v>
      </c>
      <c r="O269">
        <f>equip.xml!R273</f>
        <v>0</v>
      </c>
    </row>
    <row r="270" spans="1:15">
      <c r="A270" s="14" t="str">
        <f>equip.xml!A274</f>
        <v>10600090</v>
      </c>
      <c r="B270" s="14">
        <f>equip.xml!B274</f>
        <v>1</v>
      </c>
      <c r="C270" s="14" t="str">
        <f>equip.xml!C274</f>
        <v>远征军护手</v>
      </c>
      <c r="D270" s="14" t="str">
        <f>equip.xml!D274</f>
        <v>手套</v>
      </c>
      <c r="E270" s="14">
        <f>equip.xml!E274</f>
        <v>9</v>
      </c>
      <c r="F270" s="14">
        <f>equip.xml!F274</f>
        <v>1</v>
      </c>
      <c r="G270" s="14">
        <f>equip.xml!G274</f>
        <v>60</v>
      </c>
      <c r="H270" s="14">
        <f>equip.xml!H274</f>
        <v>0</v>
      </c>
      <c r="I270" s="14">
        <f>equip.xml!J274</f>
        <v>5</v>
      </c>
      <c r="J270" s="14">
        <f>equip.xml!K274</f>
        <v>0</v>
      </c>
      <c r="K270" s="14">
        <f>equip.xml!L274</f>
        <v>0</v>
      </c>
      <c r="L270" s="14" t="str">
        <f>equip.xml!M274</f>
        <v>108_2300_2300</v>
      </c>
      <c r="M270" s="17" t="str">
        <f>equip.xml!Q274</f>
        <v>equipment/10010.png</v>
      </c>
      <c r="N270" s="16" t="str">
        <f>equip.xml!P274</f>
        <v>10000_1002_60000,30000_30001_1,30000_30002_1,30000_30003_1</v>
      </c>
      <c r="O270">
        <f>equip.xml!R274</f>
        <v>0</v>
      </c>
    </row>
    <row r="271" spans="1:15">
      <c r="A271" s="14" t="str">
        <f>equip.xml!A275</f>
        <v>10600100</v>
      </c>
      <c r="B271" s="14">
        <f>equip.xml!B275</f>
        <v>1</v>
      </c>
      <c r="C271" s="14" t="str">
        <f>equip.xml!C275</f>
        <v>悔恨之链</v>
      </c>
      <c r="D271" s="14" t="str">
        <f>equip.xml!D275</f>
        <v>项链</v>
      </c>
      <c r="E271" s="14">
        <f>equip.xml!E275</f>
        <v>10</v>
      </c>
      <c r="F271" s="14">
        <f>equip.xml!F275</f>
        <v>1</v>
      </c>
      <c r="G271" s="14">
        <f>equip.xml!G275</f>
        <v>60</v>
      </c>
      <c r="H271" s="14">
        <f>equip.xml!H275</f>
        <v>0</v>
      </c>
      <c r="I271" s="14">
        <f>equip.xml!J275</f>
        <v>5</v>
      </c>
      <c r="J271" s="14">
        <f>equip.xml!K275</f>
        <v>0</v>
      </c>
      <c r="K271" s="14">
        <f>equip.xml!L275</f>
        <v>0</v>
      </c>
      <c r="L271" s="14" t="str">
        <f>equip.xml!M275</f>
        <v>107_1628_1628</v>
      </c>
      <c r="M271" s="17" t="str">
        <f>equip.xml!Q275</f>
        <v>equipment/12010.png</v>
      </c>
      <c r="N271" s="16" t="str">
        <f>equip.xml!P275</f>
        <v>10000_1002_60000,30000_30001_1,30000_30002_1,30000_30003_1</v>
      </c>
      <c r="O271">
        <f>equip.xml!R275</f>
        <v>0</v>
      </c>
    </row>
    <row r="272" spans="1:15">
      <c r="A272" s="14" t="str">
        <f>equip.xml!A276</f>
        <v>10601050</v>
      </c>
      <c r="B272" s="14">
        <f>equip.xml!B276</f>
        <v>1</v>
      </c>
      <c r="C272" s="14" t="str">
        <f>equip.xml!C276</f>
        <v>毁灭之刃</v>
      </c>
      <c r="D272" s="14" t="str">
        <f>equip.xml!D276</f>
        <v>主手武器</v>
      </c>
      <c r="E272" s="14">
        <f>equip.xml!E276</f>
        <v>5</v>
      </c>
      <c r="F272" s="14">
        <f>equip.xml!F276</f>
        <v>1</v>
      </c>
      <c r="G272" s="14">
        <f>equip.xml!G276</f>
        <v>60</v>
      </c>
      <c r="H272" s="14" t="str">
        <f>equip.xml!H276</f>
        <v>1,1001</v>
      </c>
      <c r="I272" s="14">
        <f>equip.xml!J276</f>
        <v>5</v>
      </c>
      <c r="J272" s="14">
        <f>equip.xml!K276</f>
        <v>0</v>
      </c>
      <c r="K272" s="14">
        <f>equip.xml!L276</f>
        <v>0</v>
      </c>
      <c r="L272" s="14" t="str">
        <f>equip.xml!M276</f>
        <v>103_2007_2007,104_4014_4014</v>
      </c>
      <c r="M272" s="17" t="str">
        <f>equip.xml!Q276</f>
        <v>equipment/1118.png</v>
      </c>
      <c r="N272" s="16" t="str">
        <f>equip.xml!P276</f>
        <v>10000_1002_60000,30000_30001_1,30000_30002_1,30000_30003_1</v>
      </c>
      <c r="O272">
        <f>equip.xml!R276</f>
        <v>0</v>
      </c>
    </row>
    <row r="273" spans="1:15">
      <c r="A273" s="14" t="str">
        <f>equip.xml!A277</f>
        <v>10601051</v>
      </c>
      <c r="B273" s="14">
        <f>equip.xml!B277</f>
        <v>1</v>
      </c>
      <c r="C273" s="14" t="str">
        <f>equip.xml!C277</f>
        <v>逐光巨剑</v>
      </c>
      <c r="D273" s="14" t="str">
        <f>equip.xml!D277</f>
        <v>主手武器</v>
      </c>
      <c r="E273" s="14">
        <f>equip.xml!E277</f>
        <v>5</v>
      </c>
      <c r="F273" s="14">
        <f>equip.xml!F277</f>
        <v>1</v>
      </c>
      <c r="G273" s="14">
        <f>equip.xml!G277</f>
        <v>60</v>
      </c>
      <c r="H273" s="14" t="str">
        <f>equip.xml!H277</f>
        <v>1,1001</v>
      </c>
      <c r="I273" s="14">
        <f>equip.xml!J277</f>
        <v>5</v>
      </c>
      <c r="J273" s="14">
        <f>equip.xml!K277</f>
        <v>0</v>
      </c>
      <c r="K273" s="14">
        <f>equip.xml!L277</f>
        <v>0</v>
      </c>
      <c r="L273" s="14" t="str">
        <f>equip.xml!M277</f>
        <v>103_2252_2252,104_4504_4504</v>
      </c>
      <c r="M273" s="17" t="str">
        <f>equip.xml!Q277</f>
        <v>equipment/1122.png</v>
      </c>
      <c r="N273" s="16" t="str">
        <f>equip.xml!P277</f>
        <v>10000_1002_60000,30000_30001_1,30000_30002_1,30000_30003_1</v>
      </c>
      <c r="O273">
        <f>equip.xml!R277</f>
        <v>0</v>
      </c>
    </row>
    <row r="274" spans="1:15">
      <c r="A274" s="14" t="str">
        <f>equip.xml!A278</f>
        <v>10601060</v>
      </c>
      <c r="B274" s="14">
        <f>equip.xml!B278</f>
        <v>1</v>
      </c>
      <c r="C274" s="14" t="str">
        <f>equip.xml!C278</f>
        <v>灵魂壁垒</v>
      </c>
      <c r="D274" s="14" t="str">
        <f>equip.xml!D278</f>
        <v>副手武器</v>
      </c>
      <c r="E274" s="14">
        <f>equip.xml!E278</f>
        <v>6</v>
      </c>
      <c r="F274" s="14">
        <f>equip.xml!F278</f>
        <v>1</v>
      </c>
      <c r="G274" s="14">
        <f>equip.xml!G278</f>
        <v>60</v>
      </c>
      <c r="H274" s="14" t="str">
        <f>equip.xml!H278</f>
        <v>1,1001</v>
      </c>
      <c r="I274" s="14">
        <f>equip.xml!J278</f>
        <v>5</v>
      </c>
      <c r="J274" s="14">
        <f>equip.xml!K278</f>
        <v>0</v>
      </c>
      <c r="K274" s="14">
        <f>equip.xml!L278</f>
        <v>0</v>
      </c>
      <c r="L274" s="14" t="str">
        <f>equip.xml!M278</f>
        <v>105_2515_2515</v>
      </c>
      <c r="M274" s="17" t="str">
        <f>equip.xml!Q278</f>
        <v>equipment/2115.png</v>
      </c>
      <c r="N274" s="16" t="str">
        <f>equip.xml!P278</f>
        <v>10000_1002_60000,30000_30001_1,30000_30002_1,30000_30003_1</v>
      </c>
      <c r="O274">
        <f>equip.xml!R278</f>
        <v>0</v>
      </c>
    </row>
    <row r="275" spans="1:15">
      <c r="A275" s="14" t="str">
        <f>equip.xml!A279</f>
        <v>10601061</v>
      </c>
      <c r="B275" s="14">
        <f>equip.xml!B279</f>
        <v>0</v>
      </c>
      <c r="C275" s="14" t="str">
        <f>equip.xml!C279</f>
        <v>尖头盾</v>
      </c>
      <c r="D275" s="14" t="str">
        <f>equip.xml!D279</f>
        <v>副手武器</v>
      </c>
      <c r="E275" s="14">
        <f>equip.xml!E279</f>
        <v>6</v>
      </c>
      <c r="F275" s="14">
        <f>equip.xml!F279</f>
        <v>1</v>
      </c>
      <c r="G275" s="14">
        <f>equip.xml!G279</f>
        <v>60</v>
      </c>
      <c r="H275" s="14" t="str">
        <f>equip.xml!H279</f>
        <v>1,1001</v>
      </c>
      <c r="I275" s="14">
        <f>equip.xml!J279</f>
        <v>5</v>
      </c>
      <c r="J275" s="14">
        <f>equip.xml!K279</f>
        <v>0</v>
      </c>
      <c r="K275" s="14">
        <f>equip.xml!L279</f>
        <v>0</v>
      </c>
      <c r="L275" s="14" t="str">
        <f>equip.xml!M279</f>
        <v>105_2704_2704</v>
      </c>
      <c r="M275" s="17" t="str">
        <f>equip.xml!Q279</f>
        <v>equipment/2101.png</v>
      </c>
      <c r="N275" s="16" t="str">
        <f>equip.xml!P279</f>
        <v>10000_1002_60000,30000_30001_1,30000_30002_1,30000_30003_1</v>
      </c>
      <c r="O275">
        <f>equip.xml!R279</f>
        <v>0</v>
      </c>
    </row>
    <row r="276" spans="1:15">
      <c r="A276" s="14" t="str">
        <f>equip.xml!A280</f>
        <v>10602050</v>
      </c>
      <c r="B276" s="14">
        <f>equip.xml!B280</f>
        <v>1</v>
      </c>
      <c r="C276" s="14" t="str">
        <f>equip.xml!C280</f>
        <v>暗之追猎者</v>
      </c>
      <c r="D276" s="14" t="str">
        <f>equip.xml!D280</f>
        <v>主手武器</v>
      </c>
      <c r="E276" s="14">
        <f>equip.xml!E280</f>
        <v>5</v>
      </c>
      <c r="F276" s="14">
        <f>equip.xml!F280</f>
        <v>1</v>
      </c>
      <c r="G276" s="14">
        <f>equip.xml!G280</f>
        <v>60</v>
      </c>
      <c r="H276" s="14" t="str">
        <f>equip.xml!H280</f>
        <v>2,1002</v>
      </c>
      <c r="I276" s="14">
        <f>equip.xml!J280</f>
        <v>5</v>
      </c>
      <c r="J276" s="14">
        <f>equip.xml!K280</f>
        <v>0</v>
      </c>
      <c r="K276" s="14">
        <f>equip.xml!L280</f>
        <v>0</v>
      </c>
      <c r="L276" s="14" t="str">
        <f>equip.xml!M280</f>
        <v>103_2007_2007,104_4014_4014</v>
      </c>
      <c r="M276" s="17" t="str">
        <f>equip.xml!Q280</f>
        <v>equipment/1220.png</v>
      </c>
      <c r="N276" s="16" t="str">
        <f>equip.xml!P280</f>
        <v>10000_1002_60000,30000_30001_1,30000_30002_1,30000_30003_1</v>
      </c>
      <c r="O276">
        <f>equip.xml!R280</f>
        <v>0</v>
      </c>
    </row>
    <row r="277" spans="1:15">
      <c r="A277" s="14" t="str">
        <f>equip.xml!A281</f>
        <v>10602051</v>
      </c>
      <c r="B277" s="14">
        <f>equip.xml!B281</f>
        <v>0</v>
      </c>
      <c r="C277" s="14" t="str">
        <f>equip.xml!C281</f>
        <v>棘木弓</v>
      </c>
      <c r="D277" s="14" t="str">
        <f>equip.xml!D281</f>
        <v>主手武器</v>
      </c>
      <c r="E277" s="14">
        <f>equip.xml!E281</f>
        <v>5</v>
      </c>
      <c r="F277" s="14">
        <f>equip.xml!F281</f>
        <v>1</v>
      </c>
      <c r="G277" s="14">
        <f>equip.xml!G281</f>
        <v>60</v>
      </c>
      <c r="H277" s="14" t="str">
        <f>equip.xml!H281</f>
        <v>2,1002</v>
      </c>
      <c r="I277" s="14">
        <f>equip.xml!J281</f>
        <v>5</v>
      </c>
      <c r="J277" s="14">
        <f>equip.xml!K281</f>
        <v>0</v>
      </c>
      <c r="K277" s="14">
        <f>equip.xml!L281</f>
        <v>0</v>
      </c>
      <c r="L277" s="14" t="str">
        <f>equip.xml!M281</f>
        <v>103_2252_2252,104_4504_4504</v>
      </c>
      <c r="M277" s="17" t="str">
        <f>equip.xml!Q281</f>
        <v>equipment/1201.png</v>
      </c>
      <c r="N277" s="16" t="str">
        <f>equip.xml!P281</f>
        <v>10000_1002_60000,30000_30001_1,30000_30002_1,30000_30003_1</v>
      </c>
      <c r="O277">
        <f>equip.xml!R281</f>
        <v>0</v>
      </c>
    </row>
    <row r="278" spans="1:15">
      <c r="A278" s="14" t="str">
        <f>equip.xml!A282</f>
        <v>10602060</v>
      </c>
      <c r="B278" s="14">
        <f>equip.xml!B282</f>
        <v>1</v>
      </c>
      <c r="C278" s="14" t="str">
        <f>equip.xml!C282</f>
        <v>猎星箭袋</v>
      </c>
      <c r="D278" s="14" t="str">
        <f>equip.xml!D282</f>
        <v>副手武器</v>
      </c>
      <c r="E278" s="14">
        <f>equip.xml!E282</f>
        <v>6</v>
      </c>
      <c r="F278" s="14">
        <f>equip.xml!F282</f>
        <v>1</v>
      </c>
      <c r="G278" s="14">
        <f>equip.xml!G282</f>
        <v>60</v>
      </c>
      <c r="H278" s="14" t="str">
        <f>equip.xml!H282</f>
        <v>2,1002</v>
      </c>
      <c r="I278" s="14">
        <f>equip.xml!J282</f>
        <v>5</v>
      </c>
      <c r="J278" s="14">
        <f>equip.xml!K282</f>
        <v>0</v>
      </c>
      <c r="K278" s="14">
        <f>equip.xml!L282</f>
        <v>0</v>
      </c>
      <c r="L278" s="14" t="str">
        <f>equip.xml!M282</f>
        <v>108_2515_2515</v>
      </c>
      <c r="M278" s="17" t="str">
        <f>equip.xml!Q282</f>
        <v>equipment/2215.png</v>
      </c>
      <c r="N278" s="16" t="str">
        <f>equip.xml!P282</f>
        <v>10000_1002_60000,30000_30001_1,30000_30002_1,30000_30003_1</v>
      </c>
      <c r="O278">
        <f>equip.xml!R282</f>
        <v>0</v>
      </c>
    </row>
    <row r="279" spans="1:15">
      <c r="A279" s="14" t="str">
        <f>equip.xml!A283</f>
        <v>10602061</v>
      </c>
      <c r="B279" s="14">
        <f>equip.xml!B283</f>
        <v>0</v>
      </c>
      <c r="C279" s="14" t="str">
        <f>equip.xml!C283</f>
        <v>箭筒</v>
      </c>
      <c r="D279" s="14" t="str">
        <f>equip.xml!D283</f>
        <v>副手武器</v>
      </c>
      <c r="E279" s="14">
        <f>equip.xml!E283</f>
        <v>6</v>
      </c>
      <c r="F279" s="14">
        <f>equip.xml!F283</f>
        <v>1</v>
      </c>
      <c r="G279" s="14">
        <f>equip.xml!G283</f>
        <v>60</v>
      </c>
      <c r="H279" s="14" t="str">
        <f>equip.xml!H283</f>
        <v>2,1002</v>
      </c>
      <c r="I279" s="14">
        <f>equip.xml!J283</f>
        <v>5</v>
      </c>
      <c r="J279" s="14">
        <f>equip.xml!K283</f>
        <v>0</v>
      </c>
      <c r="K279" s="14">
        <f>equip.xml!L283</f>
        <v>0</v>
      </c>
      <c r="L279" s="14" t="str">
        <f>equip.xml!M283</f>
        <v>108_2704_2704</v>
      </c>
      <c r="M279" s="17" t="str">
        <f>equip.xml!Q283</f>
        <v>equipment/2201.png</v>
      </c>
      <c r="N279" s="16" t="str">
        <f>equip.xml!P283</f>
        <v>10000_1002_60000,30000_30001_1,30000_30002_1,30000_30003_1</v>
      </c>
      <c r="O279">
        <f>equip.xml!R283</f>
        <v>0</v>
      </c>
    </row>
    <row r="280" spans="1:15">
      <c r="A280" s="14" t="str">
        <f>equip.xml!A284</f>
        <v>10603050</v>
      </c>
      <c r="B280" s="14">
        <f>equip.xml!B284</f>
        <v>1</v>
      </c>
      <c r="C280" s="14" t="str">
        <f>equip.xml!C284</f>
        <v>无尽回响之杖</v>
      </c>
      <c r="D280" s="14" t="str">
        <f>equip.xml!D284</f>
        <v>主手武器</v>
      </c>
      <c r="E280" s="14">
        <f>equip.xml!E284</f>
        <v>5</v>
      </c>
      <c r="F280" s="14">
        <f>equip.xml!F284</f>
        <v>1</v>
      </c>
      <c r="G280" s="14">
        <f>equip.xml!G284</f>
        <v>60</v>
      </c>
      <c r="H280" s="14" t="str">
        <f>equip.xml!H284</f>
        <v>3,1003</v>
      </c>
      <c r="I280" s="14">
        <f>equip.xml!J284</f>
        <v>5</v>
      </c>
      <c r="J280" s="14">
        <f>equip.xml!K284</f>
        <v>0</v>
      </c>
      <c r="K280" s="14">
        <f>equip.xml!L284</f>
        <v>0</v>
      </c>
      <c r="L280" s="14" t="str">
        <f>equip.xml!M284</f>
        <v>103_2007_2007,104_4014_4014</v>
      </c>
      <c r="M280" s="17" t="str">
        <f>equip.xml!Q284</f>
        <v>equipment/1322.png</v>
      </c>
      <c r="N280" s="16" t="str">
        <f>equip.xml!P284</f>
        <v>10000_1002_60000,30000_30001_1,30000_30002_1,30000_30003_1</v>
      </c>
      <c r="O280">
        <f>equip.xml!R284</f>
        <v>0</v>
      </c>
    </row>
    <row r="281" spans="1:15">
      <c r="A281" s="14" t="str">
        <f>equip.xml!A285</f>
        <v>10603051</v>
      </c>
      <c r="B281" s="14">
        <f>equip.xml!B285</f>
        <v>0</v>
      </c>
      <c r="C281" s="14" t="str">
        <f>equip.xml!C285</f>
        <v>日辉法杖</v>
      </c>
      <c r="D281" s="14" t="str">
        <f>equip.xml!D285</f>
        <v>主手武器</v>
      </c>
      <c r="E281" s="14">
        <f>equip.xml!E285</f>
        <v>5</v>
      </c>
      <c r="F281" s="14">
        <f>equip.xml!F285</f>
        <v>1</v>
      </c>
      <c r="G281" s="14">
        <f>equip.xml!G285</f>
        <v>60</v>
      </c>
      <c r="H281" s="14" t="str">
        <f>equip.xml!H285</f>
        <v>3,1003</v>
      </c>
      <c r="I281" s="14">
        <f>equip.xml!J285</f>
        <v>5</v>
      </c>
      <c r="J281" s="14">
        <f>equip.xml!K285</f>
        <v>0</v>
      </c>
      <c r="K281" s="14">
        <f>equip.xml!L285</f>
        <v>0</v>
      </c>
      <c r="L281" s="14" t="str">
        <f>equip.xml!M285</f>
        <v>103_2252_2252,104_4504_4504</v>
      </c>
      <c r="M281" s="17" t="str">
        <f>equip.xml!Q285</f>
        <v>equipment/1301.png</v>
      </c>
      <c r="N281" s="16" t="str">
        <f>equip.xml!P285</f>
        <v>10000_1002_60000,30000_30001_1,30000_30002_1,30000_30003_1</v>
      </c>
      <c r="O281">
        <f>equip.xml!R285</f>
        <v>0</v>
      </c>
    </row>
    <row r="282" spans="1:15">
      <c r="A282" s="14" t="str">
        <f>equip.xml!A286</f>
        <v>10603060</v>
      </c>
      <c r="B282" s="14">
        <f>equip.xml!B286</f>
        <v>1</v>
      </c>
      <c r="C282" s="14" t="str">
        <f>equip.xml!C286</f>
        <v>星图指南</v>
      </c>
      <c r="D282" s="14" t="str">
        <f>equip.xml!D286</f>
        <v>副手武器</v>
      </c>
      <c r="E282" s="14">
        <f>equip.xml!E286</f>
        <v>6</v>
      </c>
      <c r="F282" s="14">
        <f>equip.xml!F286</f>
        <v>1</v>
      </c>
      <c r="G282" s="14">
        <f>equip.xml!G286</f>
        <v>60</v>
      </c>
      <c r="H282" s="14" t="str">
        <f>equip.xml!H286</f>
        <v>3,1003</v>
      </c>
      <c r="I282" s="14">
        <f>equip.xml!J286</f>
        <v>5</v>
      </c>
      <c r="J282" s="14">
        <f>equip.xml!K286</f>
        <v>0</v>
      </c>
      <c r="K282" s="14">
        <f>equip.xml!L286</f>
        <v>0</v>
      </c>
      <c r="L282" s="14" t="str">
        <f>equip.xml!M286</f>
        <v>102_2260_2260</v>
      </c>
      <c r="M282" s="17" t="str">
        <f>equip.xml!Q286</f>
        <v>equipment/2315.png</v>
      </c>
      <c r="N282" s="16" t="str">
        <f>equip.xml!P286</f>
        <v>10000_1002_60000,30000_30001_1,30000_30002_1,30000_30003_1</v>
      </c>
      <c r="O282">
        <f>equip.xml!R286</f>
        <v>0</v>
      </c>
    </row>
    <row r="283" spans="1:15">
      <c r="A283" s="14" t="str">
        <f>equip.xml!A287</f>
        <v>10603061</v>
      </c>
      <c r="B283" s="14">
        <f>equip.xml!B287</f>
        <v>0</v>
      </c>
      <c r="C283" s="14" t="str">
        <f>equip.xml!C287</f>
        <v>法术指南</v>
      </c>
      <c r="D283" s="14" t="str">
        <f>equip.xml!D287</f>
        <v>副手武器</v>
      </c>
      <c r="E283" s="14">
        <f>equip.xml!E287</f>
        <v>6</v>
      </c>
      <c r="F283" s="14">
        <f>equip.xml!F287</f>
        <v>1</v>
      </c>
      <c r="G283" s="14">
        <f>equip.xml!G287</f>
        <v>60</v>
      </c>
      <c r="H283" s="14" t="str">
        <f>equip.xml!H287</f>
        <v>3,1003</v>
      </c>
      <c r="I283" s="14">
        <f>equip.xml!J287</f>
        <v>5</v>
      </c>
      <c r="J283" s="14">
        <f>equip.xml!K287</f>
        <v>0</v>
      </c>
      <c r="K283" s="14">
        <f>equip.xml!L287</f>
        <v>0</v>
      </c>
      <c r="L283" s="14" t="str">
        <f>equip.xml!M287</f>
        <v>102_2704_2704</v>
      </c>
      <c r="M283" s="17" t="str">
        <f>equip.xml!Q287</f>
        <v>equipment/2301.png</v>
      </c>
      <c r="N283" s="16" t="str">
        <f>equip.xml!P287</f>
        <v>10000_1002_60000,30000_30001_1,30000_30002_1,30000_30003_1</v>
      </c>
      <c r="O283">
        <f>equip.xml!R287</f>
        <v>0</v>
      </c>
    </row>
    <row r="284" spans="1:15">
      <c r="A284" s="14" t="str">
        <f>equip.xml!A288</f>
        <v>10600040</v>
      </c>
      <c r="B284" s="14">
        <f>equip.xml!B288</f>
        <v>1</v>
      </c>
      <c r="C284" s="14" t="str">
        <f>equip.xml!C288</f>
        <v>明光战甲</v>
      </c>
      <c r="D284" s="14" t="str">
        <f>equip.xml!D288</f>
        <v>胸甲</v>
      </c>
      <c r="E284" s="14">
        <f>equip.xml!E288</f>
        <v>4</v>
      </c>
      <c r="F284" s="14">
        <f>equip.xml!F288</f>
        <v>1</v>
      </c>
      <c r="G284" s="14">
        <f>equip.xml!G288</f>
        <v>60</v>
      </c>
      <c r="H284" s="14">
        <f>equip.xml!H288</f>
        <v>0</v>
      </c>
      <c r="I284" s="14">
        <f>equip.xml!J288</f>
        <v>5</v>
      </c>
      <c r="J284" s="14">
        <f>equip.xml!K288</f>
        <v>0</v>
      </c>
      <c r="K284" s="14">
        <f>equip.xml!L288</f>
        <v>0</v>
      </c>
      <c r="L284" s="14" t="str">
        <f>equip.xml!M288</f>
        <v>105_1377_1377</v>
      </c>
      <c r="M284" s="17" t="str">
        <f>equip.xml!Q288</f>
        <v>equipment/5016.png</v>
      </c>
      <c r="N284" s="16" t="str">
        <f>equip.xml!P288</f>
        <v>10000_1002_60000,30000_30001_1,30000_30002_1,30000_30003_1</v>
      </c>
      <c r="O284">
        <f>equip.xml!R288</f>
        <v>0</v>
      </c>
    </row>
    <row r="285" spans="1:15">
      <c r="A285" s="14" t="str">
        <f>equip.xml!A289</f>
        <v>10600041</v>
      </c>
      <c r="B285" s="14">
        <f>equip.xml!B289</f>
        <v>0</v>
      </c>
      <c r="C285" s="14" t="str">
        <f>equip.xml!C289</f>
        <v>龙骑战甲</v>
      </c>
      <c r="D285" s="14" t="str">
        <f>equip.xml!D289</f>
        <v>胸甲</v>
      </c>
      <c r="E285" s="14">
        <f>equip.xml!E289</f>
        <v>4</v>
      </c>
      <c r="F285" s="14">
        <f>equip.xml!F289</f>
        <v>1</v>
      </c>
      <c r="G285" s="14">
        <f>equip.xml!G289</f>
        <v>60</v>
      </c>
      <c r="H285" s="14">
        <f>equip.xml!H289</f>
        <v>0</v>
      </c>
      <c r="I285" s="14">
        <f>equip.xml!J289</f>
        <v>5</v>
      </c>
      <c r="J285" s="14">
        <f>equip.xml!K289</f>
        <v>0</v>
      </c>
      <c r="K285" s="14">
        <f>equip.xml!L289</f>
        <v>0</v>
      </c>
      <c r="L285" s="14" t="str">
        <f>equip.xml!M289</f>
        <v>105_1477_1477</v>
      </c>
      <c r="M285" s="17" t="str">
        <f>equip.xml!Q289</f>
        <v>equipment/5001.png</v>
      </c>
      <c r="N285" s="16" t="str">
        <f>equip.xml!P289</f>
        <v>10000_1002_60000,30000_30001_1,30000_30002_1,30000_30003_1</v>
      </c>
      <c r="O285">
        <f>equip.xml!R289</f>
        <v>0</v>
      </c>
    </row>
    <row r="286" spans="1:15">
      <c r="A286" s="14" t="str">
        <f>equip.xml!A290</f>
        <v>10600070</v>
      </c>
      <c r="B286" s="14">
        <f>equip.xml!B290</f>
        <v>1</v>
      </c>
      <c r="C286" s="14" t="str">
        <f>equip.xml!C290</f>
        <v>深渊护腿</v>
      </c>
      <c r="D286" s="14" t="str">
        <f>equip.xml!D290</f>
        <v>护腿</v>
      </c>
      <c r="E286" s="14">
        <f>equip.xml!E290</f>
        <v>7</v>
      </c>
      <c r="F286" s="14">
        <f>equip.xml!F290</f>
        <v>1</v>
      </c>
      <c r="G286" s="14">
        <f>equip.xml!G290</f>
        <v>60</v>
      </c>
      <c r="H286" s="14">
        <f>equip.xml!H290</f>
        <v>0</v>
      </c>
      <c r="I286" s="14">
        <f>equip.xml!J290</f>
        <v>5</v>
      </c>
      <c r="J286" s="14">
        <f>equip.xml!K290</f>
        <v>0</v>
      </c>
      <c r="K286" s="14">
        <f>equip.xml!L290</f>
        <v>0</v>
      </c>
      <c r="L286" s="14" t="str">
        <f>equip.xml!M290</f>
        <v>105_1152_1152</v>
      </c>
      <c r="M286" s="17" t="str">
        <f>equip.xml!Q290</f>
        <v>equipment/7014.png</v>
      </c>
      <c r="N286" s="16" t="str">
        <f>equip.xml!P290</f>
        <v>10000_1002_60000,30000_30001_1,30000_30002_1,30000_30003_1</v>
      </c>
      <c r="O286">
        <f>equip.xml!R290</f>
        <v>0</v>
      </c>
    </row>
    <row r="287" spans="1:15">
      <c r="A287" s="14" t="str">
        <f>equip.xml!A291</f>
        <v>10600071</v>
      </c>
      <c r="B287" s="14">
        <f>equip.xml!B291</f>
        <v>1</v>
      </c>
      <c r="C287" s="14" t="str">
        <f>equip.xml!C291</f>
        <v>光耀腿甲</v>
      </c>
      <c r="D287" s="14" t="str">
        <f>equip.xml!D291</f>
        <v>护腿</v>
      </c>
      <c r="E287" s="14">
        <f>equip.xml!E291</f>
        <v>7</v>
      </c>
      <c r="F287" s="14">
        <f>equip.xml!F291</f>
        <v>1</v>
      </c>
      <c r="G287" s="14">
        <f>equip.xml!G291</f>
        <v>60</v>
      </c>
      <c r="H287" s="14">
        <f>equip.xml!H291</f>
        <v>0</v>
      </c>
      <c r="I287" s="14">
        <f>equip.xml!J291</f>
        <v>5</v>
      </c>
      <c r="J287" s="14">
        <f>equip.xml!K291</f>
        <v>0</v>
      </c>
      <c r="K287" s="14">
        <f>equip.xml!L291</f>
        <v>0</v>
      </c>
      <c r="L287" s="14" t="str">
        <f>equip.xml!M291</f>
        <v>105_1342_1342</v>
      </c>
      <c r="M287" s="17" t="str">
        <f>equip.xml!Q291</f>
        <v>equipment/7015.png</v>
      </c>
      <c r="N287" s="16" t="str">
        <f>equip.xml!P291</f>
        <v>10000_1002_60000,30000_30001_1,30000_30002_1,30000_30003_1</v>
      </c>
      <c r="O287">
        <f>equip.xml!R291</f>
        <v>0</v>
      </c>
    </row>
    <row r="288" spans="1:15">
      <c r="A288" s="14" t="str">
        <f>equip.xml!A292</f>
        <v>10650010</v>
      </c>
      <c r="B288" s="14">
        <f>equip.xml!B292</f>
        <v>1</v>
      </c>
      <c r="C288" s="14" t="str">
        <f>equip.xml!C292</f>
        <v>虚空之冠</v>
      </c>
      <c r="D288" s="14" t="str">
        <f>equip.xml!D292</f>
        <v>头盔</v>
      </c>
      <c r="E288" s="14">
        <f>equip.xml!E292</f>
        <v>1</v>
      </c>
      <c r="F288" s="14">
        <f>equip.xml!F292</f>
        <v>1</v>
      </c>
      <c r="G288" s="14">
        <f>equip.xml!G292</f>
        <v>65</v>
      </c>
      <c r="H288" s="14">
        <f>equip.xml!H292</f>
        <v>0</v>
      </c>
      <c r="I288" s="14">
        <f>equip.xml!J292</f>
        <v>5</v>
      </c>
      <c r="J288" s="14">
        <f>equip.xml!K292</f>
        <v>0</v>
      </c>
      <c r="K288" s="14">
        <f>equip.xml!L292</f>
        <v>0</v>
      </c>
      <c r="L288" s="14" t="str">
        <f>equip.xml!M292</f>
        <v>106_2015_2015</v>
      </c>
      <c r="M288" s="17" t="str">
        <f>equip.xml!Q292</f>
        <v>equipment/3011.png</v>
      </c>
      <c r="N288" s="16" t="str">
        <f>equip.xml!P292</f>
        <v>10000_1002_65000,30000_30001_1,30000_30002_1,30000_30003_1</v>
      </c>
      <c r="O288">
        <f>equip.xml!R292</f>
        <v>0</v>
      </c>
    </row>
    <row r="289" spans="1:15">
      <c r="A289" s="14" t="str">
        <f>equip.xml!A293</f>
        <v>10650020</v>
      </c>
      <c r="B289" s="14">
        <f>equip.xml!B293</f>
        <v>1</v>
      </c>
      <c r="C289" s="14" t="str">
        <f>equip.xml!C293</f>
        <v>圣火指环</v>
      </c>
      <c r="D289" s="14" t="str">
        <f>equip.xml!D293</f>
        <v>戒指</v>
      </c>
      <c r="E289" s="14">
        <f>equip.xml!E293</f>
        <v>2</v>
      </c>
      <c r="F289" s="14">
        <f>equip.xml!F293</f>
        <v>1</v>
      </c>
      <c r="G289" s="14">
        <f>equip.xml!G293</f>
        <v>65</v>
      </c>
      <c r="H289" s="14">
        <f>equip.xml!H293</f>
        <v>0</v>
      </c>
      <c r="I289" s="14">
        <f>equip.xml!J293</f>
        <v>5</v>
      </c>
      <c r="J289" s="14">
        <f>equip.xml!K293</f>
        <v>0</v>
      </c>
      <c r="K289" s="14">
        <f>equip.xml!L293</f>
        <v>0</v>
      </c>
      <c r="L289" s="14" t="str">
        <f>equip.xml!M293</f>
        <v>102_1470_1470</v>
      </c>
      <c r="M289" s="17" t="str">
        <f>equip.xml!Q293</f>
        <v>equipment/14011.png</v>
      </c>
      <c r="N289" s="16" t="str">
        <f>equip.xml!P293</f>
        <v>10000_1002_65000,30000_30001_1,30000_30002_1,30000_30003_1</v>
      </c>
      <c r="O289">
        <f>equip.xml!R293</f>
        <v>0</v>
      </c>
    </row>
    <row r="290" spans="1:15">
      <c r="A290" s="14" t="str">
        <f>equip.xml!A294</f>
        <v>10650030</v>
      </c>
      <c r="B290" s="14">
        <f>equip.xml!B294</f>
        <v>1</v>
      </c>
      <c r="C290" s="14" t="str">
        <f>equip.xml!C294</f>
        <v>统御腰带</v>
      </c>
      <c r="D290" s="14" t="str">
        <f>equip.xml!D294</f>
        <v>腰带</v>
      </c>
      <c r="E290" s="14">
        <f>equip.xml!E294</f>
        <v>3</v>
      </c>
      <c r="F290" s="14">
        <f>equip.xml!F294</f>
        <v>1</v>
      </c>
      <c r="G290" s="14">
        <f>equip.xml!G294</f>
        <v>65</v>
      </c>
      <c r="H290" s="14">
        <f>equip.xml!H294</f>
        <v>0</v>
      </c>
      <c r="I290" s="14">
        <f>equip.xml!J294</f>
        <v>5</v>
      </c>
      <c r="J290" s="14">
        <f>equip.xml!K294</f>
        <v>0</v>
      </c>
      <c r="K290" s="14">
        <f>equip.xml!L294</f>
        <v>0</v>
      </c>
      <c r="L290" s="14" t="str">
        <f>equip.xml!M294</f>
        <v>101_16900_16900</v>
      </c>
      <c r="M290" s="17" t="str">
        <f>equip.xml!Q294</f>
        <v>equipment/6011.png</v>
      </c>
      <c r="N290" s="16" t="str">
        <f>equip.xml!P294</f>
        <v>10000_1002_65000,30000_30001_1,30000_30002_1,30000_30003_1</v>
      </c>
      <c r="O290">
        <f>equip.xml!R294</f>
        <v>0</v>
      </c>
    </row>
    <row r="291" spans="1:15">
      <c r="A291" s="14" t="str">
        <f>equip.xml!A295</f>
        <v>10650080</v>
      </c>
      <c r="B291" s="14">
        <f>equip.xml!B295</f>
        <v>1</v>
      </c>
      <c r="C291" s="14" t="str">
        <f>equip.xml!C295</f>
        <v>狱火战靴</v>
      </c>
      <c r="D291" s="14" t="str">
        <f>equip.xml!D295</f>
        <v>鞋子</v>
      </c>
      <c r="E291" s="14">
        <f>equip.xml!E295</f>
        <v>8</v>
      </c>
      <c r="F291" s="14">
        <f>equip.xml!F295</f>
        <v>1</v>
      </c>
      <c r="G291" s="14">
        <f>equip.xml!G295</f>
        <v>65</v>
      </c>
      <c r="H291" s="14">
        <f>equip.xml!H295</f>
        <v>0</v>
      </c>
      <c r="I291" s="14">
        <f>equip.xml!J295</f>
        <v>5</v>
      </c>
      <c r="J291" s="14">
        <f>equip.xml!K295</f>
        <v>0</v>
      </c>
      <c r="K291" s="14">
        <f>equip.xml!L295</f>
        <v>0</v>
      </c>
      <c r="L291" s="14" t="str">
        <f>equip.xml!M295</f>
        <v>110_352_352</v>
      </c>
      <c r="M291" s="17" t="str">
        <f>equip.xml!Q295</f>
        <v>equipment/8011.png</v>
      </c>
      <c r="N291" s="16" t="str">
        <f>equip.xml!P295</f>
        <v>10000_1002_65000,30000_30001_1,30000_30002_1,30000_30003_1</v>
      </c>
      <c r="O291">
        <f>equip.xml!R295</f>
        <v>0</v>
      </c>
    </row>
    <row r="292" spans="1:15">
      <c r="A292" s="14" t="str">
        <f>equip.xml!A296</f>
        <v>10650090</v>
      </c>
      <c r="B292" s="14">
        <f>equip.xml!B296</f>
        <v>1</v>
      </c>
      <c r="C292" s="14" t="str">
        <f>equip.xml!C296</f>
        <v>荣耀先驱护手</v>
      </c>
      <c r="D292" s="14" t="str">
        <f>equip.xml!D296</f>
        <v>手套</v>
      </c>
      <c r="E292" s="14">
        <f>equip.xml!E296</f>
        <v>9</v>
      </c>
      <c r="F292" s="14">
        <f>equip.xml!F296</f>
        <v>1</v>
      </c>
      <c r="G292" s="14">
        <f>equip.xml!G296</f>
        <v>65</v>
      </c>
      <c r="H292" s="14">
        <f>equip.xml!H296</f>
        <v>0</v>
      </c>
      <c r="I292" s="14">
        <f>equip.xml!J296</f>
        <v>5</v>
      </c>
      <c r="J292" s="14">
        <f>equip.xml!K296</f>
        <v>0</v>
      </c>
      <c r="K292" s="14">
        <f>equip.xml!L296</f>
        <v>0</v>
      </c>
      <c r="L292" s="14" t="str">
        <f>equip.xml!M296</f>
        <v>108_3884_3884</v>
      </c>
      <c r="M292" s="17" t="str">
        <f>equip.xml!Q296</f>
        <v>equipment/10011.png</v>
      </c>
      <c r="N292" s="16" t="str">
        <f>equip.xml!P296</f>
        <v>10000_1002_65000,30000_30001_1,30000_30002_1,30000_30003_1</v>
      </c>
      <c r="O292">
        <f>equip.xml!R296</f>
        <v>0</v>
      </c>
    </row>
    <row r="293" spans="1:15">
      <c r="A293" s="14" t="str">
        <f>equip.xml!A297</f>
        <v>10650100</v>
      </c>
      <c r="B293" s="14">
        <f>equip.xml!B297</f>
        <v>1</v>
      </c>
      <c r="C293" s="14" t="str">
        <f>equip.xml!C297</f>
        <v>救赎坠饰</v>
      </c>
      <c r="D293" s="14" t="str">
        <f>equip.xml!D297</f>
        <v>项链</v>
      </c>
      <c r="E293" s="14">
        <f>equip.xml!E297</f>
        <v>10</v>
      </c>
      <c r="F293" s="14">
        <f>equip.xml!F297</f>
        <v>1</v>
      </c>
      <c r="G293" s="14">
        <f>equip.xml!G297</f>
        <v>65</v>
      </c>
      <c r="H293" s="14">
        <f>equip.xml!H297</f>
        <v>0</v>
      </c>
      <c r="I293" s="14">
        <f>equip.xml!J297</f>
        <v>5</v>
      </c>
      <c r="J293" s="14">
        <f>equip.xml!K297</f>
        <v>0</v>
      </c>
      <c r="K293" s="14">
        <f>equip.xml!L297</f>
        <v>0</v>
      </c>
      <c r="L293" s="14" t="str">
        <f>equip.xml!M297</f>
        <v>107_2015_2015</v>
      </c>
      <c r="M293" s="17" t="str">
        <f>equip.xml!Q297</f>
        <v>equipment/12011.png</v>
      </c>
      <c r="N293" s="16" t="str">
        <f>equip.xml!P297</f>
        <v>10000_1002_65000,30000_30001_1,30000_30002_1,30000_30003_1</v>
      </c>
      <c r="O293">
        <f>equip.xml!R297</f>
        <v>0</v>
      </c>
    </row>
    <row r="294" spans="1:15">
      <c r="A294" s="14" t="str">
        <f>equip.xml!A298</f>
        <v>10651050</v>
      </c>
      <c r="B294" s="14">
        <f>equip.xml!B298</f>
        <v>1</v>
      </c>
      <c r="C294" s="14" t="str">
        <f>equip.xml!C298</f>
        <v>魂歌之刃</v>
      </c>
      <c r="D294" s="14" t="str">
        <f>equip.xml!D298</f>
        <v>主手武器</v>
      </c>
      <c r="E294" s="14">
        <f>equip.xml!E298</f>
        <v>5</v>
      </c>
      <c r="F294" s="14">
        <f>equip.xml!F298</f>
        <v>1</v>
      </c>
      <c r="G294" s="14">
        <f>equip.xml!G298</f>
        <v>65</v>
      </c>
      <c r="H294" s="14" t="str">
        <f>equip.xml!H298</f>
        <v>1,1001</v>
      </c>
      <c r="I294" s="14">
        <f>equip.xml!J298</f>
        <v>5</v>
      </c>
      <c r="J294" s="14">
        <f>equip.xml!K298</f>
        <v>0</v>
      </c>
      <c r="K294" s="14">
        <f>equip.xml!L298</f>
        <v>0</v>
      </c>
      <c r="L294" s="14" t="str">
        <f>equip.xml!M298</f>
        <v>103_2619_2619,104_5238_5238</v>
      </c>
      <c r="M294" s="17" t="str">
        <f>equip.xml!Q298</f>
        <v>equipment/1123.png</v>
      </c>
      <c r="N294" s="16" t="str">
        <f>equip.xml!P298</f>
        <v>10000_1002_65000,30000_30001_1,30000_30002_1,30000_30003_1</v>
      </c>
      <c r="O294">
        <f>equip.xml!R298</f>
        <v>0</v>
      </c>
    </row>
    <row r="295" spans="1:15">
      <c r="A295" s="14" t="str">
        <f>equip.xml!A299</f>
        <v>10651051</v>
      </c>
      <c r="B295" s="14">
        <f>equip.xml!B299</f>
        <v>0</v>
      </c>
      <c r="C295" s="14" t="str">
        <f>equip.xml!C299</f>
        <v>命运</v>
      </c>
      <c r="D295" s="14" t="str">
        <f>equip.xml!D299</f>
        <v>主手武器</v>
      </c>
      <c r="E295" s="14">
        <f>equip.xml!E299</f>
        <v>5</v>
      </c>
      <c r="F295" s="14">
        <f>equip.xml!F299</f>
        <v>1</v>
      </c>
      <c r="G295" s="14">
        <f>equip.xml!G299</f>
        <v>65</v>
      </c>
      <c r="H295" s="14" t="str">
        <f>equip.xml!H299</f>
        <v>1,1001</v>
      </c>
      <c r="I295" s="14">
        <f>equip.xml!J299</f>
        <v>5</v>
      </c>
      <c r="J295" s="14">
        <f>equip.xml!K299</f>
        <v>0</v>
      </c>
      <c r="K295" s="14">
        <f>equip.xml!L299</f>
        <v>0</v>
      </c>
      <c r="L295" s="14" t="str">
        <f>equip.xml!M299</f>
        <v>103_2854_2854,104_5708_5708</v>
      </c>
      <c r="M295" s="17" t="str">
        <f>equip.xml!Q299</f>
        <v>equipment/1101.png</v>
      </c>
      <c r="N295" s="16" t="str">
        <f>equip.xml!P299</f>
        <v>10000_1002_65000,30000_30001_1,30000_30002_1,30000_30003_1</v>
      </c>
      <c r="O295">
        <f>equip.xml!R299</f>
        <v>0</v>
      </c>
    </row>
    <row r="296" spans="1:15">
      <c r="A296" s="14" t="str">
        <f>equip.xml!A300</f>
        <v>10651060</v>
      </c>
      <c r="B296" s="14">
        <f>equip.xml!B300</f>
        <v>1</v>
      </c>
      <c r="C296" s="14" t="str">
        <f>equip.xml!C300</f>
        <v>日怒之盾</v>
      </c>
      <c r="D296" s="14" t="str">
        <f>equip.xml!D300</f>
        <v>副手武器</v>
      </c>
      <c r="E296" s="14">
        <f>equip.xml!E300</f>
        <v>6</v>
      </c>
      <c r="F296" s="14">
        <f>equip.xml!F300</f>
        <v>1</v>
      </c>
      <c r="G296" s="14">
        <f>equip.xml!G300</f>
        <v>65</v>
      </c>
      <c r="H296" s="14" t="str">
        <f>equip.xml!H300</f>
        <v>1,1001</v>
      </c>
      <c r="I296" s="14">
        <f>equip.xml!J300</f>
        <v>5</v>
      </c>
      <c r="J296" s="14">
        <f>equip.xml!K300</f>
        <v>0</v>
      </c>
      <c r="K296" s="14">
        <f>equip.xml!L300</f>
        <v>0</v>
      </c>
      <c r="L296" s="14" t="str">
        <f>equip.xml!M300</f>
        <v>105_2988_2988</v>
      </c>
      <c r="M296" s="17" t="str">
        <f>equip.xml!Q300</f>
        <v>equipment/2116.png</v>
      </c>
      <c r="N296" s="16" t="str">
        <f>equip.xml!P300</f>
        <v>10000_1002_65000,30000_30001_1,30000_30002_1,30000_30003_1</v>
      </c>
      <c r="O296">
        <f>equip.xml!R300</f>
        <v>0</v>
      </c>
    </row>
    <row r="297" spans="1:15">
      <c r="A297" s="14" t="str">
        <f>equip.xml!A301</f>
        <v>10651061</v>
      </c>
      <c r="B297" s="14">
        <f>equip.xml!B301</f>
        <v>0</v>
      </c>
      <c r="C297" s="14" t="str">
        <f>equip.xml!C301</f>
        <v>尖头盾</v>
      </c>
      <c r="D297" s="14" t="str">
        <f>equip.xml!D301</f>
        <v>副手武器</v>
      </c>
      <c r="E297" s="14">
        <f>equip.xml!E301</f>
        <v>6</v>
      </c>
      <c r="F297" s="14">
        <f>equip.xml!F301</f>
        <v>1</v>
      </c>
      <c r="G297" s="14">
        <f>equip.xml!G301</f>
        <v>65</v>
      </c>
      <c r="H297" s="14" t="str">
        <f>equip.xml!H301</f>
        <v>1,1001</v>
      </c>
      <c r="I297" s="14">
        <f>equip.xml!J301</f>
        <v>5</v>
      </c>
      <c r="J297" s="14">
        <f>equip.xml!K301</f>
        <v>0</v>
      </c>
      <c r="K297" s="14">
        <f>equip.xml!L301</f>
        <v>0</v>
      </c>
      <c r="L297" s="14" t="str">
        <f>equip.xml!M301</f>
        <v>105_2988_2988</v>
      </c>
      <c r="M297" s="17" t="str">
        <f>equip.xml!Q301</f>
        <v>equipment/2101.png</v>
      </c>
      <c r="N297" s="16" t="str">
        <f>equip.xml!P301</f>
        <v>10000_1002_65000,30000_30001_1,30000_30002_1,30000_30003_1</v>
      </c>
      <c r="O297">
        <f>equip.xml!R301</f>
        <v>0</v>
      </c>
    </row>
    <row r="298" spans="1:15">
      <c r="A298" s="14" t="str">
        <f>equip.xml!A302</f>
        <v>10652050</v>
      </c>
      <c r="B298" s="14">
        <f>equip.xml!B302</f>
        <v>1</v>
      </c>
      <c r="C298" s="14" t="str">
        <f>equip.xml!C302</f>
        <v>憎恨之击</v>
      </c>
      <c r="D298" s="14" t="str">
        <f>equip.xml!D302</f>
        <v>主手武器</v>
      </c>
      <c r="E298" s="14">
        <f>equip.xml!E302</f>
        <v>5</v>
      </c>
      <c r="F298" s="14">
        <f>equip.xml!F302</f>
        <v>1</v>
      </c>
      <c r="G298" s="14">
        <f>equip.xml!G302</f>
        <v>65</v>
      </c>
      <c r="H298" s="14" t="str">
        <f>equip.xml!H302</f>
        <v>2,1002</v>
      </c>
      <c r="I298" s="14">
        <f>equip.xml!J302</f>
        <v>5</v>
      </c>
      <c r="J298" s="14">
        <f>equip.xml!K302</f>
        <v>0</v>
      </c>
      <c r="K298" s="14">
        <f>equip.xml!L302</f>
        <v>0</v>
      </c>
      <c r="L298" s="14" t="str">
        <f>equip.xml!M302</f>
        <v>103_2619_2619,104_5238_5238</v>
      </c>
      <c r="M298" s="17" t="str">
        <f>equip.xml!Q302</f>
        <v>equipment/1224.png</v>
      </c>
      <c r="N298" s="16" t="str">
        <f>equip.xml!P302</f>
        <v>10000_1002_65000,30000_30001_1,30000_30002_1,30000_30003_1</v>
      </c>
      <c r="O298">
        <f>equip.xml!R302</f>
        <v>0</v>
      </c>
    </row>
    <row r="299" spans="1:15">
      <c r="A299" s="14" t="str">
        <f>equip.xml!A303</f>
        <v>10652051</v>
      </c>
      <c r="B299" s="14">
        <f>equip.xml!B303</f>
        <v>0</v>
      </c>
      <c r="C299" s="14" t="str">
        <f>equip.xml!C303</f>
        <v>日怒凰弓</v>
      </c>
      <c r="D299" s="14" t="str">
        <f>equip.xml!D303</f>
        <v>主手武器</v>
      </c>
      <c r="E299" s="14">
        <f>equip.xml!E303</f>
        <v>5</v>
      </c>
      <c r="F299" s="14">
        <f>equip.xml!F303</f>
        <v>1</v>
      </c>
      <c r="G299" s="14">
        <f>equip.xml!G303</f>
        <v>65</v>
      </c>
      <c r="H299" s="14" t="str">
        <f>equip.xml!H303</f>
        <v>2,1002</v>
      </c>
      <c r="I299" s="14">
        <f>equip.xml!J303</f>
        <v>5</v>
      </c>
      <c r="J299" s="14">
        <f>equip.xml!K303</f>
        <v>0</v>
      </c>
      <c r="K299" s="14">
        <f>equip.xml!L303</f>
        <v>0</v>
      </c>
      <c r="L299" s="14" t="str">
        <f>equip.xml!M303</f>
        <v>103_2854_2854,104_5708_5708</v>
      </c>
      <c r="M299" s="17" t="str">
        <f>equip.xml!Q303</f>
        <v>equipment/1201.png</v>
      </c>
      <c r="N299" s="16" t="str">
        <f>equip.xml!P303</f>
        <v>10000_1002_65000,30000_30001_1,30000_30002_1,30000_30003_1</v>
      </c>
      <c r="O299">
        <f>equip.xml!R303</f>
        <v>0</v>
      </c>
    </row>
    <row r="300" spans="1:15">
      <c r="A300" s="14" t="str">
        <f>equip.xml!A304</f>
        <v>10652060</v>
      </c>
      <c r="B300" s="14">
        <f>equip.xml!B304</f>
        <v>1</v>
      </c>
      <c r="C300" s="14" t="str">
        <f>equip.xml!C304</f>
        <v>追噬之矢</v>
      </c>
      <c r="D300" s="14" t="str">
        <f>equip.xml!D304</f>
        <v>副手武器</v>
      </c>
      <c r="E300" s="14">
        <f>equip.xml!E304</f>
        <v>6</v>
      </c>
      <c r="F300" s="14">
        <f>equip.xml!F304</f>
        <v>1</v>
      </c>
      <c r="G300" s="14">
        <f>equip.xml!G304</f>
        <v>65</v>
      </c>
      <c r="H300" s="14" t="str">
        <f>equip.xml!H304</f>
        <v>2,1002</v>
      </c>
      <c r="I300" s="14">
        <f>equip.xml!J304</f>
        <v>5</v>
      </c>
      <c r="J300" s="14">
        <f>equip.xml!K304</f>
        <v>0</v>
      </c>
      <c r="K300" s="14">
        <f>equip.xml!L304</f>
        <v>0</v>
      </c>
      <c r="L300" s="14" t="str">
        <f>equip.xml!M304</f>
        <v>108_2988_2988</v>
      </c>
      <c r="M300" s="17" t="str">
        <f>equip.xml!Q304</f>
        <v>equipment/2216.png</v>
      </c>
      <c r="N300" s="16" t="str">
        <f>equip.xml!P304</f>
        <v>10000_1002_65000,30000_30001_1,30000_30002_1,30000_30003_1</v>
      </c>
      <c r="O300">
        <f>equip.xml!R304</f>
        <v>0</v>
      </c>
    </row>
    <row r="301" spans="1:15">
      <c r="A301" s="14" t="str">
        <f>equip.xml!A305</f>
        <v>10652061</v>
      </c>
      <c r="B301" s="14">
        <f>equip.xml!B305</f>
        <v>0</v>
      </c>
      <c r="C301" s="14" t="str">
        <f>equip.xml!C305</f>
        <v>箭筒</v>
      </c>
      <c r="D301" s="14" t="str">
        <f>equip.xml!D305</f>
        <v>副手武器</v>
      </c>
      <c r="E301" s="14">
        <f>equip.xml!E305</f>
        <v>6</v>
      </c>
      <c r="F301" s="14">
        <f>equip.xml!F305</f>
        <v>1</v>
      </c>
      <c r="G301" s="14">
        <f>equip.xml!G305</f>
        <v>65</v>
      </c>
      <c r="H301" s="14" t="str">
        <f>equip.xml!H305</f>
        <v>2,1002</v>
      </c>
      <c r="I301" s="14">
        <f>equip.xml!J305</f>
        <v>5</v>
      </c>
      <c r="J301" s="14">
        <f>equip.xml!K305</f>
        <v>0</v>
      </c>
      <c r="K301" s="14">
        <f>equip.xml!L305</f>
        <v>0</v>
      </c>
      <c r="L301" s="14" t="str">
        <f>equip.xml!M305</f>
        <v>108_2988_2988</v>
      </c>
      <c r="M301" s="17" t="str">
        <f>equip.xml!Q305</f>
        <v>equipment/2201.png</v>
      </c>
      <c r="N301" s="16" t="str">
        <f>equip.xml!P305</f>
        <v>10000_1002_65000,30000_30001_1,30000_30002_1,30000_30003_1</v>
      </c>
      <c r="O301">
        <f>equip.xml!R305</f>
        <v>0</v>
      </c>
    </row>
    <row r="302" spans="1:15">
      <c r="A302" s="14" t="str">
        <f>equip.xml!A306</f>
        <v>10653050</v>
      </c>
      <c r="B302" s="14">
        <f>equip.xml!B306</f>
        <v>1</v>
      </c>
      <c r="C302" s="14" t="str">
        <f>equip.xml!C306</f>
        <v>时轮金杖</v>
      </c>
      <c r="D302" s="14" t="str">
        <f>equip.xml!D306</f>
        <v>主手武器</v>
      </c>
      <c r="E302" s="14">
        <f>equip.xml!E306</f>
        <v>5</v>
      </c>
      <c r="F302" s="14">
        <f>equip.xml!F306</f>
        <v>1</v>
      </c>
      <c r="G302" s="14">
        <f>equip.xml!G306</f>
        <v>65</v>
      </c>
      <c r="H302" s="14" t="str">
        <f>equip.xml!H306</f>
        <v>3,1003</v>
      </c>
      <c r="I302" s="14">
        <f>equip.xml!J306</f>
        <v>5</v>
      </c>
      <c r="J302" s="14">
        <f>equip.xml!K306</f>
        <v>0</v>
      </c>
      <c r="K302" s="14">
        <f>equip.xml!L306</f>
        <v>0</v>
      </c>
      <c r="L302" s="14" t="str">
        <f>equip.xml!M306</f>
        <v>103_2619_2619,104_5238_5238</v>
      </c>
      <c r="M302" s="17" t="str">
        <f>equip.xml!Q306</f>
        <v>equipment/1323.png</v>
      </c>
      <c r="N302" s="16" t="str">
        <f>equip.xml!P306</f>
        <v>10000_1002_65000,30000_30001_1,30000_30002_1,30000_30003_1</v>
      </c>
      <c r="O302">
        <f>equip.xml!R306</f>
        <v>0</v>
      </c>
    </row>
    <row r="303" spans="1:15">
      <c r="A303" s="14" t="str">
        <f>equip.xml!A307</f>
        <v>10653051</v>
      </c>
      <c r="B303" s="14">
        <f>equip.xml!B307</f>
        <v>0</v>
      </c>
      <c r="C303" s="14" t="str">
        <f>equip.xml!C307</f>
        <v>学徒法杖</v>
      </c>
      <c r="D303" s="14" t="str">
        <f>equip.xml!D307</f>
        <v>主手武器</v>
      </c>
      <c r="E303" s="14">
        <f>equip.xml!E307</f>
        <v>5</v>
      </c>
      <c r="F303" s="14">
        <f>equip.xml!F307</f>
        <v>1</v>
      </c>
      <c r="G303" s="14">
        <f>equip.xml!G307</f>
        <v>65</v>
      </c>
      <c r="H303" s="14" t="str">
        <f>equip.xml!H307</f>
        <v>3,1003</v>
      </c>
      <c r="I303" s="14">
        <f>equip.xml!J307</f>
        <v>5</v>
      </c>
      <c r="J303" s="14">
        <f>equip.xml!K307</f>
        <v>0</v>
      </c>
      <c r="K303" s="14">
        <f>equip.xml!L307</f>
        <v>0</v>
      </c>
      <c r="L303" s="14" t="str">
        <f>equip.xml!M307</f>
        <v>103_2854_2854,104_5708_5708</v>
      </c>
      <c r="M303" s="17" t="str">
        <f>equip.xml!Q307</f>
        <v>equipment/1301.png</v>
      </c>
      <c r="N303" s="16" t="str">
        <f>equip.xml!P307</f>
        <v>10000_1002_65000,30000_30001_1,30000_30002_1,30000_30003_1</v>
      </c>
      <c r="O303">
        <f>equip.xml!R307</f>
        <v>0</v>
      </c>
    </row>
    <row r="304" spans="1:15">
      <c r="A304" s="14" t="str">
        <f>equip.xml!A308</f>
        <v>10653060</v>
      </c>
      <c r="B304" s="14">
        <f>equip.xml!B308</f>
        <v>1</v>
      </c>
      <c r="C304" s="14" t="str">
        <f>equip.xml!C308</f>
        <v>龙语秘典</v>
      </c>
      <c r="D304" s="14" t="str">
        <f>equip.xml!D308</f>
        <v>副手武器</v>
      </c>
      <c r="E304" s="14">
        <f>equip.xml!E308</f>
        <v>6</v>
      </c>
      <c r="F304" s="14">
        <f>equip.xml!F308</f>
        <v>1</v>
      </c>
      <c r="G304" s="14">
        <f>equip.xml!G308</f>
        <v>65</v>
      </c>
      <c r="H304" s="14" t="str">
        <f>equip.xml!H308</f>
        <v>3,1003</v>
      </c>
      <c r="I304" s="14">
        <f>equip.xml!J308</f>
        <v>5</v>
      </c>
      <c r="J304" s="14">
        <f>equip.xml!K308</f>
        <v>0</v>
      </c>
      <c r="K304" s="14">
        <f>equip.xml!L308</f>
        <v>0</v>
      </c>
      <c r="L304" s="14" t="str">
        <f>equip.xml!M308</f>
        <v>102_2620_2620</v>
      </c>
      <c r="M304" s="17" t="str">
        <f>equip.xml!Q308</f>
        <v>equipment/2317.png</v>
      </c>
      <c r="N304" s="16" t="str">
        <f>equip.xml!P308</f>
        <v>10000_1002_65000,30000_30001_1,30000_30002_1,30000_30003_1</v>
      </c>
      <c r="O304">
        <f>equip.xml!R308</f>
        <v>0</v>
      </c>
    </row>
    <row r="305" spans="1:15">
      <c r="A305" s="14" t="str">
        <f>equip.xml!A309</f>
        <v>10653061</v>
      </c>
      <c r="B305" s="14">
        <f>equip.xml!B309</f>
        <v>0</v>
      </c>
      <c r="C305" s="14" t="str">
        <f>equip.xml!C309</f>
        <v>法术指南</v>
      </c>
      <c r="D305" s="14" t="str">
        <f>equip.xml!D309</f>
        <v>副手武器</v>
      </c>
      <c r="E305" s="14">
        <f>equip.xml!E309</f>
        <v>6</v>
      </c>
      <c r="F305" s="14">
        <f>equip.xml!F309</f>
        <v>1</v>
      </c>
      <c r="G305" s="14">
        <f>equip.xml!G309</f>
        <v>65</v>
      </c>
      <c r="H305" s="14" t="str">
        <f>equip.xml!H309</f>
        <v>3,1003</v>
      </c>
      <c r="I305" s="14">
        <f>equip.xml!J309</f>
        <v>5</v>
      </c>
      <c r="J305" s="14">
        <f>equip.xml!K309</f>
        <v>0</v>
      </c>
      <c r="K305" s="14">
        <f>equip.xml!L309</f>
        <v>0</v>
      </c>
      <c r="L305" s="14" t="str">
        <f>equip.xml!M309</f>
        <v>102_2988_2988</v>
      </c>
      <c r="M305" s="17" t="str">
        <f>equip.xml!Q309</f>
        <v>equipment/2301.png</v>
      </c>
      <c r="N305" s="16" t="str">
        <f>equip.xml!P309</f>
        <v>10000_1002_65000,30000_30001_1,30000_30002_1,30000_30003_1</v>
      </c>
      <c r="O305">
        <f>equip.xml!R309</f>
        <v>0</v>
      </c>
    </row>
    <row r="306" spans="1:15">
      <c r="A306" s="14" t="str">
        <f>equip.xml!A310</f>
        <v>10650040</v>
      </c>
      <c r="B306" s="14">
        <f>equip.xml!B310</f>
        <v>1</v>
      </c>
      <c r="C306" s="14" t="str">
        <f>equip.xml!C310</f>
        <v>末世胸铠</v>
      </c>
      <c r="D306" s="14" t="str">
        <f>equip.xml!D310</f>
        <v>胸甲</v>
      </c>
      <c r="E306" s="14">
        <f>equip.xml!E310</f>
        <v>4</v>
      </c>
      <c r="F306" s="14">
        <f>equip.xml!F310</f>
        <v>1</v>
      </c>
      <c r="G306" s="14">
        <f>equip.xml!G310</f>
        <v>65</v>
      </c>
      <c r="H306" s="14">
        <f>equip.xml!H310</f>
        <v>0</v>
      </c>
      <c r="I306" s="14">
        <f>equip.xml!J310</f>
        <v>5</v>
      </c>
      <c r="J306" s="14">
        <f>equip.xml!K310</f>
        <v>0</v>
      </c>
      <c r="K306" s="14">
        <f>equip.xml!L310</f>
        <v>0</v>
      </c>
      <c r="L306" s="14" t="str">
        <f>equip.xml!M310</f>
        <v>105_1628_1628</v>
      </c>
      <c r="M306" s="17" t="str">
        <f>equip.xml!Q310</f>
        <v>equipment/5017.png</v>
      </c>
      <c r="N306" s="16" t="str">
        <f>equip.xml!P310</f>
        <v>10000_1002_65000,30000_30001_1,30000_30002_1,30000_30003_1</v>
      </c>
      <c r="O306">
        <f>equip.xml!R310</f>
        <v>0</v>
      </c>
    </row>
    <row r="307" spans="1:15">
      <c r="A307" s="14" t="str">
        <f>equip.xml!A311</f>
        <v>10650041</v>
      </c>
      <c r="B307" s="14">
        <f>equip.xml!B311</f>
        <v>0</v>
      </c>
      <c r="C307" s="14" t="str">
        <f>equip.xml!C311</f>
        <v>新兵外套</v>
      </c>
      <c r="D307" s="14" t="str">
        <f>equip.xml!D311</f>
        <v>胸甲</v>
      </c>
      <c r="E307" s="14">
        <f>equip.xml!E311</f>
        <v>4</v>
      </c>
      <c r="F307" s="14">
        <f>equip.xml!F311</f>
        <v>1</v>
      </c>
      <c r="G307" s="14">
        <f>equip.xml!G311</f>
        <v>65</v>
      </c>
      <c r="H307" s="14">
        <f>equip.xml!H311</f>
        <v>0</v>
      </c>
      <c r="I307" s="14">
        <f>equip.xml!J311</f>
        <v>5</v>
      </c>
      <c r="J307" s="14">
        <f>equip.xml!K311</f>
        <v>0</v>
      </c>
      <c r="K307" s="14">
        <f>equip.xml!L311</f>
        <v>0</v>
      </c>
      <c r="L307" s="14" t="str">
        <f>equip.xml!M311</f>
        <v>105_1628_1628</v>
      </c>
      <c r="M307" s="17" t="str">
        <f>equip.xml!Q311</f>
        <v>equipment/5001.png</v>
      </c>
      <c r="N307" s="16" t="str">
        <f>equip.xml!P311</f>
        <v>10000_1002_65000,30000_30001_1,30000_30002_1,30000_30003_1</v>
      </c>
      <c r="O307">
        <f>equip.xml!R311</f>
        <v>0</v>
      </c>
    </row>
    <row r="308" spans="1:15">
      <c r="A308" s="14" t="str">
        <f>equip.xml!A312</f>
        <v>10650070</v>
      </c>
      <c r="B308" s="14">
        <f>equip.xml!B312</f>
        <v>1</v>
      </c>
      <c r="C308" s="14" t="str">
        <f>equip.xml!C312</f>
        <v>止战腿甲</v>
      </c>
      <c r="D308" s="14" t="str">
        <f>equip.xml!D312</f>
        <v>护腿</v>
      </c>
      <c r="E308" s="14">
        <f>equip.xml!E312</f>
        <v>7</v>
      </c>
      <c r="F308" s="14">
        <f>equip.xml!F312</f>
        <v>1</v>
      </c>
      <c r="G308" s="14">
        <f>equip.xml!G312</f>
        <v>65</v>
      </c>
      <c r="H308" s="14">
        <f>equip.xml!H312</f>
        <v>0</v>
      </c>
      <c r="I308" s="14">
        <f>equip.xml!J312</f>
        <v>5</v>
      </c>
      <c r="J308" s="14">
        <f>equip.xml!K312</f>
        <v>0</v>
      </c>
      <c r="K308" s="14">
        <f>equip.xml!L312</f>
        <v>0</v>
      </c>
      <c r="L308" s="14" t="str">
        <f>equip.xml!M312</f>
        <v>105_1627_1627</v>
      </c>
      <c r="M308" s="17" t="str">
        <f>equip.xml!Q312</f>
        <v>equipment/7017.png</v>
      </c>
      <c r="N308" s="16" t="str">
        <f>equip.xml!P312</f>
        <v>10000_1002_65000,30000_30001_1,30000_30002_1,30000_30003_1</v>
      </c>
      <c r="O308">
        <f>equip.xml!R312</f>
        <v>0</v>
      </c>
    </row>
    <row r="309" spans="1:15">
      <c r="A309" s="14" t="str">
        <f>equip.xml!A313</f>
        <v>10650071</v>
      </c>
      <c r="B309" s="14">
        <f>equip.xml!B313</f>
        <v>0</v>
      </c>
      <c r="C309" s="14" t="str">
        <f>equip.xml!C313</f>
        <v>学徒短裤</v>
      </c>
      <c r="D309" s="14" t="str">
        <f>equip.xml!D313</f>
        <v>护腿</v>
      </c>
      <c r="E309" s="14">
        <f>equip.xml!E313</f>
        <v>7</v>
      </c>
      <c r="F309" s="14">
        <f>equip.xml!F313</f>
        <v>1</v>
      </c>
      <c r="G309" s="14">
        <f>equip.xml!G313</f>
        <v>65</v>
      </c>
      <c r="H309" s="14">
        <f>equip.xml!H313</f>
        <v>0</v>
      </c>
      <c r="I309" s="14">
        <f>equip.xml!J313</f>
        <v>5</v>
      </c>
      <c r="J309" s="14">
        <f>equip.xml!K313</f>
        <v>0</v>
      </c>
      <c r="K309" s="14">
        <f>equip.xml!L313</f>
        <v>0</v>
      </c>
      <c r="L309" s="14" t="str">
        <f>equip.xml!M313</f>
        <v>105_1627_1627</v>
      </c>
      <c r="M309" s="17" t="str">
        <f>equip.xml!Q313</f>
        <v>equipment/7001.png</v>
      </c>
      <c r="N309" s="16" t="str">
        <f>equip.xml!P313</f>
        <v>10000_1002_65000,30000_30001_1,30000_30002_1,30000_30003_1</v>
      </c>
      <c r="O309">
        <f>equip.xml!R313</f>
        <v>0</v>
      </c>
    </row>
    <row r="310" spans="1:15">
      <c r="A310" s="14" t="str">
        <f>equip.xml!A314</f>
        <v>10700010</v>
      </c>
      <c r="B310" s="14">
        <f>equip.xml!B314</f>
        <v>1</v>
      </c>
      <c r="C310" s="14" t="str">
        <f>equip.xml!C314</f>
        <v>破碎之冠</v>
      </c>
      <c r="D310" s="14" t="str">
        <f>equip.xml!D314</f>
        <v>头盔</v>
      </c>
      <c r="E310" s="14">
        <f>equip.xml!E314</f>
        <v>1</v>
      </c>
      <c r="F310" s="14">
        <f>equip.xml!F314</f>
        <v>1</v>
      </c>
      <c r="G310" s="14">
        <f>equip.xml!G314</f>
        <v>70</v>
      </c>
      <c r="H310" s="14">
        <f>equip.xml!H314</f>
        <v>0</v>
      </c>
      <c r="I310" s="14">
        <f>equip.xml!J314</f>
        <v>5</v>
      </c>
      <c r="J310" s="14">
        <f>equip.xml!K314</f>
        <v>0</v>
      </c>
      <c r="K310" s="14">
        <f>equip.xml!L314</f>
        <v>0</v>
      </c>
      <c r="L310" s="14" t="str">
        <f>equip.xml!M314</f>
        <v>106_2256_2256</v>
      </c>
      <c r="M310" s="17" t="str">
        <f>equip.xml!Q314</f>
        <v>equipment/3014.png</v>
      </c>
      <c r="N310" s="16" t="str">
        <f>equip.xml!P314</f>
        <v>10000_1002_70000,30000_30001_1,30000_30002_1,30000_30003_1</v>
      </c>
      <c r="O310">
        <f>equip.xml!R314</f>
        <v>0</v>
      </c>
    </row>
    <row r="311" spans="1:15">
      <c r="A311" s="14" t="str">
        <f>equip.xml!A315</f>
        <v>10700020</v>
      </c>
      <c r="B311" s="14">
        <f>equip.xml!B315</f>
        <v>1</v>
      </c>
      <c r="C311" s="14" t="str">
        <f>equip.xml!C315</f>
        <v>灵谕之戒</v>
      </c>
      <c r="D311" s="14" t="str">
        <f>equip.xml!D315</f>
        <v>戒指</v>
      </c>
      <c r="E311" s="14">
        <f>equip.xml!E315</f>
        <v>2</v>
      </c>
      <c r="F311" s="14">
        <f>equip.xml!F315</f>
        <v>1</v>
      </c>
      <c r="G311" s="14">
        <f>equip.xml!G315</f>
        <v>70</v>
      </c>
      <c r="H311" s="14">
        <f>equip.xml!H315</f>
        <v>0</v>
      </c>
      <c r="I311" s="14">
        <f>equip.xml!J315</f>
        <v>5</v>
      </c>
      <c r="J311" s="14">
        <f>equip.xml!K315</f>
        <v>0</v>
      </c>
      <c r="K311" s="14">
        <f>equip.xml!L315</f>
        <v>0</v>
      </c>
      <c r="L311" s="14" t="str">
        <f>equip.xml!M315</f>
        <v>102_1620_1620</v>
      </c>
      <c r="M311" s="17" t="str">
        <f>equip.xml!Q315</f>
        <v>equipment/14012.png</v>
      </c>
      <c r="N311" s="16" t="str">
        <f>equip.xml!P315</f>
        <v>10000_1002_70000,30000_30001_1,30000_30002_1,30000_30003_1</v>
      </c>
      <c r="O311">
        <f>equip.xml!R315</f>
        <v>0</v>
      </c>
    </row>
    <row r="312" spans="1:15">
      <c r="A312" s="14" t="str">
        <f>equip.xml!A316</f>
        <v>10700030</v>
      </c>
      <c r="B312" s="14">
        <f>equip.xml!B316</f>
        <v>1</v>
      </c>
      <c r="C312" s="14" t="str">
        <f>equip.xml!C316</f>
        <v>怒涛腰带</v>
      </c>
      <c r="D312" s="14" t="str">
        <f>equip.xml!D316</f>
        <v>腰带</v>
      </c>
      <c r="E312" s="14">
        <f>equip.xml!E316</f>
        <v>3</v>
      </c>
      <c r="F312" s="14">
        <f>equip.xml!F316</f>
        <v>1</v>
      </c>
      <c r="G312" s="14">
        <f>equip.xml!G316</f>
        <v>70</v>
      </c>
      <c r="H312" s="14">
        <f>equip.xml!H316</f>
        <v>0</v>
      </c>
      <c r="I312" s="14">
        <f>equip.xml!J316</f>
        <v>5</v>
      </c>
      <c r="J312" s="14">
        <f>equip.xml!K316</f>
        <v>0</v>
      </c>
      <c r="K312" s="14">
        <f>equip.xml!L316</f>
        <v>0</v>
      </c>
      <c r="L312" s="14" t="str">
        <f>equip.xml!M316</f>
        <v>101_19200_19200</v>
      </c>
      <c r="M312" s="17" t="str">
        <f>equip.xml!Q316</f>
        <v>equipment/6013.png</v>
      </c>
      <c r="N312" s="16" t="str">
        <f>equip.xml!P316</f>
        <v>10000_1002_70000,30000_30001_1,30000_30002_1,30000_30003_1</v>
      </c>
      <c r="O312">
        <f>equip.xml!R316</f>
        <v>0</v>
      </c>
    </row>
    <row r="313" spans="1:15">
      <c r="A313" s="14" t="str">
        <f>equip.xml!A317</f>
        <v>10700080</v>
      </c>
      <c r="B313" s="14">
        <f>equip.xml!B317</f>
        <v>1</v>
      </c>
      <c r="C313" s="14" t="str">
        <f>equip.xml!C317</f>
        <v>无影轻靴</v>
      </c>
      <c r="D313" s="14" t="str">
        <f>equip.xml!D317</f>
        <v>鞋子</v>
      </c>
      <c r="E313" s="14">
        <f>equip.xml!E317</f>
        <v>8</v>
      </c>
      <c r="F313" s="14">
        <f>equip.xml!F317</f>
        <v>1</v>
      </c>
      <c r="G313" s="14">
        <f>equip.xml!G317</f>
        <v>70</v>
      </c>
      <c r="H313" s="14">
        <f>equip.xml!H317</f>
        <v>0</v>
      </c>
      <c r="I313" s="14">
        <f>equip.xml!J317</f>
        <v>5</v>
      </c>
      <c r="J313" s="14">
        <f>equip.xml!K317</f>
        <v>0</v>
      </c>
      <c r="K313" s="14">
        <f>equip.xml!L317</f>
        <v>0</v>
      </c>
      <c r="L313" s="14" t="str">
        <f>equip.xml!M317</f>
        <v>110_442_442</v>
      </c>
      <c r="M313" s="17" t="str">
        <f>equip.xml!Q317</f>
        <v>equipment/8012.png</v>
      </c>
      <c r="N313" s="16" t="str">
        <f>equip.xml!P317</f>
        <v>10000_1002_70000,30000_30001_1,30000_30002_1,30000_30003_1</v>
      </c>
      <c r="O313">
        <f>equip.xml!R317</f>
        <v>0</v>
      </c>
    </row>
    <row r="314" spans="1:15">
      <c r="A314" s="14" t="str">
        <f>equip.xml!A318</f>
        <v>10700090</v>
      </c>
      <c r="B314" s="14">
        <f>equip.xml!B318</f>
        <v>1</v>
      </c>
      <c r="C314" s="14" t="str">
        <f>equip.xml!C318</f>
        <v>裂隙之手</v>
      </c>
      <c r="D314" s="14" t="str">
        <f>equip.xml!D318</f>
        <v>手套</v>
      </c>
      <c r="E314" s="14">
        <f>equip.xml!E318</f>
        <v>9</v>
      </c>
      <c r="F314" s="14">
        <f>equip.xml!F318</f>
        <v>1</v>
      </c>
      <c r="G314" s="14">
        <f>equip.xml!G318</f>
        <v>70</v>
      </c>
      <c r="H314" s="14">
        <f>equip.xml!H318</f>
        <v>0</v>
      </c>
      <c r="I314" s="14">
        <f>equip.xml!J318</f>
        <v>5</v>
      </c>
      <c r="J314" s="14">
        <f>equip.xml!K318</f>
        <v>0</v>
      </c>
      <c r="K314" s="14">
        <f>equip.xml!L318</f>
        <v>0</v>
      </c>
      <c r="L314" s="14" t="str">
        <f>equip.xml!M318</f>
        <v>108_4189_4189</v>
      </c>
      <c r="M314" s="17" t="str">
        <f>equip.xml!Q318</f>
        <v>equipment/10013.png</v>
      </c>
      <c r="N314" s="16" t="str">
        <f>equip.xml!P318</f>
        <v>10000_1002_70000,30000_30001_1,30000_30002_1,30000_30003_1</v>
      </c>
      <c r="O314">
        <f>equip.xml!R318</f>
        <v>0</v>
      </c>
    </row>
    <row r="315" spans="1:15">
      <c r="A315" s="14" t="str">
        <f>equip.xml!A319</f>
        <v>10700100</v>
      </c>
      <c r="B315" s="14">
        <f>equip.xml!B319</f>
        <v>1</v>
      </c>
      <c r="C315" s="14" t="str">
        <f>equip.xml!C319</f>
        <v>岁月永恒护符</v>
      </c>
      <c r="D315" s="14" t="str">
        <f>equip.xml!D319</f>
        <v>项链</v>
      </c>
      <c r="E315" s="14">
        <f>equip.xml!E319</f>
        <v>10</v>
      </c>
      <c r="F315" s="14">
        <f>equip.xml!F319</f>
        <v>1</v>
      </c>
      <c r="G315" s="14">
        <f>equip.xml!G319</f>
        <v>70</v>
      </c>
      <c r="H315" s="14">
        <f>equip.xml!H319</f>
        <v>0</v>
      </c>
      <c r="I315" s="14">
        <f>equip.xml!J319</f>
        <v>5</v>
      </c>
      <c r="J315" s="14">
        <f>equip.xml!K319</f>
        <v>0</v>
      </c>
      <c r="K315" s="14">
        <f>equip.xml!L319</f>
        <v>0</v>
      </c>
      <c r="L315" s="14" t="str">
        <f>equip.xml!M319</f>
        <v>107_2256_2256</v>
      </c>
      <c r="M315" s="17" t="str">
        <f>equip.xml!Q319</f>
        <v>equipment/12014.png</v>
      </c>
      <c r="N315" s="16" t="str">
        <f>equip.xml!P319</f>
        <v>10000_1002_70000,30000_30001_1,30000_30002_1,30000_30003_1</v>
      </c>
      <c r="O315">
        <f>equip.xml!R319</f>
        <v>0</v>
      </c>
    </row>
    <row r="316" spans="1:15">
      <c r="A316" s="14" t="str">
        <f>equip.xml!A320</f>
        <v>10701050</v>
      </c>
      <c r="B316" s="14">
        <f>equip.xml!B320</f>
        <v>1</v>
      </c>
      <c r="C316" s="14" t="str">
        <f>equip.xml!C320</f>
        <v>命运</v>
      </c>
      <c r="D316" s="14" t="str">
        <f>equip.xml!D320</f>
        <v>主手武器</v>
      </c>
      <c r="E316" s="14">
        <f>equip.xml!E320</f>
        <v>5</v>
      </c>
      <c r="F316" s="14">
        <f>equip.xml!F320</f>
        <v>1</v>
      </c>
      <c r="G316" s="14">
        <f>equip.xml!G320</f>
        <v>70</v>
      </c>
      <c r="H316" s="14" t="str">
        <f>equip.xml!H320</f>
        <v>1,1001</v>
      </c>
      <c r="I316" s="14">
        <f>equip.xml!J320</f>
        <v>5</v>
      </c>
      <c r="J316" s="14">
        <f>equip.xml!K320</f>
        <v>0</v>
      </c>
      <c r="K316" s="14">
        <f>equip.xml!L320</f>
        <v>0</v>
      </c>
      <c r="L316" s="14" t="str">
        <f>equip.xml!M320</f>
        <v>103_3269_3269,104_6538_6538</v>
      </c>
      <c r="M316" s="17" t="str">
        <f>equip.xml!Q320</f>
        <v>equipment/1124.png</v>
      </c>
      <c r="N316" s="16" t="str">
        <f>equip.xml!P320</f>
        <v>10000_1002_70000,30000_30001_1,30000_30002_1,30000_30003_1</v>
      </c>
      <c r="O316">
        <f>equip.xml!R320</f>
        <v>0</v>
      </c>
    </row>
    <row r="317" spans="1:15">
      <c r="A317" s="14" t="str">
        <f>equip.xml!A321</f>
        <v>10701051</v>
      </c>
      <c r="B317" s="14">
        <f>equip.xml!B321</f>
        <v>0</v>
      </c>
      <c r="C317" s="14" t="str">
        <f>equip.xml!C321</f>
        <v>灰烬使者</v>
      </c>
      <c r="D317" s="14" t="str">
        <f>equip.xml!D321</f>
        <v>主手武器</v>
      </c>
      <c r="E317" s="14">
        <f>equip.xml!E321</f>
        <v>5</v>
      </c>
      <c r="F317" s="14">
        <f>equip.xml!F321</f>
        <v>1</v>
      </c>
      <c r="G317" s="14">
        <f>equip.xml!G321</f>
        <v>70</v>
      </c>
      <c r="H317" s="14" t="str">
        <f>equip.xml!H321</f>
        <v>1,1001</v>
      </c>
      <c r="I317" s="14">
        <f>equip.xml!J321</f>
        <v>5</v>
      </c>
      <c r="J317" s="14">
        <f>equip.xml!K321</f>
        <v>0</v>
      </c>
      <c r="K317" s="14">
        <f>equip.xml!L321</f>
        <v>0</v>
      </c>
      <c r="L317" s="14" t="str">
        <f>equip.xml!M321</f>
        <v>103_3269_3269,104_6538_6538</v>
      </c>
      <c r="M317" s="17" t="str">
        <f>equip.xml!Q321</f>
        <v>equipment/1101.png</v>
      </c>
      <c r="N317" s="16" t="str">
        <f>equip.xml!P321</f>
        <v>10000_1002_70000,30000_30001_1,30000_30002_1,30000_30003_1</v>
      </c>
      <c r="O317">
        <f>equip.xml!R321</f>
        <v>0</v>
      </c>
    </row>
    <row r="318" spans="1:15">
      <c r="A318" s="14" t="str">
        <f>equip.xml!A322</f>
        <v>10701060</v>
      </c>
      <c r="B318" s="14">
        <f>equip.xml!B322</f>
        <v>1</v>
      </c>
      <c r="C318" s="14" t="str">
        <f>equip.xml!C322</f>
        <v>永恒之盾</v>
      </c>
      <c r="D318" s="14" t="str">
        <f>equip.xml!D322</f>
        <v>副手武器</v>
      </c>
      <c r="E318" s="14">
        <f>equip.xml!E322</f>
        <v>6</v>
      </c>
      <c r="F318" s="14">
        <f>equip.xml!F322</f>
        <v>1</v>
      </c>
      <c r="G318" s="14">
        <f>equip.xml!G322</f>
        <v>70</v>
      </c>
      <c r="H318" s="14" t="str">
        <f>equip.xml!H322</f>
        <v>1,1001</v>
      </c>
      <c r="I318" s="14">
        <f>equip.xml!J322</f>
        <v>5</v>
      </c>
      <c r="J318" s="14">
        <f>equip.xml!K322</f>
        <v>0</v>
      </c>
      <c r="K318" s="14">
        <f>equip.xml!L322</f>
        <v>0</v>
      </c>
      <c r="L318" s="14" t="str">
        <f>equip.xml!M322</f>
        <v>105_3522_3522</v>
      </c>
      <c r="M318" s="17" t="str">
        <f>equip.xml!Q322</f>
        <v>equipment/2118.png</v>
      </c>
      <c r="N318" s="16" t="str">
        <f>equip.xml!P322</f>
        <v>10000_1002_70000,30000_30001_1,30000_30002_1,30000_30003_1</v>
      </c>
      <c r="O318">
        <f>equip.xml!R322</f>
        <v>0</v>
      </c>
    </row>
    <row r="319" spans="1:15">
      <c r="A319" s="14" t="str">
        <f>equip.xml!A323</f>
        <v>10701061</v>
      </c>
      <c r="B319" s="14">
        <f>equip.xml!B323</f>
        <v>0</v>
      </c>
      <c r="C319" s="14" t="str">
        <f>equip.xml!C323</f>
        <v>相位壁垒</v>
      </c>
      <c r="D319" s="14" t="str">
        <f>equip.xml!D323</f>
        <v>副手武器</v>
      </c>
      <c r="E319" s="14">
        <f>equip.xml!E323</f>
        <v>6</v>
      </c>
      <c r="F319" s="14">
        <f>equip.xml!F323</f>
        <v>1</v>
      </c>
      <c r="G319" s="14">
        <f>equip.xml!G323</f>
        <v>70</v>
      </c>
      <c r="H319" s="14" t="str">
        <f>equip.xml!H323</f>
        <v>1,1001</v>
      </c>
      <c r="I319" s="14">
        <f>equip.xml!J323</f>
        <v>5</v>
      </c>
      <c r="J319" s="14">
        <f>equip.xml!K323</f>
        <v>0</v>
      </c>
      <c r="K319" s="14">
        <f>equip.xml!L323</f>
        <v>0</v>
      </c>
      <c r="L319" s="14" t="str">
        <f>equip.xml!M323</f>
        <v>105_3522_3522</v>
      </c>
      <c r="M319" s="17" t="str">
        <f>equip.xml!Q323</f>
        <v>equipment/2101.png</v>
      </c>
      <c r="N319" s="16" t="str">
        <f>equip.xml!P323</f>
        <v>10000_1002_70000,30000_30001_1,30000_30002_1,30000_30003_1</v>
      </c>
      <c r="O319">
        <f>equip.xml!R323</f>
        <v>0</v>
      </c>
    </row>
    <row r="320" spans="1:15">
      <c r="A320" s="14" t="str">
        <f>equip.xml!A324</f>
        <v>10702050</v>
      </c>
      <c r="B320" s="14">
        <f>equip.xml!B324</f>
        <v>1</v>
      </c>
      <c r="C320" s="14" t="str">
        <f>equip.xml!C324</f>
        <v>日怒凰弓</v>
      </c>
      <c r="D320" s="14" t="str">
        <f>equip.xml!D324</f>
        <v>主手武器</v>
      </c>
      <c r="E320" s="14">
        <f>equip.xml!E324</f>
        <v>5</v>
      </c>
      <c r="F320" s="14">
        <f>equip.xml!F324</f>
        <v>1</v>
      </c>
      <c r="G320" s="14">
        <f>equip.xml!G324</f>
        <v>70</v>
      </c>
      <c r="H320" s="14" t="str">
        <f>equip.xml!H324</f>
        <v>2,1002</v>
      </c>
      <c r="I320" s="14">
        <f>equip.xml!J324</f>
        <v>5</v>
      </c>
      <c r="J320" s="14">
        <f>equip.xml!K324</f>
        <v>0</v>
      </c>
      <c r="K320" s="14">
        <f>equip.xml!L324</f>
        <v>0</v>
      </c>
      <c r="L320" s="14" t="str">
        <f>equip.xml!M324</f>
        <v>103_3269_3269,104_6538_6538</v>
      </c>
      <c r="M320" s="17" t="str">
        <f>equip.xml!Q324</f>
        <v>equipment/1222.png</v>
      </c>
      <c r="N320" s="16" t="str">
        <f>equip.xml!P324</f>
        <v>10000_1002_70000,30000_30001_1,30000_30002_1,30000_30003_1</v>
      </c>
      <c r="O320">
        <f>equip.xml!R324</f>
        <v>0</v>
      </c>
    </row>
    <row r="321" spans="1:15">
      <c r="A321" s="14" t="str">
        <f>equip.xml!A325</f>
        <v>10702051</v>
      </c>
      <c r="B321" s="14">
        <f>equip.xml!B325</f>
        <v>0</v>
      </c>
      <c r="C321" s="14" t="str">
        <f>equip.xml!C325</f>
        <v>群星之怒</v>
      </c>
      <c r="D321" s="14" t="str">
        <f>equip.xml!D325</f>
        <v>主手武器</v>
      </c>
      <c r="E321" s="14">
        <f>equip.xml!E325</f>
        <v>5</v>
      </c>
      <c r="F321" s="14">
        <f>equip.xml!F325</f>
        <v>1</v>
      </c>
      <c r="G321" s="14">
        <f>equip.xml!G325</f>
        <v>70</v>
      </c>
      <c r="H321" s="14" t="str">
        <f>equip.xml!H325</f>
        <v>2,1002</v>
      </c>
      <c r="I321" s="14">
        <f>equip.xml!J325</f>
        <v>5</v>
      </c>
      <c r="J321" s="14">
        <f>equip.xml!K325</f>
        <v>0</v>
      </c>
      <c r="K321" s="14">
        <f>equip.xml!L325</f>
        <v>0</v>
      </c>
      <c r="L321" s="14" t="str">
        <f>equip.xml!M325</f>
        <v>103_3269_3269,104_6538_6538</v>
      </c>
      <c r="M321" s="17" t="str">
        <f>equip.xml!Q325</f>
        <v>equipment/1201.png</v>
      </c>
      <c r="N321" s="16" t="str">
        <f>equip.xml!P325</f>
        <v>10000_1002_70000,30000_30001_1,30000_30002_1,30000_30003_1</v>
      </c>
      <c r="O321">
        <f>equip.xml!R325</f>
        <v>0</v>
      </c>
    </row>
    <row r="322" spans="1:15">
      <c r="A322" s="14" t="str">
        <f>equip.xml!A326</f>
        <v>10702060</v>
      </c>
      <c r="B322" s="14">
        <f>equip.xml!B326</f>
        <v>1</v>
      </c>
      <c r="C322" s="14" t="str">
        <f>equip.xml!C326</f>
        <v>逐日之矢</v>
      </c>
      <c r="D322" s="14" t="str">
        <f>equip.xml!D326</f>
        <v>副手武器</v>
      </c>
      <c r="E322" s="14">
        <f>equip.xml!E326</f>
        <v>6</v>
      </c>
      <c r="F322" s="14">
        <f>equip.xml!F326</f>
        <v>1</v>
      </c>
      <c r="G322" s="14">
        <f>equip.xml!G326</f>
        <v>70</v>
      </c>
      <c r="H322" s="14" t="str">
        <f>equip.xml!H326</f>
        <v>2,1002</v>
      </c>
      <c r="I322" s="14">
        <f>equip.xml!J326</f>
        <v>5</v>
      </c>
      <c r="J322" s="14">
        <f>equip.xml!K326</f>
        <v>0</v>
      </c>
      <c r="K322" s="14">
        <f>equip.xml!L326</f>
        <v>0</v>
      </c>
      <c r="L322" s="14" t="str">
        <f>equip.xml!M326</f>
        <v>108_3522_3522</v>
      </c>
      <c r="M322" s="17" t="str">
        <f>equip.xml!Q326</f>
        <v>equipment/2218.png</v>
      </c>
      <c r="N322" s="16" t="str">
        <f>equip.xml!P326</f>
        <v>10000_1002_70000,30000_30001_1,30000_30002_1,30000_30003_1</v>
      </c>
      <c r="O322">
        <f>equip.xml!R326</f>
        <v>0</v>
      </c>
    </row>
    <row r="323" spans="1:15">
      <c r="A323" s="14" t="str">
        <f>equip.xml!A327</f>
        <v>10702061</v>
      </c>
      <c r="B323" s="14">
        <f>equip.xml!B327</f>
        <v>0</v>
      </c>
      <c r="C323" s="14" t="str">
        <f>equip.xml!C327</f>
        <v>箭筒</v>
      </c>
      <c r="D323" s="14" t="str">
        <f>equip.xml!D327</f>
        <v>副手武器</v>
      </c>
      <c r="E323" s="14">
        <f>equip.xml!E327</f>
        <v>6</v>
      </c>
      <c r="F323" s="14">
        <f>equip.xml!F327</f>
        <v>1</v>
      </c>
      <c r="G323" s="14">
        <f>equip.xml!G327</f>
        <v>70</v>
      </c>
      <c r="H323" s="14" t="str">
        <f>equip.xml!H327</f>
        <v>2,1002</v>
      </c>
      <c r="I323" s="14">
        <f>equip.xml!J327</f>
        <v>5</v>
      </c>
      <c r="J323" s="14">
        <f>equip.xml!K327</f>
        <v>0</v>
      </c>
      <c r="K323" s="14">
        <f>equip.xml!L327</f>
        <v>0</v>
      </c>
      <c r="L323" s="14" t="str">
        <f>equip.xml!M327</f>
        <v>108_3522_3522</v>
      </c>
      <c r="M323" s="17" t="str">
        <f>equip.xml!Q327</f>
        <v>equipment/2201.png</v>
      </c>
      <c r="N323" s="16" t="str">
        <f>equip.xml!P327</f>
        <v>10000_1002_70000,30000_30001_1,30000_30002_1,30000_30003_1</v>
      </c>
      <c r="O323">
        <f>equip.xml!R327</f>
        <v>0</v>
      </c>
    </row>
    <row r="324" spans="1:15">
      <c r="A324" s="14" t="str">
        <f>equip.xml!A328</f>
        <v>10703050</v>
      </c>
      <c r="B324" s="14">
        <f>equip.xml!B328</f>
        <v>1</v>
      </c>
      <c r="C324" s="14" t="str">
        <f>equip.xml!C328</f>
        <v>瓦解法杖</v>
      </c>
      <c r="D324" s="14" t="str">
        <f>equip.xml!D328</f>
        <v>主手武器</v>
      </c>
      <c r="E324" s="14">
        <f>equip.xml!E328</f>
        <v>5</v>
      </c>
      <c r="F324" s="14">
        <f>equip.xml!F328</f>
        <v>1</v>
      </c>
      <c r="G324" s="14">
        <f>equip.xml!G328</f>
        <v>70</v>
      </c>
      <c r="H324" s="14" t="str">
        <f>equip.xml!H328</f>
        <v>3,1003</v>
      </c>
      <c r="I324" s="14">
        <f>equip.xml!J328</f>
        <v>5</v>
      </c>
      <c r="J324" s="14">
        <f>equip.xml!K328</f>
        <v>0</v>
      </c>
      <c r="K324" s="14">
        <f>equip.xml!L328</f>
        <v>0</v>
      </c>
      <c r="L324" s="14" t="str">
        <f>equip.xml!M328</f>
        <v>103_3269_3269,104_6538_6538</v>
      </c>
      <c r="M324" s="17" t="str">
        <f>equip.xml!Q328</f>
        <v>equipment/1324.png</v>
      </c>
      <c r="N324" s="16" t="str">
        <f>equip.xml!P328</f>
        <v>10000_1002_70000,30000_30001_1,30000_30002_1,30000_30003_1</v>
      </c>
      <c r="O324">
        <f>equip.xml!R328</f>
        <v>0</v>
      </c>
    </row>
    <row r="325" spans="1:15">
      <c r="A325" s="14" t="str">
        <f>equip.xml!A329</f>
        <v>10703051</v>
      </c>
      <c r="B325" s="14">
        <f>equip.xml!B329</f>
        <v>0</v>
      </c>
      <c r="C325" s="14" t="str">
        <f>equip.xml!C329</f>
        <v>守护者之杖</v>
      </c>
      <c r="D325" s="14" t="str">
        <f>equip.xml!D329</f>
        <v>主手武器</v>
      </c>
      <c r="E325" s="14">
        <f>equip.xml!E329</f>
        <v>5</v>
      </c>
      <c r="F325" s="14">
        <f>equip.xml!F329</f>
        <v>1</v>
      </c>
      <c r="G325" s="14">
        <f>equip.xml!G329</f>
        <v>70</v>
      </c>
      <c r="H325" s="14" t="str">
        <f>equip.xml!H329</f>
        <v>3,1003</v>
      </c>
      <c r="I325" s="14">
        <f>equip.xml!J329</f>
        <v>5</v>
      </c>
      <c r="J325" s="14">
        <f>equip.xml!K329</f>
        <v>0</v>
      </c>
      <c r="K325" s="14">
        <f>equip.xml!L329</f>
        <v>0</v>
      </c>
      <c r="L325" s="14" t="str">
        <f>equip.xml!M329</f>
        <v>103_3269_3269,104_6538_6538</v>
      </c>
      <c r="M325" s="17" t="str">
        <f>equip.xml!Q329</f>
        <v>equipment/1301.png</v>
      </c>
      <c r="N325" s="16" t="str">
        <f>equip.xml!P329</f>
        <v>10000_1002_70000,30000_30001_1,30000_30002_1,30000_30003_1</v>
      </c>
      <c r="O325">
        <f>equip.xml!R329</f>
        <v>0</v>
      </c>
    </row>
    <row r="326" spans="1:15">
      <c r="A326" s="14" t="str">
        <f>equip.xml!A330</f>
        <v>10703060</v>
      </c>
      <c r="B326" s="14">
        <f>equip.xml!B330</f>
        <v>1</v>
      </c>
      <c r="C326" s="14" t="str">
        <f>equip.xml!C330</f>
        <v>虚空魔典</v>
      </c>
      <c r="D326" s="14" t="str">
        <f>equip.xml!D330</f>
        <v>副手武器</v>
      </c>
      <c r="E326" s="14">
        <f>equip.xml!E330</f>
        <v>6</v>
      </c>
      <c r="F326" s="14">
        <f>equip.xml!F330</f>
        <v>1</v>
      </c>
      <c r="G326" s="14">
        <f>equip.xml!G330</f>
        <v>70</v>
      </c>
      <c r="H326" s="14" t="str">
        <f>equip.xml!H330</f>
        <v>3,1003</v>
      </c>
      <c r="I326" s="14">
        <f>equip.xml!J330</f>
        <v>5</v>
      </c>
      <c r="J326" s="14">
        <f>equip.xml!K330</f>
        <v>0</v>
      </c>
      <c r="K326" s="14">
        <f>equip.xml!L330</f>
        <v>0</v>
      </c>
      <c r="L326" s="14" t="str">
        <f>equip.xml!M330</f>
        <v>102_3080_3080</v>
      </c>
      <c r="M326" s="17" t="str">
        <f>equip.xml!Q330</f>
        <v>equipment/2318.png</v>
      </c>
      <c r="N326" s="16" t="str">
        <f>equip.xml!P330</f>
        <v>10000_1002_70000,30000_30001_1,30000_30002_1,30000_30003_1</v>
      </c>
      <c r="O326">
        <f>equip.xml!R330</f>
        <v>0</v>
      </c>
    </row>
    <row r="327" spans="1:15">
      <c r="A327" s="14" t="str">
        <f>equip.xml!A331</f>
        <v>10703061</v>
      </c>
      <c r="B327" s="14">
        <f>equip.xml!B331</f>
        <v>0</v>
      </c>
      <c r="C327" s="14" t="str">
        <f>equip.xml!C331</f>
        <v>星界之书</v>
      </c>
      <c r="D327" s="14" t="str">
        <f>equip.xml!D331</f>
        <v>副手武器</v>
      </c>
      <c r="E327" s="14">
        <f>equip.xml!E331</f>
        <v>6</v>
      </c>
      <c r="F327" s="14">
        <f>equip.xml!F331</f>
        <v>1</v>
      </c>
      <c r="G327" s="14">
        <f>equip.xml!G331</f>
        <v>70</v>
      </c>
      <c r="H327" s="14" t="str">
        <f>equip.xml!H331</f>
        <v>3,1003</v>
      </c>
      <c r="I327" s="14">
        <f>equip.xml!J331</f>
        <v>5</v>
      </c>
      <c r="J327" s="14">
        <f>equip.xml!K331</f>
        <v>0</v>
      </c>
      <c r="K327" s="14">
        <f>equip.xml!L331</f>
        <v>0</v>
      </c>
      <c r="L327" s="14" t="str">
        <f>equip.xml!M331</f>
        <v>102_3080_3080</v>
      </c>
      <c r="M327" s="17" t="str">
        <f>equip.xml!Q331</f>
        <v>equipment/2301.png</v>
      </c>
      <c r="N327" s="16" t="str">
        <f>equip.xml!P331</f>
        <v>10000_1002_70000,30000_30001_1,30000_30002_1,30000_30003_1</v>
      </c>
      <c r="O327">
        <f>equip.xml!R331</f>
        <v>0</v>
      </c>
    </row>
    <row r="328" spans="1:15">
      <c r="A328" s="14" t="str">
        <f>equip.xml!A332</f>
        <v>10700040</v>
      </c>
      <c r="B328" s="14">
        <f>equip.xml!B332</f>
        <v>1</v>
      </c>
      <c r="C328" s="14" t="str">
        <f>equip.xml!C332</f>
        <v>光铸胸甲</v>
      </c>
      <c r="D328" s="14" t="str">
        <f>equip.xml!D332</f>
        <v>胸甲</v>
      </c>
      <c r="E328" s="14">
        <f>equip.xml!E332</f>
        <v>4</v>
      </c>
      <c r="F328" s="14">
        <f>equip.xml!F332</f>
        <v>1</v>
      </c>
      <c r="G328" s="14">
        <f>equip.xml!G332</f>
        <v>70</v>
      </c>
      <c r="H328" s="14">
        <f>equip.xml!H332</f>
        <v>0</v>
      </c>
      <c r="I328" s="14">
        <f>equip.xml!J332</f>
        <v>5</v>
      </c>
      <c r="J328" s="14">
        <f>equip.xml!K332</f>
        <v>0</v>
      </c>
      <c r="K328" s="14">
        <f>equip.xml!L332</f>
        <v>0</v>
      </c>
      <c r="L328" s="14" t="str">
        <f>equip.xml!M332</f>
        <v>105_1844_1844</v>
      </c>
      <c r="M328" s="17" t="str">
        <f>equip.xml!Q332</f>
        <v>equipment/5018.png</v>
      </c>
      <c r="N328" s="16" t="str">
        <f>equip.xml!P332</f>
        <v>10000_1002_70000,30000_30001_1,30000_30002_1,30000_30003_1</v>
      </c>
      <c r="O328">
        <f>equip.xml!R332</f>
        <v>0</v>
      </c>
    </row>
    <row r="329" spans="1:15">
      <c r="A329" s="14" t="str">
        <f>equip.xml!A333</f>
        <v>10700041</v>
      </c>
      <c r="B329" s="14">
        <f>equip.xml!B333</f>
        <v>0</v>
      </c>
      <c r="C329" s="14" t="str">
        <f>equip.xml!C333</f>
        <v>碎界之铠</v>
      </c>
      <c r="D329" s="14" t="str">
        <f>equip.xml!D333</f>
        <v>胸甲</v>
      </c>
      <c r="E329" s="14">
        <f>equip.xml!E333</f>
        <v>4</v>
      </c>
      <c r="F329" s="14">
        <f>equip.xml!F333</f>
        <v>1</v>
      </c>
      <c r="G329" s="14">
        <f>equip.xml!G333</f>
        <v>70</v>
      </c>
      <c r="H329" s="14">
        <f>equip.xml!H333</f>
        <v>0</v>
      </c>
      <c r="I329" s="14">
        <f>equip.xml!J333</f>
        <v>5</v>
      </c>
      <c r="J329" s="14">
        <f>equip.xml!K333</f>
        <v>0</v>
      </c>
      <c r="K329" s="14">
        <f>equip.xml!L333</f>
        <v>0</v>
      </c>
      <c r="L329" s="14" t="str">
        <f>equip.xml!M333</f>
        <v>105_0_0</v>
      </c>
      <c r="M329" s="17" t="str">
        <f>equip.xml!Q333</f>
        <v>equipment/5001.png</v>
      </c>
      <c r="N329" s="16" t="str">
        <f>equip.xml!P333</f>
        <v>10000_1002_70000,30000_30001_1,30000_30002_1,30000_30003_1</v>
      </c>
      <c r="O329">
        <f>equip.xml!R333</f>
        <v>0</v>
      </c>
    </row>
    <row r="330" spans="1:15">
      <c r="A330" s="14" t="str">
        <f>equip.xml!A334</f>
        <v>10700070</v>
      </c>
      <c r="B330" s="14">
        <f>equip.xml!B334</f>
        <v>1</v>
      </c>
      <c r="C330" s="14" t="str">
        <f>equip.xml!C334</f>
        <v>虚灵护腿</v>
      </c>
      <c r="D330" s="14" t="str">
        <f>equip.xml!D334</f>
        <v>护腿</v>
      </c>
      <c r="E330" s="14">
        <f>equip.xml!E334</f>
        <v>7</v>
      </c>
      <c r="F330" s="14">
        <f>equip.xml!F334</f>
        <v>1</v>
      </c>
      <c r="G330" s="14">
        <f>equip.xml!G334</f>
        <v>70</v>
      </c>
      <c r="H330" s="14">
        <f>equip.xml!H334</f>
        <v>0</v>
      </c>
      <c r="I330" s="14">
        <f>equip.xml!J334</f>
        <v>5</v>
      </c>
      <c r="J330" s="14">
        <f>equip.xml!K334</f>
        <v>0</v>
      </c>
      <c r="K330" s="14">
        <f>equip.xml!L334</f>
        <v>0</v>
      </c>
      <c r="L330" s="14" t="str">
        <f>equip.xml!M334</f>
        <v>105_1844_1844</v>
      </c>
      <c r="M330" s="17" t="str">
        <f>equip.xml!Q334</f>
        <v>equipment/7018.png</v>
      </c>
      <c r="N330" s="16" t="str">
        <f>equip.xml!P334</f>
        <v>10000_1002_70000,30000_30001_1,30000_30002_1,30000_30003_1</v>
      </c>
      <c r="O330">
        <f>equip.xml!R334</f>
        <v>0</v>
      </c>
    </row>
    <row r="331" spans="1:15">
      <c r="A331" s="14" t="str">
        <f>equip.xml!A335</f>
        <v>10700071</v>
      </c>
      <c r="B331" s="14">
        <f>equip.xml!B335</f>
        <v>0</v>
      </c>
      <c r="C331" s="14" t="str">
        <f>equip.xml!C335</f>
        <v>不朽护腿</v>
      </c>
      <c r="D331" s="14" t="str">
        <f>equip.xml!D335</f>
        <v>护腿</v>
      </c>
      <c r="E331" s="14">
        <f>equip.xml!E335</f>
        <v>7</v>
      </c>
      <c r="F331" s="14">
        <f>equip.xml!F335</f>
        <v>1</v>
      </c>
      <c r="G331" s="14">
        <f>equip.xml!G335</f>
        <v>70</v>
      </c>
      <c r="H331" s="14">
        <f>equip.xml!H335</f>
        <v>0</v>
      </c>
      <c r="I331" s="14">
        <f>equip.xml!J335</f>
        <v>5</v>
      </c>
      <c r="J331" s="14">
        <f>equip.xml!K335</f>
        <v>0</v>
      </c>
      <c r="K331" s="14">
        <f>equip.xml!L335</f>
        <v>0</v>
      </c>
      <c r="L331" s="14" t="str">
        <f>equip.xml!M335</f>
        <v>105_0_0</v>
      </c>
      <c r="M331" s="17" t="str">
        <f>equip.xml!Q335</f>
        <v>equipment/7001.png</v>
      </c>
      <c r="N331" s="16" t="str">
        <f>equip.xml!P335</f>
        <v>10000_1002_70000,30000_30001_1,30000_30002_1,30000_30003_1</v>
      </c>
      <c r="O331">
        <f>equip.xml!R335</f>
        <v>0</v>
      </c>
    </row>
    <row r="332" spans="1:15">
      <c r="A332" s="14">
        <f>equip.xml!A336</f>
        <v>10750010</v>
      </c>
      <c r="B332" s="14">
        <f>equip.xml!B336</f>
        <v>1</v>
      </c>
      <c r="C332" s="14" t="str">
        <f>equip.xml!C336</f>
        <v>凛冬头盔</v>
      </c>
      <c r="D332" s="14" t="str">
        <f>equip.xml!D336</f>
        <v>头盔</v>
      </c>
      <c r="E332" s="14">
        <f>equip.xml!E336</f>
        <v>1</v>
      </c>
      <c r="F332" s="14">
        <f>equip.xml!F336</f>
        <v>1</v>
      </c>
      <c r="G332" s="14">
        <f>equip.xml!G336</f>
        <v>75</v>
      </c>
      <c r="H332" s="14">
        <f>equip.xml!H336</f>
        <v>0</v>
      </c>
      <c r="I332" s="14">
        <f>equip.xml!J336</f>
        <v>5</v>
      </c>
      <c r="J332" s="14">
        <f>equip.xml!K336</f>
        <v>0</v>
      </c>
      <c r="K332" s="14">
        <f>equip.xml!L336</f>
        <v>0</v>
      </c>
      <c r="L332" s="14" t="str">
        <f>equip.xml!M336</f>
        <v>106_2633_2633</v>
      </c>
      <c r="M332" s="17" t="str">
        <f>equip.xml!Q336</f>
        <v>equipment/3013.png</v>
      </c>
      <c r="N332" s="16" t="str">
        <f>equip.xml!P336</f>
        <v>10000_1002_70000,30000_30001_1,30000_30002_1,30000_30003_1</v>
      </c>
      <c r="O332">
        <f>equip.xml!R336</f>
        <v>0</v>
      </c>
    </row>
    <row r="333" spans="1:15">
      <c r="A333" s="14">
        <f>equip.xml!A337</f>
        <v>10750020</v>
      </c>
      <c r="B333" s="14">
        <f>equip.xml!B337</f>
        <v>1</v>
      </c>
      <c r="C333" s="14" t="str">
        <f>equip.xml!C337</f>
        <v>地脉之环</v>
      </c>
      <c r="D333" s="14" t="str">
        <f>equip.xml!D337</f>
        <v>戒指</v>
      </c>
      <c r="E333" s="14">
        <f>equip.xml!E337</f>
        <v>2</v>
      </c>
      <c r="F333" s="14">
        <f>equip.xml!F337</f>
        <v>1</v>
      </c>
      <c r="G333" s="14">
        <f>equip.xml!G337</f>
        <v>75</v>
      </c>
      <c r="H333" s="14">
        <f>equip.xml!H337</f>
        <v>0</v>
      </c>
      <c r="I333" s="14">
        <f>equip.xml!J337</f>
        <v>5</v>
      </c>
      <c r="J333" s="14">
        <f>equip.xml!K337</f>
        <v>0</v>
      </c>
      <c r="K333" s="14">
        <f>equip.xml!L337</f>
        <v>0</v>
      </c>
      <c r="L333" s="14" t="str">
        <f>equip.xml!M337</f>
        <v>102_1760_1760</v>
      </c>
      <c r="M333" s="17" t="str">
        <f>equip.xml!Q337</f>
        <v>equipment/14013.png</v>
      </c>
      <c r="N333" s="16" t="str">
        <f>equip.xml!P337</f>
        <v>10000_1002_70000,30000_30001_1,30000_30002_1,30000_30003_1</v>
      </c>
      <c r="O333">
        <f>equip.xml!R337</f>
        <v>0</v>
      </c>
    </row>
    <row r="334" spans="1:15">
      <c r="A334" s="14">
        <f>equip.xml!A338</f>
        <v>10750030</v>
      </c>
      <c r="B334" s="14">
        <f>equip.xml!B338</f>
        <v>1</v>
      </c>
      <c r="C334" s="14" t="str">
        <f>equip.xml!C338</f>
        <v>缚誓护腰</v>
      </c>
      <c r="D334" s="14" t="str">
        <f>equip.xml!D338</f>
        <v>腰带</v>
      </c>
      <c r="E334" s="14">
        <f>equip.xml!E338</f>
        <v>3</v>
      </c>
      <c r="F334" s="14">
        <f>equip.xml!F338</f>
        <v>1</v>
      </c>
      <c r="G334" s="14">
        <f>equip.xml!G338</f>
        <v>75</v>
      </c>
      <c r="H334" s="14">
        <f>equip.xml!H338</f>
        <v>0</v>
      </c>
      <c r="I334" s="14">
        <f>equip.xml!J338</f>
        <v>5</v>
      </c>
      <c r="J334" s="14">
        <f>equip.xml!K338</f>
        <v>0</v>
      </c>
      <c r="K334" s="14">
        <f>equip.xml!L338</f>
        <v>0</v>
      </c>
      <c r="L334" s="14" t="str">
        <f>equip.xml!M338</f>
        <v>101_21600_21600</v>
      </c>
      <c r="M334" s="17" t="str">
        <f>equip.xml!Q338</f>
        <v>equipment/6014.png</v>
      </c>
      <c r="N334" s="16" t="str">
        <f>equip.xml!P338</f>
        <v>10000_1002_70000,30000_30001_1,30000_30002_1,30000_30003_1</v>
      </c>
      <c r="O334">
        <f>equip.xml!R338</f>
        <v>0</v>
      </c>
    </row>
    <row r="335" spans="1:15">
      <c r="A335" s="14">
        <f>equip.xml!A339</f>
        <v>10750080</v>
      </c>
      <c r="B335" s="14">
        <f>equip.xml!B339</f>
        <v>1</v>
      </c>
      <c r="C335" s="14" t="str">
        <f>equip.xml!C339</f>
        <v>踏冰长靴</v>
      </c>
      <c r="D335" s="14" t="str">
        <f>equip.xml!D339</f>
        <v>鞋子</v>
      </c>
      <c r="E335" s="14">
        <f>equip.xml!E339</f>
        <v>8</v>
      </c>
      <c r="F335" s="14">
        <f>equip.xml!F339</f>
        <v>1</v>
      </c>
      <c r="G335" s="14">
        <f>equip.xml!G339</f>
        <v>75</v>
      </c>
      <c r="H335" s="14">
        <f>equip.xml!H339</f>
        <v>0</v>
      </c>
      <c r="I335" s="14">
        <f>equip.xml!J339</f>
        <v>5</v>
      </c>
      <c r="J335" s="14">
        <f>equip.xml!K339</f>
        <v>0</v>
      </c>
      <c r="K335" s="14">
        <f>equip.xml!L339</f>
        <v>0</v>
      </c>
      <c r="L335" s="14" t="str">
        <f>equip.xml!M339</f>
        <v>110_515_515</v>
      </c>
      <c r="M335" s="17" t="str">
        <f>equip.xml!Q339</f>
        <v>equipment/8014.png</v>
      </c>
      <c r="N335" s="16" t="str">
        <f>equip.xml!P339</f>
        <v>10000_1002_70000,30000_30001_1,30000_30002_1,30000_30003_1</v>
      </c>
      <c r="O335">
        <f>equip.xml!R339</f>
        <v>0</v>
      </c>
    </row>
    <row r="336" spans="1:15">
      <c r="A336" s="14">
        <f>equip.xml!A340</f>
        <v>10750090</v>
      </c>
      <c r="B336" s="14">
        <f>equip.xml!B340</f>
        <v>1</v>
      </c>
      <c r="C336" s="14" t="str">
        <f>equip.xml!C340</f>
        <v>薄霜护手</v>
      </c>
      <c r="D336" s="14" t="str">
        <f>equip.xml!D340</f>
        <v>手套</v>
      </c>
      <c r="E336" s="14">
        <f>equip.xml!E340</f>
        <v>9</v>
      </c>
      <c r="F336" s="14">
        <f>equip.xml!F340</f>
        <v>1</v>
      </c>
      <c r="G336" s="14">
        <f>equip.xml!G340</f>
        <v>75</v>
      </c>
      <c r="H336" s="14">
        <f>equip.xml!H340</f>
        <v>0</v>
      </c>
      <c r="I336" s="14">
        <f>equip.xml!J340</f>
        <v>5</v>
      </c>
      <c r="J336" s="14">
        <f>equip.xml!K340</f>
        <v>0</v>
      </c>
      <c r="K336" s="14">
        <f>equip.xml!L340</f>
        <v>0</v>
      </c>
      <c r="L336" s="14" t="str">
        <f>equip.xml!M340</f>
        <v>108_4631_4631</v>
      </c>
      <c r="M336" s="17" t="str">
        <f>equip.xml!Q340</f>
        <v>equipment/10012.png</v>
      </c>
      <c r="N336" s="16" t="str">
        <f>equip.xml!P340</f>
        <v>10000_1002_70000,30000_30001_1,30000_30002_1,30000_30003_1</v>
      </c>
      <c r="O336">
        <f>equip.xml!R340</f>
        <v>0</v>
      </c>
    </row>
    <row r="337" spans="1:15">
      <c r="A337" s="14">
        <f>equip.xml!A341</f>
        <v>10750100</v>
      </c>
      <c r="B337" s="14">
        <f>equip.xml!B341</f>
        <v>1</v>
      </c>
      <c r="C337" s="14" t="str">
        <f>equip.xml!C341</f>
        <v>极光挂坠</v>
      </c>
      <c r="D337" s="14" t="str">
        <f>equip.xml!D341</f>
        <v>项链</v>
      </c>
      <c r="E337" s="14">
        <f>equip.xml!E341</f>
        <v>10</v>
      </c>
      <c r="F337" s="14">
        <f>equip.xml!F341</f>
        <v>1</v>
      </c>
      <c r="G337" s="14">
        <f>equip.xml!G341</f>
        <v>75</v>
      </c>
      <c r="H337" s="14">
        <f>equip.xml!H341</f>
        <v>0</v>
      </c>
      <c r="I337" s="14">
        <f>equip.xml!J341</f>
        <v>5</v>
      </c>
      <c r="J337" s="14">
        <f>equip.xml!K341</f>
        <v>0</v>
      </c>
      <c r="K337" s="14">
        <f>equip.xml!L341</f>
        <v>0</v>
      </c>
      <c r="L337" s="14" t="str">
        <f>equip.xml!M341</f>
        <v>107_2633_2633</v>
      </c>
      <c r="M337" s="17" t="str">
        <f>equip.xml!Q341</f>
        <v>equipment/12013.png</v>
      </c>
      <c r="N337" s="16" t="str">
        <f>equip.xml!P341</f>
        <v>10000_1002_70000,30000_30001_1,30000_30002_1,30000_30003_1</v>
      </c>
      <c r="O337">
        <f>equip.xml!R341</f>
        <v>0</v>
      </c>
    </row>
    <row r="338" spans="1:15">
      <c r="A338" s="14">
        <f>equip.xml!A342</f>
        <v>10751050</v>
      </c>
      <c r="B338" s="14">
        <f>equip.xml!B342</f>
        <v>1</v>
      </c>
      <c r="C338" s="14" t="str">
        <f>equip.xml!C342</f>
        <v>凌风之刃</v>
      </c>
      <c r="D338" s="14" t="str">
        <f>equip.xml!D342</f>
        <v>主手武器</v>
      </c>
      <c r="E338" s="14">
        <f>equip.xml!E342</f>
        <v>5</v>
      </c>
      <c r="F338" s="14">
        <f>equip.xml!F342</f>
        <v>1</v>
      </c>
      <c r="G338" s="14">
        <f>equip.xml!G342</f>
        <v>75</v>
      </c>
      <c r="H338" s="14" t="str">
        <f>equip.xml!H342</f>
        <v>1,1001</v>
      </c>
      <c r="I338" s="14">
        <f>equip.xml!J342</f>
        <v>5</v>
      </c>
      <c r="J338" s="14">
        <f>equip.xml!K342</f>
        <v>0</v>
      </c>
      <c r="K338" s="14">
        <f>equip.xml!L342</f>
        <v>0</v>
      </c>
      <c r="L338" s="14" t="str">
        <f>equip.xml!M342</f>
        <v>103_3811_3811,104_7622_7622</v>
      </c>
      <c r="M338" s="17" t="str">
        <f>equip.xml!Q342</f>
        <v>equipment/1126.png</v>
      </c>
      <c r="N338" s="16" t="str">
        <f>equip.xml!P342</f>
        <v>10000_1002_70000,30000_30001_1,30000_30002_1,30000_30003_1</v>
      </c>
      <c r="O338">
        <f>equip.xml!R342</f>
        <v>0</v>
      </c>
    </row>
    <row r="339" spans="1:15">
      <c r="A339" s="14">
        <f>equip.xml!A343</f>
        <v>10751051</v>
      </c>
      <c r="B339" s="14">
        <f>equip.xml!B343</f>
        <v>1</v>
      </c>
      <c r="C339" s="14" t="str">
        <f>equip.xml!C343</f>
        <v>鸣醒之剑</v>
      </c>
      <c r="D339" s="14" t="str">
        <f>equip.xml!D343</f>
        <v>主手武器</v>
      </c>
      <c r="E339" s="14">
        <f>equip.xml!E343</f>
        <v>5</v>
      </c>
      <c r="F339" s="14">
        <f>equip.xml!F343</f>
        <v>1</v>
      </c>
      <c r="G339" s="14">
        <f>equip.xml!G343</f>
        <v>75</v>
      </c>
      <c r="H339" s="14" t="str">
        <f>equip.xml!H343</f>
        <v>1,1001</v>
      </c>
      <c r="I339" s="14">
        <f>equip.xml!J343</f>
        <v>5</v>
      </c>
      <c r="J339" s="14">
        <f>equip.xml!K343</f>
        <v>0</v>
      </c>
      <c r="K339" s="14">
        <f>equip.xml!L343</f>
        <v>0</v>
      </c>
      <c r="L339" s="14" t="str">
        <f>equip.xml!M343</f>
        <v>103_4019_4019,104_8038_8038</v>
      </c>
      <c r="M339" s="17" t="str">
        <f>equip.xml!Q343</f>
        <v>equipment/1127.png</v>
      </c>
      <c r="N339" s="16" t="str">
        <f>equip.xml!P343</f>
        <v>10000_1002_70000,30000_30001_1,30000_30002_1,30000_30003_1</v>
      </c>
      <c r="O339">
        <f>equip.xml!R343</f>
        <v>0</v>
      </c>
    </row>
    <row r="340" spans="1:15">
      <c r="A340" s="14">
        <f>equip.xml!A344</f>
        <v>10751060</v>
      </c>
      <c r="B340" s="14">
        <f>equip.xml!B344</f>
        <v>1</v>
      </c>
      <c r="C340" s="14" t="str">
        <f>equip.xml!C344</f>
        <v>凯旋护盾</v>
      </c>
      <c r="D340" s="14" t="str">
        <f>equip.xml!D344</f>
        <v>副手武器</v>
      </c>
      <c r="E340" s="14">
        <f>equip.xml!E344</f>
        <v>6</v>
      </c>
      <c r="F340" s="14">
        <f>equip.xml!F344</f>
        <v>1</v>
      </c>
      <c r="G340" s="14">
        <f>equip.xml!G344</f>
        <v>75</v>
      </c>
      <c r="H340" s="14" t="str">
        <f>equip.xml!H344</f>
        <v>1,1001</v>
      </c>
      <c r="I340" s="14">
        <f>equip.xml!J344</f>
        <v>5</v>
      </c>
      <c r="J340" s="14">
        <f>equip.xml!K344</f>
        <v>0</v>
      </c>
      <c r="K340" s="14">
        <f>equip.xml!L344</f>
        <v>0</v>
      </c>
      <c r="L340" s="14" t="str">
        <f>equip.xml!M344</f>
        <v>105_3945_3945</v>
      </c>
      <c r="M340" s="17" t="str">
        <f>equip.xml!Q344</f>
        <v>equipment/2121.png</v>
      </c>
      <c r="N340" s="16" t="str">
        <f>equip.xml!P344</f>
        <v>10000_1002_70000,30000_30001_1,30000_30002_1,30000_30003_1</v>
      </c>
      <c r="O340">
        <f>equip.xml!R344</f>
        <v>0</v>
      </c>
    </row>
    <row r="341" spans="1:15">
      <c r="A341" s="14">
        <f>equip.xml!A345</f>
        <v>10751061</v>
      </c>
      <c r="B341" s="14">
        <f>equip.xml!B345</f>
        <v>1</v>
      </c>
      <c r="C341" s="14" t="str">
        <f>equip.xml!C345</f>
        <v>集结护盾</v>
      </c>
      <c r="D341" s="14" t="str">
        <f>equip.xml!D345</f>
        <v>副手武器</v>
      </c>
      <c r="E341" s="14">
        <f>equip.xml!E345</f>
        <v>6</v>
      </c>
      <c r="F341" s="14">
        <f>equip.xml!F345</f>
        <v>1</v>
      </c>
      <c r="G341" s="14">
        <f>equip.xml!G345</f>
        <v>75</v>
      </c>
      <c r="H341" s="14" t="str">
        <f>equip.xml!H345</f>
        <v>1,1001</v>
      </c>
      <c r="I341" s="14">
        <f>equip.xml!J345</f>
        <v>5</v>
      </c>
      <c r="J341" s="14">
        <f>equip.xml!K345</f>
        <v>0</v>
      </c>
      <c r="K341" s="14">
        <f>equip.xml!L345</f>
        <v>0</v>
      </c>
      <c r="L341" s="14" t="str">
        <f>equip.xml!M345</f>
        <v>105_4082_4082</v>
      </c>
      <c r="M341" s="17" t="str">
        <f>equip.xml!Q345</f>
        <v>equipment/2123.png</v>
      </c>
      <c r="N341" s="16" t="str">
        <f>equip.xml!P345</f>
        <v>10000_1002_70000,30000_30001_1,30000_30002_1,30000_30003_1</v>
      </c>
      <c r="O341">
        <f>equip.xml!R345</f>
        <v>0</v>
      </c>
    </row>
    <row r="342" spans="1:15">
      <c r="A342" s="14">
        <f>equip.xml!A346</f>
        <v>10752050</v>
      </c>
      <c r="B342" s="14">
        <f>equip.xml!B346</f>
        <v>1</v>
      </c>
      <c r="C342" s="14" t="str">
        <f>equip.xml!C346</f>
        <v>嚎风之息</v>
      </c>
      <c r="D342" s="14" t="str">
        <f>equip.xml!D346</f>
        <v>主手武器</v>
      </c>
      <c r="E342" s="14">
        <f>equip.xml!E346</f>
        <v>5</v>
      </c>
      <c r="F342" s="14">
        <f>equip.xml!F346</f>
        <v>1</v>
      </c>
      <c r="G342" s="14">
        <f>equip.xml!G346</f>
        <v>75</v>
      </c>
      <c r="H342" s="14" t="str">
        <f>equip.xml!H346</f>
        <v>2,1002</v>
      </c>
      <c r="I342" s="14">
        <f>equip.xml!J346</f>
        <v>5</v>
      </c>
      <c r="J342" s="14">
        <f>equip.xml!K346</f>
        <v>0</v>
      </c>
      <c r="K342" s="14">
        <f>equip.xml!L346</f>
        <v>0</v>
      </c>
      <c r="L342" s="14" t="str">
        <f>equip.xml!M346</f>
        <v>103_3811_3811,104_7622_7622</v>
      </c>
      <c r="M342" s="17" t="str">
        <f>equip.xml!Q346</f>
        <v>equipment/1225.png</v>
      </c>
      <c r="N342" s="16" t="str">
        <f>equip.xml!P346</f>
        <v>10000_1002_70000,30000_30001_1,30000_30002_1,30000_30003_1</v>
      </c>
      <c r="O342">
        <f>equip.xml!R346</f>
        <v>0</v>
      </c>
    </row>
    <row r="343" spans="1:15">
      <c r="A343" s="14">
        <f>equip.xml!A347</f>
        <v>10752051</v>
      </c>
      <c r="B343" s="14">
        <f>equip.xml!B347</f>
        <v>1</v>
      </c>
      <c r="C343" s="14" t="str">
        <f>equip.xml!C347</f>
        <v>瞭天长弓</v>
      </c>
      <c r="D343" s="14" t="str">
        <f>equip.xml!D347</f>
        <v>主手武器</v>
      </c>
      <c r="E343" s="14">
        <f>equip.xml!E347</f>
        <v>5</v>
      </c>
      <c r="F343" s="14">
        <f>equip.xml!F347</f>
        <v>1</v>
      </c>
      <c r="G343" s="14">
        <f>equip.xml!G347</f>
        <v>75</v>
      </c>
      <c r="H343" s="14" t="str">
        <f>equip.xml!H347</f>
        <v>2,1002</v>
      </c>
      <c r="I343" s="14">
        <f>equip.xml!J347</f>
        <v>5</v>
      </c>
      <c r="J343" s="14">
        <f>equip.xml!K347</f>
        <v>0</v>
      </c>
      <c r="K343" s="14">
        <f>equip.xml!L347</f>
        <v>0</v>
      </c>
      <c r="L343" s="14" t="str">
        <f>equip.xml!M347</f>
        <v>103_4019_4019,104_8038_8038</v>
      </c>
      <c r="M343" s="17" t="str">
        <f>equip.xml!Q347</f>
        <v>equipment/1226.png</v>
      </c>
      <c r="N343" s="16" t="str">
        <f>equip.xml!P347</f>
        <v>10000_1002_70000,30000_30001_1,30000_30002_1,30000_30003_1</v>
      </c>
      <c r="O343">
        <f>equip.xml!R347</f>
        <v>0</v>
      </c>
    </row>
    <row r="344" spans="1:15">
      <c r="A344" s="14">
        <f>equip.xml!A348</f>
        <v>10752060</v>
      </c>
      <c r="B344" s="14">
        <f>equip.xml!B348</f>
        <v>1</v>
      </c>
      <c r="C344" s="14" t="str">
        <f>equip.xml!C348</f>
        <v>疾鹰箭袋</v>
      </c>
      <c r="D344" s="14" t="str">
        <f>equip.xml!D348</f>
        <v>副手武器</v>
      </c>
      <c r="E344" s="14">
        <f>equip.xml!E348</f>
        <v>6</v>
      </c>
      <c r="F344" s="14">
        <f>equip.xml!F348</f>
        <v>1</v>
      </c>
      <c r="G344" s="14">
        <f>equip.xml!G348</f>
        <v>75</v>
      </c>
      <c r="H344" s="14" t="str">
        <f>equip.xml!H348</f>
        <v>2,1002</v>
      </c>
      <c r="I344" s="14">
        <f>equip.xml!J348</f>
        <v>5</v>
      </c>
      <c r="J344" s="14">
        <f>equip.xml!K348</f>
        <v>0</v>
      </c>
      <c r="K344" s="14">
        <f>equip.xml!L348</f>
        <v>0</v>
      </c>
      <c r="L344" s="14" t="str">
        <f>equip.xml!M348</f>
        <v>108_3945_3945</v>
      </c>
      <c r="M344" s="17" t="str">
        <f>equip.xml!Q348</f>
        <v>equipment/2219.png</v>
      </c>
      <c r="N344" s="16" t="str">
        <f>equip.xml!P348</f>
        <v>10000_1002_70000,30000_30001_1,30000_30002_1,30000_30003_1</v>
      </c>
      <c r="O344">
        <f>equip.xml!R348</f>
        <v>0</v>
      </c>
    </row>
    <row r="345" spans="1:15">
      <c r="A345" s="14">
        <f>equip.xml!A349</f>
        <v>10752061</v>
      </c>
      <c r="B345" s="14">
        <f>equip.xml!B349</f>
        <v>1</v>
      </c>
      <c r="C345" s="14" t="str">
        <f>equip.xml!C349</f>
        <v>灵犀箭筒</v>
      </c>
      <c r="D345" s="14" t="str">
        <f>equip.xml!D349</f>
        <v>副手武器</v>
      </c>
      <c r="E345" s="14">
        <f>equip.xml!E349</f>
        <v>6</v>
      </c>
      <c r="F345" s="14">
        <f>equip.xml!F349</f>
        <v>1</v>
      </c>
      <c r="G345" s="14">
        <f>equip.xml!G349</f>
        <v>75</v>
      </c>
      <c r="H345" s="14" t="str">
        <f>equip.xml!H349</f>
        <v>2,1002</v>
      </c>
      <c r="I345" s="14">
        <f>equip.xml!J349</f>
        <v>5</v>
      </c>
      <c r="J345" s="14">
        <f>equip.xml!K349</f>
        <v>0</v>
      </c>
      <c r="K345" s="14">
        <f>equip.xml!L349</f>
        <v>0</v>
      </c>
      <c r="L345" s="14" t="str">
        <f>equip.xml!M349</f>
        <v>108_4082_4082</v>
      </c>
      <c r="M345" s="17" t="str">
        <f>equip.xml!Q349</f>
        <v>equipment/2220.png</v>
      </c>
      <c r="N345" s="16" t="str">
        <f>equip.xml!P349</f>
        <v>10000_1002_70000,30000_30001_1,30000_30002_1,30000_30003_1</v>
      </c>
      <c r="O345">
        <f>equip.xml!R349</f>
        <v>0</v>
      </c>
    </row>
    <row r="346" spans="1:15">
      <c r="A346" s="14">
        <f>equip.xml!A350</f>
        <v>10753050</v>
      </c>
      <c r="B346" s="14">
        <f>equip.xml!B350</f>
        <v>1</v>
      </c>
      <c r="C346" s="14" t="str">
        <f>equip.xml!C350</f>
        <v>唤海长杖</v>
      </c>
      <c r="D346" s="14" t="str">
        <f>equip.xml!D350</f>
        <v>主手武器</v>
      </c>
      <c r="E346" s="14">
        <f>equip.xml!E350</f>
        <v>5</v>
      </c>
      <c r="F346" s="14">
        <f>equip.xml!F350</f>
        <v>1</v>
      </c>
      <c r="G346" s="14">
        <f>equip.xml!G350</f>
        <v>75</v>
      </c>
      <c r="H346" s="14" t="str">
        <f>equip.xml!H350</f>
        <v>3,1003</v>
      </c>
      <c r="I346" s="14">
        <f>equip.xml!J350</f>
        <v>5</v>
      </c>
      <c r="J346" s="14">
        <f>equip.xml!K350</f>
        <v>0</v>
      </c>
      <c r="K346" s="14">
        <f>equip.xml!L350</f>
        <v>0</v>
      </c>
      <c r="L346" s="14" t="str">
        <f>equip.xml!M350</f>
        <v>103_3811_3811,104_7622_7622</v>
      </c>
      <c r="M346" s="17" t="str">
        <f>equip.xml!Q350</f>
        <v>equipment/1326.png</v>
      </c>
      <c r="N346" s="16" t="str">
        <f>equip.xml!P350</f>
        <v>10000_1002_70000,30000_30001_1,30000_30002_1,30000_30003_1</v>
      </c>
      <c r="O346">
        <f>equip.xml!R350</f>
        <v>0</v>
      </c>
    </row>
    <row r="347" spans="1:15">
      <c r="A347" s="14">
        <f>equip.xml!A351</f>
        <v>10753051</v>
      </c>
      <c r="B347" s="14">
        <f>equip.xml!B351</f>
        <v>1</v>
      </c>
      <c r="C347" s="14" t="str">
        <f>equip.xml!C351</f>
        <v>奥核之杖</v>
      </c>
      <c r="D347" s="14" t="str">
        <f>equip.xml!D351</f>
        <v>主手武器</v>
      </c>
      <c r="E347" s="14">
        <f>equip.xml!E351</f>
        <v>5</v>
      </c>
      <c r="F347" s="14">
        <f>equip.xml!F351</f>
        <v>1</v>
      </c>
      <c r="G347" s="14">
        <f>equip.xml!G351</f>
        <v>75</v>
      </c>
      <c r="H347" s="14" t="str">
        <f>equip.xml!H351</f>
        <v>3,1003</v>
      </c>
      <c r="I347" s="14">
        <f>equip.xml!J351</f>
        <v>5</v>
      </c>
      <c r="J347" s="14">
        <f>equip.xml!K351</f>
        <v>0</v>
      </c>
      <c r="K347" s="14">
        <f>equip.xml!L351</f>
        <v>0</v>
      </c>
      <c r="L347" s="14" t="str">
        <f>equip.xml!M351</f>
        <v>103_4019_4019,104_8038_8038</v>
      </c>
      <c r="M347" s="17" t="str">
        <f>equip.xml!Q351</f>
        <v>equipment/1325.png</v>
      </c>
      <c r="N347" s="16" t="str">
        <f>equip.xml!P351</f>
        <v>10000_1002_70000,30000_30001_1,30000_30002_1,30000_30003_1</v>
      </c>
      <c r="O347">
        <f>equip.xml!R351</f>
        <v>0</v>
      </c>
    </row>
    <row r="348" spans="1:15">
      <c r="A348" s="14">
        <f>equip.xml!A352</f>
        <v>10753060</v>
      </c>
      <c r="B348" s="14">
        <f>equip.xml!B352</f>
        <v>1</v>
      </c>
      <c r="C348" s="14" t="str">
        <f>equip.xml!C352</f>
        <v>尘封遗典</v>
      </c>
      <c r="D348" s="14" t="str">
        <f>equip.xml!D352</f>
        <v>副手武器</v>
      </c>
      <c r="E348" s="14">
        <f>equip.xml!E352</f>
        <v>6</v>
      </c>
      <c r="F348" s="14">
        <f>equip.xml!F352</f>
        <v>1</v>
      </c>
      <c r="G348" s="14">
        <f>equip.xml!G352</f>
        <v>75</v>
      </c>
      <c r="H348" s="14" t="str">
        <f>equip.xml!H352</f>
        <v>3,1003</v>
      </c>
      <c r="I348" s="14">
        <f>equip.xml!J352</f>
        <v>5</v>
      </c>
      <c r="J348" s="14">
        <f>equip.xml!K352</f>
        <v>0</v>
      </c>
      <c r="K348" s="14">
        <f>equip.xml!L352</f>
        <v>0</v>
      </c>
      <c r="L348" s="14" t="str">
        <f>equip.xml!M352</f>
        <v>102_3350_3350</v>
      </c>
      <c r="M348" s="17" t="str">
        <f>equip.xml!Q352</f>
        <v>equipment/2319.png</v>
      </c>
      <c r="N348" s="16" t="str">
        <f>equip.xml!P352</f>
        <v>10000_1002_70000,30000_30001_1,30000_30002_1,30000_30003_1</v>
      </c>
      <c r="O348">
        <f>equip.xml!R352</f>
        <v>0</v>
      </c>
    </row>
    <row r="349" spans="1:15">
      <c r="A349" s="14">
        <f>equip.xml!A353</f>
        <v>10753061</v>
      </c>
      <c r="B349" s="14">
        <f>equip.xml!B353</f>
        <v>1</v>
      </c>
      <c r="C349" s="14" t="str">
        <f>equip.xml!C353</f>
        <v>魔枢秘典</v>
      </c>
      <c r="D349" s="14" t="str">
        <f>equip.xml!D353</f>
        <v>副手武器</v>
      </c>
      <c r="E349" s="14">
        <f>equip.xml!E353</f>
        <v>6</v>
      </c>
      <c r="F349" s="14">
        <f>equip.xml!F353</f>
        <v>1</v>
      </c>
      <c r="G349" s="14">
        <f>equip.xml!G353</f>
        <v>75</v>
      </c>
      <c r="H349" s="14" t="str">
        <f>equip.xml!H353</f>
        <v>3,1003</v>
      </c>
      <c r="I349" s="14">
        <f>equip.xml!J353</f>
        <v>5</v>
      </c>
      <c r="J349" s="14">
        <f>equip.xml!K353</f>
        <v>0</v>
      </c>
      <c r="K349" s="14">
        <f>equip.xml!L353</f>
        <v>0</v>
      </c>
      <c r="L349" s="14" t="str">
        <f>equip.xml!M353</f>
        <v>102_3450_3450</v>
      </c>
      <c r="M349" s="17" t="str">
        <f>equip.xml!Q353</f>
        <v>equipment/2321.png</v>
      </c>
      <c r="N349" s="16" t="str">
        <f>equip.xml!P353</f>
        <v>10000_1002_70000,30000_30001_1,30000_30002_1,30000_30003_1</v>
      </c>
      <c r="O349">
        <f>equip.xml!R353</f>
        <v>0</v>
      </c>
    </row>
    <row r="350" spans="1:15">
      <c r="A350" s="14">
        <f>equip.xml!A354</f>
        <v>10750040</v>
      </c>
      <c r="B350" s="14">
        <f>equip.xml!B354</f>
        <v>1</v>
      </c>
      <c r="C350" s="14" t="str">
        <f>equip.xml!C354</f>
        <v>守望胸甲</v>
      </c>
      <c r="D350" s="14" t="str">
        <f>equip.xml!D354</f>
        <v>胸甲</v>
      </c>
      <c r="E350" s="14">
        <f>equip.xml!E354</f>
        <v>4</v>
      </c>
      <c r="F350" s="14">
        <f>equip.xml!F354</f>
        <v>1</v>
      </c>
      <c r="G350" s="14">
        <f>equip.xml!G354</f>
        <v>75</v>
      </c>
      <c r="H350" s="14">
        <f>equip.xml!H354</f>
        <v>0</v>
      </c>
      <c r="I350" s="14">
        <f>equip.xml!J354</f>
        <v>5</v>
      </c>
      <c r="J350" s="14">
        <f>equip.xml!K354</f>
        <v>0</v>
      </c>
      <c r="K350" s="14">
        <f>equip.xml!L354</f>
        <v>0</v>
      </c>
      <c r="L350" s="14" t="str">
        <f>equip.xml!M354</f>
        <v>105_2195_2195</v>
      </c>
      <c r="M350" s="17" t="str">
        <f>equip.xml!Q354</f>
        <v>equipment/5019.png</v>
      </c>
      <c r="N350" s="16" t="str">
        <f>equip.xml!P354</f>
        <v>10000_1002_70000,30000_30001_1,30000_30002_1,30000_30003_1</v>
      </c>
      <c r="O350">
        <f>equip.xml!R354</f>
        <v>0</v>
      </c>
    </row>
    <row r="351" spans="1:15">
      <c r="A351" s="14">
        <f>equip.xml!A355</f>
        <v>10750041</v>
      </c>
      <c r="B351" s="14">
        <f>equip.xml!B355</f>
        <v>1</v>
      </c>
      <c r="C351" s="14" t="str">
        <f>equip.xml!C355</f>
        <v>冥铸之铠</v>
      </c>
      <c r="D351" s="14" t="str">
        <f>equip.xml!D355</f>
        <v>胸甲</v>
      </c>
      <c r="E351" s="14">
        <f>equip.xml!E355</f>
        <v>4</v>
      </c>
      <c r="F351" s="14">
        <f>equip.xml!F355</f>
        <v>1</v>
      </c>
      <c r="G351" s="14">
        <f>equip.xml!G355</f>
        <v>75</v>
      </c>
      <c r="H351" s="14">
        <f>equip.xml!H355</f>
        <v>0</v>
      </c>
      <c r="I351" s="14">
        <f>equip.xml!J355</f>
        <v>5</v>
      </c>
      <c r="J351" s="14">
        <f>equip.xml!K355</f>
        <v>0</v>
      </c>
      <c r="K351" s="14">
        <f>equip.xml!L355</f>
        <v>0</v>
      </c>
      <c r="L351" s="14" t="str">
        <f>equip.xml!M355</f>
        <v>105_2346_2346</v>
      </c>
      <c r="M351" s="17" t="str">
        <f>equip.xml!Q355</f>
        <v>equipment/5020.png</v>
      </c>
      <c r="N351" s="16" t="str">
        <f>equip.xml!P355</f>
        <v>10000_1002_70000,30000_30001_1,30000_30002_1,30000_30003_1</v>
      </c>
      <c r="O351">
        <f>equip.xml!R355</f>
        <v>0</v>
      </c>
    </row>
    <row r="352" spans="1:15">
      <c r="A352" s="14">
        <f>equip.xml!A356</f>
        <v>10750070</v>
      </c>
      <c r="B352" s="14">
        <f>equip.xml!B356</f>
        <v>1</v>
      </c>
      <c r="C352" s="14" t="str">
        <f>equip.xml!C356</f>
        <v>怜悯护腿</v>
      </c>
      <c r="D352" s="14" t="str">
        <f>equip.xml!D356</f>
        <v>护腿</v>
      </c>
      <c r="E352" s="14">
        <f>equip.xml!E356</f>
        <v>7</v>
      </c>
      <c r="F352" s="14">
        <f>equip.xml!F356</f>
        <v>1</v>
      </c>
      <c r="G352" s="14">
        <f>equip.xml!G356</f>
        <v>75</v>
      </c>
      <c r="H352" s="14">
        <f>equip.xml!H356</f>
        <v>0</v>
      </c>
      <c r="I352" s="14">
        <f>equip.xml!J356</f>
        <v>5</v>
      </c>
      <c r="J352" s="14">
        <f>equip.xml!K356</f>
        <v>0</v>
      </c>
      <c r="K352" s="14">
        <f>equip.xml!L356</f>
        <v>0</v>
      </c>
      <c r="L352" s="14" t="str">
        <f>equip.xml!M356</f>
        <v>105_2195_2195</v>
      </c>
      <c r="M352" s="17" t="str">
        <f>equip.xml!Q356</f>
        <v>equipment/7019.png</v>
      </c>
      <c r="N352" s="16" t="str">
        <f>equip.xml!P356</f>
        <v>10000_1002_70000,30000_30001_1,30000_30002_1,30000_30003_1</v>
      </c>
      <c r="O352">
        <f>equip.xml!R356</f>
        <v>0</v>
      </c>
    </row>
    <row r="353" spans="1:15">
      <c r="A353" s="14">
        <f>equip.xml!A357</f>
        <v>10750071</v>
      </c>
      <c r="B353" s="14">
        <f>equip.xml!B357</f>
        <v>1</v>
      </c>
      <c r="C353" s="14" t="str">
        <f>equip.xml!C357</f>
        <v>魔痕护腿</v>
      </c>
      <c r="D353" s="14" t="str">
        <f>equip.xml!D357</f>
        <v>护腿</v>
      </c>
      <c r="E353" s="14">
        <f>equip.xml!E357</f>
        <v>7</v>
      </c>
      <c r="F353" s="14">
        <f>equip.xml!F357</f>
        <v>1</v>
      </c>
      <c r="G353" s="14">
        <f>equip.xml!G357</f>
        <v>75</v>
      </c>
      <c r="H353" s="14">
        <f>equip.xml!H357</f>
        <v>0</v>
      </c>
      <c r="I353" s="14">
        <f>equip.xml!J357</f>
        <v>5</v>
      </c>
      <c r="J353" s="14">
        <f>equip.xml!K357</f>
        <v>0</v>
      </c>
      <c r="K353" s="14">
        <f>equip.xml!L357</f>
        <v>0</v>
      </c>
      <c r="L353" s="14" t="str">
        <f>equip.xml!M357</f>
        <v>105_2346_2346</v>
      </c>
      <c r="M353" s="17" t="str">
        <f>equip.xml!Q357</f>
        <v>equipment/7020.png</v>
      </c>
      <c r="N353" s="16" t="str">
        <f>equip.xml!P357</f>
        <v>10000_1002_70000,30000_30001_1,30000_30002_1,30000_30003_1</v>
      </c>
      <c r="O353">
        <f>equip.xml!R357</f>
        <v>0</v>
      </c>
    </row>
    <row r="354" spans="1:15">
      <c r="A354" s="14">
        <f>equip.xml!A358</f>
        <v>10800010</v>
      </c>
      <c r="B354" s="14">
        <f>equip.xml!B358</f>
        <v>1</v>
      </c>
      <c r="C354" s="14" t="str">
        <f>equip.xml!C358</f>
        <v>浴火战盔</v>
      </c>
      <c r="D354" s="14" t="str">
        <f>equip.xml!D358</f>
        <v>头盔</v>
      </c>
      <c r="E354" s="14">
        <f>equip.xml!E358</f>
        <v>1</v>
      </c>
      <c r="F354" s="14">
        <f>equip.xml!F358</f>
        <v>1</v>
      </c>
      <c r="G354" s="14">
        <f>equip.xml!G358</f>
        <v>80</v>
      </c>
      <c r="H354" s="14">
        <f>equip.xml!H358</f>
        <v>0</v>
      </c>
      <c r="I354" s="14">
        <f>equip.xml!J358</f>
        <v>5</v>
      </c>
      <c r="J354" s="14">
        <f>equip.xml!K358</f>
        <v>0</v>
      </c>
      <c r="K354" s="14">
        <f>equip.xml!L358</f>
        <v>0</v>
      </c>
      <c r="L354" s="14" t="str">
        <f>equip.xml!M358</f>
        <v>106_3066_3066</v>
      </c>
      <c r="M354" s="17" t="str">
        <f>equip.xml!Q358</f>
        <v>equipment/3015.png</v>
      </c>
      <c r="N354" s="16" t="str">
        <f>equip.xml!P358</f>
        <v>10000_1002_70000,30000_30001_1,30000_30002_1,30000_30003_1</v>
      </c>
      <c r="O354">
        <f>equip.xml!R358</f>
        <v>0</v>
      </c>
    </row>
    <row r="355" spans="1:15">
      <c r="A355" s="14">
        <f>equip.xml!A359</f>
        <v>10800020</v>
      </c>
      <c r="B355" s="14">
        <f>equip.xml!B359</f>
        <v>1</v>
      </c>
      <c r="C355" s="14" t="str">
        <f>equip.xml!C359</f>
        <v>联合徽记</v>
      </c>
      <c r="D355" s="14" t="str">
        <f>equip.xml!D359</f>
        <v>戒指</v>
      </c>
      <c r="E355" s="14">
        <f>equip.xml!E359</f>
        <v>2</v>
      </c>
      <c r="F355" s="14">
        <f>equip.xml!F359</f>
        <v>1</v>
      </c>
      <c r="G355" s="14">
        <f>equip.xml!G359</f>
        <v>80</v>
      </c>
      <c r="H355" s="14">
        <f>equip.xml!H359</f>
        <v>0</v>
      </c>
      <c r="I355" s="14">
        <f>equip.xml!J359</f>
        <v>5</v>
      </c>
      <c r="J355" s="14">
        <f>equip.xml!K359</f>
        <v>0</v>
      </c>
      <c r="K355" s="14">
        <f>equip.xml!L359</f>
        <v>0</v>
      </c>
      <c r="L355" s="14" t="str">
        <f>equip.xml!M359</f>
        <v>102_1900_1900</v>
      </c>
      <c r="M355" s="17" t="str">
        <f>equip.xml!Q359</f>
        <v>equipment/14014.png</v>
      </c>
      <c r="N355" s="16" t="str">
        <f>equip.xml!P359</f>
        <v>10000_1002_70000,30000_30001_1,30000_30002_1,30000_30003_1</v>
      </c>
      <c r="O355">
        <f>equip.xml!R359</f>
        <v>0</v>
      </c>
    </row>
    <row r="356" spans="1:15">
      <c r="A356" s="14">
        <f>equip.xml!A360</f>
        <v>10800030</v>
      </c>
      <c r="B356" s="14">
        <f>equip.xml!B360</f>
        <v>1</v>
      </c>
      <c r="C356" s="14" t="str">
        <f>equip.xml!C360</f>
        <v>怒岩腰带</v>
      </c>
      <c r="D356" s="14" t="str">
        <f>equip.xml!D360</f>
        <v>腰带</v>
      </c>
      <c r="E356" s="14">
        <f>equip.xml!E360</f>
        <v>3</v>
      </c>
      <c r="F356" s="14">
        <f>equip.xml!F360</f>
        <v>1</v>
      </c>
      <c r="G356" s="14">
        <f>equip.xml!G360</f>
        <v>80</v>
      </c>
      <c r="H356" s="14">
        <f>equip.xml!H360</f>
        <v>0</v>
      </c>
      <c r="I356" s="14">
        <f>equip.xml!J360</f>
        <v>5</v>
      </c>
      <c r="J356" s="14">
        <f>equip.xml!K360</f>
        <v>0</v>
      </c>
      <c r="K356" s="14">
        <f>equip.xml!L360</f>
        <v>0</v>
      </c>
      <c r="L356" s="14" t="str">
        <f>equip.xml!M360</f>
        <v>101_24080_24080</v>
      </c>
      <c r="M356" s="17" t="str">
        <f>equip.xml!Q360</f>
        <v>equipment/6015.png</v>
      </c>
      <c r="N356" s="16" t="str">
        <f>equip.xml!P360</f>
        <v>10000_1002_70000,30000_30001_1,30000_30002_1,30000_30003_1</v>
      </c>
      <c r="O356">
        <f>equip.xml!R360</f>
        <v>0</v>
      </c>
    </row>
    <row r="357" spans="1:15">
      <c r="A357" s="14">
        <f>equip.xml!A361</f>
        <v>10800080</v>
      </c>
      <c r="B357" s="14">
        <f>equip.xml!B361</f>
        <v>1</v>
      </c>
      <c r="C357" s="14" t="str">
        <f>equip.xml!C361</f>
        <v>缚法之靴</v>
      </c>
      <c r="D357" s="14" t="str">
        <f>equip.xml!D361</f>
        <v>鞋子</v>
      </c>
      <c r="E357" s="14">
        <f>equip.xml!E361</f>
        <v>8</v>
      </c>
      <c r="F357" s="14">
        <f>equip.xml!F361</f>
        <v>1</v>
      </c>
      <c r="G357" s="14">
        <f>equip.xml!G361</f>
        <v>80</v>
      </c>
      <c r="H357" s="14">
        <f>equip.xml!H361</f>
        <v>0</v>
      </c>
      <c r="I357" s="14">
        <f>equip.xml!J361</f>
        <v>5</v>
      </c>
      <c r="J357" s="14">
        <f>equip.xml!K361</f>
        <v>0</v>
      </c>
      <c r="K357" s="14">
        <f>equip.xml!L361</f>
        <v>0</v>
      </c>
      <c r="L357" s="14" t="str">
        <f>equip.xml!M361</f>
        <v>110_568_568</v>
      </c>
      <c r="M357" s="17" t="str">
        <f>equip.xml!Q361</f>
        <v>equipment/8015.png</v>
      </c>
      <c r="N357" s="16" t="str">
        <f>equip.xml!P361</f>
        <v>10000_1002_70000,30000_30001_1,30000_30002_1,30000_30003_1</v>
      </c>
      <c r="O357">
        <f>equip.xml!R361</f>
        <v>0</v>
      </c>
    </row>
    <row r="358" spans="1:15">
      <c r="A358" s="14">
        <f>equip.xml!A362</f>
        <v>10800090</v>
      </c>
      <c r="B358" s="14">
        <f>equip.xml!B362</f>
        <v>1</v>
      </c>
      <c r="C358" s="14" t="str">
        <f>equip.xml!C362</f>
        <v>梦境护手</v>
      </c>
      <c r="D358" s="14" t="str">
        <f>equip.xml!D362</f>
        <v>手套</v>
      </c>
      <c r="E358" s="14">
        <f>equip.xml!E362</f>
        <v>9</v>
      </c>
      <c r="F358" s="14">
        <f>equip.xml!F362</f>
        <v>1</v>
      </c>
      <c r="G358" s="14">
        <f>equip.xml!G362</f>
        <v>80</v>
      </c>
      <c r="H358" s="14">
        <f>equip.xml!H362</f>
        <v>0</v>
      </c>
      <c r="I358" s="14">
        <f>equip.xml!J362</f>
        <v>5</v>
      </c>
      <c r="J358" s="14">
        <f>equip.xml!K362</f>
        <v>0</v>
      </c>
      <c r="K358" s="14">
        <f>equip.xml!L362</f>
        <v>0</v>
      </c>
      <c r="L358" s="14" t="str">
        <f>equip.xml!M362</f>
        <v>108_5067_5067</v>
      </c>
      <c r="M358" s="17" t="str">
        <f>equip.xml!Q362</f>
        <v>equipment/10016.png</v>
      </c>
      <c r="N358" s="16" t="str">
        <f>equip.xml!P362</f>
        <v>10000_1002_70000,30000_30001_1,30000_30002_1,30000_30003_1</v>
      </c>
      <c r="O358">
        <f>equip.xml!R362</f>
        <v>0</v>
      </c>
    </row>
    <row r="359" spans="1:15">
      <c r="A359" s="14">
        <f>equip.xml!A363</f>
        <v>10800100</v>
      </c>
      <c r="B359" s="14">
        <f>equip.xml!B363</f>
        <v>1</v>
      </c>
      <c r="C359" s="14" t="str">
        <f>equip.xml!C363</f>
        <v>亏蚀项链</v>
      </c>
      <c r="D359" s="14" t="str">
        <f>equip.xml!D363</f>
        <v>项链</v>
      </c>
      <c r="E359" s="14">
        <f>equip.xml!E363</f>
        <v>10</v>
      </c>
      <c r="F359" s="14">
        <f>equip.xml!F363</f>
        <v>1</v>
      </c>
      <c r="G359" s="14">
        <f>equip.xml!G363</f>
        <v>80</v>
      </c>
      <c r="H359" s="14">
        <f>equip.xml!H363</f>
        <v>0</v>
      </c>
      <c r="I359" s="14">
        <f>equip.xml!J363</f>
        <v>5</v>
      </c>
      <c r="J359" s="14">
        <f>equip.xml!K363</f>
        <v>0</v>
      </c>
      <c r="K359" s="14">
        <f>equip.xml!L363</f>
        <v>0</v>
      </c>
      <c r="L359" s="14" t="str">
        <f>equip.xml!M363</f>
        <v>107_3066_3066</v>
      </c>
      <c r="M359" s="17" t="str">
        <f>equip.xml!Q363</f>
        <v>equipment/12015.png</v>
      </c>
      <c r="N359" s="16" t="str">
        <f>equip.xml!P363</f>
        <v>10000_1002_70000,30000_30001_1,30000_30002_1,30000_30003_1</v>
      </c>
      <c r="O359">
        <f>equip.xml!R363</f>
        <v>0</v>
      </c>
    </row>
    <row r="360" spans="1:15">
      <c r="A360" s="14">
        <f>equip.xml!A364</f>
        <v>10801050</v>
      </c>
      <c r="B360" s="14">
        <f>equip.xml!B364</f>
        <v>1</v>
      </c>
      <c r="C360" s="14" t="str">
        <f>equip.xml!C364</f>
        <v>死寂之剑</v>
      </c>
      <c r="D360" s="14" t="str">
        <f>equip.xml!D364</f>
        <v>主手武器</v>
      </c>
      <c r="E360" s="14">
        <f>equip.xml!E364</f>
        <v>5</v>
      </c>
      <c r="F360" s="14">
        <f>equip.xml!F364</f>
        <v>1</v>
      </c>
      <c r="G360" s="14">
        <f>equip.xml!G364</f>
        <v>80</v>
      </c>
      <c r="H360" s="14" t="str">
        <f>equip.xml!H364</f>
        <v>1,1001</v>
      </c>
      <c r="I360" s="14">
        <f>equip.xml!J364</f>
        <v>5</v>
      </c>
      <c r="J360" s="14">
        <f>equip.xml!K364</f>
        <v>0</v>
      </c>
      <c r="K360" s="14">
        <f>equip.xml!L364</f>
        <v>0</v>
      </c>
      <c r="L360" s="14" t="str">
        <f>equip.xml!M364</f>
        <v>103_4331_4331,104_8662_8662</v>
      </c>
      <c r="M360" s="17" t="str">
        <f>equip.xml!Q364</f>
        <v>equipment/1130.png</v>
      </c>
      <c r="N360" s="16" t="str">
        <f>equip.xml!P364</f>
        <v>10000_1002_70000,30000_30001_1,30000_30002_1,30000_30003_1</v>
      </c>
      <c r="O360">
        <f>equip.xml!R364</f>
        <v>0</v>
      </c>
    </row>
    <row r="361" spans="1:15">
      <c r="A361" s="14">
        <f>equip.xml!A365</f>
        <v>10801051</v>
      </c>
      <c r="B361" s="14">
        <f>equip.xml!B365</f>
        <v>1</v>
      </c>
      <c r="C361" s="14" t="str">
        <f>equip.xml!C365</f>
        <v>千魂之刃</v>
      </c>
      <c r="D361" s="14" t="str">
        <f>equip.xml!D365</f>
        <v>主手武器</v>
      </c>
      <c r="E361" s="14">
        <f>equip.xml!E365</f>
        <v>5</v>
      </c>
      <c r="F361" s="14">
        <f>equip.xml!F365</f>
        <v>1</v>
      </c>
      <c r="G361" s="14">
        <f>equip.xml!G365</f>
        <v>80</v>
      </c>
      <c r="H361" s="14" t="str">
        <f>equip.xml!H365</f>
        <v>1,1001</v>
      </c>
      <c r="I361" s="14">
        <f>equip.xml!J365</f>
        <v>5</v>
      </c>
      <c r="J361" s="14">
        <f>equip.xml!K365</f>
        <v>0</v>
      </c>
      <c r="K361" s="14">
        <f>equip.xml!L365</f>
        <v>0</v>
      </c>
      <c r="L361" s="14" t="str">
        <f>equip.xml!M365</f>
        <v>103_4552_4552,104_9105_9105</v>
      </c>
      <c r="M361" s="17" t="str">
        <f>equip.xml!Q365</f>
        <v>equipment/1125.png</v>
      </c>
      <c r="N361" s="16" t="str">
        <f>equip.xml!P365</f>
        <v>10000_1002_70000,30000_30001_1,30000_30002_1,30000_30003_1</v>
      </c>
      <c r="O361">
        <f>equip.xml!R365</f>
        <v>0</v>
      </c>
    </row>
    <row r="362" spans="1:15">
      <c r="A362" s="14">
        <f>equip.xml!A366</f>
        <v>10801060</v>
      </c>
      <c r="B362" s="14">
        <f>equip.xml!B366</f>
        <v>1</v>
      </c>
      <c r="C362" s="14" t="str">
        <f>equip.xml!C366</f>
        <v>折戟之盾</v>
      </c>
      <c r="D362" s="14" t="str">
        <f>equip.xml!D366</f>
        <v>副手武器</v>
      </c>
      <c r="E362" s="14">
        <f>equip.xml!E366</f>
        <v>6</v>
      </c>
      <c r="F362" s="14">
        <f>equip.xml!F366</f>
        <v>1</v>
      </c>
      <c r="G362" s="14">
        <f>equip.xml!G366</f>
        <v>80</v>
      </c>
      <c r="H362" s="14" t="str">
        <f>equip.xml!H366</f>
        <v>1,1001</v>
      </c>
      <c r="I362" s="14">
        <f>equip.xml!J366</f>
        <v>5</v>
      </c>
      <c r="J362" s="14">
        <f>equip.xml!K366</f>
        <v>0</v>
      </c>
      <c r="K362" s="14">
        <f>equip.xml!L366</f>
        <v>0</v>
      </c>
      <c r="L362" s="14" t="str">
        <f>equip.xml!M366</f>
        <v>105_4288_4288</v>
      </c>
      <c r="M362" s="17" t="str">
        <f>equip.xml!Q366</f>
        <v>equipment/2122.png</v>
      </c>
      <c r="N362" s="16" t="str">
        <f>equip.xml!P366</f>
        <v>10000_1002_70000,30000_30001_1,30000_30002_1,30000_30003_1</v>
      </c>
      <c r="O362">
        <f>equip.xml!R366</f>
        <v>0</v>
      </c>
    </row>
    <row r="363" spans="1:15">
      <c r="A363" s="14">
        <f>equip.xml!A367</f>
        <v>10801061</v>
      </c>
      <c r="B363" s="14">
        <f>equip.xml!B367</f>
        <v>1</v>
      </c>
      <c r="C363" s="14" t="str">
        <f>equip.xml!C367</f>
        <v>古石壁垒</v>
      </c>
      <c r="D363" s="14" t="str">
        <f>equip.xml!D367</f>
        <v>副手武器</v>
      </c>
      <c r="E363" s="14">
        <f>equip.xml!E367</f>
        <v>6</v>
      </c>
      <c r="F363" s="14">
        <f>equip.xml!F367</f>
        <v>1</v>
      </c>
      <c r="G363" s="14">
        <f>equip.xml!G367</f>
        <v>80</v>
      </c>
      <c r="H363" s="14" t="str">
        <f>equip.xml!H367</f>
        <v>1,1001</v>
      </c>
      <c r="I363" s="14">
        <f>equip.xml!J367</f>
        <v>5</v>
      </c>
      <c r="J363" s="14">
        <f>equip.xml!K367</f>
        <v>0</v>
      </c>
      <c r="K363" s="14">
        <f>equip.xml!L367</f>
        <v>0</v>
      </c>
      <c r="L363" s="14" t="str">
        <f>equip.xml!M367</f>
        <v>105_4419_4419</v>
      </c>
      <c r="M363" s="17" t="str">
        <f>equip.xml!Q367</f>
        <v>equipment/2120.png</v>
      </c>
      <c r="N363" s="16" t="str">
        <f>equip.xml!P367</f>
        <v>10000_1002_70000,30000_30001_1,30000_30002_1,30000_30003_1</v>
      </c>
      <c r="O363">
        <f>equip.xml!R367</f>
        <v>0</v>
      </c>
    </row>
    <row r="364" spans="1:15">
      <c r="A364" s="14">
        <f>equip.xml!A368</f>
        <v>10802050</v>
      </c>
      <c r="B364" s="14">
        <f>equip.xml!B368</f>
        <v>1</v>
      </c>
      <c r="C364" s="14" t="str">
        <f>equip.xml!C368</f>
        <v>龙骨弯弓</v>
      </c>
      <c r="D364" s="14" t="str">
        <f>equip.xml!D368</f>
        <v>主手武器</v>
      </c>
      <c r="E364" s="14">
        <f>equip.xml!E368</f>
        <v>5</v>
      </c>
      <c r="F364" s="14">
        <f>equip.xml!F368</f>
        <v>1</v>
      </c>
      <c r="G364" s="14">
        <f>equip.xml!G368</f>
        <v>80</v>
      </c>
      <c r="H364" s="14" t="str">
        <f>equip.xml!H368</f>
        <v>2,1002</v>
      </c>
      <c r="I364" s="14">
        <f>equip.xml!J368</f>
        <v>5</v>
      </c>
      <c r="J364" s="14">
        <f>equip.xml!K368</f>
        <v>0</v>
      </c>
      <c r="K364" s="14">
        <f>equip.xml!L368</f>
        <v>0</v>
      </c>
      <c r="L364" s="14" t="str">
        <f>equip.xml!M368</f>
        <v>103_4331_4331,104_8662_8662</v>
      </c>
      <c r="M364" s="17" t="str">
        <f>equip.xml!Q368</f>
        <v>equipment/1227.png</v>
      </c>
      <c r="N364" s="16" t="str">
        <f>equip.xml!P368</f>
        <v>10000_1002_70000,30000_30001_1,30000_30002_1,30000_30003_1</v>
      </c>
      <c r="O364">
        <f>equip.xml!R368</f>
        <v>0</v>
      </c>
    </row>
    <row r="365" spans="1:15">
      <c r="A365" s="14">
        <f>equip.xml!A369</f>
        <v>10802051</v>
      </c>
      <c r="B365" s="14">
        <f>equip.xml!B369</f>
        <v>1</v>
      </c>
      <c r="C365" s="14" t="str">
        <f>equip.xml!C369</f>
        <v>川流长弓</v>
      </c>
      <c r="D365" s="14" t="str">
        <f>equip.xml!D369</f>
        <v>主手武器</v>
      </c>
      <c r="E365" s="14">
        <f>equip.xml!E369</f>
        <v>5</v>
      </c>
      <c r="F365" s="14">
        <f>equip.xml!F369</f>
        <v>1</v>
      </c>
      <c r="G365" s="14">
        <f>equip.xml!G369</f>
        <v>80</v>
      </c>
      <c r="H365" s="14" t="str">
        <f>equip.xml!H369</f>
        <v>2,1002</v>
      </c>
      <c r="I365" s="14">
        <f>equip.xml!J369</f>
        <v>5</v>
      </c>
      <c r="J365" s="14">
        <f>equip.xml!K369</f>
        <v>0</v>
      </c>
      <c r="K365" s="14">
        <f>equip.xml!L369</f>
        <v>0</v>
      </c>
      <c r="L365" s="14" t="str">
        <f>equip.xml!M369</f>
        <v>103_4552_4552,104_9105_9105</v>
      </c>
      <c r="M365" s="17" t="str">
        <f>equip.xml!Q369</f>
        <v>equipment/1229.png</v>
      </c>
      <c r="N365" s="16" t="str">
        <f>equip.xml!P369</f>
        <v>10000_1002_70000,30000_30001_1,30000_30002_1,30000_30003_1</v>
      </c>
      <c r="O365">
        <f>equip.xml!R369</f>
        <v>0</v>
      </c>
    </row>
    <row r="366" spans="1:15">
      <c r="A366" s="14">
        <f>equip.xml!A370</f>
        <v>10802060</v>
      </c>
      <c r="B366" s="14">
        <f>equip.xml!B370</f>
        <v>1</v>
      </c>
      <c r="C366" s="14" t="str">
        <f>equip.xml!C370</f>
        <v>荒原箭袋</v>
      </c>
      <c r="D366" s="14" t="str">
        <f>equip.xml!D370</f>
        <v>副手武器</v>
      </c>
      <c r="E366" s="14">
        <f>equip.xml!E370</f>
        <v>6</v>
      </c>
      <c r="F366" s="14">
        <f>equip.xml!F370</f>
        <v>1</v>
      </c>
      <c r="G366" s="14">
        <f>equip.xml!G370</f>
        <v>80</v>
      </c>
      <c r="H366" s="14" t="str">
        <f>equip.xml!H370</f>
        <v>2,1002</v>
      </c>
      <c r="I366" s="14">
        <f>equip.xml!J370</f>
        <v>5</v>
      </c>
      <c r="J366" s="14">
        <f>equip.xml!K370</f>
        <v>0</v>
      </c>
      <c r="K366" s="14">
        <f>equip.xml!L370</f>
        <v>0</v>
      </c>
      <c r="L366" s="14" t="str">
        <f>equip.xml!M370</f>
        <v>108_4288_4288</v>
      </c>
      <c r="M366" s="17" t="str">
        <f>equip.xml!Q370</f>
        <v>equipment/2222.png</v>
      </c>
      <c r="N366" s="16" t="str">
        <f>equip.xml!P370</f>
        <v>10000_1002_70000,30000_30001_1,30000_30002_1,30000_30003_1</v>
      </c>
      <c r="O366">
        <f>equip.xml!R370</f>
        <v>0</v>
      </c>
    </row>
    <row r="367" spans="1:15">
      <c r="A367" s="14">
        <f>equip.xml!A371</f>
        <v>10802061</v>
      </c>
      <c r="B367" s="14">
        <f>equip.xml!B371</f>
        <v>1</v>
      </c>
      <c r="C367" s="14" t="str">
        <f>equip.xml!C371</f>
        <v>追逝箭袋</v>
      </c>
      <c r="D367" s="14" t="str">
        <f>equip.xml!D371</f>
        <v>副手武器</v>
      </c>
      <c r="E367" s="14">
        <f>equip.xml!E371</f>
        <v>6</v>
      </c>
      <c r="F367" s="14">
        <f>equip.xml!F371</f>
        <v>1</v>
      </c>
      <c r="G367" s="14">
        <f>equip.xml!G371</f>
        <v>80</v>
      </c>
      <c r="H367" s="14" t="str">
        <f>equip.xml!H371</f>
        <v>2,1002</v>
      </c>
      <c r="I367" s="14">
        <f>equip.xml!J371</f>
        <v>5</v>
      </c>
      <c r="J367" s="14">
        <f>equip.xml!K371</f>
        <v>0</v>
      </c>
      <c r="K367" s="14">
        <f>equip.xml!L371</f>
        <v>0</v>
      </c>
      <c r="L367" s="14" t="str">
        <f>equip.xml!M371</f>
        <v>108_4419_4419</v>
      </c>
      <c r="M367" s="17" t="str">
        <f>equip.xml!Q371</f>
        <v>equipment/2223.png</v>
      </c>
      <c r="N367" s="16" t="str">
        <f>equip.xml!P371</f>
        <v>10000_1002_70000,30000_30001_1,30000_30002_1,30000_30003_1</v>
      </c>
      <c r="O367">
        <f>equip.xml!R371</f>
        <v>0</v>
      </c>
    </row>
    <row r="368" spans="1:15">
      <c r="A368" s="14">
        <f>equip.xml!A372</f>
        <v>10803050</v>
      </c>
      <c r="B368" s="14">
        <f>equip.xml!B372</f>
        <v>1</v>
      </c>
      <c r="C368" s="14" t="str">
        <f>equip.xml!C372</f>
        <v>显像符杖</v>
      </c>
      <c r="D368" s="14" t="str">
        <f>equip.xml!D372</f>
        <v>主手武器</v>
      </c>
      <c r="E368" s="14">
        <f>equip.xml!E372</f>
        <v>5</v>
      </c>
      <c r="F368" s="14">
        <f>equip.xml!F372</f>
        <v>1</v>
      </c>
      <c r="G368" s="14">
        <f>equip.xml!G372</f>
        <v>80</v>
      </c>
      <c r="H368" s="14" t="str">
        <f>equip.xml!H372</f>
        <v>3,1003</v>
      </c>
      <c r="I368" s="14">
        <f>equip.xml!J372</f>
        <v>5</v>
      </c>
      <c r="J368" s="14">
        <f>equip.xml!K372</f>
        <v>0</v>
      </c>
      <c r="K368" s="14">
        <f>equip.xml!L372</f>
        <v>0</v>
      </c>
      <c r="L368" s="14" t="str">
        <f>equip.xml!M372</f>
        <v>103_4331_4331,104_8662_8662</v>
      </c>
      <c r="M368" s="17" t="str">
        <f>equip.xml!Q372</f>
        <v>equipment/1327.png</v>
      </c>
      <c r="N368" s="16" t="str">
        <f>equip.xml!P372</f>
        <v>10000_1002_70000,30000_30001_1,30000_30002_1,30000_30003_1</v>
      </c>
      <c r="O368">
        <f>equip.xml!R372</f>
        <v>0</v>
      </c>
    </row>
    <row r="369" spans="1:15">
      <c r="A369" s="14">
        <f>equip.xml!A373</f>
        <v>10803051</v>
      </c>
      <c r="B369" s="14">
        <f>equip.xml!B373</f>
        <v>1</v>
      </c>
      <c r="C369" s="14" t="str">
        <f>equip.xml!C373</f>
        <v>幻灭之杖</v>
      </c>
      <c r="D369" s="14" t="str">
        <f>equip.xml!D373</f>
        <v>主手武器</v>
      </c>
      <c r="E369" s="14">
        <f>equip.xml!E373</f>
        <v>5</v>
      </c>
      <c r="F369" s="14">
        <f>equip.xml!F373</f>
        <v>1</v>
      </c>
      <c r="G369" s="14">
        <f>equip.xml!G373</f>
        <v>80</v>
      </c>
      <c r="H369" s="14" t="str">
        <f>equip.xml!H373</f>
        <v>3,1003</v>
      </c>
      <c r="I369" s="14">
        <f>equip.xml!J373</f>
        <v>5</v>
      </c>
      <c r="J369" s="14">
        <f>equip.xml!K373</f>
        <v>0</v>
      </c>
      <c r="K369" s="14">
        <f>equip.xml!L373</f>
        <v>0</v>
      </c>
      <c r="L369" s="14" t="str">
        <f>equip.xml!M373</f>
        <v>103_4552_4552,104_9105_9105</v>
      </c>
      <c r="M369" s="17" t="str">
        <f>equip.xml!Q373</f>
        <v>equipment/1329.png</v>
      </c>
      <c r="N369" s="16" t="str">
        <f>equip.xml!P373</f>
        <v>10000_1002_70000,30000_30001_1,30000_30002_1,30000_30003_1</v>
      </c>
      <c r="O369">
        <f>equip.xml!R373</f>
        <v>0</v>
      </c>
    </row>
    <row r="370" spans="1:15">
      <c r="A370" s="14">
        <f>equip.xml!A374</f>
        <v>10803060</v>
      </c>
      <c r="B370" s="14">
        <f>equip.xml!B374</f>
        <v>1</v>
      </c>
      <c r="C370" s="14" t="str">
        <f>equip.xml!C374</f>
        <v>王国古书</v>
      </c>
      <c r="D370" s="14" t="str">
        <f>equip.xml!D374</f>
        <v>副手武器</v>
      </c>
      <c r="E370" s="14">
        <f>equip.xml!E374</f>
        <v>6</v>
      </c>
      <c r="F370" s="14">
        <f>equip.xml!F374</f>
        <v>1</v>
      </c>
      <c r="G370" s="14">
        <f>equip.xml!G374</f>
        <v>80</v>
      </c>
      <c r="H370" s="14" t="str">
        <f>equip.xml!H374</f>
        <v>3,1003</v>
      </c>
      <c r="I370" s="14">
        <f>equip.xml!J374</f>
        <v>5</v>
      </c>
      <c r="J370" s="14">
        <f>equip.xml!K374</f>
        <v>0</v>
      </c>
      <c r="K370" s="14">
        <f>equip.xml!L374</f>
        <v>0</v>
      </c>
      <c r="L370" s="14" t="str">
        <f>equip.xml!M374</f>
        <v>102_3610_3610</v>
      </c>
      <c r="M370" s="17" t="str">
        <f>equip.xml!Q374</f>
        <v>equipment/2320.png</v>
      </c>
      <c r="N370" s="16" t="str">
        <f>equip.xml!P374</f>
        <v>10000_1002_70000,30000_30001_1,30000_30002_1,30000_30003_1</v>
      </c>
      <c r="O370">
        <f>equip.xml!R374</f>
        <v>0</v>
      </c>
    </row>
    <row r="371" spans="1:15">
      <c r="A371" s="14">
        <f>equip.xml!A375</f>
        <v>10803061</v>
      </c>
      <c r="B371" s="14">
        <f>equip.xml!B375</f>
        <v>1</v>
      </c>
      <c r="C371" s="14" t="str">
        <f>equip.xml!C375</f>
        <v>上古纪事</v>
      </c>
      <c r="D371" s="14" t="str">
        <f>equip.xml!D375</f>
        <v>副手武器</v>
      </c>
      <c r="E371" s="14">
        <f>equip.xml!E375</f>
        <v>6</v>
      </c>
      <c r="F371" s="14">
        <f>equip.xml!F375</f>
        <v>1</v>
      </c>
      <c r="G371" s="14">
        <f>equip.xml!G375</f>
        <v>80</v>
      </c>
      <c r="H371" s="14" t="str">
        <f>equip.xml!H375</f>
        <v>3,1003</v>
      </c>
      <c r="I371" s="14">
        <f>equip.xml!J375</f>
        <v>5</v>
      </c>
      <c r="J371" s="14">
        <f>equip.xml!K375</f>
        <v>0</v>
      </c>
      <c r="K371" s="14">
        <f>equip.xml!L375</f>
        <v>0</v>
      </c>
      <c r="L371" s="14" t="str">
        <f>equip.xml!M375</f>
        <v>102_3680_3680</v>
      </c>
      <c r="M371" s="17" t="str">
        <f>equip.xml!Q375</f>
        <v>equipment/2322.png</v>
      </c>
      <c r="N371" s="16" t="str">
        <f>equip.xml!P375</f>
        <v>10000_1002_70000,30000_30001_1,30000_30002_1,30000_30003_1</v>
      </c>
      <c r="O371">
        <f>equip.xml!R375</f>
        <v>0</v>
      </c>
    </row>
    <row r="372" spans="1:15">
      <c r="A372" s="14">
        <f>equip.xml!A376</f>
        <v>10800040</v>
      </c>
      <c r="B372" s="14">
        <f>equip.xml!B376</f>
        <v>1</v>
      </c>
      <c r="C372" s="14" t="str">
        <f>equip.xml!C376</f>
        <v>复仇战甲</v>
      </c>
      <c r="D372" s="14" t="str">
        <f>equip.xml!D376</f>
        <v>胸甲</v>
      </c>
      <c r="E372" s="14">
        <f>equip.xml!E376</f>
        <v>4</v>
      </c>
      <c r="F372" s="14">
        <f>equip.xml!F376</f>
        <v>1</v>
      </c>
      <c r="G372" s="14">
        <f>equip.xml!G376</f>
        <v>80</v>
      </c>
      <c r="H372" s="14">
        <f>equip.xml!H376</f>
        <v>0</v>
      </c>
      <c r="I372" s="14">
        <f>equip.xml!J376</f>
        <v>5</v>
      </c>
      <c r="J372" s="14">
        <f>equip.xml!K376</f>
        <v>0</v>
      </c>
      <c r="K372" s="14">
        <f>equip.xml!L376</f>
        <v>0</v>
      </c>
      <c r="L372" s="14" t="str">
        <f>equip.xml!M376</f>
        <v>105_2573_2573</v>
      </c>
      <c r="M372" s="17" t="str">
        <f>equip.xml!Q376</f>
        <v>equipment/5021.png</v>
      </c>
      <c r="N372" s="16" t="str">
        <f>equip.xml!P376</f>
        <v>10000_1002_70000,30000_30001_1,30000_30002_1,30000_30003_1</v>
      </c>
      <c r="O372">
        <f>equip.xml!R376</f>
        <v>0</v>
      </c>
    </row>
    <row r="373" spans="1:15">
      <c r="A373" s="14">
        <f>equip.xml!A377</f>
        <v>10800041</v>
      </c>
      <c r="B373" s="14">
        <f>equip.xml!B377</f>
        <v>1</v>
      </c>
      <c r="C373" s="14" t="str">
        <f>equip.xml!C377</f>
        <v>预兆胸甲</v>
      </c>
      <c r="D373" s="14" t="str">
        <f>equip.xml!D377</f>
        <v>胸甲</v>
      </c>
      <c r="E373" s="14">
        <f>equip.xml!E377</f>
        <v>4</v>
      </c>
      <c r="F373" s="14">
        <f>equip.xml!F377</f>
        <v>1</v>
      </c>
      <c r="G373" s="14">
        <f>equip.xml!G377</f>
        <v>80</v>
      </c>
      <c r="H373" s="14">
        <f>equip.xml!H377</f>
        <v>0</v>
      </c>
      <c r="I373" s="14">
        <f>equip.xml!J377</f>
        <v>5</v>
      </c>
      <c r="J373" s="14">
        <f>equip.xml!K377</f>
        <v>0</v>
      </c>
      <c r="K373" s="14">
        <f>equip.xml!L377</f>
        <v>0</v>
      </c>
      <c r="L373" s="14" t="str">
        <f>equip.xml!M377</f>
        <v>105_2739_2739</v>
      </c>
      <c r="M373" s="17" t="str">
        <f>equip.xml!Q377</f>
        <v>equipment/5022.png</v>
      </c>
      <c r="N373" s="16" t="str">
        <f>equip.xml!P377</f>
        <v>10000_1002_70000,30000_30001_1,30000_30002_1,30000_30003_1</v>
      </c>
      <c r="O373">
        <f>equip.xml!R377</f>
        <v>0</v>
      </c>
    </row>
    <row r="374" spans="1:15">
      <c r="A374" s="14">
        <f>equip.xml!A378</f>
        <v>10800070</v>
      </c>
      <c r="B374" s="14">
        <f>equip.xml!B378</f>
        <v>1</v>
      </c>
      <c r="C374" s="14" t="str">
        <f>equip.xml!C378</f>
        <v>迷失护腿</v>
      </c>
      <c r="D374" s="14" t="str">
        <f>equip.xml!D378</f>
        <v>护腿</v>
      </c>
      <c r="E374" s="14">
        <f>equip.xml!E378</f>
        <v>7</v>
      </c>
      <c r="F374" s="14">
        <f>equip.xml!F378</f>
        <v>1</v>
      </c>
      <c r="G374" s="14">
        <f>equip.xml!G378</f>
        <v>80</v>
      </c>
      <c r="H374" s="14">
        <f>equip.xml!H378</f>
        <v>0</v>
      </c>
      <c r="I374" s="14">
        <f>equip.xml!J378</f>
        <v>5</v>
      </c>
      <c r="J374" s="14">
        <f>equip.xml!K378</f>
        <v>0</v>
      </c>
      <c r="K374" s="14">
        <f>equip.xml!L378</f>
        <v>0</v>
      </c>
      <c r="L374" s="14" t="str">
        <f>equip.xml!M378</f>
        <v>105_2573_2573</v>
      </c>
      <c r="M374" s="17" t="str">
        <f>equip.xml!Q378</f>
        <v>equipment/7022.png</v>
      </c>
      <c r="N374" s="16" t="str">
        <f>equip.xml!P378</f>
        <v>10000_1002_70000,30000_30001_1,30000_30002_1,30000_30003_1</v>
      </c>
      <c r="O374">
        <f>equip.xml!R378</f>
        <v>0</v>
      </c>
    </row>
    <row r="375" spans="1:15">
      <c r="A375" s="14">
        <f>equip.xml!A379</f>
        <v>10800071</v>
      </c>
      <c r="B375" s="14">
        <f>equip.xml!B379</f>
        <v>1</v>
      </c>
      <c r="C375" s="14" t="str">
        <f>equip.xml!C379</f>
        <v>幽影腿甲</v>
      </c>
      <c r="D375" s="14" t="str">
        <f>equip.xml!D379</f>
        <v>护腿</v>
      </c>
      <c r="E375" s="14">
        <f>equip.xml!E379</f>
        <v>7</v>
      </c>
      <c r="F375" s="14">
        <f>equip.xml!F379</f>
        <v>1</v>
      </c>
      <c r="G375" s="14">
        <f>equip.xml!G379</f>
        <v>80</v>
      </c>
      <c r="H375" s="14">
        <f>equip.xml!H379</f>
        <v>0</v>
      </c>
      <c r="I375" s="14">
        <f>equip.xml!J379</f>
        <v>5</v>
      </c>
      <c r="J375" s="14">
        <f>equip.xml!K379</f>
        <v>0</v>
      </c>
      <c r="K375" s="14">
        <f>equip.xml!L379</f>
        <v>0</v>
      </c>
      <c r="L375" s="14" t="str">
        <f>equip.xml!M379</f>
        <v>105_2739_2739</v>
      </c>
      <c r="M375" s="17" t="str">
        <f>equip.xml!Q379</f>
        <v>equipment/7021.png</v>
      </c>
      <c r="N375" s="16" t="str">
        <f>equip.xml!P379</f>
        <v>10000_1002_70000,30000_30001_1,30000_30002_1,30000_30003_1</v>
      </c>
      <c r="O375">
        <f>equip.xml!R379</f>
        <v>0</v>
      </c>
    </row>
    <row r="376" spans="1:15">
      <c r="A376" s="14">
        <f>equip.xml!A380</f>
        <v>10850010</v>
      </c>
      <c r="B376" s="14">
        <f>equip.xml!B380</f>
        <v>1</v>
      </c>
      <c r="C376" s="14" t="str">
        <f>equip.xml!C380</f>
        <v>低语之冠</v>
      </c>
      <c r="D376" s="14" t="str">
        <f>equip.xml!D380</f>
        <v>头盔</v>
      </c>
      <c r="E376" s="14">
        <f>equip.xml!E380</f>
        <v>1</v>
      </c>
      <c r="F376" s="14">
        <f>equip.xml!F380</f>
        <v>1</v>
      </c>
      <c r="G376" s="14">
        <f>equip.xml!G380</f>
        <v>85</v>
      </c>
      <c r="H376" s="14">
        <f>equip.xml!H380</f>
        <v>0</v>
      </c>
      <c r="I376" s="14">
        <f>equip.xml!J380</f>
        <v>5</v>
      </c>
      <c r="J376" s="14">
        <f>equip.xml!K380</f>
        <v>0</v>
      </c>
      <c r="K376" s="14">
        <f>equip.xml!L380</f>
        <v>0</v>
      </c>
      <c r="L376" s="14" t="str">
        <f>equip.xml!M380</f>
        <v>106_3672_3672</v>
      </c>
      <c r="M376" s="17" t="str">
        <f>equip.xml!Q380</f>
        <v>equipment/3012.png</v>
      </c>
      <c r="N376" s="16" t="str">
        <f>equip.xml!P380</f>
        <v>10000_1002_70000,30000_30001_1,30000_30002_1,30000_30003_1</v>
      </c>
      <c r="O376">
        <f>equip.xml!R380</f>
        <v>0</v>
      </c>
    </row>
    <row r="377" spans="1:15">
      <c r="A377" s="14">
        <f>equip.xml!A381</f>
        <v>10850020</v>
      </c>
      <c r="B377" s="14">
        <f>equip.xml!B381</f>
        <v>1</v>
      </c>
      <c r="C377" s="14" t="str">
        <f>equip.xml!C381</f>
        <v>神迹指环</v>
      </c>
      <c r="D377" s="14" t="str">
        <f>equip.xml!D381</f>
        <v>戒指</v>
      </c>
      <c r="E377" s="14">
        <f>equip.xml!E381</f>
        <v>2</v>
      </c>
      <c r="F377" s="14">
        <f>equip.xml!F381</f>
        <v>1</v>
      </c>
      <c r="G377" s="14">
        <f>equip.xml!G381</f>
        <v>85</v>
      </c>
      <c r="H377" s="14">
        <f>equip.xml!H381</f>
        <v>0</v>
      </c>
      <c r="I377" s="14">
        <f>equip.xml!J381</f>
        <v>5</v>
      </c>
      <c r="J377" s="14">
        <f>equip.xml!K381</f>
        <v>0</v>
      </c>
      <c r="K377" s="14">
        <f>equip.xml!L381</f>
        <v>0</v>
      </c>
      <c r="L377" s="14" t="str">
        <f>equip.xml!M381</f>
        <v>102_2020_2020</v>
      </c>
      <c r="M377" s="17" t="str">
        <f>equip.xml!Q381</f>
        <v>equipment/14016.png</v>
      </c>
      <c r="N377" s="16" t="str">
        <f>equip.xml!P381</f>
        <v>10000_1002_70000,30000_30001_1,30000_30002_1,30000_30003_1</v>
      </c>
      <c r="O377">
        <f>equip.xml!R381</f>
        <v>0</v>
      </c>
    </row>
    <row r="378" spans="1:15">
      <c r="A378" s="14">
        <f>equip.xml!A382</f>
        <v>10850030</v>
      </c>
      <c r="B378" s="14">
        <f>equip.xml!B382</f>
        <v>1</v>
      </c>
      <c r="C378" s="14" t="str">
        <f>equip.xml!C382</f>
        <v>威严腰带</v>
      </c>
      <c r="D378" s="14" t="str">
        <f>equip.xml!D382</f>
        <v>腰带</v>
      </c>
      <c r="E378" s="14">
        <f>equip.xml!E382</f>
        <v>3</v>
      </c>
      <c r="F378" s="14">
        <f>equip.xml!F382</f>
        <v>1</v>
      </c>
      <c r="G378" s="14">
        <f>equip.xml!G382</f>
        <v>85</v>
      </c>
      <c r="H378" s="14">
        <f>equip.xml!H382</f>
        <v>0</v>
      </c>
      <c r="I378" s="14">
        <f>equip.xml!J382</f>
        <v>5</v>
      </c>
      <c r="J378" s="14">
        <f>equip.xml!K382</f>
        <v>0</v>
      </c>
      <c r="K378" s="14">
        <f>equip.xml!L382</f>
        <v>0</v>
      </c>
      <c r="L378" s="14" t="str">
        <f>equip.xml!M382</f>
        <v>101_27040_27040</v>
      </c>
      <c r="M378" s="17" t="str">
        <f>equip.xml!Q382</f>
        <v>equipment/6017.png</v>
      </c>
      <c r="N378" s="16" t="str">
        <f>equip.xml!P382</f>
        <v>10000_1002_70000,30000_30001_1,30000_30002_1,30000_30003_1</v>
      </c>
      <c r="O378">
        <f>equip.xml!R382</f>
        <v>0</v>
      </c>
    </row>
    <row r="379" spans="1:15">
      <c r="A379" s="14">
        <f>equip.xml!A383</f>
        <v>10850080</v>
      </c>
      <c r="B379" s="14">
        <f>equip.xml!B383</f>
        <v>1</v>
      </c>
      <c r="C379" s="14" t="str">
        <f>equip.xml!C383</f>
        <v>统治长靴</v>
      </c>
      <c r="D379" s="14" t="str">
        <f>equip.xml!D383</f>
        <v>鞋子</v>
      </c>
      <c r="E379" s="14">
        <f>equip.xml!E383</f>
        <v>8</v>
      </c>
      <c r="F379" s="14">
        <f>equip.xml!F383</f>
        <v>1</v>
      </c>
      <c r="G379" s="14">
        <f>equip.xml!G383</f>
        <v>85</v>
      </c>
      <c r="H379" s="14">
        <f>equip.xml!H383</f>
        <v>0</v>
      </c>
      <c r="I379" s="14">
        <f>equip.xml!J383</f>
        <v>5</v>
      </c>
      <c r="J379" s="14">
        <f>equip.xml!K383</f>
        <v>0</v>
      </c>
      <c r="K379" s="14">
        <f>equip.xml!L383</f>
        <v>0</v>
      </c>
      <c r="L379" s="14" t="str">
        <f>equip.xml!M383</f>
        <v>110_661_661</v>
      </c>
      <c r="M379" s="17" t="str">
        <f>equip.xml!Q383</f>
        <v>equipment/8016.png</v>
      </c>
      <c r="N379" s="16" t="str">
        <f>equip.xml!P383</f>
        <v>10000_1002_70000,30000_30001_1,30000_30002_1,30000_30003_1</v>
      </c>
      <c r="O379">
        <f>equip.xml!R383</f>
        <v>0</v>
      </c>
    </row>
    <row r="380" spans="1:15">
      <c r="A380" s="14">
        <f>equip.xml!A384</f>
        <v>10850090</v>
      </c>
      <c r="B380" s="14">
        <f>equip.xml!B384</f>
        <v>1</v>
      </c>
      <c r="C380" s="14" t="str">
        <f>equip.xml!C384</f>
        <v>誓烈手甲</v>
      </c>
      <c r="D380" s="14" t="str">
        <f>equip.xml!D384</f>
        <v>手套</v>
      </c>
      <c r="E380" s="14">
        <f>equip.xml!E384</f>
        <v>9</v>
      </c>
      <c r="F380" s="14">
        <f>equip.xml!F384</f>
        <v>1</v>
      </c>
      <c r="G380" s="14">
        <f>equip.xml!G384</f>
        <v>85</v>
      </c>
      <c r="H380" s="14">
        <f>equip.xml!H384</f>
        <v>0</v>
      </c>
      <c r="I380" s="14">
        <f>equip.xml!J384</f>
        <v>5</v>
      </c>
      <c r="J380" s="14">
        <f>equip.xml!K384</f>
        <v>0</v>
      </c>
      <c r="K380" s="14">
        <f>equip.xml!L384</f>
        <v>0</v>
      </c>
      <c r="L380" s="14" t="str">
        <f>equip.xml!M384</f>
        <v>108_5495_5495</v>
      </c>
      <c r="M380" s="17" t="str">
        <f>equip.xml!Q384</f>
        <v>equipment/10014.png</v>
      </c>
      <c r="N380" s="16" t="str">
        <f>equip.xml!P384</f>
        <v>10000_1002_70000,30000_30001_1,30000_30002_1,30000_30003_1</v>
      </c>
      <c r="O380">
        <f>equip.xml!R384</f>
        <v>0</v>
      </c>
    </row>
    <row r="381" spans="1:15">
      <c r="A381" s="14">
        <f>equip.xml!A385</f>
        <v>10850100</v>
      </c>
      <c r="B381" s="14">
        <f>equip.xml!B385</f>
        <v>1</v>
      </c>
      <c r="C381" s="14" t="str">
        <f>equip.xml!C385</f>
        <v>漂泊者之链</v>
      </c>
      <c r="D381" s="14" t="str">
        <f>equip.xml!D385</f>
        <v>项链</v>
      </c>
      <c r="E381" s="14">
        <f>equip.xml!E385</f>
        <v>10</v>
      </c>
      <c r="F381" s="14">
        <f>equip.xml!F385</f>
        <v>1</v>
      </c>
      <c r="G381" s="14">
        <f>equip.xml!G385</f>
        <v>85</v>
      </c>
      <c r="H381" s="14">
        <f>equip.xml!H385</f>
        <v>0</v>
      </c>
      <c r="I381" s="14">
        <f>equip.xml!J385</f>
        <v>5</v>
      </c>
      <c r="J381" s="14">
        <f>equip.xml!K385</f>
        <v>0</v>
      </c>
      <c r="K381" s="14">
        <f>equip.xml!L385</f>
        <v>0</v>
      </c>
      <c r="L381" s="14" t="str">
        <f>equip.xml!M385</f>
        <v>107_3672_3672</v>
      </c>
      <c r="M381" s="17" t="str">
        <f>equip.xml!Q385</f>
        <v>equipment/12016.png</v>
      </c>
      <c r="N381" s="16" t="str">
        <f>equip.xml!P385</f>
        <v>10000_1002_70000,30000_30001_1,30000_30002_1,30000_30003_1</v>
      </c>
      <c r="O381">
        <f>equip.xml!R385</f>
        <v>0</v>
      </c>
    </row>
    <row r="382" spans="1:15">
      <c r="A382" s="14">
        <f>equip.xml!A386</f>
        <v>10851050</v>
      </c>
      <c r="B382" s="14">
        <f>equip.xml!B386</f>
        <v>1</v>
      </c>
      <c r="C382" s="14" t="str">
        <f>equip.xml!C386</f>
        <v>谦逊之剑</v>
      </c>
      <c r="D382" s="14" t="str">
        <f>equip.xml!D386</f>
        <v>主手武器</v>
      </c>
      <c r="E382" s="14">
        <f>equip.xml!E386</f>
        <v>5</v>
      </c>
      <c r="F382" s="14">
        <f>equip.xml!F386</f>
        <v>1</v>
      </c>
      <c r="G382" s="14">
        <f>equip.xml!G386</f>
        <v>85</v>
      </c>
      <c r="H382" s="14" t="str">
        <f>equip.xml!H386</f>
        <v>1,1001</v>
      </c>
      <c r="I382" s="14">
        <f>equip.xml!J386</f>
        <v>5</v>
      </c>
      <c r="J382" s="14">
        <f>equip.xml!K386</f>
        <v>0</v>
      </c>
      <c r="K382" s="14">
        <f>equip.xml!L386</f>
        <v>0</v>
      </c>
      <c r="L382" s="14" t="str">
        <f>equip.xml!M386</f>
        <v>103_4884_4884,104_9769_9769</v>
      </c>
      <c r="M382" s="17" t="str">
        <f>equip.xml!Q386</f>
        <v>equipment/1128.png</v>
      </c>
      <c r="N382" s="16" t="str">
        <f>equip.xml!P386</f>
        <v>10000_1002_70000,30000_30001_1,30000_30002_1,30000_30003_1</v>
      </c>
      <c r="O382">
        <f>equip.xml!R386</f>
        <v>0</v>
      </c>
    </row>
    <row r="383" spans="1:15">
      <c r="A383" s="14">
        <f>equip.xml!A387</f>
        <v>10851051</v>
      </c>
      <c r="B383" s="14">
        <f>equip.xml!B387</f>
        <v>0</v>
      </c>
      <c r="C383" s="14" t="str">
        <f>equip.xml!C387</f>
        <v>破壁之刃</v>
      </c>
      <c r="D383" s="14" t="str">
        <f>equip.xml!D387</f>
        <v>主手武器</v>
      </c>
      <c r="E383" s="14">
        <f>equip.xml!E387</f>
        <v>5</v>
      </c>
      <c r="F383" s="14">
        <f>equip.xml!F387</f>
        <v>1</v>
      </c>
      <c r="G383" s="14">
        <f>equip.xml!G387</f>
        <v>85</v>
      </c>
      <c r="H383" s="14" t="str">
        <f>equip.xml!H387</f>
        <v>1,1001</v>
      </c>
      <c r="I383" s="14">
        <f>equip.xml!J387</f>
        <v>5</v>
      </c>
      <c r="J383" s="14">
        <f>equip.xml!K387</f>
        <v>0</v>
      </c>
      <c r="K383" s="14">
        <f>equip.xml!L387</f>
        <v>0</v>
      </c>
      <c r="L383" s="14" t="str">
        <f>equip.xml!M387</f>
        <v>103_5119_5119,104_10238_10238</v>
      </c>
      <c r="M383" s="17" t="str">
        <f>equip.xml!Q387</f>
        <v>equipment/1129.png</v>
      </c>
      <c r="N383" s="16" t="str">
        <f>equip.xml!P387</f>
        <v>10000_1002_70000,30000_30001_1,30000_30002_1,30000_30003_1</v>
      </c>
      <c r="O383">
        <f>equip.xml!R387</f>
        <v>0</v>
      </c>
    </row>
    <row r="384" spans="1:15">
      <c r="A384" s="14">
        <f>equip.xml!A388</f>
        <v>10851060</v>
      </c>
      <c r="B384" s="14">
        <f>equip.xml!B388</f>
        <v>1</v>
      </c>
      <c r="C384" s="14" t="str">
        <f>equip.xml!C388</f>
        <v>邪铁盾牌</v>
      </c>
      <c r="D384" s="14" t="str">
        <f>equip.xml!D388</f>
        <v>副手武器</v>
      </c>
      <c r="E384" s="14">
        <f>equip.xml!E388</f>
        <v>6</v>
      </c>
      <c r="F384" s="14">
        <f>equip.xml!F388</f>
        <v>1</v>
      </c>
      <c r="G384" s="14">
        <f>equip.xml!G388</f>
        <v>85</v>
      </c>
      <c r="H384" s="14" t="str">
        <f>equip.xml!H388</f>
        <v>1,1001</v>
      </c>
      <c r="I384" s="14">
        <f>equip.xml!J388</f>
        <v>5</v>
      </c>
      <c r="J384" s="14">
        <f>equip.xml!K388</f>
        <v>0</v>
      </c>
      <c r="K384" s="14">
        <f>equip.xml!L388</f>
        <v>0</v>
      </c>
      <c r="L384" s="14" t="str">
        <f>equip.xml!M388</f>
        <v>105_4616_4616</v>
      </c>
      <c r="M384" s="17" t="str">
        <f>equip.xml!Q388</f>
        <v>equipment/2124.png</v>
      </c>
      <c r="N384" s="16" t="str">
        <f>equip.xml!P388</f>
        <v>10000_1002_70000,30000_30001_1,30000_30002_1,30000_30003_1</v>
      </c>
      <c r="O384">
        <f>equip.xml!R388</f>
        <v>0</v>
      </c>
    </row>
    <row r="385" spans="1:15">
      <c r="A385" s="14">
        <f>equip.xml!A389</f>
        <v>10851061</v>
      </c>
      <c r="B385" s="14">
        <f>equip.xml!B389</f>
        <v>0</v>
      </c>
      <c r="C385" s="14" t="str">
        <f>equip.xml!C389</f>
        <v>埋骨之盾</v>
      </c>
      <c r="D385" s="14" t="str">
        <f>equip.xml!D389</f>
        <v>副手武器</v>
      </c>
      <c r="E385" s="14">
        <f>equip.xml!E389</f>
        <v>6</v>
      </c>
      <c r="F385" s="14">
        <f>equip.xml!F389</f>
        <v>1</v>
      </c>
      <c r="G385" s="14">
        <f>equip.xml!G389</f>
        <v>85</v>
      </c>
      <c r="H385" s="14" t="str">
        <f>equip.xml!H389</f>
        <v>1,1001</v>
      </c>
      <c r="I385" s="14">
        <f>equip.xml!J389</f>
        <v>5</v>
      </c>
      <c r="J385" s="14">
        <f>equip.xml!K389</f>
        <v>0</v>
      </c>
      <c r="K385" s="14">
        <f>equip.xml!L389</f>
        <v>0</v>
      </c>
      <c r="L385" s="14" t="str">
        <f>equip.xml!M389</f>
        <v>105_4739_4739</v>
      </c>
      <c r="M385" s="17" t="str">
        <f>equip.xml!Q389</f>
        <v>equipment/2119.png</v>
      </c>
      <c r="N385" s="16" t="str">
        <f>equip.xml!P389</f>
        <v>10000_1002_70000,30000_30001_1,30000_30002_1,30000_30003_1</v>
      </c>
      <c r="O385">
        <f>equip.xml!R389</f>
        <v>0</v>
      </c>
    </row>
    <row r="386" spans="1:15">
      <c r="A386" s="14">
        <f>equip.xml!A390</f>
        <v>10852050</v>
      </c>
      <c r="B386" s="14">
        <f>equip.xml!B390</f>
        <v>1</v>
      </c>
      <c r="C386" s="14" t="str">
        <f>equip.xml!C390</f>
        <v>悔恨长弓</v>
      </c>
      <c r="D386" s="14" t="str">
        <f>equip.xml!D390</f>
        <v>主手武器</v>
      </c>
      <c r="E386" s="14">
        <f>equip.xml!E390</f>
        <v>5</v>
      </c>
      <c r="F386" s="14">
        <f>equip.xml!F390</f>
        <v>1</v>
      </c>
      <c r="G386" s="14">
        <f>equip.xml!G390</f>
        <v>85</v>
      </c>
      <c r="H386" s="14" t="str">
        <f>equip.xml!H390</f>
        <v>2,1002</v>
      </c>
      <c r="I386" s="14">
        <f>equip.xml!J390</f>
        <v>5</v>
      </c>
      <c r="J386" s="14">
        <f>equip.xml!K390</f>
        <v>0</v>
      </c>
      <c r="K386" s="14">
        <f>equip.xml!L390</f>
        <v>0</v>
      </c>
      <c r="L386" s="14" t="str">
        <f>equip.xml!M390</f>
        <v>103_4884_4884,104_9769_9769</v>
      </c>
      <c r="M386" s="17" t="str">
        <f>equip.xml!Q390</f>
        <v>equipment/1228.png</v>
      </c>
      <c r="N386" s="16" t="str">
        <f>equip.xml!P390</f>
        <v>10000_1002_70000,30000_30001_1,30000_30002_1,30000_30003_1</v>
      </c>
      <c r="O386">
        <f>equip.xml!R390</f>
        <v>0</v>
      </c>
    </row>
    <row r="387" spans="1:15">
      <c r="A387" s="14">
        <f>equip.xml!A391</f>
        <v>10852051</v>
      </c>
      <c r="B387" s="14">
        <f>equip.xml!B391</f>
        <v>0</v>
      </c>
      <c r="C387" s="14" t="str">
        <f>equip.xml!C391</f>
        <v>祈圣之弓</v>
      </c>
      <c r="D387" s="14" t="str">
        <f>equip.xml!D391</f>
        <v>主手武器</v>
      </c>
      <c r="E387" s="14">
        <f>equip.xml!E391</f>
        <v>5</v>
      </c>
      <c r="F387" s="14">
        <f>equip.xml!F391</f>
        <v>1</v>
      </c>
      <c r="G387" s="14">
        <f>equip.xml!G391</f>
        <v>85</v>
      </c>
      <c r="H387" s="14" t="str">
        <f>equip.xml!H391</f>
        <v>2,1002</v>
      </c>
      <c r="I387" s="14">
        <f>equip.xml!J391</f>
        <v>5</v>
      </c>
      <c r="J387" s="14">
        <f>equip.xml!K391</f>
        <v>0</v>
      </c>
      <c r="K387" s="14">
        <f>equip.xml!L391</f>
        <v>0</v>
      </c>
      <c r="L387" s="14" t="str">
        <f>equip.xml!M391</f>
        <v>103_5119_5119,104_10238_10238</v>
      </c>
      <c r="M387" s="17" t="str">
        <f>equip.xml!Q391</f>
        <v>equipment/1230.png</v>
      </c>
      <c r="N387" s="16" t="str">
        <f>equip.xml!P391</f>
        <v>10000_1002_70000,30000_30001_1,30000_30002_1,30000_30003_1</v>
      </c>
      <c r="O387">
        <f>equip.xml!R391</f>
        <v>0</v>
      </c>
    </row>
    <row r="388" spans="1:15">
      <c r="A388" s="14">
        <f>equip.xml!A392</f>
        <v>10852060</v>
      </c>
      <c r="B388" s="14">
        <f>equip.xml!B392</f>
        <v>1</v>
      </c>
      <c r="C388" s="14" t="str">
        <f>equip.xml!C392</f>
        <v>悲鸣箭筒</v>
      </c>
      <c r="D388" s="14" t="str">
        <f>equip.xml!D392</f>
        <v>副手武器</v>
      </c>
      <c r="E388" s="14">
        <f>equip.xml!E392</f>
        <v>6</v>
      </c>
      <c r="F388" s="14">
        <f>equip.xml!F392</f>
        <v>1</v>
      </c>
      <c r="G388" s="14">
        <f>equip.xml!G392</f>
        <v>85</v>
      </c>
      <c r="H388" s="14" t="str">
        <f>equip.xml!H392</f>
        <v>2,1002</v>
      </c>
      <c r="I388" s="14">
        <f>equip.xml!J392</f>
        <v>5</v>
      </c>
      <c r="J388" s="14">
        <f>equip.xml!K392</f>
        <v>0</v>
      </c>
      <c r="K388" s="14">
        <f>equip.xml!L392</f>
        <v>0</v>
      </c>
      <c r="L388" s="14" t="str">
        <f>equip.xml!M392</f>
        <v>108_4616_4616</v>
      </c>
      <c r="M388" s="17" t="str">
        <f>equip.xml!Q392</f>
        <v>equipment/2224.png</v>
      </c>
      <c r="N388" s="16" t="str">
        <f>equip.xml!P392</f>
        <v>10000_1002_70000,30000_30001_1,30000_30002_1,30000_30003_1</v>
      </c>
      <c r="O388">
        <f>equip.xml!R392</f>
        <v>0</v>
      </c>
    </row>
    <row r="389" spans="1:15">
      <c r="A389" s="14">
        <f>equip.xml!A393</f>
        <v>10852061</v>
      </c>
      <c r="B389" s="14">
        <f>equip.xml!B393</f>
        <v>0</v>
      </c>
      <c r="C389" s="14" t="str">
        <f>equip.xml!C393</f>
        <v>咒逐箭筒</v>
      </c>
      <c r="D389" s="14" t="str">
        <f>equip.xml!D393</f>
        <v>副手武器</v>
      </c>
      <c r="E389" s="14">
        <f>equip.xml!E393</f>
        <v>6</v>
      </c>
      <c r="F389" s="14">
        <f>equip.xml!F393</f>
        <v>1</v>
      </c>
      <c r="G389" s="14">
        <f>equip.xml!G393</f>
        <v>85</v>
      </c>
      <c r="H389" s="14" t="str">
        <f>equip.xml!H393</f>
        <v>2,1002</v>
      </c>
      <c r="I389" s="14">
        <f>equip.xml!J393</f>
        <v>5</v>
      </c>
      <c r="J389" s="14">
        <f>equip.xml!K393</f>
        <v>0</v>
      </c>
      <c r="K389" s="14">
        <f>equip.xml!L393</f>
        <v>0</v>
      </c>
      <c r="L389" s="14" t="str">
        <f>equip.xml!M393</f>
        <v>108_4739_4739</v>
      </c>
      <c r="M389" s="17" t="str">
        <f>equip.xml!Q393</f>
        <v>equipment/2221.png</v>
      </c>
      <c r="N389" s="16" t="str">
        <f>equip.xml!P393</f>
        <v>10000_1002_70000,30000_30001_1,30000_30002_1,30000_30003_1</v>
      </c>
      <c r="O389">
        <f>equip.xml!R393</f>
        <v>0</v>
      </c>
    </row>
    <row r="390" spans="1:15">
      <c r="A390" s="14">
        <f>equip.xml!A394</f>
        <v>10853050</v>
      </c>
      <c r="B390" s="14">
        <f>equip.xml!B394</f>
        <v>1</v>
      </c>
      <c r="C390" s="14" t="str">
        <f>equip.xml!C394</f>
        <v>归还法杖</v>
      </c>
      <c r="D390" s="14" t="str">
        <f>equip.xml!D394</f>
        <v>主手武器</v>
      </c>
      <c r="E390" s="14">
        <f>equip.xml!E394</f>
        <v>5</v>
      </c>
      <c r="F390" s="14">
        <f>equip.xml!F394</f>
        <v>1</v>
      </c>
      <c r="G390" s="14">
        <f>equip.xml!G394</f>
        <v>85</v>
      </c>
      <c r="H390" s="14" t="str">
        <f>equip.xml!H394</f>
        <v>3,1003</v>
      </c>
      <c r="I390" s="14">
        <f>equip.xml!J394</f>
        <v>5</v>
      </c>
      <c r="J390" s="14">
        <f>equip.xml!K394</f>
        <v>0</v>
      </c>
      <c r="K390" s="14">
        <f>equip.xml!L394</f>
        <v>0</v>
      </c>
      <c r="L390" s="14" t="str">
        <f>equip.xml!M394</f>
        <v>103_4884_4884,104_9769_9769</v>
      </c>
      <c r="M390" s="17" t="str">
        <f>equip.xml!Q394</f>
        <v>equipment/1329.png</v>
      </c>
      <c r="N390" s="16" t="str">
        <f>equip.xml!P394</f>
        <v>10000_1002_70000,30000_30001_1,30000_30002_1,30000_30003_1</v>
      </c>
      <c r="O390">
        <f>equip.xml!R394</f>
        <v>0</v>
      </c>
    </row>
    <row r="391" spans="1:15">
      <c r="A391" s="14">
        <f>equip.xml!A395</f>
        <v>10853051</v>
      </c>
      <c r="B391" s="14">
        <f>equip.xml!B395</f>
        <v>0</v>
      </c>
      <c r="C391" s="14" t="str">
        <f>equip.xml!C395</f>
        <v>荒寂之杖</v>
      </c>
      <c r="D391" s="14" t="str">
        <f>equip.xml!D395</f>
        <v>主手武器</v>
      </c>
      <c r="E391" s="14">
        <f>equip.xml!E395</f>
        <v>5</v>
      </c>
      <c r="F391" s="14">
        <f>equip.xml!F395</f>
        <v>1</v>
      </c>
      <c r="G391" s="14">
        <f>equip.xml!G395</f>
        <v>85</v>
      </c>
      <c r="H391" s="14" t="str">
        <f>equip.xml!H395</f>
        <v>3,1003</v>
      </c>
      <c r="I391" s="14">
        <f>equip.xml!J395</f>
        <v>5</v>
      </c>
      <c r="J391" s="14">
        <f>equip.xml!K395</f>
        <v>0</v>
      </c>
      <c r="K391" s="14">
        <f>equip.xml!L395</f>
        <v>0</v>
      </c>
      <c r="L391" s="14" t="str">
        <f>equip.xml!M395</f>
        <v>103_5119_5119,104_10238_10238</v>
      </c>
      <c r="M391" s="17" t="str">
        <f>equip.xml!Q395</f>
        <v>equipment/1331.png</v>
      </c>
      <c r="N391" s="16" t="str">
        <f>equip.xml!P395</f>
        <v>10000_1002_70000,30000_30001_1,30000_30002_1,30000_30003_1</v>
      </c>
      <c r="O391">
        <f>equip.xml!R395</f>
        <v>0</v>
      </c>
    </row>
    <row r="392" spans="1:15">
      <c r="A392" s="14">
        <f>equip.xml!A396</f>
        <v>10853060</v>
      </c>
      <c r="B392" s="14">
        <f>equip.xml!B396</f>
        <v>1</v>
      </c>
      <c r="C392" s="14" t="str">
        <f>equip.xml!C396</f>
        <v>幻咒秘语</v>
      </c>
      <c r="D392" s="14" t="str">
        <f>equip.xml!D396</f>
        <v>副手武器</v>
      </c>
      <c r="E392" s="14">
        <f>equip.xml!E396</f>
        <v>6</v>
      </c>
      <c r="F392" s="14">
        <f>equip.xml!F396</f>
        <v>1</v>
      </c>
      <c r="G392" s="14">
        <f>equip.xml!G396</f>
        <v>85</v>
      </c>
      <c r="H392" s="14" t="str">
        <f>equip.xml!H396</f>
        <v>3,1003</v>
      </c>
      <c r="I392" s="14">
        <f>equip.xml!J396</f>
        <v>5</v>
      </c>
      <c r="J392" s="14">
        <f>equip.xml!K396</f>
        <v>0</v>
      </c>
      <c r="K392" s="14">
        <f>equip.xml!L396</f>
        <v>0</v>
      </c>
      <c r="L392" s="14" t="str">
        <f>equip.xml!M396</f>
        <v>102_3790_3790</v>
      </c>
      <c r="M392" s="17" t="str">
        <f>equip.xml!Q396</f>
        <v>equipment/102301.png</v>
      </c>
      <c r="N392" s="16" t="str">
        <f>equip.xml!P396</f>
        <v>10000_1002_70000,30000_30001_1,30000_30002_1,30000_30003_1</v>
      </c>
      <c r="O392">
        <f>equip.xml!R396</f>
        <v>0</v>
      </c>
    </row>
    <row r="393" spans="1:15">
      <c r="A393" s="14">
        <f>equip.xml!A397</f>
        <v>10853061</v>
      </c>
      <c r="B393" s="14">
        <f>equip.xml!B397</f>
        <v>0</v>
      </c>
      <c r="C393" s="14" t="str">
        <f>equip.xml!C397</f>
        <v>岁月之书</v>
      </c>
      <c r="D393" s="14" t="str">
        <f>equip.xml!D397</f>
        <v>副手武器</v>
      </c>
      <c r="E393" s="14">
        <f>equip.xml!E397</f>
        <v>6</v>
      </c>
      <c r="F393" s="14">
        <f>equip.xml!F397</f>
        <v>1</v>
      </c>
      <c r="G393" s="14">
        <f>equip.xml!G397</f>
        <v>85</v>
      </c>
      <c r="H393" s="14" t="str">
        <f>equip.xml!H397</f>
        <v>3,1003</v>
      </c>
      <c r="I393" s="14">
        <f>equip.xml!J397</f>
        <v>5</v>
      </c>
      <c r="J393" s="14">
        <f>equip.xml!K397</f>
        <v>0</v>
      </c>
      <c r="K393" s="14">
        <f>equip.xml!L397</f>
        <v>0</v>
      </c>
      <c r="L393" s="14" t="str">
        <f>equip.xml!M397</f>
        <v>102_3890_3890</v>
      </c>
      <c r="M393" s="17" t="str">
        <f>equip.xml!Q397</f>
        <v>equipment/2323.png</v>
      </c>
      <c r="N393" s="16" t="str">
        <f>equip.xml!P397</f>
        <v>10000_1002_70000,30000_30001_1,30000_30002_1,30000_30003_1</v>
      </c>
      <c r="O393">
        <f>equip.xml!R397</f>
        <v>0</v>
      </c>
    </row>
    <row r="394" spans="1:15">
      <c r="A394" s="14">
        <f>equip.xml!A398</f>
        <v>10850040</v>
      </c>
      <c r="B394" s="14">
        <f>equip.xml!B398</f>
        <v>1</v>
      </c>
      <c r="C394" s="14" t="str">
        <f>equip.xml!C398</f>
        <v>梦魇胸甲</v>
      </c>
      <c r="D394" s="14" t="str">
        <f>equip.xml!D398</f>
        <v>胸甲</v>
      </c>
      <c r="E394" s="14">
        <f>equip.xml!E398</f>
        <v>4</v>
      </c>
      <c r="F394" s="14">
        <f>equip.xml!F398</f>
        <v>1</v>
      </c>
      <c r="G394" s="14">
        <f>equip.xml!G398</f>
        <v>85</v>
      </c>
      <c r="H394" s="14">
        <f>equip.xml!H398</f>
        <v>0</v>
      </c>
      <c r="I394" s="14">
        <f>equip.xml!J398</f>
        <v>5</v>
      </c>
      <c r="J394" s="14">
        <f>equip.xml!K398</f>
        <v>0</v>
      </c>
      <c r="K394" s="14">
        <f>equip.xml!L398</f>
        <v>0</v>
      </c>
      <c r="L394" s="14" t="str">
        <f>equip.xml!M398</f>
        <v>105_2989_2989</v>
      </c>
      <c r="M394" s="17" t="str">
        <f>equip.xml!Q398</f>
        <v>equipment/105001.png</v>
      </c>
      <c r="N394" s="16" t="str">
        <f>equip.xml!P398</f>
        <v>10000_1002_70000,30000_30001_1,30000_30002_1,30000_30003_1</v>
      </c>
      <c r="O394">
        <f>equip.xml!R398</f>
        <v>0</v>
      </c>
    </row>
    <row r="395" spans="1:15">
      <c r="A395" s="14">
        <f>equip.xml!A399</f>
        <v>10850041</v>
      </c>
      <c r="B395" s="14">
        <f>equip.xml!B399</f>
        <v>0</v>
      </c>
      <c r="C395" s="14" t="str">
        <f>equip.xml!C399</f>
        <v>鬼域战铠</v>
      </c>
      <c r="D395" s="14" t="str">
        <f>equip.xml!D399</f>
        <v>胸甲</v>
      </c>
      <c r="E395" s="14">
        <f>equip.xml!E399</f>
        <v>4</v>
      </c>
      <c r="F395" s="14">
        <f>equip.xml!F399</f>
        <v>1</v>
      </c>
      <c r="G395" s="14">
        <f>equip.xml!G399</f>
        <v>85</v>
      </c>
      <c r="H395" s="14">
        <f>equip.xml!H399</f>
        <v>0</v>
      </c>
      <c r="I395" s="14">
        <f>equip.xml!J399</f>
        <v>5</v>
      </c>
      <c r="J395" s="14">
        <f>equip.xml!K399</f>
        <v>0</v>
      </c>
      <c r="K395" s="14">
        <f>equip.xml!L399</f>
        <v>0</v>
      </c>
      <c r="L395" s="14" t="str">
        <f>equip.xml!M399</f>
        <v>105_3172_3172</v>
      </c>
      <c r="M395" s="17" t="str">
        <f>equip.xml!Q399</f>
        <v>equipment/5023.png</v>
      </c>
      <c r="N395" s="16" t="str">
        <f>equip.xml!P399</f>
        <v>10000_1002_70000,30000_30001_1,30000_30002_1,30000_30003_1</v>
      </c>
      <c r="O395">
        <f>equip.xml!R399</f>
        <v>0</v>
      </c>
    </row>
    <row r="396" spans="1:15">
      <c r="A396" s="14">
        <f>equip.xml!A400</f>
        <v>10850070</v>
      </c>
      <c r="B396" s="14">
        <f>equip.xml!B400</f>
        <v>1</v>
      </c>
      <c r="C396" s="14" t="str">
        <f>equip.xml!C400</f>
        <v>逝亡护腿</v>
      </c>
      <c r="D396" s="14" t="str">
        <f>equip.xml!D400</f>
        <v>护腿</v>
      </c>
      <c r="E396" s="14">
        <f>equip.xml!E400</f>
        <v>7</v>
      </c>
      <c r="F396" s="14">
        <f>equip.xml!F400</f>
        <v>1</v>
      </c>
      <c r="G396" s="14">
        <f>equip.xml!G400</f>
        <v>85</v>
      </c>
      <c r="H396" s="14">
        <f>equip.xml!H400</f>
        <v>0</v>
      </c>
      <c r="I396" s="14">
        <f>equip.xml!J400</f>
        <v>5</v>
      </c>
      <c r="J396" s="14">
        <f>equip.xml!K400</f>
        <v>0</v>
      </c>
      <c r="K396" s="14">
        <f>equip.xml!L400</f>
        <v>0</v>
      </c>
      <c r="L396" s="14" t="str">
        <f>equip.xml!M400</f>
        <v>105_2989_2989</v>
      </c>
      <c r="M396" s="17" t="str">
        <f>equip.xml!Q400</f>
        <v>equipment/7023.png</v>
      </c>
      <c r="N396" s="16" t="str">
        <f>equip.xml!P400</f>
        <v>10000_1002_70000,30000_30001_1,30000_30002_1,30000_30003_1</v>
      </c>
      <c r="O396">
        <f>equip.xml!R400</f>
        <v>0</v>
      </c>
    </row>
    <row r="397" spans="1:15">
      <c r="A397" s="14">
        <f>equip.xml!A401</f>
        <v>10850071</v>
      </c>
      <c r="B397" s="14">
        <f>equip.xml!B401</f>
        <v>0</v>
      </c>
      <c r="C397" s="14" t="str">
        <f>equip.xml!C401</f>
        <v>泯灭护腿</v>
      </c>
      <c r="D397" s="14" t="str">
        <f>equip.xml!D401</f>
        <v>护腿</v>
      </c>
      <c r="E397" s="14">
        <f>equip.xml!E401</f>
        <v>7</v>
      </c>
      <c r="F397" s="14">
        <f>equip.xml!F401</f>
        <v>1</v>
      </c>
      <c r="G397" s="14">
        <f>equip.xml!G401</f>
        <v>85</v>
      </c>
      <c r="H397" s="14">
        <f>equip.xml!H401</f>
        <v>0</v>
      </c>
      <c r="I397" s="14">
        <f>equip.xml!J401</f>
        <v>5</v>
      </c>
      <c r="J397" s="14">
        <f>equip.xml!K401</f>
        <v>0</v>
      </c>
      <c r="K397" s="14">
        <f>equip.xml!L401</f>
        <v>0</v>
      </c>
      <c r="L397" s="14" t="str">
        <f>equip.xml!M401</f>
        <v>105_3172_3172</v>
      </c>
      <c r="M397" s="17" t="str">
        <f>equip.xml!Q401</f>
        <v>equipment/107001.png</v>
      </c>
      <c r="N397" s="16" t="str">
        <f>equip.xml!P401</f>
        <v>10000_1002_70000,30000_30001_1,30000_30002_1,30000_30003_1</v>
      </c>
      <c r="O397">
        <f>equip.xml!R401</f>
        <v>0</v>
      </c>
    </row>
    <row r="398" spans="1:15">
      <c r="A398" s="14">
        <f>equip.xml!A402</f>
        <v>10900010</v>
      </c>
      <c r="B398" s="14">
        <f>equip.xml!B402</f>
        <v>1</v>
      </c>
      <c r="C398" s="14" t="str">
        <f>equip.xml!C402</f>
        <v>风暴之冠</v>
      </c>
      <c r="D398" s="14" t="str">
        <f>equip.xml!D402</f>
        <v>头盔</v>
      </c>
      <c r="E398" s="14">
        <f>equip.xml!E402</f>
        <v>1</v>
      </c>
      <c r="F398" s="14">
        <f>equip.xml!F402</f>
        <v>1</v>
      </c>
      <c r="G398" s="14">
        <f>equip.xml!G402</f>
        <v>90</v>
      </c>
      <c r="H398" s="14">
        <f>equip.xml!H402</f>
        <v>0</v>
      </c>
      <c r="I398" s="14">
        <f>equip.xml!J402</f>
        <v>5</v>
      </c>
      <c r="J398" s="14">
        <f>equip.xml!K402</f>
        <v>0</v>
      </c>
      <c r="K398" s="14">
        <f>equip.xml!L402</f>
        <v>0</v>
      </c>
      <c r="L398" s="14" t="str">
        <f>equip.xml!M402</f>
        <v>106_4428_4428</v>
      </c>
      <c r="M398" s="17" t="str">
        <f>equip.xml!Q402</f>
        <v>equipment/3017.png</v>
      </c>
      <c r="N398" s="16" t="str">
        <f>equip.xml!P402</f>
        <v>10000_1002_70000,30000_30001_1,30000_30002_1,30000_30003_1</v>
      </c>
      <c r="O398">
        <f>equip.xml!R402</f>
        <v>0</v>
      </c>
    </row>
    <row r="399" spans="1:15">
      <c r="A399" s="14">
        <f>equip.xml!A403</f>
        <v>10900020</v>
      </c>
      <c r="B399" s="14">
        <f>equip.xml!B403</f>
        <v>1</v>
      </c>
      <c r="C399" s="14" t="str">
        <f>equip.xml!C403</f>
        <v>无尽智慧指环</v>
      </c>
      <c r="D399" s="14" t="str">
        <f>equip.xml!D403</f>
        <v>戒指</v>
      </c>
      <c r="E399" s="14">
        <f>equip.xml!E403</f>
        <v>2</v>
      </c>
      <c r="F399" s="14">
        <f>equip.xml!F403</f>
        <v>1</v>
      </c>
      <c r="G399" s="14">
        <f>equip.xml!G403</f>
        <v>90</v>
      </c>
      <c r="H399" s="14">
        <f>equip.xml!H403</f>
        <v>0</v>
      </c>
      <c r="I399" s="14">
        <f>equip.xml!J403</f>
        <v>5</v>
      </c>
      <c r="J399" s="14">
        <f>equip.xml!K403</f>
        <v>0</v>
      </c>
      <c r="K399" s="14">
        <f>equip.xml!L403</f>
        <v>0</v>
      </c>
      <c r="L399" s="14" t="str">
        <f>equip.xml!M403</f>
        <v>102_2150_2150</v>
      </c>
      <c r="M399" s="17" t="str">
        <f>equip.xml!Q403</f>
        <v>equipment/14015.png</v>
      </c>
      <c r="N399" s="16" t="str">
        <f>equip.xml!P403</f>
        <v>10000_1002_70000,30000_30001_1,30000_30002_1,30000_30003_1</v>
      </c>
      <c r="O399">
        <f>equip.xml!R403</f>
        <v>0</v>
      </c>
    </row>
    <row r="400" spans="1:15">
      <c r="A400" s="14">
        <f>equip.xml!A404</f>
        <v>10900030</v>
      </c>
      <c r="B400" s="14">
        <f>equip.xml!B404</f>
        <v>1</v>
      </c>
      <c r="C400" s="14" t="str">
        <f>equip.xml!C404</f>
        <v>丰饶腰带</v>
      </c>
      <c r="D400" s="14" t="str">
        <f>equip.xml!D404</f>
        <v>腰带</v>
      </c>
      <c r="E400" s="14">
        <f>equip.xml!E404</f>
        <v>3</v>
      </c>
      <c r="F400" s="14">
        <f>equip.xml!F404</f>
        <v>1</v>
      </c>
      <c r="G400" s="14">
        <f>equip.xml!G404</f>
        <v>90</v>
      </c>
      <c r="H400" s="14">
        <f>equip.xml!H404</f>
        <v>0</v>
      </c>
      <c r="I400" s="14">
        <f>equip.xml!J404</f>
        <v>5</v>
      </c>
      <c r="J400" s="14">
        <f>equip.xml!K404</f>
        <v>0</v>
      </c>
      <c r="K400" s="14">
        <f>equip.xml!L404</f>
        <v>0</v>
      </c>
      <c r="L400" s="14" t="str">
        <f>equip.xml!M404</f>
        <v>101_29800_29800</v>
      </c>
      <c r="M400" s="17" t="str">
        <f>equip.xml!Q404</f>
        <v>equipment/6016.png</v>
      </c>
      <c r="N400" s="16" t="str">
        <f>equip.xml!P404</f>
        <v>10000_1002_70000,30000_30001_1,30000_30002_1,30000_30003_1</v>
      </c>
      <c r="O400">
        <f>equip.xml!R404</f>
        <v>0</v>
      </c>
    </row>
    <row r="401" spans="1:15">
      <c r="A401" s="14">
        <f>equip.xml!A405</f>
        <v>10900080</v>
      </c>
      <c r="B401" s="14">
        <f>equip.xml!B405</f>
        <v>1</v>
      </c>
      <c r="C401" s="14" t="str">
        <f>equip.xml!C405</f>
        <v>秩序战靴</v>
      </c>
      <c r="D401" s="14" t="str">
        <f>equip.xml!D405</f>
        <v>鞋子</v>
      </c>
      <c r="E401" s="14">
        <f>equip.xml!E405</f>
        <v>8</v>
      </c>
      <c r="F401" s="14">
        <f>equip.xml!F405</f>
        <v>1</v>
      </c>
      <c r="G401" s="14">
        <f>equip.xml!G405</f>
        <v>90</v>
      </c>
      <c r="H401" s="14">
        <f>equip.xml!H405</f>
        <v>0</v>
      </c>
      <c r="I401" s="14">
        <f>equip.xml!J405</f>
        <v>5</v>
      </c>
      <c r="J401" s="14">
        <f>equip.xml!K405</f>
        <v>0</v>
      </c>
      <c r="K401" s="14">
        <f>equip.xml!L405</f>
        <v>0</v>
      </c>
      <c r="L401" s="14" t="str">
        <f>equip.xml!M405</f>
        <v>110_715_715</v>
      </c>
      <c r="M401" s="17" t="str">
        <f>equip.xml!Q405</f>
        <v>equipment/8017.png</v>
      </c>
      <c r="N401" s="16" t="str">
        <f>equip.xml!P405</f>
        <v>10000_1002_70000,30000_30001_1,30000_30002_1,30000_30003_1</v>
      </c>
      <c r="O401">
        <f>equip.xml!R405</f>
        <v>0</v>
      </c>
    </row>
    <row r="402" spans="1:15">
      <c r="A402" s="14">
        <f>equip.xml!A406</f>
        <v>10900090</v>
      </c>
      <c r="B402" s="14">
        <f>equip.xml!B406</f>
        <v>1</v>
      </c>
      <c r="C402" s="14" t="str">
        <f>equip.xml!C406</f>
        <v>超载护手</v>
      </c>
      <c r="D402" s="14" t="str">
        <f>equip.xml!D406</f>
        <v>手套</v>
      </c>
      <c r="E402" s="14">
        <f>equip.xml!E406</f>
        <v>9</v>
      </c>
      <c r="F402" s="14">
        <f>equip.xml!F406</f>
        <v>1</v>
      </c>
      <c r="G402" s="14">
        <f>equip.xml!G406</f>
        <v>90</v>
      </c>
      <c r="H402" s="14">
        <f>equip.xml!H406</f>
        <v>0</v>
      </c>
      <c r="I402" s="14">
        <f>equip.xml!J406</f>
        <v>5</v>
      </c>
      <c r="J402" s="14">
        <f>equip.xml!K406</f>
        <v>0</v>
      </c>
      <c r="K402" s="14">
        <f>equip.xml!L406</f>
        <v>0</v>
      </c>
      <c r="L402" s="14" t="str">
        <f>equip.xml!M406</f>
        <v>108_6155_6155</v>
      </c>
      <c r="M402" s="17" t="str">
        <f>equip.xml!Q406</f>
        <v>equipment/10017.png</v>
      </c>
      <c r="N402" s="16" t="str">
        <f>equip.xml!P406</f>
        <v>10000_1002_70000,30000_30001_1,30000_30002_1,30000_30003_1</v>
      </c>
      <c r="O402">
        <f>equip.xml!R406</f>
        <v>0</v>
      </c>
    </row>
    <row r="403" spans="1:15">
      <c r="A403" s="14">
        <f>equip.xml!A407</f>
        <v>10900100</v>
      </c>
      <c r="B403" s="14">
        <f>equip.xml!B407</f>
        <v>1</v>
      </c>
      <c r="C403" s="14" t="str">
        <f>equip.xml!C407</f>
        <v>寒霜之心</v>
      </c>
      <c r="D403" s="14" t="str">
        <f>equip.xml!D407</f>
        <v>项链</v>
      </c>
      <c r="E403" s="14">
        <f>equip.xml!E407</f>
        <v>10</v>
      </c>
      <c r="F403" s="14">
        <f>equip.xml!F407</f>
        <v>1</v>
      </c>
      <c r="G403" s="14">
        <f>equip.xml!G407</f>
        <v>90</v>
      </c>
      <c r="H403" s="14">
        <f>equip.xml!H407</f>
        <v>0</v>
      </c>
      <c r="I403" s="14">
        <f>equip.xml!J407</f>
        <v>5</v>
      </c>
      <c r="J403" s="14">
        <f>equip.xml!K407</f>
        <v>0</v>
      </c>
      <c r="K403" s="14">
        <f>equip.xml!L407</f>
        <v>0</v>
      </c>
      <c r="L403" s="14" t="str">
        <f>equip.xml!M407</f>
        <v>107_4428_4428</v>
      </c>
      <c r="M403" s="17" t="str">
        <f>equip.xml!Q407</f>
        <v>equipment/12017.png</v>
      </c>
      <c r="N403" s="16" t="str">
        <f>equip.xml!P407</f>
        <v>10000_1002_70000,30000_30001_1,30000_30002_1,30000_30003_1</v>
      </c>
      <c r="O403">
        <f>equip.xml!R407</f>
        <v>0</v>
      </c>
    </row>
    <row r="404" spans="1:15">
      <c r="A404" s="14">
        <f>equip.xml!A408</f>
        <v>10901050</v>
      </c>
      <c r="B404" s="14">
        <f>equip.xml!B408</f>
        <v>1</v>
      </c>
      <c r="C404" s="14" t="str">
        <f>equip.xml!C408</f>
        <v>湮灭之剑</v>
      </c>
      <c r="D404" s="14" t="str">
        <f>equip.xml!D408</f>
        <v>主手武器</v>
      </c>
      <c r="E404" s="14">
        <f>equip.xml!E408</f>
        <v>5</v>
      </c>
      <c r="F404" s="14">
        <f>equip.xml!F408</f>
        <v>1</v>
      </c>
      <c r="G404" s="14">
        <f>equip.xml!G408</f>
        <v>90</v>
      </c>
      <c r="H404" s="14" t="str">
        <f>equip.xml!H408</f>
        <v>1,1001</v>
      </c>
      <c r="I404" s="14">
        <f>equip.xml!J408</f>
        <v>5</v>
      </c>
      <c r="J404" s="14">
        <f>equip.xml!K408</f>
        <v>0</v>
      </c>
      <c r="K404" s="14">
        <f>equip.xml!L408</f>
        <v>0</v>
      </c>
      <c r="L404" s="14" t="str">
        <f>equip.xml!M408</f>
        <v>103_5471_5471,104_10942_10942</v>
      </c>
      <c r="M404" s="17" t="str">
        <f>equip.xml!Q408</f>
        <v>equipment/101101.png</v>
      </c>
      <c r="N404" s="16" t="str">
        <f>equip.xml!P408</f>
        <v>10000_1002_70000,30000_30001_1,30000_30002_1,30000_30003_1</v>
      </c>
      <c r="O404">
        <f>equip.xml!R408</f>
        <v>0</v>
      </c>
    </row>
    <row r="405" spans="1:15">
      <c r="A405" s="14">
        <f>equip.xml!A409</f>
        <v>10901051</v>
      </c>
      <c r="B405" s="14">
        <f>equip.xml!B409</f>
        <v>0</v>
      </c>
      <c r="C405" s="14" t="str">
        <f>equip.xml!C409</f>
        <v>封印之剑</v>
      </c>
      <c r="D405" s="14" t="str">
        <f>equip.xml!D409</f>
        <v>主手武器</v>
      </c>
      <c r="E405" s="14">
        <f>equip.xml!E409</f>
        <v>5</v>
      </c>
      <c r="F405" s="14">
        <f>equip.xml!F409</f>
        <v>1</v>
      </c>
      <c r="G405" s="14">
        <f>equip.xml!G409</f>
        <v>90</v>
      </c>
      <c r="H405" s="14" t="str">
        <f>equip.xml!H409</f>
        <v>1,1001</v>
      </c>
      <c r="I405" s="14">
        <f>equip.xml!J409</f>
        <v>5</v>
      </c>
      <c r="J405" s="14">
        <f>equip.xml!K409</f>
        <v>0</v>
      </c>
      <c r="K405" s="14">
        <f>equip.xml!L409</f>
        <v>0</v>
      </c>
      <c r="L405" s="14" t="str">
        <f>equip.xml!M409</f>
        <v>103_5719_5719,104_11438_11438</v>
      </c>
      <c r="M405" s="17" t="str">
        <f>equip.xml!Q409</f>
        <v>equipment/1131.png</v>
      </c>
      <c r="N405" s="16" t="str">
        <f>equip.xml!P409</f>
        <v>10000_1002_70000,30000_30001_1,30000_30002_1,30000_30003_1</v>
      </c>
      <c r="O405">
        <f>equip.xml!R409</f>
        <v>0</v>
      </c>
    </row>
    <row r="406" spans="1:15">
      <c r="A406" s="14">
        <f>equip.xml!A410</f>
        <v>10901060</v>
      </c>
      <c r="B406" s="14">
        <f>equip.xml!B410</f>
        <v>1</v>
      </c>
      <c r="C406" s="14" t="str">
        <f>equip.xml!C410</f>
        <v>灾祸之盾</v>
      </c>
      <c r="D406" s="14" t="str">
        <f>equip.xml!D410</f>
        <v>副手武器</v>
      </c>
      <c r="E406" s="14">
        <f>equip.xml!E410</f>
        <v>6</v>
      </c>
      <c r="F406" s="14">
        <f>equip.xml!F410</f>
        <v>1</v>
      </c>
      <c r="G406" s="14">
        <f>equip.xml!G410</f>
        <v>90</v>
      </c>
      <c r="H406" s="14" t="str">
        <f>equip.xml!H410</f>
        <v>1,1001</v>
      </c>
      <c r="I406" s="14">
        <f>equip.xml!J410</f>
        <v>5</v>
      </c>
      <c r="J406" s="14">
        <f>equip.xml!K410</f>
        <v>0</v>
      </c>
      <c r="K406" s="14">
        <f>equip.xml!L410</f>
        <v>0</v>
      </c>
      <c r="L406" s="14" t="str">
        <f>equip.xml!M410</f>
        <v>105_4924_4924</v>
      </c>
      <c r="M406" s="17" t="str">
        <f>equip.xml!Q410</f>
        <v>equipment/2125.png</v>
      </c>
      <c r="N406" s="16" t="str">
        <f>equip.xml!P410</f>
        <v>10000_1002_70000,30000_30001_1,30000_30002_1,30000_30003_1</v>
      </c>
      <c r="O406">
        <f>equip.xml!R410</f>
        <v>0</v>
      </c>
    </row>
    <row r="407" spans="1:15">
      <c r="A407" s="14">
        <f>equip.xml!A411</f>
        <v>10901061</v>
      </c>
      <c r="B407" s="14">
        <f>equip.xml!B411</f>
        <v>0</v>
      </c>
      <c r="C407" s="14" t="str">
        <f>equip.xml!C411</f>
        <v>堕神之盾</v>
      </c>
      <c r="D407" s="14" t="str">
        <f>equip.xml!D411</f>
        <v>副手武器</v>
      </c>
      <c r="E407" s="14">
        <f>equip.xml!E411</f>
        <v>6</v>
      </c>
      <c r="F407" s="14">
        <f>equip.xml!F411</f>
        <v>1</v>
      </c>
      <c r="G407" s="14">
        <f>equip.xml!G411</f>
        <v>90</v>
      </c>
      <c r="H407" s="14" t="str">
        <f>equip.xml!H411</f>
        <v>1,1001</v>
      </c>
      <c r="I407" s="14">
        <f>equip.xml!J411</f>
        <v>5</v>
      </c>
      <c r="J407" s="14">
        <f>equip.xml!K411</f>
        <v>0</v>
      </c>
      <c r="K407" s="14">
        <f>equip.xml!L411</f>
        <v>0</v>
      </c>
      <c r="L407" s="14" t="str">
        <f>equip.xml!M411</f>
        <v>105_5147_5147</v>
      </c>
      <c r="M407" s="17" t="str">
        <f>equip.xml!Q411</f>
        <v>equipment/102101.png</v>
      </c>
      <c r="N407" s="16" t="str">
        <f>equip.xml!P411</f>
        <v>10000_1002_70000,30000_30001_1,30000_30002_1,30000_30003_1</v>
      </c>
      <c r="O407">
        <f>equip.xml!R411</f>
        <v>0</v>
      </c>
    </row>
    <row r="408" spans="1:15">
      <c r="A408" s="14">
        <f>equip.xml!A412</f>
        <v>10902050</v>
      </c>
      <c r="B408" s="14">
        <f>equip.xml!B412</f>
        <v>1</v>
      </c>
      <c r="C408" s="14" t="str">
        <f>equip.xml!C412</f>
        <v>破晓之弓</v>
      </c>
      <c r="D408" s="14" t="str">
        <f>equip.xml!D412</f>
        <v>主手武器</v>
      </c>
      <c r="E408" s="14">
        <f>equip.xml!E412</f>
        <v>5</v>
      </c>
      <c r="F408" s="14">
        <f>equip.xml!F412</f>
        <v>1</v>
      </c>
      <c r="G408" s="14">
        <f>equip.xml!G412</f>
        <v>90</v>
      </c>
      <c r="H408" s="14" t="str">
        <f>equip.xml!H412</f>
        <v>2,1002</v>
      </c>
      <c r="I408" s="14">
        <f>equip.xml!J412</f>
        <v>5</v>
      </c>
      <c r="J408" s="14">
        <f>equip.xml!K412</f>
        <v>0</v>
      </c>
      <c r="K408" s="14">
        <f>equip.xml!L412</f>
        <v>0</v>
      </c>
      <c r="L408" s="14" t="str">
        <f>equip.xml!M412</f>
        <v>103_5471_5471,104_10942_10942</v>
      </c>
      <c r="M408" s="17" t="str">
        <f>equip.xml!Q412</f>
        <v>equipment/1231.png</v>
      </c>
      <c r="N408" s="16" t="str">
        <f>equip.xml!P412</f>
        <v>10000_1002_70000,30000_30001_1,30000_30002_1,30000_30003_1</v>
      </c>
      <c r="O408">
        <f>equip.xml!R412</f>
        <v>0</v>
      </c>
    </row>
    <row r="409" spans="1:15">
      <c r="A409" s="14">
        <f>equip.xml!A413</f>
        <v>10902051</v>
      </c>
      <c r="B409" s="14">
        <f>equip.xml!B413</f>
        <v>0</v>
      </c>
      <c r="C409" s="14" t="str">
        <f>equip.xml!C413</f>
        <v>彗星之击</v>
      </c>
      <c r="D409" s="14" t="str">
        <f>equip.xml!D413</f>
        <v>主手武器</v>
      </c>
      <c r="E409" s="14">
        <f>equip.xml!E413</f>
        <v>5</v>
      </c>
      <c r="F409" s="14">
        <f>equip.xml!F413</f>
        <v>1</v>
      </c>
      <c r="G409" s="14">
        <f>equip.xml!G413</f>
        <v>90</v>
      </c>
      <c r="H409" s="14" t="str">
        <f>equip.xml!H413</f>
        <v>2,1002</v>
      </c>
      <c r="I409" s="14">
        <f>equip.xml!J413</f>
        <v>5</v>
      </c>
      <c r="J409" s="14">
        <f>equip.xml!K413</f>
        <v>0</v>
      </c>
      <c r="K409" s="14">
        <f>equip.xml!L413</f>
        <v>0</v>
      </c>
      <c r="L409" s="14" t="str">
        <f>equip.xml!M413</f>
        <v>103_5719_5719,104_11438_11438</v>
      </c>
      <c r="M409" s="17" t="str">
        <f>equip.xml!Q413</f>
        <v>equipment/101201.png</v>
      </c>
      <c r="N409" s="16" t="str">
        <f>equip.xml!P413</f>
        <v>10000_1002_70000,30000_30001_1,30000_30002_1,30000_30003_1</v>
      </c>
      <c r="O409">
        <f>equip.xml!R413</f>
        <v>0</v>
      </c>
    </row>
    <row r="410" spans="1:15">
      <c r="A410" s="14">
        <f>equip.xml!A414</f>
        <v>10902060</v>
      </c>
      <c r="B410" s="14">
        <f>equip.xml!B414</f>
        <v>1</v>
      </c>
      <c r="C410" s="14" t="str">
        <f>equip.xml!C414</f>
        <v>灵痕箭袋</v>
      </c>
      <c r="D410" s="14" t="str">
        <f>equip.xml!D414</f>
        <v>副手武器</v>
      </c>
      <c r="E410" s="14">
        <f>equip.xml!E414</f>
        <v>6</v>
      </c>
      <c r="F410" s="14">
        <f>equip.xml!F414</f>
        <v>1</v>
      </c>
      <c r="G410" s="14">
        <f>equip.xml!G414</f>
        <v>90</v>
      </c>
      <c r="H410" s="14" t="str">
        <f>equip.xml!H414</f>
        <v>2,1002</v>
      </c>
      <c r="I410" s="14">
        <f>equip.xml!J414</f>
        <v>5</v>
      </c>
      <c r="J410" s="14">
        <f>equip.xml!K414</f>
        <v>0</v>
      </c>
      <c r="K410" s="14">
        <f>equip.xml!L414</f>
        <v>0</v>
      </c>
      <c r="L410" s="14" t="str">
        <f>equip.xml!M414</f>
        <v>108_4924_4924</v>
      </c>
      <c r="M410" s="17" t="str">
        <f>equip.xml!Q414</f>
        <v>equipment/2225.png</v>
      </c>
      <c r="N410" s="16" t="str">
        <f>equip.xml!P414</f>
        <v>10000_1002_70000,30000_30001_1,30000_30002_1,30000_30003_1</v>
      </c>
      <c r="O410">
        <f>equip.xml!R414</f>
        <v>0</v>
      </c>
    </row>
    <row r="411" spans="1:15">
      <c r="A411" s="14">
        <f>equip.xml!A415</f>
        <v>10902061</v>
      </c>
      <c r="B411" s="14">
        <f>equip.xml!B415</f>
        <v>0</v>
      </c>
      <c r="C411" s="14" t="str">
        <f>equip.xml!C415</f>
        <v>星坠箭筒</v>
      </c>
      <c r="D411" s="14" t="str">
        <f>equip.xml!D415</f>
        <v>副手武器</v>
      </c>
      <c r="E411" s="14">
        <f>equip.xml!E415</f>
        <v>6</v>
      </c>
      <c r="F411" s="14">
        <f>equip.xml!F415</f>
        <v>1</v>
      </c>
      <c r="G411" s="14">
        <f>equip.xml!G415</f>
        <v>90</v>
      </c>
      <c r="H411" s="14" t="str">
        <f>equip.xml!H415</f>
        <v>2,1002</v>
      </c>
      <c r="I411" s="14">
        <f>equip.xml!J415</f>
        <v>5</v>
      </c>
      <c r="J411" s="14">
        <f>equip.xml!K415</f>
        <v>0</v>
      </c>
      <c r="K411" s="14">
        <f>equip.xml!L415</f>
        <v>0</v>
      </c>
      <c r="L411" s="14" t="str">
        <f>equip.xml!M415</f>
        <v>108_5147_5147</v>
      </c>
      <c r="M411" s="17" t="str">
        <f>equip.xml!Q415</f>
        <v>equipment/2217.png</v>
      </c>
      <c r="N411" s="16" t="str">
        <f>equip.xml!P415</f>
        <v>10000_1002_70000,30000_30001_1,30000_30002_1,30000_30003_1</v>
      </c>
      <c r="O411">
        <f>equip.xml!R415</f>
        <v>0</v>
      </c>
    </row>
    <row r="412" spans="1:15">
      <c r="A412" s="14">
        <f>equip.xml!A416</f>
        <v>10903050</v>
      </c>
      <c r="B412" s="14">
        <f>equip.xml!B416</f>
        <v>1</v>
      </c>
      <c r="C412" s="14" t="str">
        <f>equip.xml!C416</f>
        <v>观察者之杖</v>
      </c>
      <c r="D412" s="14" t="str">
        <f>equip.xml!D416</f>
        <v>主手武器</v>
      </c>
      <c r="E412" s="14">
        <f>equip.xml!E416</f>
        <v>5</v>
      </c>
      <c r="F412" s="14">
        <f>equip.xml!F416</f>
        <v>1</v>
      </c>
      <c r="G412" s="14">
        <f>equip.xml!G416</f>
        <v>90</v>
      </c>
      <c r="H412" s="14" t="str">
        <f>equip.xml!H416</f>
        <v>3,1003</v>
      </c>
      <c r="I412" s="14">
        <f>equip.xml!J416</f>
        <v>5</v>
      </c>
      <c r="J412" s="14">
        <f>equip.xml!K416</f>
        <v>0</v>
      </c>
      <c r="K412" s="14">
        <f>equip.xml!L416</f>
        <v>0</v>
      </c>
      <c r="L412" s="14" t="str">
        <f>equip.xml!M416</f>
        <v>103_5471_5471,104_10942_10942</v>
      </c>
      <c r="M412" s="17" t="str">
        <f>equip.xml!Q416</f>
        <v>equipment/1330.png</v>
      </c>
      <c r="N412" s="16" t="str">
        <f>equip.xml!P416</f>
        <v>10000_1002_70000,30000_30001_1,30000_30002_1,30000_30003_1</v>
      </c>
      <c r="O412">
        <f>equip.xml!R416</f>
        <v>0</v>
      </c>
    </row>
    <row r="413" spans="1:15">
      <c r="A413" s="14">
        <f>equip.xml!A417</f>
        <v>10903051</v>
      </c>
      <c r="B413" s="14">
        <f>equip.xml!B417</f>
        <v>0</v>
      </c>
      <c r="C413" s="14" t="str">
        <f>equip.xml!C417</f>
        <v>星辰权杖</v>
      </c>
      <c r="D413" s="14" t="str">
        <f>equip.xml!D417</f>
        <v>主手武器</v>
      </c>
      <c r="E413" s="14">
        <f>equip.xml!E417</f>
        <v>5</v>
      </c>
      <c r="F413" s="14">
        <f>equip.xml!F417</f>
        <v>1</v>
      </c>
      <c r="G413" s="14">
        <f>equip.xml!G417</f>
        <v>90</v>
      </c>
      <c r="H413" s="14" t="str">
        <f>equip.xml!H417</f>
        <v>3,1003</v>
      </c>
      <c r="I413" s="14">
        <f>equip.xml!J417</f>
        <v>5</v>
      </c>
      <c r="J413" s="14">
        <f>equip.xml!K417</f>
        <v>0</v>
      </c>
      <c r="K413" s="14">
        <f>equip.xml!L417</f>
        <v>0</v>
      </c>
      <c r="L413" s="14" t="str">
        <f>equip.xml!M417</f>
        <v>103_5719_5719,104_11438_11438</v>
      </c>
      <c r="M413" s="17" t="str">
        <f>equip.xml!Q417</f>
        <v>equipment/1328.png</v>
      </c>
      <c r="N413" s="16" t="str">
        <f>equip.xml!P417</f>
        <v>10000_1002_70000,30000_30001_1,30000_30002_1,30000_30003_1</v>
      </c>
      <c r="O413">
        <f>equip.xml!R417</f>
        <v>0</v>
      </c>
    </row>
    <row r="414" spans="1:15">
      <c r="A414" s="14">
        <f>equip.xml!A418</f>
        <v>10903060</v>
      </c>
      <c r="B414" s="14">
        <f>equip.xml!B418</f>
        <v>1</v>
      </c>
      <c r="C414" s="14" t="str">
        <f>equip.xml!C418</f>
        <v>云河指南</v>
      </c>
      <c r="D414" s="14" t="str">
        <f>equip.xml!D418</f>
        <v>副手武器</v>
      </c>
      <c r="E414" s="14">
        <f>equip.xml!E418</f>
        <v>6</v>
      </c>
      <c r="F414" s="14">
        <f>equip.xml!F418</f>
        <v>1</v>
      </c>
      <c r="G414" s="14">
        <f>equip.xml!G418</f>
        <v>90</v>
      </c>
      <c r="H414" s="14" t="str">
        <f>equip.xml!H418</f>
        <v>3,1003</v>
      </c>
      <c r="I414" s="14">
        <f>equip.xml!J418</f>
        <v>5</v>
      </c>
      <c r="J414" s="14">
        <f>equip.xml!K418</f>
        <v>0</v>
      </c>
      <c r="K414" s="14">
        <f>equip.xml!L418</f>
        <v>0</v>
      </c>
      <c r="L414" s="14" t="str">
        <f>equip.xml!M418</f>
        <v>102_4040_4040</v>
      </c>
      <c r="M414" s="17" t="str">
        <f>equip.xml!Q418</f>
        <v>equipment/2325.png</v>
      </c>
      <c r="N414" s="16" t="str">
        <f>equip.xml!P418</f>
        <v>10000_1002_70000,30000_30001_1,30000_30002_1,30000_30003_1</v>
      </c>
      <c r="O414">
        <f>equip.xml!R418</f>
        <v>0</v>
      </c>
    </row>
    <row r="415" spans="1:15">
      <c r="A415" s="14">
        <f>equip.xml!A419</f>
        <v>10903061</v>
      </c>
      <c r="B415" s="14">
        <f>equip.xml!B419</f>
        <v>0</v>
      </c>
      <c r="C415" s="14" t="str">
        <f>equip.xml!C419</f>
        <v>星界之书</v>
      </c>
      <c r="D415" s="14" t="str">
        <f>equip.xml!D419</f>
        <v>副手武器</v>
      </c>
      <c r="E415" s="14">
        <f>equip.xml!E419</f>
        <v>6</v>
      </c>
      <c r="F415" s="14">
        <f>equip.xml!F419</f>
        <v>1</v>
      </c>
      <c r="G415" s="14">
        <f>equip.xml!G419</f>
        <v>90</v>
      </c>
      <c r="H415" s="14" t="str">
        <f>equip.xml!H419</f>
        <v>3,1003</v>
      </c>
      <c r="I415" s="14">
        <f>equip.xml!J419</f>
        <v>5</v>
      </c>
      <c r="J415" s="14">
        <f>equip.xml!K419</f>
        <v>0</v>
      </c>
      <c r="K415" s="14">
        <f>equip.xml!L419</f>
        <v>0</v>
      </c>
      <c r="L415" s="14" t="str">
        <f>equip.xml!M419</f>
        <v>102_4140_4140</v>
      </c>
      <c r="M415" s="17" t="str">
        <f>equip.xml!Q419</f>
        <v>equipment/2324.png</v>
      </c>
      <c r="N415" s="16" t="str">
        <f>equip.xml!P419</f>
        <v>10000_1002_70000,30000_30001_1,30000_30002_1,30000_30003_1</v>
      </c>
      <c r="O415">
        <f>equip.xml!R419</f>
        <v>0</v>
      </c>
    </row>
    <row r="416" spans="1:15">
      <c r="A416" s="14">
        <f>equip.xml!A420</f>
        <v>10900040</v>
      </c>
      <c r="B416" s="14">
        <f>equip.xml!B420</f>
        <v>1</v>
      </c>
      <c r="C416" s="14" t="str">
        <f>equip.xml!C420</f>
        <v>坚毅胸甲</v>
      </c>
      <c r="D416" s="14" t="str">
        <f>equip.xml!D420</f>
        <v>胸甲</v>
      </c>
      <c r="E416" s="14">
        <f>equip.xml!E420</f>
        <v>4</v>
      </c>
      <c r="F416" s="14">
        <f>equip.xml!F420</f>
        <v>1</v>
      </c>
      <c r="G416" s="14">
        <f>equip.xml!G420</f>
        <v>90</v>
      </c>
      <c r="H416" s="14">
        <f>equip.xml!H420</f>
        <v>0</v>
      </c>
      <c r="I416" s="14">
        <f>equip.xml!J420</f>
        <v>5</v>
      </c>
      <c r="J416" s="14">
        <f>equip.xml!K420</f>
        <v>0</v>
      </c>
      <c r="K416" s="14">
        <f>equip.xml!L420</f>
        <v>0</v>
      </c>
      <c r="L416" s="14" t="str">
        <f>equip.xml!M420</f>
        <v>105_3447_3447</v>
      </c>
      <c r="M416" s="17" t="str">
        <f>equip.xml!Q420</f>
        <v>equipment/5024.png</v>
      </c>
      <c r="N416" s="16" t="str">
        <f>equip.xml!P420</f>
        <v>10000_1002_70000,30000_30001_1,30000_30002_1,30000_30003_1</v>
      </c>
      <c r="O416">
        <f>equip.xml!R420</f>
        <v>0</v>
      </c>
    </row>
    <row r="417" spans="1:15">
      <c r="A417" s="14">
        <f>equip.xml!A421</f>
        <v>10900041</v>
      </c>
      <c r="B417" s="14">
        <f>equip.xml!B421</f>
        <v>0</v>
      </c>
      <c r="C417" s="14" t="str">
        <f>equip.xml!C421</f>
        <v>群山之拥</v>
      </c>
      <c r="D417" s="14" t="str">
        <f>equip.xml!D421</f>
        <v>胸甲</v>
      </c>
      <c r="E417" s="14">
        <f>equip.xml!E421</f>
        <v>4</v>
      </c>
      <c r="F417" s="14">
        <f>equip.xml!F421</f>
        <v>1</v>
      </c>
      <c r="G417" s="14">
        <f>equip.xml!G421</f>
        <v>90</v>
      </c>
      <c r="H417" s="14">
        <f>equip.xml!H421</f>
        <v>0</v>
      </c>
      <c r="I417" s="14">
        <f>equip.xml!J421</f>
        <v>5</v>
      </c>
      <c r="J417" s="14">
        <f>equip.xml!K421</f>
        <v>0</v>
      </c>
      <c r="K417" s="14">
        <f>equip.xml!L421</f>
        <v>0</v>
      </c>
      <c r="L417" s="14" t="str">
        <f>equip.xml!M421</f>
        <v>105_3603_3603</v>
      </c>
      <c r="M417" s="17" t="str">
        <f>equip.xml!Q421</f>
        <v>equipment/5001.png</v>
      </c>
      <c r="N417" s="16" t="str">
        <f>equip.xml!P421</f>
        <v>10000_1002_70000,30000_30001_1,30000_30002_1,30000_30003_1</v>
      </c>
      <c r="O417">
        <f>equip.xml!R421</f>
        <v>0</v>
      </c>
    </row>
    <row r="418" spans="1:15">
      <c r="A418" s="14">
        <f>equip.xml!A422</f>
        <v>10900070</v>
      </c>
      <c r="B418" s="14">
        <f>equip.xml!B422</f>
        <v>1</v>
      </c>
      <c r="C418" s="14" t="str">
        <f>equip.xml!C422</f>
        <v>复苏护腿</v>
      </c>
      <c r="D418" s="14" t="str">
        <f>equip.xml!D422</f>
        <v>护腿</v>
      </c>
      <c r="E418" s="14">
        <f>equip.xml!E422</f>
        <v>7</v>
      </c>
      <c r="F418" s="14">
        <f>equip.xml!F422</f>
        <v>1</v>
      </c>
      <c r="G418" s="14">
        <f>equip.xml!G422</f>
        <v>90</v>
      </c>
      <c r="H418" s="14">
        <f>equip.xml!H422</f>
        <v>0</v>
      </c>
      <c r="I418" s="14">
        <f>equip.xml!J422</f>
        <v>5</v>
      </c>
      <c r="J418" s="14">
        <f>equip.xml!K422</f>
        <v>0</v>
      </c>
      <c r="K418" s="14">
        <f>equip.xml!L422</f>
        <v>0</v>
      </c>
      <c r="L418" s="14" t="str">
        <f>equip.xml!M422</f>
        <v>105_3447_3447</v>
      </c>
      <c r="M418" s="17" t="str">
        <f>equip.xml!Q422</f>
        <v>equipment/7016.png</v>
      </c>
      <c r="N418" s="16" t="str">
        <f>equip.xml!P422</f>
        <v>10000_1002_70000,30000_30001_1,30000_30002_1,30000_30003_1</v>
      </c>
      <c r="O418">
        <f>equip.xml!R422</f>
        <v>0</v>
      </c>
    </row>
    <row r="419" spans="1:15">
      <c r="A419" s="14">
        <f>equip.xml!A423</f>
        <v>10900071</v>
      </c>
      <c r="B419" s="14">
        <f>equip.xml!B423</f>
        <v>0</v>
      </c>
      <c r="C419" s="14" t="str">
        <f>equip.xml!C423</f>
        <v>虔信腿甲</v>
      </c>
      <c r="D419" s="14" t="str">
        <f>equip.xml!D423</f>
        <v>护腿</v>
      </c>
      <c r="E419" s="14">
        <f>equip.xml!E423</f>
        <v>7</v>
      </c>
      <c r="F419" s="14">
        <f>equip.xml!F423</f>
        <v>1</v>
      </c>
      <c r="G419" s="14">
        <f>equip.xml!G423</f>
        <v>90</v>
      </c>
      <c r="H419" s="14">
        <f>equip.xml!H423</f>
        <v>0</v>
      </c>
      <c r="I419" s="14">
        <f>equip.xml!J423</f>
        <v>5</v>
      </c>
      <c r="J419" s="14">
        <f>equip.xml!K423</f>
        <v>0</v>
      </c>
      <c r="K419" s="14">
        <f>equip.xml!L423</f>
        <v>0</v>
      </c>
      <c r="L419" s="14" t="str">
        <f>equip.xml!M423</f>
        <v>105_3603_3603</v>
      </c>
      <c r="M419" s="17" t="str">
        <f>equip.xml!Q423</f>
        <v>equipment/7001.png</v>
      </c>
      <c r="N419" s="16" t="str">
        <f>equip.xml!P423</f>
        <v>10000_1002_70000,30000_30001_1,30000_30002_1,30000_30003_1</v>
      </c>
      <c r="O419">
        <f>equip.xml!R423</f>
        <v>0</v>
      </c>
    </row>
    <row r="420" spans="1:15">
      <c r="A420" s="14">
        <f>equip.xml!A424</f>
        <v>10950010</v>
      </c>
      <c r="B420" s="14">
        <f>equip.xml!B424</f>
        <v>1</v>
      </c>
      <c r="C420" s="14" t="str">
        <f>equip.xml!C424</f>
        <v>魂铸头盔</v>
      </c>
      <c r="D420" s="14" t="str">
        <f>equip.xml!D424</f>
        <v>头盔</v>
      </c>
      <c r="E420" s="14">
        <f>equip.xml!E424</f>
        <v>1</v>
      </c>
      <c r="F420" s="14">
        <f>equip.xml!F424</f>
        <v>1</v>
      </c>
      <c r="G420" s="14">
        <f>equip.xml!G424</f>
        <v>95</v>
      </c>
      <c r="H420" s="14">
        <f>equip.xml!H424</f>
        <v>0</v>
      </c>
      <c r="I420" s="14">
        <f>equip.xml!J424</f>
        <v>5</v>
      </c>
      <c r="J420" s="14">
        <f>equip.xml!K424</f>
        <v>0</v>
      </c>
      <c r="K420" s="14">
        <f>equip.xml!L424</f>
        <v>0</v>
      </c>
      <c r="L420" s="14" t="str">
        <f>equip.xml!M424</f>
        <v>106_5346_5346</v>
      </c>
      <c r="M420" s="17" t="str">
        <f>equip.xml!Q424</f>
        <v>equipment/3001.png</v>
      </c>
      <c r="N420" s="16" t="str">
        <f>equip.xml!P424</f>
        <v>10000_1002_70000,30000_30001_1,30000_30002_1,30000_30003_1</v>
      </c>
      <c r="O420">
        <f>equip.xml!R424</f>
        <v>0</v>
      </c>
    </row>
    <row r="421" spans="1:15">
      <c r="A421" s="14">
        <f>equip.xml!A425</f>
        <v>10950020</v>
      </c>
      <c r="B421" s="14">
        <f>equip.xml!B425</f>
        <v>1</v>
      </c>
      <c r="C421" s="14" t="str">
        <f>equip.xml!C425</f>
        <v>云霄之环</v>
      </c>
      <c r="D421" s="14" t="str">
        <f>equip.xml!D425</f>
        <v>戒指</v>
      </c>
      <c r="E421" s="14">
        <f>equip.xml!E425</f>
        <v>2</v>
      </c>
      <c r="F421" s="14">
        <f>equip.xml!F425</f>
        <v>1</v>
      </c>
      <c r="G421" s="14">
        <f>equip.xml!G425</f>
        <v>95</v>
      </c>
      <c r="H421" s="14">
        <f>equip.xml!H425</f>
        <v>0</v>
      </c>
      <c r="I421" s="14">
        <f>equip.xml!J425</f>
        <v>5</v>
      </c>
      <c r="J421" s="14">
        <f>equip.xml!K425</f>
        <v>0</v>
      </c>
      <c r="K421" s="14">
        <f>equip.xml!L425</f>
        <v>0</v>
      </c>
      <c r="L421" s="14" t="str">
        <f>equip.xml!M425</f>
        <v>102_2240_2240</v>
      </c>
      <c r="M421" s="17" t="str">
        <f>equip.xml!Q425</f>
        <v>equipment/14001.png</v>
      </c>
      <c r="N421" s="16" t="str">
        <f>equip.xml!P425</f>
        <v>10000_1002_70000,30000_30001_1,30000_30002_1,30000_30003_1</v>
      </c>
      <c r="O421">
        <f>equip.xml!R425</f>
        <v>0</v>
      </c>
    </row>
    <row r="422" spans="1:15">
      <c r="A422" s="14">
        <f>equip.xml!A426</f>
        <v>10950030</v>
      </c>
      <c r="B422" s="14">
        <f>equip.xml!B426</f>
        <v>1</v>
      </c>
      <c r="C422" s="14" t="str">
        <f>equip.xml!C426</f>
        <v>破天者腰带</v>
      </c>
      <c r="D422" s="14" t="str">
        <f>equip.xml!D426</f>
        <v>腰带</v>
      </c>
      <c r="E422" s="14">
        <f>equip.xml!E426</f>
        <v>3</v>
      </c>
      <c r="F422" s="14">
        <f>equip.xml!F426</f>
        <v>1</v>
      </c>
      <c r="G422" s="14">
        <f>equip.xml!G426</f>
        <v>95</v>
      </c>
      <c r="H422" s="14">
        <f>equip.xml!H426</f>
        <v>0</v>
      </c>
      <c r="I422" s="14">
        <f>equip.xml!J426</f>
        <v>5</v>
      </c>
      <c r="J422" s="14">
        <f>equip.xml!K426</f>
        <v>0</v>
      </c>
      <c r="K422" s="14">
        <f>equip.xml!L426</f>
        <v>0</v>
      </c>
      <c r="L422" s="14" t="str">
        <f>equip.xml!M426</f>
        <v>101_32760_32760</v>
      </c>
      <c r="M422" s="17" t="str">
        <f>equip.xml!Q426</f>
        <v>equipment/6001.png</v>
      </c>
      <c r="N422" s="16" t="str">
        <f>equip.xml!P426</f>
        <v>10000_1002_70000,30000_30001_1,30000_30002_1,30000_30003_1</v>
      </c>
      <c r="O422">
        <f>equip.xml!R426</f>
        <v>0</v>
      </c>
    </row>
    <row r="423" spans="1:15">
      <c r="A423" s="14">
        <f>equip.xml!A427</f>
        <v>10950080</v>
      </c>
      <c r="B423" s="14">
        <f>equip.xml!B427</f>
        <v>1</v>
      </c>
      <c r="C423" s="14" t="str">
        <f>equip.xml!C427</f>
        <v>圣洁怒火之靴</v>
      </c>
      <c r="D423" s="14" t="str">
        <f>equip.xml!D427</f>
        <v>鞋子</v>
      </c>
      <c r="E423" s="14">
        <f>equip.xml!E427</f>
        <v>8</v>
      </c>
      <c r="F423" s="14">
        <f>equip.xml!F427</f>
        <v>1</v>
      </c>
      <c r="G423" s="14">
        <f>equip.xml!G427</f>
        <v>95</v>
      </c>
      <c r="H423" s="14">
        <f>equip.xml!H427</f>
        <v>0</v>
      </c>
      <c r="I423" s="14">
        <f>equip.xml!J427</f>
        <v>5</v>
      </c>
      <c r="J423" s="14">
        <f>equip.xml!K427</f>
        <v>0</v>
      </c>
      <c r="K423" s="14">
        <f>equip.xml!L427</f>
        <v>0</v>
      </c>
      <c r="L423" s="14" t="str">
        <f>equip.xml!M427</f>
        <v>110_786_786</v>
      </c>
      <c r="M423" s="17" t="str">
        <f>equip.xml!Q427</f>
        <v>equipment/8001.png</v>
      </c>
      <c r="N423" s="16" t="str">
        <f>equip.xml!P427</f>
        <v>10000_1002_70000,30000_30001_1,30000_30002_1,30000_30003_1</v>
      </c>
      <c r="O423">
        <f>equip.xml!R427</f>
        <v>0</v>
      </c>
    </row>
    <row r="424" spans="1:15">
      <c r="A424" s="14">
        <f>equip.xml!A428</f>
        <v>10950090</v>
      </c>
      <c r="B424" s="14">
        <f>equip.xml!B428</f>
        <v>1</v>
      </c>
      <c r="C424" s="14" t="str">
        <f>equip.xml!C428</f>
        <v>破灭之手</v>
      </c>
      <c r="D424" s="14" t="str">
        <f>equip.xml!D428</f>
        <v>手套</v>
      </c>
      <c r="E424" s="14">
        <f>equip.xml!E428</f>
        <v>9</v>
      </c>
      <c r="F424" s="14">
        <f>equip.xml!F428</f>
        <v>1</v>
      </c>
      <c r="G424" s="14">
        <f>equip.xml!G428</f>
        <v>95</v>
      </c>
      <c r="H424" s="14">
        <f>equip.xml!H428</f>
        <v>0</v>
      </c>
      <c r="I424" s="14">
        <f>equip.xml!J428</f>
        <v>5</v>
      </c>
      <c r="J424" s="14">
        <f>equip.xml!K428</f>
        <v>0</v>
      </c>
      <c r="K424" s="14">
        <f>equip.xml!L428</f>
        <v>0</v>
      </c>
      <c r="L424" s="14" t="str">
        <f>equip.xml!M428</f>
        <v>108_6853_6853</v>
      </c>
      <c r="M424" s="17" t="str">
        <f>equip.xml!Q428</f>
        <v>equipment/10001.png</v>
      </c>
      <c r="N424" s="16" t="str">
        <f>equip.xml!P428</f>
        <v>10000_1002_70000,30000_30001_1,30000_30002_1,30000_30003_1</v>
      </c>
      <c r="O424">
        <f>equip.xml!R428</f>
        <v>0</v>
      </c>
    </row>
    <row r="425" spans="1:15">
      <c r="A425" s="14">
        <f>equip.xml!A429</f>
        <v>10950100</v>
      </c>
      <c r="B425" s="14">
        <f>equip.xml!B429</f>
        <v>1</v>
      </c>
      <c r="C425" s="14" t="str">
        <f>equip.xml!C429</f>
        <v>圣灵之佑</v>
      </c>
      <c r="D425" s="14" t="str">
        <f>equip.xml!D429</f>
        <v>项链</v>
      </c>
      <c r="E425" s="14">
        <f>equip.xml!E429</f>
        <v>10</v>
      </c>
      <c r="F425" s="14">
        <f>equip.xml!F429</f>
        <v>1</v>
      </c>
      <c r="G425" s="14">
        <f>equip.xml!G429</f>
        <v>95</v>
      </c>
      <c r="H425" s="14">
        <f>equip.xml!H429</f>
        <v>0</v>
      </c>
      <c r="I425" s="14">
        <f>equip.xml!J429</f>
        <v>5</v>
      </c>
      <c r="J425" s="14">
        <f>equip.xml!K429</f>
        <v>0</v>
      </c>
      <c r="K425" s="14">
        <f>equip.xml!L429</f>
        <v>0</v>
      </c>
      <c r="L425" s="14" t="str">
        <f>equip.xml!M429</f>
        <v>107_5346_5346</v>
      </c>
      <c r="M425" s="17" t="str">
        <f>equip.xml!Q429</f>
        <v>equipment/12001.png</v>
      </c>
      <c r="N425" s="16" t="str">
        <f>equip.xml!P429</f>
        <v>10000_1002_70000,30000_30001_1,30000_30002_1,30000_30003_1</v>
      </c>
      <c r="O425">
        <f>equip.xml!R429</f>
        <v>0</v>
      </c>
    </row>
    <row r="426" spans="1:15">
      <c r="A426" s="14">
        <f>equip.xml!A430</f>
        <v>10951050</v>
      </c>
      <c r="B426" s="14">
        <f>equip.xml!B430</f>
        <v>1</v>
      </c>
      <c r="C426" s="14" t="str">
        <f>equip.xml!C430</f>
        <v>云颠之剑</v>
      </c>
      <c r="D426" s="14" t="str">
        <f>equip.xml!D430</f>
        <v>主手武器</v>
      </c>
      <c r="E426" s="14">
        <f>equip.xml!E430</f>
        <v>5</v>
      </c>
      <c r="F426" s="14">
        <f>equip.xml!F430</f>
        <v>1</v>
      </c>
      <c r="G426" s="14">
        <f>equip.xml!G430</f>
        <v>95</v>
      </c>
      <c r="H426" s="14" t="str">
        <f>equip.xml!H430</f>
        <v>1,1001</v>
      </c>
      <c r="I426" s="14">
        <f>equip.xml!J430</f>
        <v>5</v>
      </c>
      <c r="J426" s="14">
        <f>equip.xml!K430</f>
        <v>0</v>
      </c>
      <c r="K426" s="14">
        <f>equip.xml!L430</f>
        <v>0</v>
      </c>
      <c r="L426" s="14" t="str">
        <f>equip.xml!M430</f>
        <v>103_6091_6091,104_12182_12182</v>
      </c>
      <c r="M426" s="17" t="str">
        <f>equip.xml!Q430</f>
        <v>equipment/1124.png</v>
      </c>
      <c r="N426" s="16" t="str">
        <f>equip.xml!P430</f>
        <v>10000_1002_70000,30000_30001_1,30000_30002_1,30000_30003_1</v>
      </c>
      <c r="O426">
        <f>equip.xml!R430</f>
        <v>0</v>
      </c>
    </row>
    <row r="427" spans="1:15">
      <c r="A427" s="14">
        <f>equip.xml!A431</f>
        <v>10951051</v>
      </c>
      <c r="B427" s="14">
        <f>equip.xml!B431</f>
        <v>0</v>
      </c>
      <c r="C427" s="14" t="str">
        <f>equip.xml!C431</f>
        <v>血色黎明</v>
      </c>
      <c r="D427" s="14" t="str">
        <f>equip.xml!D431</f>
        <v>主手武器</v>
      </c>
      <c r="E427" s="14">
        <f>equip.xml!E431</f>
        <v>5</v>
      </c>
      <c r="F427" s="14">
        <f>equip.xml!F431</f>
        <v>1</v>
      </c>
      <c r="G427" s="14">
        <f>equip.xml!G431</f>
        <v>95</v>
      </c>
      <c r="H427" s="14" t="str">
        <f>equip.xml!H431</f>
        <v>1,1001</v>
      </c>
      <c r="I427" s="14">
        <f>equip.xml!J431</f>
        <v>5</v>
      </c>
      <c r="J427" s="14">
        <f>equip.xml!K431</f>
        <v>0</v>
      </c>
      <c r="K427" s="14">
        <f>equip.xml!L431</f>
        <v>0</v>
      </c>
      <c r="L427" s="14" t="str">
        <f>equip.xml!M431</f>
        <v>103_6352_6352,104_12705_12705</v>
      </c>
      <c r="M427" s="17" t="str">
        <f>equip.xml!Q431</f>
        <v>equipment/1101.png</v>
      </c>
      <c r="N427" s="16" t="str">
        <f>equip.xml!P431</f>
        <v>10000_1002_70000,30000_30001_1,30000_30002_1,30000_30003_1</v>
      </c>
      <c r="O427">
        <f>equip.xml!R431</f>
        <v>0</v>
      </c>
    </row>
    <row r="428" spans="1:15">
      <c r="A428" s="14">
        <f>equip.xml!A432</f>
        <v>10951060</v>
      </c>
      <c r="B428" s="14">
        <f>equip.xml!B432</f>
        <v>1</v>
      </c>
      <c r="C428" s="14" t="str">
        <f>equip.xml!C432</f>
        <v>荣耀壁垒</v>
      </c>
      <c r="D428" s="14" t="str">
        <f>equip.xml!D432</f>
        <v>副手武器</v>
      </c>
      <c r="E428" s="14">
        <f>equip.xml!E432</f>
        <v>6</v>
      </c>
      <c r="F428" s="14">
        <f>equip.xml!F432</f>
        <v>1</v>
      </c>
      <c r="G428" s="14">
        <f>equip.xml!G432</f>
        <v>95</v>
      </c>
      <c r="H428" s="14" t="str">
        <f>equip.xml!H432</f>
        <v>1,1001</v>
      </c>
      <c r="I428" s="14">
        <f>equip.xml!J432</f>
        <v>5</v>
      </c>
      <c r="J428" s="14">
        <f>equip.xml!K432</f>
        <v>0</v>
      </c>
      <c r="K428" s="14">
        <f>equip.xml!L432</f>
        <v>0</v>
      </c>
      <c r="L428" s="14" t="str">
        <f>equip.xml!M432</f>
        <v>105_5482_5482</v>
      </c>
      <c r="M428" s="17" t="str">
        <f>equip.xml!Q432</f>
        <v>equipment/2118.png</v>
      </c>
      <c r="N428" s="16" t="str">
        <f>equip.xml!P432</f>
        <v>10000_1002_70000,30000_30001_1,30000_30002_1,30000_30003_1</v>
      </c>
      <c r="O428">
        <f>equip.xml!R432</f>
        <v>0</v>
      </c>
    </row>
    <row r="429" spans="1:15">
      <c r="A429" s="14">
        <f>equip.xml!A433</f>
        <v>10951061</v>
      </c>
      <c r="B429" s="14">
        <f>equip.xml!B433</f>
        <v>0</v>
      </c>
      <c r="C429" s="14" t="str">
        <f>equip.xml!C433</f>
        <v>曙光之盾</v>
      </c>
      <c r="D429" s="14" t="str">
        <f>equip.xml!D433</f>
        <v>副手武器</v>
      </c>
      <c r="E429" s="14">
        <f>equip.xml!E433</f>
        <v>6</v>
      </c>
      <c r="F429" s="14">
        <f>equip.xml!F433</f>
        <v>1</v>
      </c>
      <c r="G429" s="14">
        <f>equip.xml!G433</f>
        <v>95</v>
      </c>
      <c r="H429" s="14" t="str">
        <f>equip.xml!H433</f>
        <v>1,1001</v>
      </c>
      <c r="I429" s="14">
        <f>equip.xml!J433</f>
        <v>5</v>
      </c>
      <c r="J429" s="14">
        <f>equip.xml!K433</f>
        <v>0</v>
      </c>
      <c r="K429" s="14">
        <f>equip.xml!L433</f>
        <v>0</v>
      </c>
      <c r="L429" s="14" t="str">
        <f>equip.xml!M433</f>
        <v>105_5717_5717</v>
      </c>
      <c r="M429" s="17" t="str">
        <f>equip.xml!Q433</f>
        <v>equipment/2101.png</v>
      </c>
      <c r="N429" s="16" t="str">
        <f>equip.xml!P433</f>
        <v>10000_1002_70000,30000_30001_1,30000_30002_1,30000_30003_1</v>
      </c>
      <c r="O429">
        <f>equip.xml!R433</f>
        <v>0</v>
      </c>
    </row>
    <row r="430" spans="1:15">
      <c r="A430" s="14">
        <f>equip.xml!A434</f>
        <v>10952050</v>
      </c>
      <c r="B430" s="14">
        <f>equip.xml!B434</f>
        <v>1</v>
      </c>
      <c r="C430" s="14" t="str">
        <f>equip.xml!C434</f>
        <v>灵魂之弦</v>
      </c>
      <c r="D430" s="14" t="str">
        <f>equip.xml!D434</f>
        <v>主手武器</v>
      </c>
      <c r="E430" s="14">
        <f>equip.xml!E434</f>
        <v>5</v>
      </c>
      <c r="F430" s="14">
        <f>equip.xml!F434</f>
        <v>1</v>
      </c>
      <c r="G430" s="14">
        <f>equip.xml!G434</f>
        <v>95</v>
      </c>
      <c r="H430" s="14" t="str">
        <f>equip.xml!H434</f>
        <v>2,1002</v>
      </c>
      <c r="I430" s="14">
        <f>equip.xml!J434</f>
        <v>5</v>
      </c>
      <c r="J430" s="14">
        <f>equip.xml!K434</f>
        <v>0</v>
      </c>
      <c r="K430" s="14">
        <f>equip.xml!L434</f>
        <v>0</v>
      </c>
      <c r="L430" s="14" t="str">
        <f>equip.xml!M434</f>
        <v>103_6091_6091,104_12182_12182</v>
      </c>
      <c r="M430" s="17" t="str">
        <f>equip.xml!Q434</f>
        <v>equipment/1222.png</v>
      </c>
      <c r="N430" s="16" t="str">
        <f>equip.xml!P434</f>
        <v>10000_1002_70000,30000_30001_1,30000_30002_1,30000_30003_1</v>
      </c>
      <c r="O430">
        <f>equip.xml!R434</f>
        <v>0</v>
      </c>
    </row>
    <row r="431" spans="1:15">
      <c r="A431" s="14">
        <f>equip.xml!A435</f>
        <v>10952051</v>
      </c>
      <c r="B431" s="14">
        <f>equip.xml!B435</f>
        <v>0</v>
      </c>
      <c r="C431" s="14" t="str">
        <f>equip.xml!C435</f>
        <v>风暴凝视</v>
      </c>
      <c r="D431" s="14" t="str">
        <f>equip.xml!D435</f>
        <v>主手武器</v>
      </c>
      <c r="E431" s="14">
        <f>equip.xml!E435</f>
        <v>5</v>
      </c>
      <c r="F431" s="14">
        <f>equip.xml!F435</f>
        <v>1</v>
      </c>
      <c r="G431" s="14">
        <f>equip.xml!G435</f>
        <v>95</v>
      </c>
      <c r="H431" s="14" t="str">
        <f>equip.xml!H435</f>
        <v>2,1002</v>
      </c>
      <c r="I431" s="14">
        <f>equip.xml!J435</f>
        <v>5</v>
      </c>
      <c r="J431" s="14">
        <f>equip.xml!K435</f>
        <v>0</v>
      </c>
      <c r="K431" s="14">
        <f>equip.xml!L435</f>
        <v>0</v>
      </c>
      <c r="L431" s="14" t="str">
        <f>equip.xml!M435</f>
        <v>103_6352_6352,104_12705_12705</v>
      </c>
      <c r="M431" s="17" t="str">
        <f>equip.xml!Q435</f>
        <v>equipment/1201.png</v>
      </c>
      <c r="N431" s="16" t="str">
        <f>equip.xml!P435</f>
        <v>10000_1002_70000,30000_30001_1,30000_30002_1,30000_30003_1</v>
      </c>
      <c r="O431">
        <f>equip.xml!R435</f>
        <v>0</v>
      </c>
    </row>
    <row r="432" spans="1:15">
      <c r="A432" s="14">
        <f>equip.xml!A436</f>
        <v>10952060</v>
      </c>
      <c r="B432" s="14">
        <f>equip.xml!B436</f>
        <v>1</v>
      </c>
      <c r="C432" s="14" t="str">
        <f>equip.xml!C436</f>
        <v>魂织箭袋</v>
      </c>
      <c r="D432" s="14" t="str">
        <f>equip.xml!D436</f>
        <v>副手武器</v>
      </c>
      <c r="E432" s="14">
        <f>equip.xml!E436</f>
        <v>6</v>
      </c>
      <c r="F432" s="14">
        <f>equip.xml!F436</f>
        <v>1</v>
      </c>
      <c r="G432" s="14">
        <f>equip.xml!G436</f>
        <v>95</v>
      </c>
      <c r="H432" s="14" t="str">
        <f>equip.xml!H436</f>
        <v>2,1002</v>
      </c>
      <c r="I432" s="14">
        <f>equip.xml!J436</f>
        <v>5</v>
      </c>
      <c r="J432" s="14">
        <f>equip.xml!K436</f>
        <v>0</v>
      </c>
      <c r="K432" s="14">
        <f>equip.xml!L436</f>
        <v>0</v>
      </c>
      <c r="L432" s="14" t="str">
        <f>equip.xml!M436</f>
        <v>108_5482_5482</v>
      </c>
      <c r="M432" s="17" t="str">
        <f>equip.xml!Q436</f>
        <v>equipment/2218.png</v>
      </c>
      <c r="N432" s="16" t="str">
        <f>equip.xml!P436</f>
        <v>10000_1002_70000,30000_30001_1,30000_30002_1,30000_30003_1</v>
      </c>
      <c r="O432">
        <f>equip.xml!R436</f>
        <v>0</v>
      </c>
    </row>
    <row r="433" spans="1:15">
      <c r="A433" s="14">
        <f>equip.xml!A437</f>
        <v>10952061</v>
      </c>
      <c r="B433" s="14">
        <f>equip.xml!B437</f>
        <v>0</v>
      </c>
      <c r="C433" s="14" t="str">
        <f>equip.xml!C437</f>
        <v>闪电之矢</v>
      </c>
      <c r="D433" s="14" t="str">
        <f>equip.xml!D437</f>
        <v>副手武器</v>
      </c>
      <c r="E433" s="14">
        <f>equip.xml!E437</f>
        <v>6</v>
      </c>
      <c r="F433" s="14">
        <f>equip.xml!F437</f>
        <v>1</v>
      </c>
      <c r="G433" s="14">
        <f>equip.xml!G437</f>
        <v>95</v>
      </c>
      <c r="H433" s="14" t="str">
        <f>equip.xml!H437</f>
        <v>2,1002</v>
      </c>
      <c r="I433" s="14">
        <f>equip.xml!J437</f>
        <v>5</v>
      </c>
      <c r="J433" s="14">
        <f>equip.xml!K437</f>
        <v>0</v>
      </c>
      <c r="K433" s="14">
        <f>equip.xml!L437</f>
        <v>0</v>
      </c>
      <c r="L433" s="14" t="str">
        <f>equip.xml!M437</f>
        <v>108_5717_5717</v>
      </c>
      <c r="M433" s="17" t="str">
        <f>equip.xml!Q437</f>
        <v>equipment/2201.png</v>
      </c>
      <c r="N433" s="16" t="str">
        <f>equip.xml!P437</f>
        <v>10000_1002_70000,30000_30001_1,30000_30002_1,30000_30003_1</v>
      </c>
      <c r="O433">
        <f>equip.xml!R437</f>
        <v>0</v>
      </c>
    </row>
    <row r="434" spans="1:15">
      <c r="A434" s="14">
        <f>equip.xml!A438</f>
        <v>10953050</v>
      </c>
      <c r="B434" s="14">
        <f>equip.xml!B438</f>
        <v>1</v>
      </c>
      <c r="C434" s="14" t="str">
        <f>equip.xml!C438</f>
        <v>歼灭之杖</v>
      </c>
      <c r="D434" s="14" t="str">
        <f>equip.xml!D438</f>
        <v>主手武器</v>
      </c>
      <c r="E434" s="14">
        <f>equip.xml!E438</f>
        <v>5</v>
      </c>
      <c r="F434" s="14">
        <f>equip.xml!F438</f>
        <v>1</v>
      </c>
      <c r="G434" s="14">
        <f>equip.xml!G438</f>
        <v>95</v>
      </c>
      <c r="H434" s="14" t="str">
        <f>equip.xml!H438</f>
        <v>3,1003</v>
      </c>
      <c r="I434" s="14">
        <f>equip.xml!J438</f>
        <v>5</v>
      </c>
      <c r="J434" s="14">
        <f>equip.xml!K438</f>
        <v>0</v>
      </c>
      <c r="K434" s="14">
        <f>equip.xml!L438</f>
        <v>0</v>
      </c>
      <c r="L434" s="14" t="str">
        <f>equip.xml!M438</f>
        <v>103_6091_6091,104_12182_12182</v>
      </c>
      <c r="M434" s="17" t="str">
        <f>equip.xml!Q438</f>
        <v>equipment/1324.png</v>
      </c>
      <c r="N434" s="16" t="str">
        <f>equip.xml!P438</f>
        <v>10000_1002_70000,30000_30001_1,30000_30002_1,30000_30003_1</v>
      </c>
      <c r="O434">
        <f>equip.xml!R438</f>
        <v>0</v>
      </c>
    </row>
    <row r="435" spans="1:15">
      <c r="A435" s="14">
        <f>equip.xml!A439</f>
        <v>10953051</v>
      </c>
      <c r="B435" s="14">
        <f>equip.xml!B439</f>
        <v>0</v>
      </c>
      <c r="C435" s="14" t="str">
        <f>equip.xml!C439</f>
        <v>末日降临</v>
      </c>
      <c r="D435" s="14" t="str">
        <f>equip.xml!D439</f>
        <v>主手武器</v>
      </c>
      <c r="E435" s="14">
        <f>equip.xml!E439</f>
        <v>5</v>
      </c>
      <c r="F435" s="14">
        <f>equip.xml!F439</f>
        <v>1</v>
      </c>
      <c r="G435" s="14">
        <f>equip.xml!G439</f>
        <v>95</v>
      </c>
      <c r="H435" s="14" t="str">
        <f>equip.xml!H439</f>
        <v>3,1003</v>
      </c>
      <c r="I435" s="14">
        <f>equip.xml!J439</f>
        <v>5</v>
      </c>
      <c r="J435" s="14">
        <f>equip.xml!K439</f>
        <v>0</v>
      </c>
      <c r="K435" s="14">
        <f>equip.xml!L439</f>
        <v>0</v>
      </c>
      <c r="L435" s="14" t="str">
        <f>equip.xml!M439</f>
        <v>103_6352_6352,104_12705_12705</v>
      </c>
      <c r="M435" s="17" t="str">
        <f>equip.xml!Q439</f>
        <v>equipment/1301.png</v>
      </c>
      <c r="N435" s="16" t="str">
        <f>equip.xml!P439</f>
        <v>10000_1002_70000,30000_30001_1,30000_30002_1,30000_30003_1</v>
      </c>
      <c r="O435">
        <f>equip.xml!R439</f>
        <v>0</v>
      </c>
    </row>
    <row r="436" spans="1:15">
      <c r="A436" s="14">
        <f>equip.xml!A440</f>
        <v>10953060</v>
      </c>
      <c r="B436" s="14">
        <f>equip.xml!B440</f>
        <v>1</v>
      </c>
      <c r="C436" s="14" t="str">
        <f>equip.xml!C440</f>
        <v>聚能魔典</v>
      </c>
      <c r="D436" s="14" t="str">
        <f>equip.xml!D440</f>
        <v>副手武器</v>
      </c>
      <c r="E436" s="14">
        <f>equip.xml!E440</f>
        <v>6</v>
      </c>
      <c r="F436" s="14">
        <f>equip.xml!F440</f>
        <v>1</v>
      </c>
      <c r="G436" s="14">
        <f>equip.xml!G440</f>
        <v>95</v>
      </c>
      <c r="H436" s="14" t="str">
        <f>equip.xml!H440</f>
        <v>3,1003</v>
      </c>
      <c r="I436" s="14">
        <f>equip.xml!J440</f>
        <v>5</v>
      </c>
      <c r="J436" s="14">
        <f>equip.xml!K440</f>
        <v>0</v>
      </c>
      <c r="K436" s="14">
        <f>equip.xml!L440</f>
        <v>0</v>
      </c>
      <c r="L436" s="14" t="str">
        <f>equip.xml!M440</f>
        <v>102_4280_4280</v>
      </c>
      <c r="M436" s="17" t="str">
        <f>equip.xml!Q440</f>
        <v>equipment/2318.png</v>
      </c>
      <c r="N436" s="16" t="str">
        <f>equip.xml!P440</f>
        <v>10000_1002_70000,30000_30001_1,30000_30002_1,30000_30003_1</v>
      </c>
      <c r="O436">
        <f>equip.xml!R440</f>
        <v>0</v>
      </c>
    </row>
    <row r="437" spans="1:15">
      <c r="A437" s="14">
        <f>equip.xml!A441</f>
        <v>10953061</v>
      </c>
      <c r="B437" s="14">
        <f>equip.xml!B441</f>
        <v>0</v>
      </c>
      <c r="C437" s="14" t="str">
        <f>equip.xml!C441</f>
        <v>启示圣典</v>
      </c>
      <c r="D437" s="14" t="str">
        <f>equip.xml!D441</f>
        <v>副手武器</v>
      </c>
      <c r="E437" s="14">
        <f>equip.xml!E441</f>
        <v>6</v>
      </c>
      <c r="F437" s="14">
        <f>equip.xml!F441</f>
        <v>1</v>
      </c>
      <c r="G437" s="14">
        <f>equip.xml!G441</f>
        <v>95</v>
      </c>
      <c r="H437" s="14" t="str">
        <f>equip.xml!H441</f>
        <v>3,1003</v>
      </c>
      <c r="I437" s="14">
        <f>equip.xml!J441</f>
        <v>5</v>
      </c>
      <c r="J437" s="14">
        <f>equip.xml!K441</f>
        <v>0</v>
      </c>
      <c r="K437" s="14">
        <f>equip.xml!L441</f>
        <v>0</v>
      </c>
      <c r="L437" s="14" t="str">
        <f>equip.xml!M441</f>
        <v>102_4390_4390</v>
      </c>
      <c r="M437" s="17" t="str">
        <f>equip.xml!Q441</f>
        <v>equipment/2301.png</v>
      </c>
      <c r="N437" s="16" t="str">
        <f>equip.xml!P441</f>
        <v>10000_1002_70000,30000_30001_1,30000_30002_1,30000_30003_1</v>
      </c>
      <c r="O437">
        <f>equip.xml!R441</f>
        <v>0</v>
      </c>
    </row>
    <row r="438" spans="1:15">
      <c r="A438" s="14">
        <f>equip.xml!A442</f>
        <v>10950040</v>
      </c>
      <c r="B438" s="14">
        <f>equip.xml!B442</f>
        <v>1</v>
      </c>
      <c r="C438" s="14" t="str">
        <f>equip.xml!C442</f>
        <v>湮没胸甲</v>
      </c>
      <c r="D438" s="14" t="str">
        <f>equip.xml!D442</f>
        <v>胸甲</v>
      </c>
      <c r="E438" s="14">
        <f>equip.xml!E442</f>
        <v>4</v>
      </c>
      <c r="F438" s="14">
        <f>equip.xml!F442</f>
        <v>1</v>
      </c>
      <c r="G438" s="14">
        <f>equip.xml!G442</f>
        <v>95</v>
      </c>
      <c r="H438" s="14">
        <f>equip.xml!H442</f>
        <v>0</v>
      </c>
      <c r="I438" s="14">
        <f>equip.xml!J442</f>
        <v>5</v>
      </c>
      <c r="J438" s="14">
        <f>equip.xml!K442</f>
        <v>0</v>
      </c>
      <c r="K438" s="14">
        <f>equip.xml!L442</f>
        <v>0</v>
      </c>
      <c r="L438" s="14" t="str">
        <f>equip.xml!M442</f>
        <v>105_3837_3837</v>
      </c>
      <c r="M438" s="17" t="str">
        <f>equip.xml!Q442</f>
        <v>equipment/5001.png</v>
      </c>
      <c r="N438" s="16" t="str">
        <f>equip.xml!P442</f>
        <v>10000_1002_70000,30000_30001_1,30000_30002_1,30000_30003_1</v>
      </c>
      <c r="O438">
        <f>equip.xml!R442</f>
        <v>0</v>
      </c>
    </row>
    <row r="439" spans="1:15">
      <c r="A439" s="14">
        <f>equip.xml!A443</f>
        <v>10950041</v>
      </c>
      <c r="B439" s="14">
        <f>equip.xml!B443</f>
        <v>0</v>
      </c>
      <c r="C439" s="14" t="str">
        <f>equip.xml!C443</f>
        <v>诸王战铠</v>
      </c>
      <c r="D439" s="14" t="str">
        <f>equip.xml!D443</f>
        <v>胸甲</v>
      </c>
      <c r="E439" s="14">
        <f>equip.xml!E443</f>
        <v>4</v>
      </c>
      <c r="F439" s="14">
        <f>equip.xml!F443</f>
        <v>1</v>
      </c>
      <c r="G439" s="14">
        <f>equip.xml!G443</f>
        <v>95</v>
      </c>
      <c r="H439" s="14">
        <f>equip.xml!H443</f>
        <v>0</v>
      </c>
      <c r="I439" s="14">
        <f>equip.xml!J443</f>
        <v>5</v>
      </c>
      <c r="J439" s="14">
        <f>equip.xml!K443</f>
        <v>0</v>
      </c>
      <c r="K439" s="14">
        <f>equip.xml!L443</f>
        <v>0</v>
      </c>
      <c r="L439" s="14" t="str">
        <f>equip.xml!M443</f>
        <v>105_4002_4002</v>
      </c>
      <c r="M439" s="17" t="str">
        <f>equip.xml!Q443</f>
        <v>equipment/5001.png</v>
      </c>
      <c r="N439" s="16" t="str">
        <f>equip.xml!P443</f>
        <v>10000_1002_70000,30000_30001_1,30000_30002_1,30000_30003_1</v>
      </c>
      <c r="O439">
        <f>equip.xml!R443</f>
        <v>0</v>
      </c>
    </row>
    <row r="440" spans="1:15">
      <c r="A440" s="14">
        <f>equip.xml!A444</f>
        <v>10950070</v>
      </c>
      <c r="B440" s="14">
        <f>equip.xml!B444</f>
        <v>1</v>
      </c>
      <c r="C440" s="14" t="str">
        <f>equip.xml!C444</f>
        <v>魂卫护腿</v>
      </c>
      <c r="D440" s="14" t="str">
        <f>equip.xml!D444</f>
        <v>护腿</v>
      </c>
      <c r="E440" s="14">
        <f>equip.xml!E444</f>
        <v>7</v>
      </c>
      <c r="F440" s="14">
        <f>equip.xml!F444</f>
        <v>1</v>
      </c>
      <c r="G440" s="14">
        <f>equip.xml!G444</f>
        <v>95</v>
      </c>
      <c r="H440" s="14">
        <f>equip.xml!H444</f>
        <v>0</v>
      </c>
      <c r="I440" s="14">
        <f>equip.xml!J444</f>
        <v>5</v>
      </c>
      <c r="J440" s="14">
        <f>equip.xml!K444</f>
        <v>0</v>
      </c>
      <c r="K440" s="14">
        <f>equip.xml!L444</f>
        <v>0</v>
      </c>
      <c r="L440" s="14" t="str">
        <f>equip.xml!M444</f>
        <v>105_3837_3837</v>
      </c>
      <c r="M440" s="17" t="str">
        <f>equip.xml!Q444</f>
        <v>equipment/7001.png</v>
      </c>
      <c r="N440" s="16" t="str">
        <f>equip.xml!P444</f>
        <v>10000_1002_70000,30000_30001_1,30000_30002_1,30000_30003_1</v>
      </c>
      <c r="O440">
        <f>equip.xml!R444</f>
        <v>0</v>
      </c>
    </row>
    <row r="441" spans="1:15">
      <c r="A441" s="14">
        <f>equip.xml!A445</f>
        <v>10950071</v>
      </c>
      <c r="B441" s="14">
        <f>equip.xml!B445</f>
        <v>0</v>
      </c>
      <c r="C441" s="14" t="str">
        <f>equip.xml!C445</f>
        <v>不朽护腿</v>
      </c>
      <c r="D441" s="14" t="str">
        <f>equip.xml!D445</f>
        <v>护腿</v>
      </c>
      <c r="E441" s="14">
        <f>equip.xml!E445</f>
        <v>7</v>
      </c>
      <c r="F441" s="14">
        <f>equip.xml!F445</f>
        <v>1</v>
      </c>
      <c r="G441" s="14">
        <f>equip.xml!G445</f>
        <v>95</v>
      </c>
      <c r="H441" s="14">
        <f>equip.xml!H445</f>
        <v>0</v>
      </c>
      <c r="I441" s="14">
        <f>equip.xml!J445</f>
        <v>5</v>
      </c>
      <c r="J441" s="14">
        <f>equip.xml!K445</f>
        <v>0</v>
      </c>
      <c r="K441" s="14">
        <f>equip.xml!L445</f>
        <v>0</v>
      </c>
      <c r="L441" s="14" t="str">
        <f>equip.xml!M445</f>
        <v>105_4002_4002</v>
      </c>
      <c r="M441" s="17" t="str">
        <f>equip.xml!Q445</f>
        <v>equipment/7001.png</v>
      </c>
      <c r="N441" s="16" t="str">
        <f>equip.xml!P445</f>
        <v>10000_1002_70000,30000_30001_1,30000_30002_1,30000_30003_1</v>
      </c>
      <c r="O441">
        <f>equip.xml!R445</f>
        <v>0</v>
      </c>
    </row>
    <row r="442" spans="1:15">
      <c r="A442" s="14">
        <f>equip.xml!A446</f>
        <v>11000010</v>
      </c>
      <c r="B442" s="14">
        <f>equip.xml!B446</f>
        <v>0</v>
      </c>
      <c r="C442" s="14" t="str">
        <f>equip.xml!C446</f>
        <v>天灾统领</v>
      </c>
      <c r="D442" s="14" t="str">
        <f>equip.xml!D446</f>
        <v>头盔</v>
      </c>
      <c r="E442" s="14">
        <f>equip.xml!E446</f>
        <v>1</v>
      </c>
      <c r="F442" s="14">
        <f>equip.xml!F446</f>
        <v>1</v>
      </c>
      <c r="G442" s="14">
        <f>equip.xml!G446</f>
        <v>100</v>
      </c>
      <c r="H442" s="14">
        <f>equip.xml!H446</f>
        <v>0</v>
      </c>
      <c r="I442" s="14">
        <f>equip.xml!J446</f>
        <v>5</v>
      </c>
      <c r="J442" s="14">
        <f>equip.xml!K446</f>
        <v>0</v>
      </c>
      <c r="K442" s="14">
        <f>equip.xml!L446</f>
        <v>0</v>
      </c>
      <c r="L442" s="14" t="str">
        <f>equip.xml!M446</f>
        <v>106_6460_6460</v>
      </c>
      <c r="M442" s="17" t="str">
        <f>equip.xml!Q446</f>
        <v>equipment/3001.png</v>
      </c>
      <c r="N442" s="16" t="str">
        <f>equip.xml!P446</f>
        <v>10000_1002_70000,30000_30001_1,30000_30002_1,30000_30003_1</v>
      </c>
      <c r="O442">
        <f>equip.xml!R446</f>
        <v>0</v>
      </c>
    </row>
    <row r="443" spans="1:15">
      <c r="A443" s="14">
        <f>equip.xml!A447</f>
        <v>11000020</v>
      </c>
      <c r="B443" s="14">
        <f>equip.xml!B447</f>
        <v>0</v>
      </c>
      <c r="C443" s="14" t="str">
        <f>equip.xml!C447</f>
        <v>镇魂挽歌</v>
      </c>
      <c r="D443" s="14" t="str">
        <f>equip.xml!D447</f>
        <v>戒指</v>
      </c>
      <c r="E443" s="14">
        <f>equip.xml!E447</f>
        <v>2</v>
      </c>
      <c r="F443" s="14">
        <f>equip.xml!F447</f>
        <v>1</v>
      </c>
      <c r="G443" s="14">
        <f>equip.xml!G447</f>
        <v>100</v>
      </c>
      <c r="H443" s="14">
        <f>equip.xml!H447</f>
        <v>0</v>
      </c>
      <c r="I443" s="14">
        <f>equip.xml!J447</f>
        <v>5</v>
      </c>
      <c r="J443" s="14">
        <f>equip.xml!K447</f>
        <v>0</v>
      </c>
      <c r="K443" s="14">
        <f>equip.xml!L447</f>
        <v>0</v>
      </c>
      <c r="L443" s="14" t="str">
        <f>equip.xml!M447</f>
        <v>102_2360_2360</v>
      </c>
      <c r="M443" s="17" t="str">
        <f>equip.xml!Q447</f>
        <v>equipment/14001.png</v>
      </c>
      <c r="N443" s="16" t="str">
        <f>equip.xml!P447</f>
        <v>10000_1002_70000,30000_30001_1,30000_30002_1,30000_30003_1</v>
      </c>
      <c r="O443">
        <f>equip.xml!R447</f>
        <v>0</v>
      </c>
    </row>
    <row r="444" spans="1:15">
      <c r="A444" s="14">
        <f>equip.xml!A448</f>
        <v>11000030</v>
      </c>
      <c r="B444" s="14">
        <f>equip.xml!B448</f>
        <v>0</v>
      </c>
      <c r="C444" s="14" t="str">
        <f>equip.xml!C448</f>
        <v>雷霆护腰</v>
      </c>
      <c r="D444" s="14" t="str">
        <f>equip.xml!D448</f>
        <v>腰带</v>
      </c>
      <c r="E444" s="14">
        <f>equip.xml!E448</f>
        <v>3</v>
      </c>
      <c r="F444" s="14">
        <f>equip.xml!F448</f>
        <v>1</v>
      </c>
      <c r="G444" s="14">
        <f>equip.xml!G448</f>
        <v>100</v>
      </c>
      <c r="H444" s="14">
        <f>equip.xml!H448</f>
        <v>0</v>
      </c>
      <c r="I444" s="14">
        <f>equip.xml!J448</f>
        <v>5</v>
      </c>
      <c r="J444" s="14">
        <f>equip.xml!K448</f>
        <v>0</v>
      </c>
      <c r="K444" s="14">
        <f>equip.xml!L448</f>
        <v>0</v>
      </c>
      <c r="L444" s="14" t="str">
        <f>equip.xml!M448</f>
        <v>101_36120_36120</v>
      </c>
      <c r="M444" s="17" t="str">
        <f>equip.xml!Q448</f>
        <v>equipment/6001.png</v>
      </c>
      <c r="N444" s="16" t="str">
        <f>equip.xml!P448</f>
        <v>10000_1002_70000,30000_30001_1,30000_30002_1,30000_30003_1</v>
      </c>
      <c r="O444">
        <f>equip.xml!R448</f>
        <v>0</v>
      </c>
    </row>
    <row r="445" spans="1:15">
      <c r="A445" s="14">
        <f>equip.xml!A449</f>
        <v>11000080</v>
      </c>
      <c r="B445" s="14">
        <f>equip.xml!B449</f>
        <v>0</v>
      </c>
      <c r="C445" s="14" t="str">
        <f>equip.xml!C449</f>
        <v>星旅之靴</v>
      </c>
      <c r="D445" s="14" t="str">
        <f>equip.xml!D449</f>
        <v>鞋子</v>
      </c>
      <c r="E445" s="14">
        <f>equip.xml!E449</f>
        <v>8</v>
      </c>
      <c r="F445" s="14">
        <f>equip.xml!F449</f>
        <v>1</v>
      </c>
      <c r="G445" s="14">
        <f>equip.xml!G449</f>
        <v>100</v>
      </c>
      <c r="H445" s="14">
        <f>equip.xml!H449</f>
        <v>0</v>
      </c>
      <c r="I445" s="14">
        <f>equip.xml!J449</f>
        <v>5</v>
      </c>
      <c r="J445" s="14">
        <f>equip.xml!K449</f>
        <v>0</v>
      </c>
      <c r="K445" s="14">
        <f>equip.xml!L449</f>
        <v>0</v>
      </c>
      <c r="L445" s="14" t="str">
        <f>equip.xml!M449</f>
        <v>110_871_871</v>
      </c>
      <c r="M445" s="17" t="str">
        <f>equip.xml!Q449</f>
        <v>equipment/8001.png</v>
      </c>
      <c r="N445" s="16" t="str">
        <f>equip.xml!P449</f>
        <v>10000_1002_70000,30000_30001_1,30000_30002_1,30000_30003_1</v>
      </c>
      <c r="O445">
        <f>equip.xml!R449</f>
        <v>0</v>
      </c>
    </row>
    <row r="446" spans="1:15">
      <c r="A446" s="14">
        <f>equip.xml!A450</f>
        <v>11000090</v>
      </c>
      <c r="B446" s="14">
        <f>equip.xml!B450</f>
        <v>0</v>
      </c>
      <c r="C446" s="14" t="str">
        <f>equip.xml!C450</f>
        <v>泰坦之拳</v>
      </c>
      <c r="D446" s="14" t="str">
        <f>equip.xml!D450</f>
        <v>手套</v>
      </c>
      <c r="E446" s="14">
        <f>equip.xml!E450</f>
        <v>9</v>
      </c>
      <c r="F446" s="14">
        <f>equip.xml!F450</f>
        <v>1</v>
      </c>
      <c r="G446" s="14">
        <f>equip.xml!G450</f>
        <v>100</v>
      </c>
      <c r="H446" s="14">
        <f>equip.xml!H450</f>
        <v>0</v>
      </c>
      <c r="I446" s="14">
        <f>equip.xml!J450</f>
        <v>5</v>
      </c>
      <c r="J446" s="14">
        <f>equip.xml!K450</f>
        <v>0</v>
      </c>
      <c r="K446" s="14">
        <f>equip.xml!L450</f>
        <v>0</v>
      </c>
      <c r="L446" s="14" t="str">
        <f>equip.xml!M450</f>
        <v>108_7588_7588</v>
      </c>
      <c r="M446" s="17" t="str">
        <f>equip.xml!Q450</f>
        <v>equipment/10001.png</v>
      </c>
      <c r="N446" s="16" t="str">
        <f>equip.xml!P450</f>
        <v>10000_1002_70000,30000_30001_1,30000_30002_1,30000_30003_1</v>
      </c>
      <c r="O446">
        <f>equip.xml!R450</f>
        <v>0</v>
      </c>
    </row>
    <row r="447" spans="1:15">
      <c r="A447" s="14">
        <f>equip.xml!A451</f>
        <v>11000100</v>
      </c>
      <c r="B447" s="14">
        <f>equip.xml!B451</f>
        <v>0</v>
      </c>
      <c r="C447" s="14" t="str">
        <f>equip.xml!C451</f>
        <v>永志不渝</v>
      </c>
      <c r="D447" s="14" t="str">
        <f>equip.xml!D451</f>
        <v>项链</v>
      </c>
      <c r="E447" s="14">
        <f>equip.xml!E451</f>
        <v>10</v>
      </c>
      <c r="F447" s="14">
        <f>equip.xml!F451</f>
        <v>1</v>
      </c>
      <c r="G447" s="14">
        <f>equip.xml!G451</f>
        <v>100</v>
      </c>
      <c r="H447" s="14">
        <f>equip.xml!H451</f>
        <v>0</v>
      </c>
      <c r="I447" s="14">
        <f>equip.xml!J451</f>
        <v>5</v>
      </c>
      <c r="J447" s="14">
        <f>equip.xml!K451</f>
        <v>0</v>
      </c>
      <c r="K447" s="14">
        <f>equip.xml!L451</f>
        <v>0</v>
      </c>
      <c r="L447" s="14" t="str">
        <f>equip.xml!M451</f>
        <v>107_6460_6460</v>
      </c>
      <c r="M447" s="17" t="str">
        <f>equip.xml!Q451</f>
        <v>equipment/12001.png</v>
      </c>
      <c r="N447" s="16" t="str">
        <f>equip.xml!P451</f>
        <v>10000_1002_70000,30000_30001_1,30000_30002_1,30000_30003_1</v>
      </c>
      <c r="O447">
        <f>equip.xml!R451</f>
        <v>0</v>
      </c>
    </row>
    <row r="448" spans="1:15">
      <c r="A448" s="14">
        <f>equip.xml!A452</f>
        <v>11001050</v>
      </c>
      <c r="B448" s="14">
        <f>equip.xml!B452</f>
        <v>0</v>
      </c>
      <c r="C448" s="14" t="str">
        <f>equip.xml!C452</f>
        <v>毁天灭地</v>
      </c>
      <c r="D448" s="14" t="str">
        <f>equip.xml!D452</f>
        <v>主手武器</v>
      </c>
      <c r="E448" s="14">
        <f>equip.xml!E452</f>
        <v>5</v>
      </c>
      <c r="F448" s="14">
        <f>equip.xml!F452</f>
        <v>1</v>
      </c>
      <c r="G448" s="14">
        <f>equip.xml!G452</f>
        <v>100</v>
      </c>
      <c r="H448" s="14" t="str">
        <f>equip.xml!H452</f>
        <v>1,1001</v>
      </c>
      <c r="I448" s="14">
        <f>equip.xml!J452</f>
        <v>5</v>
      </c>
      <c r="J448" s="14">
        <f>equip.xml!K452</f>
        <v>0</v>
      </c>
      <c r="K448" s="14">
        <f>equip.xml!L452</f>
        <v>0</v>
      </c>
      <c r="L448" s="14" t="str">
        <f>equip.xml!M452</f>
        <v>103_6744_6744,104_13489_13489</v>
      </c>
      <c r="M448" s="17" t="str">
        <f>equip.xml!Q452</f>
        <v>equipment/1124.png</v>
      </c>
      <c r="N448" s="16" t="str">
        <f>equip.xml!P452</f>
        <v>10000_1002_70000,30000_30001_1,30000_30002_1,30000_30003_1</v>
      </c>
      <c r="O448">
        <f>equip.xml!R452</f>
        <v>0</v>
      </c>
    </row>
    <row r="449" spans="1:15">
      <c r="A449" s="14">
        <f>equip.xml!A453</f>
        <v>11001051</v>
      </c>
      <c r="B449" s="14">
        <f>equip.xml!B453</f>
        <v>0</v>
      </c>
      <c r="C449" s="14" t="str">
        <f>equip.xml!C453</f>
        <v>灰烬使者</v>
      </c>
      <c r="D449" s="14" t="str">
        <f>equip.xml!D453</f>
        <v>主手武器</v>
      </c>
      <c r="E449" s="14">
        <f>equip.xml!E453</f>
        <v>5</v>
      </c>
      <c r="F449" s="14">
        <f>equip.xml!F453</f>
        <v>1</v>
      </c>
      <c r="G449" s="14">
        <f>equip.xml!G453</f>
        <v>100</v>
      </c>
      <c r="H449" s="14" t="str">
        <f>equip.xml!H453</f>
        <v>1,1001</v>
      </c>
      <c r="I449" s="14">
        <f>equip.xml!J453</f>
        <v>5</v>
      </c>
      <c r="J449" s="14">
        <f>equip.xml!K453</f>
        <v>0</v>
      </c>
      <c r="K449" s="14">
        <f>equip.xml!L453</f>
        <v>0</v>
      </c>
      <c r="L449" s="14" t="str">
        <f>equip.xml!M453</f>
        <v>103_0_0</v>
      </c>
      <c r="M449" s="17" t="str">
        <f>equip.xml!Q453</f>
        <v>equipment/1101.png</v>
      </c>
      <c r="N449" s="16" t="str">
        <f>equip.xml!P453</f>
        <v>10000_1002_70000,30000_30001_1,30000_30002_1,30000_30003_1</v>
      </c>
      <c r="O449">
        <f>equip.xml!R453</f>
        <v>0</v>
      </c>
    </row>
    <row r="450" spans="1:15">
      <c r="A450" s="14">
        <f>equip.xml!A454</f>
        <v>11001060</v>
      </c>
      <c r="B450" s="14">
        <f>equip.xml!B454</f>
        <v>0</v>
      </c>
      <c r="C450" s="14" t="str">
        <f>equip.xml!C454</f>
        <v>叹息之墙</v>
      </c>
      <c r="D450" s="14" t="str">
        <f>equip.xml!D454</f>
        <v>副手武器</v>
      </c>
      <c r="E450" s="14">
        <f>equip.xml!E454</f>
        <v>6</v>
      </c>
      <c r="F450" s="14">
        <f>equip.xml!F454</f>
        <v>1</v>
      </c>
      <c r="G450" s="14">
        <f>equip.xml!G454</f>
        <v>100</v>
      </c>
      <c r="H450" s="14" t="str">
        <f>equip.xml!H454</f>
        <v>1,1001</v>
      </c>
      <c r="I450" s="14">
        <f>equip.xml!J454</f>
        <v>5</v>
      </c>
      <c r="J450" s="14">
        <f>equip.xml!K454</f>
        <v>0</v>
      </c>
      <c r="K450" s="14">
        <f>equip.xml!L454</f>
        <v>0</v>
      </c>
      <c r="L450" s="14" t="str">
        <f>equip.xml!M454</f>
        <v>105_6070_6070</v>
      </c>
      <c r="M450" s="17" t="str">
        <f>equip.xml!Q454</f>
        <v>equipment/2118.png</v>
      </c>
      <c r="N450" s="16" t="str">
        <f>equip.xml!P454</f>
        <v>10000_1002_70000,30000_30001_1,30000_30002_1,30000_30003_1</v>
      </c>
      <c r="O450">
        <f>equip.xml!R454</f>
        <v>0</v>
      </c>
    </row>
    <row r="451" spans="1:15">
      <c r="A451" s="14">
        <f>equip.xml!A455</f>
        <v>11001061</v>
      </c>
      <c r="B451" s="14">
        <f>equip.xml!B455</f>
        <v>0</v>
      </c>
      <c r="C451" s="14" t="str">
        <f>equip.xml!C455</f>
        <v>叹息之墙</v>
      </c>
      <c r="D451" s="14" t="str">
        <f>equip.xml!D455</f>
        <v>副手武器</v>
      </c>
      <c r="E451" s="14">
        <f>equip.xml!E455</f>
        <v>6</v>
      </c>
      <c r="F451" s="14">
        <f>equip.xml!F455</f>
        <v>1</v>
      </c>
      <c r="G451" s="14">
        <f>equip.xml!G455</f>
        <v>100</v>
      </c>
      <c r="H451" s="14" t="str">
        <f>equip.xml!H455</f>
        <v>1,1001</v>
      </c>
      <c r="I451" s="14">
        <f>equip.xml!J455</f>
        <v>5</v>
      </c>
      <c r="J451" s="14">
        <f>equip.xml!K455</f>
        <v>0</v>
      </c>
      <c r="K451" s="14">
        <f>equip.xml!L455</f>
        <v>0</v>
      </c>
      <c r="L451" s="14" t="str">
        <f>equip.xml!M455</f>
        <v>105_0_0</v>
      </c>
      <c r="M451" s="17" t="str">
        <f>equip.xml!Q455</f>
        <v>equipment/2101.png</v>
      </c>
      <c r="N451" s="16" t="str">
        <f>equip.xml!P455</f>
        <v>10000_1002_70000,30000_30001_1,30000_30002_1,30000_30003_1</v>
      </c>
      <c r="O451">
        <f>equip.xml!R455</f>
        <v>0</v>
      </c>
    </row>
    <row r="452" spans="1:15">
      <c r="A452" s="14">
        <f>equip.xml!A456</f>
        <v>11002050</v>
      </c>
      <c r="B452" s="14">
        <f>equip.xml!B456</f>
        <v>0</v>
      </c>
      <c r="C452" s="14" t="str">
        <f>equip.xml!C456</f>
        <v>苍穹怒火</v>
      </c>
      <c r="D452" s="14" t="str">
        <f>equip.xml!D456</f>
        <v>主手武器</v>
      </c>
      <c r="E452" s="14">
        <f>equip.xml!E456</f>
        <v>5</v>
      </c>
      <c r="F452" s="14">
        <f>equip.xml!F456</f>
        <v>1</v>
      </c>
      <c r="G452" s="14">
        <f>equip.xml!G456</f>
        <v>100</v>
      </c>
      <c r="H452" s="14" t="str">
        <f>equip.xml!H456</f>
        <v>2,1002</v>
      </c>
      <c r="I452" s="14">
        <f>equip.xml!J456</f>
        <v>5</v>
      </c>
      <c r="J452" s="14">
        <f>equip.xml!K456</f>
        <v>0</v>
      </c>
      <c r="K452" s="14">
        <f>equip.xml!L456</f>
        <v>0</v>
      </c>
      <c r="L452" s="14" t="str">
        <f>equip.xml!M456</f>
        <v>103_6744_6744,104_13489_13489</v>
      </c>
      <c r="M452" s="17" t="str">
        <f>equip.xml!Q456</f>
        <v>equipment/1222.png</v>
      </c>
      <c r="N452" s="16" t="str">
        <f>equip.xml!P456</f>
        <v>10000_1002_70000,30000_30001_1,30000_30002_1,30000_30003_1</v>
      </c>
      <c r="O452">
        <f>equip.xml!R456</f>
        <v>0</v>
      </c>
    </row>
    <row r="453" spans="1:15">
      <c r="A453" s="14">
        <f>equip.xml!A457</f>
        <v>11002051</v>
      </c>
      <c r="B453" s="14">
        <f>equip.xml!B457</f>
        <v>0</v>
      </c>
      <c r="C453" s="14" t="str">
        <f>equip.xml!C457</f>
        <v>群星之怒</v>
      </c>
      <c r="D453" s="14" t="str">
        <f>equip.xml!D457</f>
        <v>主手武器</v>
      </c>
      <c r="E453" s="14">
        <f>equip.xml!E457</f>
        <v>5</v>
      </c>
      <c r="F453" s="14">
        <f>equip.xml!F457</f>
        <v>1</v>
      </c>
      <c r="G453" s="14">
        <f>equip.xml!G457</f>
        <v>100</v>
      </c>
      <c r="H453" s="14" t="str">
        <f>equip.xml!H457</f>
        <v>2,1002</v>
      </c>
      <c r="I453" s="14">
        <f>equip.xml!J457</f>
        <v>5</v>
      </c>
      <c r="J453" s="14">
        <f>equip.xml!K457</f>
        <v>0</v>
      </c>
      <c r="K453" s="14">
        <f>equip.xml!L457</f>
        <v>0</v>
      </c>
      <c r="L453" s="14" t="str">
        <f>equip.xml!M457</f>
        <v>103_0_0</v>
      </c>
      <c r="M453" s="17" t="str">
        <f>equip.xml!Q457</f>
        <v>equipment/1201.png</v>
      </c>
      <c r="N453" s="16" t="str">
        <f>equip.xml!P457</f>
        <v>10000_1002_70000,30000_30001_1,30000_30002_1,30000_30003_1</v>
      </c>
      <c r="O453">
        <f>equip.xml!R457</f>
        <v>0</v>
      </c>
    </row>
    <row r="454" spans="1:15">
      <c r="A454" s="14">
        <f>equip.xml!A458</f>
        <v>11002060</v>
      </c>
      <c r="B454" s="14">
        <f>equip.xml!B458</f>
        <v>0</v>
      </c>
      <c r="C454" s="14" t="str">
        <f>equip.xml!C458</f>
        <v>天际之矢</v>
      </c>
      <c r="D454" s="14" t="str">
        <f>equip.xml!D458</f>
        <v>副手武器</v>
      </c>
      <c r="E454" s="14">
        <f>equip.xml!E458</f>
        <v>6</v>
      </c>
      <c r="F454" s="14">
        <f>equip.xml!F458</f>
        <v>1</v>
      </c>
      <c r="G454" s="14">
        <f>equip.xml!G458</f>
        <v>100</v>
      </c>
      <c r="H454" s="14" t="str">
        <f>equip.xml!H458</f>
        <v>2,1002</v>
      </c>
      <c r="I454" s="14">
        <f>equip.xml!J458</f>
        <v>5</v>
      </c>
      <c r="J454" s="14">
        <f>equip.xml!K458</f>
        <v>0</v>
      </c>
      <c r="K454" s="14">
        <f>equip.xml!L458</f>
        <v>0</v>
      </c>
      <c r="L454" s="14" t="str">
        <f>equip.xml!M458</f>
        <v>108_6070_6070</v>
      </c>
      <c r="M454" s="17" t="str">
        <f>equip.xml!Q458</f>
        <v>equipment/2218.png</v>
      </c>
      <c r="N454" s="16" t="str">
        <f>equip.xml!P458</f>
        <v>10000_1002_70000,30000_30001_1,30000_30002_1,30000_30003_1</v>
      </c>
      <c r="O454">
        <f>equip.xml!R458</f>
        <v>0</v>
      </c>
    </row>
    <row r="455" spans="1:15">
      <c r="A455" s="14">
        <f>equip.xml!A459</f>
        <v>11002061</v>
      </c>
      <c r="B455" s="14">
        <f>equip.xml!B459</f>
        <v>0</v>
      </c>
      <c r="C455" s="14" t="str">
        <f>equip.xml!C459</f>
        <v>天际之矢</v>
      </c>
      <c r="D455" s="14" t="str">
        <f>equip.xml!D459</f>
        <v>副手武器</v>
      </c>
      <c r="E455" s="14">
        <f>equip.xml!E459</f>
        <v>6</v>
      </c>
      <c r="F455" s="14">
        <f>equip.xml!F459</f>
        <v>1</v>
      </c>
      <c r="G455" s="14">
        <f>equip.xml!G459</f>
        <v>100</v>
      </c>
      <c r="H455" s="14" t="str">
        <f>equip.xml!H459</f>
        <v>2,1002</v>
      </c>
      <c r="I455" s="14">
        <f>equip.xml!J459</f>
        <v>5</v>
      </c>
      <c r="J455" s="14">
        <f>equip.xml!K459</f>
        <v>0</v>
      </c>
      <c r="K455" s="14">
        <f>equip.xml!L459</f>
        <v>0</v>
      </c>
      <c r="L455" s="14" t="str">
        <f>equip.xml!M459</f>
        <v>108_0_0</v>
      </c>
      <c r="M455" s="17" t="str">
        <f>equip.xml!Q459</f>
        <v>equipment/2201.png</v>
      </c>
      <c r="N455" s="16" t="str">
        <f>equip.xml!P459</f>
        <v>10000_1002_70000,30000_30001_1,30000_30002_1,30000_30003_1</v>
      </c>
      <c r="O455">
        <f>equip.xml!R459</f>
        <v>0</v>
      </c>
    </row>
    <row r="456" spans="1:15">
      <c r="A456" s="14">
        <f>equip.xml!A460</f>
        <v>11003050</v>
      </c>
      <c r="B456" s="14">
        <f>equip.xml!B460</f>
        <v>0</v>
      </c>
      <c r="C456" s="14" t="str">
        <f>equip.xml!C460</f>
        <v>混沌终幕</v>
      </c>
      <c r="D456" s="14" t="str">
        <f>equip.xml!D460</f>
        <v>主手武器</v>
      </c>
      <c r="E456" s="14">
        <f>equip.xml!E460</f>
        <v>5</v>
      </c>
      <c r="F456" s="14">
        <f>equip.xml!F460</f>
        <v>1</v>
      </c>
      <c r="G456" s="14">
        <f>equip.xml!G460</f>
        <v>100</v>
      </c>
      <c r="H456" s="14" t="str">
        <f>equip.xml!H460</f>
        <v>3,1003</v>
      </c>
      <c r="I456" s="14">
        <f>equip.xml!J460</f>
        <v>5</v>
      </c>
      <c r="J456" s="14">
        <f>equip.xml!K460</f>
        <v>0</v>
      </c>
      <c r="K456" s="14">
        <f>equip.xml!L460</f>
        <v>0</v>
      </c>
      <c r="L456" s="14" t="str">
        <f>equip.xml!M460</f>
        <v>103_6744_6744,104_13489_13489</v>
      </c>
      <c r="M456" s="17" t="str">
        <f>equip.xml!Q460</f>
        <v>equipment/1324.png</v>
      </c>
      <c r="N456" s="16" t="str">
        <f>equip.xml!P460</f>
        <v>10000_1002_70000,30000_30001_1,30000_30002_1,30000_30003_1</v>
      </c>
      <c r="O456">
        <f>equip.xml!R460</f>
        <v>0</v>
      </c>
    </row>
    <row r="457" spans="1:15">
      <c r="A457" s="14">
        <f>equip.xml!A461</f>
        <v>11003051</v>
      </c>
      <c r="B457" s="14">
        <f>equip.xml!B461</f>
        <v>0</v>
      </c>
      <c r="C457" s="14" t="str">
        <f>equip.xml!C461</f>
        <v>埃提耶什，守护者的传说之杖</v>
      </c>
      <c r="D457" s="14" t="str">
        <f>equip.xml!D461</f>
        <v>主手武器</v>
      </c>
      <c r="E457" s="14">
        <f>equip.xml!E461</f>
        <v>5</v>
      </c>
      <c r="F457" s="14">
        <f>equip.xml!F461</f>
        <v>1</v>
      </c>
      <c r="G457" s="14">
        <f>equip.xml!G461</f>
        <v>100</v>
      </c>
      <c r="H457" s="14" t="str">
        <f>equip.xml!H461</f>
        <v>3,1003</v>
      </c>
      <c r="I457" s="14">
        <f>equip.xml!J461</f>
        <v>5</v>
      </c>
      <c r="J457" s="14">
        <f>equip.xml!K461</f>
        <v>0</v>
      </c>
      <c r="K457" s="14">
        <f>equip.xml!L461</f>
        <v>0</v>
      </c>
      <c r="L457" s="14" t="str">
        <f>equip.xml!M461</f>
        <v>103_0_0</v>
      </c>
      <c r="M457" s="17" t="str">
        <f>equip.xml!Q461</f>
        <v>equipment/1301.png</v>
      </c>
      <c r="N457" s="16" t="str">
        <f>equip.xml!P461</f>
        <v>10000_1002_70000,30000_30001_1,30000_30002_1,30000_30003_1</v>
      </c>
      <c r="O457">
        <f>equip.xml!R461</f>
        <v>0</v>
      </c>
    </row>
    <row r="458" spans="1:15">
      <c r="A458" s="14">
        <f>equip.xml!A462</f>
        <v>11003060</v>
      </c>
      <c r="B458" s="14">
        <f>equip.xml!B462</f>
        <v>0</v>
      </c>
      <c r="C458" s="14" t="str">
        <f>equip.xml!C462</f>
        <v>决战之书</v>
      </c>
      <c r="D458" s="14" t="str">
        <f>equip.xml!D462</f>
        <v>副手武器</v>
      </c>
      <c r="E458" s="14">
        <f>equip.xml!E462</f>
        <v>6</v>
      </c>
      <c r="F458" s="14">
        <f>equip.xml!F462</f>
        <v>1</v>
      </c>
      <c r="G458" s="14">
        <f>equip.xml!G462</f>
        <v>100</v>
      </c>
      <c r="H458" s="14" t="str">
        <f>equip.xml!H462</f>
        <v>3,1003</v>
      </c>
      <c r="I458" s="14">
        <f>equip.xml!J462</f>
        <v>5</v>
      </c>
      <c r="J458" s="14">
        <f>equip.xml!K462</f>
        <v>0</v>
      </c>
      <c r="K458" s="14">
        <f>equip.xml!L462</f>
        <v>0</v>
      </c>
      <c r="L458" s="14" t="str">
        <f>equip.xml!M462</f>
        <v>102_4560_4560</v>
      </c>
      <c r="M458" s="17" t="str">
        <f>equip.xml!Q462</f>
        <v>equipment/2318.png</v>
      </c>
      <c r="N458" s="16" t="str">
        <f>equip.xml!P462</f>
        <v>10000_1002_70000,30000_30001_1,30000_30002_1,30000_30003_1</v>
      </c>
      <c r="O458">
        <f>equip.xml!R462</f>
        <v>0</v>
      </c>
    </row>
    <row r="459" spans="1:15">
      <c r="A459" s="14">
        <f>equip.xml!A463</f>
        <v>11003061</v>
      </c>
      <c r="B459" s="14">
        <f>equip.xml!B463</f>
        <v>0</v>
      </c>
      <c r="C459" s="14" t="str">
        <f>equip.xml!C463</f>
        <v>诸界流声</v>
      </c>
      <c r="D459" s="14" t="str">
        <f>equip.xml!D463</f>
        <v>副手武器</v>
      </c>
      <c r="E459" s="14">
        <f>equip.xml!E463</f>
        <v>6</v>
      </c>
      <c r="F459" s="14">
        <f>equip.xml!F463</f>
        <v>1</v>
      </c>
      <c r="G459" s="14">
        <f>equip.xml!G463</f>
        <v>100</v>
      </c>
      <c r="H459" s="14" t="str">
        <f>equip.xml!H463</f>
        <v>3,1003</v>
      </c>
      <c r="I459" s="14">
        <f>equip.xml!J463</f>
        <v>5</v>
      </c>
      <c r="J459" s="14">
        <f>equip.xml!K463</f>
        <v>0</v>
      </c>
      <c r="K459" s="14">
        <f>equip.xml!L463</f>
        <v>0</v>
      </c>
      <c r="L459" s="14" t="str">
        <f>equip.xml!M463</f>
        <v>102_0_0</v>
      </c>
      <c r="M459" s="17" t="str">
        <f>equip.xml!Q463</f>
        <v>equipment/2301.png</v>
      </c>
      <c r="N459" s="16" t="str">
        <f>equip.xml!P463</f>
        <v>10000_1002_70000,30000_30001_1,30000_30002_1,30000_30003_1</v>
      </c>
      <c r="O459">
        <f>equip.xml!R463</f>
        <v>0</v>
      </c>
    </row>
    <row r="460" spans="1:15">
      <c r="A460" s="14">
        <f>equip.xml!A464</f>
        <v>11000040</v>
      </c>
      <c r="B460" s="14">
        <f>equip.xml!B464</f>
        <v>0</v>
      </c>
      <c r="C460" s="14" t="str">
        <f>equip.xml!C464</f>
        <v>光明圣铠</v>
      </c>
      <c r="D460" s="14" t="str">
        <f>equip.xml!D464</f>
        <v>胸甲</v>
      </c>
      <c r="E460" s="14">
        <f>equip.xml!E464</f>
        <v>4</v>
      </c>
      <c r="F460" s="14">
        <f>equip.xml!F464</f>
        <v>1</v>
      </c>
      <c r="G460" s="14">
        <f>equip.xml!G464</f>
        <v>100</v>
      </c>
      <c r="H460" s="14">
        <f>equip.xml!H464</f>
        <v>0</v>
      </c>
      <c r="I460" s="14">
        <f>equip.xml!J464</f>
        <v>5</v>
      </c>
      <c r="J460" s="14">
        <f>equip.xml!K464</f>
        <v>0</v>
      </c>
      <c r="K460" s="14">
        <f>equip.xml!L464</f>
        <v>0</v>
      </c>
      <c r="L460" s="14" t="str">
        <f>equip.xml!M464</f>
        <v>105_4249_4249</v>
      </c>
      <c r="M460" s="17" t="str">
        <f>equip.xml!Q464</f>
        <v>equipment/5001.png</v>
      </c>
      <c r="N460" s="16" t="str">
        <f>equip.xml!P464</f>
        <v>10000_1002_70000,30000_30001_1,30000_30002_1,30000_30003_1</v>
      </c>
      <c r="O460">
        <f>equip.xml!R464</f>
        <v>0</v>
      </c>
    </row>
    <row r="461" spans="1:15">
      <c r="A461" s="14">
        <f>equip.xml!A465</f>
        <v>11000041</v>
      </c>
      <c r="B461" s="14">
        <f>equip.xml!B465</f>
        <v>0</v>
      </c>
      <c r="C461" s="14" t="str">
        <f>equip.xml!C465</f>
        <v>碎界之铠</v>
      </c>
      <c r="D461" s="14" t="str">
        <f>equip.xml!D465</f>
        <v>胸甲</v>
      </c>
      <c r="E461" s="14">
        <f>equip.xml!E465</f>
        <v>4</v>
      </c>
      <c r="F461" s="14">
        <f>equip.xml!F465</f>
        <v>1</v>
      </c>
      <c r="G461" s="14">
        <f>equip.xml!G465</f>
        <v>100</v>
      </c>
      <c r="H461" s="14">
        <f>equip.xml!H465</f>
        <v>0</v>
      </c>
      <c r="I461" s="14">
        <f>equip.xml!J465</f>
        <v>5</v>
      </c>
      <c r="J461" s="14">
        <f>equip.xml!K465</f>
        <v>0</v>
      </c>
      <c r="K461" s="14">
        <f>equip.xml!L465</f>
        <v>0</v>
      </c>
      <c r="L461" s="14" t="str">
        <f>equip.xml!M465</f>
        <v>105_0_0</v>
      </c>
      <c r="M461" s="17" t="str">
        <f>equip.xml!Q465</f>
        <v>equipment/5001.png</v>
      </c>
      <c r="N461" s="16" t="str">
        <f>equip.xml!P465</f>
        <v>10000_1002_70000,30000_30001_1,30000_30002_1,30000_30003_1</v>
      </c>
      <c r="O461">
        <f>equip.xml!R465</f>
        <v>0</v>
      </c>
    </row>
    <row r="462" spans="1:15">
      <c r="A462" s="14">
        <f>equip.xml!A466</f>
        <v>11000070</v>
      </c>
      <c r="B462" s="14">
        <f>equip.xml!B466</f>
        <v>0</v>
      </c>
      <c r="C462" s="14" t="str">
        <f>equip.xml!C466</f>
        <v>渡魂护腿</v>
      </c>
      <c r="D462" s="14" t="str">
        <f>equip.xml!D466</f>
        <v>护腿</v>
      </c>
      <c r="E462" s="14">
        <f>equip.xml!E466</f>
        <v>7</v>
      </c>
      <c r="F462" s="14">
        <f>equip.xml!F466</f>
        <v>1</v>
      </c>
      <c r="G462" s="14">
        <f>equip.xml!G466</f>
        <v>100</v>
      </c>
      <c r="H462" s="14">
        <f>equip.xml!H466</f>
        <v>0</v>
      </c>
      <c r="I462" s="14">
        <f>equip.xml!J466</f>
        <v>5</v>
      </c>
      <c r="J462" s="14">
        <f>equip.xml!K466</f>
        <v>0</v>
      </c>
      <c r="K462" s="14">
        <f>equip.xml!L466</f>
        <v>0</v>
      </c>
      <c r="L462" s="14" t="str">
        <f>equip.xml!M466</f>
        <v>105_4249_4249</v>
      </c>
      <c r="M462" s="17" t="str">
        <f>equip.xml!Q466</f>
        <v>equipment/7001.png</v>
      </c>
      <c r="N462" s="16" t="str">
        <f>equip.xml!P466</f>
        <v>10000_1002_70000,30000_30001_1,30000_30002_1,30000_30003_1</v>
      </c>
      <c r="O462">
        <f>equip.xml!R466</f>
        <v>0</v>
      </c>
    </row>
    <row r="463" spans="1:15">
      <c r="A463" s="14">
        <f>equip.xml!A467</f>
        <v>11000071</v>
      </c>
      <c r="B463" s="14">
        <f>equip.xml!B467</f>
        <v>0</v>
      </c>
      <c r="C463" s="14" t="str">
        <f>equip.xml!C467</f>
        <v>涅磐腿甲</v>
      </c>
      <c r="D463" s="14" t="str">
        <f>equip.xml!D467</f>
        <v>护腿</v>
      </c>
      <c r="E463" s="14">
        <f>equip.xml!E467</f>
        <v>7</v>
      </c>
      <c r="F463" s="14">
        <f>equip.xml!F467</f>
        <v>1</v>
      </c>
      <c r="G463" s="14">
        <f>equip.xml!G467</f>
        <v>100</v>
      </c>
      <c r="H463" s="14">
        <f>equip.xml!H467</f>
        <v>0</v>
      </c>
      <c r="I463" s="14">
        <f>equip.xml!J467</f>
        <v>5</v>
      </c>
      <c r="J463" s="14">
        <f>equip.xml!K467</f>
        <v>0</v>
      </c>
      <c r="K463" s="14">
        <f>equip.xml!L467</f>
        <v>0</v>
      </c>
      <c r="L463" s="14" t="str">
        <f>equip.xml!M467</f>
        <v>105_0_0</v>
      </c>
      <c r="M463" s="17" t="str">
        <f>equip.xml!Q467</f>
        <v>equipment/7001.png</v>
      </c>
      <c r="N463" s="16" t="str">
        <f>equip.xml!P467</f>
        <v>10000_1002_70000,30000_30001_1,30000_30002_1,30000_30003_1</v>
      </c>
      <c r="O463">
        <f>equip.xml!R467</f>
        <v>0</v>
      </c>
    </row>
    <row r="464" spans="1:15">
      <c r="A464" s="14" t="str">
        <f>equip.xml!A468</f>
        <v>20010010</v>
      </c>
      <c r="B464" s="14">
        <f>equip.xml!B468</f>
        <v>0</v>
      </c>
      <c r="C464" s="14" t="str">
        <f>equip.xml!C468</f>
        <v>纹饰帽</v>
      </c>
      <c r="D464" s="14" t="str">
        <f>equip.xml!D468</f>
        <v>头盔</v>
      </c>
      <c r="E464" s="14">
        <f>equip.xml!E468</f>
        <v>1</v>
      </c>
      <c r="F464" s="14">
        <f>equip.xml!F468</f>
        <v>2</v>
      </c>
      <c r="G464" s="14">
        <f>equip.xml!G468</f>
        <v>1</v>
      </c>
      <c r="H464" s="14">
        <f>equip.xml!H468</f>
        <v>0</v>
      </c>
      <c r="I464" s="14">
        <f>equip.xml!J468</f>
        <v>10</v>
      </c>
      <c r="J464" s="14">
        <f>equip.xml!K468</f>
        <v>0</v>
      </c>
      <c r="K464" s="14">
        <f>equip.xml!L468</f>
        <v>0</v>
      </c>
      <c r="L464" s="14" t="str">
        <f>equip.xml!M468</f>
        <v>106_0_0</v>
      </c>
      <c r="M464" s="17" t="str">
        <f>equip.xml!Q468</f>
        <v>equipment/3001.png</v>
      </c>
      <c r="N464" s="16" t="str">
        <f>equip.xml!P468</f>
        <v>10000_1002_1000,30000_30001_1,30000_30002_1,30000_30003_1</v>
      </c>
      <c r="O464">
        <f>equip.xml!R468</f>
        <v>0</v>
      </c>
    </row>
    <row r="465" spans="1:15">
      <c r="A465" s="14" t="str">
        <f>equip.xml!A469</f>
        <v>20010020</v>
      </c>
      <c r="B465" s="14">
        <f>equip.xml!B469</f>
        <v>0</v>
      </c>
      <c r="C465" s="14" t="str">
        <f>equip.xml!C469</f>
        <v>金戒指</v>
      </c>
      <c r="D465" s="14" t="str">
        <f>equip.xml!D469</f>
        <v>戒指</v>
      </c>
      <c r="E465" s="14">
        <f>equip.xml!E469</f>
        <v>2</v>
      </c>
      <c r="F465" s="14">
        <f>equip.xml!F469</f>
        <v>2</v>
      </c>
      <c r="G465" s="14">
        <f>equip.xml!G469</f>
        <v>1</v>
      </c>
      <c r="H465" s="14">
        <f>equip.xml!H469</f>
        <v>0</v>
      </c>
      <c r="I465" s="14">
        <f>equip.xml!J469</f>
        <v>10</v>
      </c>
      <c r="J465" s="14">
        <f>equip.xml!K469</f>
        <v>0</v>
      </c>
      <c r="K465" s="14">
        <f>equip.xml!L469</f>
        <v>0</v>
      </c>
      <c r="L465" s="14" t="str">
        <f>equip.xml!M469</f>
        <v>102_20_20</v>
      </c>
      <c r="M465" s="17" t="str">
        <f>equip.xml!Q469</f>
        <v>equipment/14001.png</v>
      </c>
      <c r="N465" s="16" t="str">
        <f>equip.xml!P469</f>
        <v>10000_1002_1000,30000_30001_1,30000_30002_1,30000_30003_1</v>
      </c>
      <c r="O465">
        <f>equip.xml!R469</f>
        <v>0</v>
      </c>
    </row>
    <row r="466" spans="1:15">
      <c r="A466" s="14" t="str">
        <f>equip.xml!A470</f>
        <v>20010030</v>
      </c>
      <c r="B466" s="14">
        <f>equip.xml!B470</f>
        <v>0</v>
      </c>
      <c r="C466" s="14" t="str">
        <f>equip.xml!C470</f>
        <v>兽皮腰带</v>
      </c>
      <c r="D466" s="14" t="str">
        <f>equip.xml!D470</f>
        <v>腰带</v>
      </c>
      <c r="E466" s="14">
        <f>equip.xml!E470</f>
        <v>3</v>
      </c>
      <c r="F466" s="14">
        <f>equip.xml!F470</f>
        <v>2</v>
      </c>
      <c r="G466" s="14">
        <f>equip.xml!G470</f>
        <v>1</v>
      </c>
      <c r="H466" s="14">
        <f>equip.xml!H470</f>
        <v>0</v>
      </c>
      <c r="I466" s="14">
        <f>equip.xml!J470</f>
        <v>10</v>
      </c>
      <c r="J466" s="14">
        <f>equip.xml!K470</f>
        <v>0</v>
      </c>
      <c r="K466" s="14">
        <f>equip.xml!L470</f>
        <v>0</v>
      </c>
      <c r="L466" s="14" t="str">
        <f>equip.xml!M470</f>
        <v>101_100_100</v>
      </c>
      <c r="M466" s="17" t="str">
        <f>equip.xml!Q470</f>
        <v>equipment/6001.png</v>
      </c>
      <c r="N466" s="16" t="str">
        <f>equip.xml!P470</f>
        <v>10000_1002_1000,30000_30001_1,30000_30002_1,30000_30003_1</v>
      </c>
      <c r="O466">
        <f>equip.xml!R470</f>
        <v>0</v>
      </c>
    </row>
    <row r="467" spans="1:15">
      <c r="A467" s="14" t="str">
        <f>equip.xml!A471</f>
        <v>20010080</v>
      </c>
      <c r="B467" s="14">
        <f>equip.xml!B471</f>
        <v>1</v>
      </c>
      <c r="C467" s="14" t="str">
        <f>equip.xml!C471</f>
        <v>皮靴</v>
      </c>
      <c r="D467" s="14" t="str">
        <f>equip.xml!D471</f>
        <v>鞋子</v>
      </c>
      <c r="E467" s="14">
        <f>equip.xml!E471</f>
        <v>8</v>
      </c>
      <c r="F467" s="14">
        <f>equip.xml!F471</f>
        <v>2</v>
      </c>
      <c r="G467" s="14">
        <f>equip.xml!G471</f>
        <v>1</v>
      </c>
      <c r="H467" s="14">
        <f>equip.xml!H471</f>
        <v>0</v>
      </c>
      <c r="I467" s="14">
        <f>equip.xml!J471</f>
        <v>10</v>
      </c>
      <c r="J467" s="14">
        <f>equip.xml!K471</f>
        <v>0</v>
      </c>
      <c r="K467" s="14">
        <f>equip.xml!L471</f>
        <v>0</v>
      </c>
      <c r="L467" s="14" t="str">
        <f>equip.xml!M471</f>
        <v>110_4_4</v>
      </c>
      <c r="M467" s="17" t="str">
        <f>equip.xml!Q471</f>
        <v>equipment/8001.png</v>
      </c>
      <c r="N467" s="16" t="str">
        <f>equip.xml!P471</f>
        <v>10000_1002_1000,30000_30001_1,30000_30002_1,30000_30003_1</v>
      </c>
      <c r="O467">
        <f>equip.xml!R471</f>
        <v>0</v>
      </c>
    </row>
    <row r="468" spans="1:15">
      <c r="A468" s="14" t="str">
        <f>equip.xml!A472</f>
        <v>20010090</v>
      </c>
      <c r="B468" s="14">
        <f>equip.xml!B472</f>
        <v>1</v>
      </c>
      <c r="C468" s="14" t="str">
        <f>equip.xml!C472</f>
        <v>轻布手套</v>
      </c>
      <c r="D468" s="14" t="str">
        <f>equip.xml!D472</f>
        <v>手套</v>
      </c>
      <c r="E468" s="14">
        <f>equip.xml!E472</f>
        <v>9</v>
      </c>
      <c r="F468" s="14">
        <f>equip.xml!F472</f>
        <v>2</v>
      </c>
      <c r="G468" s="14">
        <f>equip.xml!G472</f>
        <v>1</v>
      </c>
      <c r="H468" s="14">
        <f>equip.xml!H472</f>
        <v>0</v>
      </c>
      <c r="I468" s="14">
        <f>equip.xml!J472</f>
        <v>10</v>
      </c>
      <c r="J468" s="14">
        <f>equip.xml!K472</f>
        <v>0</v>
      </c>
      <c r="K468" s="14">
        <f>equip.xml!L472</f>
        <v>0</v>
      </c>
      <c r="L468" s="14" t="str">
        <f>equip.xml!M472</f>
        <v>108_9_9</v>
      </c>
      <c r="M468" s="17" t="str">
        <f>equip.xml!Q472</f>
        <v>equipment/10001.png</v>
      </c>
      <c r="N468" s="16" t="str">
        <f>equip.xml!P472</f>
        <v>10000_1002_1000,30000_30001_1,30000_30002_1,30000_30003_1</v>
      </c>
      <c r="O468">
        <f>equip.xml!R472</f>
        <v>0</v>
      </c>
    </row>
    <row r="469" spans="1:15">
      <c r="A469" s="14" t="str">
        <f>equip.xml!A473</f>
        <v>20010100</v>
      </c>
      <c r="B469" s="14">
        <f>equip.xml!B473</f>
        <v>0</v>
      </c>
      <c r="C469" s="14" t="str">
        <f>equip.xml!C473</f>
        <v>贝壳项链</v>
      </c>
      <c r="D469" s="14" t="str">
        <f>equip.xml!D473</f>
        <v>项链</v>
      </c>
      <c r="E469" s="14">
        <f>equip.xml!E473</f>
        <v>10</v>
      </c>
      <c r="F469" s="14">
        <f>equip.xml!F473</f>
        <v>2</v>
      </c>
      <c r="G469" s="14">
        <f>equip.xml!G473</f>
        <v>1</v>
      </c>
      <c r="H469" s="14">
        <f>equip.xml!H473</f>
        <v>0</v>
      </c>
      <c r="I469" s="14">
        <f>equip.xml!J473</f>
        <v>10</v>
      </c>
      <c r="J469" s="14">
        <f>equip.xml!K473</f>
        <v>0</v>
      </c>
      <c r="K469" s="14">
        <f>equip.xml!L473</f>
        <v>0</v>
      </c>
      <c r="L469" s="14" t="str">
        <f>equip.xml!M473</f>
        <v>107_0_0</v>
      </c>
      <c r="M469" s="17" t="str">
        <f>equip.xml!Q473</f>
        <v>equipment/12001.png</v>
      </c>
      <c r="N469" s="16" t="str">
        <f>equip.xml!P473</f>
        <v>10000_1002_1000,30000_30001_1,30000_30002_1,30000_30003_1</v>
      </c>
      <c r="O469">
        <f>equip.xml!R473</f>
        <v>0</v>
      </c>
    </row>
    <row r="470" spans="1:15">
      <c r="A470" s="14" t="str">
        <f>equip.xml!A474</f>
        <v>20011050</v>
      </c>
      <c r="B470" s="14">
        <f>equip.xml!B474</f>
        <v>1</v>
      </c>
      <c r="C470" s="14" t="str">
        <f>equip.xml!C474</f>
        <v>短剑</v>
      </c>
      <c r="D470" s="14" t="str">
        <f>equip.xml!D474</f>
        <v>主手武器</v>
      </c>
      <c r="E470" s="14">
        <f>equip.xml!E474</f>
        <v>5</v>
      </c>
      <c r="F470" s="14">
        <f>equip.xml!F474</f>
        <v>2</v>
      </c>
      <c r="G470" s="14">
        <f>equip.xml!G474</f>
        <v>1</v>
      </c>
      <c r="H470" s="14" t="str">
        <f>equip.xml!H474</f>
        <v>1,1001</v>
      </c>
      <c r="I470" s="14">
        <f>equip.xml!J474</f>
        <v>10</v>
      </c>
      <c r="J470" s="14">
        <f>equip.xml!K474</f>
        <v>0</v>
      </c>
      <c r="K470" s="14">
        <f>equip.xml!L474</f>
        <v>0</v>
      </c>
      <c r="L470" s="14" t="str">
        <f>equip.xml!M474</f>
        <v>103_2_2,104_6_6</v>
      </c>
      <c r="M470" s="17" t="str">
        <f>equip.xml!Q474</f>
        <v>equipment/1101.png</v>
      </c>
      <c r="N470" s="16" t="str">
        <f>equip.xml!P474</f>
        <v>10000_1002_1000,30000_30001_1,30000_30002_1,30000_30003_1</v>
      </c>
      <c r="O470">
        <f>equip.xml!R474</f>
        <v>0</v>
      </c>
    </row>
    <row r="471" spans="1:15">
      <c r="A471" s="14" t="str">
        <f>equip.xml!A475</f>
        <v>20011051</v>
      </c>
      <c r="B471" s="14">
        <f>equip.xml!B475</f>
        <v>1</v>
      </c>
      <c r="C471" s="14" t="str">
        <f>equip.xml!C475</f>
        <v>军刀</v>
      </c>
      <c r="D471" s="14" t="str">
        <f>equip.xml!D475</f>
        <v>主手武器</v>
      </c>
      <c r="E471" s="14">
        <f>equip.xml!E475</f>
        <v>5</v>
      </c>
      <c r="F471" s="14">
        <f>equip.xml!F475</f>
        <v>2</v>
      </c>
      <c r="G471" s="14">
        <f>equip.xml!G475</f>
        <v>1</v>
      </c>
      <c r="H471" s="14" t="str">
        <f>equip.xml!H475</f>
        <v>1,1001</v>
      </c>
      <c r="I471" s="14">
        <f>equip.xml!J475</f>
        <v>10</v>
      </c>
      <c r="J471" s="14">
        <f>equip.xml!K475</f>
        <v>0</v>
      </c>
      <c r="K471" s="14">
        <f>equip.xml!L475</f>
        <v>0</v>
      </c>
      <c r="L471" s="14" t="str">
        <f>equip.xml!M475</f>
        <v>103_5_5,104_12_12</v>
      </c>
      <c r="M471" s="17" t="str">
        <f>equip.xml!Q475</f>
        <v>equipment/1102.png</v>
      </c>
      <c r="N471" s="16" t="str">
        <f>equip.xml!P475</f>
        <v>10000_1002_1000,30000_30001_1,30000_30002_1,30000_30003_1</v>
      </c>
      <c r="O471">
        <f>equip.xml!R475</f>
        <v>0</v>
      </c>
    </row>
    <row r="472" spans="1:15">
      <c r="A472" s="14" t="str">
        <f>equip.xml!A476</f>
        <v>20011060</v>
      </c>
      <c r="B472" s="14">
        <f>equip.xml!B476</f>
        <v>1</v>
      </c>
      <c r="C472" s="14" t="str">
        <f>equip.xml!C476</f>
        <v>小圆盾</v>
      </c>
      <c r="D472" s="14" t="str">
        <f>equip.xml!D476</f>
        <v>副手武器</v>
      </c>
      <c r="E472" s="14">
        <f>equip.xml!E476</f>
        <v>6</v>
      </c>
      <c r="F472" s="14">
        <f>equip.xml!F476</f>
        <v>2</v>
      </c>
      <c r="G472" s="14">
        <f>equip.xml!G476</f>
        <v>1</v>
      </c>
      <c r="H472" s="14" t="str">
        <f>equip.xml!H476</f>
        <v>1,1001</v>
      </c>
      <c r="I472" s="14">
        <f>equip.xml!J476</f>
        <v>10</v>
      </c>
      <c r="J472" s="14">
        <f>equip.xml!K476</f>
        <v>0</v>
      </c>
      <c r="K472" s="14">
        <f>equip.xml!L476</f>
        <v>0</v>
      </c>
      <c r="L472" s="14" t="str">
        <f>equip.xml!M476</f>
        <v>105_4_4</v>
      </c>
      <c r="M472" s="17" t="str">
        <f>equip.xml!Q476</f>
        <v>equipment/2101.png</v>
      </c>
      <c r="N472" s="16" t="str">
        <f>equip.xml!P476</f>
        <v>10000_1002_1000,30000_30001_1,30000_30002_1,30000_30003_1</v>
      </c>
      <c r="O472">
        <f>equip.xml!R476</f>
        <v>0</v>
      </c>
    </row>
    <row r="473" spans="1:15">
      <c r="A473" s="14" t="str">
        <f>equip.xml!A477</f>
        <v>20011061</v>
      </c>
      <c r="B473" s="14">
        <f>equip.xml!B477</f>
        <v>0</v>
      </c>
      <c r="C473" s="14" t="str">
        <f>equip.xml!C477</f>
        <v>尖头盾</v>
      </c>
      <c r="D473" s="14" t="str">
        <f>equip.xml!D477</f>
        <v>副手武器</v>
      </c>
      <c r="E473" s="14">
        <f>equip.xml!E477</f>
        <v>6</v>
      </c>
      <c r="F473" s="14">
        <f>equip.xml!F477</f>
        <v>2</v>
      </c>
      <c r="G473" s="14">
        <f>equip.xml!G477</f>
        <v>1</v>
      </c>
      <c r="H473" s="14" t="str">
        <f>equip.xml!H477</f>
        <v>1,1001</v>
      </c>
      <c r="I473" s="14">
        <f>equip.xml!J477</f>
        <v>10</v>
      </c>
      <c r="J473" s="14">
        <f>equip.xml!K477</f>
        <v>0</v>
      </c>
      <c r="K473" s="14">
        <f>equip.xml!L477</f>
        <v>0</v>
      </c>
      <c r="L473" s="14" t="str">
        <f>equip.xml!M477</f>
        <v>105_7_7</v>
      </c>
      <c r="M473" s="17" t="str">
        <f>equip.xml!Q477</f>
        <v>equipment/2101.png</v>
      </c>
      <c r="N473" s="16" t="str">
        <f>equip.xml!P477</f>
        <v>10000_1002_1000,30000_30001_1,30000_30002_1,30000_30003_1</v>
      </c>
      <c r="O473">
        <f>equip.xml!R477</f>
        <v>0</v>
      </c>
    </row>
    <row r="474" spans="1:15">
      <c r="A474" s="14" t="str">
        <f>equip.xml!A478</f>
        <v>20012050</v>
      </c>
      <c r="B474" s="14">
        <f>equip.xml!B478</f>
        <v>1</v>
      </c>
      <c r="C474" s="14" t="str">
        <f>equip.xml!C478</f>
        <v>短弓</v>
      </c>
      <c r="D474" s="14" t="str">
        <f>equip.xml!D478</f>
        <v>主手武器</v>
      </c>
      <c r="E474" s="14">
        <f>equip.xml!E478</f>
        <v>5</v>
      </c>
      <c r="F474" s="14">
        <f>equip.xml!F478</f>
        <v>2</v>
      </c>
      <c r="G474" s="14">
        <f>equip.xml!G478</f>
        <v>1</v>
      </c>
      <c r="H474" s="14" t="str">
        <f>equip.xml!H478</f>
        <v>2,1002</v>
      </c>
      <c r="I474" s="14">
        <f>equip.xml!J478</f>
        <v>10</v>
      </c>
      <c r="J474" s="14">
        <f>equip.xml!K478</f>
        <v>0</v>
      </c>
      <c r="K474" s="14">
        <f>equip.xml!L478</f>
        <v>0</v>
      </c>
      <c r="L474" s="14" t="str">
        <f>equip.xml!M478</f>
        <v>103_2_2,104_6_6</v>
      </c>
      <c r="M474" s="17" t="str">
        <f>equip.xml!Q478</f>
        <v>equipment/1201.png</v>
      </c>
      <c r="N474" s="16" t="str">
        <f>equip.xml!P478</f>
        <v>10000_1002_1000,30000_30001_1,30000_30002_1,30000_30003_1</v>
      </c>
      <c r="O474">
        <f>equip.xml!R478</f>
        <v>0</v>
      </c>
    </row>
    <row r="475" spans="1:15">
      <c r="A475" s="14" t="str">
        <f>equip.xml!A479</f>
        <v>20012051</v>
      </c>
      <c r="B475" s="14">
        <f>equip.xml!B479</f>
        <v>1</v>
      </c>
      <c r="C475" s="14" t="str">
        <f>equip.xml!C479</f>
        <v>棘木弓</v>
      </c>
      <c r="D475" s="14" t="str">
        <f>equip.xml!D479</f>
        <v>主手武器</v>
      </c>
      <c r="E475" s="14">
        <f>equip.xml!E479</f>
        <v>5</v>
      </c>
      <c r="F475" s="14">
        <f>equip.xml!F479</f>
        <v>2</v>
      </c>
      <c r="G475" s="14">
        <f>equip.xml!G479</f>
        <v>1</v>
      </c>
      <c r="H475" s="14" t="str">
        <f>equip.xml!H479</f>
        <v>2,1002</v>
      </c>
      <c r="I475" s="14">
        <f>equip.xml!J479</f>
        <v>10</v>
      </c>
      <c r="J475" s="14">
        <f>equip.xml!K479</f>
        <v>0</v>
      </c>
      <c r="K475" s="14">
        <f>equip.xml!L479</f>
        <v>0</v>
      </c>
      <c r="L475" s="14" t="str">
        <f>equip.xml!M479</f>
        <v>103_5_5,104_12_12</v>
      </c>
      <c r="M475" s="17" t="str">
        <f>equip.xml!Q479</f>
        <v>equipment/1202.png</v>
      </c>
      <c r="N475" s="16" t="str">
        <f>equip.xml!P479</f>
        <v>10000_1002_1000,30000_30001_1,30000_30002_1,30000_30003_1</v>
      </c>
      <c r="O475">
        <f>equip.xml!R479</f>
        <v>0</v>
      </c>
    </row>
    <row r="476" spans="1:15">
      <c r="A476" s="14" t="str">
        <f>equip.xml!A480</f>
        <v>20012060</v>
      </c>
      <c r="B476" s="14">
        <f>equip.xml!B480</f>
        <v>1</v>
      </c>
      <c r="C476" s="14" t="str">
        <f>equip.xml!C480</f>
        <v>小箭筒</v>
      </c>
      <c r="D476" s="14" t="str">
        <f>equip.xml!D480</f>
        <v>副手武器</v>
      </c>
      <c r="E476" s="14">
        <f>equip.xml!E480</f>
        <v>6</v>
      </c>
      <c r="F476" s="14">
        <f>equip.xml!F480</f>
        <v>2</v>
      </c>
      <c r="G476" s="14">
        <f>equip.xml!G480</f>
        <v>1</v>
      </c>
      <c r="H476" s="14" t="str">
        <f>equip.xml!H480</f>
        <v>2,1002</v>
      </c>
      <c r="I476" s="14">
        <f>equip.xml!J480</f>
        <v>10</v>
      </c>
      <c r="J476" s="14">
        <f>equip.xml!K480</f>
        <v>0</v>
      </c>
      <c r="K476" s="14">
        <f>equip.xml!L480</f>
        <v>0</v>
      </c>
      <c r="L476" s="14" t="str">
        <f>equip.xml!M480</f>
        <v>108_4_4</v>
      </c>
      <c r="M476" s="17" t="str">
        <f>equip.xml!Q480</f>
        <v>equipment/2201.png</v>
      </c>
      <c r="N476" s="16" t="str">
        <f>equip.xml!P480</f>
        <v>10000_1002_1000,30000_30001_1,30000_30002_1,30000_30003_1</v>
      </c>
      <c r="O476">
        <f>equip.xml!R480</f>
        <v>0</v>
      </c>
    </row>
    <row r="477" spans="1:15">
      <c r="A477" s="14" t="str">
        <f>equip.xml!A481</f>
        <v>20012061</v>
      </c>
      <c r="B477" s="14">
        <f>equip.xml!B481</f>
        <v>0</v>
      </c>
      <c r="C477" s="14" t="str">
        <f>equip.xml!C481</f>
        <v>箭筒</v>
      </c>
      <c r="D477" s="14" t="str">
        <f>equip.xml!D481</f>
        <v>副手武器</v>
      </c>
      <c r="E477" s="14">
        <f>equip.xml!E481</f>
        <v>6</v>
      </c>
      <c r="F477" s="14">
        <f>equip.xml!F481</f>
        <v>2</v>
      </c>
      <c r="G477" s="14">
        <f>equip.xml!G481</f>
        <v>1</v>
      </c>
      <c r="H477" s="14" t="str">
        <f>equip.xml!H481</f>
        <v>2,1002</v>
      </c>
      <c r="I477" s="14">
        <f>equip.xml!J481</f>
        <v>10</v>
      </c>
      <c r="J477" s="14">
        <f>equip.xml!K481</f>
        <v>0</v>
      </c>
      <c r="K477" s="14">
        <f>equip.xml!L481</f>
        <v>0</v>
      </c>
      <c r="L477" s="14" t="str">
        <f>equip.xml!M481</f>
        <v>108_7_7</v>
      </c>
      <c r="M477" s="17" t="str">
        <f>equip.xml!Q481</f>
        <v>equipment/2201.png</v>
      </c>
      <c r="N477" s="16" t="str">
        <f>equip.xml!P481</f>
        <v>10000_1002_1000,30000_30001_1,30000_30002_1,30000_30003_1</v>
      </c>
      <c r="O477">
        <f>equip.xml!R481</f>
        <v>0</v>
      </c>
    </row>
    <row r="478" spans="1:15">
      <c r="A478" s="14" t="str">
        <f>equip.xml!A482</f>
        <v>20013050</v>
      </c>
      <c r="B478" s="14">
        <f>equip.xml!B482</f>
        <v>1</v>
      </c>
      <c r="C478" s="14" t="str">
        <f>equip.xml!C482</f>
        <v>训练用杖</v>
      </c>
      <c r="D478" s="14" t="str">
        <f>equip.xml!D482</f>
        <v>主手武器</v>
      </c>
      <c r="E478" s="14">
        <f>equip.xml!E482</f>
        <v>5</v>
      </c>
      <c r="F478" s="14">
        <f>equip.xml!F482</f>
        <v>2</v>
      </c>
      <c r="G478" s="14">
        <f>equip.xml!G482</f>
        <v>1</v>
      </c>
      <c r="H478" s="14" t="str">
        <f>equip.xml!H482</f>
        <v>3,1003</v>
      </c>
      <c r="I478" s="14">
        <f>equip.xml!J482</f>
        <v>10</v>
      </c>
      <c r="J478" s="14">
        <f>equip.xml!K482</f>
        <v>0</v>
      </c>
      <c r="K478" s="14">
        <f>equip.xml!L482</f>
        <v>0</v>
      </c>
      <c r="L478" s="14" t="str">
        <f>equip.xml!M482</f>
        <v>103_2_2,104_6_6</v>
      </c>
      <c r="M478" s="17" t="str">
        <f>equip.xml!Q482</f>
        <v>equipment/1301.png</v>
      </c>
      <c r="N478" s="16" t="str">
        <f>equip.xml!P482</f>
        <v>10000_1002_1000,30000_30001_1,30000_30002_1,30000_30003_1</v>
      </c>
      <c r="O478">
        <f>equip.xml!R482</f>
        <v>0</v>
      </c>
    </row>
    <row r="479" spans="1:15">
      <c r="A479" s="14" t="str">
        <f>equip.xml!A483</f>
        <v>20013051</v>
      </c>
      <c r="B479" s="14">
        <f>equip.xml!B483</f>
        <v>1</v>
      </c>
      <c r="C479" s="14" t="str">
        <f>equip.xml!C483</f>
        <v>学徒法杖</v>
      </c>
      <c r="D479" s="14" t="str">
        <f>equip.xml!D483</f>
        <v>主手武器</v>
      </c>
      <c r="E479" s="14">
        <f>equip.xml!E483</f>
        <v>5</v>
      </c>
      <c r="F479" s="14">
        <f>equip.xml!F483</f>
        <v>2</v>
      </c>
      <c r="G479" s="14">
        <f>equip.xml!G483</f>
        <v>1</v>
      </c>
      <c r="H479" s="14" t="str">
        <f>equip.xml!H483</f>
        <v>3,1003</v>
      </c>
      <c r="I479" s="14">
        <f>equip.xml!J483</f>
        <v>10</v>
      </c>
      <c r="J479" s="14">
        <f>equip.xml!K483</f>
        <v>0</v>
      </c>
      <c r="K479" s="14">
        <f>equip.xml!L483</f>
        <v>0</v>
      </c>
      <c r="L479" s="14" t="str">
        <f>equip.xml!M483</f>
        <v>103_5_5,104_12_12</v>
      </c>
      <c r="M479" s="17" t="str">
        <f>equip.xml!Q483</f>
        <v>equipment/1302.png</v>
      </c>
      <c r="N479" s="16" t="str">
        <f>equip.xml!P483</f>
        <v>10000_1002_1000,30000_30001_1,30000_30002_1,30000_30003_1</v>
      </c>
      <c r="O479">
        <f>equip.xml!R483</f>
        <v>0</v>
      </c>
    </row>
    <row r="480" spans="1:15">
      <c r="A480" s="14" t="str">
        <f>equip.xml!A484</f>
        <v>20013060</v>
      </c>
      <c r="B480" s="14">
        <f>equip.xml!B484</f>
        <v>1</v>
      </c>
      <c r="C480" s="14" t="str">
        <f>equip.xml!C484</f>
        <v>学徒手册</v>
      </c>
      <c r="D480" s="14" t="str">
        <f>equip.xml!D484</f>
        <v>副手武器</v>
      </c>
      <c r="E480" s="14">
        <f>equip.xml!E484</f>
        <v>6</v>
      </c>
      <c r="F480" s="14">
        <f>equip.xml!F484</f>
        <v>2</v>
      </c>
      <c r="G480" s="14">
        <f>equip.xml!G484</f>
        <v>1</v>
      </c>
      <c r="H480" s="14" t="str">
        <f>equip.xml!H484</f>
        <v>3,1003</v>
      </c>
      <c r="I480" s="14">
        <f>equip.xml!J484</f>
        <v>10</v>
      </c>
      <c r="J480" s="14">
        <f>equip.xml!K484</f>
        <v>0</v>
      </c>
      <c r="K480" s="14">
        <f>equip.xml!L484</f>
        <v>0</v>
      </c>
      <c r="L480" s="14" t="str">
        <f>equip.xml!M484</f>
        <v>102_30_30</v>
      </c>
      <c r="M480" s="17" t="str">
        <f>equip.xml!Q484</f>
        <v>equipment/2301.png</v>
      </c>
      <c r="N480" s="16" t="str">
        <f>equip.xml!P484</f>
        <v>10000_1002_1000,30000_30001_1,30000_30002_1,30000_30003_1</v>
      </c>
      <c r="O480">
        <f>equip.xml!R484</f>
        <v>0</v>
      </c>
    </row>
    <row r="481" spans="1:15">
      <c r="A481" s="14" t="str">
        <f>equip.xml!A485</f>
        <v>20013061</v>
      </c>
      <c r="B481" s="14">
        <f>equip.xml!B485</f>
        <v>0</v>
      </c>
      <c r="C481" s="14" t="str">
        <f>equip.xml!C485</f>
        <v>法术指南</v>
      </c>
      <c r="D481" s="14" t="str">
        <f>equip.xml!D485</f>
        <v>副手武器</v>
      </c>
      <c r="E481" s="14">
        <f>equip.xml!E485</f>
        <v>6</v>
      </c>
      <c r="F481" s="14">
        <f>equip.xml!F485</f>
        <v>2</v>
      </c>
      <c r="G481" s="14">
        <f>equip.xml!G485</f>
        <v>1</v>
      </c>
      <c r="H481" s="14" t="str">
        <f>equip.xml!H485</f>
        <v>3,1003</v>
      </c>
      <c r="I481" s="14">
        <f>equip.xml!J485</f>
        <v>10</v>
      </c>
      <c r="J481" s="14">
        <f>equip.xml!K485</f>
        <v>0</v>
      </c>
      <c r="K481" s="14">
        <f>equip.xml!L485</f>
        <v>0</v>
      </c>
      <c r="L481" s="14" t="str">
        <f>equip.xml!M485</f>
        <v>102_7_7</v>
      </c>
      <c r="M481" s="17" t="str">
        <f>equip.xml!Q485</f>
        <v>equipment/2301.png</v>
      </c>
      <c r="N481" s="16" t="str">
        <f>equip.xml!P485</f>
        <v>10000_1002_1000,30000_30001_1,30000_30002_1,30000_30003_1</v>
      </c>
      <c r="O481">
        <f>equip.xml!R485</f>
        <v>0</v>
      </c>
    </row>
    <row r="482" spans="1:15">
      <c r="A482" s="14" t="str">
        <f>equip.xml!A486</f>
        <v>20010040</v>
      </c>
      <c r="B482" s="14">
        <f>equip.xml!B486</f>
        <v>1</v>
      </c>
      <c r="C482" s="14" t="str">
        <f>equip.xml!C486</f>
        <v>新兵外套</v>
      </c>
      <c r="D482" s="14" t="str">
        <f>equip.xml!D486</f>
        <v>胸甲</v>
      </c>
      <c r="E482" s="14">
        <f>equip.xml!E486</f>
        <v>4</v>
      </c>
      <c r="F482" s="14">
        <f>equip.xml!F486</f>
        <v>2</v>
      </c>
      <c r="G482" s="14">
        <f>equip.xml!G486</f>
        <v>1</v>
      </c>
      <c r="H482" s="14">
        <f>equip.xml!H486</f>
        <v>0</v>
      </c>
      <c r="I482" s="14">
        <f>equip.xml!J486</f>
        <v>10</v>
      </c>
      <c r="J482" s="14">
        <f>equip.xml!K486</f>
        <v>0</v>
      </c>
      <c r="K482" s="14">
        <f>equip.xml!L486</f>
        <v>0</v>
      </c>
      <c r="L482" s="14" t="str">
        <f>equip.xml!M486</f>
        <v>105_3_3</v>
      </c>
      <c r="M482" s="17" t="str">
        <f>equip.xml!Q486</f>
        <v>equipment/5001.png</v>
      </c>
      <c r="N482" s="16" t="str">
        <f>equip.xml!P486</f>
        <v>10000_1002_1000,30000_30001_1,30000_30002_1,30000_30003_1</v>
      </c>
      <c r="O482">
        <f>equip.xml!R486</f>
        <v>0</v>
      </c>
    </row>
    <row r="483" spans="1:15">
      <c r="A483" s="14" t="str">
        <f>equip.xml!A487</f>
        <v>20010041</v>
      </c>
      <c r="B483" s="14">
        <f>equip.xml!B487</f>
        <v>0</v>
      </c>
      <c r="C483" s="14" t="str">
        <f>equip.xml!C487</f>
        <v>新兵外套</v>
      </c>
      <c r="D483" s="14" t="str">
        <f>equip.xml!D487</f>
        <v>胸甲</v>
      </c>
      <c r="E483" s="14">
        <f>equip.xml!E487</f>
        <v>4</v>
      </c>
      <c r="F483" s="14">
        <f>equip.xml!F487</f>
        <v>2</v>
      </c>
      <c r="G483" s="14">
        <f>equip.xml!G487</f>
        <v>1</v>
      </c>
      <c r="H483" s="14">
        <f>equip.xml!H487</f>
        <v>0</v>
      </c>
      <c r="I483" s="14">
        <f>equip.xml!J487</f>
        <v>10</v>
      </c>
      <c r="J483" s="14">
        <f>equip.xml!K487</f>
        <v>0</v>
      </c>
      <c r="K483" s="14">
        <f>equip.xml!L487</f>
        <v>0</v>
      </c>
      <c r="L483" s="14" t="str">
        <f>equip.xml!M487</f>
        <v>105_5_5</v>
      </c>
      <c r="M483" s="17" t="str">
        <f>equip.xml!Q487</f>
        <v>equipment/5001.png</v>
      </c>
      <c r="N483" s="16" t="str">
        <f>equip.xml!P487</f>
        <v>10000_1002_1000,30000_30001_1,30000_30002_1,30000_30003_1</v>
      </c>
      <c r="O483">
        <f>equip.xml!R487</f>
        <v>0</v>
      </c>
    </row>
    <row r="484" spans="1:15">
      <c r="A484" s="14" t="str">
        <f>equip.xml!A488</f>
        <v>20010070</v>
      </c>
      <c r="B484" s="14">
        <f>equip.xml!B488</f>
        <v>0</v>
      </c>
      <c r="C484" s="14" t="str">
        <f>equip.xml!C488</f>
        <v>皮甲短裤</v>
      </c>
      <c r="D484" s="14" t="str">
        <f>equip.xml!D488</f>
        <v>护腿</v>
      </c>
      <c r="E484" s="14">
        <f>equip.xml!E488</f>
        <v>7</v>
      </c>
      <c r="F484" s="14">
        <f>equip.xml!F488</f>
        <v>2</v>
      </c>
      <c r="G484" s="14">
        <f>equip.xml!G488</f>
        <v>1</v>
      </c>
      <c r="H484" s="14">
        <f>equip.xml!H488</f>
        <v>0</v>
      </c>
      <c r="I484" s="14">
        <f>equip.xml!J488</f>
        <v>10</v>
      </c>
      <c r="J484" s="14">
        <f>equip.xml!K488</f>
        <v>0</v>
      </c>
      <c r="K484" s="14">
        <f>equip.xml!L488</f>
        <v>0</v>
      </c>
      <c r="L484" s="14" t="str">
        <f>equip.xml!M488</f>
        <v>105_0_0</v>
      </c>
      <c r="M484" s="17" t="str">
        <f>equip.xml!Q488</f>
        <v>equipment/7001.png</v>
      </c>
      <c r="N484" s="16" t="str">
        <f>equip.xml!P488</f>
        <v>10000_1002_1000,30000_30001_1,30000_30002_1,30000_30003_1</v>
      </c>
      <c r="O484">
        <f>equip.xml!R488</f>
        <v>0</v>
      </c>
    </row>
    <row r="485" spans="1:15">
      <c r="A485" s="14" t="str">
        <f>equip.xml!A489</f>
        <v>20010071</v>
      </c>
      <c r="B485" s="14">
        <f>equip.xml!B489</f>
        <v>0</v>
      </c>
      <c r="C485" s="14" t="str">
        <f>equip.xml!C489</f>
        <v>学徒短裤</v>
      </c>
      <c r="D485" s="14" t="str">
        <f>equip.xml!D489</f>
        <v>护腿</v>
      </c>
      <c r="E485" s="14">
        <f>equip.xml!E489</f>
        <v>7</v>
      </c>
      <c r="F485" s="14">
        <f>equip.xml!F489</f>
        <v>2</v>
      </c>
      <c r="G485" s="14">
        <f>equip.xml!G489</f>
        <v>1</v>
      </c>
      <c r="H485" s="14">
        <f>equip.xml!H489</f>
        <v>0</v>
      </c>
      <c r="I485" s="14">
        <f>equip.xml!J489</f>
        <v>10</v>
      </c>
      <c r="J485" s="14">
        <f>equip.xml!K489</f>
        <v>0</v>
      </c>
      <c r="K485" s="14">
        <f>equip.xml!L489</f>
        <v>0</v>
      </c>
      <c r="L485" s="14" t="str">
        <f>equip.xml!M489</f>
        <v>105_1_1</v>
      </c>
      <c r="M485" s="17" t="str">
        <f>equip.xml!Q489</f>
        <v>equipment/7001.png</v>
      </c>
      <c r="N485" s="16" t="str">
        <f>equip.xml!P489</f>
        <v>10000_1002_1000,30000_30001_1,30000_30002_1,30000_30003_1</v>
      </c>
      <c r="O485">
        <f>equip.xml!R489</f>
        <v>0</v>
      </c>
    </row>
    <row r="486" spans="1:15">
      <c r="A486" s="14" t="str">
        <f>equip.xml!A490</f>
        <v>20050010</v>
      </c>
      <c r="B486" s="14">
        <f>equip.xml!B490</f>
        <v>1</v>
      </c>
      <c r="C486" s="14" t="str">
        <f>equip.xml!C490</f>
        <v>纹饰帽</v>
      </c>
      <c r="D486" s="14" t="str">
        <f>equip.xml!D490</f>
        <v>头盔</v>
      </c>
      <c r="E486" s="14">
        <f>equip.xml!E490</f>
        <v>1</v>
      </c>
      <c r="F486" s="14">
        <f>equip.xml!F490</f>
        <v>2</v>
      </c>
      <c r="G486" s="14">
        <f>equip.xml!G490</f>
        <v>5</v>
      </c>
      <c r="H486" s="14">
        <f>equip.xml!H490</f>
        <v>0</v>
      </c>
      <c r="I486" s="14">
        <f>equip.xml!J490</f>
        <v>10</v>
      </c>
      <c r="J486" s="14">
        <f>equip.xml!K490</f>
        <v>0</v>
      </c>
      <c r="K486" s="14">
        <f>equip.xml!L490</f>
        <v>0</v>
      </c>
      <c r="L486" s="14" t="str">
        <f>equip.xml!M490</f>
        <v>106_20_20</v>
      </c>
      <c r="M486" s="17" t="str">
        <f>equip.xml!Q490</f>
        <v>equipment/3001.png</v>
      </c>
      <c r="N486" s="16" t="str">
        <f>equip.xml!P490</f>
        <v>10000_1002_5000,30000_30001_1,30000_30002_1,30000_30003_1</v>
      </c>
      <c r="O486">
        <f>equip.xml!R490</f>
        <v>0</v>
      </c>
    </row>
    <row r="487" spans="1:15">
      <c r="A487" s="14" t="str">
        <f>equip.xml!A491</f>
        <v>20050020</v>
      </c>
      <c r="B487" s="14">
        <f>equip.xml!B491</f>
        <v>1</v>
      </c>
      <c r="C487" s="14" t="str">
        <f>equip.xml!C491</f>
        <v>金戒指</v>
      </c>
      <c r="D487" s="14" t="str">
        <f>equip.xml!D491</f>
        <v>戒指</v>
      </c>
      <c r="E487" s="14">
        <f>equip.xml!E491</f>
        <v>2</v>
      </c>
      <c r="F487" s="14">
        <f>equip.xml!F491</f>
        <v>2</v>
      </c>
      <c r="G487" s="14">
        <f>equip.xml!G491</f>
        <v>5</v>
      </c>
      <c r="H487" s="14">
        <f>equip.xml!H491</f>
        <v>0</v>
      </c>
      <c r="I487" s="14">
        <f>equip.xml!J491</f>
        <v>10</v>
      </c>
      <c r="J487" s="14">
        <f>equip.xml!K491</f>
        <v>0</v>
      </c>
      <c r="K487" s="14">
        <f>equip.xml!L491</f>
        <v>0</v>
      </c>
      <c r="L487" s="14" t="str">
        <f>equip.xml!M491</f>
        <v>102_80_80</v>
      </c>
      <c r="M487" s="17" t="str">
        <f>equip.xml!Q491</f>
        <v>equipment/14001.png</v>
      </c>
      <c r="N487" s="16" t="str">
        <f>equip.xml!P491</f>
        <v>10000_1002_5000,30000_30001_1,30000_30002_1,30000_30003_1</v>
      </c>
      <c r="O487">
        <f>equip.xml!R491</f>
        <v>0</v>
      </c>
    </row>
    <row r="488" spans="1:15">
      <c r="A488" s="14" t="str">
        <f>equip.xml!A492</f>
        <v>20050030</v>
      </c>
      <c r="B488" s="14">
        <f>equip.xml!B492</f>
        <v>1</v>
      </c>
      <c r="C488" s="14" t="str">
        <f>equip.xml!C492</f>
        <v>兽皮腰带</v>
      </c>
      <c r="D488" s="14" t="str">
        <f>equip.xml!D492</f>
        <v>腰带</v>
      </c>
      <c r="E488" s="14">
        <f>equip.xml!E492</f>
        <v>3</v>
      </c>
      <c r="F488" s="14">
        <f>equip.xml!F492</f>
        <v>2</v>
      </c>
      <c r="G488" s="14">
        <f>equip.xml!G492</f>
        <v>5</v>
      </c>
      <c r="H488" s="14">
        <f>equip.xml!H492</f>
        <v>0</v>
      </c>
      <c r="I488" s="14">
        <f>equip.xml!J492</f>
        <v>10</v>
      </c>
      <c r="J488" s="14">
        <f>equip.xml!K492</f>
        <v>0</v>
      </c>
      <c r="K488" s="14">
        <f>equip.xml!L492</f>
        <v>0</v>
      </c>
      <c r="L488" s="14" t="str">
        <f>equip.xml!M492</f>
        <v>101_100_100</v>
      </c>
      <c r="M488" s="17" t="str">
        <f>equip.xml!Q492</f>
        <v>equipment/6001.png</v>
      </c>
      <c r="N488" s="16" t="str">
        <f>equip.xml!P492</f>
        <v>10000_1002_5000,30000_30001_1,30000_30002_1,30000_30003_1</v>
      </c>
      <c r="O488">
        <f>equip.xml!R492</f>
        <v>0</v>
      </c>
    </row>
    <row r="489" spans="1:15">
      <c r="A489" s="14" t="str">
        <f>equip.xml!A493</f>
        <v>20050080</v>
      </c>
      <c r="B489" s="14">
        <f>equip.xml!B493</f>
        <v>0</v>
      </c>
      <c r="C489" s="14" t="str">
        <f>equip.xml!C493</f>
        <v>皮靴</v>
      </c>
      <c r="D489" s="14" t="str">
        <f>equip.xml!D493</f>
        <v>鞋子</v>
      </c>
      <c r="E489" s="14">
        <f>equip.xml!E493</f>
        <v>8</v>
      </c>
      <c r="F489" s="14">
        <f>equip.xml!F493</f>
        <v>2</v>
      </c>
      <c r="G489" s="14">
        <f>equip.xml!G493</f>
        <v>5</v>
      </c>
      <c r="H489" s="14">
        <f>equip.xml!H493</f>
        <v>0</v>
      </c>
      <c r="I489" s="14">
        <f>equip.xml!J493</f>
        <v>10</v>
      </c>
      <c r="J489" s="14">
        <f>equip.xml!K493</f>
        <v>0</v>
      </c>
      <c r="K489" s="14">
        <f>equip.xml!L493</f>
        <v>0</v>
      </c>
      <c r="L489" s="14" t="str">
        <f>equip.xml!M493</f>
        <v>110_7_7</v>
      </c>
      <c r="M489" s="17" t="str">
        <f>equip.xml!Q493</f>
        <v>equipment/8001.png</v>
      </c>
      <c r="N489" s="16" t="str">
        <f>equip.xml!P493</f>
        <v>10000_1002_5000,30000_30001_1,30000_30002_1,30000_30003_1</v>
      </c>
      <c r="O489">
        <f>equip.xml!R493</f>
        <v>0</v>
      </c>
    </row>
    <row r="490" spans="1:15">
      <c r="A490" s="14" t="str">
        <f>equip.xml!A494</f>
        <v>20050090</v>
      </c>
      <c r="B490" s="14">
        <f>equip.xml!B494</f>
        <v>0</v>
      </c>
      <c r="C490" s="14" t="str">
        <f>equip.xml!C494</f>
        <v>轻布手套</v>
      </c>
      <c r="D490" s="14" t="str">
        <f>equip.xml!D494</f>
        <v>手套</v>
      </c>
      <c r="E490" s="14">
        <f>equip.xml!E494</f>
        <v>9</v>
      </c>
      <c r="F490" s="14">
        <f>equip.xml!F494</f>
        <v>2</v>
      </c>
      <c r="G490" s="14">
        <f>equip.xml!G494</f>
        <v>5</v>
      </c>
      <c r="H490" s="14">
        <f>equip.xml!H494</f>
        <v>0</v>
      </c>
      <c r="I490" s="14">
        <f>equip.xml!J494</f>
        <v>10</v>
      </c>
      <c r="J490" s="14">
        <f>equip.xml!K494</f>
        <v>0</v>
      </c>
      <c r="K490" s="14">
        <f>equip.xml!L494</f>
        <v>0</v>
      </c>
      <c r="L490" s="14" t="str">
        <f>equip.xml!M494</f>
        <v>108_23_23</v>
      </c>
      <c r="M490" s="17" t="str">
        <f>equip.xml!Q494</f>
        <v>equipment/10001.png</v>
      </c>
      <c r="N490" s="16" t="str">
        <f>equip.xml!P494</f>
        <v>10000_1002_5000,30000_30001_1,30000_30002_1,30000_30003_1</v>
      </c>
      <c r="O490">
        <f>equip.xml!R494</f>
        <v>0</v>
      </c>
    </row>
    <row r="491" spans="1:15">
      <c r="A491" s="14" t="str">
        <f>equip.xml!A495</f>
        <v>20050100</v>
      </c>
      <c r="B491" s="14">
        <f>equip.xml!B495</f>
        <v>1</v>
      </c>
      <c r="C491" s="14" t="str">
        <f>equip.xml!C495</f>
        <v>贝壳项链</v>
      </c>
      <c r="D491" s="14" t="str">
        <f>equip.xml!D495</f>
        <v>项链</v>
      </c>
      <c r="E491" s="14">
        <f>equip.xml!E495</f>
        <v>10</v>
      </c>
      <c r="F491" s="14">
        <f>equip.xml!F495</f>
        <v>2</v>
      </c>
      <c r="G491" s="14">
        <f>equip.xml!G495</f>
        <v>5</v>
      </c>
      <c r="H491" s="14">
        <f>equip.xml!H495</f>
        <v>0</v>
      </c>
      <c r="I491" s="14">
        <f>equip.xml!J495</f>
        <v>10</v>
      </c>
      <c r="J491" s="14">
        <f>equip.xml!K495</f>
        <v>0</v>
      </c>
      <c r="K491" s="14">
        <f>equip.xml!L495</f>
        <v>0</v>
      </c>
      <c r="L491" s="14" t="str">
        <f>equip.xml!M495</f>
        <v>107_20_20</v>
      </c>
      <c r="M491" s="17" t="str">
        <f>equip.xml!Q495</f>
        <v>equipment/12001.png</v>
      </c>
      <c r="N491" s="16" t="str">
        <f>equip.xml!P495</f>
        <v>10000_1002_5000,30000_30001_1,30000_30002_1,30000_30003_1</v>
      </c>
      <c r="O491">
        <f>equip.xml!R495</f>
        <v>0</v>
      </c>
    </row>
    <row r="492" spans="1:15">
      <c r="A492" s="14" t="str">
        <f>equip.xml!A496</f>
        <v>20051050</v>
      </c>
      <c r="B492" s="14">
        <f>equip.xml!B496</f>
        <v>1</v>
      </c>
      <c r="C492" s="14" t="str">
        <f>equip.xml!C496</f>
        <v>长剑</v>
      </c>
      <c r="D492" s="14" t="str">
        <f>equip.xml!D496</f>
        <v>主手武器</v>
      </c>
      <c r="E492" s="14">
        <f>equip.xml!E496</f>
        <v>5</v>
      </c>
      <c r="F492" s="14">
        <f>equip.xml!F496</f>
        <v>2</v>
      </c>
      <c r="G492" s="14">
        <f>equip.xml!G496</f>
        <v>5</v>
      </c>
      <c r="H492" s="14" t="str">
        <f>equip.xml!H496</f>
        <v>1,1001</v>
      </c>
      <c r="I492" s="14">
        <f>equip.xml!J496</f>
        <v>10</v>
      </c>
      <c r="J492" s="14">
        <f>equip.xml!K496</f>
        <v>0</v>
      </c>
      <c r="K492" s="14">
        <f>equip.xml!L496</f>
        <v>0</v>
      </c>
      <c r="L492" s="14" t="str">
        <f>equip.xml!M496</f>
        <v>103_10_10,104_20_20</v>
      </c>
      <c r="M492" s="17" t="str">
        <f>equip.xml!Q496</f>
        <v>equipment/1103.png</v>
      </c>
      <c r="N492" s="16" t="str">
        <f>equip.xml!P496</f>
        <v>10000_1002_5000,30000_30001_1,30000_30002_1,30000_30003_1</v>
      </c>
      <c r="O492">
        <f>equip.xml!R496</f>
        <v>0</v>
      </c>
    </row>
    <row r="493" spans="1:15">
      <c r="A493" s="14" t="str">
        <f>equip.xml!A497</f>
        <v>20051051</v>
      </c>
      <c r="B493" s="14">
        <f>equip.xml!B497</f>
        <v>1</v>
      </c>
      <c r="C493" s="14" t="str">
        <f>equip.xml!C497</f>
        <v>双刃剑</v>
      </c>
      <c r="D493" s="14" t="str">
        <f>equip.xml!D497</f>
        <v>主手武器</v>
      </c>
      <c r="E493" s="14">
        <f>equip.xml!E497</f>
        <v>5</v>
      </c>
      <c r="F493" s="14">
        <f>equip.xml!F497</f>
        <v>2</v>
      </c>
      <c r="G493" s="14">
        <f>equip.xml!G497</f>
        <v>5</v>
      </c>
      <c r="H493" s="14" t="str">
        <f>equip.xml!H497</f>
        <v>1,1001</v>
      </c>
      <c r="I493" s="14">
        <f>equip.xml!J497</f>
        <v>10</v>
      </c>
      <c r="J493" s="14">
        <f>equip.xml!K497</f>
        <v>0</v>
      </c>
      <c r="K493" s="14">
        <f>equip.xml!L497</f>
        <v>0</v>
      </c>
      <c r="L493" s="14" t="str">
        <f>equip.xml!M497</f>
        <v>103_18_18,104_38_38</v>
      </c>
      <c r="M493" s="17" t="str">
        <f>equip.xml!Q497</f>
        <v>equipment/1104.png</v>
      </c>
      <c r="N493" s="16" t="str">
        <f>equip.xml!P497</f>
        <v>10000_1002_5000,30000_30001_1,30000_30002_1,30000_30003_1</v>
      </c>
      <c r="O493">
        <f>equip.xml!R497</f>
        <v>0</v>
      </c>
    </row>
    <row r="494" spans="1:15">
      <c r="A494" s="14" t="str">
        <f>equip.xml!A498</f>
        <v>20051060</v>
      </c>
      <c r="B494" s="14">
        <f>equip.xml!B498</f>
        <v>1</v>
      </c>
      <c r="C494" s="14" t="str">
        <f>equip.xml!C498</f>
        <v>尖头盾</v>
      </c>
      <c r="D494" s="14" t="str">
        <f>equip.xml!D498</f>
        <v>副手武器</v>
      </c>
      <c r="E494" s="14">
        <f>equip.xml!E498</f>
        <v>6</v>
      </c>
      <c r="F494" s="14">
        <f>equip.xml!F498</f>
        <v>2</v>
      </c>
      <c r="G494" s="14">
        <f>equip.xml!G498</f>
        <v>5</v>
      </c>
      <c r="H494" s="14" t="str">
        <f>equip.xml!H498</f>
        <v>1,1001</v>
      </c>
      <c r="I494" s="14">
        <f>equip.xml!J498</f>
        <v>10</v>
      </c>
      <c r="J494" s="14">
        <f>equip.xml!K498</f>
        <v>0</v>
      </c>
      <c r="K494" s="14">
        <f>equip.xml!L498</f>
        <v>0</v>
      </c>
      <c r="L494" s="14" t="str">
        <f>equip.xml!M498</f>
        <v>105_12_12</v>
      </c>
      <c r="M494" s="17" t="str">
        <f>equip.xml!Q498</f>
        <v>equipment/2102.png</v>
      </c>
      <c r="N494" s="16" t="str">
        <f>equip.xml!P498</f>
        <v>10000_1002_5000,30000_30001_1,30000_30002_1,30000_30003_1</v>
      </c>
      <c r="O494">
        <f>equip.xml!R498</f>
        <v>0</v>
      </c>
    </row>
    <row r="495" spans="1:15">
      <c r="A495" s="14" t="str">
        <f>equip.xml!A499</f>
        <v>20051061</v>
      </c>
      <c r="B495" s="14">
        <f>equip.xml!B499</f>
        <v>0</v>
      </c>
      <c r="C495" s="14" t="str">
        <f>equip.xml!C499</f>
        <v>尖头盾</v>
      </c>
      <c r="D495" s="14" t="str">
        <f>equip.xml!D499</f>
        <v>副手武器</v>
      </c>
      <c r="E495" s="14">
        <f>equip.xml!E499</f>
        <v>6</v>
      </c>
      <c r="F495" s="14">
        <f>equip.xml!F499</f>
        <v>2</v>
      </c>
      <c r="G495" s="14">
        <f>equip.xml!G499</f>
        <v>5</v>
      </c>
      <c r="H495" s="14" t="str">
        <f>equip.xml!H499</f>
        <v>1,1001</v>
      </c>
      <c r="I495" s="14">
        <f>equip.xml!J499</f>
        <v>10</v>
      </c>
      <c r="J495" s="14">
        <f>equip.xml!K499</f>
        <v>0</v>
      </c>
      <c r="K495" s="14">
        <f>equip.xml!L499</f>
        <v>0</v>
      </c>
      <c r="L495" s="14" t="str">
        <f>equip.xml!M499</f>
        <v>105_19_19</v>
      </c>
      <c r="M495" s="17" t="str">
        <f>equip.xml!Q499</f>
        <v>equipment/2101.png</v>
      </c>
      <c r="N495" s="16" t="str">
        <f>equip.xml!P499</f>
        <v>10000_1002_5000,30000_30001_1,30000_30002_1,30000_30003_1</v>
      </c>
      <c r="O495">
        <f>equip.xml!R499</f>
        <v>0</v>
      </c>
    </row>
    <row r="496" spans="1:15">
      <c r="A496" s="14" t="str">
        <f>equip.xml!A500</f>
        <v>20052050</v>
      </c>
      <c r="B496" s="14">
        <f>equip.xml!B500</f>
        <v>1</v>
      </c>
      <c r="C496" s="14" t="str">
        <f>equip.xml!C500</f>
        <v>硬弓</v>
      </c>
      <c r="D496" s="14" t="str">
        <f>equip.xml!D500</f>
        <v>主手武器</v>
      </c>
      <c r="E496" s="14">
        <f>equip.xml!E500</f>
        <v>5</v>
      </c>
      <c r="F496" s="14">
        <f>equip.xml!F500</f>
        <v>2</v>
      </c>
      <c r="G496" s="14">
        <f>equip.xml!G500</f>
        <v>5</v>
      </c>
      <c r="H496" s="14" t="str">
        <f>equip.xml!H500</f>
        <v>2,1002</v>
      </c>
      <c r="I496" s="14">
        <f>equip.xml!J500</f>
        <v>10</v>
      </c>
      <c r="J496" s="14">
        <f>equip.xml!K500</f>
        <v>0</v>
      </c>
      <c r="K496" s="14">
        <f>equip.xml!L500</f>
        <v>0</v>
      </c>
      <c r="L496" s="14" t="str">
        <f>equip.xml!M500</f>
        <v>103_10_10,104_20_20</v>
      </c>
      <c r="M496" s="17" t="str">
        <f>equip.xml!Q500</f>
        <v>equipment/1204.png</v>
      </c>
      <c r="N496" s="16" t="str">
        <f>equip.xml!P500</f>
        <v>10000_1002_5000,30000_30001_1,30000_30002_1,30000_30003_1</v>
      </c>
      <c r="O496">
        <f>equip.xml!R500</f>
        <v>0</v>
      </c>
    </row>
    <row r="497" spans="1:15">
      <c r="A497" s="14" t="str">
        <f>equip.xml!A501</f>
        <v>20052051</v>
      </c>
      <c r="B497" s="14">
        <f>equip.xml!B501</f>
        <v>1</v>
      </c>
      <c r="C497" s="14" t="str">
        <f>equip.xml!C501</f>
        <v>反曲弓</v>
      </c>
      <c r="D497" s="14" t="str">
        <f>equip.xml!D501</f>
        <v>主手武器</v>
      </c>
      <c r="E497" s="14">
        <f>equip.xml!E501</f>
        <v>5</v>
      </c>
      <c r="F497" s="14">
        <f>equip.xml!F501</f>
        <v>2</v>
      </c>
      <c r="G497" s="14">
        <f>equip.xml!G501</f>
        <v>5</v>
      </c>
      <c r="H497" s="14" t="str">
        <f>equip.xml!H501</f>
        <v>2,1002</v>
      </c>
      <c r="I497" s="14">
        <f>equip.xml!J501</f>
        <v>10</v>
      </c>
      <c r="J497" s="14">
        <f>equip.xml!K501</f>
        <v>0</v>
      </c>
      <c r="K497" s="14">
        <f>equip.xml!L501</f>
        <v>0</v>
      </c>
      <c r="L497" s="14" t="str">
        <f>equip.xml!M501</f>
        <v>103_18_18,104_38_38</v>
      </c>
      <c r="M497" s="17" t="str">
        <f>equip.xml!Q501</f>
        <v>equipment/1203.png</v>
      </c>
      <c r="N497" s="16" t="str">
        <f>equip.xml!P501</f>
        <v>10000_1002_5000,30000_30001_1,30000_30002_1,30000_30003_1</v>
      </c>
      <c r="O497">
        <f>equip.xml!R501</f>
        <v>0</v>
      </c>
    </row>
    <row r="498" spans="1:15">
      <c r="A498" s="14" t="str">
        <f>equip.xml!A502</f>
        <v>20052060</v>
      </c>
      <c r="B498" s="14">
        <f>equip.xml!B502</f>
        <v>1</v>
      </c>
      <c r="C498" s="14" t="str">
        <f>equip.xml!C502</f>
        <v>箭筒</v>
      </c>
      <c r="D498" s="14" t="str">
        <f>equip.xml!D502</f>
        <v>副手武器</v>
      </c>
      <c r="E498" s="14">
        <f>equip.xml!E502</f>
        <v>6</v>
      </c>
      <c r="F498" s="14">
        <f>equip.xml!F502</f>
        <v>2</v>
      </c>
      <c r="G498" s="14">
        <f>equip.xml!G502</f>
        <v>5</v>
      </c>
      <c r="H498" s="14" t="str">
        <f>equip.xml!H502</f>
        <v>2,1002</v>
      </c>
      <c r="I498" s="14">
        <f>equip.xml!J502</f>
        <v>10</v>
      </c>
      <c r="J498" s="14">
        <f>equip.xml!K502</f>
        <v>0</v>
      </c>
      <c r="K498" s="14">
        <f>equip.xml!L502</f>
        <v>0</v>
      </c>
      <c r="L498" s="14" t="str">
        <f>equip.xml!M502</f>
        <v>108_12_12</v>
      </c>
      <c r="M498" s="17" t="str">
        <f>equip.xml!Q502</f>
        <v>equipment/2202.png</v>
      </c>
      <c r="N498" s="16" t="str">
        <f>equip.xml!P502</f>
        <v>10000_1002_5000,30000_30001_1,30000_30002_1,30000_30003_1</v>
      </c>
      <c r="O498">
        <f>equip.xml!R502</f>
        <v>0</v>
      </c>
    </row>
    <row r="499" spans="1:15">
      <c r="A499" s="14" t="str">
        <f>equip.xml!A503</f>
        <v>20052061</v>
      </c>
      <c r="B499" s="14">
        <f>equip.xml!B503</f>
        <v>0</v>
      </c>
      <c r="C499" s="14" t="str">
        <f>equip.xml!C503</f>
        <v>箭筒</v>
      </c>
      <c r="D499" s="14" t="str">
        <f>equip.xml!D503</f>
        <v>副手武器</v>
      </c>
      <c r="E499" s="14">
        <f>equip.xml!E503</f>
        <v>6</v>
      </c>
      <c r="F499" s="14">
        <f>equip.xml!F503</f>
        <v>2</v>
      </c>
      <c r="G499" s="14">
        <f>equip.xml!G503</f>
        <v>5</v>
      </c>
      <c r="H499" s="14" t="str">
        <f>equip.xml!H503</f>
        <v>2,1002</v>
      </c>
      <c r="I499" s="14">
        <f>equip.xml!J503</f>
        <v>10</v>
      </c>
      <c r="J499" s="14">
        <f>equip.xml!K503</f>
        <v>0</v>
      </c>
      <c r="K499" s="14">
        <f>equip.xml!L503</f>
        <v>0</v>
      </c>
      <c r="L499" s="14" t="str">
        <f>equip.xml!M503</f>
        <v>108_19_19</v>
      </c>
      <c r="M499" s="17" t="str">
        <f>equip.xml!Q503</f>
        <v>equipment/2201.png</v>
      </c>
      <c r="N499" s="16" t="str">
        <f>equip.xml!P503</f>
        <v>10000_1002_5000,30000_30001_1,30000_30002_1,30000_30003_1</v>
      </c>
      <c r="O499">
        <f>equip.xml!R503</f>
        <v>0</v>
      </c>
    </row>
    <row r="500" spans="1:15">
      <c r="A500" s="14" t="str">
        <f>equip.xml!A504</f>
        <v>20053050</v>
      </c>
      <c r="B500" s="14">
        <f>equip.xml!B504</f>
        <v>1</v>
      </c>
      <c r="C500" s="14" t="str">
        <f>equip.xml!C504</f>
        <v>巫术之杖</v>
      </c>
      <c r="D500" s="14" t="str">
        <f>equip.xml!D504</f>
        <v>主手武器</v>
      </c>
      <c r="E500" s="14">
        <f>equip.xml!E504</f>
        <v>5</v>
      </c>
      <c r="F500" s="14">
        <f>equip.xml!F504</f>
        <v>2</v>
      </c>
      <c r="G500" s="14">
        <f>equip.xml!G504</f>
        <v>5</v>
      </c>
      <c r="H500" s="14" t="str">
        <f>equip.xml!H504</f>
        <v>3,1003</v>
      </c>
      <c r="I500" s="14">
        <f>equip.xml!J504</f>
        <v>10</v>
      </c>
      <c r="J500" s="14">
        <f>equip.xml!K504</f>
        <v>0</v>
      </c>
      <c r="K500" s="14">
        <f>equip.xml!L504</f>
        <v>0</v>
      </c>
      <c r="L500" s="14" t="str">
        <f>equip.xml!M504</f>
        <v>103_10_10,104_20_20</v>
      </c>
      <c r="M500" s="17" t="str">
        <f>equip.xml!Q504</f>
        <v>equipment/1303.png</v>
      </c>
      <c r="N500" s="16" t="str">
        <f>equip.xml!P504</f>
        <v>10000_1002_5000,30000_30001_1,30000_30002_1,30000_30003_1</v>
      </c>
      <c r="O500">
        <f>equip.xml!R504</f>
        <v>0</v>
      </c>
    </row>
    <row r="501" spans="1:15">
      <c r="A501" s="14" t="str">
        <f>equip.xml!A505</f>
        <v>20053051</v>
      </c>
      <c r="B501" s="14">
        <f>equip.xml!B505</f>
        <v>1</v>
      </c>
      <c r="C501" s="14" t="str">
        <f>equip.xml!C505</f>
        <v>秘术法杖</v>
      </c>
      <c r="D501" s="14" t="str">
        <f>equip.xml!D505</f>
        <v>主手武器</v>
      </c>
      <c r="E501" s="14">
        <f>equip.xml!E505</f>
        <v>5</v>
      </c>
      <c r="F501" s="14">
        <f>equip.xml!F505</f>
        <v>2</v>
      </c>
      <c r="G501" s="14">
        <f>equip.xml!G505</f>
        <v>5</v>
      </c>
      <c r="H501" s="14" t="str">
        <f>equip.xml!H505</f>
        <v>3,1003</v>
      </c>
      <c r="I501" s="14">
        <f>equip.xml!J505</f>
        <v>10</v>
      </c>
      <c r="J501" s="14">
        <f>equip.xml!K505</f>
        <v>0</v>
      </c>
      <c r="K501" s="14">
        <f>equip.xml!L505</f>
        <v>0</v>
      </c>
      <c r="L501" s="14" t="str">
        <f>equip.xml!M505</f>
        <v>103_18_18,104_38_38</v>
      </c>
      <c r="M501" s="17" t="str">
        <f>equip.xml!Q505</f>
        <v>equipment/1304.png</v>
      </c>
      <c r="N501" s="16" t="str">
        <f>equip.xml!P505</f>
        <v>10000_1002_5000,30000_30001_1,30000_30002_1,30000_30003_1</v>
      </c>
      <c r="O501">
        <f>equip.xml!R505</f>
        <v>0</v>
      </c>
    </row>
    <row r="502" spans="1:15">
      <c r="A502" s="14" t="str">
        <f>equip.xml!A506</f>
        <v>20053060</v>
      </c>
      <c r="B502" s="14">
        <f>equip.xml!B506</f>
        <v>1</v>
      </c>
      <c r="C502" s="14" t="str">
        <f>equip.xml!C506</f>
        <v>法术指南</v>
      </c>
      <c r="D502" s="14" t="str">
        <f>equip.xml!D506</f>
        <v>副手武器</v>
      </c>
      <c r="E502" s="14">
        <f>equip.xml!E506</f>
        <v>6</v>
      </c>
      <c r="F502" s="14">
        <f>equip.xml!F506</f>
        <v>2</v>
      </c>
      <c r="G502" s="14">
        <f>equip.xml!G506</f>
        <v>5</v>
      </c>
      <c r="H502" s="14" t="str">
        <f>equip.xml!H506</f>
        <v>3,1003</v>
      </c>
      <c r="I502" s="14">
        <f>equip.xml!J506</f>
        <v>10</v>
      </c>
      <c r="J502" s="14">
        <f>equip.xml!K506</f>
        <v>0</v>
      </c>
      <c r="K502" s="14">
        <f>equip.xml!L506</f>
        <v>0</v>
      </c>
      <c r="L502" s="14" t="str">
        <f>equip.xml!M506</f>
        <v>102_110_110</v>
      </c>
      <c r="M502" s="17" t="str">
        <f>equip.xml!Q506</f>
        <v>equipment/2302.png</v>
      </c>
      <c r="N502" s="16" t="str">
        <f>equip.xml!P506</f>
        <v>10000_1002_5000,30000_30001_1,30000_30002_1,30000_30003_1</v>
      </c>
      <c r="O502">
        <f>equip.xml!R506</f>
        <v>0</v>
      </c>
    </row>
    <row r="503" spans="1:15">
      <c r="A503" s="14" t="str">
        <f>equip.xml!A507</f>
        <v>20053061</v>
      </c>
      <c r="B503" s="14">
        <f>equip.xml!B507</f>
        <v>0</v>
      </c>
      <c r="C503" s="14" t="str">
        <f>equip.xml!C507</f>
        <v>法术指南</v>
      </c>
      <c r="D503" s="14" t="str">
        <f>equip.xml!D507</f>
        <v>副手武器</v>
      </c>
      <c r="E503" s="14">
        <f>equip.xml!E507</f>
        <v>6</v>
      </c>
      <c r="F503" s="14">
        <f>equip.xml!F507</f>
        <v>2</v>
      </c>
      <c r="G503" s="14">
        <f>equip.xml!G507</f>
        <v>5</v>
      </c>
      <c r="H503" s="14" t="str">
        <f>equip.xml!H507</f>
        <v>3,1003</v>
      </c>
      <c r="I503" s="14">
        <f>equip.xml!J507</f>
        <v>10</v>
      </c>
      <c r="J503" s="14">
        <f>equip.xml!K507</f>
        <v>0</v>
      </c>
      <c r="K503" s="14">
        <f>equip.xml!L507</f>
        <v>0</v>
      </c>
      <c r="L503" s="14" t="str">
        <f>equip.xml!M507</f>
        <v>102_19_19</v>
      </c>
      <c r="M503" s="17" t="str">
        <f>equip.xml!Q507</f>
        <v>equipment/2301.png</v>
      </c>
      <c r="N503" s="16" t="str">
        <f>equip.xml!P507</f>
        <v>10000_1002_5000,30000_30001_1,30000_30002_1,30000_30003_1</v>
      </c>
      <c r="O503">
        <f>equip.xml!R507</f>
        <v>0</v>
      </c>
    </row>
    <row r="504" spans="1:15">
      <c r="A504" s="14" t="str">
        <f>equip.xml!A508</f>
        <v>20050040</v>
      </c>
      <c r="B504" s="14">
        <f>equip.xml!B508</f>
        <v>1</v>
      </c>
      <c r="C504" s="14" t="str">
        <f>equip.xml!C508</f>
        <v>锁甲外套</v>
      </c>
      <c r="D504" s="14" t="str">
        <f>equip.xml!D508</f>
        <v>胸甲</v>
      </c>
      <c r="E504" s="14">
        <f>equip.xml!E508</f>
        <v>4</v>
      </c>
      <c r="F504" s="14">
        <f>equip.xml!F508</f>
        <v>2</v>
      </c>
      <c r="G504" s="14">
        <f>equip.xml!G508</f>
        <v>5</v>
      </c>
      <c r="H504" s="14">
        <f>equip.xml!H508</f>
        <v>0</v>
      </c>
      <c r="I504" s="14">
        <f>equip.xml!J508</f>
        <v>10</v>
      </c>
      <c r="J504" s="14">
        <f>equip.xml!K508</f>
        <v>0</v>
      </c>
      <c r="K504" s="14">
        <f>equip.xml!L508</f>
        <v>0</v>
      </c>
      <c r="L504" s="14" t="str">
        <f>equip.xml!M508</f>
        <v>105_9_9</v>
      </c>
      <c r="M504" s="17" t="str">
        <f>equip.xml!Q508</f>
        <v>equipment/5002.png</v>
      </c>
      <c r="N504" s="16" t="str">
        <f>equip.xml!P508</f>
        <v>10000_1002_5000,30000_30001_1,30000_30002_1,30000_30003_1</v>
      </c>
      <c r="O504">
        <f>equip.xml!R508</f>
        <v>0</v>
      </c>
    </row>
    <row r="505" spans="1:15">
      <c r="A505" s="14" t="str">
        <f>equip.xml!A509</f>
        <v>20050041</v>
      </c>
      <c r="B505" s="14">
        <f>equip.xml!B509</f>
        <v>1</v>
      </c>
      <c r="C505" s="14" t="str">
        <f>equip.xml!C509</f>
        <v>战士胸甲</v>
      </c>
      <c r="D505" s="14" t="str">
        <f>equip.xml!D509</f>
        <v>胸甲</v>
      </c>
      <c r="E505" s="14">
        <f>equip.xml!E509</f>
        <v>4</v>
      </c>
      <c r="F505" s="14">
        <f>equip.xml!F509</f>
        <v>2</v>
      </c>
      <c r="G505" s="14">
        <f>equip.xml!G509</f>
        <v>5</v>
      </c>
      <c r="H505" s="14">
        <f>equip.xml!H509</f>
        <v>0</v>
      </c>
      <c r="I505" s="14">
        <f>equip.xml!J509</f>
        <v>10</v>
      </c>
      <c r="J505" s="14">
        <f>equip.xml!K509</f>
        <v>0</v>
      </c>
      <c r="K505" s="14">
        <f>equip.xml!L509</f>
        <v>0</v>
      </c>
      <c r="L505" s="14" t="str">
        <f>equip.xml!M509</f>
        <v>105_13_13</v>
      </c>
      <c r="M505" s="17" t="str">
        <f>equip.xml!Q509</f>
        <v>equipment/5003.png</v>
      </c>
      <c r="N505" s="16" t="str">
        <f>equip.xml!P509</f>
        <v>10000_1002_5000,30000_30001_1,30000_30002_1,30000_30003_1</v>
      </c>
      <c r="O505">
        <f>equip.xml!R509</f>
        <v>0</v>
      </c>
    </row>
    <row r="506" spans="1:15">
      <c r="A506" s="14" t="str">
        <f>equip.xml!A510</f>
        <v>20050070</v>
      </c>
      <c r="B506" s="14">
        <f>equip.xml!B510</f>
        <v>1</v>
      </c>
      <c r="C506" s="14" t="str">
        <f>equip.xml!C510</f>
        <v>皮甲短裤</v>
      </c>
      <c r="D506" s="14" t="str">
        <f>equip.xml!D510</f>
        <v>护腿</v>
      </c>
      <c r="E506" s="14">
        <f>equip.xml!E510</f>
        <v>7</v>
      </c>
      <c r="F506" s="14">
        <f>equip.xml!F510</f>
        <v>2</v>
      </c>
      <c r="G506" s="14">
        <f>equip.xml!G510</f>
        <v>5</v>
      </c>
      <c r="H506" s="14">
        <f>equip.xml!H510</f>
        <v>0</v>
      </c>
      <c r="I506" s="14">
        <f>equip.xml!J510</f>
        <v>10</v>
      </c>
      <c r="J506" s="14">
        <f>equip.xml!K510</f>
        <v>0</v>
      </c>
      <c r="K506" s="14">
        <f>equip.xml!L510</f>
        <v>0</v>
      </c>
      <c r="L506" s="14" t="str">
        <f>equip.xml!M510</f>
        <v>105_3_3</v>
      </c>
      <c r="M506" s="17" t="str">
        <f>equip.xml!Q510</f>
        <v>equipment/7001.png</v>
      </c>
      <c r="N506" s="16" t="str">
        <f>equip.xml!P510</f>
        <v>10000_1002_5000,30000_30001_1,30000_30002_1,30000_30003_1</v>
      </c>
      <c r="O506">
        <f>equip.xml!R510</f>
        <v>0</v>
      </c>
    </row>
    <row r="507" spans="1:15">
      <c r="A507" s="14" t="str">
        <f>equip.xml!A511</f>
        <v>20050071</v>
      </c>
      <c r="B507" s="14">
        <f>equip.xml!B511</f>
        <v>1</v>
      </c>
      <c r="C507" s="14" t="str">
        <f>equip.xml!C511</f>
        <v>学徒短裤</v>
      </c>
      <c r="D507" s="14" t="str">
        <f>equip.xml!D511</f>
        <v>护腿</v>
      </c>
      <c r="E507" s="14">
        <f>equip.xml!E511</f>
        <v>7</v>
      </c>
      <c r="F507" s="14">
        <f>equip.xml!F511</f>
        <v>2</v>
      </c>
      <c r="G507" s="14">
        <f>equip.xml!G511</f>
        <v>5</v>
      </c>
      <c r="H507" s="14">
        <f>equip.xml!H511</f>
        <v>0</v>
      </c>
      <c r="I507" s="14">
        <f>equip.xml!J511</f>
        <v>10</v>
      </c>
      <c r="J507" s="14">
        <f>equip.xml!K511</f>
        <v>0</v>
      </c>
      <c r="K507" s="14">
        <f>equip.xml!L511</f>
        <v>0</v>
      </c>
      <c r="L507" s="14" t="str">
        <f>equip.xml!M511</f>
        <v>105_10_10</v>
      </c>
      <c r="M507" s="17" t="str">
        <f>equip.xml!Q511</f>
        <v>equipment/7002.png</v>
      </c>
      <c r="N507" s="16" t="str">
        <f>equip.xml!P511</f>
        <v>10000_1002_5000,30000_30001_1,30000_30002_1,30000_30003_1</v>
      </c>
      <c r="O507">
        <f>equip.xml!R511</f>
        <v>0</v>
      </c>
    </row>
    <row r="508" spans="1:15">
      <c r="A508" s="14" t="str">
        <f>equip.xml!A512</f>
        <v>20100010</v>
      </c>
      <c r="B508" s="14">
        <f>equip.xml!B512</f>
        <v>1</v>
      </c>
      <c r="C508" s="14" t="str">
        <f>equip.xml!C512</f>
        <v>轻便头盔</v>
      </c>
      <c r="D508" s="14" t="str">
        <f>equip.xml!D512</f>
        <v>头盔</v>
      </c>
      <c r="E508" s="14">
        <f>equip.xml!E512</f>
        <v>1</v>
      </c>
      <c r="F508" s="14">
        <f>equip.xml!F512</f>
        <v>2</v>
      </c>
      <c r="G508" s="14">
        <f>equip.xml!G512</f>
        <v>10</v>
      </c>
      <c r="H508" s="14">
        <f>equip.xml!H512</f>
        <v>0</v>
      </c>
      <c r="I508" s="14">
        <f>equip.xml!J512</f>
        <v>10</v>
      </c>
      <c r="J508" s="14">
        <f>equip.xml!K512</f>
        <v>0</v>
      </c>
      <c r="K508" s="14">
        <f>equip.xml!L512</f>
        <v>0</v>
      </c>
      <c r="L508" s="14" t="str">
        <f>equip.xml!M512</f>
        <v>106_64_64</v>
      </c>
      <c r="M508" s="17" t="str">
        <f>equip.xml!Q512</f>
        <v>equipment/3002.png</v>
      </c>
      <c r="N508" s="16" t="str">
        <f>equip.xml!P512</f>
        <v>10000_1002_10000,30000_30001_1,30000_30002_1,30000_30003_1</v>
      </c>
      <c r="O508">
        <f>equip.xml!R512</f>
        <v>0</v>
      </c>
    </row>
    <row r="509" spans="1:15">
      <c r="A509" s="14" t="str">
        <f>equip.xml!A513</f>
        <v>20100020</v>
      </c>
      <c r="B509" s="14">
        <f>equip.xml!B513</f>
        <v>1</v>
      </c>
      <c r="C509" s="14" t="str">
        <f>equip.xml!C513</f>
        <v>宝石戒指</v>
      </c>
      <c r="D509" s="14" t="str">
        <f>equip.xml!D513</f>
        <v>戒指</v>
      </c>
      <c r="E509" s="14">
        <f>equip.xml!E513</f>
        <v>2</v>
      </c>
      <c r="F509" s="14">
        <f>equip.xml!F513</f>
        <v>2</v>
      </c>
      <c r="G509" s="14">
        <f>equip.xml!G513</f>
        <v>10</v>
      </c>
      <c r="H509" s="14">
        <f>equip.xml!H513</f>
        <v>0</v>
      </c>
      <c r="I509" s="14">
        <f>equip.xml!J513</f>
        <v>10</v>
      </c>
      <c r="J509" s="14">
        <f>equip.xml!K513</f>
        <v>0</v>
      </c>
      <c r="K509" s="14">
        <f>equip.xml!L513</f>
        <v>0</v>
      </c>
      <c r="L509" s="14" t="str">
        <f>equip.xml!M513</f>
        <v>102_150_150</v>
      </c>
      <c r="M509" s="17" t="str">
        <f>equip.xml!Q513</f>
        <v>equipment/14002.png</v>
      </c>
      <c r="N509" s="16" t="str">
        <f>equip.xml!P513</f>
        <v>10000_1002_10000,30000_30001_1,30000_30002_1,30000_30003_1</v>
      </c>
      <c r="O509">
        <f>equip.xml!R513</f>
        <v>0</v>
      </c>
    </row>
    <row r="510" spans="1:15">
      <c r="A510" s="14" t="str">
        <f>equip.xml!A514</f>
        <v>20100030</v>
      </c>
      <c r="B510" s="14">
        <f>equip.xml!B514</f>
        <v>1</v>
      </c>
      <c r="C510" s="14" t="str">
        <f>equip.xml!C514</f>
        <v>坚硬皮带</v>
      </c>
      <c r="D510" s="14" t="str">
        <f>equip.xml!D514</f>
        <v>腰带</v>
      </c>
      <c r="E510" s="14">
        <f>equip.xml!E514</f>
        <v>3</v>
      </c>
      <c r="F510" s="14">
        <f>equip.xml!F514</f>
        <v>2</v>
      </c>
      <c r="G510" s="14">
        <f>equip.xml!G514</f>
        <v>10</v>
      </c>
      <c r="H510" s="14">
        <f>equip.xml!H514</f>
        <v>0</v>
      </c>
      <c r="I510" s="14">
        <f>equip.xml!J514</f>
        <v>10</v>
      </c>
      <c r="J510" s="14">
        <f>equip.xml!K514</f>
        <v>0</v>
      </c>
      <c r="K510" s="14">
        <f>equip.xml!L514</f>
        <v>0</v>
      </c>
      <c r="L510" s="14" t="str">
        <f>equip.xml!M514</f>
        <v>101_480_480</v>
      </c>
      <c r="M510" s="17" t="str">
        <f>equip.xml!Q514</f>
        <v>equipment/6002.png</v>
      </c>
      <c r="N510" s="16" t="str">
        <f>equip.xml!P514</f>
        <v>10000_1002_10000,30000_30001_1,30000_30002_1,30000_30003_1</v>
      </c>
      <c r="O510">
        <f>equip.xml!R514</f>
        <v>0</v>
      </c>
    </row>
    <row r="511" spans="1:15">
      <c r="A511" s="14" t="str">
        <f>equip.xml!A515</f>
        <v>20100080</v>
      </c>
      <c r="B511" s="14">
        <f>equip.xml!B515</f>
        <v>1</v>
      </c>
      <c r="C511" s="14" t="str">
        <f>equip.xml!C515</f>
        <v>软垫靴</v>
      </c>
      <c r="D511" s="14" t="str">
        <f>equip.xml!D515</f>
        <v>鞋子</v>
      </c>
      <c r="E511" s="14">
        <f>equip.xml!E515</f>
        <v>8</v>
      </c>
      <c r="F511" s="14">
        <f>equip.xml!F515</f>
        <v>2</v>
      </c>
      <c r="G511" s="14">
        <f>equip.xml!G515</f>
        <v>10</v>
      </c>
      <c r="H511" s="14">
        <f>equip.xml!H515</f>
        <v>0</v>
      </c>
      <c r="I511" s="14">
        <f>equip.xml!J515</f>
        <v>10</v>
      </c>
      <c r="J511" s="14">
        <f>equip.xml!K515</f>
        <v>0</v>
      </c>
      <c r="K511" s="14">
        <f>equip.xml!L515</f>
        <v>0</v>
      </c>
      <c r="L511" s="14" t="str">
        <f>equip.xml!M515</f>
        <v>110_12_12</v>
      </c>
      <c r="M511" s="17" t="str">
        <f>equip.xml!Q515</f>
        <v>equipment/8002.png</v>
      </c>
      <c r="N511" s="16" t="str">
        <f>equip.xml!P515</f>
        <v>10000_1002_10000,30000_30001_1,30000_30002_1,30000_30003_1</v>
      </c>
      <c r="O511">
        <f>equip.xml!R515</f>
        <v>0</v>
      </c>
    </row>
    <row r="512" spans="1:15">
      <c r="A512" s="14" t="str">
        <f>equip.xml!A516</f>
        <v>20100090</v>
      </c>
      <c r="B512" s="14">
        <f>equip.xml!B516</f>
        <v>1</v>
      </c>
      <c r="C512" s="14" t="str">
        <f>equip.xml!C516</f>
        <v>步兵护手</v>
      </c>
      <c r="D512" s="14" t="str">
        <f>equip.xml!D516</f>
        <v>手套</v>
      </c>
      <c r="E512" s="14">
        <f>equip.xml!E516</f>
        <v>9</v>
      </c>
      <c r="F512" s="14">
        <f>equip.xml!F516</f>
        <v>2</v>
      </c>
      <c r="G512" s="14">
        <f>equip.xml!G516</f>
        <v>10</v>
      </c>
      <c r="H512" s="14">
        <f>equip.xml!H516</f>
        <v>0</v>
      </c>
      <c r="I512" s="14">
        <f>equip.xml!J516</f>
        <v>10</v>
      </c>
      <c r="J512" s="14">
        <f>equip.xml!K516</f>
        <v>0</v>
      </c>
      <c r="K512" s="14">
        <f>equip.xml!L516</f>
        <v>0</v>
      </c>
      <c r="L512" s="14" t="str">
        <f>equip.xml!M516</f>
        <v>108_43_43</v>
      </c>
      <c r="M512" s="17" t="str">
        <f>equip.xml!Q516</f>
        <v>equipment/10002.png</v>
      </c>
      <c r="N512" s="16" t="str">
        <f>equip.xml!P516</f>
        <v>10000_1002_10000,30000_30001_1,30000_30002_1,30000_30003_1</v>
      </c>
      <c r="O512">
        <f>equip.xml!R516</f>
        <v>0</v>
      </c>
    </row>
    <row r="513" spans="1:15">
      <c r="A513" s="14" t="str">
        <f>equip.xml!A517</f>
        <v>20100100</v>
      </c>
      <c r="B513" s="14">
        <f>equip.xml!B517</f>
        <v>0</v>
      </c>
      <c r="C513" s="14" t="str">
        <f>equip.xml!C517</f>
        <v>贝壳项链</v>
      </c>
      <c r="D513" s="14" t="str">
        <f>equip.xml!D517</f>
        <v>项链</v>
      </c>
      <c r="E513" s="14">
        <f>equip.xml!E517</f>
        <v>10</v>
      </c>
      <c r="F513" s="14">
        <f>equip.xml!F517</f>
        <v>2</v>
      </c>
      <c r="G513" s="14">
        <f>equip.xml!G517</f>
        <v>10</v>
      </c>
      <c r="H513" s="14">
        <f>equip.xml!H517</f>
        <v>0</v>
      </c>
      <c r="I513" s="14">
        <f>equip.xml!J517</f>
        <v>10</v>
      </c>
      <c r="J513" s="14">
        <f>equip.xml!K517</f>
        <v>0</v>
      </c>
      <c r="K513" s="14">
        <f>equip.xml!L517</f>
        <v>0</v>
      </c>
      <c r="L513" s="14" t="str">
        <f>equip.xml!M517</f>
        <v>107_20_20</v>
      </c>
      <c r="M513" s="17" t="str">
        <f>equip.xml!Q517</f>
        <v>equipment/12001.png</v>
      </c>
      <c r="N513" s="16" t="str">
        <f>equip.xml!P517</f>
        <v>10000_1002_10000,30000_30001_1,30000_30002_1,30000_30003_1</v>
      </c>
      <c r="O513">
        <f>equip.xml!R517</f>
        <v>0</v>
      </c>
    </row>
    <row r="514" spans="1:15">
      <c r="A514" s="14" t="str">
        <f>equip.xml!A518</f>
        <v>20101050</v>
      </c>
      <c r="B514" s="14">
        <f>equip.xml!B518</f>
        <v>1</v>
      </c>
      <c r="C514" s="14" t="str">
        <f>equip.xml!C518</f>
        <v>护卫之刃</v>
      </c>
      <c r="D514" s="14" t="str">
        <f>equip.xml!D518</f>
        <v>主手武器</v>
      </c>
      <c r="E514" s="14">
        <f>equip.xml!E518</f>
        <v>5</v>
      </c>
      <c r="F514" s="14">
        <f>equip.xml!F518</f>
        <v>2</v>
      </c>
      <c r="G514" s="14">
        <f>equip.xml!G518</f>
        <v>10</v>
      </c>
      <c r="H514" s="14" t="str">
        <f>equip.xml!H518</f>
        <v>1,1001</v>
      </c>
      <c r="I514" s="14">
        <f>equip.xml!J518</f>
        <v>10</v>
      </c>
      <c r="J514" s="14">
        <f>equip.xml!K518</f>
        <v>0</v>
      </c>
      <c r="K514" s="14">
        <f>equip.xml!L518</f>
        <v>0</v>
      </c>
      <c r="L514" s="14" t="str">
        <f>equip.xml!M518</f>
        <v>103_32_32,104_64_64</v>
      </c>
      <c r="M514" s="17" t="str">
        <f>equip.xml!Q518</f>
        <v>equipment/1105.png</v>
      </c>
      <c r="N514" s="16" t="str">
        <f>equip.xml!P518</f>
        <v>10000_1002_10000,30000_30001_1,30000_30002_1,30000_30003_1</v>
      </c>
      <c r="O514">
        <f>equip.xml!R518</f>
        <v>0</v>
      </c>
    </row>
    <row r="515" spans="1:15">
      <c r="A515" s="14" t="str">
        <f>equip.xml!A519</f>
        <v>20101051</v>
      </c>
      <c r="B515" s="14">
        <f>equip.xml!B519</f>
        <v>1</v>
      </c>
      <c r="C515" s="14" t="str">
        <f>equip.xml!C519</f>
        <v>铜铸重剑</v>
      </c>
      <c r="D515" s="14" t="str">
        <f>equip.xml!D519</f>
        <v>主手武器</v>
      </c>
      <c r="E515" s="14">
        <f>equip.xml!E519</f>
        <v>5</v>
      </c>
      <c r="F515" s="14">
        <f>equip.xml!F519</f>
        <v>2</v>
      </c>
      <c r="G515" s="14">
        <f>equip.xml!G519</f>
        <v>10</v>
      </c>
      <c r="H515" s="14" t="str">
        <f>equip.xml!H519</f>
        <v>1,1001</v>
      </c>
      <c r="I515" s="14">
        <f>equip.xml!J519</f>
        <v>10</v>
      </c>
      <c r="J515" s="14">
        <f>equip.xml!K519</f>
        <v>0</v>
      </c>
      <c r="K515" s="14">
        <f>equip.xml!L519</f>
        <v>0</v>
      </c>
      <c r="L515" s="14" t="str">
        <f>equip.xml!M519</f>
        <v>103_40_40,104_80_80</v>
      </c>
      <c r="M515" s="17" t="str">
        <f>equip.xml!Q519</f>
        <v>equipment/1106.png</v>
      </c>
      <c r="N515" s="16" t="str">
        <f>equip.xml!P519</f>
        <v>10000_1002_10000,30000_30001_1,30000_30002_1,30000_30003_1</v>
      </c>
      <c r="O515">
        <f>equip.xml!R519</f>
        <v>0</v>
      </c>
    </row>
    <row r="516" spans="1:15">
      <c r="A516" s="14" t="str">
        <f>equip.xml!A520</f>
        <v>20101060</v>
      </c>
      <c r="B516" s="14">
        <f>equip.xml!B520</f>
        <v>1</v>
      </c>
      <c r="C516" s="14" t="str">
        <f>equip.xml!C520</f>
        <v>金属大盾</v>
      </c>
      <c r="D516" s="14" t="str">
        <f>equip.xml!D520</f>
        <v>副手武器</v>
      </c>
      <c r="E516" s="14">
        <f>equip.xml!E520</f>
        <v>6</v>
      </c>
      <c r="F516" s="14">
        <f>equip.xml!F520</f>
        <v>2</v>
      </c>
      <c r="G516" s="14">
        <f>equip.xml!G520</f>
        <v>10</v>
      </c>
      <c r="H516" s="14" t="str">
        <f>equip.xml!H520</f>
        <v>1,1001</v>
      </c>
      <c r="I516" s="14">
        <f>equip.xml!J520</f>
        <v>10</v>
      </c>
      <c r="J516" s="14">
        <f>equip.xml!K520</f>
        <v>0</v>
      </c>
      <c r="K516" s="14">
        <f>equip.xml!L520</f>
        <v>0</v>
      </c>
      <c r="L516" s="14" t="str">
        <f>equip.xml!M520</f>
        <v>105_30_30</v>
      </c>
      <c r="M516" s="17" t="str">
        <f>equip.xml!Q520</f>
        <v>equipment/2103.png</v>
      </c>
      <c r="N516" s="16" t="str">
        <f>equip.xml!P520</f>
        <v>10000_1002_10000,30000_30001_1,30000_30002_1,30000_30003_1</v>
      </c>
      <c r="O516">
        <f>equip.xml!R520</f>
        <v>0</v>
      </c>
    </row>
    <row r="517" spans="1:15">
      <c r="A517" s="14" t="str">
        <f>equip.xml!A521</f>
        <v>20101061</v>
      </c>
      <c r="B517" s="14">
        <f>equip.xml!B521</f>
        <v>0</v>
      </c>
      <c r="C517" s="14" t="str">
        <f>equip.xml!C521</f>
        <v>尖头盾</v>
      </c>
      <c r="D517" s="14" t="str">
        <f>equip.xml!D521</f>
        <v>副手武器</v>
      </c>
      <c r="E517" s="14">
        <f>equip.xml!E521</f>
        <v>6</v>
      </c>
      <c r="F517" s="14">
        <f>equip.xml!F521</f>
        <v>2</v>
      </c>
      <c r="G517" s="14">
        <f>equip.xml!G521</f>
        <v>10</v>
      </c>
      <c r="H517" s="14" t="str">
        <f>equip.xml!H521</f>
        <v>1,1001</v>
      </c>
      <c r="I517" s="14">
        <f>equip.xml!J521</f>
        <v>10</v>
      </c>
      <c r="J517" s="14">
        <f>equip.xml!K521</f>
        <v>0</v>
      </c>
      <c r="K517" s="14">
        <f>equip.xml!L521</f>
        <v>0</v>
      </c>
      <c r="L517" s="14" t="str">
        <f>equip.xml!M521</f>
        <v>105_59_59</v>
      </c>
      <c r="M517" s="17" t="str">
        <f>equip.xml!Q521</f>
        <v>equipment/2101.png</v>
      </c>
      <c r="N517" s="16" t="str">
        <f>equip.xml!P521</f>
        <v>10000_1002_10000,30000_30001_1,30000_30002_1,30000_30003_1</v>
      </c>
      <c r="O517">
        <f>equip.xml!R521</f>
        <v>0</v>
      </c>
    </row>
    <row r="518" spans="1:15">
      <c r="A518" s="14" t="str">
        <f>equip.xml!A522</f>
        <v>20102050</v>
      </c>
      <c r="B518" s="14">
        <f>equip.xml!B522</f>
        <v>1</v>
      </c>
      <c r="C518" s="14" t="str">
        <f>equip.xml!C522</f>
        <v>猎手强弓</v>
      </c>
      <c r="D518" s="14" t="str">
        <f>equip.xml!D522</f>
        <v>主手武器</v>
      </c>
      <c r="E518" s="14">
        <f>equip.xml!E522</f>
        <v>5</v>
      </c>
      <c r="F518" s="14">
        <f>equip.xml!F522</f>
        <v>2</v>
      </c>
      <c r="G518" s="14">
        <f>equip.xml!G522</f>
        <v>10</v>
      </c>
      <c r="H518" s="14" t="str">
        <f>equip.xml!H522</f>
        <v>2,1002</v>
      </c>
      <c r="I518" s="14">
        <f>equip.xml!J522</f>
        <v>10</v>
      </c>
      <c r="J518" s="14">
        <f>equip.xml!K522</f>
        <v>0</v>
      </c>
      <c r="K518" s="14">
        <f>equip.xml!L522</f>
        <v>0</v>
      </c>
      <c r="L518" s="14" t="str">
        <f>equip.xml!M522</f>
        <v>103_32_32,104_64_64</v>
      </c>
      <c r="M518" s="17" t="str">
        <f>equip.xml!Q522</f>
        <v>equipment/1205.png</v>
      </c>
      <c r="N518" s="16" t="str">
        <f>equip.xml!P522</f>
        <v>10000_1002_10000,30000_30001_1,30000_30002_1,30000_30003_1</v>
      </c>
      <c r="O518">
        <f>equip.xml!R522</f>
        <v>0</v>
      </c>
    </row>
    <row r="519" spans="1:15">
      <c r="A519" s="14" t="str">
        <f>equip.xml!A523</f>
        <v>20102051</v>
      </c>
      <c r="B519" s="14">
        <f>equip.xml!B523</f>
        <v>1</v>
      </c>
      <c r="C519" s="14" t="str">
        <f>equip.xml!C523</f>
        <v>灰木弓</v>
      </c>
      <c r="D519" s="14" t="str">
        <f>equip.xml!D523</f>
        <v>主手武器</v>
      </c>
      <c r="E519" s="14">
        <f>equip.xml!E523</f>
        <v>5</v>
      </c>
      <c r="F519" s="14">
        <f>equip.xml!F523</f>
        <v>2</v>
      </c>
      <c r="G519" s="14">
        <f>equip.xml!G523</f>
        <v>10</v>
      </c>
      <c r="H519" s="14" t="str">
        <f>equip.xml!H523</f>
        <v>2,1002</v>
      </c>
      <c r="I519" s="14">
        <f>equip.xml!J523</f>
        <v>10</v>
      </c>
      <c r="J519" s="14">
        <f>equip.xml!K523</f>
        <v>0</v>
      </c>
      <c r="K519" s="14">
        <f>equip.xml!L523</f>
        <v>0</v>
      </c>
      <c r="L519" s="14" t="str">
        <f>equip.xml!M523</f>
        <v>103_40_40,104_80_80</v>
      </c>
      <c r="M519" s="17" t="str">
        <f>equip.xml!Q523</f>
        <v>equipment/1206.png</v>
      </c>
      <c r="N519" s="16" t="str">
        <f>equip.xml!P523</f>
        <v>10000_1002_10000,30000_30001_1,30000_30002_1,30000_30003_1</v>
      </c>
      <c r="O519">
        <f>equip.xml!R523</f>
        <v>0</v>
      </c>
    </row>
    <row r="520" spans="1:15">
      <c r="A520" s="14" t="str">
        <f>equip.xml!A524</f>
        <v>20102060</v>
      </c>
      <c r="B520" s="14">
        <f>equip.xml!B524</f>
        <v>1</v>
      </c>
      <c r="C520" s="14" t="str">
        <f>equip.xml!C524</f>
        <v>帆布箭筒</v>
      </c>
      <c r="D520" s="14" t="str">
        <f>equip.xml!D524</f>
        <v>副手武器</v>
      </c>
      <c r="E520" s="14">
        <f>equip.xml!E524</f>
        <v>6</v>
      </c>
      <c r="F520" s="14">
        <f>equip.xml!F524</f>
        <v>2</v>
      </c>
      <c r="G520" s="14">
        <f>equip.xml!G524</f>
        <v>10</v>
      </c>
      <c r="H520" s="14" t="str">
        <f>equip.xml!H524</f>
        <v>2,1002</v>
      </c>
      <c r="I520" s="14">
        <f>equip.xml!J524</f>
        <v>10</v>
      </c>
      <c r="J520" s="14">
        <f>equip.xml!K524</f>
        <v>0</v>
      </c>
      <c r="K520" s="14">
        <f>equip.xml!L524</f>
        <v>0</v>
      </c>
      <c r="L520" s="14" t="str">
        <f>equip.xml!M524</f>
        <v>108_30_30</v>
      </c>
      <c r="M520" s="17" t="str">
        <f>equip.xml!Q524</f>
        <v>equipment/2203.png</v>
      </c>
      <c r="N520" s="16" t="str">
        <f>equip.xml!P524</f>
        <v>10000_1002_10000,30000_30001_1,30000_30002_1,30000_30003_1</v>
      </c>
      <c r="O520">
        <f>equip.xml!R524</f>
        <v>0</v>
      </c>
    </row>
    <row r="521" spans="1:15">
      <c r="A521" s="14" t="str">
        <f>equip.xml!A525</f>
        <v>20102061</v>
      </c>
      <c r="B521" s="14">
        <f>equip.xml!B525</f>
        <v>0</v>
      </c>
      <c r="C521" s="14" t="str">
        <f>equip.xml!C525</f>
        <v>箭筒</v>
      </c>
      <c r="D521" s="14" t="str">
        <f>equip.xml!D525</f>
        <v>副手武器</v>
      </c>
      <c r="E521" s="14">
        <f>equip.xml!E525</f>
        <v>6</v>
      </c>
      <c r="F521" s="14">
        <f>equip.xml!F525</f>
        <v>2</v>
      </c>
      <c r="G521" s="14">
        <f>equip.xml!G525</f>
        <v>10</v>
      </c>
      <c r="H521" s="14" t="str">
        <f>equip.xml!H525</f>
        <v>2,1002</v>
      </c>
      <c r="I521" s="14">
        <f>equip.xml!J525</f>
        <v>10</v>
      </c>
      <c r="J521" s="14">
        <f>equip.xml!K525</f>
        <v>0</v>
      </c>
      <c r="K521" s="14">
        <f>equip.xml!L525</f>
        <v>0</v>
      </c>
      <c r="L521" s="14" t="str">
        <f>equip.xml!M525</f>
        <v>108_59_59</v>
      </c>
      <c r="M521" s="17" t="str">
        <f>equip.xml!Q525</f>
        <v>equipment/2201.png</v>
      </c>
      <c r="N521" s="16" t="str">
        <f>equip.xml!P525</f>
        <v>10000_1002_10000,30000_30001_1,30000_30002_1,30000_30003_1</v>
      </c>
      <c r="O521">
        <f>equip.xml!R525</f>
        <v>0</v>
      </c>
    </row>
    <row r="522" spans="1:15">
      <c r="A522" s="14" t="str">
        <f>equip.xml!A526</f>
        <v>20103050</v>
      </c>
      <c r="B522" s="14">
        <f>equip.xml!B526</f>
        <v>1</v>
      </c>
      <c r="C522" s="14" t="str">
        <f>equip.xml!C526</f>
        <v>附魔银棒</v>
      </c>
      <c r="D522" s="14" t="str">
        <f>equip.xml!D526</f>
        <v>主手武器</v>
      </c>
      <c r="E522" s="14">
        <f>equip.xml!E526</f>
        <v>5</v>
      </c>
      <c r="F522" s="14">
        <f>equip.xml!F526</f>
        <v>2</v>
      </c>
      <c r="G522" s="14">
        <f>equip.xml!G526</f>
        <v>10</v>
      </c>
      <c r="H522" s="14" t="str">
        <f>equip.xml!H526</f>
        <v>3,1003</v>
      </c>
      <c r="I522" s="14">
        <f>equip.xml!J526</f>
        <v>10</v>
      </c>
      <c r="J522" s="14">
        <f>equip.xml!K526</f>
        <v>0</v>
      </c>
      <c r="K522" s="14">
        <f>equip.xml!L526</f>
        <v>0</v>
      </c>
      <c r="L522" s="14" t="str">
        <f>equip.xml!M526</f>
        <v>103_32_32,104_64_64</v>
      </c>
      <c r="M522" s="17" t="str">
        <f>equip.xml!Q526</f>
        <v>equipment/1305.png</v>
      </c>
      <c r="N522" s="16" t="str">
        <f>equip.xml!P526</f>
        <v>10000_1002_10000,30000_30001_1,30000_30002_1,30000_30003_1</v>
      </c>
      <c r="O522">
        <f>equip.xml!R526</f>
        <v>0</v>
      </c>
    </row>
    <row r="523" spans="1:15">
      <c r="A523" s="14" t="str">
        <f>equip.xml!A527</f>
        <v>20103051</v>
      </c>
      <c r="B523" s="14">
        <f>equip.xml!B527</f>
        <v>1</v>
      </c>
      <c r="C523" s="14" t="str">
        <f>equip.xml!C527</f>
        <v>魔导法杖</v>
      </c>
      <c r="D523" s="14" t="str">
        <f>equip.xml!D527</f>
        <v>主手武器</v>
      </c>
      <c r="E523" s="14">
        <f>equip.xml!E527</f>
        <v>5</v>
      </c>
      <c r="F523" s="14">
        <f>equip.xml!F527</f>
        <v>2</v>
      </c>
      <c r="G523" s="14">
        <f>equip.xml!G527</f>
        <v>10</v>
      </c>
      <c r="H523" s="14" t="str">
        <f>equip.xml!H527</f>
        <v>3,1003</v>
      </c>
      <c r="I523" s="14">
        <f>equip.xml!J527</f>
        <v>10</v>
      </c>
      <c r="J523" s="14">
        <f>equip.xml!K527</f>
        <v>0</v>
      </c>
      <c r="K523" s="14">
        <f>equip.xml!L527</f>
        <v>0</v>
      </c>
      <c r="L523" s="14" t="str">
        <f>equip.xml!M527</f>
        <v>103_40_40,104_80_80</v>
      </c>
      <c r="M523" s="17" t="str">
        <f>equip.xml!Q527</f>
        <v>equipment/1306.png</v>
      </c>
      <c r="N523" s="16" t="str">
        <f>equip.xml!P527</f>
        <v>10000_1002_10000,30000_30001_1,30000_30002_1,30000_30003_1</v>
      </c>
      <c r="O523">
        <f>equip.xml!R527</f>
        <v>0</v>
      </c>
    </row>
    <row r="524" spans="1:15">
      <c r="A524" s="14" t="str">
        <f>equip.xml!A528</f>
        <v>20103060</v>
      </c>
      <c r="B524" s="14">
        <f>equip.xml!B528</f>
        <v>1</v>
      </c>
      <c r="C524" s="14" t="str">
        <f>equip.xml!C528</f>
        <v>奥术典籍</v>
      </c>
      <c r="D524" s="14" t="str">
        <f>equip.xml!D528</f>
        <v>副手武器</v>
      </c>
      <c r="E524" s="14">
        <f>equip.xml!E528</f>
        <v>6</v>
      </c>
      <c r="F524" s="14">
        <f>equip.xml!F528</f>
        <v>2</v>
      </c>
      <c r="G524" s="14">
        <f>equip.xml!G528</f>
        <v>10</v>
      </c>
      <c r="H524" s="14" t="str">
        <f>equip.xml!H528</f>
        <v>3,1003</v>
      </c>
      <c r="I524" s="14">
        <f>equip.xml!J528</f>
        <v>10</v>
      </c>
      <c r="J524" s="14">
        <f>equip.xml!K528</f>
        <v>0</v>
      </c>
      <c r="K524" s="14">
        <f>equip.xml!L528</f>
        <v>0</v>
      </c>
      <c r="L524" s="14" t="str">
        <f>equip.xml!M528</f>
        <v>102_240_240</v>
      </c>
      <c r="M524" s="17" t="str">
        <f>equip.xml!Q528</f>
        <v>equipment/2303.png</v>
      </c>
      <c r="N524" s="16" t="str">
        <f>equip.xml!P528</f>
        <v>10000_1002_10000,30000_30001_1,30000_30002_1,30000_30003_1</v>
      </c>
      <c r="O524">
        <f>equip.xml!R528</f>
        <v>0</v>
      </c>
    </row>
    <row r="525" spans="1:15">
      <c r="A525" s="14" t="str">
        <f>equip.xml!A529</f>
        <v>20103061</v>
      </c>
      <c r="B525" s="14">
        <f>equip.xml!B529</f>
        <v>0</v>
      </c>
      <c r="C525" s="14" t="str">
        <f>equip.xml!C529</f>
        <v>法术指南</v>
      </c>
      <c r="D525" s="14" t="str">
        <f>equip.xml!D529</f>
        <v>副手武器</v>
      </c>
      <c r="E525" s="14">
        <f>equip.xml!E529</f>
        <v>6</v>
      </c>
      <c r="F525" s="14">
        <f>equip.xml!F529</f>
        <v>2</v>
      </c>
      <c r="G525" s="14">
        <f>equip.xml!G529</f>
        <v>10</v>
      </c>
      <c r="H525" s="14" t="str">
        <f>equip.xml!H529</f>
        <v>3,1003</v>
      </c>
      <c r="I525" s="14">
        <f>equip.xml!J529</f>
        <v>10</v>
      </c>
      <c r="J525" s="14">
        <f>equip.xml!K529</f>
        <v>0</v>
      </c>
      <c r="K525" s="14">
        <f>equip.xml!L529</f>
        <v>0</v>
      </c>
      <c r="L525" s="14" t="str">
        <f>equip.xml!M529</f>
        <v>102_59_59</v>
      </c>
      <c r="M525" s="17" t="str">
        <f>equip.xml!Q529</f>
        <v>equipment/2301.png</v>
      </c>
      <c r="N525" s="16" t="str">
        <f>equip.xml!P529</f>
        <v>10000_1002_10000,30000_30001_1,30000_30002_1,30000_30003_1</v>
      </c>
      <c r="O525">
        <f>equip.xml!R529</f>
        <v>0</v>
      </c>
    </row>
    <row r="526" spans="1:15">
      <c r="A526" s="14" t="str">
        <f>equip.xml!A530</f>
        <v>20100040</v>
      </c>
      <c r="B526" s="14">
        <f>equip.xml!B530</f>
        <v>1</v>
      </c>
      <c r="C526" s="14" t="str">
        <f>equip.xml!C530</f>
        <v>硬皮外套</v>
      </c>
      <c r="D526" s="14" t="str">
        <f>equip.xml!D530</f>
        <v>胸甲</v>
      </c>
      <c r="E526" s="14">
        <f>equip.xml!E530</f>
        <v>4</v>
      </c>
      <c r="F526" s="14">
        <f>equip.xml!F530</f>
        <v>2</v>
      </c>
      <c r="G526" s="14">
        <f>equip.xml!G530</f>
        <v>10</v>
      </c>
      <c r="H526" s="14">
        <f>equip.xml!H530</f>
        <v>0</v>
      </c>
      <c r="I526" s="14">
        <f>equip.xml!J530</f>
        <v>10</v>
      </c>
      <c r="J526" s="14">
        <f>equip.xml!K530</f>
        <v>0</v>
      </c>
      <c r="K526" s="14">
        <f>equip.xml!L530</f>
        <v>0</v>
      </c>
      <c r="L526" s="14" t="str">
        <f>equip.xml!M530</f>
        <v>105_20_20</v>
      </c>
      <c r="M526" s="17" t="str">
        <f>equip.xml!Q530</f>
        <v>equipment/5003.png</v>
      </c>
      <c r="N526" s="16" t="str">
        <f>equip.xml!P530</f>
        <v>10000_1002_10000,30000_30001_1,30000_30002_1,30000_30003_1</v>
      </c>
      <c r="O526">
        <f>equip.xml!R530</f>
        <v>0</v>
      </c>
    </row>
    <row r="527" spans="1:15">
      <c r="A527" s="14" t="str">
        <f>equip.xml!A531</f>
        <v>20100041</v>
      </c>
      <c r="B527" s="14">
        <f>equip.xml!B531</f>
        <v>0</v>
      </c>
      <c r="C527" s="14" t="str">
        <f>equip.xml!C531</f>
        <v>新兵外套</v>
      </c>
      <c r="D527" s="14" t="str">
        <f>equip.xml!D531</f>
        <v>胸甲</v>
      </c>
      <c r="E527" s="14">
        <f>equip.xml!E531</f>
        <v>4</v>
      </c>
      <c r="F527" s="14">
        <f>equip.xml!F531</f>
        <v>2</v>
      </c>
      <c r="G527" s="14">
        <f>equip.xml!G531</f>
        <v>10</v>
      </c>
      <c r="H527" s="14">
        <f>equip.xml!H531</f>
        <v>0</v>
      </c>
      <c r="I527" s="14">
        <f>equip.xml!J531</f>
        <v>10</v>
      </c>
      <c r="J527" s="14">
        <f>equip.xml!K531</f>
        <v>0</v>
      </c>
      <c r="K527" s="14">
        <f>equip.xml!L531</f>
        <v>0</v>
      </c>
      <c r="L527" s="14" t="str">
        <f>equip.xml!M531</f>
        <v>105_28_28</v>
      </c>
      <c r="M527" s="17" t="str">
        <f>equip.xml!Q531</f>
        <v>equipment/5001.png</v>
      </c>
      <c r="N527" s="16" t="str">
        <f>equip.xml!P531</f>
        <v>10000_1002_10000,30000_30001_1,30000_30002_1,30000_30003_1</v>
      </c>
      <c r="O527">
        <f>equip.xml!R531</f>
        <v>0</v>
      </c>
    </row>
    <row r="528" spans="1:15">
      <c r="A528" s="14" t="str">
        <f>equip.xml!A532</f>
        <v>20100070</v>
      </c>
      <c r="B528" s="14">
        <f>equip.xml!B532</f>
        <v>1</v>
      </c>
      <c r="C528" s="14" t="str">
        <f>equip.xml!C532</f>
        <v>护卫短裤</v>
      </c>
      <c r="D528" s="14" t="str">
        <f>equip.xml!D532</f>
        <v>护腿</v>
      </c>
      <c r="E528" s="14">
        <f>equip.xml!E532</f>
        <v>7</v>
      </c>
      <c r="F528" s="14">
        <f>equip.xml!F532</f>
        <v>2</v>
      </c>
      <c r="G528" s="14">
        <f>equip.xml!G532</f>
        <v>10</v>
      </c>
      <c r="H528" s="14">
        <f>equip.xml!H532</f>
        <v>0</v>
      </c>
      <c r="I528" s="14">
        <f>equip.xml!J532</f>
        <v>10</v>
      </c>
      <c r="J528" s="14">
        <f>equip.xml!K532</f>
        <v>0</v>
      </c>
      <c r="K528" s="14">
        <f>equip.xml!L532</f>
        <v>0</v>
      </c>
      <c r="L528" s="14" t="str">
        <f>equip.xml!M532</f>
        <v>105_20_20</v>
      </c>
      <c r="M528" s="17" t="str">
        <f>equip.xml!Q532</f>
        <v>equipment/7003.png</v>
      </c>
      <c r="N528" s="16" t="str">
        <f>equip.xml!P532</f>
        <v>10000_1002_10000,30000_30001_1,30000_30002_1,30000_30003_1</v>
      </c>
      <c r="O528">
        <f>equip.xml!R532</f>
        <v>0</v>
      </c>
    </row>
    <row r="529" spans="1:15">
      <c r="A529" s="14" t="str">
        <f>equip.xml!A533</f>
        <v>20100071</v>
      </c>
      <c r="B529" s="14">
        <f>equip.xml!B533</f>
        <v>0</v>
      </c>
      <c r="C529" s="14" t="str">
        <f>equip.xml!C533</f>
        <v>学徒短裤</v>
      </c>
      <c r="D529" s="14" t="str">
        <f>equip.xml!D533</f>
        <v>护腿</v>
      </c>
      <c r="E529" s="14">
        <f>equip.xml!E533</f>
        <v>7</v>
      </c>
      <c r="F529" s="14">
        <f>equip.xml!F533</f>
        <v>2</v>
      </c>
      <c r="G529" s="14">
        <f>equip.xml!G533</f>
        <v>10</v>
      </c>
      <c r="H529" s="14">
        <f>equip.xml!H533</f>
        <v>0</v>
      </c>
      <c r="I529" s="14">
        <f>equip.xml!J533</f>
        <v>10</v>
      </c>
      <c r="J529" s="14">
        <f>equip.xml!K533</f>
        <v>0</v>
      </c>
      <c r="K529" s="14">
        <f>equip.xml!L533</f>
        <v>0</v>
      </c>
      <c r="L529" s="14" t="str">
        <f>equip.xml!M533</f>
        <v>105_28_28</v>
      </c>
      <c r="M529" s="17" t="str">
        <f>equip.xml!Q533</f>
        <v>equipment/7001.png</v>
      </c>
      <c r="N529" s="16" t="str">
        <f>equip.xml!P533</f>
        <v>10000_1002_10000,30000_30001_1,30000_30002_1,30000_30003_1</v>
      </c>
      <c r="O529">
        <f>equip.xml!R533</f>
        <v>0</v>
      </c>
    </row>
    <row r="530" spans="1:15">
      <c r="A530" s="14" t="str">
        <f>equip.xml!A534</f>
        <v>20150010</v>
      </c>
      <c r="B530" s="14">
        <f>equip.xml!B534</f>
        <v>0</v>
      </c>
      <c r="C530" s="14" t="str">
        <f>equip.xml!C534</f>
        <v>纹饰帽</v>
      </c>
      <c r="D530" s="14" t="str">
        <f>equip.xml!D534</f>
        <v>头盔</v>
      </c>
      <c r="E530" s="14">
        <f>equip.xml!E534</f>
        <v>1</v>
      </c>
      <c r="F530" s="14">
        <f>equip.xml!F534</f>
        <v>2</v>
      </c>
      <c r="G530" s="14">
        <f>equip.xml!G534</f>
        <v>15</v>
      </c>
      <c r="H530" s="14">
        <f>equip.xml!H534</f>
        <v>0</v>
      </c>
      <c r="I530" s="14">
        <f>equip.xml!J534</f>
        <v>10</v>
      </c>
      <c r="J530" s="14">
        <f>equip.xml!K534</f>
        <v>0</v>
      </c>
      <c r="K530" s="14">
        <f>equip.xml!L534</f>
        <v>0</v>
      </c>
      <c r="L530" s="14" t="str">
        <f>equip.xml!M534</f>
        <v>106_64_64</v>
      </c>
      <c r="M530" s="17" t="str">
        <f>equip.xml!Q534</f>
        <v>equipment/3001.png</v>
      </c>
      <c r="N530" s="16" t="str">
        <f>equip.xml!P534</f>
        <v>10000_1002_15000,30000_30001_1,30000_30002_1,30000_30003_1</v>
      </c>
      <c r="O530">
        <f>equip.xml!R534</f>
        <v>0</v>
      </c>
    </row>
    <row r="531" spans="1:15">
      <c r="A531" s="14" t="str">
        <f>equip.xml!A535</f>
        <v>20150020</v>
      </c>
      <c r="B531" s="14">
        <f>equip.xml!B535</f>
        <v>0</v>
      </c>
      <c r="C531" s="14" t="str">
        <f>equip.xml!C535</f>
        <v>金戒指</v>
      </c>
      <c r="D531" s="14" t="str">
        <f>equip.xml!D535</f>
        <v>戒指</v>
      </c>
      <c r="E531" s="14">
        <f>equip.xml!E535</f>
        <v>2</v>
      </c>
      <c r="F531" s="14">
        <f>equip.xml!F535</f>
        <v>2</v>
      </c>
      <c r="G531" s="14">
        <f>equip.xml!G535</f>
        <v>15</v>
      </c>
      <c r="H531" s="14">
        <f>equip.xml!H535</f>
        <v>0</v>
      </c>
      <c r="I531" s="14">
        <f>equip.xml!J535</f>
        <v>10</v>
      </c>
      <c r="J531" s="14">
        <f>equip.xml!K535</f>
        <v>0</v>
      </c>
      <c r="K531" s="14">
        <f>equip.xml!L535</f>
        <v>0</v>
      </c>
      <c r="L531" s="14" t="str">
        <f>equip.xml!M535</f>
        <v>102_185_185</v>
      </c>
      <c r="M531" s="17" t="str">
        <f>equip.xml!Q535</f>
        <v>equipment/14001.png</v>
      </c>
      <c r="N531" s="16" t="str">
        <f>equip.xml!P535</f>
        <v>10000_1002_15000,30000_30001_1,30000_30002_1,30000_30003_1</v>
      </c>
      <c r="O531">
        <f>equip.xml!R535</f>
        <v>0</v>
      </c>
    </row>
    <row r="532" spans="1:15">
      <c r="A532" s="14" t="str">
        <f>equip.xml!A536</f>
        <v>20150030</v>
      </c>
      <c r="B532" s="14">
        <f>equip.xml!B536</f>
        <v>1</v>
      </c>
      <c r="C532" s="14" t="str">
        <f>equip.xml!C536</f>
        <v>铁锁腰带</v>
      </c>
      <c r="D532" s="14" t="str">
        <f>equip.xml!D536</f>
        <v>腰带</v>
      </c>
      <c r="E532" s="14">
        <f>equip.xml!E536</f>
        <v>3</v>
      </c>
      <c r="F532" s="14">
        <f>equip.xml!F536</f>
        <v>2</v>
      </c>
      <c r="G532" s="14">
        <f>equip.xml!G536</f>
        <v>15</v>
      </c>
      <c r="H532" s="14">
        <f>equip.xml!H536</f>
        <v>0</v>
      </c>
      <c r="I532" s="14">
        <f>equip.xml!J536</f>
        <v>10</v>
      </c>
      <c r="J532" s="14">
        <f>equip.xml!K536</f>
        <v>0</v>
      </c>
      <c r="K532" s="14">
        <f>equip.xml!L536</f>
        <v>0</v>
      </c>
      <c r="L532" s="14" t="str">
        <f>equip.xml!M536</f>
        <v>101_1160_1160</v>
      </c>
      <c r="M532" s="17" t="str">
        <f>equip.xml!Q536</f>
        <v>equipment/6003.png</v>
      </c>
      <c r="N532" s="16" t="str">
        <f>equip.xml!P536</f>
        <v>10000_1002_15000,30000_30001_1,30000_30002_1,30000_30003_1</v>
      </c>
      <c r="O532">
        <f>equip.xml!R536</f>
        <v>0</v>
      </c>
    </row>
    <row r="533" spans="1:15">
      <c r="A533" s="14" t="str">
        <f>equip.xml!A537</f>
        <v>20150080</v>
      </c>
      <c r="B533" s="14">
        <f>equip.xml!B537</f>
        <v>1</v>
      </c>
      <c r="C533" s="14" t="str">
        <f>equip.xml!C537</f>
        <v>链甲战靴</v>
      </c>
      <c r="D533" s="14" t="str">
        <f>equip.xml!D537</f>
        <v>鞋子</v>
      </c>
      <c r="E533" s="14">
        <f>equip.xml!E537</f>
        <v>8</v>
      </c>
      <c r="F533" s="14">
        <f>equip.xml!F537</f>
        <v>2</v>
      </c>
      <c r="G533" s="14">
        <f>equip.xml!G537</f>
        <v>15</v>
      </c>
      <c r="H533" s="14">
        <f>equip.xml!H537</f>
        <v>0</v>
      </c>
      <c r="I533" s="14">
        <f>equip.xml!J537</f>
        <v>10</v>
      </c>
      <c r="J533" s="14">
        <f>equip.xml!K537</f>
        <v>0</v>
      </c>
      <c r="K533" s="14">
        <f>equip.xml!L537</f>
        <v>0</v>
      </c>
      <c r="L533" s="14" t="str">
        <f>equip.xml!M537</f>
        <v>110_27_27</v>
      </c>
      <c r="M533" s="17" t="str">
        <f>equip.xml!Q537</f>
        <v>equipment/8003.png</v>
      </c>
      <c r="N533" s="16" t="str">
        <f>equip.xml!P537</f>
        <v>10000_1002_15000,30000_30001_1,30000_30002_1,30000_30003_1</v>
      </c>
      <c r="O533">
        <f>equip.xml!R537</f>
        <v>0</v>
      </c>
    </row>
    <row r="534" spans="1:15">
      <c r="A534" s="14" t="str">
        <f>equip.xml!A538</f>
        <v>20150090</v>
      </c>
      <c r="B534" s="14">
        <f>equip.xml!B538</f>
        <v>1</v>
      </c>
      <c r="C534" s="14" t="str">
        <f>equip.xml!C538</f>
        <v>战痕手套</v>
      </c>
      <c r="D534" s="14" t="str">
        <f>equip.xml!D538</f>
        <v>手套</v>
      </c>
      <c r="E534" s="14">
        <f>equip.xml!E538</f>
        <v>9</v>
      </c>
      <c r="F534" s="14">
        <f>equip.xml!F538</f>
        <v>2</v>
      </c>
      <c r="G534" s="14">
        <f>equip.xml!G538</f>
        <v>15</v>
      </c>
      <c r="H534" s="14">
        <f>equip.xml!H538</f>
        <v>0</v>
      </c>
      <c r="I534" s="14">
        <f>equip.xml!J538</f>
        <v>10</v>
      </c>
      <c r="J534" s="14">
        <f>equip.xml!K538</f>
        <v>0</v>
      </c>
      <c r="K534" s="14">
        <f>equip.xml!L538</f>
        <v>0</v>
      </c>
      <c r="L534" s="14" t="str">
        <f>equip.xml!M538</f>
        <v>108_106_106</v>
      </c>
      <c r="M534" s="17" t="str">
        <f>equip.xml!Q538</f>
        <v>equipment/10003.png</v>
      </c>
      <c r="N534" s="16" t="str">
        <f>equip.xml!P538</f>
        <v>10000_1002_15000,30000_30001_1,30000_30002_1,30000_30003_1</v>
      </c>
      <c r="O534">
        <f>equip.xml!R538</f>
        <v>0</v>
      </c>
    </row>
    <row r="535" spans="1:15">
      <c r="A535" s="14" t="str">
        <f>equip.xml!A539</f>
        <v>20150100</v>
      </c>
      <c r="B535" s="14">
        <f>equip.xml!B539</f>
        <v>1</v>
      </c>
      <c r="C535" s="14" t="str">
        <f>equip.xml!C539</f>
        <v>使者项链</v>
      </c>
      <c r="D535" s="14" t="str">
        <f>equip.xml!D539</f>
        <v>项链</v>
      </c>
      <c r="E535" s="14">
        <f>equip.xml!E539</f>
        <v>10</v>
      </c>
      <c r="F535" s="14">
        <f>equip.xml!F539</f>
        <v>2</v>
      </c>
      <c r="G535" s="14">
        <f>equip.xml!G539</f>
        <v>15</v>
      </c>
      <c r="H535" s="14">
        <f>equip.xml!H539</f>
        <v>0</v>
      </c>
      <c r="I535" s="14">
        <f>equip.xml!J539</f>
        <v>10</v>
      </c>
      <c r="J535" s="14">
        <f>equip.xml!K539</f>
        <v>0</v>
      </c>
      <c r="K535" s="14">
        <f>equip.xml!L539</f>
        <v>0</v>
      </c>
      <c r="L535" s="14" t="str">
        <f>equip.xml!M539</f>
        <v>107_64_64</v>
      </c>
      <c r="M535" s="17" t="str">
        <f>equip.xml!Q539</f>
        <v>equipment/12002.png</v>
      </c>
      <c r="N535" s="16" t="str">
        <f>equip.xml!P539</f>
        <v>10000_1002_15000,30000_30001_1,30000_30002_1,30000_30003_1</v>
      </c>
      <c r="O535">
        <f>equip.xml!R539</f>
        <v>0</v>
      </c>
    </row>
    <row r="536" spans="1:15">
      <c r="A536" s="14" t="str">
        <f>equip.xml!A540</f>
        <v>20151050</v>
      </c>
      <c r="B536" s="14">
        <f>equip.xml!B540</f>
        <v>1</v>
      </c>
      <c r="C536" s="14" t="str">
        <f>equip.xml!C540</f>
        <v>宽刃剑</v>
      </c>
      <c r="D536" s="14" t="str">
        <f>equip.xml!D540</f>
        <v>主手武器</v>
      </c>
      <c r="E536" s="14">
        <f>equip.xml!E540</f>
        <v>5</v>
      </c>
      <c r="F536" s="14">
        <f>equip.xml!F540</f>
        <v>2</v>
      </c>
      <c r="G536" s="14">
        <f>equip.xml!G540</f>
        <v>15</v>
      </c>
      <c r="H536" s="14" t="str">
        <f>equip.xml!H540</f>
        <v>1,1001</v>
      </c>
      <c r="I536" s="14">
        <f>equip.xml!J540</f>
        <v>10</v>
      </c>
      <c r="J536" s="14">
        <f>equip.xml!K540</f>
        <v>0</v>
      </c>
      <c r="K536" s="14">
        <f>equip.xml!L540</f>
        <v>0</v>
      </c>
      <c r="L536" s="14" t="str">
        <f>equip.xml!M540</f>
        <v>103_52_52,104_104_104</v>
      </c>
      <c r="M536" s="17" t="str">
        <f>equip.xml!Q540</f>
        <v>equipment/1108.png</v>
      </c>
      <c r="N536" s="16" t="str">
        <f>equip.xml!P540</f>
        <v>10000_1002_15000,30000_30001_1,30000_30002_1,30000_30003_1</v>
      </c>
      <c r="O536">
        <f>equip.xml!R540</f>
        <v>0</v>
      </c>
    </row>
    <row r="537" spans="1:15">
      <c r="A537" s="14" t="str">
        <f>equip.xml!A541</f>
        <v>20151051</v>
      </c>
      <c r="B537" s="14">
        <f>equip.xml!B541</f>
        <v>1</v>
      </c>
      <c r="C537" s="14" t="str">
        <f>equip.xml!C541</f>
        <v>游侠之刃</v>
      </c>
      <c r="D537" s="14" t="str">
        <f>equip.xml!D541</f>
        <v>主手武器</v>
      </c>
      <c r="E537" s="14">
        <f>equip.xml!E541</f>
        <v>5</v>
      </c>
      <c r="F537" s="14">
        <f>equip.xml!F541</f>
        <v>2</v>
      </c>
      <c r="G537" s="14">
        <f>equip.xml!G541</f>
        <v>15</v>
      </c>
      <c r="H537" s="14" t="str">
        <f>equip.xml!H541</f>
        <v>1,1001</v>
      </c>
      <c r="I537" s="14">
        <f>equip.xml!J541</f>
        <v>10</v>
      </c>
      <c r="J537" s="14">
        <f>equip.xml!K541</f>
        <v>0</v>
      </c>
      <c r="K537" s="14">
        <f>equip.xml!L541</f>
        <v>0</v>
      </c>
      <c r="L537" s="14" t="str">
        <f>equip.xml!M541</f>
        <v>103_76_76,104_152_152</v>
      </c>
      <c r="M537" s="17" t="str">
        <f>equip.xml!Q541</f>
        <v>equipment/1107.png</v>
      </c>
      <c r="N537" s="16" t="str">
        <f>equip.xml!P541</f>
        <v>10000_1002_15000,30000_30001_1,30000_30002_1,30000_30003_1</v>
      </c>
      <c r="O537">
        <f>equip.xml!R541</f>
        <v>0</v>
      </c>
    </row>
    <row r="538" spans="1:15">
      <c r="A538" s="14" t="str">
        <f>equip.xml!A542</f>
        <v>20151060</v>
      </c>
      <c r="B538" s="14">
        <f>equip.xml!B542</f>
        <v>1</v>
      </c>
      <c r="C538" s="14" t="str">
        <f>equip.xml!C542</f>
        <v>鸢盾</v>
      </c>
      <c r="D538" s="14" t="str">
        <f>equip.xml!D542</f>
        <v>副手武器</v>
      </c>
      <c r="E538" s="14">
        <f>equip.xml!E542</f>
        <v>6</v>
      </c>
      <c r="F538" s="14">
        <f>equip.xml!F542</f>
        <v>2</v>
      </c>
      <c r="G538" s="14">
        <f>equip.xml!G542</f>
        <v>15</v>
      </c>
      <c r="H538" s="14" t="str">
        <f>equip.xml!H542</f>
        <v>1,1001</v>
      </c>
      <c r="I538" s="14">
        <f>equip.xml!J542</f>
        <v>10</v>
      </c>
      <c r="J538" s="14">
        <f>equip.xml!K542</f>
        <v>0</v>
      </c>
      <c r="K538" s="14">
        <f>equip.xml!L542</f>
        <v>0</v>
      </c>
      <c r="L538" s="14" t="str">
        <f>equip.xml!M542</f>
        <v>105_103_103</v>
      </c>
      <c r="M538" s="17" t="str">
        <f>equip.xml!Q542</f>
        <v>equipment/2105.png</v>
      </c>
      <c r="N538" s="16" t="str">
        <f>equip.xml!P542</f>
        <v>10000_1002_15000,30000_30001_1,30000_30002_1,30000_30003_1</v>
      </c>
      <c r="O538">
        <f>equip.xml!R542</f>
        <v>0</v>
      </c>
    </row>
    <row r="539" spans="1:15">
      <c r="A539" s="14" t="str">
        <f>equip.xml!A543</f>
        <v>20151061</v>
      </c>
      <c r="B539" s="14">
        <f>equip.xml!B543</f>
        <v>0</v>
      </c>
      <c r="C539" s="14" t="str">
        <f>equip.xml!C543</f>
        <v>尖头盾</v>
      </c>
      <c r="D539" s="14" t="str">
        <f>equip.xml!D543</f>
        <v>副手武器</v>
      </c>
      <c r="E539" s="14">
        <f>equip.xml!E543</f>
        <v>6</v>
      </c>
      <c r="F539" s="14">
        <f>equip.xml!F543</f>
        <v>2</v>
      </c>
      <c r="G539" s="14">
        <f>equip.xml!G543</f>
        <v>15</v>
      </c>
      <c r="H539" s="14" t="str">
        <f>equip.xml!H543</f>
        <v>1,1001</v>
      </c>
      <c r="I539" s="14">
        <f>equip.xml!J543</f>
        <v>10</v>
      </c>
      <c r="J539" s="14">
        <f>equip.xml!K543</f>
        <v>0</v>
      </c>
      <c r="K539" s="14">
        <f>equip.xml!L543</f>
        <v>0</v>
      </c>
      <c r="L539" s="14" t="str">
        <f>equip.xml!M543</f>
        <v>105_130_130</v>
      </c>
      <c r="M539" s="17" t="str">
        <f>equip.xml!Q543</f>
        <v>equipment/2101.png</v>
      </c>
      <c r="N539" s="16" t="str">
        <f>equip.xml!P543</f>
        <v>10000_1002_15000,30000_30001_1,30000_30002_1,30000_30003_1</v>
      </c>
      <c r="O539">
        <f>equip.xml!R543</f>
        <v>0</v>
      </c>
    </row>
    <row r="540" spans="1:15">
      <c r="A540" s="14" t="str">
        <f>equip.xml!A544</f>
        <v>20152050</v>
      </c>
      <c r="B540" s="14">
        <f>equip.xml!B544</f>
        <v>1</v>
      </c>
      <c r="C540" s="14" t="str">
        <f>equip.xml!C544</f>
        <v>狩猎之弓</v>
      </c>
      <c r="D540" s="14" t="str">
        <f>equip.xml!D544</f>
        <v>主手武器</v>
      </c>
      <c r="E540" s="14">
        <f>equip.xml!E544</f>
        <v>5</v>
      </c>
      <c r="F540" s="14">
        <f>equip.xml!F544</f>
        <v>2</v>
      </c>
      <c r="G540" s="14">
        <f>equip.xml!G544</f>
        <v>15</v>
      </c>
      <c r="H540" s="14" t="str">
        <f>equip.xml!H544</f>
        <v>2,1002</v>
      </c>
      <c r="I540" s="14">
        <f>equip.xml!J544</f>
        <v>10</v>
      </c>
      <c r="J540" s="14">
        <f>equip.xml!K544</f>
        <v>0</v>
      </c>
      <c r="K540" s="14">
        <f>equip.xml!L544</f>
        <v>0</v>
      </c>
      <c r="L540" s="14" t="str">
        <f>equip.xml!M544</f>
        <v>103_52_52,104_104_104</v>
      </c>
      <c r="M540" s="17" t="str">
        <f>equip.xml!Q544</f>
        <v>equipment/1207.png</v>
      </c>
      <c r="N540" s="16" t="str">
        <f>equip.xml!P544</f>
        <v>10000_1002_15000,30000_30001_1,30000_30002_1,30000_30003_1</v>
      </c>
      <c r="O540">
        <f>equip.xml!R544</f>
        <v>0</v>
      </c>
    </row>
    <row r="541" spans="1:15">
      <c r="A541" s="14" t="str">
        <f>equip.xml!A545</f>
        <v>20152051</v>
      </c>
      <c r="B541" s="14">
        <f>equip.xml!B545</f>
        <v>1</v>
      </c>
      <c r="C541" s="14" t="str">
        <f>equip.xml!C545</f>
        <v>半人马长弓</v>
      </c>
      <c r="D541" s="14" t="str">
        <f>equip.xml!D545</f>
        <v>主手武器</v>
      </c>
      <c r="E541" s="14">
        <f>equip.xml!E545</f>
        <v>5</v>
      </c>
      <c r="F541" s="14">
        <f>equip.xml!F545</f>
        <v>2</v>
      </c>
      <c r="G541" s="14">
        <f>equip.xml!G545</f>
        <v>15</v>
      </c>
      <c r="H541" s="14" t="str">
        <f>equip.xml!H545</f>
        <v>2,1002</v>
      </c>
      <c r="I541" s="14">
        <f>equip.xml!J545</f>
        <v>10</v>
      </c>
      <c r="J541" s="14">
        <f>equip.xml!K545</f>
        <v>0</v>
      </c>
      <c r="K541" s="14">
        <f>equip.xml!L545</f>
        <v>0</v>
      </c>
      <c r="L541" s="14" t="str">
        <f>equip.xml!M545</f>
        <v>103_76_76,104_152_152</v>
      </c>
      <c r="M541" s="17" t="str">
        <f>equip.xml!Q545</f>
        <v>equipment/1208.png</v>
      </c>
      <c r="N541" s="16" t="str">
        <f>equip.xml!P545</f>
        <v>10000_1002_15000,30000_30001_1,30000_30002_1,30000_30003_1</v>
      </c>
      <c r="O541">
        <f>equip.xml!R545</f>
        <v>0</v>
      </c>
    </row>
    <row r="542" spans="1:15">
      <c r="A542" s="14" t="str">
        <f>equip.xml!A546</f>
        <v>20152060</v>
      </c>
      <c r="B542" s="14">
        <f>equip.xml!B546</f>
        <v>1</v>
      </c>
      <c r="C542" s="14" t="str">
        <f>equip.xml!C546</f>
        <v>皮革箭筒</v>
      </c>
      <c r="D542" s="14" t="str">
        <f>equip.xml!D546</f>
        <v>副手武器</v>
      </c>
      <c r="E542" s="14">
        <f>equip.xml!E546</f>
        <v>6</v>
      </c>
      <c r="F542" s="14">
        <f>equip.xml!F546</f>
        <v>2</v>
      </c>
      <c r="G542" s="14">
        <f>equip.xml!G546</f>
        <v>15</v>
      </c>
      <c r="H542" s="14" t="str">
        <f>equip.xml!H546</f>
        <v>2,1002</v>
      </c>
      <c r="I542" s="14">
        <f>equip.xml!J546</f>
        <v>10</v>
      </c>
      <c r="J542" s="14">
        <f>equip.xml!K546</f>
        <v>0</v>
      </c>
      <c r="K542" s="14">
        <f>equip.xml!L546</f>
        <v>0</v>
      </c>
      <c r="L542" s="14" t="str">
        <f>equip.xml!M546</f>
        <v>108_103_103</v>
      </c>
      <c r="M542" s="17" t="str">
        <f>equip.xml!Q546</f>
        <v>equipment/2204.png</v>
      </c>
      <c r="N542" s="16" t="str">
        <f>equip.xml!P546</f>
        <v>10000_1002_15000,30000_30001_1,30000_30002_1,30000_30003_1</v>
      </c>
      <c r="O542">
        <f>equip.xml!R546</f>
        <v>0</v>
      </c>
    </row>
    <row r="543" spans="1:15">
      <c r="A543" s="14" t="str">
        <f>equip.xml!A547</f>
        <v>20152061</v>
      </c>
      <c r="B543" s="14">
        <f>equip.xml!B547</f>
        <v>0</v>
      </c>
      <c r="C543" s="14" t="str">
        <f>equip.xml!C547</f>
        <v>箭筒</v>
      </c>
      <c r="D543" s="14" t="str">
        <f>equip.xml!D547</f>
        <v>副手武器</v>
      </c>
      <c r="E543" s="14">
        <f>equip.xml!E547</f>
        <v>6</v>
      </c>
      <c r="F543" s="14">
        <f>equip.xml!F547</f>
        <v>2</v>
      </c>
      <c r="G543" s="14">
        <f>equip.xml!G547</f>
        <v>15</v>
      </c>
      <c r="H543" s="14" t="str">
        <f>equip.xml!H547</f>
        <v>2,1002</v>
      </c>
      <c r="I543" s="14">
        <f>equip.xml!J547</f>
        <v>10</v>
      </c>
      <c r="J543" s="14">
        <f>equip.xml!K547</f>
        <v>0</v>
      </c>
      <c r="K543" s="14">
        <f>equip.xml!L547</f>
        <v>0</v>
      </c>
      <c r="L543" s="14" t="str">
        <f>equip.xml!M547</f>
        <v>108_130_130</v>
      </c>
      <c r="M543" s="17" t="str">
        <f>equip.xml!Q547</f>
        <v>equipment/2201.png</v>
      </c>
      <c r="N543" s="16" t="str">
        <f>equip.xml!P547</f>
        <v>10000_1002_15000,30000_30001_1,30000_30002_1,30000_30003_1</v>
      </c>
      <c r="O543">
        <f>equip.xml!R547</f>
        <v>0</v>
      </c>
    </row>
    <row r="544" spans="1:15">
      <c r="A544" s="14" t="str">
        <f>equip.xml!A548</f>
        <v>20153050</v>
      </c>
      <c r="B544" s="14">
        <f>equip.xml!B548</f>
        <v>1</v>
      </c>
      <c r="C544" s="14" t="str">
        <f>equip.xml!C548</f>
        <v>风灵法杖</v>
      </c>
      <c r="D544" s="14" t="str">
        <f>equip.xml!D548</f>
        <v>主手武器</v>
      </c>
      <c r="E544" s="14">
        <f>equip.xml!E548</f>
        <v>5</v>
      </c>
      <c r="F544" s="14">
        <f>equip.xml!F548</f>
        <v>2</v>
      </c>
      <c r="G544" s="14">
        <f>equip.xml!G548</f>
        <v>15</v>
      </c>
      <c r="H544" s="14" t="str">
        <f>equip.xml!H548</f>
        <v>3,1003</v>
      </c>
      <c r="I544" s="14">
        <f>equip.xml!J548</f>
        <v>10</v>
      </c>
      <c r="J544" s="14">
        <f>equip.xml!K548</f>
        <v>0</v>
      </c>
      <c r="K544" s="14">
        <f>equip.xml!L548</f>
        <v>0</v>
      </c>
      <c r="L544" s="14" t="str">
        <f>equip.xml!M548</f>
        <v>103_52_52,104_104_104</v>
      </c>
      <c r="M544" s="17" t="str">
        <f>equip.xml!Q548</f>
        <v>equipment/1307.png</v>
      </c>
      <c r="N544" s="16" t="str">
        <f>equip.xml!P548</f>
        <v>10000_1002_15000,30000_30001_1,30000_30002_1,30000_30003_1</v>
      </c>
      <c r="O544">
        <f>equip.xml!R548</f>
        <v>0</v>
      </c>
    </row>
    <row r="545" spans="1:15">
      <c r="A545" s="14" t="str">
        <f>equip.xml!A549</f>
        <v>20153051</v>
      </c>
      <c r="B545" s="14">
        <f>equip.xml!B549</f>
        <v>1</v>
      </c>
      <c r="C545" s="14" t="str">
        <f>equip.xml!C549</f>
        <v>禁锢之杖</v>
      </c>
      <c r="D545" s="14" t="str">
        <f>equip.xml!D549</f>
        <v>主手武器</v>
      </c>
      <c r="E545" s="14">
        <f>equip.xml!E549</f>
        <v>5</v>
      </c>
      <c r="F545" s="14">
        <f>equip.xml!F549</f>
        <v>2</v>
      </c>
      <c r="G545" s="14">
        <f>equip.xml!G549</f>
        <v>15</v>
      </c>
      <c r="H545" s="14" t="str">
        <f>equip.xml!H549</f>
        <v>3,1003</v>
      </c>
      <c r="I545" s="14">
        <f>equip.xml!J549</f>
        <v>10</v>
      </c>
      <c r="J545" s="14">
        <f>equip.xml!K549</f>
        <v>0</v>
      </c>
      <c r="K545" s="14">
        <f>equip.xml!L549</f>
        <v>0</v>
      </c>
      <c r="L545" s="14" t="str">
        <f>equip.xml!M549</f>
        <v>103_76_76,104_152_152</v>
      </c>
      <c r="M545" s="17" t="str">
        <f>equip.xml!Q549</f>
        <v>equipment/1308.png</v>
      </c>
      <c r="N545" s="16" t="str">
        <f>equip.xml!P549</f>
        <v>10000_1002_15000,30000_30001_1,30000_30002_1,30000_30003_1</v>
      </c>
      <c r="O545">
        <f>equip.xml!R549</f>
        <v>0</v>
      </c>
    </row>
    <row r="546" spans="1:15">
      <c r="A546" s="14" t="str">
        <f>equip.xml!A550</f>
        <v>20153060</v>
      </c>
      <c r="B546" s="14">
        <f>equip.xml!B550</f>
        <v>1</v>
      </c>
      <c r="C546" s="14" t="str">
        <f>equip.xml!C550</f>
        <v>秘法之书</v>
      </c>
      <c r="D546" s="14" t="str">
        <f>equip.xml!D550</f>
        <v>副手武器</v>
      </c>
      <c r="E546" s="14">
        <f>equip.xml!E550</f>
        <v>6</v>
      </c>
      <c r="F546" s="14">
        <f>equip.xml!F550</f>
        <v>2</v>
      </c>
      <c r="G546" s="14">
        <f>equip.xml!G550</f>
        <v>15</v>
      </c>
      <c r="H546" s="14" t="str">
        <f>equip.xml!H550</f>
        <v>3,1003</v>
      </c>
      <c r="I546" s="14">
        <f>equip.xml!J550</f>
        <v>10</v>
      </c>
      <c r="J546" s="14">
        <f>equip.xml!K550</f>
        <v>0</v>
      </c>
      <c r="K546" s="14">
        <f>equip.xml!L550</f>
        <v>0</v>
      </c>
      <c r="L546" s="14" t="str">
        <f>equip.xml!M550</f>
        <v>102_420_420</v>
      </c>
      <c r="M546" s="17" t="str">
        <f>equip.xml!Q550</f>
        <v>equipment/2304.png</v>
      </c>
      <c r="N546" s="16" t="str">
        <f>equip.xml!P550</f>
        <v>10000_1002_15000,30000_30001_1,30000_30002_1,30000_30003_1</v>
      </c>
      <c r="O546">
        <f>equip.xml!R550</f>
        <v>0</v>
      </c>
    </row>
    <row r="547" spans="1:15">
      <c r="A547" s="14" t="str">
        <f>equip.xml!A551</f>
        <v>20153061</v>
      </c>
      <c r="B547" s="14">
        <f>equip.xml!B551</f>
        <v>0</v>
      </c>
      <c r="C547" s="14" t="str">
        <f>equip.xml!C551</f>
        <v>法术指南</v>
      </c>
      <c r="D547" s="14" t="str">
        <f>equip.xml!D551</f>
        <v>副手武器</v>
      </c>
      <c r="E547" s="14">
        <f>equip.xml!E551</f>
        <v>6</v>
      </c>
      <c r="F547" s="14">
        <f>equip.xml!F551</f>
        <v>2</v>
      </c>
      <c r="G547" s="14">
        <f>equip.xml!G551</f>
        <v>15</v>
      </c>
      <c r="H547" s="14" t="str">
        <f>equip.xml!H551</f>
        <v>3,1003</v>
      </c>
      <c r="I547" s="14">
        <f>equip.xml!J551</f>
        <v>10</v>
      </c>
      <c r="J547" s="14">
        <f>equip.xml!K551</f>
        <v>0</v>
      </c>
      <c r="K547" s="14">
        <f>equip.xml!L551</f>
        <v>0</v>
      </c>
      <c r="L547" s="14" t="str">
        <f>equip.xml!M551</f>
        <v>102_472_472</v>
      </c>
      <c r="M547" s="17" t="str">
        <f>equip.xml!Q551</f>
        <v>equipment/2301.png</v>
      </c>
      <c r="N547" s="16" t="str">
        <f>equip.xml!P551</f>
        <v>10000_1002_15000,30000_30001_1,30000_30002_1,30000_30003_1</v>
      </c>
      <c r="O547">
        <f>equip.xml!R551</f>
        <v>0</v>
      </c>
    </row>
    <row r="548" spans="1:15">
      <c r="A548" s="14" t="str">
        <f>equip.xml!A552</f>
        <v>20150040</v>
      </c>
      <c r="B548" s="14">
        <f>equip.xml!B552</f>
        <v>1</v>
      </c>
      <c r="C548" s="14" t="str">
        <f>equip.xml!C552</f>
        <v>暗石胸甲</v>
      </c>
      <c r="D548" s="14" t="str">
        <f>equip.xml!D552</f>
        <v>胸甲</v>
      </c>
      <c r="E548" s="14">
        <f>equip.xml!E552</f>
        <v>4</v>
      </c>
      <c r="F548" s="14">
        <f>equip.xml!F552</f>
        <v>2</v>
      </c>
      <c r="G548" s="14">
        <f>equip.xml!G552</f>
        <v>15</v>
      </c>
      <c r="H548" s="14">
        <f>equip.xml!H552</f>
        <v>0</v>
      </c>
      <c r="I548" s="14">
        <f>equip.xml!J552</f>
        <v>10</v>
      </c>
      <c r="J548" s="14">
        <f>equip.xml!K552</f>
        <v>0</v>
      </c>
      <c r="K548" s="14">
        <f>equip.xml!L552</f>
        <v>0</v>
      </c>
      <c r="L548" s="14" t="str">
        <f>equip.xml!M552</f>
        <v>105_39_39</v>
      </c>
      <c r="M548" s="17" t="str">
        <f>equip.xml!Q552</f>
        <v>equipment/5005.png</v>
      </c>
      <c r="N548" s="16" t="str">
        <f>equip.xml!P552</f>
        <v>10000_1002_15000,30000_30001_1,30000_30002_1,30000_30003_1</v>
      </c>
      <c r="O548">
        <f>equip.xml!R552</f>
        <v>0</v>
      </c>
    </row>
    <row r="549" spans="1:15">
      <c r="A549" s="14" t="str">
        <f>equip.xml!A553</f>
        <v>20150041</v>
      </c>
      <c r="B549" s="14">
        <f>equip.xml!B553</f>
        <v>0</v>
      </c>
      <c r="C549" s="14" t="str">
        <f>equip.xml!C553</f>
        <v>新兵外套</v>
      </c>
      <c r="D549" s="14" t="str">
        <f>equip.xml!D553</f>
        <v>胸甲</v>
      </c>
      <c r="E549" s="14">
        <f>equip.xml!E553</f>
        <v>4</v>
      </c>
      <c r="F549" s="14">
        <f>equip.xml!F553</f>
        <v>2</v>
      </c>
      <c r="G549" s="14">
        <f>equip.xml!G553</f>
        <v>15</v>
      </c>
      <c r="H549" s="14">
        <f>equip.xml!H553</f>
        <v>0</v>
      </c>
      <c r="I549" s="14">
        <f>equip.xml!J553</f>
        <v>10</v>
      </c>
      <c r="J549" s="14">
        <f>equip.xml!K553</f>
        <v>0</v>
      </c>
      <c r="K549" s="14">
        <f>equip.xml!L553</f>
        <v>0</v>
      </c>
      <c r="L549" s="14" t="str">
        <f>equip.xml!M553</f>
        <v>105_64_64</v>
      </c>
      <c r="M549" s="17" t="str">
        <f>equip.xml!Q553</f>
        <v>equipment/5001.png</v>
      </c>
      <c r="N549" s="16" t="str">
        <f>equip.xml!P553</f>
        <v>10000_1002_15000,30000_30001_1,30000_30002_1,30000_30003_1</v>
      </c>
      <c r="O549">
        <f>equip.xml!R553</f>
        <v>0</v>
      </c>
    </row>
    <row r="550" spans="1:15">
      <c r="A550" s="14" t="str">
        <f>equip.xml!A554</f>
        <v>20150070</v>
      </c>
      <c r="B550" s="14">
        <f>equip.xml!B554</f>
        <v>1</v>
      </c>
      <c r="C550" s="14" t="str">
        <f>equip.xml!C554</f>
        <v>荒野马裤</v>
      </c>
      <c r="D550" s="14" t="str">
        <f>equip.xml!D554</f>
        <v>护腿</v>
      </c>
      <c r="E550" s="14">
        <f>equip.xml!E554</f>
        <v>7</v>
      </c>
      <c r="F550" s="14">
        <f>equip.xml!F554</f>
        <v>2</v>
      </c>
      <c r="G550" s="14">
        <f>equip.xml!G554</f>
        <v>15</v>
      </c>
      <c r="H550" s="14">
        <f>equip.xml!H554</f>
        <v>0</v>
      </c>
      <c r="I550" s="14">
        <f>equip.xml!J554</f>
        <v>10</v>
      </c>
      <c r="J550" s="14">
        <f>equip.xml!K554</f>
        <v>0</v>
      </c>
      <c r="K550" s="14">
        <f>equip.xml!L554</f>
        <v>0</v>
      </c>
      <c r="L550" s="14" t="str">
        <f>equip.xml!M554</f>
        <v>105_39_39</v>
      </c>
      <c r="M550" s="17" t="str">
        <f>equip.xml!Q554</f>
        <v>equipment/7003.png</v>
      </c>
      <c r="N550" s="16" t="str">
        <f>equip.xml!P554</f>
        <v>10000_1002_15000,30000_30001_1,30000_30002_1,30000_30003_1</v>
      </c>
      <c r="O550">
        <f>equip.xml!R554</f>
        <v>0</v>
      </c>
    </row>
    <row r="551" spans="1:15">
      <c r="A551" s="14" t="str">
        <f>equip.xml!A555</f>
        <v>20150071</v>
      </c>
      <c r="B551" s="14">
        <f>equip.xml!B555</f>
        <v>0</v>
      </c>
      <c r="C551" s="14" t="str">
        <f>equip.xml!C555</f>
        <v>学徒短裤</v>
      </c>
      <c r="D551" s="14" t="str">
        <f>equip.xml!D555</f>
        <v>护腿</v>
      </c>
      <c r="E551" s="14">
        <f>equip.xml!E555</f>
        <v>7</v>
      </c>
      <c r="F551" s="14">
        <f>equip.xml!F555</f>
        <v>2</v>
      </c>
      <c r="G551" s="14">
        <f>equip.xml!G555</f>
        <v>15</v>
      </c>
      <c r="H551" s="14">
        <f>equip.xml!H555</f>
        <v>0</v>
      </c>
      <c r="I551" s="14">
        <f>equip.xml!J555</f>
        <v>10</v>
      </c>
      <c r="J551" s="14">
        <f>equip.xml!K555</f>
        <v>0</v>
      </c>
      <c r="K551" s="14">
        <f>equip.xml!L555</f>
        <v>0</v>
      </c>
      <c r="L551" s="14" t="str">
        <f>equip.xml!M555</f>
        <v>105_50_50</v>
      </c>
      <c r="M551" s="17" t="str">
        <f>equip.xml!Q555</f>
        <v>equipment/7001.png</v>
      </c>
      <c r="N551" s="16" t="str">
        <f>equip.xml!P555</f>
        <v>10000_1002_15000,30000_30001_1,30000_30002_1,30000_30003_1</v>
      </c>
      <c r="O551">
        <f>equip.xml!R555</f>
        <v>0</v>
      </c>
    </row>
    <row r="552" spans="1:15">
      <c r="A552" s="14" t="str">
        <f>equip.xml!A556</f>
        <v>20200010</v>
      </c>
      <c r="B552" s="14">
        <f>equip.xml!B556</f>
        <v>1</v>
      </c>
      <c r="C552" s="14" t="str">
        <f>equip.xml!C556</f>
        <v>卫士头盔</v>
      </c>
      <c r="D552" s="14" t="str">
        <f>equip.xml!D556</f>
        <v>头盔</v>
      </c>
      <c r="E552" s="14">
        <f>equip.xml!E556</f>
        <v>1</v>
      </c>
      <c r="F552" s="14">
        <f>equip.xml!F556</f>
        <v>2</v>
      </c>
      <c r="G552" s="14">
        <f>equip.xml!G556</f>
        <v>20</v>
      </c>
      <c r="H552" s="14">
        <f>equip.xml!H556</f>
        <v>0</v>
      </c>
      <c r="I552" s="14">
        <f>equip.xml!J556</f>
        <v>10</v>
      </c>
      <c r="J552" s="14">
        <f>equip.xml!K556</f>
        <v>0</v>
      </c>
      <c r="K552" s="14">
        <f>equip.xml!L556</f>
        <v>0</v>
      </c>
      <c r="L552" s="14" t="str">
        <f>equip.xml!M556</f>
        <v>106_136_136</v>
      </c>
      <c r="M552" s="17" t="str">
        <f>equip.xml!Q556</f>
        <v>equipment/3003.png</v>
      </c>
      <c r="N552" s="16" t="str">
        <f>equip.xml!P556</f>
        <v>10000_1002_20000,30000_30001_1,30000_30002_1,30000_30003_1</v>
      </c>
      <c r="O552">
        <f>equip.xml!R556</f>
        <v>0</v>
      </c>
    </row>
    <row r="553" spans="1:15">
      <c r="A553" s="14" t="str">
        <f>equip.xml!A557</f>
        <v>20200020</v>
      </c>
      <c r="B553" s="14">
        <f>equip.xml!B557</f>
        <v>1</v>
      </c>
      <c r="C553" s="14" t="str">
        <f>equip.xml!C557</f>
        <v>石岩指环</v>
      </c>
      <c r="D553" s="14" t="str">
        <f>equip.xml!D557</f>
        <v>戒指</v>
      </c>
      <c r="E553" s="14">
        <f>equip.xml!E557</f>
        <v>2</v>
      </c>
      <c r="F553" s="14">
        <f>equip.xml!F557</f>
        <v>2</v>
      </c>
      <c r="G553" s="14">
        <f>equip.xml!G557</f>
        <v>20</v>
      </c>
      <c r="H553" s="14">
        <f>equip.xml!H557</f>
        <v>0</v>
      </c>
      <c r="I553" s="14">
        <f>equip.xml!J557</f>
        <v>10</v>
      </c>
      <c r="J553" s="14">
        <f>equip.xml!K557</f>
        <v>0</v>
      </c>
      <c r="K553" s="14">
        <f>equip.xml!L557</f>
        <v>0</v>
      </c>
      <c r="L553" s="14" t="str">
        <f>equip.xml!M557</f>
        <v>102_240_240</v>
      </c>
      <c r="M553" s="17" t="str">
        <f>equip.xml!Q557</f>
        <v>equipment/14003.png</v>
      </c>
      <c r="N553" s="16" t="str">
        <f>equip.xml!P557</f>
        <v>10000_1002_20000,30000_30001_1,30000_30002_1,30000_30003_1</v>
      </c>
      <c r="O553">
        <f>equip.xml!R557</f>
        <v>0</v>
      </c>
    </row>
    <row r="554" spans="1:15">
      <c r="A554" s="14" t="str">
        <f>equip.xml!A558</f>
        <v>20200030</v>
      </c>
      <c r="B554" s="14">
        <f>equip.xml!B558</f>
        <v>1</v>
      </c>
      <c r="C554" s="14" t="str">
        <f>equip.xml!C558</f>
        <v>勇者束带</v>
      </c>
      <c r="D554" s="14" t="str">
        <f>equip.xml!D558</f>
        <v>腰带</v>
      </c>
      <c r="E554" s="14">
        <f>equip.xml!E558</f>
        <v>3</v>
      </c>
      <c r="F554" s="14">
        <f>equip.xml!F558</f>
        <v>2</v>
      </c>
      <c r="G554" s="14">
        <f>equip.xml!G558</f>
        <v>20</v>
      </c>
      <c r="H554" s="14">
        <f>equip.xml!H558</f>
        <v>0</v>
      </c>
      <c r="I554" s="14">
        <f>equip.xml!J558</f>
        <v>10</v>
      </c>
      <c r="J554" s="14">
        <f>equip.xml!K558</f>
        <v>0</v>
      </c>
      <c r="K554" s="14">
        <f>equip.xml!L558</f>
        <v>0</v>
      </c>
      <c r="L554" s="14" t="str">
        <f>equip.xml!M558</f>
        <v>101_2120_2120</v>
      </c>
      <c r="M554" s="17" t="str">
        <f>equip.xml!Q558</f>
        <v>equipment/6004.png</v>
      </c>
      <c r="N554" s="16" t="str">
        <f>equip.xml!P558</f>
        <v>10000_1002_20000,30000_30001_1,30000_30002_1,30000_30003_1</v>
      </c>
      <c r="O554">
        <f>equip.xml!R558</f>
        <v>0</v>
      </c>
    </row>
    <row r="555" spans="1:15">
      <c r="A555" s="14" t="str">
        <f>equip.xml!A559</f>
        <v>20200080</v>
      </c>
      <c r="B555" s="14">
        <f>equip.xml!B559</f>
        <v>1</v>
      </c>
      <c r="C555" s="14" t="str">
        <f>equip.xml!C559</f>
        <v>冒险长靴</v>
      </c>
      <c r="D555" s="14" t="str">
        <f>equip.xml!D559</f>
        <v>鞋子</v>
      </c>
      <c r="E555" s="14">
        <f>equip.xml!E559</f>
        <v>8</v>
      </c>
      <c r="F555" s="14">
        <f>equip.xml!F559</f>
        <v>2</v>
      </c>
      <c r="G555" s="14">
        <f>equip.xml!G559</f>
        <v>20</v>
      </c>
      <c r="H555" s="14">
        <f>equip.xml!H559</f>
        <v>0</v>
      </c>
      <c r="I555" s="14">
        <f>equip.xml!J559</f>
        <v>10</v>
      </c>
      <c r="J555" s="14">
        <f>equip.xml!K559</f>
        <v>0</v>
      </c>
      <c r="K555" s="14">
        <f>equip.xml!L559</f>
        <v>0</v>
      </c>
      <c r="L555" s="14" t="str">
        <f>equip.xml!M559</f>
        <v>110_32_32</v>
      </c>
      <c r="M555" s="17" t="str">
        <f>equip.xml!Q559</f>
        <v>equipment/8003.png</v>
      </c>
      <c r="N555" s="16" t="str">
        <f>equip.xml!P559</f>
        <v>10000_1002_20000,30000_30001_1,30000_30002_1,30000_30003_1</v>
      </c>
      <c r="O555">
        <f>equip.xml!R559</f>
        <v>0</v>
      </c>
    </row>
    <row r="556" spans="1:15">
      <c r="A556" s="14" t="str">
        <f>equip.xml!A560</f>
        <v>20200090</v>
      </c>
      <c r="B556" s="14">
        <f>equip.xml!B560</f>
        <v>1</v>
      </c>
      <c r="C556" s="14" t="str">
        <f>equip.xml!C560</f>
        <v>工程手套</v>
      </c>
      <c r="D556" s="14" t="str">
        <f>equip.xml!D560</f>
        <v>手套</v>
      </c>
      <c r="E556" s="14">
        <f>equip.xml!E560</f>
        <v>9</v>
      </c>
      <c r="F556" s="14">
        <f>equip.xml!F560</f>
        <v>2</v>
      </c>
      <c r="G556" s="14">
        <f>equip.xml!G560</f>
        <v>20</v>
      </c>
      <c r="H556" s="14">
        <f>equip.xml!H560</f>
        <v>0</v>
      </c>
      <c r="I556" s="14">
        <f>equip.xml!J560</f>
        <v>10</v>
      </c>
      <c r="J556" s="14">
        <f>equip.xml!K560</f>
        <v>0</v>
      </c>
      <c r="K556" s="14">
        <f>equip.xml!L560</f>
        <v>0</v>
      </c>
      <c r="L556" s="14" t="str">
        <f>equip.xml!M560</f>
        <v>108_211_211</v>
      </c>
      <c r="M556" s="17" t="str">
        <f>equip.xml!Q560</f>
        <v>equipment/10004.png</v>
      </c>
      <c r="N556" s="16" t="str">
        <f>equip.xml!P560</f>
        <v>10000_1002_20000,30000_30001_1,30000_30002_1,30000_30003_1</v>
      </c>
      <c r="O556">
        <f>equip.xml!R560</f>
        <v>0</v>
      </c>
    </row>
    <row r="557" spans="1:15">
      <c r="A557" s="14" t="str">
        <f>equip.xml!A561</f>
        <v>20200100</v>
      </c>
      <c r="B557" s="14">
        <f>equip.xml!B561</f>
        <v>1</v>
      </c>
      <c r="C557" s="14" t="str">
        <f>equip.xml!C561</f>
        <v>翡翠项链</v>
      </c>
      <c r="D557" s="14" t="str">
        <f>equip.xml!D561</f>
        <v>项链</v>
      </c>
      <c r="E557" s="14">
        <f>equip.xml!E561</f>
        <v>10</v>
      </c>
      <c r="F557" s="14">
        <f>equip.xml!F561</f>
        <v>2</v>
      </c>
      <c r="G557" s="14">
        <f>equip.xml!G561</f>
        <v>20</v>
      </c>
      <c r="H557" s="14">
        <f>equip.xml!H561</f>
        <v>0</v>
      </c>
      <c r="I557" s="14">
        <f>equip.xml!J561</f>
        <v>10</v>
      </c>
      <c r="J557" s="14">
        <f>equip.xml!K561</f>
        <v>0</v>
      </c>
      <c r="K557" s="14">
        <f>equip.xml!L561</f>
        <v>0</v>
      </c>
      <c r="L557" s="14" t="str">
        <f>equip.xml!M561</f>
        <v>107_136_136</v>
      </c>
      <c r="M557" s="17" t="str">
        <f>equip.xml!Q561</f>
        <v>equipment/12003.png</v>
      </c>
      <c r="N557" s="16" t="str">
        <f>equip.xml!P561</f>
        <v>10000_1002_20000,30000_30001_1,30000_30002_1,30000_30003_1</v>
      </c>
      <c r="O557">
        <f>equip.xml!R561</f>
        <v>0</v>
      </c>
    </row>
    <row r="558" spans="1:15">
      <c r="A558" s="14" t="str">
        <f>equip.xml!A562</f>
        <v>20201050</v>
      </c>
      <c r="B558" s="14">
        <f>equip.xml!B562</f>
        <v>1</v>
      </c>
      <c r="C558" s="14" t="str">
        <f>equip.xml!C562</f>
        <v>勇者长剑</v>
      </c>
      <c r="D558" s="14" t="str">
        <f>equip.xml!D562</f>
        <v>主手武器</v>
      </c>
      <c r="E558" s="14">
        <f>equip.xml!E562</f>
        <v>5</v>
      </c>
      <c r="F558" s="14">
        <f>equip.xml!F562</f>
        <v>2</v>
      </c>
      <c r="G558" s="14">
        <f>equip.xml!G562</f>
        <v>20</v>
      </c>
      <c r="H558" s="14" t="str">
        <f>equip.xml!H562</f>
        <v>1,1001</v>
      </c>
      <c r="I558" s="14">
        <f>equip.xml!J562</f>
        <v>10</v>
      </c>
      <c r="J558" s="14">
        <f>equip.xml!K562</f>
        <v>0</v>
      </c>
      <c r="K558" s="14">
        <f>equip.xml!L562</f>
        <v>0</v>
      </c>
      <c r="L558" s="14" t="str">
        <f>equip.xml!M562</f>
        <v>103_113_113,104_226_226</v>
      </c>
      <c r="M558" s="17" t="str">
        <f>equip.xml!Q562</f>
        <v>equipment/1109.png</v>
      </c>
      <c r="N558" s="16" t="str">
        <f>equip.xml!P562</f>
        <v>10000_1002_20000,30000_30001_1,30000_30002_1,30000_30003_1</v>
      </c>
      <c r="O558">
        <f>equip.xml!R562</f>
        <v>0</v>
      </c>
    </row>
    <row r="559" spans="1:15">
      <c r="A559" s="14" t="str">
        <f>equip.xml!A563</f>
        <v>20201051</v>
      </c>
      <c r="B559" s="14">
        <f>equip.xml!B563</f>
        <v>0</v>
      </c>
      <c r="C559" s="14" t="str">
        <f>equip.xml!C563</f>
        <v>军刀</v>
      </c>
      <c r="D559" s="14" t="str">
        <f>equip.xml!D563</f>
        <v>主手武器</v>
      </c>
      <c r="E559" s="14">
        <f>equip.xml!E563</f>
        <v>5</v>
      </c>
      <c r="F559" s="14">
        <f>equip.xml!F563</f>
        <v>2</v>
      </c>
      <c r="G559" s="14">
        <f>equip.xml!G563</f>
        <v>20</v>
      </c>
      <c r="H559" s="14" t="str">
        <f>equip.xml!H563</f>
        <v>1,1001</v>
      </c>
      <c r="I559" s="14">
        <f>equip.xml!J563</f>
        <v>10</v>
      </c>
      <c r="J559" s="14">
        <f>equip.xml!K563</f>
        <v>0</v>
      </c>
      <c r="K559" s="14">
        <f>equip.xml!L563</f>
        <v>0</v>
      </c>
      <c r="L559" s="14" t="str">
        <f>equip.xml!M563</f>
        <v>103_138_138,104_276_276</v>
      </c>
      <c r="M559" s="17" t="str">
        <f>equip.xml!Q563</f>
        <v>equipment/1101.png</v>
      </c>
      <c r="N559" s="16" t="str">
        <f>equip.xml!P563</f>
        <v>10000_1002_20000,30000_30001_1,30000_30002_1,30000_30003_1</v>
      </c>
      <c r="O559">
        <f>equip.xml!R563</f>
        <v>0</v>
      </c>
    </row>
    <row r="560" spans="1:15">
      <c r="A560" s="14" t="str">
        <f>equip.xml!A564</f>
        <v>20201060</v>
      </c>
      <c r="B560" s="14">
        <f>equip.xml!B564</f>
        <v>1</v>
      </c>
      <c r="C560" s="14" t="str">
        <f>equip.xml!C564</f>
        <v>护卫之盾</v>
      </c>
      <c r="D560" s="14" t="str">
        <f>equip.xml!D564</f>
        <v>副手武器</v>
      </c>
      <c r="E560" s="14">
        <f>equip.xml!E564</f>
        <v>6</v>
      </c>
      <c r="F560" s="14">
        <f>equip.xml!F564</f>
        <v>2</v>
      </c>
      <c r="G560" s="14">
        <f>equip.xml!G564</f>
        <v>20</v>
      </c>
      <c r="H560" s="14" t="str">
        <f>equip.xml!H564</f>
        <v>1,1001</v>
      </c>
      <c r="I560" s="14">
        <f>equip.xml!J564</f>
        <v>10</v>
      </c>
      <c r="J560" s="14">
        <f>equip.xml!K564</f>
        <v>0</v>
      </c>
      <c r="K560" s="14">
        <f>equip.xml!L564</f>
        <v>0</v>
      </c>
      <c r="L560" s="14" t="str">
        <f>equip.xml!M564</f>
        <v>105_171_171</v>
      </c>
      <c r="M560" s="17" t="str">
        <f>equip.xml!Q564</f>
        <v>equipment/2104.png</v>
      </c>
      <c r="N560" s="16" t="str">
        <f>equip.xml!P564</f>
        <v>10000_1002_20000,30000_30001_1,30000_30002_1,30000_30003_1</v>
      </c>
      <c r="O560">
        <f>equip.xml!R564</f>
        <v>0</v>
      </c>
    </row>
    <row r="561" spans="1:15">
      <c r="A561" s="14" t="str">
        <f>equip.xml!A565</f>
        <v>20201061</v>
      </c>
      <c r="B561" s="14">
        <f>equip.xml!B565</f>
        <v>0</v>
      </c>
      <c r="C561" s="14" t="str">
        <f>equip.xml!C565</f>
        <v>尖头盾</v>
      </c>
      <c r="D561" s="14" t="str">
        <f>equip.xml!D565</f>
        <v>副手武器</v>
      </c>
      <c r="E561" s="14">
        <f>equip.xml!E565</f>
        <v>6</v>
      </c>
      <c r="F561" s="14">
        <f>equip.xml!F565</f>
        <v>2</v>
      </c>
      <c r="G561" s="14">
        <f>equip.xml!G565</f>
        <v>20</v>
      </c>
      <c r="H561" s="14" t="str">
        <f>equip.xml!H565</f>
        <v>1,1001</v>
      </c>
      <c r="I561" s="14">
        <f>equip.xml!J565</f>
        <v>10</v>
      </c>
      <c r="J561" s="14">
        <f>equip.xml!K565</f>
        <v>0</v>
      </c>
      <c r="K561" s="14">
        <f>equip.xml!L565</f>
        <v>0</v>
      </c>
      <c r="L561" s="14" t="str">
        <f>equip.xml!M565</f>
        <v>105_205_205</v>
      </c>
      <c r="M561" s="17" t="str">
        <f>equip.xml!Q565</f>
        <v>equipment/2101.png</v>
      </c>
      <c r="N561" s="16" t="str">
        <f>equip.xml!P565</f>
        <v>10000_1002_20000,30000_30001_1,30000_30002_1,30000_30003_1</v>
      </c>
      <c r="O561">
        <f>equip.xml!R565</f>
        <v>0</v>
      </c>
    </row>
    <row r="562" spans="1:15">
      <c r="A562" s="14" t="str">
        <f>equip.xml!A566</f>
        <v>20202050</v>
      </c>
      <c r="B562" s="14">
        <f>equip.xml!B566</f>
        <v>1</v>
      </c>
      <c r="C562" s="14" t="str">
        <f>equip.xml!C566</f>
        <v>护卫之弓</v>
      </c>
      <c r="D562" s="14" t="str">
        <f>equip.xml!D566</f>
        <v>主手武器</v>
      </c>
      <c r="E562" s="14">
        <f>equip.xml!E566</f>
        <v>5</v>
      </c>
      <c r="F562" s="14">
        <f>equip.xml!F566</f>
        <v>2</v>
      </c>
      <c r="G562" s="14">
        <f>equip.xml!G566</f>
        <v>20</v>
      </c>
      <c r="H562" s="14" t="str">
        <f>equip.xml!H566</f>
        <v>2,1002</v>
      </c>
      <c r="I562" s="14">
        <f>equip.xml!J566</f>
        <v>10</v>
      </c>
      <c r="J562" s="14">
        <f>equip.xml!K566</f>
        <v>0</v>
      </c>
      <c r="K562" s="14">
        <f>equip.xml!L566</f>
        <v>0</v>
      </c>
      <c r="L562" s="14" t="str">
        <f>equip.xml!M566</f>
        <v>103_113_113,104_226_226</v>
      </c>
      <c r="M562" s="17" t="str">
        <f>equip.xml!Q566</f>
        <v>equipment/1209.png</v>
      </c>
      <c r="N562" s="16" t="str">
        <f>equip.xml!P566</f>
        <v>10000_1002_20000,30000_30001_1,30000_30002_1,30000_30003_1</v>
      </c>
      <c r="O562">
        <f>equip.xml!R566</f>
        <v>0</v>
      </c>
    </row>
    <row r="563" spans="1:15">
      <c r="A563" s="14" t="str">
        <f>equip.xml!A567</f>
        <v>20202051</v>
      </c>
      <c r="B563" s="14">
        <f>equip.xml!B567</f>
        <v>0</v>
      </c>
      <c r="C563" s="14" t="str">
        <f>equip.xml!C567</f>
        <v>棘木弓</v>
      </c>
      <c r="D563" s="14" t="str">
        <f>equip.xml!D567</f>
        <v>主手武器</v>
      </c>
      <c r="E563" s="14">
        <f>equip.xml!E567</f>
        <v>5</v>
      </c>
      <c r="F563" s="14">
        <f>equip.xml!F567</f>
        <v>2</v>
      </c>
      <c r="G563" s="14">
        <f>equip.xml!G567</f>
        <v>20</v>
      </c>
      <c r="H563" s="14" t="str">
        <f>equip.xml!H567</f>
        <v>2,1002</v>
      </c>
      <c r="I563" s="14">
        <f>equip.xml!J567</f>
        <v>10</v>
      </c>
      <c r="J563" s="14">
        <f>equip.xml!K567</f>
        <v>0</v>
      </c>
      <c r="K563" s="14">
        <f>equip.xml!L567</f>
        <v>0</v>
      </c>
      <c r="L563" s="14" t="str">
        <f>equip.xml!M567</f>
        <v>103_138_138,104_276_276</v>
      </c>
      <c r="M563" s="17" t="str">
        <f>equip.xml!Q567</f>
        <v>equipment/1201.png</v>
      </c>
      <c r="N563" s="16" t="str">
        <f>equip.xml!P567</f>
        <v>10000_1002_20000,30000_30001_1,30000_30002_1,30000_30003_1</v>
      </c>
      <c r="O563">
        <f>equip.xml!R567</f>
        <v>0</v>
      </c>
    </row>
    <row r="564" spans="1:15">
      <c r="A564" s="14" t="str">
        <f>equip.xml!A568</f>
        <v>20202060</v>
      </c>
      <c r="B564" s="14">
        <f>equip.xml!B568</f>
        <v>1</v>
      </c>
      <c r="C564" s="14" t="str">
        <f>equip.xml!C568</f>
        <v>狩猎箭筒</v>
      </c>
      <c r="D564" s="14" t="str">
        <f>equip.xml!D568</f>
        <v>副手武器</v>
      </c>
      <c r="E564" s="14">
        <f>equip.xml!E568</f>
        <v>6</v>
      </c>
      <c r="F564" s="14">
        <f>equip.xml!F568</f>
        <v>2</v>
      </c>
      <c r="G564" s="14">
        <f>equip.xml!G568</f>
        <v>20</v>
      </c>
      <c r="H564" s="14" t="str">
        <f>equip.xml!H568</f>
        <v>2,1002</v>
      </c>
      <c r="I564" s="14">
        <f>equip.xml!J568</f>
        <v>10</v>
      </c>
      <c r="J564" s="14">
        <f>equip.xml!K568</f>
        <v>0</v>
      </c>
      <c r="K564" s="14">
        <f>equip.xml!L568</f>
        <v>0</v>
      </c>
      <c r="L564" s="14" t="str">
        <f>equip.xml!M568</f>
        <v>108_171_171</v>
      </c>
      <c r="M564" s="17" t="str">
        <f>equip.xml!Q568</f>
        <v>equipment/2205.png</v>
      </c>
      <c r="N564" s="16" t="str">
        <f>equip.xml!P568</f>
        <v>10000_1002_20000,30000_30001_1,30000_30002_1,30000_30003_1</v>
      </c>
      <c r="O564">
        <f>equip.xml!R568</f>
        <v>0</v>
      </c>
    </row>
    <row r="565" spans="1:15">
      <c r="A565" s="14" t="str">
        <f>equip.xml!A569</f>
        <v>20202061</v>
      </c>
      <c r="B565" s="14">
        <f>equip.xml!B569</f>
        <v>0</v>
      </c>
      <c r="C565" s="14" t="str">
        <f>equip.xml!C569</f>
        <v>箭筒</v>
      </c>
      <c r="D565" s="14" t="str">
        <f>equip.xml!D569</f>
        <v>副手武器</v>
      </c>
      <c r="E565" s="14">
        <f>equip.xml!E569</f>
        <v>6</v>
      </c>
      <c r="F565" s="14">
        <f>equip.xml!F569</f>
        <v>2</v>
      </c>
      <c r="G565" s="14">
        <f>equip.xml!G569</f>
        <v>20</v>
      </c>
      <c r="H565" s="14" t="str">
        <f>equip.xml!H569</f>
        <v>2,1002</v>
      </c>
      <c r="I565" s="14">
        <f>equip.xml!J569</f>
        <v>10</v>
      </c>
      <c r="J565" s="14">
        <f>equip.xml!K569</f>
        <v>0</v>
      </c>
      <c r="K565" s="14">
        <f>equip.xml!L569</f>
        <v>0</v>
      </c>
      <c r="L565" s="14" t="str">
        <f>equip.xml!M569</f>
        <v>108_205_205</v>
      </c>
      <c r="M565" s="17" t="str">
        <f>equip.xml!Q569</f>
        <v>equipment/2201.png</v>
      </c>
      <c r="N565" s="16" t="str">
        <f>equip.xml!P569</f>
        <v>10000_1002_20000,30000_30001_1,30000_30002_1,30000_30003_1</v>
      </c>
      <c r="O565">
        <f>equip.xml!R569</f>
        <v>0</v>
      </c>
    </row>
    <row r="566" spans="1:15">
      <c r="A566" s="14" t="str">
        <f>equip.xml!A570</f>
        <v>20203050</v>
      </c>
      <c r="B566" s="14">
        <f>equip.xml!B570</f>
        <v>1</v>
      </c>
      <c r="C566" s="14" t="str">
        <f>equip.xml!C570</f>
        <v>保护法杖</v>
      </c>
      <c r="D566" s="14" t="str">
        <f>equip.xml!D570</f>
        <v>主手武器</v>
      </c>
      <c r="E566" s="14">
        <f>equip.xml!E570</f>
        <v>5</v>
      </c>
      <c r="F566" s="14">
        <f>equip.xml!F570</f>
        <v>2</v>
      </c>
      <c r="G566" s="14">
        <f>equip.xml!G570</f>
        <v>20</v>
      </c>
      <c r="H566" s="14" t="str">
        <f>equip.xml!H570</f>
        <v>3,1003</v>
      </c>
      <c r="I566" s="14">
        <f>equip.xml!J570</f>
        <v>10</v>
      </c>
      <c r="J566" s="14">
        <f>equip.xml!K570</f>
        <v>0</v>
      </c>
      <c r="K566" s="14">
        <f>equip.xml!L570</f>
        <v>0</v>
      </c>
      <c r="L566" s="14" t="str">
        <f>equip.xml!M570</f>
        <v>103_113_113,104_226_226</v>
      </c>
      <c r="M566" s="17" t="str">
        <f>equip.xml!Q570</f>
        <v>equipment/1309.png</v>
      </c>
      <c r="N566" s="16" t="str">
        <f>equip.xml!P570</f>
        <v>10000_1002_20000,30000_30001_1,30000_30002_1,30000_30003_1</v>
      </c>
      <c r="O566">
        <f>equip.xml!R570</f>
        <v>0</v>
      </c>
    </row>
    <row r="567" spans="1:15">
      <c r="A567" s="14" t="str">
        <f>equip.xml!A571</f>
        <v>20203051</v>
      </c>
      <c r="B567" s="14">
        <f>equip.xml!B571</f>
        <v>1</v>
      </c>
      <c r="C567" s="14" t="str">
        <f>equip.xml!C571</f>
        <v>火石法杖</v>
      </c>
      <c r="D567" s="14" t="str">
        <f>equip.xml!D571</f>
        <v>主手武器</v>
      </c>
      <c r="E567" s="14">
        <f>equip.xml!E571</f>
        <v>5</v>
      </c>
      <c r="F567" s="14">
        <f>equip.xml!F571</f>
        <v>2</v>
      </c>
      <c r="G567" s="14">
        <f>equip.xml!G571</f>
        <v>20</v>
      </c>
      <c r="H567" s="14" t="str">
        <f>equip.xml!H571</f>
        <v>3,1003</v>
      </c>
      <c r="I567" s="14">
        <f>equip.xml!J571</f>
        <v>10</v>
      </c>
      <c r="J567" s="14">
        <f>equip.xml!K571</f>
        <v>0</v>
      </c>
      <c r="K567" s="14">
        <f>equip.xml!L571</f>
        <v>0</v>
      </c>
      <c r="L567" s="14" t="str">
        <f>equip.xml!M571</f>
        <v>103_138_138,104_276_276</v>
      </c>
      <c r="M567" s="17" t="str">
        <f>equip.xml!Q571</f>
        <v>equipment/1310.png</v>
      </c>
      <c r="N567" s="16" t="str">
        <f>equip.xml!P571</f>
        <v>10000_1002_20000,30000_30001_1,30000_30002_1,30000_30003_1</v>
      </c>
      <c r="O567">
        <f>equip.xml!R571</f>
        <v>0</v>
      </c>
    </row>
    <row r="568" spans="1:15">
      <c r="A568" s="14" t="str">
        <f>equip.xml!A572</f>
        <v>20203060</v>
      </c>
      <c r="B568" s="14">
        <f>equip.xml!B572</f>
        <v>1</v>
      </c>
      <c r="C568" s="14" t="str">
        <f>equip.xml!C572</f>
        <v>奥义之书</v>
      </c>
      <c r="D568" s="14" t="str">
        <f>equip.xml!D572</f>
        <v>副手武器</v>
      </c>
      <c r="E568" s="14">
        <f>equip.xml!E572</f>
        <v>6</v>
      </c>
      <c r="F568" s="14">
        <f>equip.xml!F572</f>
        <v>2</v>
      </c>
      <c r="G568" s="14">
        <f>equip.xml!G572</f>
        <v>20</v>
      </c>
      <c r="H568" s="14" t="str">
        <f>equip.xml!H572</f>
        <v>3,1003</v>
      </c>
      <c r="I568" s="14">
        <f>equip.xml!J572</f>
        <v>10</v>
      </c>
      <c r="J568" s="14">
        <f>equip.xml!K572</f>
        <v>0</v>
      </c>
      <c r="K568" s="14">
        <f>equip.xml!L572</f>
        <v>0</v>
      </c>
      <c r="L568" s="14" t="str">
        <f>equip.xml!M572</f>
        <v>102_550_550</v>
      </c>
      <c r="M568" s="17" t="str">
        <f>equip.xml!Q572</f>
        <v>equipment/2305.png</v>
      </c>
      <c r="N568" s="16" t="str">
        <f>equip.xml!P572</f>
        <v>10000_1002_20000,30000_30001_1,30000_30002_1,30000_30003_1</v>
      </c>
      <c r="O568">
        <f>equip.xml!R572</f>
        <v>0</v>
      </c>
    </row>
    <row r="569" spans="1:15">
      <c r="A569" s="14" t="str">
        <f>equip.xml!A573</f>
        <v>20203061</v>
      </c>
      <c r="B569" s="14">
        <f>equip.xml!B573</f>
        <v>0</v>
      </c>
      <c r="C569" s="14" t="str">
        <f>equip.xml!C573</f>
        <v>法术指南</v>
      </c>
      <c r="D569" s="14" t="str">
        <f>equip.xml!D573</f>
        <v>副手武器</v>
      </c>
      <c r="E569" s="14">
        <f>equip.xml!E573</f>
        <v>6</v>
      </c>
      <c r="F569" s="14">
        <f>equip.xml!F573</f>
        <v>2</v>
      </c>
      <c r="G569" s="14">
        <f>equip.xml!G573</f>
        <v>20</v>
      </c>
      <c r="H569" s="14" t="str">
        <f>equip.xml!H573</f>
        <v>3,1003</v>
      </c>
      <c r="I569" s="14">
        <f>equip.xml!J573</f>
        <v>10</v>
      </c>
      <c r="J569" s="14">
        <f>equip.xml!K573</f>
        <v>0</v>
      </c>
      <c r="K569" s="14">
        <f>equip.xml!L573</f>
        <v>0</v>
      </c>
      <c r="L569" s="14" t="str">
        <f>equip.xml!M573</f>
        <v>102_606_606</v>
      </c>
      <c r="M569" s="17" t="str">
        <f>equip.xml!Q573</f>
        <v>equipment/2301.png</v>
      </c>
      <c r="N569" s="16" t="str">
        <f>equip.xml!P573</f>
        <v>10000_1002_20000,30000_30001_1,30000_30002_1,30000_30003_1</v>
      </c>
      <c r="O569">
        <f>equip.xml!R573</f>
        <v>0</v>
      </c>
    </row>
    <row r="570" spans="1:15">
      <c r="A570" s="14" t="str">
        <f>equip.xml!A574</f>
        <v>20200040</v>
      </c>
      <c r="B570" s="14">
        <f>equip.xml!B574</f>
        <v>1</v>
      </c>
      <c r="C570" s="14" t="str">
        <f>equip.xml!C574</f>
        <v>卫兵胸甲</v>
      </c>
      <c r="D570" s="14" t="str">
        <f>equip.xml!D574</f>
        <v>胸甲</v>
      </c>
      <c r="E570" s="14">
        <f>equip.xml!E574</f>
        <v>4</v>
      </c>
      <c r="F570" s="14">
        <f>equip.xml!F574</f>
        <v>2</v>
      </c>
      <c r="G570" s="14">
        <f>equip.xml!G574</f>
        <v>20</v>
      </c>
      <c r="H570" s="14">
        <f>equip.xml!H574</f>
        <v>0</v>
      </c>
      <c r="I570" s="14">
        <f>equip.xml!J574</f>
        <v>10</v>
      </c>
      <c r="J570" s="14">
        <f>equip.xml!K574</f>
        <v>0</v>
      </c>
      <c r="K570" s="14">
        <f>equip.xml!L574</f>
        <v>0</v>
      </c>
      <c r="L570" s="14" t="str">
        <f>equip.xml!M574</f>
        <v>105_102_102</v>
      </c>
      <c r="M570" s="17" t="str">
        <f>equip.xml!Q574</f>
        <v>equipment/5004.png</v>
      </c>
      <c r="N570" s="16" t="str">
        <f>equip.xml!P574</f>
        <v>10000_1002_20000,30000_30001_1,30000_30002_1,30000_30003_1</v>
      </c>
      <c r="O570">
        <f>equip.xml!R574</f>
        <v>0</v>
      </c>
    </row>
    <row r="571" spans="1:15">
      <c r="A571" s="14" t="str">
        <f>equip.xml!A575</f>
        <v>20200041</v>
      </c>
      <c r="B571" s="14">
        <f>equip.xml!B575</f>
        <v>1</v>
      </c>
      <c r="C571" s="14" t="str">
        <f>equip.xml!C575</f>
        <v>银月护甲</v>
      </c>
      <c r="D571" s="14" t="str">
        <f>equip.xml!D575</f>
        <v>胸甲</v>
      </c>
      <c r="E571" s="14">
        <f>equip.xml!E575</f>
        <v>4</v>
      </c>
      <c r="F571" s="14">
        <f>equip.xml!F575</f>
        <v>2</v>
      </c>
      <c r="G571" s="14">
        <f>equip.xml!G575</f>
        <v>20</v>
      </c>
      <c r="H571" s="14">
        <f>equip.xml!H575</f>
        <v>0</v>
      </c>
      <c r="I571" s="14">
        <f>equip.xml!J575</f>
        <v>10</v>
      </c>
      <c r="J571" s="14">
        <f>equip.xml!K575</f>
        <v>0</v>
      </c>
      <c r="K571" s="14">
        <f>equip.xml!L575</f>
        <v>0</v>
      </c>
      <c r="L571" s="14" t="str">
        <f>equip.xml!M575</f>
        <v>105_122_122</v>
      </c>
      <c r="M571" s="17" t="str">
        <f>equip.xml!Q575</f>
        <v>equipment/5006.png</v>
      </c>
      <c r="N571" s="16" t="str">
        <f>equip.xml!P575</f>
        <v>10000_1002_20000,30000_30001_1,30000_30002_1,30000_30003_1</v>
      </c>
      <c r="O571">
        <f>equip.xml!R575</f>
        <v>0</v>
      </c>
    </row>
    <row r="572" spans="1:15">
      <c r="A572" s="14" t="str">
        <f>equip.xml!A576</f>
        <v>20200070</v>
      </c>
      <c r="B572" s="14">
        <f>equip.xml!B576</f>
        <v>1</v>
      </c>
      <c r="C572" s="14" t="str">
        <f>equip.xml!C576</f>
        <v>手工长裤</v>
      </c>
      <c r="D572" s="14" t="str">
        <f>equip.xml!D576</f>
        <v>护腿</v>
      </c>
      <c r="E572" s="14">
        <f>equip.xml!E576</f>
        <v>7</v>
      </c>
      <c r="F572" s="14">
        <f>equip.xml!F576</f>
        <v>2</v>
      </c>
      <c r="G572" s="14">
        <f>equip.xml!G576</f>
        <v>20</v>
      </c>
      <c r="H572" s="14">
        <f>equip.xml!H576</f>
        <v>0</v>
      </c>
      <c r="I572" s="14">
        <f>equip.xml!J576</f>
        <v>10</v>
      </c>
      <c r="J572" s="14">
        <f>equip.xml!K576</f>
        <v>0</v>
      </c>
      <c r="K572" s="14">
        <f>equip.xml!L576</f>
        <v>0</v>
      </c>
      <c r="L572" s="14" t="str">
        <f>equip.xml!M576</f>
        <v>105_66_66</v>
      </c>
      <c r="M572" s="17" t="str">
        <f>equip.xml!Q576</f>
        <v>equipment/7005.png</v>
      </c>
      <c r="N572" s="16" t="str">
        <f>equip.xml!P576</f>
        <v>10000_1002_20000,30000_30001_1,30000_30002_1,30000_30003_1</v>
      </c>
      <c r="O572">
        <f>equip.xml!R576</f>
        <v>0</v>
      </c>
    </row>
    <row r="573" spans="1:15">
      <c r="A573" s="14" t="str">
        <f>equip.xml!A577</f>
        <v>20200071</v>
      </c>
      <c r="B573" s="14">
        <f>equip.xml!B577</f>
        <v>1</v>
      </c>
      <c r="C573" s="14" t="str">
        <f>equip.xml!C577</f>
        <v>链甲护腿</v>
      </c>
      <c r="D573" s="14" t="str">
        <f>equip.xml!D577</f>
        <v>护腿</v>
      </c>
      <c r="E573" s="14">
        <f>equip.xml!E577</f>
        <v>7</v>
      </c>
      <c r="F573" s="14">
        <f>equip.xml!F577</f>
        <v>2</v>
      </c>
      <c r="G573" s="14">
        <f>equip.xml!G577</f>
        <v>20</v>
      </c>
      <c r="H573" s="14">
        <f>equip.xml!H577</f>
        <v>0</v>
      </c>
      <c r="I573" s="14">
        <f>equip.xml!J577</f>
        <v>10</v>
      </c>
      <c r="J573" s="14">
        <f>equip.xml!K577</f>
        <v>0</v>
      </c>
      <c r="K573" s="14">
        <f>equip.xml!L577</f>
        <v>0</v>
      </c>
      <c r="L573" s="14" t="str">
        <f>equip.xml!M577</f>
        <v>105_81_81</v>
      </c>
      <c r="M573" s="17" t="str">
        <f>equip.xml!Q577</f>
        <v>equipment/7004.png</v>
      </c>
      <c r="N573" s="16" t="str">
        <f>equip.xml!P577</f>
        <v>10000_1002_20000,30000_30001_1,30000_30002_1,30000_30003_1</v>
      </c>
      <c r="O573">
        <f>equip.xml!R577</f>
        <v>0</v>
      </c>
    </row>
    <row r="574" spans="1:15">
      <c r="A574" s="14" t="str">
        <f>equip.xml!A578</f>
        <v>20250010</v>
      </c>
      <c r="B574" s="14">
        <f>equip.xml!B578</f>
        <v>1</v>
      </c>
      <c r="C574" s="14" t="str">
        <f>equip.xml!C578</f>
        <v>盔帽</v>
      </c>
      <c r="D574" s="14" t="str">
        <f>equip.xml!D578</f>
        <v>头盔</v>
      </c>
      <c r="E574" s="14">
        <f>equip.xml!E578</f>
        <v>1</v>
      </c>
      <c r="F574" s="14">
        <f>equip.xml!F578</f>
        <v>2</v>
      </c>
      <c r="G574" s="14">
        <f>equip.xml!G578</f>
        <v>25</v>
      </c>
      <c r="H574" s="14">
        <f>equip.xml!H578</f>
        <v>0</v>
      </c>
      <c r="I574" s="14">
        <f>equip.xml!J578</f>
        <v>10</v>
      </c>
      <c r="J574" s="14">
        <f>equip.xml!K578</f>
        <v>0</v>
      </c>
      <c r="K574" s="14">
        <f>equip.xml!L578</f>
        <v>0</v>
      </c>
      <c r="L574" s="14" t="str">
        <f>equip.xml!M578</f>
        <v>106_237_237</v>
      </c>
      <c r="M574" s="17" t="str">
        <f>equip.xml!Q578</f>
        <v>equipment/3005.png</v>
      </c>
      <c r="N574" s="16" t="str">
        <f>equip.xml!P578</f>
        <v>10000_1002_25000,30000_30001_1,30000_30002_1,30000_30003_1</v>
      </c>
      <c r="O574">
        <f>equip.xml!R578</f>
        <v>0</v>
      </c>
    </row>
    <row r="575" spans="1:15">
      <c r="A575" s="14" t="str">
        <f>equip.xml!A579</f>
        <v>20250020</v>
      </c>
      <c r="B575" s="14">
        <f>equip.xml!B579</f>
        <v>1</v>
      </c>
      <c r="C575" s="14" t="str">
        <f>equip.xml!C579</f>
        <v>血岩戒指</v>
      </c>
      <c r="D575" s="14" t="str">
        <f>equip.xml!D579</f>
        <v>戒指</v>
      </c>
      <c r="E575" s="14">
        <f>equip.xml!E579</f>
        <v>2</v>
      </c>
      <c r="F575" s="14">
        <f>equip.xml!F579</f>
        <v>2</v>
      </c>
      <c r="G575" s="14">
        <f>equip.xml!G579</f>
        <v>25</v>
      </c>
      <c r="H575" s="14">
        <f>equip.xml!H579</f>
        <v>0</v>
      </c>
      <c r="I575" s="14">
        <f>equip.xml!J579</f>
        <v>10</v>
      </c>
      <c r="J575" s="14">
        <f>equip.xml!K579</f>
        <v>0</v>
      </c>
      <c r="K575" s="14">
        <f>equip.xml!L579</f>
        <v>0</v>
      </c>
      <c r="L575" s="14" t="str">
        <f>equip.xml!M579</f>
        <v>102_330_330</v>
      </c>
      <c r="M575" s="17" t="str">
        <f>equip.xml!Q579</f>
        <v>equipment/14004.png</v>
      </c>
      <c r="N575" s="16" t="str">
        <f>equip.xml!P579</f>
        <v>10000_1002_25000,30000_30001_1,30000_30002_1,30000_30003_1</v>
      </c>
      <c r="O575">
        <f>equip.xml!R579</f>
        <v>0</v>
      </c>
    </row>
    <row r="576" spans="1:15">
      <c r="A576" s="14" t="str">
        <f>equip.xml!A580</f>
        <v>20250030</v>
      </c>
      <c r="B576" s="14">
        <f>equip.xml!B580</f>
        <v>1</v>
      </c>
      <c r="C576" s="14" t="str">
        <f>equip.xml!C580</f>
        <v>前锋腰带</v>
      </c>
      <c r="D576" s="14" t="str">
        <f>equip.xml!D580</f>
        <v>腰带</v>
      </c>
      <c r="E576" s="14">
        <f>equip.xml!E580</f>
        <v>3</v>
      </c>
      <c r="F576" s="14">
        <f>equip.xml!F580</f>
        <v>2</v>
      </c>
      <c r="G576" s="14">
        <f>equip.xml!G580</f>
        <v>25</v>
      </c>
      <c r="H576" s="14">
        <f>equip.xml!H580</f>
        <v>0</v>
      </c>
      <c r="I576" s="14">
        <f>equip.xml!J580</f>
        <v>10</v>
      </c>
      <c r="J576" s="14">
        <f>equip.xml!K580</f>
        <v>0</v>
      </c>
      <c r="K576" s="14">
        <f>equip.xml!L580</f>
        <v>0</v>
      </c>
      <c r="L576" s="14" t="str">
        <f>equip.xml!M580</f>
        <v>101_3360_3360</v>
      </c>
      <c r="M576" s="17" t="str">
        <f>equip.xml!Q580</f>
        <v>equipment/6005.png</v>
      </c>
      <c r="N576" s="16" t="str">
        <f>equip.xml!P580</f>
        <v>10000_1002_25000,30000_30001_1,30000_30002_1,30000_30003_1</v>
      </c>
      <c r="O576">
        <f>equip.xml!R580</f>
        <v>0</v>
      </c>
    </row>
    <row r="577" spans="1:15">
      <c r="A577" s="14" t="str">
        <f>equip.xml!A581</f>
        <v>20250080</v>
      </c>
      <c r="B577" s="14">
        <f>equip.xml!B581</f>
        <v>1</v>
      </c>
      <c r="C577" s="14" t="str">
        <f>equip.xml!C581</f>
        <v>探寻者之靴</v>
      </c>
      <c r="D577" s="14" t="str">
        <f>equip.xml!D581</f>
        <v>鞋子</v>
      </c>
      <c r="E577" s="14">
        <f>equip.xml!E581</f>
        <v>8</v>
      </c>
      <c r="F577" s="14">
        <f>equip.xml!F581</f>
        <v>2</v>
      </c>
      <c r="G577" s="14">
        <f>equip.xml!G581</f>
        <v>25</v>
      </c>
      <c r="H577" s="14">
        <f>equip.xml!H581</f>
        <v>0</v>
      </c>
      <c r="I577" s="14">
        <f>equip.xml!J581</f>
        <v>10</v>
      </c>
      <c r="J577" s="14">
        <f>equip.xml!K581</f>
        <v>0</v>
      </c>
      <c r="K577" s="14">
        <f>equip.xml!L581</f>
        <v>0</v>
      </c>
      <c r="L577" s="14" t="str">
        <f>equip.xml!M581</f>
        <v>110_40_40</v>
      </c>
      <c r="M577" s="17" t="str">
        <f>equip.xml!Q581</f>
        <v>equipment/8004.png</v>
      </c>
      <c r="N577" s="16" t="str">
        <f>equip.xml!P581</f>
        <v>10000_1002_25000,30000_30001_1,30000_30002_1,30000_30003_1</v>
      </c>
      <c r="O577">
        <f>equip.xml!R581</f>
        <v>0</v>
      </c>
    </row>
    <row r="578" spans="1:15">
      <c r="A578" s="14" t="str">
        <f>equip.xml!A582</f>
        <v>20250090</v>
      </c>
      <c r="B578" s="14">
        <f>equip.xml!B582</f>
        <v>1</v>
      </c>
      <c r="C578" s="14" t="str">
        <f>equip.xml!C582</f>
        <v>轻型手套</v>
      </c>
      <c r="D578" s="14" t="str">
        <f>equip.xml!D582</f>
        <v>手套</v>
      </c>
      <c r="E578" s="14">
        <f>equip.xml!E582</f>
        <v>9</v>
      </c>
      <c r="F578" s="14">
        <f>equip.xml!F582</f>
        <v>2</v>
      </c>
      <c r="G578" s="14">
        <f>equip.xml!G582</f>
        <v>25</v>
      </c>
      <c r="H578" s="14">
        <f>equip.xml!H582</f>
        <v>0</v>
      </c>
      <c r="I578" s="14">
        <f>equip.xml!J582</f>
        <v>10</v>
      </c>
      <c r="J578" s="14">
        <f>equip.xml!K582</f>
        <v>0</v>
      </c>
      <c r="K578" s="14">
        <f>equip.xml!L582</f>
        <v>0</v>
      </c>
      <c r="L578" s="14" t="str">
        <f>equip.xml!M582</f>
        <v>108_286_286</v>
      </c>
      <c r="M578" s="17" t="str">
        <f>equip.xml!Q582</f>
        <v>equipment/10003.png</v>
      </c>
      <c r="N578" s="16" t="str">
        <f>equip.xml!P582</f>
        <v>10000_1002_25000,30000_30001_1,30000_30002_1,30000_30003_1</v>
      </c>
      <c r="O578">
        <f>equip.xml!R582</f>
        <v>0</v>
      </c>
    </row>
    <row r="579" spans="1:15">
      <c r="A579" s="14" t="str">
        <f>equip.xml!A583</f>
        <v>20250100</v>
      </c>
      <c r="B579" s="14">
        <f>equip.xml!B583</f>
        <v>1</v>
      </c>
      <c r="C579" s="14" t="str">
        <f>equip.xml!C583</f>
        <v>魔光项链</v>
      </c>
      <c r="D579" s="14" t="str">
        <f>equip.xml!D583</f>
        <v>项链</v>
      </c>
      <c r="E579" s="14">
        <f>equip.xml!E583</f>
        <v>10</v>
      </c>
      <c r="F579" s="14">
        <f>equip.xml!F583</f>
        <v>2</v>
      </c>
      <c r="G579" s="14">
        <f>equip.xml!G583</f>
        <v>25</v>
      </c>
      <c r="H579" s="14">
        <f>equip.xml!H583</f>
        <v>0</v>
      </c>
      <c r="I579" s="14">
        <f>equip.xml!J583</f>
        <v>10</v>
      </c>
      <c r="J579" s="14">
        <f>equip.xml!K583</f>
        <v>0</v>
      </c>
      <c r="K579" s="14">
        <f>equip.xml!L583</f>
        <v>0</v>
      </c>
      <c r="L579" s="14" t="str">
        <f>equip.xml!M583</f>
        <v>107_237_237</v>
      </c>
      <c r="M579" s="17" t="str">
        <f>equip.xml!Q583</f>
        <v>equipment/12004.png</v>
      </c>
      <c r="N579" s="16" t="str">
        <f>equip.xml!P583</f>
        <v>10000_1002_25000,30000_30001_1,30000_30002_1,30000_30003_1</v>
      </c>
      <c r="O579">
        <f>equip.xml!R583</f>
        <v>0</v>
      </c>
    </row>
    <row r="580" spans="1:15">
      <c r="A580" s="14" t="str">
        <f>equip.xml!A584</f>
        <v>20251050</v>
      </c>
      <c r="B580" s="14">
        <f>equip.xml!B584</f>
        <v>1</v>
      </c>
      <c r="C580" s="14" t="str">
        <f>equip.xml!C584</f>
        <v>血刃</v>
      </c>
      <c r="D580" s="14" t="str">
        <f>equip.xml!D584</f>
        <v>主手武器</v>
      </c>
      <c r="E580" s="14">
        <f>equip.xml!E584</f>
        <v>5</v>
      </c>
      <c r="F580" s="14">
        <f>equip.xml!F584</f>
        <v>2</v>
      </c>
      <c r="G580" s="14">
        <f>equip.xml!G584</f>
        <v>25</v>
      </c>
      <c r="H580" s="14" t="str">
        <f>equip.xml!H584</f>
        <v>1,1001</v>
      </c>
      <c r="I580" s="14">
        <f>equip.xml!J584</f>
        <v>10</v>
      </c>
      <c r="J580" s="14">
        <f>equip.xml!K584</f>
        <v>0</v>
      </c>
      <c r="K580" s="14">
        <f>equip.xml!L584</f>
        <v>0</v>
      </c>
      <c r="L580" s="14" t="str">
        <f>equip.xml!M584</f>
        <v>103_177_177,104_354_354</v>
      </c>
      <c r="M580" s="17" t="str">
        <f>equip.xml!Q584</f>
        <v>equipment/1110.png</v>
      </c>
      <c r="N580" s="16" t="str">
        <f>equip.xml!P584</f>
        <v>10000_1002_25000,30000_30001_1,30000_30002_1,30000_30003_1</v>
      </c>
      <c r="O580">
        <f>equip.xml!R584</f>
        <v>0</v>
      </c>
    </row>
    <row r="581" spans="1:15">
      <c r="A581" s="14" t="str">
        <f>equip.xml!A585</f>
        <v>20251051</v>
      </c>
      <c r="B581" s="14">
        <f>equip.xml!B585</f>
        <v>1</v>
      </c>
      <c r="C581" s="14" t="str">
        <f>equip.xml!C585</f>
        <v>游侠利刃</v>
      </c>
      <c r="D581" s="14" t="str">
        <f>equip.xml!D585</f>
        <v>主手武器</v>
      </c>
      <c r="E581" s="14">
        <f>equip.xml!E585</f>
        <v>5</v>
      </c>
      <c r="F581" s="14">
        <f>equip.xml!F585</f>
        <v>2</v>
      </c>
      <c r="G581" s="14">
        <f>equip.xml!G585</f>
        <v>25</v>
      </c>
      <c r="H581" s="14" t="str">
        <f>equip.xml!H585</f>
        <v>1,1001</v>
      </c>
      <c r="I581" s="14">
        <f>equip.xml!J585</f>
        <v>10</v>
      </c>
      <c r="J581" s="14">
        <f>equip.xml!K585</f>
        <v>0</v>
      </c>
      <c r="K581" s="14">
        <f>equip.xml!L585</f>
        <v>0</v>
      </c>
      <c r="L581" s="14" t="str">
        <f>equip.xml!M585</f>
        <v>103_216_216,104_432_432</v>
      </c>
      <c r="M581" s="17" t="str">
        <f>equip.xml!Q585</f>
        <v>equipment/1111.png</v>
      </c>
      <c r="N581" s="16" t="str">
        <f>equip.xml!P585</f>
        <v>10000_1002_25000,30000_30001_1,30000_30002_1,30000_30003_1</v>
      </c>
      <c r="O581">
        <f>equip.xml!R585</f>
        <v>0</v>
      </c>
    </row>
    <row r="582" spans="1:15">
      <c r="A582" s="14" t="str">
        <f>equip.xml!A586</f>
        <v>20251060</v>
      </c>
      <c r="B582" s="14">
        <f>equip.xml!B586</f>
        <v>1</v>
      </c>
      <c r="C582" s="14" t="str">
        <f>equip.xml!C586</f>
        <v>坚固重盾</v>
      </c>
      <c r="D582" s="14" t="str">
        <f>equip.xml!D586</f>
        <v>副手武器</v>
      </c>
      <c r="E582" s="14">
        <f>equip.xml!E586</f>
        <v>6</v>
      </c>
      <c r="F582" s="14">
        <f>equip.xml!F586</f>
        <v>2</v>
      </c>
      <c r="G582" s="14">
        <f>equip.xml!G586</f>
        <v>25</v>
      </c>
      <c r="H582" s="14" t="str">
        <f>equip.xml!H586</f>
        <v>1,1001</v>
      </c>
      <c r="I582" s="14">
        <f>equip.xml!J586</f>
        <v>10</v>
      </c>
      <c r="J582" s="14">
        <f>equip.xml!K586</f>
        <v>0</v>
      </c>
      <c r="K582" s="14">
        <f>equip.xml!L586</f>
        <v>0</v>
      </c>
      <c r="L582" s="14" t="str">
        <f>equip.xml!M586</f>
        <v>105_256_256</v>
      </c>
      <c r="M582" s="17" t="str">
        <f>equip.xml!Q586</f>
        <v>equipment/2106.png</v>
      </c>
      <c r="N582" s="16" t="str">
        <f>equip.xml!P586</f>
        <v>10000_1002_25000,30000_30001_1,30000_30002_1,30000_30003_1</v>
      </c>
      <c r="O582">
        <f>equip.xml!R586</f>
        <v>0</v>
      </c>
    </row>
    <row r="583" spans="1:15">
      <c r="A583" s="14" t="str">
        <f>equip.xml!A587</f>
        <v>20251061</v>
      </c>
      <c r="B583" s="14">
        <f>equip.xml!B587</f>
        <v>0</v>
      </c>
      <c r="C583" s="14" t="str">
        <f>equip.xml!C587</f>
        <v>尖头盾</v>
      </c>
      <c r="D583" s="14" t="str">
        <f>equip.xml!D587</f>
        <v>副手武器</v>
      </c>
      <c r="E583" s="14">
        <f>equip.xml!E587</f>
        <v>6</v>
      </c>
      <c r="F583" s="14">
        <f>equip.xml!F587</f>
        <v>2</v>
      </c>
      <c r="G583" s="14">
        <f>equip.xml!G587</f>
        <v>25</v>
      </c>
      <c r="H583" s="14" t="str">
        <f>equip.xml!H587</f>
        <v>1,1001</v>
      </c>
      <c r="I583" s="14">
        <f>equip.xml!J587</f>
        <v>10</v>
      </c>
      <c r="J583" s="14">
        <f>equip.xml!K587</f>
        <v>0</v>
      </c>
      <c r="K583" s="14">
        <f>equip.xml!L587</f>
        <v>0</v>
      </c>
      <c r="L583" s="14" t="str">
        <f>equip.xml!M587</f>
        <v>105_301_301</v>
      </c>
      <c r="M583" s="17" t="str">
        <f>equip.xml!Q587</f>
        <v>equipment/2101.png</v>
      </c>
      <c r="N583" s="16" t="str">
        <f>equip.xml!P587</f>
        <v>10000_1002_25000,30000_30001_1,30000_30002_1,30000_30003_1</v>
      </c>
      <c r="O583">
        <f>equip.xml!R587</f>
        <v>0</v>
      </c>
    </row>
    <row r="584" spans="1:15">
      <c r="A584" s="14" t="str">
        <f>equip.xml!A588</f>
        <v>20252050</v>
      </c>
      <c r="B584" s="14">
        <f>equip.xml!B588</f>
        <v>1</v>
      </c>
      <c r="C584" s="14" t="str">
        <f>equip.xml!C588</f>
        <v>精准之弓</v>
      </c>
      <c r="D584" s="14" t="str">
        <f>equip.xml!D588</f>
        <v>主手武器</v>
      </c>
      <c r="E584" s="14">
        <f>equip.xml!E588</f>
        <v>5</v>
      </c>
      <c r="F584" s="14">
        <f>equip.xml!F588</f>
        <v>2</v>
      </c>
      <c r="G584" s="14">
        <f>equip.xml!G588</f>
        <v>25</v>
      </c>
      <c r="H584" s="14" t="str">
        <f>equip.xml!H588</f>
        <v>2,1002</v>
      </c>
      <c r="I584" s="14">
        <f>equip.xml!J588</f>
        <v>10</v>
      </c>
      <c r="J584" s="14">
        <f>equip.xml!K588</f>
        <v>0</v>
      </c>
      <c r="K584" s="14">
        <f>equip.xml!L588</f>
        <v>0</v>
      </c>
      <c r="L584" s="14" t="str">
        <f>equip.xml!M588</f>
        <v>103_177_177,104_354_354</v>
      </c>
      <c r="M584" s="17" t="str">
        <f>equip.xml!Q588</f>
        <v>equipment/1210.png</v>
      </c>
      <c r="N584" s="16" t="str">
        <f>equip.xml!P588</f>
        <v>10000_1002_25000,30000_30001_1,30000_30002_1,30000_30003_1</v>
      </c>
      <c r="O584">
        <f>equip.xml!R588</f>
        <v>0</v>
      </c>
    </row>
    <row r="585" spans="1:15">
      <c r="A585" s="14" t="str">
        <f>equip.xml!A589</f>
        <v>20252051</v>
      </c>
      <c r="B585" s="14">
        <f>equip.xml!B589</f>
        <v>1</v>
      </c>
      <c r="C585" s="14" t="str">
        <f>equip.xml!C589</f>
        <v>行者弯弓</v>
      </c>
      <c r="D585" s="14" t="str">
        <f>equip.xml!D589</f>
        <v>主手武器</v>
      </c>
      <c r="E585" s="14">
        <f>equip.xml!E589</f>
        <v>5</v>
      </c>
      <c r="F585" s="14">
        <f>equip.xml!F589</f>
        <v>2</v>
      </c>
      <c r="G585" s="14">
        <f>equip.xml!G589</f>
        <v>25</v>
      </c>
      <c r="H585" s="14" t="str">
        <f>equip.xml!H589</f>
        <v>2,1002</v>
      </c>
      <c r="I585" s="14">
        <f>equip.xml!J589</f>
        <v>10</v>
      </c>
      <c r="J585" s="14">
        <f>equip.xml!K589</f>
        <v>0</v>
      </c>
      <c r="K585" s="14">
        <f>equip.xml!L589</f>
        <v>0</v>
      </c>
      <c r="L585" s="14" t="str">
        <f>equip.xml!M589</f>
        <v>103_216_216,104_432_432</v>
      </c>
      <c r="M585" s="17" t="str">
        <f>equip.xml!Q589</f>
        <v>equipment/1215.png</v>
      </c>
      <c r="N585" s="16" t="str">
        <f>equip.xml!P589</f>
        <v>10000_1002_25000,30000_30001_1,30000_30002_1,30000_30003_1</v>
      </c>
      <c r="O585">
        <f>equip.xml!R589</f>
        <v>0</v>
      </c>
    </row>
    <row r="586" spans="1:15">
      <c r="A586" s="14" t="str">
        <f>equip.xml!A590</f>
        <v>20252060</v>
      </c>
      <c r="B586" s="14">
        <f>equip.xml!B590</f>
        <v>1</v>
      </c>
      <c r="C586" s="14" t="str">
        <f>equip.xml!C590</f>
        <v>刺客箭筒</v>
      </c>
      <c r="D586" s="14" t="str">
        <f>equip.xml!D590</f>
        <v>副手武器</v>
      </c>
      <c r="E586" s="14">
        <f>equip.xml!E590</f>
        <v>6</v>
      </c>
      <c r="F586" s="14">
        <f>equip.xml!F590</f>
        <v>2</v>
      </c>
      <c r="G586" s="14">
        <f>equip.xml!G590</f>
        <v>25</v>
      </c>
      <c r="H586" s="14" t="str">
        <f>equip.xml!H590</f>
        <v>2,1002</v>
      </c>
      <c r="I586" s="14">
        <f>equip.xml!J590</f>
        <v>10</v>
      </c>
      <c r="J586" s="14">
        <f>equip.xml!K590</f>
        <v>0</v>
      </c>
      <c r="K586" s="14">
        <f>equip.xml!L590</f>
        <v>0</v>
      </c>
      <c r="L586" s="14" t="str">
        <f>equip.xml!M590</f>
        <v>108_256_256</v>
      </c>
      <c r="M586" s="17" t="str">
        <f>equip.xml!Q590</f>
        <v>equipment/2206.png</v>
      </c>
      <c r="N586" s="16" t="str">
        <f>equip.xml!P590</f>
        <v>10000_1002_25000,30000_30001_1,30000_30002_1,30000_30003_1</v>
      </c>
      <c r="O586">
        <f>equip.xml!R590</f>
        <v>0</v>
      </c>
    </row>
    <row r="587" spans="1:15">
      <c r="A587" s="14" t="str">
        <f>equip.xml!A591</f>
        <v>20252061</v>
      </c>
      <c r="B587" s="14">
        <f>equip.xml!B591</f>
        <v>0</v>
      </c>
      <c r="C587" s="14" t="str">
        <f>equip.xml!C591</f>
        <v>箭筒</v>
      </c>
      <c r="D587" s="14" t="str">
        <f>equip.xml!D591</f>
        <v>副手武器</v>
      </c>
      <c r="E587" s="14">
        <f>equip.xml!E591</f>
        <v>6</v>
      </c>
      <c r="F587" s="14">
        <f>equip.xml!F591</f>
        <v>2</v>
      </c>
      <c r="G587" s="14">
        <f>equip.xml!G591</f>
        <v>25</v>
      </c>
      <c r="H587" s="14" t="str">
        <f>equip.xml!H591</f>
        <v>2,1002</v>
      </c>
      <c r="I587" s="14">
        <f>equip.xml!J591</f>
        <v>10</v>
      </c>
      <c r="J587" s="14">
        <f>equip.xml!K591</f>
        <v>0</v>
      </c>
      <c r="K587" s="14">
        <f>equip.xml!L591</f>
        <v>0</v>
      </c>
      <c r="L587" s="14" t="str">
        <f>equip.xml!M591</f>
        <v>108_301_301</v>
      </c>
      <c r="M587" s="17" t="str">
        <f>equip.xml!Q591</f>
        <v>equipment/2201.png</v>
      </c>
      <c r="N587" s="16" t="str">
        <f>equip.xml!P591</f>
        <v>10000_1002_25000,30000_30001_1,30000_30002_1,30000_30003_1</v>
      </c>
      <c r="O587">
        <f>equip.xml!R591</f>
        <v>0</v>
      </c>
    </row>
    <row r="588" spans="1:15">
      <c r="A588" s="14" t="str">
        <f>equip.xml!A592</f>
        <v>20253050</v>
      </c>
      <c r="B588" s="14">
        <f>equip.xml!B592</f>
        <v>1</v>
      </c>
      <c r="C588" s="14" t="str">
        <f>equip.xml!C592</f>
        <v>预言法杖</v>
      </c>
      <c r="D588" s="14" t="str">
        <f>equip.xml!D592</f>
        <v>主手武器</v>
      </c>
      <c r="E588" s="14">
        <f>equip.xml!E592</f>
        <v>5</v>
      </c>
      <c r="F588" s="14">
        <f>equip.xml!F592</f>
        <v>2</v>
      </c>
      <c r="G588" s="14">
        <f>equip.xml!G592</f>
        <v>25</v>
      </c>
      <c r="H588" s="14" t="str">
        <f>equip.xml!H592</f>
        <v>3,1003</v>
      </c>
      <c r="I588" s="14">
        <f>equip.xml!J592</f>
        <v>10</v>
      </c>
      <c r="J588" s="14">
        <f>equip.xml!K592</f>
        <v>0</v>
      </c>
      <c r="K588" s="14">
        <f>equip.xml!L592</f>
        <v>0</v>
      </c>
      <c r="L588" s="14" t="str">
        <f>equip.xml!M592</f>
        <v>103_177_177,104_354_354</v>
      </c>
      <c r="M588" s="17" t="str">
        <f>equip.xml!Q592</f>
        <v>equipment/1311.png</v>
      </c>
      <c r="N588" s="16" t="str">
        <f>equip.xml!P592</f>
        <v>10000_1002_25000,30000_30001_1,30000_30002_1,30000_30003_1</v>
      </c>
      <c r="O588">
        <f>equip.xml!R592</f>
        <v>0</v>
      </c>
    </row>
    <row r="589" spans="1:15">
      <c r="A589" s="14" t="str">
        <f>equip.xml!A593</f>
        <v>20253051</v>
      </c>
      <c r="B589" s="14">
        <f>equip.xml!B593</f>
        <v>0</v>
      </c>
      <c r="C589" s="14" t="str">
        <f>equip.xml!C593</f>
        <v>荒骨法杖</v>
      </c>
      <c r="D589" s="14" t="str">
        <f>equip.xml!D593</f>
        <v>主手武器</v>
      </c>
      <c r="E589" s="14">
        <f>equip.xml!E593</f>
        <v>5</v>
      </c>
      <c r="F589" s="14">
        <f>equip.xml!F593</f>
        <v>2</v>
      </c>
      <c r="G589" s="14">
        <f>equip.xml!G593</f>
        <v>25</v>
      </c>
      <c r="H589" s="14" t="str">
        <f>equip.xml!H593</f>
        <v>3,1003</v>
      </c>
      <c r="I589" s="14">
        <f>equip.xml!J593</f>
        <v>10</v>
      </c>
      <c r="J589" s="14">
        <f>equip.xml!K593</f>
        <v>0</v>
      </c>
      <c r="K589" s="14">
        <f>equip.xml!L593</f>
        <v>0</v>
      </c>
      <c r="L589" s="14" t="str">
        <f>equip.xml!M593</f>
        <v>103_216_216,104_432_432</v>
      </c>
      <c r="M589" s="17" t="str">
        <f>equip.xml!Q593</f>
        <v>equipment/1312.png</v>
      </c>
      <c r="N589" s="16" t="str">
        <f>equip.xml!P593</f>
        <v>10000_1002_25000,30000_30001_1,30000_30002_1,30000_30003_1</v>
      </c>
      <c r="O589">
        <f>equip.xml!R593</f>
        <v>0</v>
      </c>
    </row>
    <row r="590" spans="1:15">
      <c r="A590" s="14" t="str">
        <f>equip.xml!A594</f>
        <v>20253060</v>
      </c>
      <c r="B590" s="14">
        <f>equip.xml!B594</f>
        <v>1</v>
      </c>
      <c r="C590" s="14" t="str">
        <f>equip.xml!C594</f>
        <v>魔法秘典</v>
      </c>
      <c r="D590" s="14" t="str">
        <f>equip.xml!D594</f>
        <v>副手武器</v>
      </c>
      <c r="E590" s="14">
        <f>equip.xml!E594</f>
        <v>6</v>
      </c>
      <c r="F590" s="14">
        <f>equip.xml!F594</f>
        <v>2</v>
      </c>
      <c r="G590" s="14">
        <f>equip.xml!G594</f>
        <v>25</v>
      </c>
      <c r="H590" s="14" t="str">
        <f>equip.xml!H594</f>
        <v>3,1003</v>
      </c>
      <c r="I590" s="14">
        <f>equip.xml!J594</f>
        <v>10</v>
      </c>
      <c r="J590" s="14">
        <f>equip.xml!K594</f>
        <v>0</v>
      </c>
      <c r="K590" s="14">
        <f>equip.xml!L594</f>
        <v>0</v>
      </c>
      <c r="L590" s="14" t="str">
        <f>equip.xml!M594</f>
        <v>102_690_690</v>
      </c>
      <c r="M590" s="17" t="str">
        <f>equip.xml!Q594</f>
        <v>equipment/2306.png</v>
      </c>
      <c r="N590" s="16" t="str">
        <f>equip.xml!P594</f>
        <v>10000_1002_25000,30000_30001_1,30000_30002_1,30000_30003_1</v>
      </c>
      <c r="O590">
        <f>equip.xml!R594</f>
        <v>0</v>
      </c>
    </row>
    <row r="591" spans="1:15">
      <c r="A591" s="14" t="str">
        <f>equip.xml!A595</f>
        <v>20253061</v>
      </c>
      <c r="B591" s="14">
        <f>equip.xml!B595</f>
        <v>0</v>
      </c>
      <c r="C591" s="14" t="str">
        <f>equip.xml!C595</f>
        <v>法术指南</v>
      </c>
      <c r="D591" s="14" t="str">
        <f>equip.xml!D595</f>
        <v>副手武器</v>
      </c>
      <c r="E591" s="14">
        <f>equip.xml!E595</f>
        <v>6</v>
      </c>
      <c r="F591" s="14">
        <f>equip.xml!F595</f>
        <v>2</v>
      </c>
      <c r="G591" s="14">
        <f>equip.xml!G595</f>
        <v>25</v>
      </c>
      <c r="H591" s="14" t="str">
        <f>equip.xml!H595</f>
        <v>3,1003</v>
      </c>
      <c r="I591" s="14">
        <f>equip.xml!J595</f>
        <v>10</v>
      </c>
      <c r="J591" s="14">
        <f>equip.xml!K595</f>
        <v>0</v>
      </c>
      <c r="K591" s="14">
        <f>equip.xml!L595</f>
        <v>0</v>
      </c>
      <c r="L591" s="14" t="str">
        <f>equip.xml!M595</f>
        <v>102_301_301</v>
      </c>
      <c r="M591" s="17" t="str">
        <f>equip.xml!Q595</f>
        <v>equipment/2301.png</v>
      </c>
      <c r="N591" s="16" t="str">
        <f>equip.xml!P595</f>
        <v>10000_1002_25000,30000_30001_1,30000_30002_1,30000_30003_1</v>
      </c>
      <c r="O591">
        <f>equip.xml!R595</f>
        <v>0</v>
      </c>
    </row>
    <row r="592" spans="1:15">
      <c r="A592" s="14" t="str">
        <f>equip.xml!A596</f>
        <v>20250040</v>
      </c>
      <c r="B592" s="14">
        <f>equip.xml!B596</f>
        <v>1</v>
      </c>
      <c r="C592" s="14" t="str">
        <f>equip.xml!C596</f>
        <v>烙铁胸甲</v>
      </c>
      <c r="D592" s="14" t="str">
        <f>equip.xml!D596</f>
        <v>胸甲</v>
      </c>
      <c r="E592" s="14">
        <f>equip.xml!E596</f>
        <v>4</v>
      </c>
      <c r="F592" s="14">
        <f>equip.xml!F596</f>
        <v>2</v>
      </c>
      <c r="G592" s="14">
        <f>equip.xml!G596</f>
        <v>25</v>
      </c>
      <c r="H592" s="14">
        <f>equip.xml!H596</f>
        <v>0</v>
      </c>
      <c r="I592" s="14">
        <f>equip.xml!J596</f>
        <v>10</v>
      </c>
      <c r="J592" s="14">
        <f>equip.xml!K596</f>
        <v>0</v>
      </c>
      <c r="K592" s="14">
        <f>equip.xml!L596</f>
        <v>0</v>
      </c>
      <c r="L592" s="14" t="str">
        <f>equip.xml!M596</f>
        <v>105_153_153</v>
      </c>
      <c r="M592" s="17" t="str">
        <f>equip.xml!Q596</f>
        <v>equipment/5007.png</v>
      </c>
      <c r="N592" s="16" t="str">
        <f>equip.xml!P596</f>
        <v>10000_1002_25000,30000_30001_1,30000_30002_1,30000_30003_1</v>
      </c>
      <c r="O592">
        <f>equip.xml!R596</f>
        <v>0</v>
      </c>
    </row>
    <row r="593" spans="1:15">
      <c r="A593" s="14" t="str">
        <f>equip.xml!A597</f>
        <v>20250041</v>
      </c>
      <c r="B593" s="14">
        <f>equip.xml!B597</f>
        <v>0</v>
      </c>
      <c r="C593" s="14" t="str">
        <f>equip.xml!C597</f>
        <v>新兵外套</v>
      </c>
      <c r="D593" s="14" t="str">
        <f>equip.xml!D597</f>
        <v>胸甲</v>
      </c>
      <c r="E593" s="14">
        <f>equip.xml!E597</f>
        <v>4</v>
      </c>
      <c r="F593" s="14">
        <f>equip.xml!F597</f>
        <v>2</v>
      </c>
      <c r="G593" s="14">
        <f>equip.xml!G597</f>
        <v>25</v>
      </c>
      <c r="H593" s="14">
        <f>equip.xml!H597</f>
        <v>0</v>
      </c>
      <c r="I593" s="14">
        <f>equip.xml!J597</f>
        <v>10</v>
      </c>
      <c r="J593" s="14">
        <f>equip.xml!K597</f>
        <v>0</v>
      </c>
      <c r="K593" s="14">
        <f>equip.xml!L597</f>
        <v>0</v>
      </c>
      <c r="L593" s="14" t="str">
        <f>equip.xml!M597</f>
        <v>105_178_178</v>
      </c>
      <c r="M593" s="17" t="str">
        <f>equip.xml!Q597</f>
        <v>equipment/5001.png</v>
      </c>
      <c r="N593" s="16" t="str">
        <f>equip.xml!P597</f>
        <v>10000_1002_25000,30000_30001_1,30000_30002_1,30000_30003_1</v>
      </c>
      <c r="O593">
        <f>equip.xml!R597</f>
        <v>0</v>
      </c>
    </row>
    <row r="594" spans="1:15">
      <c r="A594" s="14" t="str">
        <f>equip.xml!A598</f>
        <v>20250070</v>
      </c>
      <c r="B594" s="14">
        <f>equip.xml!B598</f>
        <v>1</v>
      </c>
      <c r="C594" s="14" t="str">
        <f>equip.xml!C598</f>
        <v>勇气腿甲</v>
      </c>
      <c r="D594" s="14" t="str">
        <f>equip.xml!D598</f>
        <v>护腿</v>
      </c>
      <c r="E594" s="14">
        <f>equip.xml!E598</f>
        <v>7</v>
      </c>
      <c r="F594" s="14">
        <f>equip.xml!F598</f>
        <v>2</v>
      </c>
      <c r="G594" s="14">
        <f>equip.xml!G598</f>
        <v>25</v>
      </c>
      <c r="H594" s="14">
        <f>equip.xml!H598</f>
        <v>0</v>
      </c>
      <c r="I594" s="14">
        <f>equip.xml!J598</f>
        <v>10</v>
      </c>
      <c r="J594" s="14">
        <f>equip.xml!K598</f>
        <v>0</v>
      </c>
      <c r="K594" s="14">
        <f>equip.xml!L598</f>
        <v>0</v>
      </c>
      <c r="L594" s="14" t="str">
        <f>equip.xml!M598</f>
        <v>105_104_104</v>
      </c>
      <c r="M594" s="17" t="str">
        <f>equip.xml!Q598</f>
        <v>equipment/7006.png</v>
      </c>
      <c r="N594" s="16" t="str">
        <f>equip.xml!P598</f>
        <v>10000_1002_25000,30000_30001_1,30000_30002_1,30000_30003_1</v>
      </c>
      <c r="O594">
        <f>equip.xml!R598</f>
        <v>0</v>
      </c>
    </row>
    <row r="595" spans="1:15">
      <c r="A595" s="14" t="str">
        <f>equip.xml!A599</f>
        <v>20250071</v>
      </c>
      <c r="B595" s="14">
        <f>equip.xml!B599</f>
        <v>0</v>
      </c>
      <c r="C595" s="14" t="str">
        <f>equip.xml!C599</f>
        <v>学徒短裤</v>
      </c>
      <c r="D595" s="14" t="str">
        <f>equip.xml!D599</f>
        <v>护腿</v>
      </c>
      <c r="E595" s="14">
        <f>equip.xml!E599</f>
        <v>7</v>
      </c>
      <c r="F595" s="14">
        <f>equip.xml!F599</f>
        <v>2</v>
      </c>
      <c r="G595" s="14">
        <f>equip.xml!G599</f>
        <v>25</v>
      </c>
      <c r="H595" s="14">
        <f>equip.xml!H599</f>
        <v>0</v>
      </c>
      <c r="I595" s="14">
        <f>equip.xml!J599</f>
        <v>10</v>
      </c>
      <c r="J595" s="14">
        <f>equip.xml!K599</f>
        <v>0</v>
      </c>
      <c r="K595" s="14">
        <f>equip.xml!L599</f>
        <v>0</v>
      </c>
      <c r="L595" s="14" t="str">
        <f>equip.xml!M599</f>
        <v>105_149_149</v>
      </c>
      <c r="M595" s="17" t="str">
        <f>equip.xml!Q599</f>
        <v>equipment/7001.png</v>
      </c>
      <c r="N595" s="16" t="str">
        <f>equip.xml!P599</f>
        <v>10000_1002_25000,30000_30001_1,30000_30002_1,30000_30003_1</v>
      </c>
      <c r="O595">
        <f>equip.xml!R599</f>
        <v>0</v>
      </c>
    </row>
    <row r="596" spans="1:15">
      <c r="A596" s="14" t="str">
        <f>equip.xml!A600</f>
        <v>20300010</v>
      </c>
      <c r="B596" s="14">
        <f>equip.xml!B600</f>
        <v>1</v>
      </c>
      <c r="C596" s="14" t="str">
        <f>equip.xml!C600</f>
        <v>双链罩帽</v>
      </c>
      <c r="D596" s="14" t="str">
        <f>equip.xml!D600</f>
        <v>头盔</v>
      </c>
      <c r="E596" s="14">
        <f>equip.xml!E600</f>
        <v>1</v>
      </c>
      <c r="F596" s="14">
        <f>equip.xml!F600</f>
        <v>2</v>
      </c>
      <c r="G596" s="14">
        <f>equip.xml!G600</f>
        <v>30</v>
      </c>
      <c r="H596" s="14">
        <f>equip.xml!H600</f>
        <v>0</v>
      </c>
      <c r="I596" s="14">
        <f>equip.xml!J600</f>
        <v>10</v>
      </c>
      <c r="J596" s="14">
        <f>equip.xml!K600</f>
        <v>0</v>
      </c>
      <c r="K596" s="14">
        <f>equip.xml!L600</f>
        <v>0</v>
      </c>
      <c r="L596" s="14" t="str">
        <f>equip.xml!M600</f>
        <v>106_372_372</v>
      </c>
      <c r="M596" s="17" t="str">
        <f>equip.xml!Q600</f>
        <v>equipment/3004.png</v>
      </c>
      <c r="N596" s="16" t="str">
        <f>equip.xml!P600</f>
        <v>10000_1002_30000,30000_30001_1,30000_30002_1,30000_30003_1</v>
      </c>
      <c r="O596">
        <f>equip.xml!R600</f>
        <v>0</v>
      </c>
    </row>
    <row r="597" spans="1:15">
      <c r="A597" s="14" t="str">
        <f>equip.xml!A601</f>
        <v>20300020</v>
      </c>
      <c r="B597" s="14">
        <f>equip.xml!B601</f>
        <v>1</v>
      </c>
      <c r="C597" s="14" t="str">
        <f>equip.xml!C601</f>
        <v>繁星之戒</v>
      </c>
      <c r="D597" s="14" t="str">
        <f>equip.xml!D601</f>
        <v>戒指</v>
      </c>
      <c r="E597" s="14">
        <f>equip.xml!E601</f>
        <v>2</v>
      </c>
      <c r="F597" s="14">
        <f>equip.xml!F601</f>
        <v>2</v>
      </c>
      <c r="G597" s="14">
        <f>equip.xml!G601</f>
        <v>30</v>
      </c>
      <c r="H597" s="14">
        <f>equip.xml!H601</f>
        <v>0</v>
      </c>
      <c r="I597" s="14">
        <f>equip.xml!J601</f>
        <v>10</v>
      </c>
      <c r="J597" s="14">
        <f>equip.xml!K601</f>
        <v>0</v>
      </c>
      <c r="K597" s="14">
        <f>equip.xml!L601</f>
        <v>0</v>
      </c>
      <c r="L597" s="14" t="str">
        <f>equip.xml!M601</f>
        <v>102_460_460</v>
      </c>
      <c r="M597" s="17" t="str">
        <f>equip.xml!Q601</f>
        <v>equipment/14005.png</v>
      </c>
      <c r="N597" s="16" t="str">
        <f>equip.xml!P601</f>
        <v>10000_1002_30000,30000_30001_1,30000_30002_1,30000_30003_1</v>
      </c>
      <c r="O597">
        <f>equip.xml!R601</f>
        <v>0</v>
      </c>
    </row>
    <row r="598" spans="1:15">
      <c r="A598" s="14" t="str">
        <f>equip.xml!A602</f>
        <v>20300030</v>
      </c>
      <c r="B598" s="14">
        <f>equip.xml!B602</f>
        <v>1</v>
      </c>
      <c r="C598" s="14" t="str">
        <f>equip.xml!C602</f>
        <v>秘银腰带</v>
      </c>
      <c r="D598" s="14" t="str">
        <f>equip.xml!D602</f>
        <v>腰带</v>
      </c>
      <c r="E598" s="14">
        <f>equip.xml!E602</f>
        <v>3</v>
      </c>
      <c r="F598" s="14">
        <f>equip.xml!F602</f>
        <v>2</v>
      </c>
      <c r="G598" s="14">
        <f>equip.xml!G602</f>
        <v>30</v>
      </c>
      <c r="H598" s="14">
        <f>equip.xml!H602</f>
        <v>0</v>
      </c>
      <c r="I598" s="14">
        <f>equip.xml!J602</f>
        <v>10</v>
      </c>
      <c r="J598" s="14">
        <f>equip.xml!K602</f>
        <v>0</v>
      </c>
      <c r="K598" s="14">
        <f>equip.xml!L602</f>
        <v>0</v>
      </c>
      <c r="L598" s="14" t="str">
        <f>equip.xml!M602</f>
        <v>101_3920_3920</v>
      </c>
      <c r="M598" s="17" t="str">
        <f>equip.xml!Q602</f>
        <v>equipment/6002.png</v>
      </c>
      <c r="N598" s="16" t="str">
        <f>equip.xml!P602</f>
        <v>10000_1002_30000,30000_30001_1,30000_30002_1,30000_30003_1</v>
      </c>
      <c r="O598">
        <f>equip.xml!R602</f>
        <v>0</v>
      </c>
    </row>
    <row r="599" spans="1:15">
      <c r="A599" s="14" t="str">
        <f>equip.xml!A603</f>
        <v>20300080</v>
      </c>
      <c r="B599" s="14">
        <f>equip.xml!B603</f>
        <v>1</v>
      </c>
      <c r="C599" s="14" t="str">
        <f>equip.xml!C603</f>
        <v>镶饰胫甲</v>
      </c>
      <c r="D599" s="14" t="str">
        <f>equip.xml!D603</f>
        <v>鞋子</v>
      </c>
      <c r="E599" s="14">
        <f>equip.xml!E603</f>
        <v>8</v>
      </c>
      <c r="F599" s="14">
        <f>equip.xml!F603</f>
        <v>2</v>
      </c>
      <c r="G599" s="14">
        <f>equip.xml!G603</f>
        <v>30</v>
      </c>
      <c r="H599" s="14">
        <f>equip.xml!H603</f>
        <v>0</v>
      </c>
      <c r="I599" s="14">
        <f>equip.xml!J603</f>
        <v>10</v>
      </c>
      <c r="J599" s="14">
        <f>equip.xml!K603</f>
        <v>0</v>
      </c>
      <c r="K599" s="14">
        <f>equip.xml!L603</f>
        <v>0</v>
      </c>
      <c r="L599" s="14" t="str">
        <f>equip.xml!M603</f>
        <v>110_65_65</v>
      </c>
      <c r="M599" s="17" t="str">
        <f>equip.xml!Q603</f>
        <v>equipment/8005.png</v>
      </c>
      <c r="N599" s="16" t="str">
        <f>equip.xml!P603</f>
        <v>10000_1002_30000,30000_30001_1,30000_30002_1,30000_30003_1</v>
      </c>
      <c r="O599">
        <f>equip.xml!R603</f>
        <v>0</v>
      </c>
    </row>
    <row r="600" spans="1:15">
      <c r="A600" s="14" t="str">
        <f>equip.xml!A604</f>
        <v>20300090</v>
      </c>
      <c r="B600" s="14">
        <f>equip.xml!B604</f>
        <v>1</v>
      </c>
      <c r="C600" s="14" t="str">
        <f>equip.xml!C604</f>
        <v>链甲手套</v>
      </c>
      <c r="D600" s="14" t="str">
        <f>equip.xml!D604</f>
        <v>手套</v>
      </c>
      <c r="E600" s="14">
        <f>equip.xml!E604</f>
        <v>9</v>
      </c>
      <c r="F600" s="14">
        <f>equip.xml!F604</f>
        <v>2</v>
      </c>
      <c r="G600" s="14">
        <f>equip.xml!G604</f>
        <v>30</v>
      </c>
      <c r="H600" s="14">
        <f>equip.xml!H604</f>
        <v>0</v>
      </c>
      <c r="I600" s="14">
        <f>equip.xml!J604</f>
        <v>10</v>
      </c>
      <c r="J600" s="14">
        <f>equip.xml!K604</f>
        <v>0</v>
      </c>
      <c r="K600" s="14">
        <f>equip.xml!L604</f>
        <v>0</v>
      </c>
      <c r="L600" s="14" t="str">
        <f>equip.xml!M604</f>
        <v>108_367_367</v>
      </c>
      <c r="M600" s="17" t="str">
        <f>equip.xml!Q604</f>
        <v>equipment/10005.png</v>
      </c>
      <c r="N600" s="16" t="str">
        <f>equip.xml!P604</f>
        <v>10000_1002_30000,30000_30001_1,30000_30002_1,30000_30003_1</v>
      </c>
      <c r="O600">
        <f>equip.xml!R604</f>
        <v>0</v>
      </c>
    </row>
    <row r="601" spans="1:15">
      <c r="A601" s="14" t="str">
        <f>equip.xml!A605</f>
        <v>20300100</v>
      </c>
      <c r="B601" s="14">
        <f>equip.xml!B605</f>
        <v>1</v>
      </c>
      <c r="C601" s="14" t="str">
        <f>equip.xml!C605</f>
        <v>虎眼石项链</v>
      </c>
      <c r="D601" s="14" t="str">
        <f>equip.xml!D605</f>
        <v>项链</v>
      </c>
      <c r="E601" s="14">
        <f>equip.xml!E605</f>
        <v>10</v>
      </c>
      <c r="F601" s="14">
        <f>equip.xml!F605</f>
        <v>2</v>
      </c>
      <c r="G601" s="14">
        <f>equip.xml!G605</f>
        <v>30</v>
      </c>
      <c r="H601" s="14">
        <f>equip.xml!H605</f>
        <v>0</v>
      </c>
      <c r="I601" s="14">
        <f>equip.xml!J605</f>
        <v>10</v>
      </c>
      <c r="J601" s="14">
        <f>equip.xml!K605</f>
        <v>0</v>
      </c>
      <c r="K601" s="14">
        <f>equip.xml!L605</f>
        <v>0</v>
      </c>
      <c r="L601" s="14" t="str">
        <f>equip.xml!M605</f>
        <v>107_372_372</v>
      </c>
      <c r="M601" s="17" t="str">
        <f>equip.xml!Q605</f>
        <v>equipment/12005.png</v>
      </c>
      <c r="N601" s="16" t="str">
        <f>equip.xml!P605</f>
        <v>10000_1002_30000,30000_30001_1,30000_30002_1,30000_30003_1</v>
      </c>
      <c r="O601">
        <f>equip.xml!R605</f>
        <v>0</v>
      </c>
    </row>
    <row r="602" spans="1:15">
      <c r="A602" s="14" t="str">
        <f>equip.xml!A606</f>
        <v>20301050</v>
      </c>
      <c r="B602" s="14">
        <f>equip.xml!B606</f>
        <v>1</v>
      </c>
      <c r="C602" s="14" t="str">
        <f>equip.xml!C606</f>
        <v>炽热长剑</v>
      </c>
      <c r="D602" s="14" t="str">
        <f>equip.xml!D606</f>
        <v>主手武器</v>
      </c>
      <c r="E602" s="14">
        <f>equip.xml!E606</f>
        <v>5</v>
      </c>
      <c r="F602" s="14">
        <f>equip.xml!F606</f>
        <v>2</v>
      </c>
      <c r="G602" s="14">
        <f>equip.xml!G606</f>
        <v>30</v>
      </c>
      <c r="H602" s="14" t="str">
        <f>equip.xml!H606</f>
        <v>1,1001</v>
      </c>
      <c r="I602" s="14">
        <f>equip.xml!J606</f>
        <v>10</v>
      </c>
      <c r="J602" s="14">
        <f>equip.xml!K606</f>
        <v>0</v>
      </c>
      <c r="K602" s="14">
        <f>equip.xml!L606</f>
        <v>0</v>
      </c>
      <c r="L602" s="14" t="str">
        <f>equip.xml!M606</f>
        <v>103_275_275,104_550_550</v>
      </c>
      <c r="M602" s="17" t="str">
        <f>equip.xml!Q606</f>
        <v>equipment/1112.png</v>
      </c>
      <c r="N602" s="16" t="str">
        <f>equip.xml!P606</f>
        <v>10000_1002_30000,30000_30001_1,30000_30002_1,30000_30003_1</v>
      </c>
      <c r="O602">
        <f>equip.xml!R606</f>
        <v>0</v>
      </c>
    </row>
    <row r="603" spans="1:15">
      <c r="A603" s="14" t="str">
        <f>equip.xml!A607</f>
        <v>20301051</v>
      </c>
      <c r="B603" s="14">
        <f>equip.xml!B607</f>
        <v>1</v>
      </c>
      <c r="C603" s="14" t="str">
        <f>equip.xml!C607</f>
        <v>贵族阔剑</v>
      </c>
      <c r="D603" s="14" t="str">
        <f>equip.xml!D607</f>
        <v>主手武器</v>
      </c>
      <c r="E603" s="14">
        <f>equip.xml!E607</f>
        <v>5</v>
      </c>
      <c r="F603" s="14">
        <f>equip.xml!F607</f>
        <v>2</v>
      </c>
      <c r="G603" s="14">
        <f>equip.xml!G607</f>
        <v>30</v>
      </c>
      <c r="H603" s="14" t="str">
        <f>equip.xml!H607</f>
        <v>1,1001</v>
      </c>
      <c r="I603" s="14">
        <f>equip.xml!J607</f>
        <v>10</v>
      </c>
      <c r="J603" s="14">
        <f>equip.xml!K607</f>
        <v>0</v>
      </c>
      <c r="K603" s="14">
        <f>equip.xml!L607</f>
        <v>0</v>
      </c>
      <c r="L603" s="14" t="str">
        <f>equip.xml!M607</f>
        <v>103_342_342,104_684_684</v>
      </c>
      <c r="M603" s="17" t="str">
        <f>equip.xml!Q607</f>
        <v>equipment/1113.png</v>
      </c>
      <c r="N603" s="16" t="str">
        <f>equip.xml!P607</f>
        <v>10000_1002_30000,30000_30001_1,30000_30002_1,30000_30003_1</v>
      </c>
      <c r="O603">
        <f>equip.xml!R607</f>
        <v>0</v>
      </c>
    </row>
    <row r="604" spans="1:15">
      <c r="A604" s="14" t="str">
        <f>equip.xml!A608</f>
        <v>20301060</v>
      </c>
      <c r="B604" s="14">
        <f>equip.xml!B608</f>
        <v>1</v>
      </c>
      <c r="C604" s="14" t="str">
        <f>equip.xml!C608</f>
        <v>耐久盾牌</v>
      </c>
      <c r="D604" s="14" t="str">
        <f>equip.xml!D608</f>
        <v>副手武器</v>
      </c>
      <c r="E604" s="14">
        <f>equip.xml!E608</f>
        <v>6</v>
      </c>
      <c r="F604" s="14">
        <f>equip.xml!F608</f>
        <v>2</v>
      </c>
      <c r="G604" s="14">
        <f>equip.xml!G608</f>
        <v>30</v>
      </c>
      <c r="H604" s="14" t="str">
        <f>equip.xml!H608</f>
        <v>1,1001</v>
      </c>
      <c r="I604" s="14">
        <f>equip.xml!J608</f>
        <v>10</v>
      </c>
      <c r="J604" s="14">
        <f>equip.xml!K608</f>
        <v>0</v>
      </c>
      <c r="K604" s="14">
        <f>equip.xml!L608</f>
        <v>0</v>
      </c>
      <c r="L604" s="14" t="str">
        <f>equip.xml!M608</f>
        <v>105_368_368</v>
      </c>
      <c r="M604" s="17" t="str">
        <f>equip.xml!Q608</f>
        <v>equipment/2107.png</v>
      </c>
      <c r="N604" s="16" t="str">
        <f>equip.xml!P608</f>
        <v>10000_1002_30000,30000_30001_1,30000_30002_1,30000_30003_1</v>
      </c>
      <c r="O604">
        <f>equip.xml!R608</f>
        <v>0</v>
      </c>
    </row>
    <row r="605" spans="1:15">
      <c r="A605" s="14" t="str">
        <f>equip.xml!A609</f>
        <v>20301061</v>
      </c>
      <c r="B605" s="14">
        <f>equip.xml!B609</f>
        <v>0</v>
      </c>
      <c r="C605" s="14" t="str">
        <f>equip.xml!C609</f>
        <v>盐石盾牌</v>
      </c>
      <c r="D605" s="14" t="str">
        <f>equip.xml!D609</f>
        <v>副手武器</v>
      </c>
      <c r="E605" s="14">
        <f>equip.xml!E609</f>
        <v>6</v>
      </c>
      <c r="F605" s="14">
        <f>equip.xml!F609</f>
        <v>2</v>
      </c>
      <c r="G605" s="14">
        <f>equip.xml!G609</f>
        <v>30</v>
      </c>
      <c r="H605" s="14" t="str">
        <f>equip.xml!H609</f>
        <v>1,1001</v>
      </c>
      <c r="I605" s="14">
        <f>equip.xml!J609</f>
        <v>10</v>
      </c>
      <c r="J605" s="14">
        <f>equip.xml!K609</f>
        <v>0</v>
      </c>
      <c r="K605" s="14">
        <f>equip.xml!L609</f>
        <v>0</v>
      </c>
      <c r="L605" s="14" t="str">
        <f>equip.xml!M609</f>
        <v>105_491_491</v>
      </c>
      <c r="M605" s="17" t="str">
        <f>equip.xml!Q609</f>
        <v>equipment/2108.png</v>
      </c>
      <c r="N605" s="16" t="str">
        <f>equip.xml!P609</f>
        <v>10000_1002_30000,30000_30001_1,30000_30002_1,30000_30003_1</v>
      </c>
      <c r="O605">
        <f>equip.xml!R609</f>
        <v>0</v>
      </c>
    </row>
    <row r="606" spans="1:15">
      <c r="A606" s="14" t="str">
        <f>equip.xml!A610</f>
        <v>20302050</v>
      </c>
      <c r="B606" s="14">
        <f>equip.xml!B610</f>
        <v>1</v>
      </c>
      <c r="C606" s="14" t="str">
        <f>equip.xml!C610</f>
        <v>红木长弓</v>
      </c>
      <c r="D606" s="14" t="str">
        <f>equip.xml!D610</f>
        <v>主手武器</v>
      </c>
      <c r="E606" s="14">
        <f>equip.xml!E610</f>
        <v>5</v>
      </c>
      <c r="F606" s="14">
        <f>equip.xml!F610</f>
        <v>2</v>
      </c>
      <c r="G606" s="14">
        <f>equip.xml!G610</f>
        <v>30</v>
      </c>
      <c r="H606" s="14" t="str">
        <f>equip.xml!H610</f>
        <v>2,1002</v>
      </c>
      <c r="I606" s="14">
        <f>equip.xml!J610</f>
        <v>10</v>
      </c>
      <c r="J606" s="14">
        <f>equip.xml!K610</f>
        <v>0</v>
      </c>
      <c r="K606" s="14">
        <f>equip.xml!L610</f>
        <v>0</v>
      </c>
      <c r="L606" s="14" t="str">
        <f>equip.xml!M610</f>
        <v>103_275_275,104_550_550</v>
      </c>
      <c r="M606" s="17" t="str">
        <f>equip.xml!Q610</f>
        <v>equipment/1211.png</v>
      </c>
      <c r="N606" s="16" t="str">
        <f>equip.xml!P610</f>
        <v>10000_1002_30000,30000_30001_1,30000_30002_1,30000_30003_1</v>
      </c>
      <c r="O606">
        <f>equip.xml!R610</f>
        <v>0</v>
      </c>
    </row>
    <row r="607" spans="1:15">
      <c r="A607" s="14" t="str">
        <f>equip.xml!A611</f>
        <v>20302051</v>
      </c>
      <c r="B607" s="14">
        <f>equip.xml!B611</f>
        <v>1</v>
      </c>
      <c r="C607" s="14" t="str">
        <f>equip.xml!C611</f>
        <v>灼热弓</v>
      </c>
      <c r="D607" s="14" t="str">
        <f>equip.xml!D611</f>
        <v>主手武器</v>
      </c>
      <c r="E607" s="14">
        <f>equip.xml!E611</f>
        <v>5</v>
      </c>
      <c r="F607" s="14">
        <f>equip.xml!F611</f>
        <v>2</v>
      </c>
      <c r="G607" s="14">
        <f>equip.xml!G611</f>
        <v>30</v>
      </c>
      <c r="H607" s="14" t="str">
        <f>equip.xml!H611</f>
        <v>2,1002</v>
      </c>
      <c r="I607" s="14">
        <f>equip.xml!J611</f>
        <v>10</v>
      </c>
      <c r="J607" s="14">
        <f>equip.xml!K611</f>
        <v>0</v>
      </c>
      <c r="K607" s="14">
        <f>equip.xml!L611</f>
        <v>0</v>
      </c>
      <c r="L607" s="14" t="str">
        <f>equip.xml!M611</f>
        <v>103_342_342,104_684_684</v>
      </c>
      <c r="M607" s="17" t="str">
        <f>equip.xml!Q611</f>
        <v>equipment/1212.png</v>
      </c>
      <c r="N607" s="16" t="str">
        <f>equip.xml!P611</f>
        <v>10000_1002_30000,30000_30001_1,30000_30002_1,30000_30003_1</v>
      </c>
      <c r="O607">
        <f>equip.xml!R611</f>
        <v>0</v>
      </c>
    </row>
    <row r="608" spans="1:15">
      <c r="A608" s="14" t="str">
        <f>equip.xml!A612</f>
        <v>20302060</v>
      </c>
      <c r="B608" s="14">
        <f>equip.xml!B612</f>
        <v>1</v>
      </c>
      <c r="C608" s="14" t="str">
        <f>equip.xml!C612</f>
        <v>倒刺箭筒</v>
      </c>
      <c r="D608" s="14" t="str">
        <f>equip.xml!D612</f>
        <v>副手武器</v>
      </c>
      <c r="E608" s="14">
        <f>equip.xml!E612</f>
        <v>6</v>
      </c>
      <c r="F608" s="14">
        <f>equip.xml!F612</f>
        <v>2</v>
      </c>
      <c r="G608" s="14">
        <f>equip.xml!G612</f>
        <v>30</v>
      </c>
      <c r="H608" s="14" t="str">
        <f>equip.xml!H612</f>
        <v>2,1002</v>
      </c>
      <c r="I608" s="14">
        <f>equip.xml!J612</f>
        <v>10</v>
      </c>
      <c r="J608" s="14">
        <f>equip.xml!K612</f>
        <v>0</v>
      </c>
      <c r="K608" s="14">
        <f>equip.xml!L612</f>
        <v>0</v>
      </c>
      <c r="L608" s="14" t="str">
        <f>equip.xml!M612</f>
        <v>108_368_368</v>
      </c>
      <c r="M608" s="17" t="str">
        <f>equip.xml!Q612</f>
        <v>equipment/2207.png</v>
      </c>
      <c r="N608" s="16" t="str">
        <f>equip.xml!P612</f>
        <v>10000_1002_30000,30000_30001_1,30000_30002_1,30000_30003_1</v>
      </c>
      <c r="O608">
        <f>equip.xml!R612</f>
        <v>0</v>
      </c>
    </row>
    <row r="609" spans="1:15">
      <c r="A609" s="14" t="str">
        <f>equip.xml!A613</f>
        <v>20302061</v>
      </c>
      <c r="B609" s="14">
        <f>equip.xml!B613</f>
        <v>0</v>
      </c>
      <c r="C609" s="14" t="str">
        <f>equip.xml!C613</f>
        <v>崇圣箭筒</v>
      </c>
      <c r="D609" s="14" t="str">
        <f>equip.xml!D613</f>
        <v>副手武器</v>
      </c>
      <c r="E609" s="14">
        <f>equip.xml!E613</f>
        <v>6</v>
      </c>
      <c r="F609" s="14">
        <f>equip.xml!F613</f>
        <v>2</v>
      </c>
      <c r="G609" s="14">
        <f>equip.xml!G613</f>
        <v>30</v>
      </c>
      <c r="H609" s="14" t="str">
        <f>equip.xml!H613</f>
        <v>2,1002</v>
      </c>
      <c r="I609" s="14">
        <f>equip.xml!J613</f>
        <v>10</v>
      </c>
      <c r="J609" s="14">
        <f>equip.xml!K613</f>
        <v>0</v>
      </c>
      <c r="K609" s="14">
        <f>equip.xml!L613</f>
        <v>0</v>
      </c>
      <c r="L609" s="14" t="str">
        <f>equip.xml!M613</f>
        <v>108_491_491</v>
      </c>
      <c r="M609" s="17" t="str">
        <f>equip.xml!Q613</f>
        <v>equipment/2208.png</v>
      </c>
      <c r="N609" s="16" t="str">
        <f>equip.xml!P613</f>
        <v>10000_1002_30000,30000_30001_1,30000_30002_1,30000_30003_1</v>
      </c>
      <c r="O609">
        <f>equip.xml!R613</f>
        <v>0</v>
      </c>
    </row>
    <row r="610" spans="1:15">
      <c r="A610" s="14" t="str">
        <f>equip.xml!A614</f>
        <v>20303050</v>
      </c>
      <c r="B610" s="14">
        <f>equip.xml!B614</f>
        <v>1</v>
      </c>
      <c r="C610" s="14" t="str">
        <f>equip.xml!C614</f>
        <v>荒骨法杖</v>
      </c>
      <c r="D610" s="14" t="str">
        <f>equip.xml!D614</f>
        <v>主手武器</v>
      </c>
      <c r="E610" s="14">
        <f>equip.xml!E614</f>
        <v>5</v>
      </c>
      <c r="F610" s="14">
        <f>equip.xml!F614</f>
        <v>2</v>
      </c>
      <c r="G610" s="14">
        <f>equip.xml!G614</f>
        <v>30</v>
      </c>
      <c r="H610" s="14" t="str">
        <f>equip.xml!H614</f>
        <v>3,1003</v>
      </c>
      <c r="I610" s="14">
        <f>equip.xml!J614</f>
        <v>10</v>
      </c>
      <c r="J610" s="14">
        <f>equip.xml!K614</f>
        <v>0</v>
      </c>
      <c r="K610" s="14">
        <f>equip.xml!L614</f>
        <v>0</v>
      </c>
      <c r="L610" s="14" t="str">
        <f>equip.xml!M614</f>
        <v>103_275_275,104_550_550</v>
      </c>
      <c r="M610" s="17" t="str">
        <f>equip.xml!Q614</f>
        <v>equipment/1312.png</v>
      </c>
      <c r="N610" s="16" t="str">
        <f>equip.xml!P614</f>
        <v>10000_1002_30000,30000_30001_1,30000_30002_1,30000_30003_1</v>
      </c>
      <c r="O610">
        <f>equip.xml!R614</f>
        <v>0</v>
      </c>
    </row>
    <row r="611" spans="1:15">
      <c r="A611" s="14" t="str">
        <f>equip.xml!A615</f>
        <v>20303051</v>
      </c>
      <c r="B611" s="14">
        <f>equip.xml!B615</f>
        <v>1</v>
      </c>
      <c r="C611" s="14" t="str">
        <f>equip.xml!C615</f>
        <v>新月法杖</v>
      </c>
      <c r="D611" s="14" t="str">
        <f>equip.xml!D615</f>
        <v>主手武器</v>
      </c>
      <c r="E611" s="14">
        <f>equip.xml!E615</f>
        <v>5</v>
      </c>
      <c r="F611" s="14">
        <f>equip.xml!F615</f>
        <v>2</v>
      </c>
      <c r="G611" s="14">
        <f>equip.xml!G615</f>
        <v>30</v>
      </c>
      <c r="H611" s="14" t="str">
        <f>equip.xml!H615</f>
        <v>3,1003</v>
      </c>
      <c r="I611" s="14">
        <f>equip.xml!J615</f>
        <v>10</v>
      </c>
      <c r="J611" s="14">
        <f>equip.xml!K615</f>
        <v>0</v>
      </c>
      <c r="K611" s="14">
        <f>equip.xml!L615</f>
        <v>0</v>
      </c>
      <c r="L611" s="14" t="str">
        <f>equip.xml!M615</f>
        <v>103_342_342,104_684_684</v>
      </c>
      <c r="M611" s="17" t="str">
        <f>equip.xml!Q615</f>
        <v>equipment/1313.png</v>
      </c>
      <c r="N611" s="16" t="str">
        <f>equip.xml!P615</f>
        <v>10000_1002_30000,30000_30001_1,30000_30002_1,30000_30003_1</v>
      </c>
      <c r="O611">
        <f>equip.xml!R615</f>
        <v>0</v>
      </c>
    </row>
    <row r="612" spans="1:15">
      <c r="A612" s="14" t="str">
        <f>equip.xml!A616</f>
        <v>20303060</v>
      </c>
      <c r="B612" s="14">
        <f>equip.xml!B616</f>
        <v>1</v>
      </c>
      <c r="C612" s="14" t="str">
        <f>equip.xml!C616</f>
        <v>神圣典籍</v>
      </c>
      <c r="D612" s="14" t="str">
        <f>equip.xml!D616</f>
        <v>副手武器</v>
      </c>
      <c r="E612" s="14">
        <f>equip.xml!E616</f>
        <v>6</v>
      </c>
      <c r="F612" s="14">
        <f>equip.xml!F616</f>
        <v>2</v>
      </c>
      <c r="G612" s="14">
        <f>equip.xml!G616</f>
        <v>30</v>
      </c>
      <c r="H612" s="14" t="str">
        <f>equip.xml!H616</f>
        <v>3,1003</v>
      </c>
      <c r="I612" s="14">
        <f>equip.xml!J616</f>
        <v>10</v>
      </c>
      <c r="J612" s="14">
        <f>equip.xml!K616</f>
        <v>0</v>
      </c>
      <c r="K612" s="14">
        <f>equip.xml!L616</f>
        <v>0</v>
      </c>
      <c r="L612" s="14" t="str">
        <f>equip.xml!M616</f>
        <v>102_880_880</v>
      </c>
      <c r="M612" s="17" t="str">
        <f>equip.xml!Q616</f>
        <v>equipment/2307.png</v>
      </c>
      <c r="N612" s="16" t="str">
        <f>equip.xml!P616</f>
        <v>10000_1002_30000,30000_30001_1,30000_30002_1,30000_30003_1</v>
      </c>
      <c r="O612">
        <f>equip.xml!R616</f>
        <v>0</v>
      </c>
    </row>
    <row r="613" spans="1:15">
      <c r="A613" s="14" t="str">
        <f>equip.xml!A617</f>
        <v>20303061</v>
      </c>
      <c r="B613" s="14">
        <f>equip.xml!B617</f>
        <v>0</v>
      </c>
      <c r="C613" s="14" t="str">
        <f>equip.xml!C617</f>
        <v>召唤之书</v>
      </c>
      <c r="D613" s="14" t="str">
        <f>equip.xml!D617</f>
        <v>副手武器</v>
      </c>
      <c r="E613" s="14">
        <f>equip.xml!E617</f>
        <v>6</v>
      </c>
      <c r="F613" s="14">
        <f>equip.xml!F617</f>
        <v>2</v>
      </c>
      <c r="G613" s="14">
        <f>equip.xml!G617</f>
        <v>30</v>
      </c>
      <c r="H613" s="14" t="str">
        <f>equip.xml!H617</f>
        <v>3,1003</v>
      </c>
      <c r="I613" s="14">
        <f>equip.xml!J617</f>
        <v>10</v>
      </c>
      <c r="J613" s="14">
        <f>equip.xml!K617</f>
        <v>0</v>
      </c>
      <c r="K613" s="14">
        <f>equip.xml!L617</f>
        <v>0</v>
      </c>
      <c r="L613" s="14" t="str">
        <f>equip.xml!M617</f>
        <v>102_944_944</v>
      </c>
      <c r="M613" s="17" t="str">
        <f>equip.xml!Q617</f>
        <v>equipment/2308.png</v>
      </c>
      <c r="N613" s="16" t="str">
        <f>equip.xml!P617</f>
        <v>10000_1002_30000,30000_30001_1,30000_30002_1,30000_30003_1</v>
      </c>
      <c r="O613">
        <f>equip.xml!R617</f>
        <v>0</v>
      </c>
    </row>
    <row r="614" spans="1:15">
      <c r="A614" s="14" t="str">
        <f>equip.xml!A618</f>
        <v>20300040</v>
      </c>
      <c r="B614" s="14">
        <f>equip.xml!B618</f>
        <v>1</v>
      </c>
      <c r="C614" s="14" t="str">
        <f>equip.xml!C618</f>
        <v>水滴胸铠</v>
      </c>
      <c r="D614" s="14" t="str">
        <f>equip.xml!D618</f>
        <v>胸甲</v>
      </c>
      <c r="E614" s="14">
        <f>equip.xml!E618</f>
        <v>4</v>
      </c>
      <c r="F614" s="14">
        <f>equip.xml!F618</f>
        <v>2</v>
      </c>
      <c r="G614" s="14">
        <f>equip.xml!G618</f>
        <v>30</v>
      </c>
      <c r="H614" s="14">
        <f>equip.xml!H618</f>
        <v>0</v>
      </c>
      <c r="I614" s="14">
        <f>equip.xml!J618</f>
        <v>10</v>
      </c>
      <c r="J614" s="14">
        <f>equip.xml!K618</f>
        <v>0</v>
      </c>
      <c r="K614" s="14">
        <f>equip.xml!L618</f>
        <v>0</v>
      </c>
      <c r="L614" s="14" t="str">
        <f>equip.xml!M618</f>
        <v>105_216_216</v>
      </c>
      <c r="M614" s="17" t="str">
        <f>equip.xml!Q618</f>
        <v>equipment/5008.png</v>
      </c>
      <c r="N614" s="16" t="str">
        <f>equip.xml!P618</f>
        <v>10000_1002_30000,30000_30001_1,30000_30002_1,30000_30003_1</v>
      </c>
      <c r="O614">
        <f>equip.xml!R618</f>
        <v>0</v>
      </c>
    </row>
    <row r="615" spans="1:15">
      <c r="A615" s="14" t="str">
        <f>equip.xml!A619</f>
        <v>20300041</v>
      </c>
      <c r="B615" s="14">
        <f>equip.xml!B619</f>
        <v>1</v>
      </c>
      <c r="C615" s="14" t="str">
        <f>equip.xml!C619</f>
        <v>防卫者外套</v>
      </c>
      <c r="D615" s="14" t="str">
        <f>equip.xml!D619</f>
        <v>胸甲</v>
      </c>
      <c r="E615" s="14">
        <f>equip.xml!E619</f>
        <v>4</v>
      </c>
      <c r="F615" s="14">
        <f>equip.xml!F619</f>
        <v>2</v>
      </c>
      <c r="G615" s="14">
        <f>equip.xml!G619</f>
        <v>30</v>
      </c>
      <c r="H615" s="14">
        <f>equip.xml!H619</f>
        <v>0</v>
      </c>
      <c r="I615" s="14">
        <f>equip.xml!J619</f>
        <v>10</v>
      </c>
      <c r="J615" s="14">
        <f>equip.xml!K619</f>
        <v>0</v>
      </c>
      <c r="K615" s="14">
        <f>equip.xml!L619</f>
        <v>0</v>
      </c>
      <c r="L615" s="14" t="str">
        <f>equip.xml!M619</f>
        <v>105_247_247</v>
      </c>
      <c r="M615" s="17" t="str">
        <f>equip.xml!Q619</f>
        <v>equipment/5009.png</v>
      </c>
      <c r="N615" s="16" t="str">
        <f>equip.xml!P619</f>
        <v>10000_1002_30000,30000_30001_1,30000_30002_1,30000_30003_1</v>
      </c>
      <c r="O615">
        <f>equip.xml!R619</f>
        <v>0</v>
      </c>
    </row>
    <row r="616" spans="1:15">
      <c r="A616" s="14" t="str">
        <f>equip.xml!A620</f>
        <v>20300070</v>
      </c>
      <c r="B616" s="14">
        <f>equip.xml!B620</f>
        <v>1</v>
      </c>
      <c r="C616" s="14" t="str">
        <f>equip.xml!C620</f>
        <v>游侠护腿</v>
      </c>
      <c r="D616" s="14" t="str">
        <f>equip.xml!D620</f>
        <v>护腿</v>
      </c>
      <c r="E616" s="14">
        <f>equip.xml!E620</f>
        <v>7</v>
      </c>
      <c r="F616" s="14">
        <f>equip.xml!F620</f>
        <v>2</v>
      </c>
      <c r="G616" s="14">
        <f>equip.xml!G620</f>
        <v>30</v>
      </c>
      <c r="H616" s="14">
        <f>equip.xml!H620</f>
        <v>0</v>
      </c>
      <c r="I616" s="14">
        <f>equip.xml!J620</f>
        <v>10</v>
      </c>
      <c r="J616" s="14">
        <f>equip.xml!K620</f>
        <v>0</v>
      </c>
      <c r="K616" s="14">
        <f>equip.xml!L620</f>
        <v>0</v>
      </c>
      <c r="L616" s="14" t="str">
        <f>equip.xml!M620</f>
        <v>105_216_216</v>
      </c>
      <c r="M616" s="17" t="str">
        <f>equip.xml!Q620</f>
        <v>equipment/7007.png</v>
      </c>
      <c r="N616" s="16" t="str">
        <f>equip.xml!P620</f>
        <v>10000_1002_30000,30000_30001_1,30000_30002_1,30000_30003_1</v>
      </c>
      <c r="O616">
        <f>equip.xml!R620</f>
        <v>0</v>
      </c>
    </row>
    <row r="617" spans="1:15">
      <c r="A617" s="14" t="str">
        <f>equip.xml!A621</f>
        <v>20300071</v>
      </c>
      <c r="B617" s="14">
        <f>equip.xml!B621</f>
        <v>1</v>
      </c>
      <c r="C617" s="14" t="str">
        <f>equip.xml!C621</f>
        <v>逐风护腿</v>
      </c>
      <c r="D617" s="14" t="str">
        <f>equip.xml!D621</f>
        <v>护腿</v>
      </c>
      <c r="E617" s="14">
        <f>equip.xml!E621</f>
        <v>7</v>
      </c>
      <c r="F617" s="14">
        <f>equip.xml!F621</f>
        <v>2</v>
      </c>
      <c r="G617" s="14">
        <f>equip.xml!G621</f>
        <v>30</v>
      </c>
      <c r="H617" s="14">
        <f>equip.xml!H621</f>
        <v>0</v>
      </c>
      <c r="I617" s="14">
        <f>equip.xml!J621</f>
        <v>10</v>
      </c>
      <c r="J617" s="14">
        <f>equip.xml!K621</f>
        <v>0</v>
      </c>
      <c r="K617" s="14">
        <f>equip.xml!L621</f>
        <v>0</v>
      </c>
      <c r="L617" s="14" t="str">
        <f>equip.xml!M621</f>
        <v>105_247_247</v>
      </c>
      <c r="M617" s="17" t="str">
        <f>equip.xml!Q621</f>
        <v>equipment/7008.png</v>
      </c>
      <c r="N617" s="16" t="str">
        <f>equip.xml!P621</f>
        <v>10000_1002_30000,30000_30001_1,30000_30002_1,30000_30003_1</v>
      </c>
      <c r="O617">
        <f>equip.xml!R621</f>
        <v>0</v>
      </c>
    </row>
    <row r="618" spans="1:15">
      <c r="A618" s="14" t="str">
        <f>equip.xml!A622</f>
        <v>20350010</v>
      </c>
      <c r="B618" s="14">
        <f>equip.xml!B622</f>
        <v>1</v>
      </c>
      <c r="C618" s="14" t="str">
        <f>equip.xml!C622</f>
        <v>镶带头盔</v>
      </c>
      <c r="D618" s="14" t="str">
        <f>equip.xml!D622</f>
        <v>头盔</v>
      </c>
      <c r="E618" s="14">
        <f>equip.xml!E622</f>
        <v>1</v>
      </c>
      <c r="F618" s="14">
        <f>equip.xml!F622</f>
        <v>2</v>
      </c>
      <c r="G618" s="14">
        <f>equip.xml!G622</f>
        <v>35</v>
      </c>
      <c r="H618" s="14">
        <f>equip.xml!H622</f>
        <v>0</v>
      </c>
      <c r="I618" s="14">
        <f>equip.xml!J622</f>
        <v>10</v>
      </c>
      <c r="J618" s="14">
        <f>equip.xml!K622</f>
        <v>0</v>
      </c>
      <c r="K618" s="14">
        <f>equip.xml!L622</f>
        <v>0</v>
      </c>
      <c r="L618" s="14" t="str">
        <f>equip.xml!M622</f>
        <v>106_596_596</v>
      </c>
      <c r="M618" s="17" t="str">
        <f>equip.xml!Q622</f>
        <v>equipment/3006.png</v>
      </c>
      <c r="N618" s="16" t="str">
        <f>equip.xml!P622</f>
        <v>10000_1002_35000,30000_30001_1,30000_30002_1,30000_30003_1</v>
      </c>
      <c r="O618">
        <f>equip.xml!R622</f>
        <v>0</v>
      </c>
    </row>
    <row r="619" spans="1:15">
      <c r="A619" s="14" t="str">
        <f>equip.xml!A623</f>
        <v>20350020</v>
      </c>
      <c r="B619" s="14">
        <f>equip.xml!B623</f>
        <v>1</v>
      </c>
      <c r="C619" s="14" t="str">
        <f>equip.xml!C623</f>
        <v>烈焰指环</v>
      </c>
      <c r="D619" s="14" t="str">
        <f>equip.xml!D623</f>
        <v>戒指</v>
      </c>
      <c r="E619" s="14">
        <f>equip.xml!E623</f>
        <v>2</v>
      </c>
      <c r="F619" s="14">
        <f>equip.xml!F623</f>
        <v>2</v>
      </c>
      <c r="G619" s="14">
        <f>equip.xml!G623</f>
        <v>35</v>
      </c>
      <c r="H619" s="14">
        <f>equip.xml!H623</f>
        <v>0</v>
      </c>
      <c r="I619" s="14">
        <f>equip.xml!J623</f>
        <v>10</v>
      </c>
      <c r="J619" s="14">
        <f>equip.xml!K623</f>
        <v>0</v>
      </c>
      <c r="K619" s="14">
        <f>equip.xml!L623</f>
        <v>0</v>
      </c>
      <c r="L619" s="14" t="str">
        <f>equip.xml!M623</f>
        <v>102_590_590</v>
      </c>
      <c r="M619" s="17" t="str">
        <f>equip.xml!Q623</f>
        <v>equipment/14006.png</v>
      </c>
      <c r="N619" s="16" t="str">
        <f>equip.xml!P623</f>
        <v>10000_1002_35000,30000_30001_1,30000_30002_1,30000_30003_1</v>
      </c>
      <c r="O619">
        <f>equip.xml!R623</f>
        <v>0</v>
      </c>
    </row>
    <row r="620" spans="1:15">
      <c r="A620" s="14" t="str">
        <f>equip.xml!A624</f>
        <v>20350030</v>
      </c>
      <c r="B620" s="14">
        <f>equip.xml!B624</f>
        <v>1</v>
      </c>
      <c r="C620" s="14" t="str">
        <f>equip.xml!C624</f>
        <v>斗士腰带</v>
      </c>
      <c r="D620" s="14" t="str">
        <f>equip.xml!D624</f>
        <v>腰带</v>
      </c>
      <c r="E620" s="14">
        <f>equip.xml!E624</f>
        <v>3</v>
      </c>
      <c r="F620" s="14">
        <f>equip.xml!F624</f>
        <v>2</v>
      </c>
      <c r="G620" s="14">
        <f>equip.xml!G624</f>
        <v>35</v>
      </c>
      <c r="H620" s="14">
        <f>equip.xml!H624</f>
        <v>0</v>
      </c>
      <c r="I620" s="14">
        <f>equip.xml!J624</f>
        <v>10</v>
      </c>
      <c r="J620" s="14">
        <f>equip.xml!K624</f>
        <v>0</v>
      </c>
      <c r="K620" s="14">
        <f>equip.xml!L624</f>
        <v>0</v>
      </c>
      <c r="L620" s="14" t="str">
        <f>equip.xml!M624</f>
        <v>101_4900_4900</v>
      </c>
      <c r="M620" s="17" t="str">
        <f>equip.xml!Q624</f>
        <v>equipment/6006.png</v>
      </c>
      <c r="N620" s="16" t="str">
        <f>equip.xml!P624</f>
        <v>10000_1002_35000,30000_30001_1,30000_30002_1,30000_30003_1</v>
      </c>
      <c r="O620">
        <f>equip.xml!R624</f>
        <v>0</v>
      </c>
    </row>
    <row r="621" spans="1:15">
      <c r="A621" s="14" t="str">
        <f>equip.xml!A625</f>
        <v>20350080</v>
      </c>
      <c r="B621" s="14">
        <f>equip.xml!B625</f>
        <v>1</v>
      </c>
      <c r="C621" s="14" t="str">
        <f>equip.xml!C625</f>
        <v>混乱之靴</v>
      </c>
      <c r="D621" s="14" t="str">
        <f>equip.xml!D625</f>
        <v>鞋子</v>
      </c>
      <c r="E621" s="14">
        <f>equip.xml!E625</f>
        <v>8</v>
      </c>
      <c r="F621" s="14">
        <f>equip.xml!F625</f>
        <v>2</v>
      </c>
      <c r="G621" s="14">
        <f>equip.xml!G625</f>
        <v>35</v>
      </c>
      <c r="H621" s="14">
        <f>equip.xml!H625</f>
        <v>0</v>
      </c>
      <c r="I621" s="14">
        <f>equip.xml!J625</f>
        <v>10</v>
      </c>
      <c r="J621" s="14">
        <f>equip.xml!K625</f>
        <v>0</v>
      </c>
      <c r="K621" s="14">
        <f>equip.xml!L625</f>
        <v>0</v>
      </c>
      <c r="L621" s="14" t="str">
        <f>equip.xml!M625</f>
        <v>110_82_82</v>
      </c>
      <c r="M621" s="17" t="str">
        <f>equip.xml!Q625</f>
        <v>equipment/8006.png</v>
      </c>
      <c r="N621" s="16" t="str">
        <f>equip.xml!P625</f>
        <v>10000_1002_35000,30000_30001_1,30000_30002_1,30000_30003_1</v>
      </c>
      <c r="O621">
        <f>equip.xml!R625</f>
        <v>0</v>
      </c>
    </row>
    <row r="622" spans="1:15">
      <c r="A622" s="14" t="str">
        <f>equip.xml!A626</f>
        <v>20350090</v>
      </c>
      <c r="B622" s="14">
        <f>equip.xml!B626</f>
        <v>1</v>
      </c>
      <c r="C622" s="14" t="str">
        <f>equip.xml!C626</f>
        <v>激励手甲</v>
      </c>
      <c r="D622" s="14" t="str">
        <f>equip.xml!D626</f>
        <v>手套</v>
      </c>
      <c r="E622" s="14">
        <f>equip.xml!E626</f>
        <v>9</v>
      </c>
      <c r="F622" s="14">
        <f>equip.xml!F626</f>
        <v>2</v>
      </c>
      <c r="G622" s="14">
        <f>equip.xml!G626</f>
        <v>35</v>
      </c>
      <c r="H622" s="14">
        <f>equip.xml!H626</f>
        <v>0</v>
      </c>
      <c r="I622" s="14">
        <f>equip.xml!J626</f>
        <v>10</v>
      </c>
      <c r="J622" s="14">
        <f>equip.xml!K626</f>
        <v>0</v>
      </c>
      <c r="K622" s="14">
        <f>equip.xml!L626</f>
        <v>0</v>
      </c>
      <c r="L622" s="14" t="str">
        <f>equip.xml!M626</f>
        <v>108_588_588</v>
      </c>
      <c r="M622" s="17" t="str">
        <f>equip.xml!Q626</f>
        <v>equipment/10006.png</v>
      </c>
      <c r="N622" s="16" t="str">
        <f>equip.xml!P626</f>
        <v>10000_1002_35000,30000_30001_1,30000_30002_1,30000_30003_1</v>
      </c>
      <c r="O622">
        <f>equip.xml!R626</f>
        <v>0</v>
      </c>
    </row>
    <row r="623" spans="1:15">
      <c r="A623" s="14" t="str">
        <f>equip.xml!A627</f>
        <v>20350100</v>
      </c>
      <c r="B623" s="14">
        <f>equip.xml!B627</f>
        <v>1</v>
      </c>
      <c r="C623" s="14" t="str">
        <f>equip.xml!C627</f>
        <v>苍蓝挂坠</v>
      </c>
      <c r="D623" s="14" t="str">
        <f>equip.xml!D627</f>
        <v>项链</v>
      </c>
      <c r="E623" s="14">
        <f>equip.xml!E627</f>
        <v>10</v>
      </c>
      <c r="F623" s="14">
        <f>equip.xml!F627</f>
        <v>2</v>
      </c>
      <c r="G623" s="14">
        <f>equip.xml!G627</f>
        <v>35</v>
      </c>
      <c r="H623" s="14">
        <f>equip.xml!H627</f>
        <v>0</v>
      </c>
      <c r="I623" s="14">
        <f>equip.xml!J627</f>
        <v>10</v>
      </c>
      <c r="J623" s="14">
        <f>equip.xml!K627</f>
        <v>0</v>
      </c>
      <c r="K623" s="14">
        <f>equip.xml!L627</f>
        <v>0</v>
      </c>
      <c r="L623" s="14" t="str">
        <f>equip.xml!M627</f>
        <v>107_542_542</v>
      </c>
      <c r="M623" s="17" t="str">
        <f>equip.xml!Q627</f>
        <v>equipment/12006.png</v>
      </c>
      <c r="N623" s="16" t="str">
        <f>equip.xml!P627</f>
        <v>10000_1002_35000,30000_30001_1,30000_30002_1,30000_30003_1</v>
      </c>
      <c r="O623">
        <f>equip.xml!R627</f>
        <v>0</v>
      </c>
    </row>
    <row r="624" spans="1:15">
      <c r="A624" s="14" t="str">
        <f>equip.xml!A628</f>
        <v>20351050</v>
      </c>
      <c r="B624" s="14">
        <f>equip.xml!B628</f>
        <v>1</v>
      </c>
      <c r="C624" s="14" t="str">
        <f>equip.xml!C628</f>
        <v>水晶剑</v>
      </c>
      <c r="D624" s="14" t="str">
        <f>equip.xml!D628</f>
        <v>主手武器</v>
      </c>
      <c r="E624" s="14">
        <f>equip.xml!E628</f>
        <v>5</v>
      </c>
      <c r="F624" s="14">
        <f>equip.xml!F628</f>
        <v>2</v>
      </c>
      <c r="G624" s="14">
        <f>equip.xml!G628</f>
        <v>35</v>
      </c>
      <c r="H624" s="14" t="str">
        <f>equip.xml!H628</f>
        <v>1,1001</v>
      </c>
      <c r="I624" s="14">
        <f>equip.xml!J628</f>
        <v>10</v>
      </c>
      <c r="J624" s="14">
        <f>equip.xml!K628</f>
        <v>0</v>
      </c>
      <c r="K624" s="14">
        <f>equip.xml!L628</f>
        <v>0</v>
      </c>
      <c r="L624" s="14" t="str">
        <f>equip.xml!M628</f>
        <v>103_443_443,104_886_886</v>
      </c>
      <c r="M624" s="17" t="str">
        <f>equip.xml!Q628</f>
        <v>equipment/1114.png</v>
      </c>
      <c r="N624" s="16" t="str">
        <f>equip.xml!P628</f>
        <v>10000_1002_35000,30000_30001_1,30000_30002_1,30000_30003_1</v>
      </c>
      <c r="O624">
        <f>equip.xml!R628</f>
        <v>0</v>
      </c>
    </row>
    <row r="625" spans="1:15">
      <c r="A625" s="14" t="str">
        <f>equip.xml!A629</f>
        <v>20351051</v>
      </c>
      <c r="B625" s="14">
        <f>equip.xml!B629</f>
        <v>0</v>
      </c>
      <c r="C625" s="14" t="str">
        <f>equip.xml!C629</f>
        <v>军刀</v>
      </c>
      <c r="D625" s="14" t="str">
        <f>equip.xml!D629</f>
        <v>主手武器</v>
      </c>
      <c r="E625" s="14">
        <f>equip.xml!E629</f>
        <v>5</v>
      </c>
      <c r="F625" s="14">
        <f>equip.xml!F629</f>
        <v>2</v>
      </c>
      <c r="G625" s="14">
        <f>equip.xml!G629</f>
        <v>35</v>
      </c>
      <c r="H625" s="14" t="str">
        <f>equip.xml!H629</f>
        <v>1,1001</v>
      </c>
      <c r="I625" s="14">
        <f>equip.xml!J629</f>
        <v>10</v>
      </c>
      <c r="J625" s="14">
        <f>equip.xml!K629</f>
        <v>0</v>
      </c>
      <c r="K625" s="14">
        <f>equip.xml!L629</f>
        <v>0</v>
      </c>
      <c r="L625" s="14" t="str">
        <f>equip.xml!M629</f>
        <v>103_533_533,104_1066_1066</v>
      </c>
      <c r="M625" s="17" t="str">
        <f>equip.xml!Q629</f>
        <v>equipment/1101.png</v>
      </c>
      <c r="N625" s="16" t="str">
        <f>equip.xml!P629</f>
        <v>10000_1002_35000,30000_30001_1,30000_30002_1,30000_30003_1</v>
      </c>
      <c r="O625">
        <f>equip.xml!R629</f>
        <v>0</v>
      </c>
    </row>
    <row r="626" spans="1:15">
      <c r="A626" s="14" t="str">
        <f>equip.xml!A630</f>
        <v>20351060</v>
      </c>
      <c r="B626" s="14">
        <f>equip.xml!B630</f>
        <v>1</v>
      </c>
      <c r="C626" s="14" t="str">
        <f>equip.xml!C630</f>
        <v>符记盾牌</v>
      </c>
      <c r="D626" s="14" t="str">
        <f>equip.xml!D630</f>
        <v>副手武器</v>
      </c>
      <c r="E626" s="14">
        <f>equip.xml!E630</f>
        <v>6</v>
      </c>
      <c r="F626" s="14">
        <f>equip.xml!F630</f>
        <v>2</v>
      </c>
      <c r="G626" s="14">
        <f>equip.xml!G630</f>
        <v>35</v>
      </c>
      <c r="H626" s="14" t="str">
        <f>equip.xml!H630</f>
        <v>1,1001</v>
      </c>
      <c r="I626" s="14">
        <f>equip.xml!J630</f>
        <v>10</v>
      </c>
      <c r="J626" s="14">
        <f>equip.xml!K630</f>
        <v>0</v>
      </c>
      <c r="K626" s="14">
        <f>equip.xml!L630</f>
        <v>0</v>
      </c>
      <c r="L626" s="14" t="str">
        <f>equip.xml!M630</f>
        <v>105_676_676</v>
      </c>
      <c r="M626" s="17" t="str">
        <f>equip.xml!Q630</f>
        <v>equipment/2108.png</v>
      </c>
      <c r="N626" s="16" t="str">
        <f>equip.xml!P630</f>
        <v>10000_1002_35000,30000_30001_1,30000_30002_1,30000_30003_1</v>
      </c>
      <c r="O626">
        <f>equip.xml!R630</f>
        <v>0</v>
      </c>
    </row>
    <row r="627" spans="1:15">
      <c r="A627" s="14" t="str">
        <f>equip.xml!A631</f>
        <v>20351061</v>
      </c>
      <c r="B627" s="14">
        <f>equip.xml!B631</f>
        <v>1</v>
      </c>
      <c r="C627" s="14" t="str">
        <f>equip.xml!C631</f>
        <v>秩序盾牌</v>
      </c>
      <c r="D627" s="14" t="str">
        <f>equip.xml!D631</f>
        <v>副手武器</v>
      </c>
      <c r="E627" s="14">
        <f>equip.xml!E631</f>
        <v>6</v>
      </c>
      <c r="F627" s="14">
        <f>equip.xml!F631</f>
        <v>2</v>
      </c>
      <c r="G627" s="14">
        <f>equip.xml!G631</f>
        <v>35</v>
      </c>
      <c r="H627" s="14" t="str">
        <f>equip.xml!H631</f>
        <v>1,1001</v>
      </c>
      <c r="I627" s="14">
        <f>equip.xml!J631</f>
        <v>10</v>
      </c>
      <c r="J627" s="14">
        <f>equip.xml!K631</f>
        <v>0</v>
      </c>
      <c r="K627" s="14">
        <f>equip.xml!L631</f>
        <v>0</v>
      </c>
      <c r="L627" s="14" t="str">
        <f>equip.xml!M631</f>
        <v>105_758_758</v>
      </c>
      <c r="M627" s="17" t="str">
        <f>equip.xml!Q631</f>
        <v>equipment/2117.png</v>
      </c>
      <c r="N627" s="16" t="str">
        <f>equip.xml!P631</f>
        <v>10000_1002_35000,30000_30001_1,30000_30002_1,30000_30003_1</v>
      </c>
      <c r="O627">
        <f>equip.xml!R631</f>
        <v>0</v>
      </c>
    </row>
    <row r="628" spans="1:15">
      <c r="A628" s="14" t="str">
        <f>equip.xml!A632</f>
        <v>20352050</v>
      </c>
      <c r="B628" s="14">
        <f>equip.xml!B632</f>
        <v>1</v>
      </c>
      <c r="C628" s="14" t="str">
        <f>equip.xml!C632</f>
        <v>风语者弯弓</v>
      </c>
      <c r="D628" s="14" t="str">
        <f>equip.xml!D632</f>
        <v>主手武器</v>
      </c>
      <c r="E628" s="14">
        <f>equip.xml!E632</f>
        <v>5</v>
      </c>
      <c r="F628" s="14">
        <f>equip.xml!F632</f>
        <v>2</v>
      </c>
      <c r="G628" s="14">
        <f>equip.xml!G632</f>
        <v>35</v>
      </c>
      <c r="H628" s="14" t="str">
        <f>equip.xml!H632</f>
        <v>2,1002</v>
      </c>
      <c r="I628" s="14">
        <f>equip.xml!J632</f>
        <v>10</v>
      </c>
      <c r="J628" s="14">
        <f>equip.xml!K632</f>
        <v>0</v>
      </c>
      <c r="K628" s="14">
        <f>equip.xml!L632</f>
        <v>0</v>
      </c>
      <c r="L628" s="14" t="str">
        <f>equip.xml!M632</f>
        <v>103_443_443,104_886_886</v>
      </c>
      <c r="M628" s="17" t="str">
        <f>equip.xml!Q632</f>
        <v>equipment/1213.png</v>
      </c>
      <c r="N628" s="16" t="str">
        <f>equip.xml!P632</f>
        <v>10000_1002_35000,30000_30001_1,30000_30002_1,30000_30003_1</v>
      </c>
      <c r="O628">
        <f>equip.xml!R632</f>
        <v>0</v>
      </c>
    </row>
    <row r="629" spans="1:15">
      <c r="A629" s="14" t="str">
        <f>equip.xml!A633</f>
        <v>20352051</v>
      </c>
      <c r="B629" s="14">
        <f>equip.xml!B633</f>
        <v>0</v>
      </c>
      <c r="C629" s="14" t="str">
        <f>equip.xml!C633</f>
        <v>棘木弓</v>
      </c>
      <c r="D629" s="14" t="str">
        <f>equip.xml!D633</f>
        <v>主手武器</v>
      </c>
      <c r="E629" s="14">
        <f>equip.xml!E633</f>
        <v>5</v>
      </c>
      <c r="F629" s="14">
        <f>equip.xml!F633</f>
        <v>2</v>
      </c>
      <c r="G629" s="14">
        <f>equip.xml!G633</f>
        <v>35</v>
      </c>
      <c r="H629" s="14" t="str">
        <f>equip.xml!H633</f>
        <v>2,1002</v>
      </c>
      <c r="I629" s="14">
        <f>equip.xml!J633</f>
        <v>10</v>
      </c>
      <c r="J629" s="14">
        <f>equip.xml!K633</f>
        <v>0</v>
      </c>
      <c r="K629" s="14">
        <f>equip.xml!L633</f>
        <v>0</v>
      </c>
      <c r="L629" s="14" t="str">
        <f>equip.xml!M633</f>
        <v>103_533_533,104_1066_1066</v>
      </c>
      <c r="M629" s="17" t="str">
        <f>equip.xml!Q633</f>
        <v>equipment/1201.png</v>
      </c>
      <c r="N629" s="16" t="str">
        <f>equip.xml!P633</f>
        <v>10000_1002_35000,30000_30001_1,30000_30002_1,30000_30003_1</v>
      </c>
      <c r="O629">
        <f>equip.xml!R633</f>
        <v>0</v>
      </c>
    </row>
    <row r="630" spans="1:15">
      <c r="A630" s="14" t="str">
        <f>equip.xml!A634</f>
        <v>20352060</v>
      </c>
      <c r="B630" s="14">
        <f>equip.xml!B634</f>
        <v>1</v>
      </c>
      <c r="C630" s="14" t="str">
        <f>equip.xml!C634</f>
        <v>游侠箭筒</v>
      </c>
      <c r="D630" s="14" t="str">
        <f>equip.xml!D634</f>
        <v>副手武器</v>
      </c>
      <c r="E630" s="14">
        <f>equip.xml!E634</f>
        <v>6</v>
      </c>
      <c r="F630" s="14">
        <f>equip.xml!F634</f>
        <v>2</v>
      </c>
      <c r="G630" s="14">
        <f>equip.xml!G634</f>
        <v>35</v>
      </c>
      <c r="H630" s="14" t="str">
        <f>equip.xml!H634</f>
        <v>2,1002</v>
      </c>
      <c r="I630" s="14">
        <f>equip.xml!J634</f>
        <v>10</v>
      </c>
      <c r="J630" s="14">
        <f>equip.xml!K634</f>
        <v>0</v>
      </c>
      <c r="K630" s="14">
        <f>equip.xml!L634</f>
        <v>0</v>
      </c>
      <c r="L630" s="14" t="str">
        <f>equip.xml!M634</f>
        <v>108_676_676</v>
      </c>
      <c r="M630" s="17" t="str">
        <f>equip.xml!Q634</f>
        <v>equipment/2208.png</v>
      </c>
      <c r="N630" s="16" t="str">
        <f>equip.xml!P634</f>
        <v>10000_1002_35000,30000_30001_1,30000_30002_1,30000_30003_1</v>
      </c>
      <c r="O630">
        <f>equip.xml!R634</f>
        <v>0</v>
      </c>
    </row>
    <row r="631" spans="1:15">
      <c r="A631" s="14" t="str">
        <f>equip.xml!A635</f>
        <v>20352061</v>
      </c>
      <c r="B631" s="14">
        <f>equip.xml!B635</f>
        <v>1</v>
      </c>
      <c r="C631" s="14" t="str">
        <f>equip.xml!C635</f>
        <v>风行者箭筒</v>
      </c>
      <c r="D631" s="14" t="str">
        <f>equip.xml!D635</f>
        <v>副手武器</v>
      </c>
      <c r="E631" s="14">
        <f>equip.xml!E635</f>
        <v>6</v>
      </c>
      <c r="F631" s="14">
        <f>equip.xml!F635</f>
        <v>2</v>
      </c>
      <c r="G631" s="14">
        <f>equip.xml!G635</f>
        <v>35</v>
      </c>
      <c r="H631" s="14" t="str">
        <f>equip.xml!H635</f>
        <v>2,1002</v>
      </c>
      <c r="I631" s="14">
        <f>equip.xml!J635</f>
        <v>10</v>
      </c>
      <c r="J631" s="14">
        <f>equip.xml!K635</f>
        <v>0</v>
      </c>
      <c r="K631" s="14">
        <f>equip.xml!L635</f>
        <v>0</v>
      </c>
      <c r="L631" s="14" t="str">
        <f>equip.xml!M635</f>
        <v>108_758_758</v>
      </c>
      <c r="M631" s="17" t="str">
        <f>equip.xml!Q635</f>
        <v>equipment/2201.png</v>
      </c>
      <c r="N631" s="16" t="str">
        <f>equip.xml!P635</f>
        <v>10000_1002_35000,30000_30001_1,30000_30002_1,30000_30003_1</v>
      </c>
      <c r="O631">
        <f>equip.xml!R635</f>
        <v>0</v>
      </c>
    </row>
    <row r="632" spans="1:15">
      <c r="A632" s="14" t="str">
        <f>equip.xml!A636</f>
        <v>20353050</v>
      </c>
      <c r="B632" s="14">
        <f>equip.xml!B636</f>
        <v>1</v>
      </c>
      <c r="C632" s="14" t="str">
        <f>equip.xml!C636</f>
        <v>聚能之杖</v>
      </c>
      <c r="D632" s="14" t="str">
        <f>equip.xml!D636</f>
        <v>主手武器</v>
      </c>
      <c r="E632" s="14">
        <f>equip.xml!E636</f>
        <v>5</v>
      </c>
      <c r="F632" s="14">
        <f>equip.xml!F636</f>
        <v>2</v>
      </c>
      <c r="G632" s="14">
        <f>equip.xml!G636</f>
        <v>35</v>
      </c>
      <c r="H632" s="14" t="str">
        <f>equip.xml!H636</f>
        <v>3,1003</v>
      </c>
      <c r="I632" s="14">
        <f>equip.xml!J636</f>
        <v>10</v>
      </c>
      <c r="J632" s="14">
        <f>equip.xml!K636</f>
        <v>0</v>
      </c>
      <c r="K632" s="14">
        <f>equip.xml!L636</f>
        <v>0</v>
      </c>
      <c r="L632" s="14" t="str">
        <f>equip.xml!M636</f>
        <v>103_443_443,104_886_886</v>
      </c>
      <c r="M632" s="17" t="str">
        <f>equip.xml!Q636</f>
        <v>equipment/1314.png</v>
      </c>
      <c r="N632" s="16" t="str">
        <f>equip.xml!P636</f>
        <v>10000_1002_35000,30000_30001_1,30000_30002_1,30000_30003_1</v>
      </c>
      <c r="O632">
        <f>equip.xml!R636</f>
        <v>0</v>
      </c>
    </row>
    <row r="633" spans="1:15">
      <c r="A633" s="14" t="str">
        <f>equip.xml!A637</f>
        <v>20353051</v>
      </c>
      <c r="B633" s="14">
        <f>equip.xml!B637</f>
        <v>0</v>
      </c>
      <c r="C633" s="14" t="str">
        <f>equip.xml!C637</f>
        <v>学徒法杖</v>
      </c>
      <c r="D633" s="14" t="str">
        <f>equip.xml!D637</f>
        <v>主手武器</v>
      </c>
      <c r="E633" s="14">
        <f>equip.xml!E637</f>
        <v>5</v>
      </c>
      <c r="F633" s="14">
        <f>equip.xml!F637</f>
        <v>2</v>
      </c>
      <c r="G633" s="14">
        <f>equip.xml!G637</f>
        <v>35</v>
      </c>
      <c r="H633" s="14" t="str">
        <f>equip.xml!H637</f>
        <v>3,1003</v>
      </c>
      <c r="I633" s="14">
        <f>equip.xml!J637</f>
        <v>10</v>
      </c>
      <c r="J633" s="14">
        <f>equip.xml!K637</f>
        <v>0</v>
      </c>
      <c r="K633" s="14">
        <f>equip.xml!L637</f>
        <v>0</v>
      </c>
      <c r="L633" s="14" t="str">
        <f>equip.xml!M637</f>
        <v>103_533_533,104_1066_1066</v>
      </c>
      <c r="M633" s="17" t="str">
        <f>equip.xml!Q637</f>
        <v>equipment/1301.png</v>
      </c>
      <c r="N633" s="16" t="str">
        <f>equip.xml!P637</f>
        <v>10000_1002_35000,30000_30001_1,30000_30002_1,30000_30003_1</v>
      </c>
      <c r="O633">
        <f>equip.xml!R637</f>
        <v>0</v>
      </c>
    </row>
    <row r="634" spans="1:15">
      <c r="A634" s="14" t="str">
        <f>equip.xml!A638</f>
        <v>20353060</v>
      </c>
      <c r="B634" s="14">
        <f>equip.xml!B638</f>
        <v>1</v>
      </c>
      <c r="C634" s="14" t="str">
        <f>equip.xml!C638</f>
        <v>召唤魔典</v>
      </c>
      <c r="D634" s="14" t="str">
        <f>equip.xml!D638</f>
        <v>副手武器</v>
      </c>
      <c r="E634" s="14">
        <f>equip.xml!E638</f>
        <v>6</v>
      </c>
      <c r="F634" s="14">
        <f>equip.xml!F638</f>
        <v>2</v>
      </c>
      <c r="G634" s="14">
        <f>equip.xml!G638</f>
        <v>35</v>
      </c>
      <c r="H634" s="14" t="str">
        <f>equip.xml!H638</f>
        <v>3,1003</v>
      </c>
      <c r="I634" s="14">
        <f>equip.xml!J638</f>
        <v>10</v>
      </c>
      <c r="J634" s="14">
        <f>equip.xml!K638</f>
        <v>0</v>
      </c>
      <c r="K634" s="14">
        <f>equip.xml!L638</f>
        <v>0</v>
      </c>
      <c r="L634" s="14" t="str">
        <f>equip.xml!M638</f>
        <v>102_1040_1040</v>
      </c>
      <c r="M634" s="17" t="str">
        <f>equip.xml!Q638</f>
        <v>equipment/2308.png</v>
      </c>
      <c r="N634" s="16" t="str">
        <f>equip.xml!P638</f>
        <v>10000_1002_35000,30000_30001_1,30000_30002_1,30000_30003_1</v>
      </c>
      <c r="O634">
        <f>equip.xml!R638</f>
        <v>0</v>
      </c>
    </row>
    <row r="635" spans="1:15">
      <c r="A635" s="14" t="str">
        <f>equip.xml!A639</f>
        <v>20353061</v>
      </c>
      <c r="B635" s="14">
        <f>equip.xml!B639</f>
        <v>1</v>
      </c>
      <c r="C635" s="14" t="str">
        <f>equip.xml!C639</f>
        <v>大法师之书</v>
      </c>
      <c r="D635" s="14" t="str">
        <f>equip.xml!D639</f>
        <v>副手武器</v>
      </c>
      <c r="E635" s="14">
        <f>equip.xml!E639</f>
        <v>6</v>
      </c>
      <c r="F635" s="14">
        <f>equip.xml!F639</f>
        <v>2</v>
      </c>
      <c r="G635" s="14">
        <f>equip.xml!G639</f>
        <v>35</v>
      </c>
      <c r="H635" s="14" t="str">
        <f>equip.xml!H639</f>
        <v>3,1003</v>
      </c>
      <c r="I635" s="14">
        <f>equip.xml!J639</f>
        <v>10</v>
      </c>
      <c r="J635" s="14">
        <f>equip.xml!K639</f>
        <v>0</v>
      </c>
      <c r="K635" s="14">
        <f>equip.xml!L639</f>
        <v>0</v>
      </c>
      <c r="L635" s="14" t="str">
        <f>equip.xml!M639</f>
        <v>102_1120_1120</v>
      </c>
      <c r="M635" s="17" t="str">
        <f>equip.xml!Q639</f>
        <v>equipment/2314.png</v>
      </c>
      <c r="N635" s="16" t="str">
        <f>equip.xml!P639</f>
        <v>10000_1002_35000,30000_30001_1,30000_30002_1,30000_30003_1</v>
      </c>
      <c r="O635">
        <f>equip.xml!R639</f>
        <v>0</v>
      </c>
    </row>
    <row r="636" spans="1:15">
      <c r="A636" s="14" t="str">
        <f>equip.xml!A640</f>
        <v>20350040</v>
      </c>
      <c r="B636" s="14">
        <f>equip.xml!B640</f>
        <v>1</v>
      </c>
      <c r="C636" s="14" t="str">
        <f>equip.xml!C640</f>
        <v>蛮兽胸甲</v>
      </c>
      <c r="D636" s="14" t="str">
        <f>equip.xml!D640</f>
        <v>胸甲</v>
      </c>
      <c r="E636" s="14">
        <f>equip.xml!E640</f>
        <v>4</v>
      </c>
      <c r="F636" s="14">
        <f>equip.xml!F640</f>
        <v>2</v>
      </c>
      <c r="G636" s="14">
        <f>equip.xml!G640</f>
        <v>35</v>
      </c>
      <c r="H636" s="14">
        <f>equip.xml!H640</f>
        <v>0</v>
      </c>
      <c r="I636" s="14">
        <f>equip.xml!J640</f>
        <v>10</v>
      </c>
      <c r="J636" s="14">
        <f>equip.xml!K640</f>
        <v>0</v>
      </c>
      <c r="K636" s="14">
        <f>equip.xml!L640</f>
        <v>0</v>
      </c>
      <c r="L636" s="14" t="str">
        <f>equip.xml!M640</f>
        <v>105_293_293</v>
      </c>
      <c r="M636" s="17" t="str">
        <f>equip.xml!Q640</f>
        <v>equipment/5011.png</v>
      </c>
      <c r="N636" s="16" t="str">
        <f>equip.xml!P640</f>
        <v>10000_1002_35000,30000_30001_1,30000_30002_1,30000_30003_1</v>
      </c>
      <c r="O636">
        <f>equip.xml!R640</f>
        <v>0</v>
      </c>
    </row>
    <row r="637" spans="1:15">
      <c r="A637" s="14" t="str">
        <f>equip.xml!A641</f>
        <v>20350041</v>
      </c>
      <c r="B637" s="14">
        <f>equip.xml!B641</f>
        <v>1</v>
      </c>
      <c r="C637" s="14" t="str">
        <f>equip.xml!C641</f>
        <v>魔鳞外衣</v>
      </c>
      <c r="D637" s="14" t="str">
        <f>equip.xml!D641</f>
        <v>胸甲</v>
      </c>
      <c r="E637" s="14">
        <f>equip.xml!E641</f>
        <v>4</v>
      </c>
      <c r="F637" s="14">
        <f>equip.xml!F641</f>
        <v>2</v>
      </c>
      <c r="G637" s="14">
        <f>equip.xml!G641</f>
        <v>35</v>
      </c>
      <c r="H637" s="14">
        <f>equip.xml!H641</f>
        <v>0</v>
      </c>
      <c r="I637" s="14">
        <f>equip.xml!J641</f>
        <v>10</v>
      </c>
      <c r="J637" s="14">
        <f>equip.xml!K641</f>
        <v>0</v>
      </c>
      <c r="K637" s="14">
        <f>equip.xml!L641</f>
        <v>0</v>
      </c>
      <c r="L637" s="14" t="str">
        <f>equip.xml!M641</f>
        <v>105_375_375</v>
      </c>
      <c r="M637" s="17" t="str">
        <f>equip.xml!Q641</f>
        <v>equipment/5001.png</v>
      </c>
      <c r="N637" s="16" t="str">
        <f>equip.xml!P641</f>
        <v>10000_1002_35000,30000_30001_1,30000_30002_1,30000_30003_1</v>
      </c>
      <c r="O637">
        <f>equip.xml!R641</f>
        <v>0</v>
      </c>
    </row>
    <row r="638" spans="1:15">
      <c r="A638" s="14" t="str">
        <f>equip.xml!A642</f>
        <v>20350070</v>
      </c>
      <c r="B638" s="14">
        <f>equip.xml!B642</f>
        <v>1</v>
      </c>
      <c r="C638" s="14" t="str">
        <f>equip.xml!C642</f>
        <v>残忍腿甲</v>
      </c>
      <c r="D638" s="14" t="str">
        <f>equip.xml!D642</f>
        <v>护腿</v>
      </c>
      <c r="E638" s="14">
        <f>equip.xml!E642</f>
        <v>7</v>
      </c>
      <c r="F638" s="14">
        <f>equip.xml!F642</f>
        <v>2</v>
      </c>
      <c r="G638" s="14">
        <f>equip.xml!G642</f>
        <v>35</v>
      </c>
      <c r="H638" s="14">
        <f>equip.xml!H642</f>
        <v>0</v>
      </c>
      <c r="I638" s="14">
        <f>equip.xml!J642</f>
        <v>10</v>
      </c>
      <c r="J638" s="14">
        <f>equip.xml!K642</f>
        <v>0</v>
      </c>
      <c r="K638" s="14">
        <f>equip.xml!L642</f>
        <v>0</v>
      </c>
      <c r="L638" s="14" t="str">
        <f>equip.xml!M642</f>
        <v>105_293_293</v>
      </c>
      <c r="M638" s="17" t="str">
        <f>equip.xml!Q642</f>
        <v>equipment/7008.png</v>
      </c>
      <c r="N638" s="16" t="str">
        <f>equip.xml!P642</f>
        <v>10000_1002_35000,30000_30001_1,30000_30002_1,30000_30003_1</v>
      </c>
      <c r="O638">
        <f>equip.xml!R642</f>
        <v>0</v>
      </c>
    </row>
    <row r="639" spans="1:15">
      <c r="A639" s="14" t="str">
        <f>equip.xml!A643</f>
        <v>20350071</v>
      </c>
      <c r="B639" s="14">
        <f>equip.xml!B643</f>
        <v>0</v>
      </c>
      <c r="C639" s="14" t="str">
        <f>equip.xml!C643</f>
        <v>学徒短裤</v>
      </c>
      <c r="D639" s="14" t="str">
        <f>equip.xml!D643</f>
        <v>护腿</v>
      </c>
      <c r="E639" s="14">
        <f>equip.xml!E643</f>
        <v>7</v>
      </c>
      <c r="F639" s="14">
        <f>equip.xml!F643</f>
        <v>2</v>
      </c>
      <c r="G639" s="14">
        <f>equip.xml!G643</f>
        <v>35</v>
      </c>
      <c r="H639" s="14">
        <f>equip.xml!H643</f>
        <v>0</v>
      </c>
      <c r="I639" s="14">
        <f>equip.xml!J643</f>
        <v>10</v>
      </c>
      <c r="J639" s="14">
        <f>equip.xml!K643</f>
        <v>0</v>
      </c>
      <c r="K639" s="14">
        <f>equip.xml!L643</f>
        <v>0</v>
      </c>
      <c r="L639" s="14" t="str">
        <f>equip.xml!M643</f>
        <v>105_331_331</v>
      </c>
      <c r="M639" s="17" t="str">
        <f>equip.xml!Q643</f>
        <v>equipment/7001.png</v>
      </c>
      <c r="N639" s="16" t="str">
        <f>equip.xml!P643</f>
        <v>10000_1002_35000,30000_30001_1,30000_30002_1,30000_30003_1</v>
      </c>
      <c r="O639">
        <f>equip.xml!R643</f>
        <v>0</v>
      </c>
    </row>
    <row r="640" spans="1:15">
      <c r="A640" s="14" t="str">
        <f>equip.xml!A644</f>
        <v>20400010</v>
      </c>
      <c r="B640" s="14">
        <f>equip.xml!B644</f>
        <v>1</v>
      </c>
      <c r="C640" s="14" t="str">
        <f>equip.xml!C644</f>
        <v>烈焰头罩</v>
      </c>
      <c r="D640" s="14" t="str">
        <f>equip.xml!D644</f>
        <v>头盔</v>
      </c>
      <c r="E640" s="14">
        <f>equip.xml!E644</f>
        <v>1</v>
      </c>
      <c r="F640" s="14">
        <f>equip.xml!F644</f>
        <v>2</v>
      </c>
      <c r="G640" s="14">
        <f>equip.xml!G644</f>
        <v>40</v>
      </c>
      <c r="H640" s="14">
        <f>equip.xml!H644</f>
        <v>0</v>
      </c>
      <c r="I640" s="14">
        <f>equip.xml!J644</f>
        <v>10</v>
      </c>
      <c r="J640" s="14">
        <f>equip.xml!K644</f>
        <v>0</v>
      </c>
      <c r="K640" s="14">
        <f>equip.xml!L644</f>
        <v>0</v>
      </c>
      <c r="L640" s="14" t="str">
        <f>equip.xml!M644</f>
        <v>106_751_751</v>
      </c>
      <c r="M640" s="17" t="str">
        <f>equip.xml!Q644</f>
        <v>equipment/3007.png</v>
      </c>
      <c r="N640" s="16" t="str">
        <f>equip.xml!P644</f>
        <v>10000_1002_40000,30000_30001_1,30000_30002_1,30000_30003_1</v>
      </c>
      <c r="O640">
        <f>equip.xml!R644</f>
        <v>0</v>
      </c>
    </row>
    <row r="641" spans="1:15">
      <c r="A641" s="14" t="str">
        <f>equip.xml!A645</f>
        <v>20400020</v>
      </c>
      <c r="B641" s="14">
        <f>equip.xml!B645</f>
        <v>1</v>
      </c>
      <c r="C641" s="14" t="str">
        <f>equip.xml!C645</f>
        <v>龙纹戒指</v>
      </c>
      <c r="D641" s="14" t="str">
        <f>equip.xml!D645</f>
        <v>戒指</v>
      </c>
      <c r="E641" s="14">
        <f>equip.xml!E645</f>
        <v>2</v>
      </c>
      <c r="F641" s="14">
        <f>equip.xml!F645</f>
        <v>2</v>
      </c>
      <c r="G641" s="14">
        <f>equip.xml!G645</f>
        <v>40</v>
      </c>
      <c r="H641" s="14">
        <f>equip.xml!H645</f>
        <v>0</v>
      </c>
      <c r="I641" s="14">
        <f>equip.xml!J645</f>
        <v>10</v>
      </c>
      <c r="J641" s="14">
        <f>equip.xml!K645</f>
        <v>0</v>
      </c>
      <c r="K641" s="14">
        <f>equip.xml!L645</f>
        <v>0</v>
      </c>
      <c r="L641" s="14" t="str">
        <f>equip.xml!M645</f>
        <v>102_740_740</v>
      </c>
      <c r="M641" s="17" t="str">
        <f>equip.xml!Q645</f>
        <v>equipment/14007.png</v>
      </c>
      <c r="N641" s="16" t="str">
        <f>equip.xml!P645</f>
        <v>10000_1002_40000,30000_30001_1,30000_30002_1,30000_30003_1</v>
      </c>
      <c r="O641">
        <f>equip.xml!R645</f>
        <v>0</v>
      </c>
    </row>
    <row r="642" spans="1:15">
      <c r="A642" s="14" t="str">
        <f>equip.xml!A646</f>
        <v>20400030</v>
      </c>
      <c r="B642" s="14">
        <f>equip.xml!B646</f>
        <v>1</v>
      </c>
      <c r="C642" s="14" t="str">
        <f>equip.xml!C646</f>
        <v>力量腰带</v>
      </c>
      <c r="D642" s="14" t="str">
        <f>equip.xml!D646</f>
        <v>腰带</v>
      </c>
      <c r="E642" s="14">
        <f>equip.xml!E646</f>
        <v>3</v>
      </c>
      <c r="F642" s="14">
        <f>equip.xml!F646</f>
        <v>2</v>
      </c>
      <c r="G642" s="14">
        <f>equip.xml!G646</f>
        <v>40</v>
      </c>
      <c r="H642" s="14">
        <f>equip.xml!H646</f>
        <v>0</v>
      </c>
      <c r="I642" s="14">
        <f>equip.xml!J646</f>
        <v>10</v>
      </c>
      <c r="J642" s="14">
        <f>equip.xml!K646</f>
        <v>0</v>
      </c>
      <c r="K642" s="14">
        <f>equip.xml!L646</f>
        <v>0</v>
      </c>
      <c r="L642" s="14" t="str">
        <f>equip.xml!M646</f>
        <v>101_6720_6720</v>
      </c>
      <c r="M642" s="17" t="str">
        <f>equip.xml!Q646</f>
        <v>equipment/6007.png</v>
      </c>
      <c r="N642" s="16" t="str">
        <f>equip.xml!P646</f>
        <v>10000_1002_40000,30000_30001_1,30000_30002_1,30000_30003_1</v>
      </c>
      <c r="O642">
        <f>equip.xml!R646</f>
        <v>0</v>
      </c>
    </row>
    <row r="643" spans="1:15">
      <c r="A643" s="14" t="str">
        <f>equip.xml!A647</f>
        <v>20400080</v>
      </c>
      <c r="B643" s="14">
        <f>equip.xml!B647</f>
        <v>1</v>
      </c>
      <c r="C643" s="14" t="str">
        <f>equip.xml!C647</f>
        <v>征战之靴</v>
      </c>
      <c r="D643" s="14" t="str">
        <f>equip.xml!D647</f>
        <v>鞋子</v>
      </c>
      <c r="E643" s="14">
        <f>equip.xml!E647</f>
        <v>8</v>
      </c>
      <c r="F643" s="14">
        <f>equip.xml!F647</f>
        <v>2</v>
      </c>
      <c r="G643" s="14">
        <f>equip.xml!G647</f>
        <v>40</v>
      </c>
      <c r="H643" s="14">
        <f>equip.xml!H647</f>
        <v>0</v>
      </c>
      <c r="I643" s="14">
        <f>equip.xml!J647</f>
        <v>10</v>
      </c>
      <c r="J643" s="14">
        <f>equip.xml!K647</f>
        <v>0</v>
      </c>
      <c r="K643" s="14">
        <f>equip.xml!L647</f>
        <v>0</v>
      </c>
      <c r="L643" s="14" t="str">
        <f>equip.xml!M647</f>
        <v>110_108_108</v>
      </c>
      <c r="M643" s="17" t="str">
        <f>equip.xml!Q647</f>
        <v>equipment/8007.png</v>
      </c>
      <c r="N643" s="16" t="str">
        <f>equip.xml!P647</f>
        <v>10000_1002_40000,30000_30001_1,30000_30002_1,30000_30003_1</v>
      </c>
      <c r="O643">
        <f>equip.xml!R647</f>
        <v>0</v>
      </c>
    </row>
    <row r="644" spans="1:15">
      <c r="A644" s="14" t="str">
        <f>equip.xml!A648</f>
        <v>20400090</v>
      </c>
      <c r="B644" s="14">
        <f>equip.xml!B648</f>
        <v>1</v>
      </c>
      <c r="C644" s="14" t="str">
        <f>equip.xml!C648</f>
        <v>重拳手套</v>
      </c>
      <c r="D644" s="14" t="str">
        <f>equip.xml!D648</f>
        <v>手套</v>
      </c>
      <c r="E644" s="14">
        <f>equip.xml!E648</f>
        <v>9</v>
      </c>
      <c r="F644" s="14">
        <f>equip.xml!F648</f>
        <v>2</v>
      </c>
      <c r="G644" s="14">
        <f>equip.xml!G648</f>
        <v>40</v>
      </c>
      <c r="H644" s="14">
        <f>equip.xml!H648</f>
        <v>0</v>
      </c>
      <c r="I644" s="14">
        <f>equip.xml!J648</f>
        <v>10</v>
      </c>
      <c r="J644" s="14">
        <f>equip.xml!K648</f>
        <v>0</v>
      </c>
      <c r="K644" s="14">
        <f>equip.xml!L648</f>
        <v>0</v>
      </c>
      <c r="L644" s="14" t="str">
        <f>equip.xml!M648</f>
        <v>108_880_880</v>
      </c>
      <c r="M644" s="17" t="str">
        <f>equip.xml!Q648</f>
        <v>equipment/10007.png</v>
      </c>
      <c r="N644" s="16" t="str">
        <f>equip.xml!P648</f>
        <v>10000_1002_40000,30000_30001_1,30000_30002_1,30000_30003_1</v>
      </c>
      <c r="O644">
        <f>equip.xml!R648</f>
        <v>0</v>
      </c>
    </row>
    <row r="645" spans="1:15">
      <c r="A645" s="14" t="str">
        <f>equip.xml!A649</f>
        <v>20400100</v>
      </c>
      <c r="B645" s="14">
        <f>equip.xml!B649</f>
        <v>1</v>
      </c>
      <c r="C645" s="14" t="str">
        <f>equip.xml!C649</f>
        <v>迅捷项链</v>
      </c>
      <c r="D645" s="14" t="str">
        <f>equip.xml!D649</f>
        <v>项链</v>
      </c>
      <c r="E645" s="14">
        <f>equip.xml!E649</f>
        <v>10</v>
      </c>
      <c r="F645" s="14">
        <f>equip.xml!F649</f>
        <v>2</v>
      </c>
      <c r="G645" s="14">
        <f>equip.xml!G649</f>
        <v>40</v>
      </c>
      <c r="H645" s="14">
        <f>equip.xml!H649</f>
        <v>0</v>
      </c>
      <c r="I645" s="14">
        <f>equip.xml!J649</f>
        <v>10</v>
      </c>
      <c r="J645" s="14">
        <f>equip.xml!K649</f>
        <v>0</v>
      </c>
      <c r="K645" s="14">
        <f>equip.xml!L649</f>
        <v>0</v>
      </c>
      <c r="L645" s="14" t="str">
        <f>equip.xml!M649</f>
        <v>107_542_542</v>
      </c>
      <c r="M645" s="17" t="str">
        <f>equip.xml!Q649</f>
        <v>equipment/12012.png</v>
      </c>
      <c r="N645" s="16" t="str">
        <f>equip.xml!P649</f>
        <v>10000_1002_40000,30000_30001_1,30000_30002_1,30000_30003_1</v>
      </c>
      <c r="O645">
        <f>equip.xml!R649</f>
        <v>0</v>
      </c>
    </row>
    <row r="646" spans="1:15">
      <c r="A646" s="14" t="str">
        <f>equip.xml!A650</f>
        <v>20401050</v>
      </c>
      <c r="B646" s="14">
        <f>equip.xml!B650</f>
        <v>1</v>
      </c>
      <c r="C646" s="14" t="str">
        <f>equip.xml!C650</f>
        <v>魔铁巨剑</v>
      </c>
      <c r="D646" s="14" t="str">
        <f>equip.xml!D650</f>
        <v>主手武器</v>
      </c>
      <c r="E646" s="14">
        <f>equip.xml!E650</f>
        <v>5</v>
      </c>
      <c r="F646" s="14">
        <f>equip.xml!F650</f>
        <v>2</v>
      </c>
      <c r="G646" s="14">
        <f>equip.xml!G650</f>
        <v>40</v>
      </c>
      <c r="H646" s="14" t="str">
        <f>equip.xml!H650</f>
        <v>1,1001</v>
      </c>
      <c r="I646" s="14">
        <f>equip.xml!J650</f>
        <v>10</v>
      </c>
      <c r="J646" s="14">
        <f>equip.xml!K650</f>
        <v>0</v>
      </c>
      <c r="K646" s="14">
        <f>equip.xml!L650</f>
        <v>0</v>
      </c>
      <c r="L646" s="14" t="str">
        <f>equip.xml!M650</f>
        <v>103_670_670,104_1340_1340</v>
      </c>
      <c r="M646" s="17" t="str">
        <f>equip.xml!Q650</f>
        <v>equipment/1115.png</v>
      </c>
      <c r="N646" s="16" t="str">
        <f>equip.xml!P650</f>
        <v>10000_1002_40000,30000_30001_1,30000_30002_1,30000_30003_1</v>
      </c>
      <c r="O646">
        <f>equip.xml!R650</f>
        <v>0</v>
      </c>
    </row>
    <row r="647" spans="1:15">
      <c r="A647" s="14" t="str">
        <f>equip.xml!A651</f>
        <v>20401051</v>
      </c>
      <c r="B647" s="14">
        <f>equip.xml!B651</f>
        <v>1</v>
      </c>
      <c r="C647" s="14" t="str">
        <f>equip.xml!C651</f>
        <v>破咒之刃</v>
      </c>
      <c r="D647" s="14" t="str">
        <f>equip.xml!D651</f>
        <v>主手武器</v>
      </c>
      <c r="E647" s="14">
        <f>equip.xml!E651</f>
        <v>5</v>
      </c>
      <c r="F647" s="14">
        <f>equip.xml!F651</f>
        <v>2</v>
      </c>
      <c r="G647" s="14">
        <f>equip.xml!G651</f>
        <v>40</v>
      </c>
      <c r="H647" s="14" t="str">
        <f>equip.xml!H651</f>
        <v>1,1001</v>
      </c>
      <c r="I647" s="14">
        <f>equip.xml!J651</f>
        <v>10</v>
      </c>
      <c r="J647" s="14">
        <f>equip.xml!K651</f>
        <v>0</v>
      </c>
      <c r="K647" s="14">
        <f>equip.xml!L651</f>
        <v>0</v>
      </c>
      <c r="L647" s="14" t="str">
        <f>equip.xml!M651</f>
        <v>103_743_743,104_1486_1486</v>
      </c>
      <c r="M647" s="17" t="str">
        <f>equip.xml!Q651</f>
        <v>equipment/1116.png</v>
      </c>
      <c r="N647" s="16" t="str">
        <f>equip.xml!P651</f>
        <v>10000_1002_40000,30000_30001_1,30000_30002_1,30000_30003_1</v>
      </c>
      <c r="O647">
        <f>equip.xml!R651</f>
        <v>0</v>
      </c>
    </row>
    <row r="648" spans="1:15">
      <c r="A648" s="14" t="str">
        <f>equip.xml!A652</f>
        <v>20401060</v>
      </c>
      <c r="B648" s="14">
        <f>equip.xml!B652</f>
        <v>1</v>
      </c>
      <c r="C648" s="14" t="str">
        <f>equip.xml!C652</f>
        <v>洛阿巨盾</v>
      </c>
      <c r="D648" s="14" t="str">
        <f>equip.xml!D652</f>
        <v>副手武器</v>
      </c>
      <c r="E648" s="14">
        <f>equip.xml!E652</f>
        <v>6</v>
      </c>
      <c r="F648" s="14">
        <f>equip.xml!F652</f>
        <v>2</v>
      </c>
      <c r="G648" s="14">
        <f>equip.xml!G652</f>
        <v>40</v>
      </c>
      <c r="H648" s="14" t="str">
        <f>equip.xml!H652</f>
        <v>1,1001</v>
      </c>
      <c r="I648" s="14">
        <f>equip.xml!J652</f>
        <v>10</v>
      </c>
      <c r="J648" s="14">
        <f>equip.xml!K652</f>
        <v>0</v>
      </c>
      <c r="K648" s="14">
        <f>equip.xml!L652</f>
        <v>0</v>
      </c>
      <c r="L648" s="14" t="str">
        <f>equip.xml!M652</f>
        <v>105_880_880</v>
      </c>
      <c r="M648" s="17" t="str">
        <f>equip.xml!Q652</f>
        <v>equipment/2109.png</v>
      </c>
      <c r="N648" s="16" t="str">
        <f>equip.xml!P652</f>
        <v>10000_1002_40000,30000_30001_1,30000_30002_1,30000_30003_1</v>
      </c>
      <c r="O648">
        <f>equip.xml!R652</f>
        <v>0</v>
      </c>
    </row>
    <row r="649" spans="1:15">
      <c r="A649" s="14" t="str">
        <f>equip.xml!A653</f>
        <v>20401061</v>
      </c>
      <c r="B649" s="14">
        <f>equip.xml!B653</f>
        <v>0</v>
      </c>
      <c r="C649" s="14" t="str">
        <f>equip.xml!C653</f>
        <v>尖头盾</v>
      </c>
      <c r="D649" s="14" t="str">
        <f>equip.xml!D653</f>
        <v>副手武器</v>
      </c>
      <c r="E649" s="14">
        <f>equip.xml!E653</f>
        <v>6</v>
      </c>
      <c r="F649" s="14">
        <f>equip.xml!F653</f>
        <v>2</v>
      </c>
      <c r="G649" s="14">
        <f>equip.xml!G653</f>
        <v>40</v>
      </c>
      <c r="H649" s="14" t="str">
        <f>equip.xml!H653</f>
        <v>1,1001</v>
      </c>
      <c r="I649" s="14">
        <f>equip.xml!J653</f>
        <v>10</v>
      </c>
      <c r="J649" s="14">
        <f>equip.xml!K653</f>
        <v>0</v>
      </c>
      <c r="K649" s="14">
        <f>equip.xml!L653</f>
        <v>0</v>
      </c>
      <c r="L649" s="14" t="str">
        <f>equip.xml!M653</f>
        <v>105_1029_1029</v>
      </c>
      <c r="M649" s="17" t="str">
        <f>equip.xml!Q653</f>
        <v>equipment/2101.png</v>
      </c>
      <c r="N649" s="16" t="str">
        <f>equip.xml!P653</f>
        <v>10000_1002_40000,30000_30001_1,30000_30002_1,30000_30003_1</v>
      </c>
      <c r="O649">
        <f>equip.xml!R653</f>
        <v>0</v>
      </c>
    </row>
    <row r="650" spans="1:15">
      <c r="A650" s="14" t="str">
        <f>equip.xml!A654</f>
        <v>20402050</v>
      </c>
      <c r="B650" s="14">
        <f>equip.xml!B654</f>
        <v>1</v>
      </c>
      <c r="C650" s="14" t="str">
        <f>equip.xml!C654</f>
        <v>强击之弓</v>
      </c>
      <c r="D650" s="14" t="str">
        <f>equip.xml!D654</f>
        <v>主手武器</v>
      </c>
      <c r="E650" s="14">
        <f>equip.xml!E654</f>
        <v>5</v>
      </c>
      <c r="F650" s="14">
        <f>equip.xml!F654</f>
        <v>2</v>
      </c>
      <c r="G650" s="14">
        <f>equip.xml!G654</f>
        <v>40</v>
      </c>
      <c r="H650" s="14" t="str">
        <f>equip.xml!H654</f>
        <v>2,1002</v>
      </c>
      <c r="I650" s="14">
        <f>equip.xml!J654</f>
        <v>10</v>
      </c>
      <c r="J650" s="14">
        <f>equip.xml!K654</f>
        <v>0</v>
      </c>
      <c r="K650" s="14">
        <f>equip.xml!L654</f>
        <v>0</v>
      </c>
      <c r="L650" s="14" t="str">
        <f>equip.xml!M654</f>
        <v>103_670_670,104_1340_1340</v>
      </c>
      <c r="M650" s="17" t="str">
        <f>equip.xml!Q654</f>
        <v>equipment/1216.png</v>
      </c>
      <c r="N650" s="16" t="str">
        <f>equip.xml!P654</f>
        <v>10000_1002_40000,30000_30001_1,30000_30002_1,30000_30003_1</v>
      </c>
      <c r="O650">
        <f>equip.xml!R654</f>
        <v>0</v>
      </c>
    </row>
    <row r="651" spans="1:15">
      <c r="A651" s="14" t="str">
        <f>equip.xml!A655</f>
        <v>20402051</v>
      </c>
      <c r="B651" s="14">
        <f>equip.xml!B655</f>
        <v>1</v>
      </c>
      <c r="C651" s="14" t="str">
        <f>equip.xml!C655</f>
        <v>羽月长弓</v>
      </c>
      <c r="D651" s="14" t="str">
        <f>equip.xml!D655</f>
        <v>主手武器</v>
      </c>
      <c r="E651" s="14">
        <f>equip.xml!E655</f>
        <v>5</v>
      </c>
      <c r="F651" s="14">
        <f>equip.xml!F655</f>
        <v>2</v>
      </c>
      <c r="G651" s="14">
        <f>equip.xml!G655</f>
        <v>40</v>
      </c>
      <c r="H651" s="14" t="str">
        <f>equip.xml!H655</f>
        <v>2,1002</v>
      </c>
      <c r="I651" s="14">
        <f>equip.xml!J655</f>
        <v>10</v>
      </c>
      <c r="J651" s="14">
        <f>equip.xml!K655</f>
        <v>0</v>
      </c>
      <c r="K651" s="14">
        <f>equip.xml!L655</f>
        <v>0</v>
      </c>
      <c r="L651" s="14" t="str">
        <f>equip.xml!M655</f>
        <v>103_743_743,104_1486_1486</v>
      </c>
      <c r="M651" s="17" t="str">
        <f>equip.xml!Q655</f>
        <v>equipment/1214.png</v>
      </c>
      <c r="N651" s="16" t="str">
        <f>equip.xml!P655</f>
        <v>10000_1002_40000,30000_30001_1,30000_30002_1,30000_30003_1</v>
      </c>
      <c r="O651">
        <f>equip.xml!R655</f>
        <v>0</v>
      </c>
    </row>
    <row r="652" spans="1:15">
      <c r="A652" s="14" t="str">
        <f>equip.xml!A656</f>
        <v>20402060</v>
      </c>
      <c r="B652" s="14">
        <f>equip.xml!B656</f>
        <v>1</v>
      </c>
      <c r="C652" s="14" t="str">
        <f>equip.xml!C656</f>
        <v>风怒箭筒</v>
      </c>
      <c r="D652" s="14" t="str">
        <f>equip.xml!D656</f>
        <v>副手武器</v>
      </c>
      <c r="E652" s="14">
        <f>equip.xml!E656</f>
        <v>6</v>
      </c>
      <c r="F652" s="14">
        <f>equip.xml!F656</f>
        <v>2</v>
      </c>
      <c r="G652" s="14">
        <f>equip.xml!G656</f>
        <v>40</v>
      </c>
      <c r="H652" s="14" t="str">
        <f>equip.xml!H656</f>
        <v>2,1002</v>
      </c>
      <c r="I652" s="14">
        <f>equip.xml!J656</f>
        <v>10</v>
      </c>
      <c r="J652" s="14">
        <f>equip.xml!K656</f>
        <v>0</v>
      </c>
      <c r="K652" s="14">
        <f>equip.xml!L656</f>
        <v>0</v>
      </c>
      <c r="L652" s="14" t="str">
        <f>equip.xml!M656</f>
        <v>108_880_880</v>
      </c>
      <c r="M652" s="17" t="str">
        <f>equip.xml!Q656</f>
        <v>equipment/2209.png</v>
      </c>
      <c r="N652" s="16" t="str">
        <f>equip.xml!P656</f>
        <v>10000_1002_40000,30000_30001_1,30000_30002_1,30000_30003_1</v>
      </c>
      <c r="O652">
        <f>equip.xml!R656</f>
        <v>0</v>
      </c>
    </row>
    <row r="653" spans="1:15">
      <c r="A653" s="14" t="str">
        <f>equip.xml!A657</f>
        <v>20402061</v>
      </c>
      <c r="B653" s="14">
        <f>equip.xml!B657</f>
        <v>0</v>
      </c>
      <c r="C653" s="14" t="str">
        <f>equip.xml!C657</f>
        <v>箭筒</v>
      </c>
      <c r="D653" s="14" t="str">
        <f>equip.xml!D657</f>
        <v>副手武器</v>
      </c>
      <c r="E653" s="14">
        <f>equip.xml!E657</f>
        <v>6</v>
      </c>
      <c r="F653" s="14">
        <f>equip.xml!F657</f>
        <v>2</v>
      </c>
      <c r="G653" s="14">
        <f>equip.xml!G657</f>
        <v>40</v>
      </c>
      <c r="H653" s="14" t="str">
        <f>equip.xml!H657</f>
        <v>2,1002</v>
      </c>
      <c r="I653" s="14">
        <f>equip.xml!J657</f>
        <v>10</v>
      </c>
      <c r="J653" s="14">
        <f>equip.xml!K657</f>
        <v>0</v>
      </c>
      <c r="K653" s="14">
        <f>equip.xml!L657</f>
        <v>0</v>
      </c>
      <c r="L653" s="14" t="str">
        <f>equip.xml!M657</f>
        <v>108_1029_1029</v>
      </c>
      <c r="M653" s="17" t="str">
        <f>equip.xml!Q657</f>
        <v>equipment/2201.png</v>
      </c>
      <c r="N653" s="16" t="str">
        <f>equip.xml!P657</f>
        <v>10000_1002_40000,30000_30001_1,30000_30002_1,30000_30003_1</v>
      </c>
      <c r="O653">
        <f>equip.xml!R657</f>
        <v>0</v>
      </c>
    </row>
    <row r="654" spans="1:15">
      <c r="A654" s="14" t="str">
        <f>equip.xml!A658</f>
        <v>20403050</v>
      </c>
      <c r="B654" s="14">
        <f>equip.xml!B658</f>
        <v>1</v>
      </c>
      <c r="C654" s="14" t="str">
        <f>equip.xml!C658</f>
        <v>符文魔杖</v>
      </c>
      <c r="D654" s="14" t="str">
        <f>equip.xml!D658</f>
        <v>主手武器</v>
      </c>
      <c r="E654" s="14">
        <f>equip.xml!E658</f>
        <v>5</v>
      </c>
      <c r="F654" s="14">
        <f>equip.xml!F658</f>
        <v>2</v>
      </c>
      <c r="G654" s="14">
        <f>equip.xml!G658</f>
        <v>40</v>
      </c>
      <c r="H654" s="14" t="str">
        <f>equip.xml!H658</f>
        <v>3,1003</v>
      </c>
      <c r="I654" s="14">
        <f>equip.xml!J658</f>
        <v>10</v>
      </c>
      <c r="J654" s="14">
        <f>equip.xml!K658</f>
        <v>0</v>
      </c>
      <c r="K654" s="14">
        <f>equip.xml!L658</f>
        <v>0</v>
      </c>
      <c r="L654" s="14" t="str">
        <f>equip.xml!M658</f>
        <v>103_670_670,104_1340_1340</v>
      </c>
      <c r="M654" s="17" t="str">
        <f>equip.xml!Q658</f>
        <v>equipment/1317.png</v>
      </c>
      <c r="N654" s="16" t="str">
        <f>equip.xml!P658</f>
        <v>10000_1002_40000,30000_30001_1,30000_30002_1,30000_30003_1</v>
      </c>
      <c r="O654">
        <f>equip.xml!R658</f>
        <v>0</v>
      </c>
    </row>
    <row r="655" spans="1:15">
      <c r="A655" s="14" t="str">
        <f>equip.xml!A659</f>
        <v>20403051</v>
      </c>
      <c r="B655" s="14">
        <f>equip.xml!B659</f>
        <v>1</v>
      </c>
      <c r="C655" s="14" t="str">
        <f>equip.xml!C659</f>
        <v>真理之杖</v>
      </c>
      <c r="D655" s="14" t="str">
        <f>equip.xml!D659</f>
        <v>主手武器</v>
      </c>
      <c r="E655" s="14">
        <f>equip.xml!E659</f>
        <v>5</v>
      </c>
      <c r="F655" s="14">
        <f>equip.xml!F659</f>
        <v>2</v>
      </c>
      <c r="G655" s="14">
        <f>equip.xml!G659</f>
        <v>40</v>
      </c>
      <c r="H655" s="14" t="str">
        <f>equip.xml!H659</f>
        <v>3,1003</v>
      </c>
      <c r="I655" s="14">
        <f>equip.xml!J659</f>
        <v>10</v>
      </c>
      <c r="J655" s="14">
        <f>equip.xml!K659</f>
        <v>0</v>
      </c>
      <c r="K655" s="14">
        <f>equip.xml!L659</f>
        <v>0</v>
      </c>
      <c r="L655" s="14" t="str">
        <f>equip.xml!M659</f>
        <v>103_743_743,104_1486_1486</v>
      </c>
      <c r="M655" s="17" t="str">
        <f>equip.xml!Q659</f>
        <v>equipment/1315.png</v>
      </c>
      <c r="N655" s="16" t="str">
        <f>equip.xml!P659</f>
        <v>10000_1002_40000,30000_30001_1,30000_30002_1,30000_30003_1</v>
      </c>
      <c r="O655">
        <f>equip.xml!R659</f>
        <v>0</v>
      </c>
    </row>
    <row r="656" spans="1:15">
      <c r="A656" s="14" t="str">
        <f>equip.xml!A660</f>
        <v>20403060</v>
      </c>
      <c r="B656" s="14">
        <f>equip.xml!B660</f>
        <v>1</v>
      </c>
      <c r="C656" s="14" t="str">
        <f>equip.xml!C660</f>
        <v>附魔秘典</v>
      </c>
      <c r="D656" s="14" t="str">
        <f>equip.xml!D660</f>
        <v>副手武器</v>
      </c>
      <c r="E656" s="14">
        <f>equip.xml!E660</f>
        <v>6</v>
      </c>
      <c r="F656" s="14">
        <f>equip.xml!F660</f>
        <v>2</v>
      </c>
      <c r="G656" s="14">
        <f>equip.xml!G660</f>
        <v>40</v>
      </c>
      <c r="H656" s="14" t="str">
        <f>equip.xml!H660</f>
        <v>3,1003</v>
      </c>
      <c r="I656" s="14">
        <f>equip.xml!J660</f>
        <v>10</v>
      </c>
      <c r="J656" s="14">
        <f>equip.xml!K660</f>
        <v>0</v>
      </c>
      <c r="K656" s="14">
        <f>equip.xml!L660</f>
        <v>0</v>
      </c>
      <c r="L656" s="14" t="str">
        <f>equip.xml!M660</f>
        <v>102_1240_1240</v>
      </c>
      <c r="M656" s="17" t="str">
        <f>equip.xml!Q660</f>
        <v>equipment/2309.png</v>
      </c>
      <c r="N656" s="16" t="str">
        <f>equip.xml!P660</f>
        <v>10000_1002_40000,30000_30001_1,30000_30002_1,30000_30003_1</v>
      </c>
      <c r="O656">
        <f>equip.xml!R660</f>
        <v>0</v>
      </c>
    </row>
    <row r="657" spans="1:15">
      <c r="A657" s="14" t="str">
        <f>equip.xml!A661</f>
        <v>20403061</v>
      </c>
      <c r="B657" s="14">
        <f>equip.xml!B661</f>
        <v>0</v>
      </c>
      <c r="C657" s="14" t="str">
        <f>equip.xml!C661</f>
        <v>法术指南</v>
      </c>
      <c r="D657" s="14" t="str">
        <f>equip.xml!D661</f>
        <v>副手武器</v>
      </c>
      <c r="E657" s="14">
        <f>equip.xml!E661</f>
        <v>6</v>
      </c>
      <c r="F657" s="14">
        <f>equip.xml!F661</f>
        <v>2</v>
      </c>
      <c r="G657" s="14">
        <f>equip.xml!G661</f>
        <v>40</v>
      </c>
      <c r="H657" s="14" t="str">
        <f>equip.xml!H661</f>
        <v>3,1003</v>
      </c>
      <c r="I657" s="14">
        <f>equip.xml!J661</f>
        <v>10</v>
      </c>
      <c r="J657" s="14">
        <f>equip.xml!K661</f>
        <v>0</v>
      </c>
      <c r="K657" s="14">
        <f>equip.xml!L661</f>
        <v>0</v>
      </c>
      <c r="L657" s="14" t="str">
        <f>equip.xml!M661</f>
        <v>102_1029_1029</v>
      </c>
      <c r="M657" s="17" t="str">
        <f>equip.xml!Q661</f>
        <v>equipment/2301.png</v>
      </c>
      <c r="N657" s="16" t="str">
        <f>equip.xml!P661</f>
        <v>10000_1002_40000,30000_30001_1,30000_30002_1,30000_30003_1</v>
      </c>
      <c r="O657">
        <f>equip.xml!R661</f>
        <v>0</v>
      </c>
    </row>
    <row r="658" spans="1:15">
      <c r="A658" s="14" t="str">
        <f>equip.xml!A662</f>
        <v>20400040</v>
      </c>
      <c r="B658" s="14">
        <f>equip.xml!B662</f>
        <v>1</v>
      </c>
      <c r="C658" s="14" t="str">
        <f>equip.xml!C662</f>
        <v>瑟银护甲</v>
      </c>
      <c r="D658" s="14" t="str">
        <f>equip.xml!D662</f>
        <v>胸甲</v>
      </c>
      <c r="E658" s="14">
        <f>equip.xml!E662</f>
        <v>4</v>
      </c>
      <c r="F658" s="14">
        <f>equip.xml!F662</f>
        <v>2</v>
      </c>
      <c r="G658" s="14">
        <f>equip.xml!G662</f>
        <v>40</v>
      </c>
      <c r="H658" s="14">
        <f>equip.xml!H662</f>
        <v>0</v>
      </c>
      <c r="I658" s="14">
        <f>equip.xml!J662</f>
        <v>10</v>
      </c>
      <c r="J658" s="14">
        <f>equip.xml!K662</f>
        <v>0</v>
      </c>
      <c r="K658" s="14">
        <f>equip.xml!L662</f>
        <v>0</v>
      </c>
      <c r="L658" s="14" t="str">
        <f>equip.xml!M662</f>
        <v>105_497_497</v>
      </c>
      <c r="M658" s="17" t="str">
        <f>equip.xml!Q662</f>
        <v>equipment/5012.png</v>
      </c>
      <c r="N658" s="16" t="str">
        <f>equip.xml!P662</f>
        <v>10000_1002_40000,30000_30001_1,30000_30002_1,30000_30003_1</v>
      </c>
      <c r="O658">
        <f>equip.xml!R662</f>
        <v>0</v>
      </c>
    </row>
    <row r="659" spans="1:15">
      <c r="A659" s="14" t="str">
        <f>equip.xml!A663</f>
        <v>20400041</v>
      </c>
      <c r="B659" s="14">
        <f>equip.xml!B663</f>
        <v>0</v>
      </c>
      <c r="C659" s="14" t="str">
        <f>equip.xml!C663</f>
        <v>新兵外套</v>
      </c>
      <c r="D659" s="14" t="str">
        <f>equip.xml!D663</f>
        <v>胸甲</v>
      </c>
      <c r="E659" s="14">
        <f>equip.xml!E663</f>
        <v>4</v>
      </c>
      <c r="F659" s="14">
        <f>equip.xml!F663</f>
        <v>2</v>
      </c>
      <c r="G659" s="14">
        <f>equip.xml!G663</f>
        <v>40</v>
      </c>
      <c r="H659" s="14">
        <f>equip.xml!H663</f>
        <v>0</v>
      </c>
      <c r="I659" s="14">
        <f>equip.xml!J663</f>
        <v>10</v>
      </c>
      <c r="J659" s="14">
        <f>equip.xml!K663</f>
        <v>0</v>
      </c>
      <c r="K659" s="14">
        <f>equip.xml!L663</f>
        <v>0</v>
      </c>
      <c r="L659" s="14" t="str">
        <f>equip.xml!M663</f>
        <v>105_549_549</v>
      </c>
      <c r="M659" s="17" t="str">
        <f>equip.xml!Q663</f>
        <v>equipment/5001.png</v>
      </c>
      <c r="N659" s="16" t="str">
        <f>equip.xml!P663</f>
        <v>10000_1002_40000,30000_30001_1,30000_30002_1,30000_30003_1</v>
      </c>
      <c r="O659">
        <f>equip.xml!R663</f>
        <v>0</v>
      </c>
    </row>
    <row r="660" spans="1:15">
      <c r="A660" s="14" t="str">
        <f>equip.xml!A664</f>
        <v>20400070</v>
      </c>
      <c r="B660" s="14">
        <f>equip.xml!B664</f>
        <v>1</v>
      </c>
      <c r="C660" s="14" t="str">
        <f>equip.xml!C664</f>
        <v>巨熊护腿</v>
      </c>
      <c r="D660" s="14" t="str">
        <f>equip.xml!D664</f>
        <v>护腿</v>
      </c>
      <c r="E660" s="14">
        <f>equip.xml!E664</f>
        <v>7</v>
      </c>
      <c r="F660" s="14">
        <f>equip.xml!F664</f>
        <v>2</v>
      </c>
      <c r="G660" s="14">
        <f>equip.xml!G664</f>
        <v>40</v>
      </c>
      <c r="H660" s="14">
        <f>equip.xml!H664</f>
        <v>0</v>
      </c>
      <c r="I660" s="14">
        <f>equip.xml!J664</f>
        <v>10</v>
      </c>
      <c r="J660" s="14">
        <f>equip.xml!K664</f>
        <v>0</v>
      </c>
      <c r="K660" s="14">
        <f>equip.xml!L664</f>
        <v>0</v>
      </c>
      <c r="L660" s="14" t="str">
        <f>equip.xml!M664</f>
        <v>105_387_387</v>
      </c>
      <c r="M660" s="17" t="str">
        <f>equip.xml!Q664</f>
        <v>equipment/7009.png</v>
      </c>
      <c r="N660" s="16" t="str">
        <f>equip.xml!P664</f>
        <v>10000_1002_40000,30000_30001_1,30000_30002_1,30000_30003_1</v>
      </c>
      <c r="O660">
        <f>equip.xml!R664</f>
        <v>0</v>
      </c>
    </row>
    <row r="661" spans="1:15">
      <c r="A661" s="14" t="str">
        <f>equip.xml!A665</f>
        <v>20400071</v>
      </c>
      <c r="B661" s="14">
        <f>equip.xml!B665</f>
        <v>0</v>
      </c>
      <c r="C661" s="14" t="str">
        <f>equip.xml!C665</f>
        <v>学徒短裤</v>
      </c>
      <c r="D661" s="14" t="str">
        <f>equip.xml!D665</f>
        <v>护腿</v>
      </c>
      <c r="E661" s="14">
        <f>equip.xml!E665</f>
        <v>7</v>
      </c>
      <c r="F661" s="14">
        <f>equip.xml!F665</f>
        <v>2</v>
      </c>
      <c r="G661" s="14">
        <f>equip.xml!G665</f>
        <v>40</v>
      </c>
      <c r="H661" s="14">
        <f>equip.xml!H665</f>
        <v>0</v>
      </c>
      <c r="I661" s="14">
        <f>equip.xml!J665</f>
        <v>10</v>
      </c>
      <c r="J661" s="14">
        <f>equip.xml!K665</f>
        <v>0</v>
      </c>
      <c r="K661" s="14">
        <f>equip.xml!L665</f>
        <v>0</v>
      </c>
      <c r="L661" s="14" t="str">
        <f>equip.xml!M665</f>
        <v>105_431_431</v>
      </c>
      <c r="M661" s="17" t="str">
        <f>equip.xml!Q665</f>
        <v>equipment/7001.png</v>
      </c>
      <c r="N661" s="16" t="str">
        <f>equip.xml!P665</f>
        <v>10000_1002_40000,30000_30001_1,30000_30002_1,30000_30003_1</v>
      </c>
      <c r="O661">
        <f>equip.xml!R665</f>
        <v>0</v>
      </c>
    </row>
    <row r="662" spans="1:15">
      <c r="A662" s="14" t="str">
        <f>equip.xml!A666</f>
        <v>20450010</v>
      </c>
      <c r="B662" s="14">
        <f>equip.xml!B666</f>
        <v>1</v>
      </c>
      <c r="C662" s="14" t="str">
        <f>equip.xml!C666</f>
        <v>战争头盔</v>
      </c>
      <c r="D662" s="14" t="str">
        <f>equip.xml!D666</f>
        <v>头盔</v>
      </c>
      <c r="E662" s="14">
        <f>equip.xml!E666</f>
        <v>1</v>
      </c>
      <c r="F662" s="14">
        <f>equip.xml!F666</f>
        <v>2</v>
      </c>
      <c r="G662" s="14">
        <f>equip.xml!G666</f>
        <v>45</v>
      </c>
      <c r="H662" s="14">
        <f>equip.xml!H666</f>
        <v>0</v>
      </c>
      <c r="I662" s="14">
        <f>equip.xml!J666</f>
        <v>10</v>
      </c>
      <c r="J662" s="14">
        <f>equip.xml!K666</f>
        <v>0</v>
      </c>
      <c r="K662" s="14">
        <f>equip.xml!L666</f>
        <v>0</v>
      </c>
      <c r="L662" s="14" t="str">
        <f>equip.xml!M666</f>
        <v>106_751_751</v>
      </c>
      <c r="M662" s="17" t="str">
        <f>equip.xml!Q666</f>
        <v>equipment/3003.png</v>
      </c>
      <c r="N662" s="16" t="str">
        <f>equip.xml!P666</f>
        <v>10000_1002_45000,30000_30001_1,30000_30002_1,30000_30003_1</v>
      </c>
      <c r="O662">
        <f>equip.xml!R666</f>
        <v>0</v>
      </c>
    </row>
    <row r="663" spans="1:15">
      <c r="A663" s="14" t="str">
        <f>equip.xml!A667</f>
        <v>20450020</v>
      </c>
      <c r="B663" s="14">
        <f>equip.xml!B667</f>
        <v>1</v>
      </c>
      <c r="C663" s="14" t="str">
        <f>equip.xml!C667</f>
        <v>洞察指环</v>
      </c>
      <c r="D663" s="14" t="str">
        <f>equip.xml!D667</f>
        <v>戒指</v>
      </c>
      <c r="E663" s="14">
        <f>equip.xml!E667</f>
        <v>2</v>
      </c>
      <c r="F663" s="14">
        <f>equip.xml!F667</f>
        <v>2</v>
      </c>
      <c r="G663" s="14">
        <f>equip.xml!G667</f>
        <v>45</v>
      </c>
      <c r="H663" s="14">
        <f>equip.xml!H667</f>
        <v>0</v>
      </c>
      <c r="I663" s="14">
        <f>equip.xml!J667</f>
        <v>10</v>
      </c>
      <c r="J663" s="14">
        <f>equip.xml!K667</f>
        <v>0</v>
      </c>
      <c r="K663" s="14">
        <f>equip.xml!L667</f>
        <v>0</v>
      </c>
      <c r="L663" s="14" t="str">
        <f>equip.xml!M667</f>
        <v>102_740_740</v>
      </c>
      <c r="M663" s="17" t="str">
        <f>equip.xml!Q667</f>
        <v>equipment/14001.png</v>
      </c>
      <c r="N663" s="16" t="str">
        <f>equip.xml!P667</f>
        <v>10000_1002_45000,30000_30001_1,30000_30002_1,30000_30003_1</v>
      </c>
      <c r="O663">
        <f>equip.xml!R667</f>
        <v>0</v>
      </c>
    </row>
    <row r="664" spans="1:15">
      <c r="A664" s="14" t="str">
        <f>equip.xml!A668</f>
        <v>20450030</v>
      </c>
      <c r="B664" s="14">
        <f>equip.xml!B668</f>
        <v>1</v>
      </c>
      <c r="C664" s="14" t="str">
        <f>equip.xml!C668</f>
        <v>督军腰带</v>
      </c>
      <c r="D664" s="14" t="str">
        <f>equip.xml!D668</f>
        <v>腰带</v>
      </c>
      <c r="E664" s="14">
        <f>equip.xml!E668</f>
        <v>3</v>
      </c>
      <c r="F664" s="14">
        <f>equip.xml!F668</f>
        <v>2</v>
      </c>
      <c r="G664" s="14">
        <f>equip.xml!G668</f>
        <v>45</v>
      </c>
      <c r="H664" s="14">
        <f>equip.xml!H668</f>
        <v>0</v>
      </c>
      <c r="I664" s="14">
        <f>equip.xml!J668</f>
        <v>10</v>
      </c>
      <c r="J664" s="14">
        <f>equip.xml!K668</f>
        <v>0</v>
      </c>
      <c r="K664" s="14">
        <f>equip.xml!L668</f>
        <v>0</v>
      </c>
      <c r="L664" s="14" t="str">
        <f>equip.xml!M668</f>
        <v>101_8840_8840</v>
      </c>
      <c r="M664" s="17" t="str">
        <f>equip.xml!Q668</f>
        <v>equipment/6008.png</v>
      </c>
      <c r="N664" s="16" t="str">
        <f>equip.xml!P668</f>
        <v>10000_1002_45000,30000_30001_1,30000_30002_1,30000_30003_1</v>
      </c>
      <c r="O664">
        <f>equip.xml!R668</f>
        <v>0</v>
      </c>
    </row>
    <row r="665" spans="1:15">
      <c r="A665" s="14" t="str">
        <f>equip.xml!A669</f>
        <v>20450080</v>
      </c>
      <c r="B665" s="14">
        <f>equip.xml!B669</f>
        <v>1</v>
      </c>
      <c r="C665" s="14" t="str">
        <f>equip.xml!C669</f>
        <v>浩劫长靴</v>
      </c>
      <c r="D665" s="14" t="str">
        <f>equip.xml!D669</f>
        <v>鞋子</v>
      </c>
      <c r="E665" s="14">
        <f>equip.xml!E669</f>
        <v>8</v>
      </c>
      <c r="F665" s="14">
        <f>equip.xml!F669</f>
        <v>2</v>
      </c>
      <c r="G665" s="14">
        <f>equip.xml!G669</f>
        <v>45</v>
      </c>
      <c r="H665" s="14">
        <f>equip.xml!H669</f>
        <v>0</v>
      </c>
      <c r="I665" s="14">
        <f>equip.xml!J669</f>
        <v>10</v>
      </c>
      <c r="J665" s="14">
        <f>equip.xml!K669</f>
        <v>0</v>
      </c>
      <c r="K665" s="14">
        <f>equip.xml!L669</f>
        <v>0</v>
      </c>
      <c r="L665" s="14" t="str">
        <f>equip.xml!M669</f>
        <v>110_137_137</v>
      </c>
      <c r="M665" s="17" t="str">
        <f>equip.xml!Q669</f>
        <v>equipment/8008.png</v>
      </c>
      <c r="N665" s="16" t="str">
        <f>equip.xml!P669</f>
        <v>10000_1002_45000,30000_30001_1,30000_30002_1,30000_30003_1</v>
      </c>
      <c r="O665">
        <f>equip.xml!R669</f>
        <v>0</v>
      </c>
    </row>
    <row r="666" spans="1:15">
      <c r="A666" s="14" t="str">
        <f>equip.xml!A670</f>
        <v>20450090</v>
      </c>
      <c r="B666" s="14">
        <f>equip.xml!B670</f>
        <v>1</v>
      </c>
      <c r="C666" s="14" t="str">
        <f>equip.xml!C670</f>
        <v>愤怒护手</v>
      </c>
      <c r="D666" s="14" t="str">
        <f>equip.xml!D670</f>
        <v>手套</v>
      </c>
      <c r="E666" s="14">
        <f>equip.xml!E670</f>
        <v>9</v>
      </c>
      <c r="F666" s="14">
        <f>equip.xml!F670</f>
        <v>2</v>
      </c>
      <c r="G666" s="14">
        <f>equip.xml!G670</f>
        <v>45</v>
      </c>
      <c r="H666" s="14">
        <f>equip.xml!H670</f>
        <v>0</v>
      </c>
      <c r="I666" s="14">
        <f>equip.xml!J670</f>
        <v>10</v>
      </c>
      <c r="J666" s="14">
        <f>equip.xml!K670</f>
        <v>0</v>
      </c>
      <c r="K666" s="14">
        <f>equip.xml!L670</f>
        <v>0</v>
      </c>
      <c r="L666" s="14" t="str">
        <f>equip.xml!M670</f>
        <v>108_1255_1255</v>
      </c>
      <c r="M666" s="17" t="str">
        <f>equip.xml!Q670</f>
        <v>equipment/10008.png</v>
      </c>
      <c r="N666" s="16" t="str">
        <f>equip.xml!P670</f>
        <v>10000_1002_45000,30000_30001_1,30000_30002_1,30000_30003_1</v>
      </c>
      <c r="O666">
        <f>equip.xml!R670</f>
        <v>0</v>
      </c>
    </row>
    <row r="667" spans="1:15">
      <c r="A667" s="14" t="str">
        <f>equip.xml!A671</f>
        <v>20450100</v>
      </c>
      <c r="B667" s="14">
        <f>equip.xml!B671</f>
        <v>1</v>
      </c>
      <c r="C667" s="14" t="str">
        <f>equip.xml!C671</f>
        <v>新月项链</v>
      </c>
      <c r="D667" s="14" t="str">
        <f>equip.xml!D671</f>
        <v>项链</v>
      </c>
      <c r="E667" s="14">
        <f>equip.xml!E671</f>
        <v>10</v>
      </c>
      <c r="F667" s="14">
        <f>equip.xml!F671</f>
        <v>2</v>
      </c>
      <c r="G667" s="14">
        <f>equip.xml!G671</f>
        <v>45</v>
      </c>
      <c r="H667" s="14">
        <f>equip.xml!H671</f>
        <v>0</v>
      </c>
      <c r="I667" s="14">
        <f>equip.xml!J671</f>
        <v>10</v>
      </c>
      <c r="J667" s="14">
        <f>equip.xml!K671</f>
        <v>0</v>
      </c>
      <c r="K667" s="14">
        <f>equip.xml!L671</f>
        <v>0</v>
      </c>
      <c r="L667" s="14" t="str">
        <f>equip.xml!M671</f>
        <v>107_751_751</v>
      </c>
      <c r="M667" s="17" t="str">
        <f>equip.xml!Q671</f>
        <v>equipment/12007.png</v>
      </c>
      <c r="N667" s="16" t="str">
        <f>equip.xml!P671</f>
        <v>10000_1002_45000,30000_30001_1,30000_30002_1,30000_30003_1</v>
      </c>
      <c r="O667">
        <f>equip.xml!R671</f>
        <v>0</v>
      </c>
    </row>
    <row r="668" spans="1:15">
      <c r="A668" s="14" t="str">
        <f>equip.xml!A672</f>
        <v>20451050</v>
      </c>
      <c r="B668" s="14">
        <f>equip.xml!B672</f>
        <v>1</v>
      </c>
      <c r="C668" s="14" t="str">
        <f>equip.xml!C672</f>
        <v>龙纹之刃</v>
      </c>
      <c r="D668" s="14" t="str">
        <f>equip.xml!D672</f>
        <v>主手武器</v>
      </c>
      <c r="E668" s="14">
        <f>equip.xml!E672</f>
        <v>5</v>
      </c>
      <c r="F668" s="14">
        <f>equip.xml!F672</f>
        <v>2</v>
      </c>
      <c r="G668" s="14">
        <f>equip.xml!G672</f>
        <v>45</v>
      </c>
      <c r="H668" s="14" t="str">
        <f>equip.xml!H672</f>
        <v>1,1001</v>
      </c>
      <c r="I668" s="14">
        <f>equip.xml!J672</f>
        <v>10</v>
      </c>
      <c r="J668" s="14">
        <f>equip.xml!K672</f>
        <v>0</v>
      </c>
      <c r="K668" s="14">
        <f>equip.xml!L672</f>
        <v>0</v>
      </c>
      <c r="L668" s="14" t="str">
        <f>equip.xml!M672</f>
        <v>103_854_854,104_1708_1708</v>
      </c>
      <c r="M668" s="17" t="str">
        <f>equip.xml!Q672</f>
        <v>equipment/1117.png</v>
      </c>
      <c r="N668" s="16" t="str">
        <f>equip.xml!P672</f>
        <v>10000_1002_45000,30000_30001_1,30000_30002_1,30000_30003_1</v>
      </c>
      <c r="O668">
        <f>equip.xml!R672</f>
        <v>0</v>
      </c>
    </row>
    <row r="669" spans="1:15">
      <c r="A669" s="14" t="str">
        <f>equip.xml!A673</f>
        <v>20451051</v>
      </c>
      <c r="B669" s="14">
        <f>equip.xml!B673</f>
        <v>0</v>
      </c>
      <c r="C669" s="14" t="str">
        <f>equip.xml!C673</f>
        <v>军刀</v>
      </c>
      <c r="D669" s="14" t="str">
        <f>equip.xml!D673</f>
        <v>主手武器</v>
      </c>
      <c r="E669" s="14">
        <f>equip.xml!E673</f>
        <v>5</v>
      </c>
      <c r="F669" s="14">
        <f>equip.xml!F673</f>
        <v>2</v>
      </c>
      <c r="G669" s="14">
        <f>equip.xml!G673</f>
        <v>45</v>
      </c>
      <c r="H669" s="14" t="str">
        <f>equip.xml!H673</f>
        <v>1,1001</v>
      </c>
      <c r="I669" s="14">
        <f>equip.xml!J673</f>
        <v>10</v>
      </c>
      <c r="J669" s="14">
        <f>equip.xml!K673</f>
        <v>0</v>
      </c>
      <c r="K669" s="14">
        <f>equip.xml!L673</f>
        <v>0</v>
      </c>
      <c r="L669" s="14" t="str">
        <f>equip.xml!M673</f>
        <v>103_951_951,104_1902_1902</v>
      </c>
      <c r="M669" s="17" t="str">
        <f>equip.xml!Q673</f>
        <v>equipment/1101.png</v>
      </c>
      <c r="N669" s="16" t="str">
        <f>equip.xml!P673</f>
        <v>10000_1002_45000,30000_30001_1,30000_30002_1,30000_30003_1</v>
      </c>
      <c r="O669">
        <f>equip.xml!R673</f>
        <v>0</v>
      </c>
    </row>
    <row r="670" spans="1:15">
      <c r="A670" s="14" t="str">
        <f>equip.xml!A674</f>
        <v>20451060</v>
      </c>
      <c r="B670" s="14">
        <f>equip.xml!B674</f>
        <v>1</v>
      </c>
      <c r="C670" s="14" t="str">
        <f>equip.xml!C674</f>
        <v>正义壁垒</v>
      </c>
      <c r="D670" s="14" t="str">
        <f>equip.xml!D674</f>
        <v>副手武器</v>
      </c>
      <c r="E670" s="14">
        <f>equip.xml!E674</f>
        <v>6</v>
      </c>
      <c r="F670" s="14">
        <f>equip.xml!F674</f>
        <v>2</v>
      </c>
      <c r="G670" s="14">
        <f>equip.xml!G674</f>
        <v>45</v>
      </c>
      <c r="H670" s="14" t="str">
        <f>equip.xml!H674</f>
        <v>1,1001</v>
      </c>
      <c r="I670" s="14">
        <f>equip.xml!J674</f>
        <v>10</v>
      </c>
      <c r="J670" s="14">
        <f>equip.xml!K674</f>
        <v>0</v>
      </c>
      <c r="K670" s="14">
        <f>equip.xml!L674</f>
        <v>0</v>
      </c>
      <c r="L670" s="14" t="str">
        <f>equip.xml!M674</f>
        <v>105_1253_1253</v>
      </c>
      <c r="M670" s="17" t="str">
        <f>equip.xml!Q674</f>
        <v>equipment/2110.png</v>
      </c>
      <c r="N670" s="16" t="str">
        <f>equip.xml!P674</f>
        <v>10000_1002_45000,30000_30001_1,30000_30002_1,30000_30003_1</v>
      </c>
      <c r="O670">
        <f>equip.xml!R674</f>
        <v>0</v>
      </c>
    </row>
    <row r="671" spans="1:15">
      <c r="A671" s="14" t="str">
        <f>equip.xml!A675</f>
        <v>20451061</v>
      </c>
      <c r="B671" s="14">
        <f>equip.xml!B675</f>
        <v>0</v>
      </c>
      <c r="C671" s="14" t="str">
        <f>equip.xml!C675</f>
        <v>尖头盾</v>
      </c>
      <c r="D671" s="14" t="str">
        <f>equip.xml!D675</f>
        <v>副手武器</v>
      </c>
      <c r="E671" s="14">
        <f>equip.xml!E675</f>
        <v>6</v>
      </c>
      <c r="F671" s="14">
        <f>equip.xml!F675</f>
        <v>2</v>
      </c>
      <c r="G671" s="14">
        <f>equip.xml!G675</f>
        <v>45</v>
      </c>
      <c r="H671" s="14" t="str">
        <f>equip.xml!H675</f>
        <v>1,1001</v>
      </c>
      <c r="I671" s="14">
        <f>equip.xml!J675</f>
        <v>10</v>
      </c>
      <c r="J671" s="14">
        <f>equip.xml!K675</f>
        <v>0</v>
      </c>
      <c r="K671" s="14">
        <f>equip.xml!L675</f>
        <v>0</v>
      </c>
      <c r="L671" s="14" t="str">
        <f>equip.xml!M675</f>
        <v>105_1312_1312</v>
      </c>
      <c r="M671" s="17" t="str">
        <f>equip.xml!Q675</f>
        <v>equipment/2101.png</v>
      </c>
      <c r="N671" s="16" t="str">
        <f>equip.xml!P675</f>
        <v>10000_1002_45000,30000_30001_1,30000_30002_1,30000_30003_1</v>
      </c>
      <c r="O671">
        <f>equip.xml!R675</f>
        <v>0</v>
      </c>
    </row>
    <row r="672" spans="1:15">
      <c r="A672" s="14" t="str">
        <f>equip.xml!A676</f>
        <v>20452050</v>
      </c>
      <c r="B672" s="14">
        <f>equip.xml!B676</f>
        <v>1</v>
      </c>
      <c r="C672" s="14" t="str">
        <f>equip.xml!C676</f>
        <v>霜语长弓</v>
      </c>
      <c r="D672" s="14" t="str">
        <f>equip.xml!D676</f>
        <v>主手武器</v>
      </c>
      <c r="E672" s="14">
        <f>equip.xml!E676</f>
        <v>5</v>
      </c>
      <c r="F672" s="14">
        <f>equip.xml!F676</f>
        <v>2</v>
      </c>
      <c r="G672" s="14">
        <f>equip.xml!G676</f>
        <v>45</v>
      </c>
      <c r="H672" s="14" t="str">
        <f>equip.xml!H676</f>
        <v>2,1002</v>
      </c>
      <c r="I672" s="14">
        <f>equip.xml!J676</f>
        <v>10</v>
      </c>
      <c r="J672" s="14">
        <f>equip.xml!K676</f>
        <v>0</v>
      </c>
      <c r="K672" s="14">
        <f>equip.xml!L676</f>
        <v>0</v>
      </c>
      <c r="L672" s="14" t="str">
        <f>equip.xml!M676</f>
        <v>103_854_854,104_1708_1708</v>
      </c>
      <c r="M672" s="17" t="str">
        <f>equip.xml!Q676</f>
        <v>equipment/1217.png</v>
      </c>
      <c r="N672" s="16" t="str">
        <f>equip.xml!P676</f>
        <v>10000_1002_45000,30000_30001_1,30000_30002_1,30000_30003_1</v>
      </c>
      <c r="O672">
        <f>equip.xml!R676</f>
        <v>0</v>
      </c>
    </row>
    <row r="673" spans="1:15">
      <c r="A673" s="14" t="str">
        <f>equip.xml!A677</f>
        <v>20452051</v>
      </c>
      <c r="B673" s="14">
        <f>equip.xml!B677</f>
        <v>0</v>
      </c>
      <c r="C673" s="14" t="str">
        <f>equip.xml!C677</f>
        <v>棘木弓</v>
      </c>
      <c r="D673" s="14" t="str">
        <f>equip.xml!D677</f>
        <v>主手武器</v>
      </c>
      <c r="E673" s="14">
        <f>equip.xml!E677</f>
        <v>5</v>
      </c>
      <c r="F673" s="14">
        <f>equip.xml!F677</f>
        <v>2</v>
      </c>
      <c r="G673" s="14">
        <f>equip.xml!G677</f>
        <v>45</v>
      </c>
      <c r="H673" s="14" t="str">
        <f>equip.xml!H677</f>
        <v>2,1002</v>
      </c>
      <c r="I673" s="14">
        <f>equip.xml!J677</f>
        <v>10</v>
      </c>
      <c r="J673" s="14">
        <f>equip.xml!K677</f>
        <v>0</v>
      </c>
      <c r="K673" s="14">
        <f>equip.xml!L677</f>
        <v>0</v>
      </c>
      <c r="L673" s="14" t="str">
        <f>equip.xml!M677</f>
        <v>103_951_951,104_1902_1902</v>
      </c>
      <c r="M673" s="17" t="str">
        <f>equip.xml!Q677</f>
        <v>equipment/1201.png</v>
      </c>
      <c r="N673" s="16" t="str">
        <f>equip.xml!P677</f>
        <v>10000_1002_45000,30000_30001_1,30000_30002_1,30000_30003_1</v>
      </c>
      <c r="O673">
        <f>equip.xml!R677</f>
        <v>0</v>
      </c>
    </row>
    <row r="674" spans="1:15">
      <c r="A674" s="14" t="str">
        <f>equip.xml!A678</f>
        <v>20452060</v>
      </c>
      <c r="B674" s="14">
        <f>equip.xml!B678</f>
        <v>1</v>
      </c>
      <c r="C674" s="14" t="str">
        <f>equip.xml!C678</f>
        <v>月沐箭筒</v>
      </c>
      <c r="D674" s="14" t="str">
        <f>equip.xml!D678</f>
        <v>副手武器</v>
      </c>
      <c r="E674" s="14">
        <f>equip.xml!E678</f>
        <v>6</v>
      </c>
      <c r="F674" s="14">
        <f>equip.xml!F678</f>
        <v>2</v>
      </c>
      <c r="G674" s="14">
        <f>equip.xml!G678</f>
        <v>45</v>
      </c>
      <c r="H674" s="14" t="str">
        <f>equip.xml!H678</f>
        <v>2,1002</v>
      </c>
      <c r="I674" s="14">
        <f>equip.xml!J678</f>
        <v>10</v>
      </c>
      <c r="J674" s="14">
        <f>equip.xml!K678</f>
        <v>0</v>
      </c>
      <c r="K674" s="14">
        <f>equip.xml!L678</f>
        <v>0</v>
      </c>
      <c r="L674" s="14" t="str">
        <f>equip.xml!M678</f>
        <v>108_1253_1253</v>
      </c>
      <c r="M674" s="17" t="str">
        <f>equip.xml!Q678</f>
        <v>equipment/2211.png</v>
      </c>
      <c r="N674" s="16" t="str">
        <f>equip.xml!P678</f>
        <v>10000_1002_45000,30000_30001_1,30000_30002_1,30000_30003_1</v>
      </c>
      <c r="O674">
        <f>equip.xml!R678</f>
        <v>0</v>
      </c>
    </row>
    <row r="675" spans="1:15">
      <c r="A675" s="14" t="str">
        <f>equip.xml!A679</f>
        <v>20452061</v>
      </c>
      <c r="B675" s="14">
        <f>equip.xml!B679</f>
        <v>0</v>
      </c>
      <c r="C675" s="14" t="str">
        <f>equip.xml!C679</f>
        <v>箭筒</v>
      </c>
      <c r="D675" s="14" t="str">
        <f>equip.xml!D679</f>
        <v>副手武器</v>
      </c>
      <c r="E675" s="14">
        <f>equip.xml!E679</f>
        <v>6</v>
      </c>
      <c r="F675" s="14">
        <f>equip.xml!F679</f>
        <v>2</v>
      </c>
      <c r="G675" s="14">
        <f>equip.xml!G679</f>
        <v>45</v>
      </c>
      <c r="H675" s="14" t="str">
        <f>equip.xml!H679</f>
        <v>2,1002</v>
      </c>
      <c r="I675" s="14">
        <f>equip.xml!J679</f>
        <v>10</v>
      </c>
      <c r="J675" s="14">
        <f>equip.xml!K679</f>
        <v>0</v>
      </c>
      <c r="K675" s="14">
        <f>equip.xml!L679</f>
        <v>0</v>
      </c>
      <c r="L675" s="14" t="str">
        <f>equip.xml!M679</f>
        <v>108_1312_1312</v>
      </c>
      <c r="M675" s="17" t="str">
        <f>equip.xml!Q679</f>
        <v>equipment/2201.png</v>
      </c>
      <c r="N675" s="16" t="str">
        <f>equip.xml!P679</f>
        <v>10000_1002_45000,30000_30001_1,30000_30002_1,30000_30003_1</v>
      </c>
      <c r="O675">
        <f>equip.xml!R679</f>
        <v>0</v>
      </c>
    </row>
    <row r="676" spans="1:15">
      <c r="A676" s="14" t="str">
        <f>equip.xml!A680</f>
        <v>20453050</v>
      </c>
      <c r="B676" s="14">
        <f>equip.xml!B680</f>
        <v>1</v>
      </c>
      <c r="C676" s="14" t="str">
        <f>equip.xml!C680</f>
        <v>皇权之杖</v>
      </c>
      <c r="D676" s="14" t="str">
        <f>equip.xml!D680</f>
        <v>主手武器</v>
      </c>
      <c r="E676" s="14">
        <f>equip.xml!E680</f>
        <v>5</v>
      </c>
      <c r="F676" s="14">
        <f>equip.xml!F680</f>
        <v>2</v>
      </c>
      <c r="G676" s="14">
        <f>equip.xml!G680</f>
        <v>45</v>
      </c>
      <c r="H676" s="14" t="str">
        <f>equip.xml!H680</f>
        <v>3,1003</v>
      </c>
      <c r="I676" s="14">
        <f>equip.xml!J680</f>
        <v>10</v>
      </c>
      <c r="J676" s="14">
        <f>equip.xml!K680</f>
        <v>0</v>
      </c>
      <c r="K676" s="14">
        <f>equip.xml!L680</f>
        <v>0</v>
      </c>
      <c r="L676" s="14" t="str">
        <f>equip.xml!M680</f>
        <v>103_854_854,104_1708_1708</v>
      </c>
      <c r="M676" s="17" t="str">
        <f>equip.xml!Q680</f>
        <v>equipment/1316.png</v>
      </c>
      <c r="N676" s="16" t="str">
        <f>equip.xml!P680</f>
        <v>10000_1002_45000,30000_30001_1,30000_30002_1,30000_30003_1</v>
      </c>
      <c r="O676">
        <f>equip.xml!R680</f>
        <v>0</v>
      </c>
    </row>
    <row r="677" spans="1:15">
      <c r="A677" s="14" t="str">
        <f>equip.xml!A681</f>
        <v>20453051</v>
      </c>
      <c r="B677" s="14">
        <f>equip.xml!B681</f>
        <v>1</v>
      </c>
      <c r="C677" s="14" t="str">
        <f>equip.xml!C681</f>
        <v>圣晶权杖</v>
      </c>
      <c r="D677" s="14" t="str">
        <f>equip.xml!D681</f>
        <v>主手武器</v>
      </c>
      <c r="E677" s="14">
        <f>equip.xml!E681</f>
        <v>5</v>
      </c>
      <c r="F677" s="14">
        <f>equip.xml!F681</f>
        <v>2</v>
      </c>
      <c r="G677" s="14">
        <f>equip.xml!G681</f>
        <v>45</v>
      </c>
      <c r="H677" s="14" t="str">
        <f>equip.xml!H681</f>
        <v>3,1003</v>
      </c>
      <c r="I677" s="14">
        <f>equip.xml!J681</f>
        <v>10</v>
      </c>
      <c r="J677" s="14">
        <f>equip.xml!K681</f>
        <v>0</v>
      </c>
      <c r="K677" s="14">
        <f>equip.xml!L681</f>
        <v>0</v>
      </c>
      <c r="L677" s="14" t="str">
        <f>equip.xml!M681</f>
        <v>103_951_951,104_1902_1902</v>
      </c>
      <c r="M677" s="17" t="str">
        <f>equip.xml!Q681</f>
        <v>equipment/1318.png</v>
      </c>
      <c r="N677" s="16" t="str">
        <f>equip.xml!P681</f>
        <v>10000_1002_45000,30000_30001_1,30000_30002_1,30000_30003_1</v>
      </c>
      <c r="O677">
        <f>equip.xml!R681</f>
        <v>0</v>
      </c>
    </row>
    <row r="678" spans="1:15">
      <c r="A678" s="14" t="str">
        <f>equip.xml!A682</f>
        <v>20453060</v>
      </c>
      <c r="B678" s="14">
        <f>equip.xml!B682</f>
        <v>1</v>
      </c>
      <c r="C678" s="14" t="str">
        <f>equip.xml!C682</f>
        <v>占卜魔典</v>
      </c>
      <c r="D678" s="14" t="str">
        <f>equip.xml!D682</f>
        <v>副手武器</v>
      </c>
      <c r="E678" s="14">
        <f>equip.xml!E682</f>
        <v>6</v>
      </c>
      <c r="F678" s="14">
        <f>equip.xml!F682</f>
        <v>2</v>
      </c>
      <c r="G678" s="14">
        <f>equip.xml!G682</f>
        <v>45</v>
      </c>
      <c r="H678" s="14" t="str">
        <f>equip.xml!H682</f>
        <v>3,1003</v>
      </c>
      <c r="I678" s="14">
        <f>equip.xml!J682</f>
        <v>10</v>
      </c>
      <c r="J678" s="14">
        <f>equip.xml!K682</f>
        <v>0</v>
      </c>
      <c r="K678" s="14">
        <f>equip.xml!L682</f>
        <v>0</v>
      </c>
      <c r="L678" s="14" t="str">
        <f>equip.xml!M682</f>
        <v>102_1320_1320</v>
      </c>
      <c r="M678" s="17" t="str">
        <f>equip.xml!Q682</f>
        <v>equipment/2310.png</v>
      </c>
      <c r="N678" s="16" t="str">
        <f>equip.xml!P682</f>
        <v>10000_1002_45000,30000_30001_1,30000_30002_1,30000_30003_1</v>
      </c>
      <c r="O678">
        <f>equip.xml!R682</f>
        <v>0</v>
      </c>
    </row>
    <row r="679" spans="1:15">
      <c r="A679" s="14" t="str">
        <f>equip.xml!A683</f>
        <v>20453061</v>
      </c>
      <c r="B679" s="14">
        <f>equip.xml!B683</f>
        <v>0</v>
      </c>
      <c r="C679" s="14" t="str">
        <f>equip.xml!C683</f>
        <v>法术指南</v>
      </c>
      <c r="D679" s="14" t="str">
        <f>equip.xml!D683</f>
        <v>副手武器</v>
      </c>
      <c r="E679" s="14">
        <f>equip.xml!E683</f>
        <v>6</v>
      </c>
      <c r="F679" s="14">
        <f>equip.xml!F683</f>
        <v>2</v>
      </c>
      <c r="G679" s="14">
        <f>equip.xml!G683</f>
        <v>45</v>
      </c>
      <c r="H679" s="14" t="str">
        <f>equip.xml!H683</f>
        <v>3,1003</v>
      </c>
      <c r="I679" s="14">
        <f>equip.xml!J683</f>
        <v>10</v>
      </c>
      <c r="J679" s="14">
        <f>equip.xml!K683</f>
        <v>0</v>
      </c>
      <c r="K679" s="14">
        <f>equip.xml!L683</f>
        <v>0</v>
      </c>
      <c r="L679" s="14" t="str">
        <f>equip.xml!M683</f>
        <v>102_1312_1312</v>
      </c>
      <c r="M679" s="17" t="str">
        <f>equip.xml!Q683</f>
        <v>equipment/2301.png</v>
      </c>
      <c r="N679" s="16" t="str">
        <f>equip.xml!P683</f>
        <v>10000_1002_45000,30000_30001_1,30000_30002_1,30000_30003_1</v>
      </c>
      <c r="O679">
        <f>equip.xml!R683</f>
        <v>0</v>
      </c>
    </row>
    <row r="680" spans="1:15">
      <c r="A680" s="14" t="str">
        <f>equip.xml!A684</f>
        <v>20450040</v>
      </c>
      <c r="B680" s="14">
        <f>equip.xml!B684</f>
        <v>1</v>
      </c>
      <c r="C680" s="14" t="str">
        <f>equip.xml!C684</f>
        <v>执政官胸甲</v>
      </c>
      <c r="D680" s="14" t="str">
        <f>equip.xml!D684</f>
        <v>胸甲</v>
      </c>
      <c r="E680" s="14">
        <f>equip.xml!E684</f>
        <v>4</v>
      </c>
      <c r="F680" s="14">
        <f>equip.xml!F684</f>
        <v>2</v>
      </c>
      <c r="G680" s="14">
        <f>equip.xml!G684</f>
        <v>45</v>
      </c>
      <c r="H680" s="14">
        <f>equip.xml!H684</f>
        <v>0</v>
      </c>
      <c r="I680" s="14">
        <f>equip.xml!J684</f>
        <v>10</v>
      </c>
      <c r="J680" s="14">
        <f>equip.xml!K684</f>
        <v>0</v>
      </c>
      <c r="K680" s="14">
        <f>equip.xml!L684</f>
        <v>0</v>
      </c>
      <c r="L680" s="14" t="str">
        <f>equip.xml!M684</f>
        <v>105_628_628</v>
      </c>
      <c r="M680" s="17" t="str">
        <f>equip.xml!Q684</f>
        <v>equipment/5013.png</v>
      </c>
      <c r="N680" s="16" t="str">
        <f>equip.xml!P684</f>
        <v>10000_1002_45000,30000_30001_1,30000_30002_1,30000_30003_1</v>
      </c>
      <c r="O680">
        <f>equip.xml!R684</f>
        <v>0</v>
      </c>
    </row>
    <row r="681" spans="1:15">
      <c r="A681" s="14" t="str">
        <f>equip.xml!A685</f>
        <v>20450041</v>
      </c>
      <c r="B681" s="14">
        <f>equip.xml!B685</f>
        <v>1</v>
      </c>
      <c r="C681" s="14" t="str">
        <f>equip.xml!C685</f>
        <v>军团胸甲</v>
      </c>
      <c r="D681" s="14" t="str">
        <f>equip.xml!D685</f>
        <v>胸甲</v>
      </c>
      <c r="E681" s="14">
        <f>equip.xml!E685</f>
        <v>4</v>
      </c>
      <c r="F681" s="14">
        <f>equip.xml!F685</f>
        <v>2</v>
      </c>
      <c r="G681" s="14">
        <f>equip.xml!G685</f>
        <v>45</v>
      </c>
      <c r="H681" s="14">
        <f>equip.xml!H685</f>
        <v>0</v>
      </c>
      <c r="I681" s="14">
        <f>equip.xml!J685</f>
        <v>10</v>
      </c>
      <c r="J681" s="14">
        <f>equip.xml!K685</f>
        <v>0</v>
      </c>
      <c r="K681" s="14">
        <f>equip.xml!L685</f>
        <v>0</v>
      </c>
      <c r="L681" s="14" t="str">
        <f>equip.xml!M685</f>
        <v>105_689_689</v>
      </c>
      <c r="M681" s="17" t="str">
        <f>equip.xml!Q685</f>
        <v>equipment/5014.png</v>
      </c>
      <c r="N681" s="16" t="str">
        <f>equip.xml!P685</f>
        <v>10000_1002_45000,30000_30001_1,30000_30002_1,30000_30003_1</v>
      </c>
      <c r="O681">
        <f>equip.xml!R685</f>
        <v>0</v>
      </c>
    </row>
    <row r="682" spans="1:15">
      <c r="A682" s="14" t="str">
        <f>equip.xml!A686</f>
        <v>20450070</v>
      </c>
      <c r="B682" s="14">
        <f>equip.xml!B686</f>
        <v>1</v>
      </c>
      <c r="C682" s="14" t="str">
        <f>equip.xml!C686</f>
        <v>冰铸腿铠</v>
      </c>
      <c r="D682" s="14" t="str">
        <f>equip.xml!D686</f>
        <v>护腿</v>
      </c>
      <c r="E682" s="14">
        <f>equip.xml!E686</f>
        <v>7</v>
      </c>
      <c r="F682" s="14">
        <f>equip.xml!F686</f>
        <v>2</v>
      </c>
      <c r="G682" s="14">
        <f>equip.xml!G686</f>
        <v>45</v>
      </c>
      <c r="H682" s="14">
        <f>equip.xml!H686</f>
        <v>0</v>
      </c>
      <c r="I682" s="14">
        <f>equip.xml!J686</f>
        <v>10</v>
      </c>
      <c r="J682" s="14">
        <f>equip.xml!K686</f>
        <v>0</v>
      </c>
      <c r="K682" s="14">
        <f>equip.xml!L686</f>
        <v>0</v>
      </c>
      <c r="L682" s="14" t="str">
        <f>equip.xml!M686</f>
        <v>105_497_497</v>
      </c>
      <c r="M682" s="17" t="str">
        <f>equip.xml!Q686</f>
        <v>equipment/7011.png</v>
      </c>
      <c r="N682" s="16" t="str">
        <f>equip.xml!P686</f>
        <v>10000_1002_45000,30000_30001_1,30000_30002_1,30000_30003_1</v>
      </c>
      <c r="O682">
        <f>equip.xml!R686</f>
        <v>0</v>
      </c>
    </row>
    <row r="683" spans="1:15">
      <c r="A683" s="14" t="str">
        <f>equip.xml!A687</f>
        <v>20450071</v>
      </c>
      <c r="B683" s="14">
        <f>equip.xml!B687</f>
        <v>1</v>
      </c>
      <c r="C683" s="14" t="str">
        <f>equip.xml!C687</f>
        <v>织灵护腿</v>
      </c>
      <c r="D683" s="14" t="str">
        <f>equip.xml!D687</f>
        <v>护腿</v>
      </c>
      <c r="E683" s="14">
        <f>equip.xml!E687</f>
        <v>7</v>
      </c>
      <c r="F683" s="14">
        <f>equip.xml!F687</f>
        <v>2</v>
      </c>
      <c r="G683" s="14">
        <f>equip.xml!G687</f>
        <v>45</v>
      </c>
      <c r="H683" s="14">
        <f>equip.xml!H687</f>
        <v>0</v>
      </c>
      <c r="I683" s="14">
        <f>equip.xml!J687</f>
        <v>10</v>
      </c>
      <c r="J683" s="14">
        <f>equip.xml!K687</f>
        <v>0</v>
      </c>
      <c r="K683" s="14">
        <f>equip.xml!L687</f>
        <v>0</v>
      </c>
      <c r="L683" s="14" t="str">
        <f>equip.xml!M687</f>
        <v>105_549_549</v>
      </c>
      <c r="M683" s="17" t="str">
        <f>equip.xml!Q687</f>
        <v>equipment/7010.png</v>
      </c>
      <c r="N683" s="16" t="str">
        <f>equip.xml!P687</f>
        <v>10000_1002_45000,30000_30001_1,30000_30002_1,30000_30003_1</v>
      </c>
      <c r="O683">
        <f>equip.xml!R687</f>
        <v>0</v>
      </c>
    </row>
    <row r="684" spans="1:15">
      <c r="A684" s="14" t="str">
        <f>equip.xml!A688</f>
        <v>20500010</v>
      </c>
      <c r="B684" s="14">
        <f>equip.xml!B688</f>
        <v>1</v>
      </c>
      <c r="C684" s="14" t="str">
        <f>equip.xml!C688</f>
        <v>战痕头盔</v>
      </c>
      <c r="D684" s="14" t="str">
        <f>equip.xml!D688</f>
        <v>头盔</v>
      </c>
      <c r="E684" s="14">
        <f>equip.xml!E688</f>
        <v>1</v>
      </c>
      <c r="F684" s="14">
        <f>equip.xml!F688</f>
        <v>2</v>
      </c>
      <c r="G684" s="14">
        <f>equip.xml!G688</f>
        <v>50</v>
      </c>
      <c r="H684" s="14">
        <f>equip.xml!H688</f>
        <v>0</v>
      </c>
      <c r="I684" s="14">
        <f>equip.xml!J688</f>
        <v>10</v>
      </c>
      <c r="J684" s="14">
        <f>equip.xml!K688</f>
        <v>0</v>
      </c>
      <c r="K684" s="14">
        <f>equip.xml!L688</f>
        <v>0</v>
      </c>
      <c r="L684" s="14" t="str">
        <f>equip.xml!M688</f>
        <v>106_1000_1000</v>
      </c>
      <c r="M684" s="17" t="str">
        <f>equip.xml!Q688</f>
        <v>equipment/3008.png</v>
      </c>
      <c r="N684" s="16" t="str">
        <f>equip.xml!P688</f>
        <v>10000_1002_50000,30000_30001_1,30000_30002_1,30000_30003_1</v>
      </c>
      <c r="O684">
        <f>equip.xml!R688</f>
        <v>0</v>
      </c>
    </row>
    <row r="685" spans="1:15">
      <c r="A685" s="14" t="str">
        <f>equip.xml!A689</f>
        <v>20500020</v>
      </c>
      <c r="B685" s="14">
        <f>equip.xml!B689</f>
        <v>1</v>
      </c>
      <c r="C685" s="14" t="str">
        <f>equip.xml!C689</f>
        <v>灵风之戒</v>
      </c>
      <c r="D685" s="14" t="str">
        <f>equip.xml!D689</f>
        <v>戒指</v>
      </c>
      <c r="E685" s="14">
        <f>equip.xml!E689</f>
        <v>2</v>
      </c>
      <c r="F685" s="14">
        <f>equip.xml!F689</f>
        <v>2</v>
      </c>
      <c r="G685" s="14">
        <f>equip.xml!G689</f>
        <v>50</v>
      </c>
      <c r="H685" s="14">
        <f>equip.xml!H689</f>
        <v>0</v>
      </c>
      <c r="I685" s="14">
        <f>equip.xml!J689</f>
        <v>10</v>
      </c>
      <c r="J685" s="14">
        <f>equip.xml!K689</f>
        <v>0</v>
      </c>
      <c r="K685" s="14">
        <f>equip.xml!L689</f>
        <v>0</v>
      </c>
      <c r="L685" s="14" t="str">
        <f>equip.xml!M689</f>
        <v>102_975_975</v>
      </c>
      <c r="M685" s="17" t="str">
        <f>equip.xml!Q689</f>
        <v>equipment/14008.png</v>
      </c>
      <c r="N685" s="16" t="str">
        <f>equip.xml!P689</f>
        <v>10000_1002_50000,30000_30001_1,30000_30002_1,30000_30003_1</v>
      </c>
      <c r="O685">
        <f>equip.xml!R689</f>
        <v>0</v>
      </c>
    </row>
    <row r="686" spans="1:15">
      <c r="A686" s="14" t="str">
        <f>equip.xml!A690</f>
        <v>20500030</v>
      </c>
      <c r="B686" s="14">
        <f>equip.xml!B690</f>
        <v>1</v>
      </c>
      <c r="C686" s="14" t="str">
        <f>equip.xml!C690</f>
        <v>生命腰带</v>
      </c>
      <c r="D686" s="14" t="str">
        <f>equip.xml!D690</f>
        <v>腰带</v>
      </c>
      <c r="E686" s="14">
        <f>equip.xml!E690</f>
        <v>3</v>
      </c>
      <c r="F686" s="14">
        <f>equip.xml!F690</f>
        <v>2</v>
      </c>
      <c r="G686" s="14">
        <f>equip.xml!G690</f>
        <v>50</v>
      </c>
      <c r="H686" s="14">
        <f>equip.xml!H690</f>
        <v>0</v>
      </c>
      <c r="I686" s="14">
        <f>equip.xml!J690</f>
        <v>10</v>
      </c>
      <c r="J686" s="14">
        <f>equip.xml!K690</f>
        <v>0</v>
      </c>
      <c r="K686" s="14">
        <f>equip.xml!L690</f>
        <v>0</v>
      </c>
      <c r="L686" s="14" t="str">
        <f>equip.xml!M690</f>
        <v>101_11560_11560</v>
      </c>
      <c r="M686" s="17" t="str">
        <f>equip.xml!Q690</f>
        <v>equipment/6009.png</v>
      </c>
      <c r="N686" s="16" t="str">
        <f>equip.xml!P690</f>
        <v>10000_1002_50000,30000_30001_1,30000_30002_1,30000_30003_1</v>
      </c>
      <c r="O686">
        <f>equip.xml!R690</f>
        <v>0</v>
      </c>
    </row>
    <row r="687" spans="1:15">
      <c r="A687" s="14" t="str">
        <f>equip.xml!A691</f>
        <v>20500080</v>
      </c>
      <c r="B687" s="14">
        <f>equip.xml!B691</f>
        <v>1</v>
      </c>
      <c r="C687" s="14" t="str">
        <f>equip.xml!C691</f>
        <v>龙鳞护胫</v>
      </c>
      <c r="D687" s="14" t="str">
        <f>equip.xml!D691</f>
        <v>鞋子</v>
      </c>
      <c r="E687" s="14">
        <f>equip.xml!E691</f>
        <v>8</v>
      </c>
      <c r="F687" s="14">
        <f>equip.xml!F691</f>
        <v>2</v>
      </c>
      <c r="G687" s="14">
        <f>equip.xml!G691</f>
        <v>50</v>
      </c>
      <c r="H687" s="14">
        <f>equip.xml!H691</f>
        <v>0</v>
      </c>
      <c r="I687" s="14">
        <f>equip.xml!J691</f>
        <v>10</v>
      </c>
      <c r="J687" s="14">
        <f>equip.xml!K691</f>
        <v>0</v>
      </c>
      <c r="K687" s="14">
        <f>equip.xml!L691</f>
        <v>0</v>
      </c>
      <c r="L687" s="14" t="str">
        <f>equip.xml!M691</f>
        <v>110_172_172</v>
      </c>
      <c r="M687" s="17" t="str">
        <f>equip.xml!Q691</f>
        <v>equipment/8004.png</v>
      </c>
      <c r="N687" s="16" t="str">
        <f>equip.xml!P691</f>
        <v>10000_1002_50000,30000_30001_1,30000_30002_1,30000_30003_1</v>
      </c>
      <c r="O687">
        <f>equip.xml!R691</f>
        <v>0</v>
      </c>
    </row>
    <row r="688" spans="1:15">
      <c r="A688" s="14" t="str">
        <f>equip.xml!A692</f>
        <v>20500090</v>
      </c>
      <c r="B688" s="14">
        <f>equip.xml!B692</f>
        <v>1</v>
      </c>
      <c r="C688" s="14" t="str">
        <f>equip.xml!C692</f>
        <v>血拳手套</v>
      </c>
      <c r="D688" s="14" t="str">
        <f>equip.xml!D692</f>
        <v>手套</v>
      </c>
      <c r="E688" s="14">
        <f>equip.xml!E692</f>
        <v>9</v>
      </c>
      <c r="F688" s="14">
        <f>equip.xml!F692</f>
        <v>2</v>
      </c>
      <c r="G688" s="14">
        <f>equip.xml!G692</f>
        <v>50</v>
      </c>
      <c r="H688" s="14">
        <f>equip.xml!H692</f>
        <v>0</v>
      </c>
      <c r="I688" s="14">
        <f>equip.xml!J692</f>
        <v>10</v>
      </c>
      <c r="J688" s="14">
        <f>equip.xml!K692</f>
        <v>0</v>
      </c>
      <c r="K688" s="14">
        <f>equip.xml!L692</f>
        <v>0</v>
      </c>
      <c r="L688" s="14" t="str">
        <f>equip.xml!M692</f>
        <v>108_1726_1726</v>
      </c>
      <c r="M688" s="17" t="str">
        <f>equip.xml!Q692</f>
        <v>equipment/10009.png</v>
      </c>
      <c r="N688" s="16" t="str">
        <f>equip.xml!P692</f>
        <v>10000_1002_50000,30000_30001_1,30000_30002_1,30000_30003_1</v>
      </c>
      <c r="O688">
        <f>equip.xml!R692</f>
        <v>0</v>
      </c>
    </row>
    <row r="689" spans="1:15">
      <c r="A689" s="14" t="str">
        <f>equip.xml!A693</f>
        <v>20500100</v>
      </c>
      <c r="B689" s="14">
        <f>equip.xml!B693</f>
        <v>1</v>
      </c>
      <c r="C689" s="14" t="str">
        <f>equip.xml!C693</f>
        <v>誓言护坠</v>
      </c>
      <c r="D689" s="14" t="str">
        <f>equip.xml!D693</f>
        <v>项链</v>
      </c>
      <c r="E689" s="14">
        <f>equip.xml!E693</f>
        <v>10</v>
      </c>
      <c r="F689" s="14">
        <f>equip.xml!F693</f>
        <v>2</v>
      </c>
      <c r="G689" s="14">
        <f>equip.xml!G693</f>
        <v>50</v>
      </c>
      <c r="H689" s="14">
        <f>equip.xml!H693</f>
        <v>0</v>
      </c>
      <c r="I689" s="14">
        <f>equip.xml!J693</f>
        <v>10</v>
      </c>
      <c r="J689" s="14">
        <f>equip.xml!K693</f>
        <v>0</v>
      </c>
      <c r="K689" s="14">
        <f>equip.xml!L693</f>
        <v>0</v>
      </c>
      <c r="L689" s="14" t="str">
        <f>equip.xml!M693</f>
        <v>107_1000_1000</v>
      </c>
      <c r="M689" s="17" t="str">
        <f>equip.xml!Q693</f>
        <v>equipment/12008.png</v>
      </c>
      <c r="N689" s="16" t="str">
        <f>equip.xml!P693</f>
        <v>10000_1002_50000,30000_30001_1,30000_30002_1,30000_30003_1</v>
      </c>
      <c r="O689">
        <f>equip.xml!R693</f>
        <v>0</v>
      </c>
    </row>
    <row r="690" spans="1:15">
      <c r="A690" s="14" t="str">
        <f>equip.xml!A694</f>
        <v>20501050</v>
      </c>
      <c r="B690" s="14">
        <f>equip.xml!B694</f>
        <v>1</v>
      </c>
      <c r="C690" s="14" t="str">
        <f>equip.xml!C694</f>
        <v>黎明之刃</v>
      </c>
      <c r="D690" s="14" t="str">
        <f>equip.xml!D694</f>
        <v>主手武器</v>
      </c>
      <c r="E690" s="14">
        <f>equip.xml!E694</f>
        <v>5</v>
      </c>
      <c r="F690" s="14">
        <f>equip.xml!F694</f>
        <v>2</v>
      </c>
      <c r="G690" s="14">
        <f>equip.xml!G694</f>
        <v>50</v>
      </c>
      <c r="H690" s="14" t="str">
        <f>equip.xml!H694</f>
        <v>1,1001</v>
      </c>
      <c r="I690" s="14">
        <f>equip.xml!J694</f>
        <v>10</v>
      </c>
      <c r="J690" s="14">
        <f>equip.xml!K694</f>
        <v>0</v>
      </c>
      <c r="K690" s="14">
        <f>equip.xml!L694</f>
        <v>0</v>
      </c>
      <c r="L690" s="14" t="str">
        <f>equip.xml!M694</f>
        <v>103_1097_1097,104_2194_2194</v>
      </c>
      <c r="M690" s="17" t="str">
        <f>equip.xml!Q694</f>
        <v>equipment/1119.png</v>
      </c>
      <c r="N690" s="16" t="str">
        <f>equip.xml!P694</f>
        <v>10000_1002_50000,30000_30001_1,30000_30002_1,30000_30003_1</v>
      </c>
      <c r="O690">
        <f>equip.xml!R694</f>
        <v>0</v>
      </c>
    </row>
    <row r="691" spans="1:15">
      <c r="A691" s="14" t="str">
        <f>equip.xml!A695</f>
        <v>20501051</v>
      </c>
      <c r="B691" s="14">
        <f>equip.xml!B695</f>
        <v>1</v>
      </c>
      <c r="C691" s="14" t="str">
        <f>equip.xml!C695</f>
        <v>放逐者之刃</v>
      </c>
      <c r="D691" s="14" t="str">
        <f>equip.xml!D695</f>
        <v>主手武器</v>
      </c>
      <c r="E691" s="14">
        <f>equip.xml!E695</f>
        <v>5</v>
      </c>
      <c r="F691" s="14">
        <f>equip.xml!F695</f>
        <v>2</v>
      </c>
      <c r="G691" s="14">
        <f>equip.xml!G695</f>
        <v>50</v>
      </c>
      <c r="H691" s="14" t="str">
        <f>equip.xml!H695</f>
        <v>1,1001</v>
      </c>
      <c r="I691" s="14">
        <f>equip.xml!J695</f>
        <v>10</v>
      </c>
      <c r="J691" s="14">
        <f>equip.xml!K695</f>
        <v>0</v>
      </c>
      <c r="K691" s="14">
        <f>equip.xml!L695</f>
        <v>0</v>
      </c>
      <c r="L691" s="14" t="str">
        <f>equip.xml!M695</f>
        <v>103_1222_1222,104_2444_2444</v>
      </c>
      <c r="M691" s="17" t="str">
        <f>equip.xml!Q695</f>
        <v>equipment/1120.png</v>
      </c>
      <c r="N691" s="16" t="str">
        <f>equip.xml!P695</f>
        <v>10000_1002_50000,30000_30001_1,30000_30002_1,30000_30003_1</v>
      </c>
      <c r="O691">
        <f>equip.xml!R695</f>
        <v>0</v>
      </c>
    </row>
    <row r="692" spans="1:15">
      <c r="A692" s="14" t="str">
        <f>equip.xml!A696</f>
        <v>20501060</v>
      </c>
      <c r="B692" s="14">
        <f>equip.xml!B696</f>
        <v>1</v>
      </c>
      <c r="C692" s="14" t="str">
        <f>equip.xml!C696</f>
        <v>魂祭之盾</v>
      </c>
      <c r="D692" s="14" t="str">
        <f>equip.xml!D696</f>
        <v>副手武器</v>
      </c>
      <c r="E692" s="14">
        <f>equip.xml!E696</f>
        <v>6</v>
      </c>
      <c r="F692" s="14">
        <f>equip.xml!F696</f>
        <v>2</v>
      </c>
      <c r="G692" s="14">
        <f>equip.xml!G696</f>
        <v>50</v>
      </c>
      <c r="H692" s="14" t="str">
        <f>equip.xml!H696</f>
        <v>1,1001</v>
      </c>
      <c r="I692" s="14">
        <f>equip.xml!J696</f>
        <v>10</v>
      </c>
      <c r="J692" s="14">
        <f>equip.xml!K696</f>
        <v>0</v>
      </c>
      <c r="K692" s="14">
        <f>equip.xml!L696</f>
        <v>0</v>
      </c>
      <c r="L692" s="14" t="str">
        <f>equip.xml!M696</f>
        <v>105_1401_1401</v>
      </c>
      <c r="M692" s="17" t="str">
        <f>equip.xml!Q696</f>
        <v>equipment/2111.png</v>
      </c>
      <c r="N692" s="16" t="str">
        <f>equip.xml!P696</f>
        <v>10000_1002_50000,30000_30001_1,30000_30002_1,30000_30003_1</v>
      </c>
      <c r="O692">
        <f>equip.xml!R696</f>
        <v>0</v>
      </c>
    </row>
    <row r="693" spans="1:15">
      <c r="A693" s="14" t="str">
        <f>equip.xml!A697</f>
        <v>20501061</v>
      </c>
      <c r="B693" s="14">
        <f>equip.xml!B697</f>
        <v>1</v>
      </c>
      <c r="C693" s="14" t="str">
        <f>equip.xml!C697</f>
        <v>氪金大盾</v>
      </c>
      <c r="D693" s="14" t="str">
        <f>equip.xml!D697</f>
        <v>副手武器</v>
      </c>
      <c r="E693" s="14">
        <f>equip.xml!E697</f>
        <v>6</v>
      </c>
      <c r="F693" s="14">
        <f>equip.xml!F697</f>
        <v>2</v>
      </c>
      <c r="G693" s="14">
        <f>equip.xml!G697</f>
        <v>50</v>
      </c>
      <c r="H693" s="14" t="str">
        <f>equip.xml!H697</f>
        <v>1,1001</v>
      </c>
      <c r="I693" s="14">
        <f>equip.xml!J697</f>
        <v>10</v>
      </c>
      <c r="J693" s="14">
        <f>equip.xml!K697</f>
        <v>0</v>
      </c>
      <c r="K693" s="14">
        <f>equip.xml!L697</f>
        <v>0</v>
      </c>
      <c r="L693" s="14" t="str">
        <f>equip.xml!M697</f>
        <v>105_1633_1633</v>
      </c>
      <c r="M693" s="17" t="str">
        <f>equip.xml!Q697</f>
        <v>equipment/2112.png</v>
      </c>
      <c r="N693" s="16" t="str">
        <f>equip.xml!P697</f>
        <v>10000_1002_50000,30000_30001_1,30000_30002_1,30000_30003_1</v>
      </c>
      <c r="O693">
        <f>equip.xml!R697</f>
        <v>0</v>
      </c>
    </row>
    <row r="694" spans="1:15">
      <c r="A694" s="14" t="str">
        <f>equip.xml!A698</f>
        <v>20502050</v>
      </c>
      <c r="B694" s="14">
        <f>equip.xml!B698</f>
        <v>1</v>
      </c>
      <c r="C694" s="14" t="str">
        <f>equip.xml!C698</f>
        <v>觅心者长弓</v>
      </c>
      <c r="D694" s="14" t="str">
        <f>equip.xml!D698</f>
        <v>主手武器</v>
      </c>
      <c r="E694" s="14">
        <f>equip.xml!E698</f>
        <v>5</v>
      </c>
      <c r="F694" s="14">
        <f>equip.xml!F698</f>
        <v>2</v>
      </c>
      <c r="G694" s="14">
        <f>equip.xml!G698</f>
        <v>50</v>
      </c>
      <c r="H694" s="14" t="str">
        <f>equip.xml!H698</f>
        <v>2,1002</v>
      </c>
      <c r="I694" s="14">
        <f>equip.xml!J698</f>
        <v>10</v>
      </c>
      <c r="J694" s="14">
        <f>equip.xml!K698</f>
        <v>0</v>
      </c>
      <c r="K694" s="14">
        <f>equip.xml!L698</f>
        <v>0</v>
      </c>
      <c r="L694" s="14" t="str">
        <f>equip.xml!M698</f>
        <v>103_1097_1097,104_2194_2194</v>
      </c>
      <c r="M694" s="17" t="str">
        <f>equip.xml!Q698</f>
        <v>equipment/1218.png</v>
      </c>
      <c r="N694" s="16" t="str">
        <f>equip.xml!P698</f>
        <v>10000_1002_50000,30000_30001_1,30000_30002_1,30000_30003_1</v>
      </c>
      <c r="O694">
        <f>equip.xml!R698</f>
        <v>0</v>
      </c>
    </row>
    <row r="695" spans="1:15">
      <c r="A695" s="14" t="str">
        <f>equip.xml!A699</f>
        <v>20502051</v>
      </c>
      <c r="B695" s="14">
        <f>equip.xml!B699</f>
        <v>1</v>
      </c>
      <c r="C695" s="14" t="str">
        <f>equip.xml!C699</f>
        <v>阳炎之弓</v>
      </c>
      <c r="D695" s="14" t="str">
        <f>equip.xml!D699</f>
        <v>主手武器</v>
      </c>
      <c r="E695" s="14">
        <f>equip.xml!E699</f>
        <v>5</v>
      </c>
      <c r="F695" s="14">
        <f>equip.xml!F699</f>
        <v>2</v>
      </c>
      <c r="G695" s="14">
        <f>equip.xml!G699</f>
        <v>50</v>
      </c>
      <c r="H695" s="14" t="str">
        <f>equip.xml!H699</f>
        <v>2,1002</v>
      </c>
      <c r="I695" s="14">
        <f>equip.xml!J699</f>
        <v>10</v>
      </c>
      <c r="J695" s="14">
        <f>equip.xml!K699</f>
        <v>0</v>
      </c>
      <c r="K695" s="14">
        <f>equip.xml!L699</f>
        <v>0</v>
      </c>
      <c r="L695" s="14" t="str">
        <f>equip.xml!M699</f>
        <v>103_1222_1222,104_2444_2444</v>
      </c>
      <c r="M695" s="17" t="str">
        <f>equip.xml!Q699</f>
        <v>equipment/1221.png</v>
      </c>
      <c r="N695" s="16" t="str">
        <f>equip.xml!P699</f>
        <v>10000_1002_50000,30000_30001_1,30000_30002_1,30000_30003_1</v>
      </c>
      <c r="O695">
        <f>equip.xml!R699</f>
        <v>0</v>
      </c>
    </row>
    <row r="696" spans="1:15">
      <c r="A696" s="14" t="str">
        <f>equip.xml!A700</f>
        <v>20502060</v>
      </c>
      <c r="B696" s="14">
        <f>equip.xml!B700</f>
        <v>1</v>
      </c>
      <c r="C696" s="14" t="str">
        <f>equip.xml!C700</f>
        <v>黑骨箭袋</v>
      </c>
      <c r="D696" s="14" t="str">
        <f>equip.xml!D700</f>
        <v>副手武器</v>
      </c>
      <c r="E696" s="14">
        <f>equip.xml!E700</f>
        <v>6</v>
      </c>
      <c r="F696" s="14">
        <f>equip.xml!F700</f>
        <v>2</v>
      </c>
      <c r="G696" s="14">
        <f>equip.xml!G700</f>
        <v>50</v>
      </c>
      <c r="H696" s="14" t="str">
        <f>equip.xml!H700</f>
        <v>2,1002</v>
      </c>
      <c r="I696" s="14">
        <f>equip.xml!J700</f>
        <v>10</v>
      </c>
      <c r="J696" s="14">
        <f>equip.xml!K700</f>
        <v>0</v>
      </c>
      <c r="K696" s="14">
        <f>equip.xml!L700</f>
        <v>0</v>
      </c>
      <c r="L696" s="14" t="str">
        <f>equip.xml!M700</f>
        <v>108_1401_1401</v>
      </c>
      <c r="M696" s="17" t="str">
        <f>equip.xml!Q700</f>
        <v>equipment/2210.png</v>
      </c>
      <c r="N696" s="16" t="str">
        <f>equip.xml!P700</f>
        <v>10000_1002_50000,30000_30001_1,30000_30002_1,30000_30003_1</v>
      </c>
      <c r="O696">
        <f>equip.xml!R700</f>
        <v>0</v>
      </c>
    </row>
    <row r="697" spans="1:15">
      <c r="A697" s="14" t="str">
        <f>equip.xml!A701</f>
        <v>20502061</v>
      </c>
      <c r="B697" s="14">
        <f>equip.xml!B701</f>
        <v>1</v>
      </c>
      <c r="C697" s="14" t="str">
        <f>equip.xml!C701</f>
        <v>符文箭筒</v>
      </c>
      <c r="D697" s="14" t="str">
        <f>equip.xml!D701</f>
        <v>副手武器</v>
      </c>
      <c r="E697" s="14">
        <f>equip.xml!E701</f>
        <v>6</v>
      </c>
      <c r="F697" s="14">
        <f>equip.xml!F701</f>
        <v>2</v>
      </c>
      <c r="G697" s="14">
        <f>equip.xml!G701</f>
        <v>50</v>
      </c>
      <c r="H697" s="14" t="str">
        <f>equip.xml!H701</f>
        <v>2,1002</v>
      </c>
      <c r="I697" s="14">
        <f>equip.xml!J701</f>
        <v>10</v>
      </c>
      <c r="J697" s="14">
        <f>equip.xml!K701</f>
        <v>0</v>
      </c>
      <c r="K697" s="14">
        <f>equip.xml!L701</f>
        <v>0</v>
      </c>
      <c r="L697" s="14" t="str">
        <f>equip.xml!M701</f>
        <v>108_1633_1633</v>
      </c>
      <c r="M697" s="17" t="str">
        <f>equip.xml!Q701</f>
        <v>equipment/2212.png</v>
      </c>
      <c r="N697" s="16" t="str">
        <f>equip.xml!P701</f>
        <v>10000_1002_50000,30000_30001_1,30000_30002_1,30000_30003_1</v>
      </c>
      <c r="O697">
        <f>equip.xml!R701</f>
        <v>0</v>
      </c>
    </row>
    <row r="698" spans="1:15">
      <c r="A698" s="14" t="str">
        <f>equip.xml!A702</f>
        <v>20503050</v>
      </c>
      <c r="B698" s="14">
        <f>equip.xml!B702</f>
        <v>1</v>
      </c>
      <c r="C698" s="14" t="str">
        <f>equip.xml!C702</f>
        <v>虚灵法杖</v>
      </c>
      <c r="D698" s="14" t="str">
        <f>equip.xml!D702</f>
        <v>主手武器</v>
      </c>
      <c r="E698" s="14">
        <f>equip.xml!E702</f>
        <v>5</v>
      </c>
      <c r="F698" s="14">
        <f>equip.xml!F702</f>
        <v>2</v>
      </c>
      <c r="G698" s="14">
        <f>equip.xml!G702</f>
        <v>50</v>
      </c>
      <c r="H698" s="14" t="str">
        <f>equip.xml!H702</f>
        <v>3,1003</v>
      </c>
      <c r="I698" s="14">
        <f>equip.xml!J702</f>
        <v>10</v>
      </c>
      <c r="J698" s="14">
        <f>equip.xml!K702</f>
        <v>0</v>
      </c>
      <c r="K698" s="14">
        <f>equip.xml!L702</f>
        <v>0</v>
      </c>
      <c r="L698" s="14" t="str">
        <f>equip.xml!M702</f>
        <v>103_1097_1097,104_2194_2194</v>
      </c>
      <c r="M698" s="17" t="str">
        <f>equip.xml!Q702</f>
        <v>equipment/1319.png</v>
      </c>
      <c r="N698" s="16" t="str">
        <f>equip.xml!P702</f>
        <v>10000_1002_50000,30000_30001_1,30000_30002_1,30000_30003_1</v>
      </c>
      <c r="O698">
        <f>equip.xml!R702</f>
        <v>0</v>
      </c>
    </row>
    <row r="699" spans="1:15">
      <c r="A699" s="14" t="str">
        <f>equip.xml!A703</f>
        <v>20503051</v>
      </c>
      <c r="B699" s="14">
        <f>equip.xml!B703</f>
        <v>1</v>
      </c>
      <c r="C699" s="14" t="str">
        <f>equip.xml!C703</f>
        <v>恒光巨杖</v>
      </c>
      <c r="D699" s="14" t="str">
        <f>equip.xml!D703</f>
        <v>主手武器</v>
      </c>
      <c r="E699" s="14">
        <f>equip.xml!E703</f>
        <v>5</v>
      </c>
      <c r="F699" s="14">
        <f>equip.xml!F703</f>
        <v>2</v>
      </c>
      <c r="G699" s="14">
        <f>equip.xml!G703</f>
        <v>50</v>
      </c>
      <c r="H699" s="14" t="str">
        <f>equip.xml!H703</f>
        <v>3,1003</v>
      </c>
      <c r="I699" s="14">
        <f>equip.xml!J703</f>
        <v>10</v>
      </c>
      <c r="J699" s="14">
        <f>equip.xml!K703</f>
        <v>0</v>
      </c>
      <c r="K699" s="14">
        <f>equip.xml!L703</f>
        <v>0</v>
      </c>
      <c r="L699" s="14" t="str">
        <f>equip.xml!M703</f>
        <v>103_1222_1222,104_2444_2444</v>
      </c>
      <c r="M699" s="17" t="str">
        <f>equip.xml!Q703</f>
        <v>equipment/1320.png</v>
      </c>
      <c r="N699" s="16" t="str">
        <f>equip.xml!P703</f>
        <v>10000_1002_50000,30000_30001_1,30000_30002_1,30000_30003_1</v>
      </c>
      <c r="O699">
        <f>equip.xml!R703</f>
        <v>0</v>
      </c>
    </row>
    <row r="700" spans="1:15">
      <c r="A700" s="14" t="str">
        <f>equip.xml!A704</f>
        <v>20503060</v>
      </c>
      <c r="B700" s="14">
        <f>equip.xml!B704</f>
        <v>1</v>
      </c>
      <c r="C700" s="14" t="str">
        <f>equip.xml!C704</f>
        <v>幻术之书</v>
      </c>
      <c r="D700" s="14" t="str">
        <f>equip.xml!D704</f>
        <v>副手武器</v>
      </c>
      <c r="E700" s="14">
        <f>equip.xml!E704</f>
        <v>6</v>
      </c>
      <c r="F700" s="14">
        <f>equip.xml!F704</f>
        <v>2</v>
      </c>
      <c r="G700" s="14">
        <f>equip.xml!G704</f>
        <v>50</v>
      </c>
      <c r="H700" s="14" t="str">
        <f>equip.xml!H704</f>
        <v>3,1003</v>
      </c>
      <c r="I700" s="14">
        <f>equip.xml!J704</f>
        <v>10</v>
      </c>
      <c r="J700" s="14">
        <f>equip.xml!K704</f>
        <v>0</v>
      </c>
      <c r="K700" s="14">
        <f>equip.xml!L704</f>
        <v>0</v>
      </c>
      <c r="L700" s="14" t="str">
        <f>equip.xml!M704</f>
        <v>102_1440_1440</v>
      </c>
      <c r="M700" s="17" t="str">
        <f>equip.xml!Q704</f>
        <v>equipment/2311.png</v>
      </c>
      <c r="N700" s="16" t="str">
        <f>equip.xml!P704</f>
        <v>10000_1002_50000,30000_30001_1,30000_30002_1,30000_30003_1</v>
      </c>
      <c r="O700">
        <f>equip.xml!R704</f>
        <v>0</v>
      </c>
    </row>
    <row r="701" spans="1:15">
      <c r="A701" s="14" t="str">
        <f>equip.xml!A705</f>
        <v>20503061</v>
      </c>
      <c r="B701" s="14">
        <f>equip.xml!B705</f>
        <v>1</v>
      </c>
      <c r="C701" s="14" t="str">
        <f>equip.xml!C705</f>
        <v>护咒之书</v>
      </c>
      <c r="D701" s="14" t="str">
        <f>equip.xml!D705</f>
        <v>副手武器</v>
      </c>
      <c r="E701" s="14">
        <f>equip.xml!E705</f>
        <v>6</v>
      </c>
      <c r="F701" s="14">
        <f>equip.xml!F705</f>
        <v>2</v>
      </c>
      <c r="G701" s="14">
        <f>equip.xml!G705</f>
        <v>50</v>
      </c>
      <c r="H701" s="14" t="str">
        <f>equip.xml!H705</f>
        <v>3,1003</v>
      </c>
      <c r="I701" s="14">
        <f>equip.xml!J705</f>
        <v>10</v>
      </c>
      <c r="J701" s="14">
        <f>equip.xml!K705</f>
        <v>0</v>
      </c>
      <c r="K701" s="14">
        <f>equip.xml!L705</f>
        <v>0</v>
      </c>
      <c r="L701" s="14" t="str">
        <f>equip.xml!M705</f>
        <v>102_1633_1633</v>
      </c>
      <c r="M701" s="17" t="str">
        <f>equip.xml!Q705</f>
        <v>equipment/2312.png</v>
      </c>
      <c r="N701" s="16" t="str">
        <f>equip.xml!P705</f>
        <v>10000_1002_50000,30000_30001_1,30000_30002_1,30000_30003_1</v>
      </c>
      <c r="O701">
        <f>equip.xml!R705</f>
        <v>0</v>
      </c>
    </row>
    <row r="702" spans="1:15">
      <c r="A702" s="14" t="str">
        <f>equip.xml!A706</f>
        <v>20500040</v>
      </c>
      <c r="B702" s="14">
        <f>equip.xml!B706</f>
        <v>1</v>
      </c>
      <c r="C702" s="14" t="str">
        <f>equip.xml!C706</f>
        <v>皇家护胸</v>
      </c>
      <c r="D702" s="14" t="str">
        <f>equip.xml!D706</f>
        <v>胸甲</v>
      </c>
      <c r="E702" s="14">
        <f>equip.xml!E706</f>
        <v>4</v>
      </c>
      <c r="F702" s="14">
        <f>equip.xml!F706</f>
        <v>2</v>
      </c>
      <c r="G702" s="14">
        <f>equip.xml!G706</f>
        <v>50</v>
      </c>
      <c r="H702" s="14">
        <f>equip.xml!H706</f>
        <v>0</v>
      </c>
      <c r="I702" s="14">
        <f>equip.xml!J706</f>
        <v>10</v>
      </c>
      <c r="J702" s="14">
        <f>equip.xml!K706</f>
        <v>0</v>
      </c>
      <c r="K702" s="14">
        <f>equip.xml!L706</f>
        <v>0</v>
      </c>
      <c r="L702" s="14" t="str">
        <f>equip.xml!M706</f>
        <v>105_780_780</v>
      </c>
      <c r="M702" s="17" t="str">
        <f>equip.xml!Q706</f>
        <v>equipment/5003.png</v>
      </c>
      <c r="N702" s="16" t="str">
        <f>equip.xml!P706</f>
        <v>10000_1002_50000,30000_30001_1,30000_30002_1,30000_30003_1</v>
      </c>
      <c r="O702">
        <f>equip.xml!R706</f>
        <v>0</v>
      </c>
    </row>
    <row r="703" spans="1:15">
      <c r="A703" s="14" t="str">
        <f>equip.xml!A707</f>
        <v>20500041</v>
      </c>
      <c r="B703" s="14">
        <f>equip.xml!B707</f>
        <v>0</v>
      </c>
      <c r="C703" s="14" t="str">
        <f>equip.xml!C707</f>
        <v>新兵外套</v>
      </c>
      <c r="D703" s="14" t="str">
        <f>equip.xml!D707</f>
        <v>胸甲</v>
      </c>
      <c r="E703" s="14">
        <f>equip.xml!E707</f>
        <v>4</v>
      </c>
      <c r="F703" s="14">
        <f>equip.xml!F707</f>
        <v>2</v>
      </c>
      <c r="G703" s="14">
        <f>equip.xml!G707</f>
        <v>50</v>
      </c>
      <c r="H703" s="14">
        <f>equip.xml!H707</f>
        <v>0</v>
      </c>
      <c r="I703" s="14">
        <f>equip.xml!J707</f>
        <v>10</v>
      </c>
      <c r="J703" s="14">
        <f>equip.xml!K707</f>
        <v>0</v>
      </c>
      <c r="K703" s="14">
        <f>equip.xml!L707</f>
        <v>0</v>
      </c>
      <c r="L703" s="14" t="str">
        <f>equip.xml!M707</f>
        <v>105_929_929</v>
      </c>
      <c r="M703" s="17" t="str">
        <f>equip.xml!Q707</f>
        <v>equipment/5001.png</v>
      </c>
      <c r="N703" s="16" t="str">
        <f>equip.xml!P707</f>
        <v>10000_1002_50000,30000_30001_1,30000_30002_1,30000_30003_1</v>
      </c>
      <c r="O703">
        <f>equip.xml!R707</f>
        <v>0</v>
      </c>
    </row>
    <row r="704" spans="1:15">
      <c r="A704" s="14" t="str">
        <f>equip.xml!A708</f>
        <v>20500070</v>
      </c>
      <c r="B704" s="14">
        <f>equip.xml!B708</f>
        <v>1</v>
      </c>
      <c r="C704" s="14" t="str">
        <f>equip.xml!C708</f>
        <v>凯旋腿甲</v>
      </c>
      <c r="D704" s="14" t="str">
        <f>equip.xml!D708</f>
        <v>护腿</v>
      </c>
      <c r="E704" s="14">
        <f>equip.xml!E708</f>
        <v>7</v>
      </c>
      <c r="F704" s="14">
        <f>equip.xml!F708</f>
        <v>2</v>
      </c>
      <c r="G704" s="14">
        <f>equip.xml!G708</f>
        <v>50</v>
      </c>
      <c r="H704" s="14">
        <f>equip.xml!H708</f>
        <v>0</v>
      </c>
      <c r="I704" s="14">
        <f>equip.xml!J708</f>
        <v>10</v>
      </c>
      <c r="J704" s="14">
        <f>equip.xml!K708</f>
        <v>0</v>
      </c>
      <c r="K704" s="14">
        <f>equip.xml!L708</f>
        <v>0</v>
      </c>
      <c r="L704" s="14" t="str">
        <f>equip.xml!M708</f>
        <v>105_628_628</v>
      </c>
      <c r="M704" s="17" t="str">
        <f>equip.xml!Q708</f>
        <v>equipment/7012.png</v>
      </c>
      <c r="N704" s="16" t="str">
        <f>equip.xml!P708</f>
        <v>10000_1002_50000,30000_30001_1,30000_30002_1,30000_30003_1</v>
      </c>
      <c r="O704">
        <f>equip.xml!R708</f>
        <v>0</v>
      </c>
    </row>
    <row r="705" spans="1:15">
      <c r="A705" s="14" t="str">
        <f>equip.xml!A709</f>
        <v>20500071</v>
      </c>
      <c r="B705" s="14">
        <f>equip.xml!B709</f>
        <v>0</v>
      </c>
      <c r="C705" s="14" t="str">
        <f>equip.xml!C709</f>
        <v>学徒短裤</v>
      </c>
      <c r="D705" s="14" t="str">
        <f>equip.xml!D709</f>
        <v>护腿</v>
      </c>
      <c r="E705" s="14">
        <f>equip.xml!E709</f>
        <v>7</v>
      </c>
      <c r="F705" s="14">
        <f>equip.xml!F709</f>
        <v>2</v>
      </c>
      <c r="G705" s="14">
        <f>equip.xml!G709</f>
        <v>50</v>
      </c>
      <c r="H705" s="14">
        <f>equip.xml!H709</f>
        <v>0</v>
      </c>
      <c r="I705" s="14">
        <f>equip.xml!J709</f>
        <v>10</v>
      </c>
      <c r="J705" s="14">
        <f>equip.xml!K709</f>
        <v>0</v>
      </c>
      <c r="K705" s="14">
        <f>equip.xml!L709</f>
        <v>0</v>
      </c>
      <c r="L705" s="14" t="str">
        <f>equip.xml!M709</f>
        <v>105_689_689</v>
      </c>
      <c r="M705" s="17" t="str">
        <f>equip.xml!Q709</f>
        <v>equipment/7001.png</v>
      </c>
      <c r="N705" s="16" t="str">
        <f>equip.xml!P709</f>
        <v>10000_1002_50000,30000_30001_1,30000_30002_1,30000_30003_1</v>
      </c>
      <c r="O705">
        <f>equip.xml!R709</f>
        <v>0</v>
      </c>
    </row>
    <row r="706" spans="1:15">
      <c r="A706" s="14" t="str">
        <f>equip.xml!A710</f>
        <v>20550010</v>
      </c>
      <c r="B706" s="14">
        <f>equip.xml!B710</f>
        <v>1</v>
      </c>
      <c r="C706" s="14" t="str">
        <f>equip.xml!C710</f>
        <v>银月头盔</v>
      </c>
      <c r="D706" s="14" t="str">
        <f>equip.xml!D710</f>
        <v>头盔</v>
      </c>
      <c r="E706" s="14">
        <f>equip.xml!E710</f>
        <v>1</v>
      </c>
      <c r="F706" s="14">
        <f>equip.xml!F710</f>
        <v>2</v>
      </c>
      <c r="G706" s="14">
        <f>equip.xml!G710</f>
        <v>55</v>
      </c>
      <c r="H706" s="14">
        <f>equip.xml!H710</f>
        <v>0</v>
      </c>
      <c r="I706" s="14">
        <f>equip.xml!J710</f>
        <v>10</v>
      </c>
      <c r="J706" s="14">
        <f>equip.xml!K710</f>
        <v>0</v>
      </c>
      <c r="K706" s="14">
        <f>equip.xml!L710</f>
        <v>0</v>
      </c>
      <c r="L706" s="14" t="str">
        <f>equip.xml!M710</f>
        <v>106_1291_1291</v>
      </c>
      <c r="M706" s="17" t="str">
        <f>equip.xml!Q710</f>
        <v>equipment/3009.png</v>
      </c>
      <c r="N706" s="16" t="str">
        <f>equip.xml!P710</f>
        <v>10000_1002_55000,30000_30001_1,30000_30002_1,30000_30003_1</v>
      </c>
      <c r="O706">
        <f>equip.xml!R710</f>
        <v>0</v>
      </c>
    </row>
    <row r="707" spans="1:15">
      <c r="A707" s="14" t="str">
        <f>equip.xml!A711</f>
        <v>20550020</v>
      </c>
      <c r="B707" s="14">
        <f>equip.xml!B711</f>
        <v>1</v>
      </c>
      <c r="C707" s="14" t="str">
        <f>equip.xml!C711</f>
        <v>镇魂之戒</v>
      </c>
      <c r="D707" s="14" t="str">
        <f>equip.xml!D711</f>
        <v>戒指</v>
      </c>
      <c r="E707" s="14">
        <f>equip.xml!E711</f>
        <v>2</v>
      </c>
      <c r="F707" s="14">
        <f>equip.xml!F711</f>
        <v>2</v>
      </c>
      <c r="G707" s="14">
        <f>equip.xml!G711</f>
        <v>55</v>
      </c>
      <c r="H707" s="14">
        <f>equip.xml!H711</f>
        <v>0</v>
      </c>
      <c r="I707" s="14">
        <f>equip.xml!J711</f>
        <v>10</v>
      </c>
      <c r="J707" s="14">
        <f>equip.xml!K711</f>
        <v>0</v>
      </c>
      <c r="K707" s="14">
        <f>equip.xml!L711</f>
        <v>0</v>
      </c>
      <c r="L707" s="14" t="str">
        <f>equip.xml!M711</f>
        <v>102_1080_1080</v>
      </c>
      <c r="M707" s="17" t="str">
        <f>equip.xml!Q711</f>
        <v>equipment/14009.png</v>
      </c>
      <c r="N707" s="16" t="str">
        <f>equip.xml!P711</f>
        <v>10000_1002_55000,30000_30001_1,30000_30002_1,30000_30003_1</v>
      </c>
      <c r="O707">
        <f>equip.xml!R711</f>
        <v>0</v>
      </c>
    </row>
    <row r="708" spans="1:15">
      <c r="A708" s="14" t="str">
        <f>equip.xml!A712</f>
        <v>20550030</v>
      </c>
      <c r="B708" s="14">
        <f>equip.xml!B712</f>
        <v>1</v>
      </c>
      <c r="C708" s="14" t="str">
        <f>equip.xml!C712</f>
        <v>魔鳞腰带</v>
      </c>
      <c r="D708" s="14" t="str">
        <f>equip.xml!D712</f>
        <v>腰带</v>
      </c>
      <c r="E708" s="14">
        <f>equip.xml!E712</f>
        <v>3</v>
      </c>
      <c r="F708" s="14">
        <f>equip.xml!F712</f>
        <v>2</v>
      </c>
      <c r="G708" s="14">
        <f>equip.xml!G712</f>
        <v>55</v>
      </c>
      <c r="H708" s="14">
        <f>equip.xml!H712</f>
        <v>0</v>
      </c>
      <c r="I708" s="14">
        <f>equip.xml!J712</f>
        <v>10</v>
      </c>
      <c r="J708" s="14">
        <f>equip.xml!K712</f>
        <v>0</v>
      </c>
      <c r="K708" s="14">
        <f>equip.xml!L712</f>
        <v>0</v>
      </c>
      <c r="L708" s="14" t="str">
        <f>equip.xml!M712</f>
        <v>101_12800_12800</v>
      </c>
      <c r="M708" s="17" t="str">
        <f>equip.xml!Q712</f>
        <v>equipment/6004.png</v>
      </c>
      <c r="N708" s="16" t="str">
        <f>equip.xml!P712</f>
        <v>10000_1002_55000,30000_30001_1,30000_30002_1,30000_30003_1</v>
      </c>
      <c r="O708">
        <f>equip.xml!R712</f>
        <v>0</v>
      </c>
    </row>
    <row r="709" spans="1:15">
      <c r="A709" s="14" t="str">
        <f>equip.xml!A713</f>
        <v>20550080</v>
      </c>
      <c r="B709" s="14">
        <f>equip.xml!B713</f>
        <v>1</v>
      </c>
      <c r="C709" s="14" t="str">
        <f>equip.xml!C713</f>
        <v>天行者之靴</v>
      </c>
      <c r="D709" s="14" t="str">
        <f>equip.xml!D713</f>
        <v>鞋子</v>
      </c>
      <c r="E709" s="14">
        <f>equip.xml!E713</f>
        <v>8</v>
      </c>
      <c r="F709" s="14">
        <f>equip.xml!F713</f>
        <v>2</v>
      </c>
      <c r="G709" s="14">
        <f>equip.xml!G713</f>
        <v>55</v>
      </c>
      <c r="H709" s="14">
        <f>equip.xml!H713</f>
        <v>0</v>
      </c>
      <c r="I709" s="14">
        <f>equip.xml!J713</f>
        <v>10</v>
      </c>
      <c r="J709" s="14">
        <f>equip.xml!K713</f>
        <v>0</v>
      </c>
      <c r="K709" s="14">
        <f>equip.xml!L713</f>
        <v>0</v>
      </c>
      <c r="L709" s="14" t="str">
        <f>equip.xml!M713</f>
        <v>110_219_219</v>
      </c>
      <c r="M709" s="17" t="str">
        <f>equip.xml!Q713</f>
        <v>equipment/8009.png</v>
      </c>
      <c r="N709" s="16" t="str">
        <f>equip.xml!P713</f>
        <v>10000_1002_55000,30000_30001_1,30000_30002_1,30000_30003_1</v>
      </c>
      <c r="O709">
        <f>equip.xml!R713</f>
        <v>0</v>
      </c>
    </row>
    <row r="710" spans="1:15">
      <c r="A710" s="14" t="str">
        <f>equip.xml!A714</f>
        <v>20550090</v>
      </c>
      <c r="B710" s="14">
        <f>equip.xml!B714</f>
        <v>0</v>
      </c>
      <c r="C710" s="14" t="str">
        <f>equip.xml!C714</f>
        <v>轻布手套</v>
      </c>
      <c r="D710" s="14" t="str">
        <f>equip.xml!D714</f>
        <v>手套</v>
      </c>
      <c r="E710" s="14">
        <f>equip.xml!E714</f>
        <v>9</v>
      </c>
      <c r="F710" s="14">
        <f>equip.xml!F714</f>
        <v>2</v>
      </c>
      <c r="G710" s="14">
        <f>equip.xml!G714</f>
        <v>55</v>
      </c>
      <c r="H710" s="14">
        <f>equip.xml!H714</f>
        <v>0</v>
      </c>
      <c r="I710" s="14">
        <f>equip.xml!J714</f>
        <v>10</v>
      </c>
      <c r="J710" s="14">
        <f>equip.xml!K714</f>
        <v>0</v>
      </c>
      <c r="K710" s="14">
        <f>equip.xml!L714</f>
        <v>0</v>
      </c>
      <c r="L710" s="14" t="str">
        <f>equip.xml!M714</f>
        <v>108_1726_1726</v>
      </c>
      <c r="M710" s="17" t="str">
        <f>equip.xml!Q714</f>
        <v>equipment/10006.png</v>
      </c>
      <c r="N710" s="16" t="str">
        <f>equip.xml!P714</f>
        <v>10000_1002_55000,30000_30001_1,30000_30002_1,30000_30003_1</v>
      </c>
      <c r="O710">
        <f>equip.xml!R714</f>
        <v>0</v>
      </c>
    </row>
    <row r="711" spans="1:15">
      <c r="A711" s="14" t="str">
        <f>equip.xml!A715</f>
        <v>20550100</v>
      </c>
      <c r="B711" s="14">
        <f>equip.xml!B715</f>
        <v>1</v>
      </c>
      <c r="C711" s="14" t="str">
        <f>equip.xml!C715</f>
        <v>遗忘石坠</v>
      </c>
      <c r="D711" s="14" t="str">
        <f>equip.xml!D715</f>
        <v>项链</v>
      </c>
      <c r="E711" s="14">
        <f>equip.xml!E715</f>
        <v>10</v>
      </c>
      <c r="F711" s="14">
        <f>equip.xml!F715</f>
        <v>2</v>
      </c>
      <c r="G711" s="14">
        <f>equip.xml!G715</f>
        <v>55</v>
      </c>
      <c r="H711" s="14">
        <f>equip.xml!H715</f>
        <v>0</v>
      </c>
      <c r="I711" s="14">
        <f>equip.xml!J715</f>
        <v>10</v>
      </c>
      <c r="J711" s="14">
        <f>equip.xml!K715</f>
        <v>0</v>
      </c>
      <c r="K711" s="14">
        <f>equip.xml!L715</f>
        <v>0</v>
      </c>
      <c r="L711" s="14" t="str">
        <f>equip.xml!M715</f>
        <v>107_1291_1291</v>
      </c>
      <c r="M711" s="17" t="str">
        <f>equip.xml!Q715</f>
        <v>equipment/12009.png</v>
      </c>
      <c r="N711" s="16" t="str">
        <f>equip.xml!P715</f>
        <v>10000_1002_55000,30000_30001_1,30000_30002_1,30000_30003_1</v>
      </c>
      <c r="O711">
        <f>equip.xml!R715</f>
        <v>0</v>
      </c>
    </row>
    <row r="712" spans="1:15">
      <c r="A712" s="14" t="str">
        <f>equip.xml!A716</f>
        <v>20551050</v>
      </c>
      <c r="B712" s="14">
        <f>equip.xml!B716</f>
        <v>1</v>
      </c>
      <c r="C712" s="14" t="str">
        <f>equip.xml!C716</f>
        <v>噬魂符剑</v>
      </c>
      <c r="D712" s="14" t="str">
        <f>equip.xml!D716</f>
        <v>主手武器</v>
      </c>
      <c r="E712" s="14">
        <f>equip.xml!E716</f>
        <v>5</v>
      </c>
      <c r="F712" s="14">
        <f>equip.xml!F716</f>
        <v>2</v>
      </c>
      <c r="G712" s="14">
        <f>equip.xml!G716</f>
        <v>55</v>
      </c>
      <c r="H712" s="14" t="str">
        <f>equip.xml!H716</f>
        <v>1,1001</v>
      </c>
      <c r="I712" s="14">
        <f>equip.xml!J716</f>
        <v>10</v>
      </c>
      <c r="J712" s="14">
        <f>equip.xml!K716</f>
        <v>0</v>
      </c>
      <c r="K712" s="14">
        <f>equip.xml!L716</f>
        <v>0</v>
      </c>
      <c r="L712" s="14" t="str">
        <f>equip.xml!M716</f>
        <v>103_1409_1409,104_2818_2818</v>
      </c>
      <c r="M712" s="17" t="str">
        <f>equip.xml!Q716</f>
        <v>equipment/1121.png</v>
      </c>
      <c r="N712" s="16" t="str">
        <f>equip.xml!P716</f>
        <v>10000_1002_55000,30000_30001_1,30000_30002_1,30000_30003_1</v>
      </c>
      <c r="O712">
        <f>equip.xml!R716</f>
        <v>0</v>
      </c>
    </row>
    <row r="713" spans="1:15">
      <c r="A713" s="14" t="str">
        <f>equip.xml!A717</f>
        <v>20551051</v>
      </c>
      <c r="B713" s="14">
        <f>equip.xml!B717</f>
        <v>0</v>
      </c>
      <c r="C713" s="14" t="str">
        <f>equip.xml!C717</f>
        <v>军刀</v>
      </c>
      <c r="D713" s="14" t="str">
        <f>equip.xml!D717</f>
        <v>主手武器</v>
      </c>
      <c r="E713" s="14">
        <f>equip.xml!E717</f>
        <v>5</v>
      </c>
      <c r="F713" s="14">
        <f>equip.xml!F717</f>
        <v>2</v>
      </c>
      <c r="G713" s="14">
        <f>equip.xml!G717</f>
        <v>55</v>
      </c>
      <c r="H713" s="14" t="str">
        <f>equip.xml!H717</f>
        <v>1,1001</v>
      </c>
      <c r="I713" s="14">
        <f>equip.xml!J717</f>
        <v>10</v>
      </c>
      <c r="J713" s="14">
        <f>equip.xml!K717</f>
        <v>0</v>
      </c>
      <c r="K713" s="14">
        <f>equip.xml!L717</f>
        <v>0</v>
      </c>
      <c r="L713" s="14" t="str">
        <f>equip.xml!M717</f>
        <v>103_1648_1648,104_3296_3296</v>
      </c>
      <c r="M713" s="17" t="str">
        <f>equip.xml!Q717</f>
        <v>equipment/1101.png</v>
      </c>
      <c r="N713" s="16" t="str">
        <f>equip.xml!P717</f>
        <v>10000_1002_55000,30000_30001_1,30000_30002_1,30000_30003_1</v>
      </c>
      <c r="O713">
        <f>equip.xml!R717</f>
        <v>0</v>
      </c>
    </row>
    <row r="714" spans="1:15">
      <c r="A714" s="14" t="str">
        <f>equip.xml!A718</f>
        <v>20551060</v>
      </c>
      <c r="B714" s="14">
        <f>equip.xml!B718</f>
        <v>1</v>
      </c>
      <c r="C714" s="14" t="str">
        <f>equip.xml!C718</f>
        <v>反射壁垒</v>
      </c>
      <c r="D714" s="14" t="str">
        <f>equip.xml!D718</f>
        <v>副手武器</v>
      </c>
      <c r="E714" s="14">
        <f>equip.xml!E718</f>
        <v>6</v>
      </c>
      <c r="F714" s="14">
        <f>equip.xml!F718</f>
        <v>2</v>
      </c>
      <c r="G714" s="14">
        <f>equip.xml!G718</f>
        <v>55</v>
      </c>
      <c r="H714" s="14" t="str">
        <f>equip.xml!H718</f>
        <v>1,1001</v>
      </c>
      <c r="I714" s="14">
        <f>equip.xml!J718</f>
        <v>10</v>
      </c>
      <c r="J714" s="14">
        <f>equip.xml!K718</f>
        <v>0</v>
      </c>
      <c r="K714" s="14">
        <f>equip.xml!L718</f>
        <v>0</v>
      </c>
      <c r="L714" s="14" t="str">
        <f>equip.xml!M718</f>
        <v>105_1981_1981</v>
      </c>
      <c r="M714" s="17" t="str">
        <f>equip.xml!Q718</f>
        <v>equipment/2113.png</v>
      </c>
      <c r="N714" s="16" t="str">
        <f>equip.xml!P718</f>
        <v>10000_1002_55000,30000_30001_1,30000_30002_1,30000_30003_1</v>
      </c>
      <c r="O714">
        <f>equip.xml!R718</f>
        <v>0</v>
      </c>
    </row>
    <row r="715" spans="1:15">
      <c r="A715" s="14" t="str">
        <f>equip.xml!A719</f>
        <v>20551061</v>
      </c>
      <c r="B715" s="14">
        <f>equip.xml!B719</f>
        <v>1</v>
      </c>
      <c r="C715" s="14" t="str">
        <f>equip.xml!C719</f>
        <v>巨龙之盾</v>
      </c>
      <c r="D715" s="14" t="str">
        <f>equip.xml!D719</f>
        <v>副手武器</v>
      </c>
      <c r="E715" s="14">
        <f>equip.xml!E719</f>
        <v>6</v>
      </c>
      <c r="F715" s="14">
        <f>equip.xml!F719</f>
        <v>2</v>
      </c>
      <c r="G715" s="14">
        <f>equip.xml!G719</f>
        <v>55</v>
      </c>
      <c r="H715" s="14" t="str">
        <f>equip.xml!H719</f>
        <v>1,1001</v>
      </c>
      <c r="I715" s="14">
        <f>equip.xml!J719</f>
        <v>10</v>
      </c>
      <c r="J715" s="14">
        <f>equip.xml!K719</f>
        <v>0</v>
      </c>
      <c r="K715" s="14">
        <f>equip.xml!L719</f>
        <v>0</v>
      </c>
      <c r="L715" s="14" t="str">
        <f>equip.xml!M719</f>
        <v>105_2195_2195</v>
      </c>
      <c r="M715" s="17" t="str">
        <f>equip.xml!Q719</f>
        <v>equipment/2114.png</v>
      </c>
      <c r="N715" s="16" t="str">
        <f>equip.xml!P719</f>
        <v>10000_1002_55000,30000_30001_1,30000_30002_1,30000_30003_1</v>
      </c>
      <c r="O715">
        <f>equip.xml!R719</f>
        <v>0</v>
      </c>
    </row>
    <row r="716" spans="1:15">
      <c r="A716" s="14" t="str">
        <f>equip.xml!A720</f>
        <v>20552050</v>
      </c>
      <c r="B716" s="14">
        <f>equip.xml!B720</f>
        <v>1</v>
      </c>
      <c r="C716" s="14" t="str">
        <f>equip.xml!C720</f>
        <v>魂击长弓</v>
      </c>
      <c r="D716" s="14" t="str">
        <f>equip.xml!D720</f>
        <v>主手武器</v>
      </c>
      <c r="E716" s="14">
        <f>equip.xml!E720</f>
        <v>5</v>
      </c>
      <c r="F716" s="14">
        <f>equip.xml!F720</f>
        <v>2</v>
      </c>
      <c r="G716" s="14">
        <f>equip.xml!G720</f>
        <v>55</v>
      </c>
      <c r="H716" s="14" t="str">
        <f>equip.xml!H720</f>
        <v>2,1002</v>
      </c>
      <c r="I716" s="14">
        <f>equip.xml!J720</f>
        <v>10</v>
      </c>
      <c r="J716" s="14">
        <f>equip.xml!K720</f>
        <v>0</v>
      </c>
      <c r="K716" s="14">
        <f>equip.xml!L720</f>
        <v>0</v>
      </c>
      <c r="L716" s="14" t="str">
        <f>equip.xml!M720</f>
        <v>103_1409_1409,104_2818_2818</v>
      </c>
      <c r="M716" s="17" t="str">
        <f>equip.xml!Q720</f>
        <v>equipment/1219.png</v>
      </c>
      <c r="N716" s="16" t="str">
        <f>equip.xml!P720</f>
        <v>10000_1002_55000,30000_30001_1,30000_30002_1,30000_30003_1</v>
      </c>
      <c r="O716">
        <f>equip.xml!R720</f>
        <v>0</v>
      </c>
    </row>
    <row r="717" spans="1:15">
      <c r="A717" s="14" t="str">
        <f>equip.xml!A721</f>
        <v>20552051</v>
      </c>
      <c r="B717" s="14">
        <f>equip.xml!B721</f>
        <v>0</v>
      </c>
      <c r="C717" s="14" t="str">
        <f>equip.xml!C721</f>
        <v>棘木弓</v>
      </c>
      <c r="D717" s="14" t="str">
        <f>equip.xml!D721</f>
        <v>主手武器</v>
      </c>
      <c r="E717" s="14">
        <f>equip.xml!E721</f>
        <v>5</v>
      </c>
      <c r="F717" s="14">
        <f>equip.xml!F721</f>
        <v>2</v>
      </c>
      <c r="G717" s="14">
        <f>equip.xml!G721</f>
        <v>55</v>
      </c>
      <c r="H717" s="14" t="str">
        <f>equip.xml!H721</f>
        <v>2,1002</v>
      </c>
      <c r="I717" s="14">
        <f>equip.xml!J721</f>
        <v>10</v>
      </c>
      <c r="J717" s="14">
        <f>equip.xml!K721</f>
        <v>0</v>
      </c>
      <c r="K717" s="14">
        <f>equip.xml!L721</f>
        <v>0</v>
      </c>
      <c r="L717" s="14" t="str">
        <f>equip.xml!M721</f>
        <v>103_1648_1648,104_3296_3296</v>
      </c>
      <c r="M717" s="17" t="str">
        <f>equip.xml!Q721</f>
        <v>equipment/1201.png</v>
      </c>
      <c r="N717" s="16" t="str">
        <f>equip.xml!P721</f>
        <v>10000_1002_55000,30000_30001_1,30000_30002_1,30000_30003_1</v>
      </c>
      <c r="O717">
        <f>equip.xml!R721</f>
        <v>0</v>
      </c>
    </row>
    <row r="718" spans="1:15">
      <c r="A718" s="14" t="str">
        <f>equip.xml!A722</f>
        <v>20552060</v>
      </c>
      <c r="B718" s="14">
        <f>equip.xml!B722</f>
        <v>1</v>
      </c>
      <c r="C718" s="14" t="str">
        <f>equip.xml!C722</f>
        <v>银矢箭筒</v>
      </c>
      <c r="D718" s="14" t="str">
        <f>equip.xml!D722</f>
        <v>副手武器</v>
      </c>
      <c r="E718" s="14">
        <f>equip.xml!E722</f>
        <v>6</v>
      </c>
      <c r="F718" s="14">
        <f>equip.xml!F722</f>
        <v>2</v>
      </c>
      <c r="G718" s="14">
        <f>equip.xml!G722</f>
        <v>55</v>
      </c>
      <c r="H718" s="14" t="str">
        <f>equip.xml!H722</f>
        <v>2,1002</v>
      </c>
      <c r="I718" s="14">
        <f>equip.xml!J722</f>
        <v>10</v>
      </c>
      <c r="J718" s="14">
        <f>equip.xml!K722</f>
        <v>0</v>
      </c>
      <c r="K718" s="14">
        <f>equip.xml!L722</f>
        <v>0</v>
      </c>
      <c r="L718" s="14" t="str">
        <f>equip.xml!M722</f>
        <v>108_1981_1981</v>
      </c>
      <c r="M718" s="17" t="str">
        <f>equip.xml!Q722</f>
        <v>equipment/2213.png</v>
      </c>
      <c r="N718" s="16" t="str">
        <f>equip.xml!P722</f>
        <v>10000_1002_55000,30000_30001_1,30000_30002_1,30000_30003_1</v>
      </c>
      <c r="O718">
        <f>equip.xml!R722</f>
        <v>0</v>
      </c>
    </row>
    <row r="719" spans="1:15">
      <c r="A719" s="14" t="str">
        <f>equip.xml!A723</f>
        <v>20552061</v>
      </c>
      <c r="B719" s="14">
        <f>equip.xml!B723</f>
        <v>1</v>
      </c>
      <c r="C719" s="14" t="str">
        <f>equip.xml!C723</f>
        <v>日怒箭筒</v>
      </c>
      <c r="D719" s="14" t="str">
        <f>equip.xml!D723</f>
        <v>副手武器</v>
      </c>
      <c r="E719" s="14">
        <f>equip.xml!E723</f>
        <v>6</v>
      </c>
      <c r="F719" s="14">
        <f>equip.xml!F723</f>
        <v>2</v>
      </c>
      <c r="G719" s="14">
        <f>equip.xml!G723</f>
        <v>55</v>
      </c>
      <c r="H719" s="14" t="str">
        <f>equip.xml!H723</f>
        <v>2,1002</v>
      </c>
      <c r="I719" s="14">
        <f>equip.xml!J723</f>
        <v>10</v>
      </c>
      <c r="J719" s="14">
        <f>equip.xml!K723</f>
        <v>0</v>
      </c>
      <c r="K719" s="14">
        <f>equip.xml!L723</f>
        <v>0</v>
      </c>
      <c r="L719" s="14" t="str">
        <f>equip.xml!M723</f>
        <v>108_2195_2195</v>
      </c>
      <c r="M719" s="17" t="str">
        <f>equip.xml!Q723</f>
        <v>equipment/2214.png</v>
      </c>
      <c r="N719" s="16" t="str">
        <f>equip.xml!P723</f>
        <v>10000_1002_55000,30000_30001_1,30000_30002_1,30000_30003_1</v>
      </c>
      <c r="O719">
        <f>equip.xml!R723</f>
        <v>0</v>
      </c>
    </row>
    <row r="720" spans="1:15">
      <c r="A720" s="14" t="str">
        <f>equip.xml!A724</f>
        <v>20553050</v>
      </c>
      <c r="B720" s="14">
        <f>equip.xml!B724</f>
        <v>1</v>
      </c>
      <c r="C720" s="14" t="str">
        <f>equip.xml!C724</f>
        <v>寒霜之怒</v>
      </c>
      <c r="D720" s="14" t="str">
        <f>equip.xml!D724</f>
        <v>主手武器</v>
      </c>
      <c r="E720" s="14">
        <f>equip.xml!E724</f>
        <v>5</v>
      </c>
      <c r="F720" s="14">
        <f>equip.xml!F724</f>
        <v>2</v>
      </c>
      <c r="G720" s="14">
        <f>equip.xml!G724</f>
        <v>55</v>
      </c>
      <c r="H720" s="14" t="str">
        <f>equip.xml!H724</f>
        <v>3,1003</v>
      </c>
      <c r="I720" s="14">
        <f>equip.xml!J724</f>
        <v>10</v>
      </c>
      <c r="J720" s="14">
        <f>equip.xml!K724</f>
        <v>0</v>
      </c>
      <c r="K720" s="14">
        <f>equip.xml!L724</f>
        <v>0</v>
      </c>
      <c r="L720" s="14" t="str">
        <f>equip.xml!M724</f>
        <v>103_1409_1409,104_2818_2818</v>
      </c>
      <c r="M720" s="17" t="str">
        <f>equip.xml!Q724</f>
        <v>equipment/1321.png</v>
      </c>
      <c r="N720" s="16" t="str">
        <f>equip.xml!P724</f>
        <v>10000_1002_55000,30000_30001_1,30000_30002_1,30000_30003_1</v>
      </c>
      <c r="O720">
        <f>equip.xml!R724</f>
        <v>0</v>
      </c>
    </row>
    <row r="721" spans="1:15">
      <c r="A721" s="14" t="str">
        <f>equip.xml!A725</f>
        <v>20553051</v>
      </c>
      <c r="B721" s="14">
        <f>equip.xml!B725</f>
        <v>0</v>
      </c>
      <c r="C721" s="14" t="str">
        <f>equip.xml!C725</f>
        <v>学徒法杖</v>
      </c>
      <c r="D721" s="14" t="str">
        <f>equip.xml!D725</f>
        <v>主手武器</v>
      </c>
      <c r="E721" s="14">
        <f>equip.xml!E725</f>
        <v>5</v>
      </c>
      <c r="F721" s="14">
        <f>equip.xml!F725</f>
        <v>2</v>
      </c>
      <c r="G721" s="14">
        <f>equip.xml!G725</f>
        <v>55</v>
      </c>
      <c r="H721" s="14" t="str">
        <f>equip.xml!H725</f>
        <v>3,1003</v>
      </c>
      <c r="I721" s="14">
        <f>equip.xml!J725</f>
        <v>10</v>
      </c>
      <c r="J721" s="14">
        <f>equip.xml!K725</f>
        <v>0</v>
      </c>
      <c r="K721" s="14">
        <f>equip.xml!L725</f>
        <v>0</v>
      </c>
      <c r="L721" s="14" t="str">
        <f>equip.xml!M725</f>
        <v>103_1648_1648,104_3296_3296</v>
      </c>
      <c r="M721" s="17" t="str">
        <f>equip.xml!Q725</f>
        <v>equipment/1301.png</v>
      </c>
      <c r="N721" s="16" t="str">
        <f>equip.xml!P725</f>
        <v>10000_1002_55000,30000_30001_1,30000_30002_1,30000_30003_1</v>
      </c>
      <c r="O721">
        <f>equip.xml!R725</f>
        <v>0</v>
      </c>
    </row>
    <row r="722" spans="1:15">
      <c r="A722" s="14" t="str">
        <f>equip.xml!A726</f>
        <v>20553060</v>
      </c>
      <c r="B722" s="14">
        <f>equip.xml!B726</f>
        <v>1</v>
      </c>
      <c r="C722" s="14" t="str">
        <f>equip.xml!C726</f>
        <v>遗忘魔典</v>
      </c>
      <c r="D722" s="14" t="str">
        <f>equip.xml!D726</f>
        <v>副手武器</v>
      </c>
      <c r="E722" s="14">
        <f>equip.xml!E726</f>
        <v>6</v>
      </c>
      <c r="F722" s="14">
        <f>equip.xml!F726</f>
        <v>2</v>
      </c>
      <c r="G722" s="14">
        <f>equip.xml!G726</f>
        <v>55</v>
      </c>
      <c r="H722" s="14" t="str">
        <f>equip.xml!H726</f>
        <v>3,1003</v>
      </c>
      <c r="I722" s="14">
        <f>equip.xml!J726</f>
        <v>10</v>
      </c>
      <c r="J722" s="14">
        <f>equip.xml!K726</f>
        <v>0</v>
      </c>
      <c r="K722" s="14">
        <f>equip.xml!L726</f>
        <v>0</v>
      </c>
      <c r="L722" s="14" t="str">
        <f>equip.xml!M726</f>
        <v>102_1780_1780</v>
      </c>
      <c r="M722" s="17" t="str">
        <f>equip.xml!Q726</f>
        <v>equipment/2313.png</v>
      </c>
      <c r="N722" s="16" t="str">
        <f>equip.xml!P726</f>
        <v>10000_1002_55000,30000_30001_1,30000_30002_1,30000_30003_1</v>
      </c>
      <c r="O722">
        <f>equip.xml!R726</f>
        <v>0</v>
      </c>
    </row>
    <row r="723" spans="1:15">
      <c r="A723" s="14" t="str">
        <f>equip.xml!A727</f>
        <v>20553061</v>
      </c>
      <c r="B723" s="14">
        <f>equip.xml!B727</f>
        <v>1</v>
      </c>
      <c r="C723" s="14" t="str">
        <f>equip.xml!C727</f>
        <v>龙语入门</v>
      </c>
      <c r="D723" s="14" t="str">
        <f>equip.xml!D727</f>
        <v>副手武器</v>
      </c>
      <c r="E723" s="14">
        <f>equip.xml!E727</f>
        <v>6</v>
      </c>
      <c r="F723" s="14">
        <f>equip.xml!F727</f>
        <v>2</v>
      </c>
      <c r="G723" s="14">
        <f>equip.xml!G727</f>
        <v>55</v>
      </c>
      <c r="H723" s="14" t="str">
        <f>equip.xml!H727</f>
        <v>3,1003</v>
      </c>
      <c r="I723" s="14">
        <f>equip.xml!J727</f>
        <v>10</v>
      </c>
      <c r="J723" s="14">
        <f>equip.xml!K727</f>
        <v>0</v>
      </c>
      <c r="K723" s="14">
        <f>equip.xml!L727</f>
        <v>0</v>
      </c>
      <c r="L723" s="14" t="str">
        <f>equip.xml!M727</f>
        <v>102_1972_1972</v>
      </c>
      <c r="M723" s="17" t="str">
        <f>equip.xml!Q727</f>
        <v>equipment/2316.png</v>
      </c>
      <c r="N723" s="16" t="str">
        <f>equip.xml!P727</f>
        <v>10000_1002_55000,30000_30001_1,30000_30002_1,30000_30003_1</v>
      </c>
      <c r="O723">
        <f>equip.xml!R727</f>
        <v>0</v>
      </c>
    </row>
    <row r="724" spans="1:15">
      <c r="A724" s="14" t="str">
        <f>equip.xml!A728</f>
        <v>20550040</v>
      </c>
      <c r="B724" s="14">
        <f>equip.xml!B728</f>
        <v>1</v>
      </c>
      <c r="C724" s="14" t="str">
        <f>equip.xml!C728</f>
        <v>血卫胸甲</v>
      </c>
      <c r="D724" s="14" t="str">
        <f>equip.xml!D728</f>
        <v>胸甲</v>
      </c>
      <c r="E724" s="14">
        <f>equip.xml!E728</f>
        <v>4</v>
      </c>
      <c r="F724" s="14">
        <f>equip.xml!F728</f>
        <v>2</v>
      </c>
      <c r="G724" s="14">
        <f>equip.xml!G728</f>
        <v>55</v>
      </c>
      <c r="H724" s="14">
        <f>equip.xml!H728</f>
        <v>0</v>
      </c>
      <c r="I724" s="14">
        <f>equip.xml!J728</f>
        <v>10</v>
      </c>
      <c r="J724" s="14">
        <f>equip.xml!K728</f>
        <v>0</v>
      </c>
      <c r="K724" s="14">
        <f>equip.xml!L728</f>
        <v>0</v>
      </c>
      <c r="L724" s="14" t="str">
        <f>equip.xml!M728</f>
        <v>105_1153_1153</v>
      </c>
      <c r="M724" s="17" t="str">
        <f>equip.xml!Q728</f>
        <v>equipment/5015.png</v>
      </c>
      <c r="N724" s="16" t="str">
        <f>equip.xml!P728</f>
        <v>10000_1002_55000,30000_30001_1,30000_30002_1,30000_30003_1</v>
      </c>
      <c r="O724">
        <f>equip.xml!R728</f>
        <v>0</v>
      </c>
    </row>
    <row r="725" spans="1:15">
      <c r="A725" s="14" t="str">
        <f>equip.xml!A729</f>
        <v>20550041</v>
      </c>
      <c r="B725" s="14">
        <f>equip.xml!B729</f>
        <v>0</v>
      </c>
      <c r="C725" s="14" t="str">
        <f>equip.xml!C729</f>
        <v>新兵外套</v>
      </c>
      <c r="D725" s="14" t="str">
        <f>equip.xml!D729</f>
        <v>胸甲</v>
      </c>
      <c r="E725" s="14">
        <f>equip.xml!E729</f>
        <v>4</v>
      </c>
      <c r="F725" s="14">
        <f>equip.xml!F729</f>
        <v>2</v>
      </c>
      <c r="G725" s="14">
        <f>equip.xml!G729</f>
        <v>55</v>
      </c>
      <c r="H725" s="14">
        <f>equip.xml!H729</f>
        <v>0</v>
      </c>
      <c r="I725" s="14">
        <f>equip.xml!J729</f>
        <v>10</v>
      </c>
      <c r="J725" s="14">
        <f>equip.xml!K729</f>
        <v>0</v>
      </c>
      <c r="K725" s="14">
        <f>equip.xml!L729</f>
        <v>0</v>
      </c>
      <c r="L725" s="14" t="str">
        <f>equip.xml!M729</f>
        <v>105_1243_1243</v>
      </c>
      <c r="M725" s="17" t="str">
        <f>equip.xml!Q729</f>
        <v>equipment/5001.png</v>
      </c>
      <c r="N725" s="16" t="str">
        <f>equip.xml!P729</f>
        <v>10000_1002_55000,30000_30001_1,30000_30002_1,30000_30003_1</v>
      </c>
      <c r="O725">
        <f>equip.xml!R729</f>
        <v>0</v>
      </c>
    </row>
    <row r="726" spans="1:15">
      <c r="A726" s="14" t="str">
        <f>equip.xml!A730</f>
        <v>20550070</v>
      </c>
      <c r="B726" s="14">
        <f>equip.xml!B730</f>
        <v>1</v>
      </c>
      <c r="C726" s="14" t="str">
        <f>equip.xml!C730</f>
        <v>征服者护腿</v>
      </c>
      <c r="D726" s="14" t="str">
        <f>equip.xml!D730</f>
        <v>护腿</v>
      </c>
      <c r="E726" s="14">
        <f>equip.xml!E730</f>
        <v>7</v>
      </c>
      <c r="F726" s="14">
        <f>equip.xml!F730</f>
        <v>2</v>
      </c>
      <c r="G726" s="14">
        <f>equip.xml!G730</f>
        <v>55</v>
      </c>
      <c r="H726" s="14">
        <f>equip.xml!H730</f>
        <v>0</v>
      </c>
      <c r="I726" s="14">
        <f>equip.xml!J730</f>
        <v>10</v>
      </c>
      <c r="J726" s="14">
        <f>equip.xml!K730</f>
        <v>0</v>
      </c>
      <c r="K726" s="14">
        <f>equip.xml!L730</f>
        <v>0</v>
      </c>
      <c r="L726" s="14" t="str">
        <f>equip.xml!M730</f>
        <v>105_780_780</v>
      </c>
      <c r="M726" s="17" t="str">
        <f>equip.xml!Q730</f>
        <v>equipment/7013.png</v>
      </c>
      <c r="N726" s="16" t="str">
        <f>equip.xml!P730</f>
        <v>10000_1002_55000,30000_30001_1,30000_30002_1,30000_30003_1</v>
      </c>
      <c r="O726">
        <f>equip.xml!R730</f>
        <v>0</v>
      </c>
    </row>
    <row r="727" spans="1:15">
      <c r="A727" s="14" t="str">
        <f>equip.xml!A731</f>
        <v>20550071</v>
      </c>
      <c r="B727" s="14">
        <f>equip.xml!B731</f>
        <v>0</v>
      </c>
      <c r="C727" s="14" t="str">
        <f>equip.xml!C731</f>
        <v>学徒短裤</v>
      </c>
      <c r="D727" s="14" t="str">
        <f>equip.xml!D731</f>
        <v>护腿</v>
      </c>
      <c r="E727" s="14">
        <f>equip.xml!E731</f>
        <v>7</v>
      </c>
      <c r="F727" s="14">
        <f>equip.xml!F731</f>
        <v>2</v>
      </c>
      <c r="G727" s="14">
        <f>equip.xml!G731</f>
        <v>55</v>
      </c>
      <c r="H727" s="14">
        <f>equip.xml!H731</f>
        <v>0</v>
      </c>
      <c r="I727" s="14">
        <f>equip.xml!J731</f>
        <v>10</v>
      </c>
      <c r="J727" s="14">
        <f>equip.xml!K731</f>
        <v>0</v>
      </c>
      <c r="K727" s="14">
        <f>equip.xml!L731</f>
        <v>0</v>
      </c>
      <c r="L727" s="14" t="str">
        <f>equip.xml!M731</f>
        <v>105_929_929</v>
      </c>
      <c r="M727" s="17" t="str">
        <f>equip.xml!Q731</f>
        <v>equipment/7001.png</v>
      </c>
      <c r="N727" s="16" t="str">
        <f>equip.xml!P731</f>
        <v>10000_1002_55000,30000_30001_1,30000_30002_1,30000_30003_1</v>
      </c>
      <c r="O727">
        <f>equip.xml!R731</f>
        <v>0</v>
      </c>
    </row>
    <row r="728" spans="1:15">
      <c r="A728" s="14" t="str">
        <f>equip.xml!A732</f>
        <v>20600010</v>
      </c>
      <c r="B728" s="14">
        <f>equip.xml!B732</f>
        <v>1</v>
      </c>
      <c r="C728" s="14" t="str">
        <f>equip.xml!C732</f>
        <v>英勇战盔</v>
      </c>
      <c r="D728" s="14" t="str">
        <f>equip.xml!D732</f>
        <v>头盔</v>
      </c>
      <c r="E728" s="14">
        <f>equip.xml!E732</f>
        <v>1</v>
      </c>
      <c r="F728" s="14">
        <f>equip.xml!F732</f>
        <v>2</v>
      </c>
      <c r="G728" s="14">
        <f>equip.xml!G732</f>
        <v>60</v>
      </c>
      <c r="H728" s="14">
        <f>equip.xml!H732</f>
        <v>0</v>
      </c>
      <c r="I728" s="14">
        <f>equip.xml!J732</f>
        <v>10</v>
      </c>
      <c r="J728" s="14">
        <f>equip.xml!K732</f>
        <v>0</v>
      </c>
      <c r="K728" s="14">
        <f>equip.xml!L732</f>
        <v>0</v>
      </c>
      <c r="L728" s="14" t="str">
        <f>equip.xml!M732</f>
        <v>106_1628_1628</v>
      </c>
      <c r="M728" s="17" t="str">
        <f>equip.xml!Q732</f>
        <v>equipment/3010.png</v>
      </c>
      <c r="N728" s="16" t="str">
        <f>equip.xml!P732</f>
        <v>10000_1002_60000,30000_30001_1,30000_30002_1,30000_30003_1</v>
      </c>
      <c r="O728">
        <f>equip.xml!R732</f>
        <v>0</v>
      </c>
    </row>
    <row r="729" spans="1:15">
      <c r="A729" s="14" t="str">
        <f>equip.xml!A733</f>
        <v>20600020</v>
      </c>
      <c r="B729" s="14">
        <f>equip.xml!B733</f>
        <v>1</v>
      </c>
      <c r="C729" s="14" t="str">
        <f>equip.xml!C733</f>
        <v>星宇指环</v>
      </c>
      <c r="D729" s="14" t="str">
        <f>equip.xml!D733</f>
        <v>戒指</v>
      </c>
      <c r="E729" s="14">
        <f>equip.xml!E733</f>
        <v>2</v>
      </c>
      <c r="F729" s="14">
        <f>equip.xml!F733</f>
        <v>2</v>
      </c>
      <c r="G729" s="14">
        <f>equip.xml!G733</f>
        <v>60</v>
      </c>
      <c r="H729" s="14">
        <f>equip.xml!H733</f>
        <v>0</v>
      </c>
      <c r="I729" s="14">
        <f>equip.xml!J733</f>
        <v>10</v>
      </c>
      <c r="J729" s="14">
        <f>equip.xml!K733</f>
        <v>0</v>
      </c>
      <c r="K729" s="14">
        <f>equip.xml!L733</f>
        <v>0</v>
      </c>
      <c r="L729" s="14" t="str">
        <f>equip.xml!M733</f>
        <v>102_1260_1260</v>
      </c>
      <c r="M729" s="17" t="str">
        <f>equip.xml!Q733</f>
        <v>equipment/14010.png</v>
      </c>
      <c r="N729" s="16" t="str">
        <f>equip.xml!P733</f>
        <v>10000_1002_60000,30000_30001_1,30000_30002_1,30000_30003_1</v>
      </c>
      <c r="O729">
        <f>equip.xml!R733</f>
        <v>0</v>
      </c>
    </row>
    <row r="730" spans="1:15">
      <c r="A730" s="14" t="str">
        <f>equip.xml!A734</f>
        <v>20600030</v>
      </c>
      <c r="B730" s="14">
        <f>equip.xml!B734</f>
        <v>1</v>
      </c>
      <c r="C730" s="14" t="str">
        <f>equip.xml!C734</f>
        <v>远征腰带</v>
      </c>
      <c r="D730" s="14" t="str">
        <f>equip.xml!D734</f>
        <v>腰带</v>
      </c>
      <c r="E730" s="14">
        <f>equip.xml!E734</f>
        <v>3</v>
      </c>
      <c r="F730" s="14">
        <f>equip.xml!F734</f>
        <v>2</v>
      </c>
      <c r="G730" s="14">
        <f>equip.xml!G734</f>
        <v>60</v>
      </c>
      <c r="H730" s="14">
        <f>equip.xml!H734</f>
        <v>0</v>
      </c>
      <c r="I730" s="14">
        <f>equip.xml!J734</f>
        <v>10</v>
      </c>
      <c r="J730" s="14">
        <f>equip.xml!K734</f>
        <v>0</v>
      </c>
      <c r="K730" s="14">
        <f>equip.xml!L734</f>
        <v>0</v>
      </c>
      <c r="L730" s="14" t="str">
        <f>equip.xml!M734</f>
        <v>101_13920_13920</v>
      </c>
      <c r="M730" s="17" t="str">
        <f>equip.xml!Q734</f>
        <v>equipment/6010.png</v>
      </c>
      <c r="N730" s="16" t="str">
        <f>equip.xml!P734</f>
        <v>10000_1002_60000,30000_30001_1,30000_30002_1,30000_30003_1</v>
      </c>
      <c r="O730">
        <f>equip.xml!R734</f>
        <v>0</v>
      </c>
    </row>
    <row r="731" spans="1:15">
      <c r="A731" s="14" t="str">
        <f>equip.xml!A735</f>
        <v>20600080</v>
      </c>
      <c r="B731" s="14">
        <f>equip.xml!B735</f>
        <v>1</v>
      </c>
      <c r="C731" s="14" t="str">
        <f>equip.xml!C735</f>
        <v>风暴长靴</v>
      </c>
      <c r="D731" s="14" t="str">
        <f>equip.xml!D735</f>
        <v>鞋子</v>
      </c>
      <c r="E731" s="14">
        <f>equip.xml!E735</f>
        <v>8</v>
      </c>
      <c r="F731" s="14">
        <f>equip.xml!F735</f>
        <v>2</v>
      </c>
      <c r="G731" s="14">
        <f>equip.xml!G735</f>
        <v>60</v>
      </c>
      <c r="H731" s="14">
        <f>equip.xml!H735</f>
        <v>0</v>
      </c>
      <c r="I731" s="14">
        <f>equip.xml!J735</f>
        <v>10</v>
      </c>
      <c r="J731" s="14">
        <f>equip.xml!K735</f>
        <v>0</v>
      </c>
      <c r="K731" s="14">
        <f>equip.xml!L735</f>
        <v>0</v>
      </c>
      <c r="L731" s="14" t="str">
        <f>equip.xml!M735</f>
        <v>110_271_271</v>
      </c>
      <c r="M731" s="17" t="str">
        <f>equip.xml!Q735</f>
        <v>equipment/8010.png</v>
      </c>
      <c r="N731" s="16" t="str">
        <f>equip.xml!P735</f>
        <v>10000_1002_60000,30000_30001_1,30000_30002_1,30000_30003_1</v>
      </c>
      <c r="O731">
        <f>equip.xml!R735</f>
        <v>0</v>
      </c>
    </row>
    <row r="732" spans="1:15">
      <c r="A732" s="14" t="str">
        <f>equip.xml!A736</f>
        <v>20600090</v>
      </c>
      <c r="B732" s="14">
        <f>equip.xml!B736</f>
        <v>1</v>
      </c>
      <c r="C732" s="14" t="str">
        <f>equip.xml!C736</f>
        <v>远征军护手</v>
      </c>
      <c r="D732" s="14" t="str">
        <f>equip.xml!D736</f>
        <v>手套</v>
      </c>
      <c r="E732" s="14">
        <f>equip.xml!E736</f>
        <v>9</v>
      </c>
      <c r="F732" s="14">
        <f>equip.xml!F736</f>
        <v>2</v>
      </c>
      <c r="G732" s="14">
        <f>equip.xml!G736</f>
        <v>60</v>
      </c>
      <c r="H732" s="14">
        <f>equip.xml!H736</f>
        <v>0</v>
      </c>
      <c r="I732" s="14">
        <f>equip.xml!J736</f>
        <v>10</v>
      </c>
      <c r="J732" s="14">
        <f>equip.xml!K736</f>
        <v>0</v>
      </c>
      <c r="K732" s="14">
        <f>equip.xml!L736</f>
        <v>0</v>
      </c>
      <c r="L732" s="14" t="str">
        <f>equip.xml!M736</f>
        <v>108_2300_2300</v>
      </c>
      <c r="M732" s="17" t="str">
        <f>equip.xml!Q736</f>
        <v>equipment/10010.png</v>
      </c>
      <c r="N732" s="16" t="str">
        <f>equip.xml!P736</f>
        <v>10000_1002_60000,30000_30001_1,30000_30002_1,30000_30003_1</v>
      </c>
      <c r="O732">
        <f>equip.xml!R736</f>
        <v>0</v>
      </c>
    </row>
    <row r="733" spans="1:15">
      <c r="A733" s="14" t="str">
        <f>equip.xml!A737</f>
        <v>20600100</v>
      </c>
      <c r="B733" s="14">
        <f>equip.xml!B737</f>
        <v>1</v>
      </c>
      <c r="C733" s="14" t="str">
        <f>equip.xml!C737</f>
        <v>悔恨之链</v>
      </c>
      <c r="D733" s="14" t="str">
        <f>equip.xml!D737</f>
        <v>项链</v>
      </c>
      <c r="E733" s="14">
        <f>equip.xml!E737</f>
        <v>10</v>
      </c>
      <c r="F733" s="14">
        <f>equip.xml!F737</f>
        <v>2</v>
      </c>
      <c r="G733" s="14">
        <f>equip.xml!G737</f>
        <v>60</v>
      </c>
      <c r="H733" s="14">
        <f>equip.xml!H737</f>
        <v>0</v>
      </c>
      <c r="I733" s="14">
        <f>equip.xml!J737</f>
        <v>10</v>
      </c>
      <c r="J733" s="14">
        <f>equip.xml!K737</f>
        <v>0</v>
      </c>
      <c r="K733" s="14">
        <f>equip.xml!L737</f>
        <v>0</v>
      </c>
      <c r="L733" s="14" t="str">
        <f>equip.xml!M737</f>
        <v>107_1628_1628</v>
      </c>
      <c r="M733" s="17" t="str">
        <f>equip.xml!Q737</f>
        <v>equipment/12010.png</v>
      </c>
      <c r="N733" s="16" t="str">
        <f>equip.xml!P737</f>
        <v>10000_1002_60000,30000_30001_1,30000_30002_1,30000_30003_1</v>
      </c>
      <c r="O733">
        <f>equip.xml!R737</f>
        <v>0</v>
      </c>
    </row>
    <row r="734" spans="1:15">
      <c r="A734" s="14" t="str">
        <f>equip.xml!A738</f>
        <v>20601050</v>
      </c>
      <c r="B734" s="14">
        <f>equip.xml!B738</f>
        <v>1</v>
      </c>
      <c r="C734" s="14" t="str">
        <f>equip.xml!C738</f>
        <v>毁灭之刃</v>
      </c>
      <c r="D734" s="14" t="str">
        <f>equip.xml!D738</f>
        <v>主手武器</v>
      </c>
      <c r="E734" s="14">
        <f>equip.xml!E738</f>
        <v>5</v>
      </c>
      <c r="F734" s="14">
        <f>equip.xml!F738</f>
        <v>2</v>
      </c>
      <c r="G734" s="14">
        <f>equip.xml!G738</f>
        <v>60</v>
      </c>
      <c r="H734" s="14" t="str">
        <f>equip.xml!H738</f>
        <v>1,1001</v>
      </c>
      <c r="I734" s="14">
        <f>equip.xml!J738</f>
        <v>10</v>
      </c>
      <c r="J734" s="14">
        <f>equip.xml!K738</f>
        <v>0</v>
      </c>
      <c r="K734" s="14">
        <f>equip.xml!L738</f>
        <v>0</v>
      </c>
      <c r="L734" s="14" t="str">
        <f>equip.xml!M738</f>
        <v>103_2007_2007,104_4014_4014</v>
      </c>
      <c r="M734" s="17" t="str">
        <f>equip.xml!Q738</f>
        <v>equipment/1118.png</v>
      </c>
      <c r="N734" s="16" t="str">
        <f>equip.xml!P738</f>
        <v>10000_1002_60000,30000_30001_1,30000_30002_1,30000_30003_1</v>
      </c>
      <c r="O734">
        <f>equip.xml!R738</f>
        <v>0</v>
      </c>
    </row>
    <row r="735" spans="1:15">
      <c r="A735" s="14" t="str">
        <f>equip.xml!A739</f>
        <v>20601051</v>
      </c>
      <c r="B735" s="14">
        <f>equip.xml!B739</f>
        <v>1</v>
      </c>
      <c r="C735" s="14" t="str">
        <f>equip.xml!C739</f>
        <v>逐光巨剑</v>
      </c>
      <c r="D735" s="14" t="str">
        <f>equip.xml!D739</f>
        <v>主手武器</v>
      </c>
      <c r="E735" s="14">
        <f>equip.xml!E739</f>
        <v>5</v>
      </c>
      <c r="F735" s="14">
        <f>equip.xml!F739</f>
        <v>2</v>
      </c>
      <c r="G735" s="14">
        <f>equip.xml!G739</f>
        <v>60</v>
      </c>
      <c r="H735" s="14" t="str">
        <f>equip.xml!H739</f>
        <v>1,1001</v>
      </c>
      <c r="I735" s="14">
        <f>equip.xml!J739</f>
        <v>10</v>
      </c>
      <c r="J735" s="14">
        <f>equip.xml!K739</f>
        <v>0</v>
      </c>
      <c r="K735" s="14">
        <f>equip.xml!L739</f>
        <v>0</v>
      </c>
      <c r="L735" s="14" t="str">
        <f>equip.xml!M739</f>
        <v>103_2252_2252,104_4504_4504</v>
      </c>
      <c r="M735" s="17" t="str">
        <f>equip.xml!Q739</f>
        <v>equipment/1122.png</v>
      </c>
      <c r="N735" s="16" t="str">
        <f>equip.xml!P739</f>
        <v>10000_1002_60000,30000_30001_1,30000_30002_1,30000_30003_1</v>
      </c>
      <c r="O735">
        <f>equip.xml!R739</f>
        <v>0</v>
      </c>
    </row>
    <row r="736" spans="1:15">
      <c r="A736" s="14" t="str">
        <f>equip.xml!A740</f>
        <v>20601060</v>
      </c>
      <c r="B736" s="14">
        <f>equip.xml!B740</f>
        <v>1</v>
      </c>
      <c r="C736" s="14" t="str">
        <f>equip.xml!C740</f>
        <v>灵魂壁垒</v>
      </c>
      <c r="D736" s="14" t="str">
        <f>equip.xml!D740</f>
        <v>副手武器</v>
      </c>
      <c r="E736" s="14">
        <f>equip.xml!E740</f>
        <v>6</v>
      </c>
      <c r="F736" s="14">
        <f>equip.xml!F740</f>
        <v>2</v>
      </c>
      <c r="G736" s="14">
        <f>equip.xml!G740</f>
        <v>60</v>
      </c>
      <c r="H736" s="14" t="str">
        <f>equip.xml!H740</f>
        <v>1,1001</v>
      </c>
      <c r="I736" s="14">
        <f>equip.xml!J740</f>
        <v>10</v>
      </c>
      <c r="J736" s="14">
        <f>equip.xml!K740</f>
        <v>0</v>
      </c>
      <c r="K736" s="14">
        <f>equip.xml!L740</f>
        <v>0</v>
      </c>
      <c r="L736" s="14" t="str">
        <f>equip.xml!M740</f>
        <v>105_2515_2515</v>
      </c>
      <c r="M736" s="17" t="str">
        <f>equip.xml!Q740</f>
        <v>equipment/2115.png</v>
      </c>
      <c r="N736" s="16" t="str">
        <f>equip.xml!P740</f>
        <v>10000_1002_60000,30000_30001_1,30000_30002_1,30000_30003_1</v>
      </c>
      <c r="O736">
        <f>equip.xml!R740</f>
        <v>0</v>
      </c>
    </row>
    <row r="737" spans="1:15">
      <c r="A737" s="14" t="str">
        <f>equip.xml!A741</f>
        <v>20601061</v>
      </c>
      <c r="B737" s="14">
        <f>equip.xml!B741</f>
        <v>0</v>
      </c>
      <c r="C737" s="14" t="str">
        <f>equip.xml!C741</f>
        <v>尖头盾</v>
      </c>
      <c r="D737" s="14" t="str">
        <f>equip.xml!D741</f>
        <v>副手武器</v>
      </c>
      <c r="E737" s="14">
        <f>equip.xml!E741</f>
        <v>6</v>
      </c>
      <c r="F737" s="14">
        <f>equip.xml!F741</f>
        <v>2</v>
      </c>
      <c r="G737" s="14">
        <f>equip.xml!G741</f>
        <v>60</v>
      </c>
      <c r="H737" s="14" t="str">
        <f>equip.xml!H741</f>
        <v>1,1001</v>
      </c>
      <c r="I737" s="14">
        <f>equip.xml!J741</f>
        <v>10</v>
      </c>
      <c r="J737" s="14">
        <f>equip.xml!K741</f>
        <v>0</v>
      </c>
      <c r="K737" s="14">
        <f>equip.xml!L741</f>
        <v>0</v>
      </c>
      <c r="L737" s="14" t="str">
        <f>equip.xml!M741</f>
        <v>105_2704_2704</v>
      </c>
      <c r="M737" s="17" t="str">
        <f>equip.xml!Q741</f>
        <v>equipment/2101.png</v>
      </c>
      <c r="N737" s="16" t="str">
        <f>equip.xml!P741</f>
        <v>10000_1002_60000,30000_30001_1,30000_30002_1,30000_30003_1</v>
      </c>
      <c r="O737">
        <f>equip.xml!R741</f>
        <v>0</v>
      </c>
    </row>
    <row r="738" spans="1:15">
      <c r="A738" s="14" t="str">
        <f>equip.xml!A742</f>
        <v>20602050</v>
      </c>
      <c r="B738" s="14">
        <f>equip.xml!B742</f>
        <v>1</v>
      </c>
      <c r="C738" s="14" t="str">
        <f>equip.xml!C742</f>
        <v>暗之追猎者</v>
      </c>
      <c r="D738" s="14" t="str">
        <f>equip.xml!D742</f>
        <v>主手武器</v>
      </c>
      <c r="E738" s="14">
        <f>equip.xml!E742</f>
        <v>5</v>
      </c>
      <c r="F738" s="14">
        <f>equip.xml!F742</f>
        <v>2</v>
      </c>
      <c r="G738" s="14">
        <f>equip.xml!G742</f>
        <v>60</v>
      </c>
      <c r="H738" s="14" t="str">
        <f>equip.xml!H742</f>
        <v>2,1002</v>
      </c>
      <c r="I738" s="14">
        <f>equip.xml!J742</f>
        <v>10</v>
      </c>
      <c r="J738" s="14">
        <f>equip.xml!K742</f>
        <v>0</v>
      </c>
      <c r="K738" s="14">
        <f>equip.xml!L742</f>
        <v>0</v>
      </c>
      <c r="L738" s="14" t="str">
        <f>equip.xml!M742</f>
        <v>103_2007_2007,104_4014_4014</v>
      </c>
      <c r="M738" s="17" t="str">
        <f>equip.xml!Q742</f>
        <v>equipment/1220.png</v>
      </c>
      <c r="N738" s="16" t="str">
        <f>equip.xml!P742</f>
        <v>10000_1002_60000,30000_30001_1,30000_30002_1,30000_30003_1</v>
      </c>
      <c r="O738">
        <f>equip.xml!R742</f>
        <v>0</v>
      </c>
    </row>
    <row r="739" spans="1:15">
      <c r="A739" s="14" t="str">
        <f>equip.xml!A743</f>
        <v>20602051</v>
      </c>
      <c r="B739" s="14">
        <f>equip.xml!B743</f>
        <v>0</v>
      </c>
      <c r="C739" s="14" t="str">
        <f>equip.xml!C743</f>
        <v>棘木弓</v>
      </c>
      <c r="D739" s="14" t="str">
        <f>equip.xml!D743</f>
        <v>主手武器</v>
      </c>
      <c r="E739" s="14">
        <f>equip.xml!E743</f>
        <v>5</v>
      </c>
      <c r="F739" s="14">
        <f>equip.xml!F743</f>
        <v>2</v>
      </c>
      <c r="G739" s="14">
        <f>equip.xml!G743</f>
        <v>60</v>
      </c>
      <c r="H739" s="14" t="str">
        <f>equip.xml!H743</f>
        <v>2,1002</v>
      </c>
      <c r="I739" s="14">
        <f>equip.xml!J743</f>
        <v>10</v>
      </c>
      <c r="J739" s="14">
        <f>equip.xml!K743</f>
        <v>0</v>
      </c>
      <c r="K739" s="14">
        <f>equip.xml!L743</f>
        <v>0</v>
      </c>
      <c r="L739" s="14" t="str">
        <f>equip.xml!M743</f>
        <v>103_2252_2252,104_4504_4504</v>
      </c>
      <c r="M739" s="17" t="str">
        <f>equip.xml!Q743</f>
        <v>equipment/1201.png</v>
      </c>
      <c r="N739" s="16" t="str">
        <f>equip.xml!P743</f>
        <v>10000_1002_60000,30000_30001_1,30000_30002_1,30000_30003_1</v>
      </c>
      <c r="O739">
        <f>equip.xml!R743</f>
        <v>0</v>
      </c>
    </row>
    <row r="740" spans="1:15">
      <c r="A740" s="14" t="str">
        <f>equip.xml!A744</f>
        <v>20602060</v>
      </c>
      <c r="B740" s="14">
        <f>equip.xml!B744</f>
        <v>1</v>
      </c>
      <c r="C740" s="14" t="str">
        <f>equip.xml!C744</f>
        <v>猎星箭袋</v>
      </c>
      <c r="D740" s="14" t="str">
        <f>equip.xml!D744</f>
        <v>副手武器</v>
      </c>
      <c r="E740" s="14">
        <f>equip.xml!E744</f>
        <v>6</v>
      </c>
      <c r="F740" s="14">
        <f>equip.xml!F744</f>
        <v>2</v>
      </c>
      <c r="G740" s="14">
        <f>equip.xml!G744</f>
        <v>60</v>
      </c>
      <c r="H740" s="14" t="str">
        <f>equip.xml!H744</f>
        <v>2,1002</v>
      </c>
      <c r="I740" s="14">
        <f>equip.xml!J744</f>
        <v>10</v>
      </c>
      <c r="J740" s="14">
        <f>equip.xml!K744</f>
        <v>0</v>
      </c>
      <c r="K740" s="14">
        <f>equip.xml!L744</f>
        <v>0</v>
      </c>
      <c r="L740" s="14" t="str">
        <f>equip.xml!M744</f>
        <v>108_2515_2515</v>
      </c>
      <c r="M740" s="17" t="str">
        <f>equip.xml!Q744</f>
        <v>equipment/2215.png</v>
      </c>
      <c r="N740" s="16" t="str">
        <f>equip.xml!P744</f>
        <v>10000_1002_60000,30000_30001_1,30000_30002_1,30000_30003_1</v>
      </c>
      <c r="O740">
        <f>equip.xml!R744</f>
        <v>0</v>
      </c>
    </row>
    <row r="741" spans="1:15">
      <c r="A741" s="14" t="str">
        <f>equip.xml!A745</f>
        <v>20602061</v>
      </c>
      <c r="B741" s="14">
        <f>equip.xml!B745</f>
        <v>0</v>
      </c>
      <c r="C741" s="14" t="str">
        <f>equip.xml!C745</f>
        <v>箭筒</v>
      </c>
      <c r="D741" s="14" t="str">
        <f>equip.xml!D745</f>
        <v>副手武器</v>
      </c>
      <c r="E741" s="14">
        <f>equip.xml!E745</f>
        <v>6</v>
      </c>
      <c r="F741" s="14">
        <f>equip.xml!F745</f>
        <v>2</v>
      </c>
      <c r="G741" s="14">
        <f>equip.xml!G745</f>
        <v>60</v>
      </c>
      <c r="H741" s="14" t="str">
        <f>equip.xml!H745</f>
        <v>2,1002</v>
      </c>
      <c r="I741" s="14">
        <f>equip.xml!J745</f>
        <v>10</v>
      </c>
      <c r="J741" s="14">
        <f>equip.xml!K745</f>
        <v>0</v>
      </c>
      <c r="K741" s="14">
        <f>equip.xml!L745</f>
        <v>0</v>
      </c>
      <c r="L741" s="14" t="str">
        <f>equip.xml!M745</f>
        <v>108_2704_2704</v>
      </c>
      <c r="M741" s="17" t="str">
        <f>equip.xml!Q745</f>
        <v>equipment/2201.png</v>
      </c>
      <c r="N741" s="16" t="str">
        <f>equip.xml!P745</f>
        <v>10000_1002_60000,30000_30001_1,30000_30002_1,30000_30003_1</v>
      </c>
      <c r="O741">
        <f>equip.xml!R745</f>
        <v>0</v>
      </c>
    </row>
    <row r="742" spans="1:15">
      <c r="A742" s="14" t="str">
        <f>equip.xml!A746</f>
        <v>20603050</v>
      </c>
      <c r="B742" s="14">
        <f>equip.xml!B746</f>
        <v>1</v>
      </c>
      <c r="C742" s="14" t="str">
        <f>equip.xml!C746</f>
        <v>无尽回响之杖</v>
      </c>
      <c r="D742" s="14" t="str">
        <f>equip.xml!D746</f>
        <v>主手武器</v>
      </c>
      <c r="E742" s="14">
        <f>equip.xml!E746</f>
        <v>5</v>
      </c>
      <c r="F742" s="14">
        <f>equip.xml!F746</f>
        <v>2</v>
      </c>
      <c r="G742" s="14">
        <f>equip.xml!G746</f>
        <v>60</v>
      </c>
      <c r="H742" s="14" t="str">
        <f>equip.xml!H746</f>
        <v>3,1003</v>
      </c>
      <c r="I742" s="14">
        <f>equip.xml!J746</f>
        <v>10</v>
      </c>
      <c r="J742" s="14">
        <f>equip.xml!K746</f>
        <v>0</v>
      </c>
      <c r="K742" s="14">
        <f>equip.xml!L746</f>
        <v>0</v>
      </c>
      <c r="L742" s="14" t="str">
        <f>equip.xml!M746</f>
        <v>103_2007_2007,104_4014_4014</v>
      </c>
      <c r="M742" s="17" t="str">
        <f>equip.xml!Q746</f>
        <v>equipment/1322.png</v>
      </c>
      <c r="N742" s="16" t="str">
        <f>equip.xml!P746</f>
        <v>10000_1002_60000,30000_30001_1,30000_30002_1,30000_30003_1</v>
      </c>
      <c r="O742">
        <f>equip.xml!R746</f>
        <v>0</v>
      </c>
    </row>
    <row r="743" spans="1:15">
      <c r="A743" s="14" t="str">
        <f>equip.xml!A747</f>
        <v>20603051</v>
      </c>
      <c r="B743" s="14">
        <f>equip.xml!B747</f>
        <v>0</v>
      </c>
      <c r="C743" s="14" t="str">
        <f>equip.xml!C747</f>
        <v>日辉法杖</v>
      </c>
      <c r="D743" s="14" t="str">
        <f>equip.xml!D747</f>
        <v>主手武器</v>
      </c>
      <c r="E743" s="14">
        <f>equip.xml!E747</f>
        <v>5</v>
      </c>
      <c r="F743" s="14">
        <f>equip.xml!F747</f>
        <v>2</v>
      </c>
      <c r="G743" s="14">
        <f>equip.xml!G747</f>
        <v>60</v>
      </c>
      <c r="H743" s="14" t="str">
        <f>equip.xml!H747</f>
        <v>3,1003</v>
      </c>
      <c r="I743" s="14">
        <f>equip.xml!J747</f>
        <v>10</v>
      </c>
      <c r="J743" s="14">
        <f>equip.xml!K747</f>
        <v>0</v>
      </c>
      <c r="K743" s="14">
        <f>equip.xml!L747</f>
        <v>0</v>
      </c>
      <c r="L743" s="14" t="str">
        <f>equip.xml!M747</f>
        <v>103_2252_2252,104_4504_4504</v>
      </c>
      <c r="M743" s="17" t="str">
        <f>equip.xml!Q747</f>
        <v>equipment/1301.png</v>
      </c>
      <c r="N743" s="16" t="str">
        <f>equip.xml!P747</f>
        <v>10000_1002_60000,30000_30001_1,30000_30002_1,30000_30003_1</v>
      </c>
      <c r="O743">
        <f>equip.xml!R747</f>
        <v>0</v>
      </c>
    </row>
    <row r="744" spans="1:15">
      <c r="A744" s="14" t="str">
        <f>equip.xml!A748</f>
        <v>20603060</v>
      </c>
      <c r="B744" s="14">
        <f>equip.xml!B748</f>
        <v>1</v>
      </c>
      <c r="C744" s="14" t="str">
        <f>equip.xml!C748</f>
        <v>星图指南</v>
      </c>
      <c r="D744" s="14" t="str">
        <f>equip.xml!D748</f>
        <v>副手武器</v>
      </c>
      <c r="E744" s="14">
        <f>equip.xml!E748</f>
        <v>6</v>
      </c>
      <c r="F744" s="14">
        <f>equip.xml!F748</f>
        <v>2</v>
      </c>
      <c r="G744" s="14">
        <f>equip.xml!G748</f>
        <v>60</v>
      </c>
      <c r="H744" s="14" t="str">
        <f>equip.xml!H748</f>
        <v>3,1003</v>
      </c>
      <c r="I744" s="14">
        <f>equip.xml!J748</f>
        <v>10</v>
      </c>
      <c r="J744" s="14">
        <f>equip.xml!K748</f>
        <v>0</v>
      </c>
      <c r="K744" s="14">
        <f>equip.xml!L748</f>
        <v>0</v>
      </c>
      <c r="L744" s="14" t="str">
        <f>equip.xml!M748</f>
        <v>102_2260_2260</v>
      </c>
      <c r="M744" s="17" t="str">
        <f>equip.xml!Q748</f>
        <v>equipment/2315.png</v>
      </c>
      <c r="N744" s="16" t="str">
        <f>equip.xml!P748</f>
        <v>10000_1002_60000,30000_30001_1,30000_30002_1,30000_30003_1</v>
      </c>
      <c r="O744">
        <f>equip.xml!R748</f>
        <v>0</v>
      </c>
    </row>
    <row r="745" spans="1:15">
      <c r="A745" s="14" t="str">
        <f>equip.xml!A749</f>
        <v>20603061</v>
      </c>
      <c r="B745" s="14">
        <f>equip.xml!B749</f>
        <v>0</v>
      </c>
      <c r="C745" s="14" t="str">
        <f>equip.xml!C749</f>
        <v>法术指南</v>
      </c>
      <c r="D745" s="14" t="str">
        <f>equip.xml!D749</f>
        <v>副手武器</v>
      </c>
      <c r="E745" s="14">
        <f>equip.xml!E749</f>
        <v>6</v>
      </c>
      <c r="F745" s="14">
        <f>equip.xml!F749</f>
        <v>2</v>
      </c>
      <c r="G745" s="14">
        <f>equip.xml!G749</f>
        <v>60</v>
      </c>
      <c r="H745" s="14" t="str">
        <f>equip.xml!H749</f>
        <v>3,1003</v>
      </c>
      <c r="I745" s="14">
        <f>equip.xml!J749</f>
        <v>10</v>
      </c>
      <c r="J745" s="14">
        <f>equip.xml!K749</f>
        <v>0</v>
      </c>
      <c r="K745" s="14">
        <f>equip.xml!L749</f>
        <v>0</v>
      </c>
      <c r="L745" s="14" t="str">
        <f>equip.xml!M749</f>
        <v>102_2704_2704</v>
      </c>
      <c r="M745" s="17" t="str">
        <f>equip.xml!Q749</f>
        <v>equipment/2301.png</v>
      </c>
      <c r="N745" s="16" t="str">
        <f>equip.xml!P749</f>
        <v>10000_1002_60000,30000_30001_1,30000_30002_1,30000_30003_1</v>
      </c>
      <c r="O745">
        <f>equip.xml!R749</f>
        <v>0</v>
      </c>
    </row>
    <row r="746" spans="1:15">
      <c r="A746" s="14" t="str">
        <f>equip.xml!A750</f>
        <v>20600040</v>
      </c>
      <c r="B746" s="14">
        <f>equip.xml!B750</f>
        <v>1</v>
      </c>
      <c r="C746" s="14" t="str">
        <f>equip.xml!C750</f>
        <v>明光战甲</v>
      </c>
      <c r="D746" s="14" t="str">
        <f>equip.xml!D750</f>
        <v>胸甲</v>
      </c>
      <c r="E746" s="14">
        <f>equip.xml!E750</f>
        <v>4</v>
      </c>
      <c r="F746" s="14">
        <f>equip.xml!F750</f>
        <v>2</v>
      </c>
      <c r="G746" s="14">
        <f>equip.xml!G750</f>
        <v>60</v>
      </c>
      <c r="H746" s="14">
        <f>equip.xml!H750</f>
        <v>0</v>
      </c>
      <c r="I746" s="14">
        <f>equip.xml!J750</f>
        <v>10</v>
      </c>
      <c r="J746" s="14">
        <f>equip.xml!K750</f>
        <v>0</v>
      </c>
      <c r="K746" s="14">
        <f>equip.xml!L750</f>
        <v>0</v>
      </c>
      <c r="L746" s="14" t="str">
        <f>equip.xml!M750</f>
        <v>105_1377_1377</v>
      </c>
      <c r="M746" s="17" t="str">
        <f>equip.xml!Q750</f>
        <v>equipment/5016.png</v>
      </c>
      <c r="N746" s="16" t="str">
        <f>equip.xml!P750</f>
        <v>10000_1002_60000,30000_30001_1,30000_30002_1,30000_30003_1</v>
      </c>
      <c r="O746">
        <f>equip.xml!R750</f>
        <v>0</v>
      </c>
    </row>
    <row r="747" spans="1:15">
      <c r="A747" s="14" t="str">
        <f>equip.xml!A751</f>
        <v>20600041</v>
      </c>
      <c r="B747" s="14">
        <f>equip.xml!B751</f>
        <v>0</v>
      </c>
      <c r="C747" s="14" t="str">
        <f>equip.xml!C751</f>
        <v>龙骑战甲</v>
      </c>
      <c r="D747" s="14" t="str">
        <f>equip.xml!D751</f>
        <v>胸甲</v>
      </c>
      <c r="E747" s="14">
        <f>equip.xml!E751</f>
        <v>4</v>
      </c>
      <c r="F747" s="14">
        <f>equip.xml!F751</f>
        <v>2</v>
      </c>
      <c r="G747" s="14">
        <f>equip.xml!G751</f>
        <v>60</v>
      </c>
      <c r="H747" s="14">
        <f>equip.xml!H751</f>
        <v>0</v>
      </c>
      <c r="I747" s="14">
        <f>equip.xml!J751</f>
        <v>10</v>
      </c>
      <c r="J747" s="14">
        <f>equip.xml!K751</f>
        <v>0</v>
      </c>
      <c r="K747" s="14">
        <f>equip.xml!L751</f>
        <v>0</v>
      </c>
      <c r="L747" s="14" t="str">
        <f>equip.xml!M751</f>
        <v>105_1477_1477</v>
      </c>
      <c r="M747" s="17" t="str">
        <f>equip.xml!Q751</f>
        <v>equipment/5001.png</v>
      </c>
      <c r="N747" s="16" t="str">
        <f>equip.xml!P751</f>
        <v>10000_1002_60000,30000_30001_1,30000_30002_1,30000_30003_1</v>
      </c>
      <c r="O747">
        <f>equip.xml!R751</f>
        <v>0</v>
      </c>
    </row>
    <row r="748" spans="1:15">
      <c r="A748" s="14" t="str">
        <f>equip.xml!A752</f>
        <v>20600070</v>
      </c>
      <c r="B748" s="14">
        <f>equip.xml!B752</f>
        <v>1</v>
      </c>
      <c r="C748" s="14" t="str">
        <f>equip.xml!C752</f>
        <v>深渊护腿</v>
      </c>
      <c r="D748" s="14" t="str">
        <f>equip.xml!D752</f>
        <v>护腿</v>
      </c>
      <c r="E748" s="14">
        <f>equip.xml!E752</f>
        <v>7</v>
      </c>
      <c r="F748" s="14">
        <f>equip.xml!F752</f>
        <v>2</v>
      </c>
      <c r="G748" s="14">
        <f>equip.xml!G752</f>
        <v>60</v>
      </c>
      <c r="H748" s="14">
        <f>equip.xml!H752</f>
        <v>0</v>
      </c>
      <c r="I748" s="14">
        <f>equip.xml!J752</f>
        <v>10</v>
      </c>
      <c r="J748" s="14">
        <f>equip.xml!K752</f>
        <v>0</v>
      </c>
      <c r="K748" s="14">
        <f>equip.xml!L752</f>
        <v>0</v>
      </c>
      <c r="L748" s="14" t="str">
        <f>equip.xml!M752</f>
        <v>105_1152_1152</v>
      </c>
      <c r="M748" s="17" t="str">
        <f>equip.xml!Q752</f>
        <v>equipment/7014.png</v>
      </c>
      <c r="N748" s="16" t="str">
        <f>equip.xml!P752</f>
        <v>10000_1002_60000,30000_30001_1,30000_30002_1,30000_30003_1</v>
      </c>
      <c r="O748">
        <f>equip.xml!R752</f>
        <v>0</v>
      </c>
    </row>
    <row r="749" spans="1:15">
      <c r="A749" s="14" t="str">
        <f>equip.xml!A753</f>
        <v>20600071</v>
      </c>
      <c r="B749" s="14">
        <f>equip.xml!B753</f>
        <v>1</v>
      </c>
      <c r="C749" s="14" t="str">
        <f>equip.xml!C753</f>
        <v>光耀腿甲</v>
      </c>
      <c r="D749" s="14" t="str">
        <f>equip.xml!D753</f>
        <v>护腿</v>
      </c>
      <c r="E749" s="14">
        <f>equip.xml!E753</f>
        <v>7</v>
      </c>
      <c r="F749" s="14">
        <f>equip.xml!F753</f>
        <v>2</v>
      </c>
      <c r="G749" s="14">
        <f>equip.xml!G753</f>
        <v>60</v>
      </c>
      <c r="H749" s="14">
        <f>equip.xml!H753</f>
        <v>0</v>
      </c>
      <c r="I749" s="14">
        <f>equip.xml!J753</f>
        <v>10</v>
      </c>
      <c r="J749" s="14">
        <f>equip.xml!K753</f>
        <v>0</v>
      </c>
      <c r="K749" s="14">
        <f>equip.xml!L753</f>
        <v>0</v>
      </c>
      <c r="L749" s="14" t="str">
        <f>equip.xml!M753</f>
        <v>105_1342_1342</v>
      </c>
      <c r="M749" s="17" t="str">
        <f>equip.xml!Q753</f>
        <v>equipment/7015.png</v>
      </c>
      <c r="N749" s="16" t="str">
        <f>equip.xml!P753</f>
        <v>10000_1002_60000,30000_30001_1,30000_30002_1,30000_30003_1</v>
      </c>
      <c r="O749">
        <f>equip.xml!R753</f>
        <v>0</v>
      </c>
    </row>
    <row r="750" spans="1:15">
      <c r="A750" s="14" t="str">
        <f>equip.xml!A754</f>
        <v>20650010</v>
      </c>
      <c r="B750" s="14">
        <f>equip.xml!B754</f>
        <v>1</v>
      </c>
      <c r="C750" s="14" t="str">
        <f>equip.xml!C754</f>
        <v>虚空之冠</v>
      </c>
      <c r="D750" s="14" t="str">
        <f>equip.xml!D754</f>
        <v>头盔</v>
      </c>
      <c r="E750" s="14">
        <f>equip.xml!E754</f>
        <v>1</v>
      </c>
      <c r="F750" s="14">
        <f>equip.xml!F754</f>
        <v>2</v>
      </c>
      <c r="G750" s="14">
        <f>equip.xml!G754</f>
        <v>65</v>
      </c>
      <c r="H750" s="14">
        <f>equip.xml!H754</f>
        <v>0</v>
      </c>
      <c r="I750" s="14">
        <f>equip.xml!J754</f>
        <v>10</v>
      </c>
      <c r="J750" s="14">
        <f>equip.xml!K754</f>
        <v>0</v>
      </c>
      <c r="K750" s="14">
        <f>equip.xml!L754</f>
        <v>0</v>
      </c>
      <c r="L750" s="14" t="str">
        <f>equip.xml!M754</f>
        <v>106_2015_2015</v>
      </c>
      <c r="M750" s="17" t="str">
        <f>equip.xml!Q754</f>
        <v>equipment/3011.png</v>
      </c>
      <c r="N750" s="16" t="str">
        <f>equip.xml!P754</f>
        <v>10000_1002_65000,30000_30001_1,30000_30002_1,30000_30003_1</v>
      </c>
      <c r="O750">
        <f>equip.xml!R754</f>
        <v>0</v>
      </c>
    </row>
    <row r="751" spans="1:15">
      <c r="A751" s="14" t="str">
        <f>equip.xml!A755</f>
        <v>20650020</v>
      </c>
      <c r="B751" s="14">
        <f>equip.xml!B755</f>
        <v>1</v>
      </c>
      <c r="C751" s="14" t="str">
        <f>equip.xml!C755</f>
        <v>圣火指环</v>
      </c>
      <c r="D751" s="14" t="str">
        <f>equip.xml!D755</f>
        <v>戒指</v>
      </c>
      <c r="E751" s="14">
        <f>equip.xml!E755</f>
        <v>2</v>
      </c>
      <c r="F751" s="14">
        <f>equip.xml!F755</f>
        <v>2</v>
      </c>
      <c r="G751" s="14">
        <f>equip.xml!G755</f>
        <v>65</v>
      </c>
      <c r="H751" s="14">
        <f>equip.xml!H755</f>
        <v>0</v>
      </c>
      <c r="I751" s="14">
        <f>equip.xml!J755</f>
        <v>10</v>
      </c>
      <c r="J751" s="14">
        <f>equip.xml!K755</f>
        <v>0</v>
      </c>
      <c r="K751" s="14">
        <f>equip.xml!L755</f>
        <v>0</v>
      </c>
      <c r="L751" s="14" t="str">
        <f>equip.xml!M755</f>
        <v>102_1470_1470</v>
      </c>
      <c r="M751" s="17" t="str">
        <f>equip.xml!Q755</f>
        <v>equipment/14011.png</v>
      </c>
      <c r="N751" s="16" t="str">
        <f>equip.xml!P755</f>
        <v>10000_1002_65000,30000_30001_1,30000_30002_1,30000_30003_1</v>
      </c>
      <c r="O751">
        <f>equip.xml!R755</f>
        <v>0</v>
      </c>
    </row>
    <row r="752" spans="1:15">
      <c r="A752" s="14" t="str">
        <f>equip.xml!A756</f>
        <v>20650030</v>
      </c>
      <c r="B752" s="14">
        <f>equip.xml!B756</f>
        <v>1</v>
      </c>
      <c r="C752" s="14" t="str">
        <f>equip.xml!C756</f>
        <v>统御腰带</v>
      </c>
      <c r="D752" s="14" t="str">
        <f>equip.xml!D756</f>
        <v>腰带</v>
      </c>
      <c r="E752" s="14">
        <f>equip.xml!E756</f>
        <v>3</v>
      </c>
      <c r="F752" s="14">
        <f>equip.xml!F756</f>
        <v>2</v>
      </c>
      <c r="G752" s="14">
        <f>equip.xml!G756</f>
        <v>65</v>
      </c>
      <c r="H752" s="14">
        <f>equip.xml!H756</f>
        <v>0</v>
      </c>
      <c r="I752" s="14">
        <f>equip.xml!J756</f>
        <v>10</v>
      </c>
      <c r="J752" s="14">
        <f>equip.xml!K756</f>
        <v>0</v>
      </c>
      <c r="K752" s="14">
        <f>equip.xml!L756</f>
        <v>0</v>
      </c>
      <c r="L752" s="14" t="str">
        <f>equip.xml!M756</f>
        <v>101_16900_16900</v>
      </c>
      <c r="M752" s="17" t="str">
        <f>equip.xml!Q756</f>
        <v>equipment/6011.png</v>
      </c>
      <c r="N752" s="16" t="str">
        <f>equip.xml!P756</f>
        <v>10000_1002_65000,30000_30001_1,30000_30002_1,30000_30003_1</v>
      </c>
      <c r="O752">
        <f>equip.xml!R756</f>
        <v>0</v>
      </c>
    </row>
    <row r="753" spans="1:15">
      <c r="A753" s="14" t="str">
        <f>equip.xml!A757</f>
        <v>20650080</v>
      </c>
      <c r="B753" s="14">
        <f>equip.xml!B757</f>
        <v>1</v>
      </c>
      <c r="C753" s="14" t="str">
        <f>equip.xml!C757</f>
        <v>狱火战靴</v>
      </c>
      <c r="D753" s="14" t="str">
        <f>equip.xml!D757</f>
        <v>鞋子</v>
      </c>
      <c r="E753" s="14">
        <f>equip.xml!E757</f>
        <v>8</v>
      </c>
      <c r="F753" s="14">
        <f>equip.xml!F757</f>
        <v>2</v>
      </c>
      <c r="G753" s="14">
        <f>equip.xml!G757</f>
        <v>65</v>
      </c>
      <c r="H753" s="14">
        <f>equip.xml!H757</f>
        <v>0</v>
      </c>
      <c r="I753" s="14">
        <f>equip.xml!J757</f>
        <v>10</v>
      </c>
      <c r="J753" s="14">
        <f>equip.xml!K757</f>
        <v>0</v>
      </c>
      <c r="K753" s="14">
        <f>equip.xml!L757</f>
        <v>0</v>
      </c>
      <c r="L753" s="14" t="str">
        <f>equip.xml!M757</f>
        <v>110_352_352</v>
      </c>
      <c r="M753" s="17" t="str">
        <f>equip.xml!Q757</f>
        <v>equipment/8011.png</v>
      </c>
      <c r="N753" s="16" t="str">
        <f>equip.xml!P757</f>
        <v>10000_1002_65000,30000_30001_1,30000_30002_1,30000_30003_1</v>
      </c>
      <c r="O753">
        <f>equip.xml!R757</f>
        <v>0</v>
      </c>
    </row>
    <row r="754" spans="1:15">
      <c r="A754" s="14" t="str">
        <f>equip.xml!A758</f>
        <v>20650090</v>
      </c>
      <c r="B754" s="14">
        <f>equip.xml!B758</f>
        <v>1</v>
      </c>
      <c r="C754" s="14" t="str">
        <f>equip.xml!C758</f>
        <v>荣耀先驱护手</v>
      </c>
      <c r="D754" s="14" t="str">
        <f>equip.xml!D758</f>
        <v>手套</v>
      </c>
      <c r="E754" s="14">
        <f>equip.xml!E758</f>
        <v>9</v>
      </c>
      <c r="F754" s="14">
        <f>equip.xml!F758</f>
        <v>2</v>
      </c>
      <c r="G754" s="14">
        <f>equip.xml!G758</f>
        <v>65</v>
      </c>
      <c r="H754" s="14">
        <f>equip.xml!H758</f>
        <v>0</v>
      </c>
      <c r="I754" s="14">
        <f>equip.xml!J758</f>
        <v>10</v>
      </c>
      <c r="J754" s="14">
        <f>equip.xml!K758</f>
        <v>0</v>
      </c>
      <c r="K754" s="14">
        <f>equip.xml!L758</f>
        <v>0</v>
      </c>
      <c r="L754" s="14" t="str">
        <f>equip.xml!M758</f>
        <v>108_3884_3884</v>
      </c>
      <c r="M754" s="17" t="str">
        <f>equip.xml!Q758</f>
        <v>equipment/10011.png</v>
      </c>
      <c r="N754" s="16" t="str">
        <f>equip.xml!P758</f>
        <v>10000_1002_65000,30000_30001_1,30000_30002_1,30000_30003_1</v>
      </c>
      <c r="O754">
        <f>equip.xml!R758</f>
        <v>0</v>
      </c>
    </row>
    <row r="755" spans="1:15">
      <c r="A755" s="14" t="str">
        <f>equip.xml!A759</f>
        <v>20650100</v>
      </c>
      <c r="B755" s="14">
        <f>equip.xml!B759</f>
        <v>1</v>
      </c>
      <c r="C755" s="14" t="str">
        <f>equip.xml!C759</f>
        <v>救赎坠饰</v>
      </c>
      <c r="D755" s="14" t="str">
        <f>equip.xml!D759</f>
        <v>项链</v>
      </c>
      <c r="E755" s="14">
        <f>equip.xml!E759</f>
        <v>10</v>
      </c>
      <c r="F755" s="14">
        <f>equip.xml!F759</f>
        <v>2</v>
      </c>
      <c r="G755" s="14">
        <f>equip.xml!G759</f>
        <v>65</v>
      </c>
      <c r="H755" s="14">
        <f>equip.xml!H759</f>
        <v>0</v>
      </c>
      <c r="I755" s="14">
        <f>equip.xml!J759</f>
        <v>10</v>
      </c>
      <c r="J755" s="14">
        <f>equip.xml!K759</f>
        <v>0</v>
      </c>
      <c r="K755" s="14">
        <f>equip.xml!L759</f>
        <v>0</v>
      </c>
      <c r="L755" s="14" t="str">
        <f>equip.xml!M759</f>
        <v>107_2015_2015</v>
      </c>
      <c r="M755" s="17" t="str">
        <f>equip.xml!Q759</f>
        <v>equipment/12011.png</v>
      </c>
      <c r="N755" s="16" t="str">
        <f>equip.xml!P759</f>
        <v>10000_1002_65000,30000_30001_1,30000_30002_1,30000_30003_1</v>
      </c>
      <c r="O755">
        <f>equip.xml!R759</f>
        <v>0</v>
      </c>
    </row>
    <row r="756" spans="1:15">
      <c r="A756" s="14" t="str">
        <f>equip.xml!A760</f>
        <v>20651050</v>
      </c>
      <c r="B756" s="14">
        <f>equip.xml!B760</f>
        <v>1</v>
      </c>
      <c r="C756" s="14" t="str">
        <f>equip.xml!C760</f>
        <v>魂歌之刃</v>
      </c>
      <c r="D756" s="14" t="str">
        <f>equip.xml!D760</f>
        <v>主手武器</v>
      </c>
      <c r="E756" s="14">
        <f>equip.xml!E760</f>
        <v>5</v>
      </c>
      <c r="F756" s="14">
        <f>equip.xml!F760</f>
        <v>2</v>
      </c>
      <c r="G756" s="14">
        <f>equip.xml!G760</f>
        <v>65</v>
      </c>
      <c r="H756" s="14" t="str">
        <f>equip.xml!H760</f>
        <v>1,1001</v>
      </c>
      <c r="I756" s="14">
        <f>equip.xml!J760</f>
        <v>10</v>
      </c>
      <c r="J756" s="14">
        <f>equip.xml!K760</f>
        <v>0</v>
      </c>
      <c r="K756" s="14">
        <f>equip.xml!L760</f>
        <v>0</v>
      </c>
      <c r="L756" s="14" t="str">
        <f>equip.xml!M760</f>
        <v>103_2619_2619,104_5238_5238</v>
      </c>
      <c r="M756" s="17" t="str">
        <f>equip.xml!Q760</f>
        <v>equipment/1123.png</v>
      </c>
      <c r="N756" s="16" t="str">
        <f>equip.xml!P760</f>
        <v>10000_1002_65000,30000_30001_1,30000_30002_1,30000_30003_1</v>
      </c>
      <c r="O756">
        <f>equip.xml!R760</f>
        <v>0</v>
      </c>
    </row>
    <row r="757" spans="1:15">
      <c r="A757" s="14" t="str">
        <f>equip.xml!A761</f>
        <v>20651051</v>
      </c>
      <c r="B757" s="14">
        <f>equip.xml!B761</f>
        <v>0</v>
      </c>
      <c r="C757" s="14" t="str">
        <f>equip.xml!C761</f>
        <v>命运</v>
      </c>
      <c r="D757" s="14" t="str">
        <f>equip.xml!D761</f>
        <v>主手武器</v>
      </c>
      <c r="E757" s="14">
        <f>equip.xml!E761</f>
        <v>5</v>
      </c>
      <c r="F757" s="14">
        <f>equip.xml!F761</f>
        <v>2</v>
      </c>
      <c r="G757" s="14">
        <f>equip.xml!G761</f>
        <v>65</v>
      </c>
      <c r="H757" s="14" t="str">
        <f>equip.xml!H761</f>
        <v>1,1001</v>
      </c>
      <c r="I757" s="14">
        <f>equip.xml!J761</f>
        <v>10</v>
      </c>
      <c r="J757" s="14">
        <f>equip.xml!K761</f>
        <v>0</v>
      </c>
      <c r="K757" s="14">
        <f>equip.xml!L761</f>
        <v>0</v>
      </c>
      <c r="L757" s="14" t="str">
        <f>equip.xml!M761</f>
        <v>103_2854_2854,104_5708_5708</v>
      </c>
      <c r="M757" s="17" t="str">
        <f>equip.xml!Q761</f>
        <v>equipment/1101.png</v>
      </c>
      <c r="N757" s="16" t="str">
        <f>equip.xml!P761</f>
        <v>10000_1002_65000,30000_30001_1,30000_30002_1,30000_30003_1</v>
      </c>
      <c r="O757">
        <f>equip.xml!R761</f>
        <v>0</v>
      </c>
    </row>
    <row r="758" spans="1:15">
      <c r="A758" s="14" t="str">
        <f>equip.xml!A762</f>
        <v>20651060</v>
      </c>
      <c r="B758" s="14">
        <f>equip.xml!B762</f>
        <v>1</v>
      </c>
      <c r="C758" s="14" t="str">
        <f>equip.xml!C762</f>
        <v>日怒之盾</v>
      </c>
      <c r="D758" s="14" t="str">
        <f>equip.xml!D762</f>
        <v>副手武器</v>
      </c>
      <c r="E758" s="14">
        <f>equip.xml!E762</f>
        <v>6</v>
      </c>
      <c r="F758" s="14">
        <f>equip.xml!F762</f>
        <v>2</v>
      </c>
      <c r="G758" s="14">
        <f>equip.xml!G762</f>
        <v>65</v>
      </c>
      <c r="H758" s="14" t="str">
        <f>equip.xml!H762</f>
        <v>1,1001</v>
      </c>
      <c r="I758" s="14">
        <f>equip.xml!J762</f>
        <v>10</v>
      </c>
      <c r="J758" s="14">
        <f>equip.xml!K762</f>
        <v>0</v>
      </c>
      <c r="K758" s="14">
        <f>equip.xml!L762</f>
        <v>0</v>
      </c>
      <c r="L758" s="14" t="str">
        <f>equip.xml!M762</f>
        <v>105_2988_2988</v>
      </c>
      <c r="M758" s="17" t="str">
        <f>equip.xml!Q762</f>
        <v>equipment/2116.png</v>
      </c>
      <c r="N758" s="16" t="str">
        <f>equip.xml!P762</f>
        <v>10000_1002_65000,30000_30001_1,30000_30002_1,30000_30003_1</v>
      </c>
      <c r="O758">
        <f>equip.xml!R762</f>
        <v>0</v>
      </c>
    </row>
    <row r="759" spans="1:15">
      <c r="A759" s="14" t="str">
        <f>equip.xml!A763</f>
        <v>20651061</v>
      </c>
      <c r="B759" s="14">
        <f>equip.xml!B763</f>
        <v>0</v>
      </c>
      <c r="C759" s="14" t="str">
        <f>equip.xml!C763</f>
        <v>尖头盾</v>
      </c>
      <c r="D759" s="14" t="str">
        <f>equip.xml!D763</f>
        <v>副手武器</v>
      </c>
      <c r="E759" s="14">
        <f>equip.xml!E763</f>
        <v>6</v>
      </c>
      <c r="F759" s="14">
        <f>equip.xml!F763</f>
        <v>2</v>
      </c>
      <c r="G759" s="14">
        <f>equip.xml!G763</f>
        <v>65</v>
      </c>
      <c r="H759" s="14" t="str">
        <f>equip.xml!H763</f>
        <v>1,1001</v>
      </c>
      <c r="I759" s="14">
        <f>equip.xml!J763</f>
        <v>10</v>
      </c>
      <c r="J759" s="14">
        <f>equip.xml!K763</f>
        <v>0</v>
      </c>
      <c r="K759" s="14">
        <f>equip.xml!L763</f>
        <v>0</v>
      </c>
      <c r="L759" s="14" t="str">
        <f>equip.xml!M763</f>
        <v>105_2988_2988</v>
      </c>
      <c r="M759" s="17" t="str">
        <f>equip.xml!Q763</f>
        <v>equipment/2101.png</v>
      </c>
      <c r="N759" s="16" t="str">
        <f>equip.xml!P763</f>
        <v>10000_1002_65000,30000_30001_1,30000_30002_1,30000_30003_1</v>
      </c>
      <c r="O759">
        <f>equip.xml!R763</f>
        <v>0</v>
      </c>
    </row>
    <row r="760" spans="1:15">
      <c r="A760" s="14" t="str">
        <f>equip.xml!A764</f>
        <v>20652050</v>
      </c>
      <c r="B760" s="14">
        <f>equip.xml!B764</f>
        <v>1</v>
      </c>
      <c r="C760" s="14" t="str">
        <f>equip.xml!C764</f>
        <v>憎恨之击</v>
      </c>
      <c r="D760" s="14" t="str">
        <f>equip.xml!D764</f>
        <v>主手武器</v>
      </c>
      <c r="E760" s="14">
        <f>equip.xml!E764</f>
        <v>5</v>
      </c>
      <c r="F760" s="14">
        <f>equip.xml!F764</f>
        <v>2</v>
      </c>
      <c r="G760" s="14">
        <f>equip.xml!G764</f>
        <v>65</v>
      </c>
      <c r="H760" s="14" t="str">
        <f>equip.xml!H764</f>
        <v>2,1002</v>
      </c>
      <c r="I760" s="14">
        <f>equip.xml!J764</f>
        <v>10</v>
      </c>
      <c r="J760" s="14">
        <f>equip.xml!K764</f>
        <v>0</v>
      </c>
      <c r="K760" s="14">
        <f>equip.xml!L764</f>
        <v>0</v>
      </c>
      <c r="L760" s="14" t="str">
        <f>equip.xml!M764</f>
        <v>103_2619_2619,104_5238_5238</v>
      </c>
      <c r="M760" s="17" t="str">
        <f>equip.xml!Q764</f>
        <v>equipment/1224.png</v>
      </c>
      <c r="N760" s="16" t="str">
        <f>equip.xml!P764</f>
        <v>10000_1002_65000,30000_30001_1,30000_30002_1,30000_30003_1</v>
      </c>
      <c r="O760">
        <f>equip.xml!R764</f>
        <v>0</v>
      </c>
    </row>
    <row r="761" spans="1:15">
      <c r="A761" s="14" t="str">
        <f>equip.xml!A765</f>
        <v>20652051</v>
      </c>
      <c r="B761" s="14">
        <f>equip.xml!B765</f>
        <v>0</v>
      </c>
      <c r="C761" s="14" t="str">
        <f>equip.xml!C765</f>
        <v>日怒凰弓</v>
      </c>
      <c r="D761" s="14" t="str">
        <f>equip.xml!D765</f>
        <v>主手武器</v>
      </c>
      <c r="E761" s="14">
        <f>equip.xml!E765</f>
        <v>5</v>
      </c>
      <c r="F761" s="14">
        <f>equip.xml!F765</f>
        <v>2</v>
      </c>
      <c r="G761" s="14">
        <f>equip.xml!G765</f>
        <v>65</v>
      </c>
      <c r="H761" s="14" t="str">
        <f>equip.xml!H765</f>
        <v>2,1002</v>
      </c>
      <c r="I761" s="14">
        <f>equip.xml!J765</f>
        <v>10</v>
      </c>
      <c r="J761" s="14">
        <f>equip.xml!K765</f>
        <v>0</v>
      </c>
      <c r="K761" s="14">
        <f>equip.xml!L765</f>
        <v>0</v>
      </c>
      <c r="L761" s="14" t="str">
        <f>equip.xml!M765</f>
        <v>103_2854_2854,104_5708_5708</v>
      </c>
      <c r="M761" s="17" t="str">
        <f>equip.xml!Q765</f>
        <v>equipment/1201.png</v>
      </c>
      <c r="N761" s="16" t="str">
        <f>equip.xml!P765</f>
        <v>10000_1002_65000,30000_30001_1,30000_30002_1,30000_30003_1</v>
      </c>
      <c r="O761">
        <f>equip.xml!R765</f>
        <v>0</v>
      </c>
    </row>
    <row r="762" spans="1:15">
      <c r="A762" s="14" t="str">
        <f>equip.xml!A766</f>
        <v>20652060</v>
      </c>
      <c r="B762" s="14">
        <f>equip.xml!B766</f>
        <v>1</v>
      </c>
      <c r="C762" s="14" t="str">
        <f>equip.xml!C766</f>
        <v>追噬之矢</v>
      </c>
      <c r="D762" s="14" t="str">
        <f>equip.xml!D766</f>
        <v>副手武器</v>
      </c>
      <c r="E762" s="14">
        <f>equip.xml!E766</f>
        <v>6</v>
      </c>
      <c r="F762" s="14">
        <f>equip.xml!F766</f>
        <v>2</v>
      </c>
      <c r="G762" s="14">
        <f>equip.xml!G766</f>
        <v>65</v>
      </c>
      <c r="H762" s="14" t="str">
        <f>equip.xml!H766</f>
        <v>2,1002</v>
      </c>
      <c r="I762" s="14">
        <f>equip.xml!J766</f>
        <v>10</v>
      </c>
      <c r="J762" s="14">
        <f>equip.xml!K766</f>
        <v>0</v>
      </c>
      <c r="K762" s="14">
        <f>equip.xml!L766</f>
        <v>0</v>
      </c>
      <c r="L762" s="14" t="str">
        <f>equip.xml!M766</f>
        <v>108_2988_2988</v>
      </c>
      <c r="M762" s="17" t="str">
        <f>equip.xml!Q766</f>
        <v>equipment/2216.png</v>
      </c>
      <c r="N762" s="16" t="str">
        <f>equip.xml!P766</f>
        <v>10000_1002_65000,30000_30001_1,30000_30002_1,30000_30003_1</v>
      </c>
      <c r="O762">
        <f>equip.xml!R766</f>
        <v>0</v>
      </c>
    </row>
    <row r="763" spans="1:15">
      <c r="A763" s="14" t="str">
        <f>equip.xml!A767</f>
        <v>20652061</v>
      </c>
      <c r="B763" s="14">
        <f>equip.xml!B767</f>
        <v>0</v>
      </c>
      <c r="C763" s="14" t="str">
        <f>equip.xml!C767</f>
        <v>箭筒</v>
      </c>
      <c r="D763" s="14" t="str">
        <f>equip.xml!D767</f>
        <v>副手武器</v>
      </c>
      <c r="E763" s="14">
        <f>equip.xml!E767</f>
        <v>6</v>
      </c>
      <c r="F763" s="14">
        <f>equip.xml!F767</f>
        <v>2</v>
      </c>
      <c r="G763" s="14">
        <f>equip.xml!G767</f>
        <v>65</v>
      </c>
      <c r="H763" s="14" t="str">
        <f>equip.xml!H767</f>
        <v>2,1002</v>
      </c>
      <c r="I763" s="14">
        <f>equip.xml!J767</f>
        <v>10</v>
      </c>
      <c r="J763" s="14">
        <f>equip.xml!K767</f>
        <v>0</v>
      </c>
      <c r="K763" s="14">
        <f>equip.xml!L767</f>
        <v>0</v>
      </c>
      <c r="L763" s="14" t="str">
        <f>equip.xml!M767</f>
        <v>108_2988_2988</v>
      </c>
      <c r="M763" s="17" t="str">
        <f>equip.xml!Q767</f>
        <v>equipment/2201.png</v>
      </c>
      <c r="N763" s="16" t="str">
        <f>equip.xml!P767</f>
        <v>10000_1002_65000,30000_30001_1,30000_30002_1,30000_30003_1</v>
      </c>
      <c r="O763">
        <f>equip.xml!R767</f>
        <v>0</v>
      </c>
    </row>
    <row r="764" spans="1:15">
      <c r="A764" s="14" t="str">
        <f>equip.xml!A768</f>
        <v>20653050</v>
      </c>
      <c r="B764" s="14">
        <f>equip.xml!B768</f>
        <v>1</v>
      </c>
      <c r="C764" s="14" t="str">
        <f>equip.xml!C768</f>
        <v>时轮金杖</v>
      </c>
      <c r="D764" s="14" t="str">
        <f>equip.xml!D768</f>
        <v>主手武器</v>
      </c>
      <c r="E764" s="14">
        <f>equip.xml!E768</f>
        <v>5</v>
      </c>
      <c r="F764" s="14">
        <f>equip.xml!F768</f>
        <v>2</v>
      </c>
      <c r="G764" s="14">
        <f>equip.xml!G768</f>
        <v>65</v>
      </c>
      <c r="H764" s="14" t="str">
        <f>equip.xml!H768</f>
        <v>3,1003</v>
      </c>
      <c r="I764" s="14">
        <f>equip.xml!J768</f>
        <v>10</v>
      </c>
      <c r="J764" s="14">
        <f>equip.xml!K768</f>
        <v>0</v>
      </c>
      <c r="K764" s="14">
        <f>equip.xml!L768</f>
        <v>0</v>
      </c>
      <c r="L764" s="14" t="str">
        <f>equip.xml!M768</f>
        <v>103_2619_2619,104_5238_5238</v>
      </c>
      <c r="M764" s="17" t="str">
        <f>equip.xml!Q768</f>
        <v>equipment/1323.png</v>
      </c>
      <c r="N764" s="16" t="str">
        <f>equip.xml!P768</f>
        <v>10000_1002_65000,30000_30001_1,30000_30002_1,30000_30003_1</v>
      </c>
      <c r="O764">
        <f>equip.xml!R768</f>
        <v>0</v>
      </c>
    </row>
    <row r="765" spans="1:15">
      <c r="A765" s="14" t="str">
        <f>equip.xml!A769</f>
        <v>20653051</v>
      </c>
      <c r="B765" s="14">
        <f>equip.xml!B769</f>
        <v>0</v>
      </c>
      <c r="C765" s="14" t="str">
        <f>equip.xml!C769</f>
        <v>学徒法杖</v>
      </c>
      <c r="D765" s="14" t="str">
        <f>equip.xml!D769</f>
        <v>主手武器</v>
      </c>
      <c r="E765" s="14">
        <f>equip.xml!E769</f>
        <v>5</v>
      </c>
      <c r="F765" s="14">
        <f>equip.xml!F769</f>
        <v>2</v>
      </c>
      <c r="G765" s="14">
        <f>equip.xml!G769</f>
        <v>65</v>
      </c>
      <c r="H765" s="14" t="str">
        <f>equip.xml!H769</f>
        <v>3,1003</v>
      </c>
      <c r="I765" s="14">
        <f>equip.xml!J769</f>
        <v>10</v>
      </c>
      <c r="J765" s="14">
        <f>equip.xml!K769</f>
        <v>0</v>
      </c>
      <c r="K765" s="14">
        <f>equip.xml!L769</f>
        <v>0</v>
      </c>
      <c r="L765" s="14" t="str">
        <f>equip.xml!M769</f>
        <v>103_2854_2854,104_5708_5708</v>
      </c>
      <c r="M765" s="17" t="str">
        <f>equip.xml!Q769</f>
        <v>equipment/1301.png</v>
      </c>
      <c r="N765" s="16" t="str">
        <f>equip.xml!P769</f>
        <v>10000_1002_65000,30000_30001_1,30000_30002_1,30000_30003_1</v>
      </c>
      <c r="O765">
        <f>equip.xml!R769</f>
        <v>0</v>
      </c>
    </row>
    <row r="766" spans="1:15">
      <c r="A766" s="14" t="str">
        <f>equip.xml!A770</f>
        <v>20653060</v>
      </c>
      <c r="B766" s="14">
        <f>equip.xml!B770</f>
        <v>1</v>
      </c>
      <c r="C766" s="14" t="str">
        <f>equip.xml!C770</f>
        <v>龙语秘典</v>
      </c>
      <c r="D766" s="14" t="str">
        <f>equip.xml!D770</f>
        <v>副手武器</v>
      </c>
      <c r="E766" s="14">
        <f>equip.xml!E770</f>
        <v>6</v>
      </c>
      <c r="F766" s="14">
        <f>equip.xml!F770</f>
        <v>2</v>
      </c>
      <c r="G766" s="14">
        <f>equip.xml!G770</f>
        <v>65</v>
      </c>
      <c r="H766" s="14" t="str">
        <f>equip.xml!H770</f>
        <v>3,1003</v>
      </c>
      <c r="I766" s="14">
        <f>equip.xml!J770</f>
        <v>10</v>
      </c>
      <c r="J766" s="14">
        <f>equip.xml!K770</f>
        <v>0</v>
      </c>
      <c r="K766" s="14">
        <f>equip.xml!L770</f>
        <v>0</v>
      </c>
      <c r="L766" s="14" t="str">
        <f>equip.xml!M770</f>
        <v>102_2620_2620</v>
      </c>
      <c r="M766" s="17" t="str">
        <f>equip.xml!Q770</f>
        <v>equipment/2317.png</v>
      </c>
      <c r="N766" s="16" t="str">
        <f>equip.xml!P770</f>
        <v>10000_1002_65000,30000_30001_1,30000_30002_1,30000_30003_1</v>
      </c>
      <c r="O766">
        <f>equip.xml!R770</f>
        <v>0</v>
      </c>
    </row>
    <row r="767" spans="1:15">
      <c r="A767" s="14" t="str">
        <f>equip.xml!A771</f>
        <v>20653061</v>
      </c>
      <c r="B767" s="14">
        <f>equip.xml!B771</f>
        <v>0</v>
      </c>
      <c r="C767" s="14" t="str">
        <f>equip.xml!C771</f>
        <v>法术指南</v>
      </c>
      <c r="D767" s="14" t="str">
        <f>equip.xml!D771</f>
        <v>副手武器</v>
      </c>
      <c r="E767" s="14">
        <f>equip.xml!E771</f>
        <v>6</v>
      </c>
      <c r="F767" s="14">
        <f>equip.xml!F771</f>
        <v>2</v>
      </c>
      <c r="G767" s="14">
        <f>equip.xml!G771</f>
        <v>65</v>
      </c>
      <c r="H767" s="14" t="str">
        <f>equip.xml!H771</f>
        <v>3,1003</v>
      </c>
      <c r="I767" s="14">
        <f>equip.xml!J771</f>
        <v>10</v>
      </c>
      <c r="J767" s="14">
        <f>equip.xml!K771</f>
        <v>0</v>
      </c>
      <c r="K767" s="14">
        <f>equip.xml!L771</f>
        <v>0</v>
      </c>
      <c r="L767" s="14" t="str">
        <f>equip.xml!M771</f>
        <v>102_2988_2988</v>
      </c>
      <c r="M767" s="17" t="str">
        <f>equip.xml!Q771</f>
        <v>equipment/2301.png</v>
      </c>
      <c r="N767" s="16" t="str">
        <f>equip.xml!P771</f>
        <v>10000_1002_65000,30000_30001_1,30000_30002_1,30000_30003_1</v>
      </c>
      <c r="O767">
        <f>equip.xml!R771</f>
        <v>0</v>
      </c>
    </row>
    <row r="768" spans="1:15">
      <c r="A768" s="14" t="str">
        <f>equip.xml!A772</f>
        <v>20650040</v>
      </c>
      <c r="B768" s="14">
        <f>equip.xml!B772</f>
        <v>1</v>
      </c>
      <c r="C768" s="14" t="str">
        <f>equip.xml!C772</f>
        <v>末世胸铠</v>
      </c>
      <c r="D768" s="14" t="str">
        <f>equip.xml!D772</f>
        <v>胸甲</v>
      </c>
      <c r="E768" s="14">
        <f>equip.xml!E772</f>
        <v>4</v>
      </c>
      <c r="F768" s="14">
        <f>equip.xml!F772</f>
        <v>2</v>
      </c>
      <c r="G768" s="14">
        <f>equip.xml!G772</f>
        <v>65</v>
      </c>
      <c r="H768" s="14">
        <f>equip.xml!H772</f>
        <v>0</v>
      </c>
      <c r="I768" s="14">
        <f>equip.xml!J772</f>
        <v>10</v>
      </c>
      <c r="J768" s="14">
        <f>equip.xml!K772</f>
        <v>0</v>
      </c>
      <c r="K768" s="14">
        <f>equip.xml!L772</f>
        <v>0</v>
      </c>
      <c r="L768" s="14" t="str">
        <f>equip.xml!M772</f>
        <v>105_1628_1628</v>
      </c>
      <c r="M768" s="17" t="str">
        <f>equip.xml!Q772</f>
        <v>equipment/5017.png</v>
      </c>
      <c r="N768" s="16" t="str">
        <f>equip.xml!P772</f>
        <v>10000_1002_65000,30000_30001_1,30000_30002_1,30000_30003_1</v>
      </c>
      <c r="O768">
        <f>equip.xml!R772</f>
        <v>0</v>
      </c>
    </row>
    <row r="769" spans="1:15">
      <c r="A769" s="14" t="str">
        <f>equip.xml!A773</f>
        <v>20650041</v>
      </c>
      <c r="B769" s="14">
        <f>equip.xml!B773</f>
        <v>0</v>
      </c>
      <c r="C769" s="14" t="str">
        <f>equip.xml!C773</f>
        <v>新兵外套</v>
      </c>
      <c r="D769" s="14" t="str">
        <f>equip.xml!D773</f>
        <v>胸甲</v>
      </c>
      <c r="E769" s="14">
        <f>equip.xml!E773</f>
        <v>4</v>
      </c>
      <c r="F769" s="14">
        <f>equip.xml!F773</f>
        <v>2</v>
      </c>
      <c r="G769" s="14">
        <f>equip.xml!G773</f>
        <v>65</v>
      </c>
      <c r="H769" s="14">
        <f>equip.xml!H773</f>
        <v>0</v>
      </c>
      <c r="I769" s="14">
        <f>equip.xml!J773</f>
        <v>10</v>
      </c>
      <c r="J769" s="14">
        <f>equip.xml!K773</f>
        <v>0</v>
      </c>
      <c r="K769" s="14">
        <f>equip.xml!L773</f>
        <v>0</v>
      </c>
      <c r="L769" s="14" t="str">
        <f>equip.xml!M773</f>
        <v>105_1628_1628</v>
      </c>
      <c r="M769" s="17" t="str">
        <f>equip.xml!Q773</f>
        <v>equipment/5001.png</v>
      </c>
      <c r="N769" s="16" t="str">
        <f>equip.xml!P773</f>
        <v>10000_1002_65000,30000_30001_1,30000_30002_1,30000_30003_1</v>
      </c>
      <c r="O769">
        <f>equip.xml!R773</f>
        <v>0</v>
      </c>
    </row>
    <row r="770" spans="1:15">
      <c r="A770" s="14" t="str">
        <f>equip.xml!A774</f>
        <v>20650070</v>
      </c>
      <c r="B770" s="14">
        <f>equip.xml!B774</f>
        <v>1</v>
      </c>
      <c r="C770" s="14" t="str">
        <f>equip.xml!C774</f>
        <v>止战腿甲</v>
      </c>
      <c r="D770" s="14" t="str">
        <f>equip.xml!D774</f>
        <v>护腿</v>
      </c>
      <c r="E770" s="14">
        <f>equip.xml!E774</f>
        <v>7</v>
      </c>
      <c r="F770" s="14">
        <f>equip.xml!F774</f>
        <v>2</v>
      </c>
      <c r="G770" s="14">
        <f>equip.xml!G774</f>
        <v>65</v>
      </c>
      <c r="H770" s="14">
        <f>equip.xml!H774</f>
        <v>0</v>
      </c>
      <c r="I770" s="14">
        <f>equip.xml!J774</f>
        <v>10</v>
      </c>
      <c r="J770" s="14">
        <f>equip.xml!K774</f>
        <v>0</v>
      </c>
      <c r="K770" s="14">
        <f>equip.xml!L774</f>
        <v>0</v>
      </c>
      <c r="L770" s="14" t="str">
        <f>equip.xml!M774</f>
        <v>105_1627_1627</v>
      </c>
      <c r="M770" s="17" t="str">
        <f>equip.xml!Q774</f>
        <v>equipment/7017.png</v>
      </c>
      <c r="N770" s="16" t="str">
        <f>equip.xml!P774</f>
        <v>10000_1002_65000,30000_30001_1,30000_30002_1,30000_30003_1</v>
      </c>
      <c r="O770">
        <f>equip.xml!R774</f>
        <v>0</v>
      </c>
    </row>
    <row r="771" spans="1:15">
      <c r="A771" s="14" t="str">
        <f>equip.xml!A775</f>
        <v>20650071</v>
      </c>
      <c r="B771" s="14">
        <f>equip.xml!B775</f>
        <v>0</v>
      </c>
      <c r="C771" s="14" t="str">
        <f>equip.xml!C775</f>
        <v>学徒短裤</v>
      </c>
      <c r="D771" s="14" t="str">
        <f>equip.xml!D775</f>
        <v>护腿</v>
      </c>
      <c r="E771" s="14">
        <f>equip.xml!E775</f>
        <v>7</v>
      </c>
      <c r="F771" s="14">
        <f>equip.xml!F775</f>
        <v>2</v>
      </c>
      <c r="G771" s="14">
        <f>equip.xml!G775</f>
        <v>65</v>
      </c>
      <c r="H771" s="14">
        <f>equip.xml!H775</f>
        <v>0</v>
      </c>
      <c r="I771" s="14">
        <f>equip.xml!J775</f>
        <v>10</v>
      </c>
      <c r="J771" s="14">
        <f>equip.xml!K775</f>
        <v>0</v>
      </c>
      <c r="K771" s="14">
        <f>equip.xml!L775</f>
        <v>0</v>
      </c>
      <c r="L771" s="14" t="str">
        <f>equip.xml!M775</f>
        <v>105_1627_1627</v>
      </c>
      <c r="M771" s="17" t="str">
        <f>equip.xml!Q775</f>
        <v>equipment/7001.png</v>
      </c>
      <c r="N771" s="16" t="str">
        <f>equip.xml!P775</f>
        <v>10000_1002_65000,30000_30001_1,30000_30002_1,30000_30003_1</v>
      </c>
      <c r="O771">
        <f>equip.xml!R775</f>
        <v>0</v>
      </c>
    </row>
    <row r="772" spans="1:15">
      <c r="A772" s="14" t="str">
        <f>equip.xml!A776</f>
        <v>20700010</v>
      </c>
      <c r="B772" s="14">
        <f>equip.xml!B776</f>
        <v>1</v>
      </c>
      <c r="C772" s="14" t="str">
        <f>equip.xml!C776</f>
        <v>破碎之冠</v>
      </c>
      <c r="D772" s="14" t="str">
        <f>equip.xml!D776</f>
        <v>头盔</v>
      </c>
      <c r="E772" s="14">
        <f>equip.xml!E776</f>
        <v>1</v>
      </c>
      <c r="F772" s="14">
        <f>equip.xml!F776</f>
        <v>2</v>
      </c>
      <c r="G772" s="14">
        <f>equip.xml!G776</f>
        <v>70</v>
      </c>
      <c r="H772" s="14">
        <f>equip.xml!H776</f>
        <v>0</v>
      </c>
      <c r="I772" s="14">
        <f>equip.xml!J776</f>
        <v>10</v>
      </c>
      <c r="J772" s="14">
        <f>equip.xml!K776</f>
        <v>0</v>
      </c>
      <c r="K772" s="14">
        <f>equip.xml!L776</f>
        <v>0</v>
      </c>
      <c r="L772" s="14" t="str">
        <f>equip.xml!M776</f>
        <v>106_2256_2256</v>
      </c>
      <c r="M772" s="17" t="str">
        <f>equip.xml!Q776</f>
        <v>equipment/3014.png</v>
      </c>
      <c r="N772" s="16" t="str">
        <f>equip.xml!P776</f>
        <v>10000_1002_70000,30000_30001_1,30000_30002_1,30000_30003_1</v>
      </c>
      <c r="O772">
        <f>equip.xml!R776</f>
        <v>0</v>
      </c>
    </row>
    <row r="773" spans="1:15">
      <c r="A773" s="14" t="str">
        <f>equip.xml!A777</f>
        <v>20700020</v>
      </c>
      <c r="B773" s="14">
        <f>equip.xml!B777</f>
        <v>1</v>
      </c>
      <c r="C773" s="14" t="str">
        <f>equip.xml!C777</f>
        <v>灵谕之戒</v>
      </c>
      <c r="D773" s="14" t="str">
        <f>equip.xml!D777</f>
        <v>戒指</v>
      </c>
      <c r="E773" s="14">
        <f>equip.xml!E777</f>
        <v>2</v>
      </c>
      <c r="F773" s="14">
        <f>equip.xml!F777</f>
        <v>2</v>
      </c>
      <c r="G773" s="14">
        <f>equip.xml!G777</f>
        <v>70</v>
      </c>
      <c r="H773" s="14">
        <f>equip.xml!H777</f>
        <v>0</v>
      </c>
      <c r="I773" s="14">
        <f>equip.xml!J777</f>
        <v>10</v>
      </c>
      <c r="J773" s="14">
        <f>equip.xml!K777</f>
        <v>0</v>
      </c>
      <c r="K773" s="14">
        <f>equip.xml!L777</f>
        <v>0</v>
      </c>
      <c r="L773" s="14" t="str">
        <f>equip.xml!M777</f>
        <v>102_1620_1620</v>
      </c>
      <c r="M773" s="17" t="str">
        <f>equip.xml!Q777</f>
        <v>equipment/14012.png</v>
      </c>
      <c r="N773" s="16" t="str">
        <f>equip.xml!P777</f>
        <v>10000_1002_70000,30000_30001_1,30000_30002_1,30000_30003_1</v>
      </c>
      <c r="O773">
        <f>equip.xml!R777</f>
        <v>0</v>
      </c>
    </row>
    <row r="774" spans="1:15">
      <c r="A774" s="14" t="str">
        <f>equip.xml!A778</f>
        <v>20700030</v>
      </c>
      <c r="B774" s="14">
        <f>equip.xml!B778</f>
        <v>1</v>
      </c>
      <c r="C774" s="14" t="str">
        <f>equip.xml!C778</f>
        <v>怒涛腰带</v>
      </c>
      <c r="D774" s="14" t="str">
        <f>equip.xml!D778</f>
        <v>腰带</v>
      </c>
      <c r="E774" s="14">
        <f>equip.xml!E778</f>
        <v>3</v>
      </c>
      <c r="F774" s="14">
        <f>equip.xml!F778</f>
        <v>2</v>
      </c>
      <c r="G774" s="14">
        <f>equip.xml!G778</f>
        <v>70</v>
      </c>
      <c r="H774" s="14">
        <f>equip.xml!H778</f>
        <v>0</v>
      </c>
      <c r="I774" s="14">
        <f>equip.xml!J778</f>
        <v>10</v>
      </c>
      <c r="J774" s="14">
        <f>equip.xml!K778</f>
        <v>0</v>
      </c>
      <c r="K774" s="14">
        <f>equip.xml!L778</f>
        <v>0</v>
      </c>
      <c r="L774" s="14" t="str">
        <f>equip.xml!M778</f>
        <v>101_19200_19200</v>
      </c>
      <c r="M774" s="17" t="str">
        <f>equip.xml!Q778</f>
        <v>equipment/6013.png</v>
      </c>
      <c r="N774" s="16" t="str">
        <f>equip.xml!P778</f>
        <v>10000_1002_70000,30000_30001_1,30000_30002_1,30000_30003_1</v>
      </c>
      <c r="O774">
        <f>equip.xml!R778</f>
        <v>0</v>
      </c>
    </row>
    <row r="775" spans="1:15">
      <c r="A775" s="14" t="str">
        <f>equip.xml!A779</f>
        <v>20700080</v>
      </c>
      <c r="B775" s="14">
        <f>equip.xml!B779</f>
        <v>1</v>
      </c>
      <c r="C775" s="14" t="str">
        <f>equip.xml!C779</f>
        <v>无影轻靴</v>
      </c>
      <c r="D775" s="14" t="str">
        <f>equip.xml!D779</f>
        <v>鞋子</v>
      </c>
      <c r="E775" s="14">
        <f>equip.xml!E779</f>
        <v>8</v>
      </c>
      <c r="F775" s="14">
        <f>equip.xml!F779</f>
        <v>2</v>
      </c>
      <c r="G775" s="14">
        <f>equip.xml!G779</f>
        <v>70</v>
      </c>
      <c r="H775" s="14">
        <f>equip.xml!H779</f>
        <v>0</v>
      </c>
      <c r="I775" s="14">
        <f>equip.xml!J779</f>
        <v>10</v>
      </c>
      <c r="J775" s="14">
        <f>equip.xml!K779</f>
        <v>0</v>
      </c>
      <c r="K775" s="14">
        <f>equip.xml!L779</f>
        <v>0</v>
      </c>
      <c r="L775" s="14" t="str">
        <f>equip.xml!M779</f>
        <v>110_442_442</v>
      </c>
      <c r="M775" s="17" t="str">
        <f>equip.xml!Q779</f>
        <v>equipment/8012.png</v>
      </c>
      <c r="N775" s="16" t="str">
        <f>equip.xml!P779</f>
        <v>10000_1002_70000,30000_30001_1,30000_30002_1,30000_30003_1</v>
      </c>
      <c r="O775">
        <f>equip.xml!R779</f>
        <v>0</v>
      </c>
    </row>
    <row r="776" spans="1:15">
      <c r="A776" s="14" t="str">
        <f>equip.xml!A780</f>
        <v>20700090</v>
      </c>
      <c r="B776" s="14">
        <f>equip.xml!B780</f>
        <v>1</v>
      </c>
      <c r="C776" s="14" t="str">
        <f>equip.xml!C780</f>
        <v>裂隙之手</v>
      </c>
      <c r="D776" s="14" t="str">
        <f>equip.xml!D780</f>
        <v>手套</v>
      </c>
      <c r="E776" s="14">
        <f>equip.xml!E780</f>
        <v>9</v>
      </c>
      <c r="F776" s="14">
        <f>equip.xml!F780</f>
        <v>2</v>
      </c>
      <c r="G776" s="14">
        <f>equip.xml!G780</f>
        <v>70</v>
      </c>
      <c r="H776" s="14">
        <f>equip.xml!H780</f>
        <v>0</v>
      </c>
      <c r="I776" s="14">
        <f>equip.xml!J780</f>
        <v>10</v>
      </c>
      <c r="J776" s="14">
        <f>equip.xml!K780</f>
        <v>0</v>
      </c>
      <c r="K776" s="14">
        <f>equip.xml!L780</f>
        <v>0</v>
      </c>
      <c r="L776" s="14" t="str">
        <f>equip.xml!M780</f>
        <v>108_4189_4189</v>
      </c>
      <c r="M776" s="17" t="str">
        <f>equip.xml!Q780</f>
        <v>equipment/10013.png</v>
      </c>
      <c r="N776" s="16" t="str">
        <f>equip.xml!P780</f>
        <v>10000_1002_70000,30000_30001_1,30000_30002_1,30000_30003_1</v>
      </c>
      <c r="O776">
        <f>equip.xml!R780</f>
        <v>0</v>
      </c>
    </row>
    <row r="777" spans="1:15">
      <c r="A777" s="14" t="str">
        <f>equip.xml!A781</f>
        <v>20700100</v>
      </c>
      <c r="B777" s="14">
        <f>equip.xml!B781</f>
        <v>1</v>
      </c>
      <c r="C777" s="14" t="str">
        <f>equip.xml!C781</f>
        <v>岁月永恒护符</v>
      </c>
      <c r="D777" s="14" t="str">
        <f>equip.xml!D781</f>
        <v>项链</v>
      </c>
      <c r="E777" s="14">
        <f>equip.xml!E781</f>
        <v>10</v>
      </c>
      <c r="F777" s="14">
        <f>equip.xml!F781</f>
        <v>2</v>
      </c>
      <c r="G777" s="14">
        <f>equip.xml!G781</f>
        <v>70</v>
      </c>
      <c r="H777" s="14">
        <f>equip.xml!H781</f>
        <v>0</v>
      </c>
      <c r="I777" s="14">
        <f>equip.xml!J781</f>
        <v>10</v>
      </c>
      <c r="J777" s="14">
        <f>equip.xml!K781</f>
        <v>0</v>
      </c>
      <c r="K777" s="14">
        <f>equip.xml!L781</f>
        <v>0</v>
      </c>
      <c r="L777" s="14" t="str">
        <f>equip.xml!M781</f>
        <v>107_2256_2256</v>
      </c>
      <c r="M777" s="17" t="str">
        <f>equip.xml!Q781</f>
        <v>equipment/12014.png</v>
      </c>
      <c r="N777" s="16" t="str">
        <f>equip.xml!P781</f>
        <v>10000_1002_70000,30000_30001_1,30000_30002_1,30000_30003_1</v>
      </c>
      <c r="O777">
        <f>equip.xml!R781</f>
        <v>0</v>
      </c>
    </row>
    <row r="778" spans="1:15">
      <c r="A778" s="14" t="str">
        <f>equip.xml!A782</f>
        <v>20701050</v>
      </c>
      <c r="B778" s="14">
        <f>equip.xml!B782</f>
        <v>1</v>
      </c>
      <c r="C778" s="14" t="str">
        <f>equip.xml!C782</f>
        <v>命运</v>
      </c>
      <c r="D778" s="14" t="str">
        <f>equip.xml!D782</f>
        <v>主手武器</v>
      </c>
      <c r="E778" s="14">
        <f>equip.xml!E782</f>
        <v>5</v>
      </c>
      <c r="F778" s="14">
        <f>equip.xml!F782</f>
        <v>2</v>
      </c>
      <c r="G778" s="14">
        <f>equip.xml!G782</f>
        <v>70</v>
      </c>
      <c r="H778" s="14" t="str">
        <f>equip.xml!H782</f>
        <v>1,1001</v>
      </c>
      <c r="I778" s="14">
        <f>equip.xml!J782</f>
        <v>10</v>
      </c>
      <c r="J778" s="14">
        <f>equip.xml!K782</f>
        <v>0</v>
      </c>
      <c r="K778" s="14">
        <f>equip.xml!L782</f>
        <v>0</v>
      </c>
      <c r="L778" s="14" t="str">
        <f>equip.xml!M782</f>
        <v>103_3269_3269,104_6538_6538</v>
      </c>
      <c r="M778" s="17" t="str">
        <f>equip.xml!Q782</f>
        <v>equipment/1124.png</v>
      </c>
      <c r="N778" s="16" t="str">
        <f>equip.xml!P782</f>
        <v>10000_1002_70000,30000_30001_1,30000_30002_1,30000_30003_1</v>
      </c>
      <c r="O778">
        <f>equip.xml!R782</f>
        <v>0</v>
      </c>
    </row>
    <row r="779" spans="1:15">
      <c r="A779" s="14" t="str">
        <f>equip.xml!A783</f>
        <v>20701051</v>
      </c>
      <c r="B779" s="14">
        <f>equip.xml!B783</f>
        <v>0</v>
      </c>
      <c r="C779" s="14" t="str">
        <f>equip.xml!C783</f>
        <v>灰烬使者</v>
      </c>
      <c r="D779" s="14" t="str">
        <f>equip.xml!D783</f>
        <v>主手武器</v>
      </c>
      <c r="E779" s="14">
        <f>equip.xml!E783</f>
        <v>5</v>
      </c>
      <c r="F779" s="14">
        <f>equip.xml!F783</f>
        <v>2</v>
      </c>
      <c r="G779" s="14">
        <f>equip.xml!G783</f>
        <v>70</v>
      </c>
      <c r="H779" s="14" t="str">
        <f>equip.xml!H783</f>
        <v>1,1001</v>
      </c>
      <c r="I779" s="14">
        <f>equip.xml!J783</f>
        <v>10</v>
      </c>
      <c r="J779" s="14">
        <f>equip.xml!K783</f>
        <v>0</v>
      </c>
      <c r="K779" s="14">
        <f>equip.xml!L783</f>
        <v>0</v>
      </c>
      <c r="L779" s="14" t="str">
        <f>equip.xml!M783</f>
        <v>103_3269_3269,104_6538_6538</v>
      </c>
      <c r="M779" s="17" t="str">
        <f>equip.xml!Q783</f>
        <v>equipment/1101.png</v>
      </c>
      <c r="N779" s="16" t="str">
        <f>equip.xml!P783</f>
        <v>10000_1002_70000,30000_30001_1,30000_30002_1,30000_30003_1</v>
      </c>
      <c r="O779">
        <f>equip.xml!R783</f>
        <v>0</v>
      </c>
    </row>
    <row r="780" spans="1:15">
      <c r="A780" s="14" t="str">
        <f>equip.xml!A784</f>
        <v>20701060</v>
      </c>
      <c r="B780" s="14">
        <f>equip.xml!B784</f>
        <v>1</v>
      </c>
      <c r="C780" s="14" t="str">
        <f>equip.xml!C784</f>
        <v>永恒之盾</v>
      </c>
      <c r="D780" s="14" t="str">
        <f>equip.xml!D784</f>
        <v>副手武器</v>
      </c>
      <c r="E780" s="14">
        <f>equip.xml!E784</f>
        <v>6</v>
      </c>
      <c r="F780" s="14">
        <f>equip.xml!F784</f>
        <v>2</v>
      </c>
      <c r="G780" s="14">
        <f>equip.xml!G784</f>
        <v>70</v>
      </c>
      <c r="H780" s="14" t="str">
        <f>equip.xml!H784</f>
        <v>1,1001</v>
      </c>
      <c r="I780" s="14">
        <f>equip.xml!J784</f>
        <v>10</v>
      </c>
      <c r="J780" s="14">
        <f>equip.xml!K784</f>
        <v>0</v>
      </c>
      <c r="K780" s="14">
        <f>equip.xml!L784</f>
        <v>0</v>
      </c>
      <c r="L780" s="14" t="str">
        <f>equip.xml!M784</f>
        <v>105_3522_3522</v>
      </c>
      <c r="M780" s="17" t="str">
        <f>equip.xml!Q784</f>
        <v>equipment/2118.png</v>
      </c>
      <c r="N780" s="16" t="str">
        <f>equip.xml!P784</f>
        <v>10000_1002_70000,30000_30001_1,30000_30002_1,30000_30003_1</v>
      </c>
      <c r="O780">
        <f>equip.xml!R784</f>
        <v>0</v>
      </c>
    </row>
    <row r="781" spans="1:15">
      <c r="A781" s="14" t="str">
        <f>equip.xml!A785</f>
        <v>20701061</v>
      </c>
      <c r="B781" s="14">
        <f>equip.xml!B785</f>
        <v>0</v>
      </c>
      <c r="C781" s="14" t="str">
        <f>equip.xml!C785</f>
        <v>相位壁垒</v>
      </c>
      <c r="D781" s="14" t="str">
        <f>equip.xml!D785</f>
        <v>副手武器</v>
      </c>
      <c r="E781" s="14">
        <f>equip.xml!E785</f>
        <v>6</v>
      </c>
      <c r="F781" s="14">
        <f>equip.xml!F785</f>
        <v>2</v>
      </c>
      <c r="G781" s="14">
        <f>equip.xml!G785</f>
        <v>70</v>
      </c>
      <c r="H781" s="14" t="str">
        <f>equip.xml!H785</f>
        <v>1,1001</v>
      </c>
      <c r="I781" s="14">
        <f>equip.xml!J785</f>
        <v>10</v>
      </c>
      <c r="J781" s="14">
        <f>equip.xml!K785</f>
        <v>0</v>
      </c>
      <c r="K781" s="14">
        <f>equip.xml!L785</f>
        <v>0</v>
      </c>
      <c r="L781" s="14" t="str">
        <f>equip.xml!M785</f>
        <v>105_3522_3522</v>
      </c>
      <c r="M781" s="17" t="str">
        <f>equip.xml!Q785</f>
        <v>equipment/2101.png</v>
      </c>
      <c r="N781" s="16" t="str">
        <f>equip.xml!P785</f>
        <v>10000_1002_70000,30000_30001_1,30000_30002_1,30000_30003_1</v>
      </c>
      <c r="O781">
        <f>equip.xml!R785</f>
        <v>0</v>
      </c>
    </row>
    <row r="782" spans="1:15">
      <c r="A782" s="14" t="str">
        <f>equip.xml!A786</f>
        <v>20702050</v>
      </c>
      <c r="B782" s="14">
        <f>equip.xml!B786</f>
        <v>1</v>
      </c>
      <c r="C782" s="14" t="str">
        <f>equip.xml!C786</f>
        <v>日怒凰弓</v>
      </c>
      <c r="D782" s="14" t="str">
        <f>equip.xml!D786</f>
        <v>主手武器</v>
      </c>
      <c r="E782" s="14">
        <f>equip.xml!E786</f>
        <v>5</v>
      </c>
      <c r="F782" s="14">
        <f>equip.xml!F786</f>
        <v>2</v>
      </c>
      <c r="G782" s="14">
        <f>equip.xml!G786</f>
        <v>70</v>
      </c>
      <c r="H782" s="14" t="str">
        <f>equip.xml!H786</f>
        <v>2,1002</v>
      </c>
      <c r="I782" s="14">
        <f>equip.xml!J786</f>
        <v>10</v>
      </c>
      <c r="J782" s="14">
        <f>equip.xml!K786</f>
        <v>0</v>
      </c>
      <c r="K782" s="14">
        <f>equip.xml!L786</f>
        <v>0</v>
      </c>
      <c r="L782" s="14" t="str">
        <f>equip.xml!M786</f>
        <v>103_3269_3269,104_6538_6538</v>
      </c>
      <c r="M782" s="17" t="str">
        <f>equip.xml!Q786</f>
        <v>equipment/1222.png</v>
      </c>
      <c r="N782" s="16" t="str">
        <f>equip.xml!P786</f>
        <v>10000_1002_70000,30000_30001_1,30000_30002_1,30000_30003_1</v>
      </c>
      <c r="O782">
        <f>equip.xml!R786</f>
        <v>0</v>
      </c>
    </row>
    <row r="783" spans="1:15">
      <c r="A783" s="14" t="str">
        <f>equip.xml!A787</f>
        <v>20702051</v>
      </c>
      <c r="B783" s="14">
        <f>equip.xml!B787</f>
        <v>0</v>
      </c>
      <c r="C783" s="14" t="str">
        <f>equip.xml!C787</f>
        <v>群星之怒</v>
      </c>
      <c r="D783" s="14" t="str">
        <f>equip.xml!D787</f>
        <v>主手武器</v>
      </c>
      <c r="E783" s="14">
        <f>equip.xml!E787</f>
        <v>5</v>
      </c>
      <c r="F783" s="14">
        <f>equip.xml!F787</f>
        <v>2</v>
      </c>
      <c r="G783" s="14">
        <f>equip.xml!G787</f>
        <v>70</v>
      </c>
      <c r="H783" s="14" t="str">
        <f>equip.xml!H787</f>
        <v>2,1002</v>
      </c>
      <c r="I783" s="14">
        <f>equip.xml!J787</f>
        <v>10</v>
      </c>
      <c r="J783" s="14">
        <f>equip.xml!K787</f>
        <v>0</v>
      </c>
      <c r="K783" s="14">
        <f>equip.xml!L787</f>
        <v>0</v>
      </c>
      <c r="L783" s="14" t="str">
        <f>equip.xml!M787</f>
        <v>103_3269_3269,104_6538_6538</v>
      </c>
      <c r="M783" s="17" t="str">
        <f>equip.xml!Q787</f>
        <v>equipment/1201.png</v>
      </c>
      <c r="N783" s="16" t="str">
        <f>equip.xml!P787</f>
        <v>10000_1002_70000,30000_30001_1,30000_30002_1,30000_30003_1</v>
      </c>
      <c r="O783">
        <f>equip.xml!R787</f>
        <v>0</v>
      </c>
    </row>
    <row r="784" spans="1:15">
      <c r="A784" s="14" t="str">
        <f>equip.xml!A788</f>
        <v>20702060</v>
      </c>
      <c r="B784" s="14">
        <f>equip.xml!B788</f>
        <v>1</v>
      </c>
      <c r="C784" s="14" t="str">
        <f>equip.xml!C788</f>
        <v>逐日之矢</v>
      </c>
      <c r="D784" s="14" t="str">
        <f>equip.xml!D788</f>
        <v>副手武器</v>
      </c>
      <c r="E784" s="14">
        <f>equip.xml!E788</f>
        <v>6</v>
      </c>
      <c r="F784" s="14">
        <f>equip.xml!F788</f>
        <v>2</v>
      </c>
      <c r="G784" s="14">
        <f>equip.xml!G788</f>
        <v>70</v>
      </c>
      <c r="H784" s="14" t="str">
        <f>equip.xml!H788</f>
        <v>2,1002</v>
      </c>
      <c r="I784" s="14">
        <f>equip.xml!J788</f>
        <v>10</v>
      </c>
      <c r="J784" s="14">
        <f>equip.xml!K788</f>
        <v>0</v>
      </c>
      <c r="K784" s="14">
        <f>equip.xml!L788</f>
        <v>0</v>
      </c>
      <c r="L784" s="14" t="str">
        <f>equip.xml!M788</f>
        <v>108_3522_3522</v>
      </c>
      <c r="M784" s="17" t="str">
        <f>equip.xml!Q788</f>
        <v>equipment/2218.png</v>
      </c>
      <c r="N784" s="16" t="str">
        <f>equip.xml!P788</f>
        <v>10000_1002_70000,30000_30001_1,30000_30002_1,30000_30003_1</v>
      </c>
      <c r="O784">
        <f>equip.xml!R788</f>
        <v>0</v>
      </c>
    </row>
    <row r="785" spans="1:15">
      <c r="A785" s="14" t="str">
        <f>equip.xml!A789</f>
        <v>20702061</v>
      </c>
      <c r="B785" s="14">
        <f>equip.xml!B789</f>
        <v>0</v>
      </c>
      <c r="C785" s="14" t="str">
        <f>equip.xml!C789</f>
        <v>箭筒</v>
      </c>
      <c r="D785" s="14" t="str">
        <f>equip.xml!D789</f>
        <v>副手武器</v>
      </c>
      <c r="E785" s="14">
        <f>equip.xml!E789</f>
        <v>6</v>
      </c>
      <c r="F785" s="14">
        <f>equip.xml!F789</f>
        <v>2</v>
      </c>
      <c r="G785" s="14">
        <f>equip.xml!G789</f>
        <v>70</v>
      </c>
      <c r="H785" s="14" t="str">
        <f>equip.xml!H789</f>
        <v>2,1002</v>
      </c>
      <c r="I785" s="14">
        <f>equip.xml!J789</f>
        <v>10</v>
      </c>
      <c r="J785" s="14">
        <f>equip.xml!K789</f>
        <v>0</v>
      </c>
      <c r="K785" s="14">
        <f>equip.xml!L789</f>
        <v>0</v>
      </c>
      <c r="L785" s="14" t="str">
        <f>equip.xml!M789</f>
        <v>108_3522_3522</v>
      </c>
      <c r="M785" s="17" t="str">
        <f>equip.xml!Q789</f>
        <v>equipment/2201.png</v>
      </c>
      <c r="N785" s="16" t="str">
        <f>equip.xml!P789</f>
        <v>10000_1002_70000,30000_30001_1,30000_30002_1,30000_30003_1</v>
      </c>
      <c r="O785">
        <f>equip.xml!R789</f>
        <v>0</v>
      </c>
    </row>
    <row r="786" spans="1:15">
      <c r="A786" s="14" t="str">
        <f>equip.xml!A790</f>
        <v>20703050</v>
      </c>
      <c r="B786" s="14">
        <f>equip.xml!B790</f>
        <v>1</v>
      </c>
      <c r="C786" s="14" t="str">
        <f>equip.xml!C790</f>
        <v>瓦解法杖</v>
      </c>
      <c r="D786" s="14" t="str">
        <f>equip.xml!D790</f>
        <v>主手武器</v>
      </c>
      <c r="E786" s="14">
        <f>equip.xml!E790</f>
        <v>5</v>
      </c>
      <c r="F786" s="14">
        <f>equip.xml!F790</f>
        <v>2</v>
      </c>
      <c r="G786" s="14">
        <f>equip.xml!G790</f>
        <v>70</v>
      </c>
      <c r="H786" s="14" t="str">
        <f>equip.xml!H790</f>
        <v>3,1003</v>
      </c>
      <c r="I786" s="14">
        <f>equip.xml!J790</f>
        <v>10</v>
      </c>
      <c r="J786" s="14">
        <f>equip.xml!K790</f>
        <v>0</v>
      </c>
      <c r="K786" s="14">
        <f>equip.xml!L790</f>
        <v>0</v>
      </c>
      <c r="L786" s="14" t="str">
        <f>equip.xml!M790</f>
        <v>103_3269_3269,104_6538_6538</v>
      </c>
      <c r="M786" s="17" t="str">
        <f>equip.xml!Q790</f>
        <v>equipment/1324.png</v>
      </c>
      <c r="N786" s="16" t="str">
        <f>equip.xml!P790</f>
        <v>10000_1002_70000,30000_30001_1,30000_30002_1,30000_30003_1</v>
      </c>
      <c r="O786">
        <f>equip.xml!R790</f>
        <v>0</v>
      </c>
    </row>
    <row r="787" spans="1:15">
      <c r="A787" s="14" t="str">
        <f>equip.xml!A791</f>
        <v>20703051</v>
      </c>
      <c r="B787" s="14">
        <f>equip.xml!B791</f>
        <v>0</v>
      </c>
      <c r="C787" s="14" t="str">
        <f>equip.xml!C791</f>
        <v>守护者之杖</v>
      </c>
      <c r="D787" s="14" t="str">
        <f>equip.xml!D791</f>
        <v>主手武器</v>
      </c>
      <c r="E787" s="14">
        <f>equip.xml!E791</f>
        <v>5</v>
      </c>
      <c r="F787" s="14">
        <f>equip.xml!F791</f>
        <v>2</v>
      </c>
      <c r="G787" s="14">
        <f>equip.xml!G791</f>
        <v>70</v>
      </c>
      <c r="H787" s="14" t="str">
        <f>equip.xml!H791</f>
        <v>3,1003</v>
      </c>
      <c r="I787" s="14">
        <f>equip.xml!J791</f>
        <v>10</v>
      </c>
      <c r="J787" s="14">
        <f>equip.xml!K791</f>
        <v>0</v>
      </c>
      <c r="K787" s="14">
        <f>equip.xml!L791</f>
        <v>0</v>
      </c>
      <c r="L787" s="14" t="str">
        <f>equip.xml!M791</f>
        <v>103_3269_3269,104_6538_6538</v>
      </c>
      <c r="M787" s="17" t="str">
        <f>equip.xml!Q791</f>
        <v>equipment/1301.png</v>
      </c>
      <c r="N787" s="16" t="str">
        <f>equip.xml!P791</f>
        <v>10000_1002_70000,30000_30001_1,30000_30002_1,30000_30003_1</v>
      </c>
      <c r="O787">
        <f>equip.xml!R791</f>
        <v>0</v>
      </c>
    </row>
    <row r="788" spans="1:15">
      <c r="A788" s="14" t="str">
        <f>equip.xml!A792</f>
        <v>20703060</v>
      </c>
      <c r="B788" s="14">
        <f>equip.xml!B792</f>
        <v>1</v>
      </c>
      <c r="C788" s="14" t="str">
        <f>equip.xml!C792</f>
        <v>虚空魔典</v>
      </c>
      <c r="D788" s="14" t="str">
        <f>equip.xml!D792</f>
        <v>副手武器</v>
      </c>
      <c r="E788" s="14">
        <f>equip.xml!E792</f>
        <v>6</v>
      </c>
      <c r="F788" s="14">
        <f>equip.xml!F792</f>
        <v>2</v>
      </c>
      <c r="G788" s="14">
        <f>equip.xml!G792</f>
        <v>70</v>
      </c>
      <c r="H788" s="14" t="str">
        <f>equip.xml!H792</f>
        <v>3,1003</v>
      </c>
      <c r="I788" s="14">
        <f>equip.xml!J792</f>
        <v>10</v>
      </c>
      <c r="J788" s="14">
        <f>equip.xml!K792</f>
        <v>0</v>
      </c>
      <c r="K788" s="14">
        <f>equip.xml!L792</f>
        <v>0</v>
      </c>
      <c r="L788" s="14" t="str">
        <f>equip.xml!M792</f>
        <v>102_3080_3080</v>
      </c>
      <c r="M788" s="17" t="str">
        <f>equip.xml!Q792</f>
        <v>equipment/2318.png</v>
      </c>
      <c r="N788" s="16" t="str">
        <f>equip.xml!P792</f>
        <v>10000_1002_70000,30000_30001_1,30000_30002_1,30000_30003_1</v>
      </c>
      <c r="O788">
        <f>equip.xml!R792</f>
        <v>0</v>
      </c>
    </row>
    <row r="789" spans="1:15">
      <c r="A789" s="14" t="str">
        <f>equip.xml!A793</f>
        <v>20703061</v>
      </c>
      <c r="B789" s="14">
        <f>equip.xml!B793</f>
        <v>0</v>
      </c>
      <c r="C789" s="14" t="str">
        <f>equip.xml!C793</f>
        <v>星界之书</v>
      </c>
      <c r="D789" s="14" t="str">
        <f>equip.xml!D793</f>
        <v>副手武器</v>
      </c>
      <c r="E789" s="14">
        <f>equip.xml!E793</f>
        <v>6</v>
      </c>
      <c r="F789" s="14">
        <f>equip.xml!F793</f>
        <v>2</v>
      </c>
      <c r="G789" s="14">
        <f>equip.xml!G793</f>
        <v>70</v>
      </c>
      <c r="H789" s="14" t="str">
        <f>equip.xml!H793</f>
        <v>3,1003</v>
      </c>
      <c r="I789" s="14">
        <f>equip.xml!J793</f>
        <v>10</v>
      </c>
      <c r="J789" s="14">
        <f>equip.xml!K793</f>
        <v>0</v>
      </c>
      <c r="K789" s="14">
        <f>equip.xml!L793</f>
        <v>0</v>
      </c>
      <c r="L789" s="14" t="str">
        <f>equip.xml!M793</f>
        <v>102_3080_3080</v>
      </c>
      <c r="M789" s="17" t="str">
        <f>equip.xml!Q793</f>
        <v>equipment/2301.png</v>
      </c>
      <c r="N789" s="16" t="str">
        <f>equip.xml!P793</f>
        <v>10000_1002_70000,30000_30001_1,30000_30002_1,30000_30003_1</v>
      </c>
      <c r="O789">
        <f>equip.xml!R793</f>
        <v>0</v>
      </c>
    </row>
    <row r="790" spans="1:15">
      <c r="A790" s="14" t="str">
        <f>equip.xml!A794</f>
        <v>20700040</v>
      </c>
      <c r="B790" s="14">
        <f>equip.xml!B794</f>
        <v>1</v>
      </c>
      <c r="C790" s="14" t="str">
        <f>equip.xml!C794</f>
        <v>光铸胸甲</v>
      </c>
      <c r="D790" s="14" t="str">
        <f>equip.xml!D794</f>
        <v>胸甲</v>
      </c>
      <c r="E790" s="14">
        <f>equip.xml!E794</f>
        <v>4</v>
      </c>
      <c r="F790" s="14">
        <f>equip.xml!F794</f>
        <v>2</v>
      </c>
      <c r="G790" s="14">
        <f>equip.xml!G794</f>
        <v>70</v>
      </c>
      <c r="H790" s="14">
        <f>equip.xml!H794</f>
        <v>0</v>
      </c>
      <c r="I790" s="14">
        <f>equip.xml!J794</f>
        <v>10</v>
      </c>
      <c r="J790" s="14">
        <f>equip.xml!K794</f>
        <v>0</v>
      </c>
      <c r="K790" s="14">
        <f>equip.xml!L794</f>
        <v>0</v>
      </c>
      <c r="L790" s="14" t="str">
        <f>equip.xml!M794</f>
        <v>105_1844_1844</v>
      </c>
      <c r="M790" s="17" t="str">
        <f>equip.xml!Q794</f>
        <v>equipment/5018.png</v>
      </c>
      <c r="N790" s="16" t="str">
        <f>equip.xml!P794</f>
        <v>10000_1002_70000,30000_30001_1,30000_30002_1,30000_30003_1</v>
      </c>
      <c r="O790">
        <f>equip.xml!R794</f>
        <v>0</v>
      </c>
    </row>
    <row r="791" spans="1:15">
      <c r="A791" s="14" t="str">
        <f>equip.xml!A795</f>
        <v>20700041</v>
      </c>
      <c r="B791" s="14">
        <f>equip.xml!B795</f>
        <v>0</v>
      </c>
      <c r="C791" s="14" t="str">
        <f>equip.xml!C795</f>
        <v>碎界之铠</v>
      </c>
      <c r="D791" s="14" t="str">
        <f>equip.xml!D795</f>
        <v>胸甲</v>
      </c>
      <c r="E791" s="14">
        <f>equip.xml!E795</f>
        <v>4</v>
      </c>
      <c r="F791" s="14">
        <f>equip.xml!F795</f>
        <v>2</v>
      </c>
      <c r="G791" s="14">
        <f>equip.xml!G795</f>
        <v>70</v>
      </c>
      <c r="H791" s="14">
        <f>equip.xml!H795</f>
        <v>0</v>
      </c>
      <c r="I791" s="14">
        <f>equip.xml!J795</f>
        <v>10</v>
      </c>
      <c r="J791" s="14">
        <f>equip.xml!K795</f>
        <v>0</v>
      </c>
      <c r="K791" s="14">
        <f>equip.xml!L795</f>
        <v>0</v>
      </c>
      <c r="L791" s="14" t="str">
        <f>equip.xml!M795</f>
        <v>105_0_0</v>
      </c>
      <c r="M791" s="17" t="str">
        <f>equip.xml!Q795</f>
        <v>equipment/5001.png</v>
      </c>
      <c r="N791" s="16" t="str">
        <f>equip.xml!P795</f>
        <v>10000_1002_70000,30000_30001_1,30000_30002_1,30000_30003_1</v>
      </c>
      <c r="O791">
        <f>equip.xml!R795</f>
        <v>0</v>
      </c>
    </row>
    <row r="792" spans="1:15">
      <c r="A792" s="14" t="str">
        <f>equip.xml!A796</f>
        <v>20700070</v>
      </c>
      <c r="B792" s="14">
        <f>equip.xml!B796</f>
        <v>1</v>
      </c>
      <c r="C792" s="14" t="str">
        <f>equip.xml!C796</f>
        <v>虚灵护腿</v>
      </c>
      <c r="D792" s="14" t="str">
        <f>equip.xml!D796</f>
        <v>护腿</v>
      </c>
      <c r="E792" s="14">
        <f>equip.xml!E796</f>
        <v>7</v>
      </c>
      <c r="F792" s="14">
        <f>equip.xml!F796</f>
        <v>2</v>
      </c>
      <c r="G792" s="14">
        <f>equip.xml!G796</f>
        <v>70</v>
      </c>
      <c r="H792" s="14">
        <f>equip.xml!H796</f>
        <v>0</v>
      </c>
      <c r="I792" s="14">
        <f>equip.xml!J796</f>
        <v>10</v>
      </c>
      <c r="J792" s="14">
        <f>equip.xml!K796</f>
        <v>0</v>
      </c>
      <c r="K792" s="14">
        <f>equip.xml!L796</f>
        <v>0</v>
      </c>
      <c r="L792" s="14" t="str">
        <f>equip.xml!M796</f>
        <v>105_1844_1844</v>
      </c>
      <c r="M792" s="17" t="str">
        <f>equip.xml!Q796</f>
        <v>equipment/7018.png</v>
      </c>
      <c r="N792" s="16" t="str">
        <f>equip.xml!P796</f>
        <v>10000_1002_70000,30000_30001_1,30000_30002_1,30000_30003_1</v>
      </c>
      <c r="O792">
        <f>equip.xml!R796</f>
        <v>0</v>
      </c>
    </row>
    <row r="793" spans="1:15">
      <c r="A793" s="14" t="str">
        <f>equip.xml!A797</f>
        <v>20700071</v>
      </c>
      <c r="B793" s="14">
        <f>equip.xml!B797</f>
        <v>0</v>
      </c>
      <c r="C793" s="14" t="str">
        <f>equip.xml!C797</f>
        <v>不朽护腿</v>
      </c>
      <c r="D793" s="14" t="str">
        <f>equip.xml!D797</f>
        <v>护腿</v>
      </c>
      <c r="E793" s="14">
        <f>equip.xml!E797</f>
        <v>7</v>
      </c>
      <c r="F793" s="14">
        <f>equip.xml!F797</f>
        <v>2</v>
      </c>
      <c r="G793" s="14">
        <f>equip.xml!G797</f>
        <v>70</v>
      </c>
      <c r="H793" s="14">
        <f>equip.xml!H797</f>
        <v>0</v>
      </c>
      <c r="I793" s="14">
        <f>equip.xml!J797</f>
        <v>10</v>
      </c>
      <c r="J793" s="14">
        <f>equip.xml!K797</f>
        <v>0</v>
      </c>
      <c r="K793" s="14">
        <f>equip.xml!L797</f>
        <v>0</v>
      </c>
      <c r="L793" s="14" t="str">
        <f>equip.xml!M797</f>
        <v>105_0_0</v>
      </c>
      <c r="M793" s="17" t="str">
        <f>equip.xml!Q797</f>
        <v>equipment/7001.png</v>
      </c>
      <c r="N793" s="16" t="str">
        <f>equip.xml!P797</f>
        <v>10000_1002_70000,30000_30001_1,30000_30002_1,30000_30003_1</v>
      </c>
      <c r="O793">
        <f>equip.xml!R797</f>
        <v>0</v>
      </c>
    </row>
    <row r="794" spans="1:15">
      <c r="A794" s="14">
        <f>equip.xml!A798</f>
        <v>20750010</v>
      </c>
      <c r="B794" s="14">
        <f>equip.xml!B798</f>
        <v>1</v>
      </c>
      <c r="C794" s="14" t="str">
        <f>equip.xml!C798</f>
        <v>凛冬头盔</v>
      </c>
      <c r="D794" s="14" t="str">
        <f>equip.xml!D798</f>
        <v>头盔</v>
      </c>
      <c r="E794" s="14">
        <f>equip.xml!E798</f>
        <v>1</v>
      </c>
      <c r="F794" s="14">
        <f>equip.xml!F798</f>
        <v>2</v>
      </c>
      <c r="G794" s="14">
        <f>equip.xml!G798</f>
        <v>75</v>
      </c>
      <c r="H794" s="14">
        <f>equip.xml!H798</f>
        <v>0</v>
      </c>
      <c r="I794" s="14">
        <f>equip.xml!J798</f>
        <v>10</v>
      </c>
      <c r="J794" s="14">
        <f>equip.xml!K798</f>
        <v>0</v>
      </c>
      <c r="K794" s="14">
        <f>equip.xml!L798</f>
        <v>0</v>
      </c>
      <c r="L794" s="14" t="str">
        <f>equip.xml!M798</f>
        <v>106_2633_2633</v>
      </c>
      <c r="M794" s="17" t="str">
        <f>equip.xml!Q798</f>
        <v>equipment/3013.png</v>
      </c>
      <c r="N794" s="16" t="str">
        <f>equip.xml!P798</f>
        <v>10000_1002_70000,30000_30001_1,30000_30002_1,30000_30003_1</v>
      </c>
      <c r="O794">
        <f>equip.xml!R798</f>
        <v>0</v>
      </c>
    </row>
    <row r="795" spans="1:15">
      <c r="A795" s="14">
        <f>equip.xml!A799</f>
        <v>20750020</v>
      </c>
      <c r="B795" s="14">
        <f>equip.xml!B799</f>
        <v>1</v>
      </c>
      <c r="C795" s="14" t="str">
        <f>equip.xml!C799</f>
        <v>地脉之环</v>
      </c>
      <c r="D795" s="14" t="str">
        <f>equip.xml!D799</f>
        <v>戒指</v>
      </c>
      <c r="E795" s="14">
        <f>equip.xml!E799</f>
        <v>2</v>
      </c>
      <c r="F795" s="14">
        <f>equip.xml!F799</f>
        <v>2</v>
      </c>
      <c r="G795" s="14">
        <f>equip.xml!G799</f>
        <v>75</v>
      </c>
      <c r="H795" s="14">
        <f>equip.xml!H799</f>
        <v>0</v>
      </c>
      <c r="I795" s="14">
        <f>equip.xml!J799</f>
        <v>10</v>
      </c>
      <c r="J795" s="14">
        <f>equip.xml!K799</f>
        <v>0</v>
      </c>
      <c r="K795" s="14">
        <f>equip.xml!L799</f>
        <v>0</v>
      </c>
      <c r="L795" s="14" t="str">
        <f>equip.xml!M799</f>
        <v>102_1760_1760</v>
      </c>
      <c r="M795" s="17" t="str">
        <f>equip.xml!Q799</f>
        <v>equipment/14013.png</v>
      </c>
      <c r="N795" s="16" t="str">
        <f>equip.xml!P799</f>
        <v>10000_1002_70000,30000_30001_1,30000_30002_1,30000_30003_1</v>
      </c>
      <c r="O795">
        <f>equip.xml!R799</f>
        <v>0</v>
      </c>
    </row>
    <row r="796" spans="1:15">
      <c r="A796" s="14">
        <f>equip.xml!A800</f>
        <v>20750030</v>
      </c>
      <c r="B796" s="14">
        <f>equip.xml!B800</f>
        <v>1</v>
      </c>
      <c r="C796" s="14" t="str">
        <f>equip.xml!C800</f>
        <v>缚誓护腰</v>
      </c>
      <c r="D796" s="14" t="str">
        <f>equip.xml!D800</f>
        <v>腰带</v>
      </c>
      <c r="E796" s="14">
        <f>equip.xml!E800</f>
        <v>3</v>
      </c>
      <c r="F796" s="14">
        <f>equip.xml!F800</f>
        <v>2</v>
      </c>
      <c r="G796" s="14">
        <f>equip.xml!G800</f>
        <v>75</v>
      </c>
      <c r="H796" s="14">
        <f>equip.xml!H800</f>
        <v>0</v>
      </c>
      <c r="I796" s="14">
        <f>equip.xml!J800</f>
        <v>10</v>
      </c>
      <c r="J796" s="14">
        <f>equip.xml!K800</f>
        <v>0</v>
      </c>
      <c r="K796" s="14">
        <f>equip.xml!L800</f>
        <v>0</v>
      </c>
      <c r="L796" s="14" t="str">
        <f>equip.xml!M800</f>
        <v>101_21600_21600</v>
      </c>
      <c r="M796" s="17" t="str">
        <f>equip.xml!Q800</f>
        <v>equipment/6014.png</v>
      </c>
      <c r="N796" s="16" t="str">
        <f>equip.xml!P800</f>
        <v>10000_1002_70000,30000_30001_1,30000_30002_1,30000_30003_1</v>
      </c>
      <c r="O796">
        <f>equip.xml!R800</f>
        <v>0</v>
      </c>
    </row>
    <row r="797" spans="1:15">
      <c r="A797" s="14">
        <f>equip.xml!A801</f>
        <v>20750080</v>
      </c>
      <c r="B797" s="14">
        <f>equip.xml!B801</f>
        <v>1</v>
      </c>
      <c r="C797" s="14" t="str">
        <f>equip.xml!C801</f>
        <v>踏冰长靴</v>
      </c>
      <c r="D797" s="14" t="str">
        <f>equip.xml!D801</f>
        <v>鞋子</v>
      </c>
      <c r="E797" s="14">
        <f>equip.xml!E801</f>
        <v>8</v>
      </c>
      <c r="F797" s="14">
        <f>equip.xml!F801</f>
        <v>2</v>
      </c>
      <c r="G797" s="14">
        <f>equip.xml!G801</f>
        <v>75</v>
      </c>
      <c r="H797" s="14">
        <f>equip.xml!H801</f>
        <v>0</v>
      </c>
      <c r="I797" s="14">
        <f>equip.xml!J801</f>
        <v>10</v>
      </c>
      <c r="J797" s="14">
        <f>equip.xml!K801</f>
        <v>0</v>
      </c>
      <c r="K797" s="14">
        <f>equip.xml!L801</f>
        <v>0</v>
      </c>
      <c r="L797" s="14" t="str">
        <f>equip.xml!M801</f>
        <v>110_515_515</v>
      </c>
      <c r="M797" s="17" t="str">
        <f>equip.xml!Q801</f>
        <v>equipment/8014.png</v>
      </c>
      <c r="N797" s="16" t="str">
        <f>equip.xml!P801</f>
        <v>10000_1002_70000,30000_30001_1,30000_30002_1,30000_30003_1</v>
      </c>
      <c r="O797">
        <f>equip.xml!R801</f>
        <v>0</v>
      </c>
    </row>
    <row r="798" spans="1:15">
      <c r="A798" s="14">
        <f>equip.xml!A802</f>
        <v>20750090</v>
      </c>
      <c r="B798" s="14">
        <f>equip.xml!B802</f>
        <v>1</v>
      </c>
      <c r="C798" s="14" t="str">
        <f>equip.xml!C802</f>
        <v>薄霜护手</v>
      </c>
      <c r="D798" s="14" t="str">
        <f>equip.xml!D802</f>
        <v>手套</v>
      </c>
      <c r="E798" s="14">
        <f>equip.xml!E802</f>
        <v>9</v>
      </c>
      <c r="F798" s="14">
        <f>equip.xml!F802</f>
        <v>2</v>
      </c>
      <c r="G798" s="14">
        <f>equip.xml!G802</f>
        <v>75</v>
      </c>
      <c r="H798" s="14">
        <f>equip.xml!H802</f>
        <v>0</v>
      </c>
      <c r="I798" s="14">
        <f>equip.xml!J802</f>
        <v>10</v>
      </c>
      <c r="J798" s="14">
        <f>equip.xml!K802</f>
        <v>0</v>
      </c>
      <c r="K798" s="14">
        <f>equip.xml!L802</f>
        <v>0</v>
      </c>
      <c r="L798" s="14" t="str">
        <f>equip.xml!M802</f>
        <v>108_4631_4631</v>
      </c>
      <c r="M798" s="17" t="str">
        <f>equip.xml!Q802</f>
        <v>equipment/10012.png</v>
      </c>
      <c r="N798" s="16" t="str">
        <f>equip.xml!P802</f>
        <v>10000_1002_70000,30000_30001_1,30000_30002_1,30000_30003_1</v>
      </c>
      <c r="O798">
        <f>equip.xml!R802</f>
        <v>0</v>
      </c>
    </row>
    <row r="799" spans="1:15">
      <c r="A799" s="14">
        <f>equip.xml!A803</f>
        <v>20750100</v>
      </c>
      <c r="B799" s="14">
        <f>equip.xml!B803</f>
        <v>1</v>
      </c>
      <c r="C799" s="14" t="str">
        <f>equip.xml!C803</f>
        <v>极光挂坠</v>
      </c>
      <c r="D799" s="14" t="str">
        <f>equip.xml!D803</f>
        <v>项链</v>
      </c>
      <c r="E799" s="14">
        <f>equip.xml!E803</f>
        <v>10</v>
      </c>
      <c r="F799" s="14">
        <f>equip.xml!F803</f>
        <v>2</v>
      </c>
      <c r="G799" s="14">
        <f>equip.xml!G803</f>
        <v>75</v>
      </c>
      <c r="H799" s="14">
        <f>equip.xml!H803</f>
        <v>0</v>
      </c>
      <c r="I799" s="14">
        <f>equip.xml!J803</f>
        <v>10</v>
      </c>
      <c r="J799" s="14">
        <f>equip.xml!K803</f>
        <v>0</v>
      </c>
      <c r="K799" s="14">
        <f>equip.xml!L803</f>
        <v>0</v>
      </c>
      <c r="L799" s="14" t="str">
        <f>equip.xml!M803</f>
        <v>107_2633_2633</v>
      </c>
      <c r="M799" s="17" t="str">
        <f>equip.xml!Q803</f>
        <v>equipment/12013.png</v>
      </c>
      <c r="N799" s="16" t="str">
        <f>equip.xml!P803</f>
        <v>10000_1002_70000,30000_30001_1,30000_30002_1,30000_30003_1</v>
      </c>
      <c r="O799">
        <f>equip.xml!R803</f>
        <v>0</v>
      </c>
    </row>
    <row r="800" spans="1:15">
      <c r="A800" s="14">
        <f>equip.xml!A804</f>
        <v>20751050</v>
      </c>
      <c r="B800" s="14">
        <f>equip.xml!B804</f>
        <v>1</v>
      </c>
      <c r="C800" s="14" t="str">
        <f>equip.xml!C804</f>
        <v>凌风之刃</v>
      </c>
      <c r="D800" s="14" t="str">
        <f>equip.xml!D804</f>
        <v>主手武器</v>
      </c>
      <c r="E800" s="14">
        <f>equip.xml!E804</f>
        <v>5</v>
      </c>
      <c r="F800" s="14">
        <f>equip.xml!F804</f>
        <v>2</v>
      </c>
      <c r="G800" s="14">
        <f>equip.xml!G804</f>
        <v>75</v>
      </c>
      <c r="H800" s="14" t="str">
        <f>equip.xml!H804</f>
        <v>1,1001</v>
      </c>
      <c r="I800" s="14">
        <f>equip.xml!J804</f>
        <v>10</v>
      </c>
      <c r="J800" s="14">
        <f>equip.xml!K804</f>
        <v>0</v>
      </c>
      <c r="K800" s="14">
        <f>equip.xml!L804</f>
        <v>0</v>
      </c>
      <c r="L800" s="14" t="str">
        <f>equip.xml!M804</f>
        <v>103_3811_3811,104_7622_7622</v>
      </c>
      <c r="M800" s="17" t="str">
        <f>equip.xml!Q804</f>
        <v>equipment/1126.png</v>
      </c>
      <c r="N800" s="16" t="str">
        <f>equip.xml!P804</f>
        <v>10000_1002_70000,30000_30001_1,30000_30002_1,30000_30003_1</v>
      </c>
      <c r="O800">
        <f>equip.xml!R804</f>
        <v>0</v>
      </c>
    </row>
    <row r="801" spans="1:15">
      <c r="A801" s="14">
        <f>equip.xml!A805</f>
        <v>20751051</v>
      </c>
      <c r="B801" s="14">
        <f>equip.xml!B805</f>
        <v>1</v>
      </c>
      <c r="C801" s="14" t="str">
        <f>equip.xml!C805</f>
        <v>鸣醒之剑</v>
      </c>
      <c r="D801" s="14" t="str">
        <f>equip.xml!D805</f>
        <v>主手武器</v>
      </c>
      <c r="E801" s="14">
        <f>equip.xml!E805</f>
        <v>5</v>
      </c>
      <c r="F801" s="14">
        <f>equip.xml!F805</f>
        <v>2</v>
      </c>
      <c r="G801" s="14">
        <f>equip.xml!G805</f>
        <v>75</v>
      </c>
      <c r="H801" s="14" t="str">
        <f>equip.xml!H805</f>
        <v>1,1001</v>
      </c>
      <c r="I801" s="14">
        <f>equip.xml!J805</f>
        <v>10</v>
      </c>
      <c r="J801" s="14">
        <f>equip.xml!K805</f>
        <v>0</v>
      </c>
      <c r="K801" s="14">
        <f>equip.xml!L805</f>
        <v>0</v>
      </c>
      <c r="L801" s="14" t="str">
        <f>equip.xml!M805</f>
        <v>103_4019_4019,104_8038_8038</v>
      </c>
      <c r="M801" s="17" t="str">
        <f>equip.xml!Q805</f>
        <v>equipment/1127.png</v>
      </c>
      <c r="N801" s="16" t="str">
        <f>equip.xml!P805</f>
        <v>10000_1002_70000,30000_30001_1,30000_30002_1,30000_30003_1</v>
      </c>
      <c r="O801">
        <f>equip.xml!R805</f>
        <v>0</v>
      </c>
    </row>
    <row r="802" spans="1:15">
      <c r="A802" s="14">
        <f>equip.xml!A806</f>
        <v>20751060</v>
      </c>
      <c r="B802" s="14">
        <f>equip.xml!B806</f>
        <v>1</v>
      </c>
      <c r="C802" s="14" t="str">
        <f>equip.xml!C806</f>
        <v>凯旋护盾</v>
      </c>
      <c r="D802" s="14" t="str">
        <f>equip.xml!D806</f>
        <v>副手武器</v>
      </c>
      <c r="E802" s="14">
        <f>equip.xml!E806</f>
        <v>6</v>
      </c>
      <c r="F802" s="14">
        <f>equip.xml!F806</f>
        <v>2</v>
      </c>
      <c r="G802" s="14">
        <f>equip.xml!G806</f>
        <v>75</v>
      </c>
      <c r="H802" s="14" t="str">
        <f>equip.xml!H806</f>
        <v>1,1001</v>
      </c>
      <c r="I802" s="14">
        <f>equip.xml!J806</f>
        <v>10</v>
      </c>
      <c r="J802" s="14">
        <f>equip.xml!K806</f>
        <v>0</v>
      </c>
      <c r="K802" s="14">
        <f>equip.xml!L806</f>
        <v>0</v>
      </c>
      <c r="L802" s="14" t="str">
        <f>equip.xml!M806</f>
        <v>105_3945_3945</v>
      </c>
      <c r="M802" s="17" t="str">
        <f>equip.xml!Q806</f>
        <v>equipment/2121.png</v>
      </c>
      <c r="N802" s="16" t="str">
        <f>equip.xml!P806</f>
        <v>10000_1002_70000,30000_30001_1,30000_30002_1,30000_30003_1</v>
      </c>
      <c r="O802">
        <f>equip.xml!R806</f>
        <v>0</v>
      </c>
    </row>
    <row r="803" spans="1:15">
      <c r="A803" s="14">
        <f>equip.xml!A807</f>
        <v>20751061</v>
      </c>
      <c r="B803" s="14">
        <f>equip.xml!B807</f>
        <v>1</v>
      </c>
      <c r="C803" s="14" t="str">
        <f>equip.xml!C807</f>
        <v>集结护盾</v>
      </c>
      <c r="D803" s="14" t="str">
        <f>equip.xml!D807</f>
        <v>副手武器</v>
      </c>
      <c r="E803" s="14">
        <f>equip.xml!E807</f>
        <v>6</v>
      </c>
      <c r="F803" s="14">
        <f>equip.xml!F807</f>
        <v>2</v>
      </c>
      <c r="G803" s="14">
        <f>equip.xml!G807</f>
        <v>75</v>
      </c>
      <c r="H803" s="14" t="str">
        <f>equip.xml!H807</f>
        <v>1,1001</v>
      </c>
      <c r="I803" s="14">
        <f>equip.xml!J807</f>
        <v>10</v>
      </c>
      <c r="J803" s="14">
        <f>equip.xml!K807</f>
        <v>0</v>
      </c>
      <c r="K803" s="14">
        <f>equip.xml!L807</f>
        <v>0</v>
      </c>
      <c r="L803" s="14" t="str">
        <f>equip.xml!M807</f>
        <v>105_4082_4082</v>
      </c>
      <c r="M803" s="17" t="str">
        <f>equip.xml!Q807</f>
        <v>equipment/2123.png</v>
      </c>
      <c r="N803" s="16" t="str">
        <f>equip.xml!P807</f>
        <v>10000_1002_70000,30000_30001_1,30000_30002_1,30000_30003_1</v>
      </c>
      <c r="O803">
        <f>equip.xml!R807</f>
        <v>0</v>
      </c>
    </row>
    <row r="804" spans="1:15">
      <c r="A804" s="14">
        <f>equip.xml!A808</f>
        <v>20752050</v>
      </c>
      <c r="B804" s="14">
        <f>equip.xml!B808</f>
        <v>1</v>
      </c>
      <c r="C804" s="14" t="str">
        <f>equip.xml!C808</f>
        <v>嚎风之息</v>
      </c>
      <c r="D804" s="14" t="str">
        <f>equip.xml!D808</f>
        <v>主手武器</v>
      </c>
      <c r="E804" s="14">
        <f>equip.xml!E808</f>
        <v>5</v>
      </c>
      <c r="F804" s="14">
        <f>equip.xml!F808</f>
        <v>2</v>
      </c>
      <c r="G804" s="14">
        <f>equip.xml!G808</f>
        <v>75</v>
      </c>
      <c r="H804" s="14" t="str">
        <f>equip.xml!H808</f>
        <v>2,1002</v>
      </c>
      <c r="I804" s="14">
        <f>equip.xml!J808</f>
        <v>10</v>
      </c>
      <c r="J804" s="14">
        <f>equip.xml!K808</f>
        <v>0</v>
      </c>
      <c r="K804" s="14">
        <f>equip.xml!L808</f>
        <v>0</v>
      </c>
      <c r="L804" s="14" t="str">
        <f>equip.xml!M808</f>
        <v>103_3811_3811,104_7622_7622</v>
      </c>
      <c r="M804" s="17" t="str">
        <f>equip.xml!Q808</f>
        <v>equipment/1225.png</v>
      </c>
      <c r="N804" s="16" t="str">
        <f>equip.xml!P808</f>
        <v>10000_1002_70000,30000_30001_1,30000_30002_1,30000_30003_1</v>
      </c>
      <c r="O804">
        <f>equip.xml!R808</f>
        <v>0</v>
      </c>
    </row>
    <row r="805" spans="1:15">
      <c r="A805" s="14">
        <f>equip.xml!A809</f>
        <v>20752051</v>
      </c>
      <c r="B805" s="14">
        <f>equip.xml!B809</f>
        <v>1</v>
      </c>
      <c r="C805" s="14" t="str">
        <f>equip.xml!C809</f>
        <v>瞭天长弓</v>
      </c>
      <c r="D805" s="14" t="str">
        <f>equip.xml!D809</f>
        <v>主手武器</v>
      </c>
      <c r="E805" s="14">
        <f>equip.xml!E809</f>
        <v>5</v>
      </c>
      <c r="F805" s="14">
        <f>equip.xml!F809</f>
        <v>2</v>
      </c>
      <c r="G805" s="14">
        <f>equip.xml!G809</f>
        <v>75</v>
      </c>
      <c r="H805" s="14" t="str">
        <f>equip.xml!H809</f>
        <v>2,1002</v>
      </c>
      <c r="I805" s="14">
        <f>equip.xml!J809</f>
        <v>10</v>
      </c>
      <c r="J805" s="14">
        <f>equip.xml!K809</f>
        <v>0</v>
      </c>
      <c r="K805" s="14">
        <f>equip.xml!L809</f>
        <v>0</v>
      </c>
      <c r="L805" s="14" t="str">
        <f>equip.xml!M809</f>
        <v>103_4019_4019,104_8038_8038</v>
      </c>
      <c r="M805" s="17" t="str">
        <f>equip.xml!Q809</f>
        <v>equipment/1226.png</v>
      </c>
      <c r="N805" s="16" t="str">
        <f>equip.xml!P809</f>
        <v>10000_1002_70000,30000_30001_1,30000_30002_1,30000_30003_1</v>
      </c>
      <c r="O805">
        <f>equip.xml!R809</f>
        <v>0</v>
      </c>
    </row>
    <row r="806" spans="1:15">
      <c r="A806" s="14">
        <f>equip.xml!A810</f>
        <v>20752060</v>
      </c>
      <c r="B806" s="14">
        <f>equip.xml!B810</f>
        <v>1</v>
      </c>
      <c r="C806" s="14" t="str">
        <f>equip.xml!C810</f>
        <v>疾鹰箭袋</v>
      </c>
      <c r="D806" s="14" t="str">
        <f>equip.xml!D810</f>
        <v>副手武器</v>
      </c>
      <c r="E806" s="14">
        <f>equip.xml!E810</f>
        <v>6</v>
      </c>
      <c r="F806" s="14">
        <f>equip.xml!F810</f>
        <v>2</v>
      </c>
      <c r="G806" s="14">
        <f>equip.xml!G810</f>
        <v>75</v>
      </c>
      <c r="H806" s="14" t="str">
        <f>equip.xml!H810</f>
        <v>2,1002</v>
      </c>
      <c r="I806" s="14">
        <f>equip.xml!J810</f>
        <v>10</v>
      </c>
      <c r="J806" s="14">
        <f>equip.xml!K810</f>
        <v>0</v>
      </c>
      <c r="K806" s="14">
        <f>equip.xml!L810</f>
        <v>0</v>
      </c>
      <c r="L806" s="14" t="str">
        <f>equip.xml!M810</f>
        <v>108_3945_3945</v>
      </c>
      <c r="M806" s="17" t="str">
        <f>equip.xml!Q810</f>
        <v>equipment/2219.png</v>
      </c>
      <c r="N806" s="16" t="str">
        <f>equip.xml!P810</f>
        <v>10000_1002_70000,30000_30001_1,30000_30002_1,30000_30003_1</v>
      </c>
      <c r="O806">
        <f>equip.xml!R810</f>
        <v>0</v>
      </c>
    </row>
    <row r="807" spans="1:15">
      <c r="A807" s="14">
        <f>equip.xml!A811</f>
        <v>20752061</v>
      </c>
      <c r="B807" s="14">
        <f>equip.xml!B811</f>
        <v>1</v>
      </c>
      <c r="C807" s="14" t="str">
        <f>equip.xml!C811</f>
        <v>灵犀箭筒</v>
      </c>
      <c r="D807" s="14" t="str">
        <f>equip.xml!D811</f>
        <v>副手武器</v>
      </c>
      <c r="E807" s="14">
        <f>equip.xml!E811</f>
        <v>6</v>
      </c>
      <c r="F807" s="14">
        <f>equip.xml!F811</f>
        <v>2</v>
      </c>
      <c r="G807" s="14">
        <f>equip.xml!G811</f>
        <v>75</v>
      </c>
      <c r="H807" s="14" t="str">
        <f>equip.xml!H811</f>
        <v>2,1002</v>
      </c>
      <c r="I807" s="14">
        <f>equip.xml!J811</f>
        <v>10</v>
      </c>
      <c r="J807" s="14">
        <f>equip.xml!K811</f>
        <v>0</v>
      </c>
      <c r="K807" s="14">
        <f>equip.xml!L811</f>
        <v>0</v>
      </c>
      <c r="L807" s="14" t="str">
        <f>equip.xml!M811</f>
        <v>108_4082_4082</v>
      </c>
      <c r="M807" s="17" t="str">
        <f>equip.xml!Q811</f>
        <v>equipment/2220.png</v>
      </c>
      <c r="N807" s="16" t="str">
        <f>equip.xml!P811</f>
        <v>10000_1002_70000,30000_30001_1,30000_30002_1,30000_30003_1</v>
      </c>
      <c r="O807">
        <f>equip.xml!R811</f>
        <v>0</v>
      </c>
    </row>
    <row r="808" spans="1:15">
      <c r="A808" s="14">
        <f>equip.xml!A812</f>
        <v>20753050</v>
      </c>
      <c r="B808" s="14">
        <f>equip.xml!B812</f>
        <v>1</v>
      </c>
      <c r="C808" s="14" t="str">
        <f>equip.xml!C812</f>
        <v>唤海长杖</v>
      </c>
      <c r="D808" s="14" t="str">
        <f>equip.xml!D812</f>
        <v>主手武器</v>
      </c>
      <c r="E808" s="14">
        <f>equip.xml!E812</f>
        <v>5</v>
      </c>
      <c r="F808" s="14">
        <f>equip.xml!F812</f>
        <v>2</v>
      </c>
      <c r="G808" s="14">
        <f>equip.xml!G812</f>
        <v>75</v>
      </c>
      <c r="H808" s="14" t="str">
        <f>equip.xml!H812</f>
        <v>3,1003</v>
      </c>
      <c r="I808" s="14">
        <f>equip.xml!J812</f>
        <v>10</v>
      </c>
      <c r="J808" s="14">
        <f>equip.xml!K812</f>
        <v>0</v>
      </c>
      <c r="K808" s="14">
        <f>equip.xml!L812</f>
        <v>0</v>
      </c>
      <c r="L808" s="14" t="str">
        <f>equip.xml!M812</f>
        <v>103_3811_3811,104_7622_7622</v>
      </c>
      <c r="M808" s="17" t="str">
        <f>equip.xml!Q812</f>
        <v>equipment/1326.png</v>
      </c>
      <c r="N808" s="16" t="str">
        <f>equip.xml!P812</f>
        <v>10000_1002_70000,30000_30001_1,30000_30002_1,30000_30003_1</v>
      </c>
      <c r="O808">
        <f>equip.xml!R812</f>
        <v>0</v>
      </c>
    </row>
    <row r="809" spans="1:15">
      <c r="A809" s="14">
        <f>equip.xml!A813</f>
        <v>20753051</v>
      </c>
      <c r="B809" s="14">
        <f>equip.xml!B813</f>
        <v>1</v>
      </c>
      <c r="C809" s="14" t="str">
        <f>equip.xml!C813</f>
        <v>奥核之杖</v>
      </c>
      <c r="D809" s="14" t="str">
        <f>equip.xml!D813</f>
        <v>主手武器</v>
      </c>
      <c r="E809" s="14">
        <f>equip.xml!E813</f>
        <v>5</v>
      </c>
      <c r="F809" s="14">
        <f>equip.xml!F813</f>
        <v>2</v>
      </c>
      <c r="G809" s="14">
        <f>equip.xml!G813</f>
        <v>75</v>
      </c>
      <c r="H809" s="14" t="str">
        <f>equip.xml!H813</f>
        <v>3,1003</v>
      </c>
      <c r="I809" s="14">
        <f>equip.xml!J813</f>
        <v>10</v>
      </c>
      <c r="J809" s="14">
        <f>equip.xml!K813</f>
        <v>0</v>
      </c>
      <c r="K809" s="14">
        <f>equip.xml!L813</f>
        <v>0</v>
      </c>
      <c r="L809" s="14" t="str">
        <f>equip.xml!M813</f>
        <v>103_4019_4019,104_8038_8038</v>
      </c>
      <c r="M809" s="17" t="str">
        <f>equip.xml!Q813</f>
        <v>equipment/1325.png</v>
      </c>
      <c r="N809" s="16" t="str">
        <f>equip.xml!P813</f>
        <v>10000_1002_70000,30000_30001_1,30000_30002_1,30000_30003_1</v>
      </c>
      <c r="O809">
        <f>equip.xml!R813</f>
        <v>0</v>
      </c>
    </row>
    <row r="810" spans="1:15">
      <c r="A810" s="14">
        <f>equip.xml!A814</f>
        <v>20753060</v>
      </c>
      <c r="B810" s="14">
        <f>equip.xml!B814</f>
        <v>1</v>
      </c>
      <c r="C810" s="14" t="str">
        <f>equip.xml!C814</f>
        <v>尘封遗典</v>
      </c>
      <c r="D810" s="14" t="str">
        <f>equip.xml!D814</f>
        <v>副手武器</v>
      </c>
      <c r="E810" s="14">
        <f>equip.xml!E814</f>
        <v>6</v>
      </c>
      <c r="F810" s="14">
        <f>equip.xml!F814</f>
        <v>2</v>
      </c>
      <c r="G810" s="14">
        <f>equip.xml!G814</f>
        <v>75</v>
      </c>
      <c r="H810" s="14" t="str">
        <f>equip.xml!H814</f>
        <v>3,1003</v>
      </c>
      <c r="I810" s="14">
        <f>equip.xml!J814</f>
        <v>10</v>
      </c>
      <c r="J810" s="14">
        <f>equip.xml!K814</f>
        <v>0</v>
      </c>
      <c r="K810" s="14">
        <f>equip.xml!L814</f>
        <v>0</v>
      </c>
      <c r="L810" s="14" t="str">
        <f>equip.xml!M814</f>
        <v>102_3350_3350</v>
      </c>
      <c r="M810" s="17" t="str">
        <f>equip.xml!Q814</f>
        <v>equipment/2319.png</v>
      </c>
      <c r="N810" s="16" t="str">
        <f>equip.xml!P814</f>
        <v>10000_1002_70000,30000_30001_1,30000_30002_1,30000_30003_1</v>
      </c>
      <c r="O810">
        <f>equip.xml!R814</f>
        <v>0</v>
      </c>
    </row>
    <row r="811" spans="1:15">
      <c r="A811" s="14">
        <f>equip.xml!A815</f>
        <v>20753061</v>
      </c>
      <c r="B811" s="14">
        <f>equip.xml!B815</f>
        <v>1</v>
      </c>
      <c r="C811" s="14" t="str">
        <f>equip.xml!C815</f>
        <v>魔枢秘典</v>
      </c>
      <c r="D811" s="14" t="str">
        <f>equip.xml!D815</f>
        <v>副手武器</v>
      </c>
      <c r="E811" s="14">
        <f>equip.xml!E815</f>
        <v>6</v>
      </c>
      <c r="F811" s="14">
        <f>equip.xml!F815</f>
        <v>2</v>
      </c>
      <c r="G811" s="14">
        <f>equip.xml!G815</f>
        <v>75</v>
      </c>
      <c r="H811" s="14" t="str">
        <f>equip.xml!H815</f>
        <v>3,1003</v>
      </c>
      <c r="I811" s="14">
        <f>equip.xml!J815</f>
        <v>10</v>
      </c>
      <c r="J811" s="14">
        <f>equip.xml!K815</f>
        <v>0</v>
      </c>
      <c r="K811" s="14">
        <f>equip.xml!L815</f>
        <v>0</v>
      </c>
      <c r="L811" s="14" t="str">
        <f>equip.xml!M815</f>
        <v>102_3450_3450</v>
      </c>
      <c r="M811" s="17" t="str">
        <f>equip.xml!Q815</f>
        <v>equipment/2321.png</v>
      </c>
      <c r="N811" s="16" t="str">
        <f>equip.xml!P815</f>
        <v>10000_1002_70000,30000_30001_1,30000_30002_1,30000_30003_1</v>
      </c>
      <c r="O811">
        <f>equip.xml!R815</f>
        <v>0</v>
      </c>
    </row>
    <row r="812" spans="1:15">
      <c r="A812" s="14">
        <f>equip.xml!A816</f>
        <v>20750040</v>
      </c>
      <c r="B812" s="14">
        <f>equip.xml!B816</f>
        <v>1</v>
      </c>
      <c r="C812" s="14" t="str">
        <f>equip.xml!C816</f>
        <v>守望胸甲</v>
      </c>
      <c r="D812" s="14" t="str">
        <f>equip.xml!D816</f>
        <v>胸甲</v>
      </c>
      <c r="E812" s="14">
        <f>equip.xml!E816</f>
        <v>4</v>
      </c>
      <c r="F812" s="14">
        <f>equip.xml!F816</f>
        <v>2</v>
      </c>
      <c r="G812" s="14">
        <f>equip.xml!G816</f>
        <v>75</v>
      </c>
      <c r="H812" s="14">
        <f>equip.xml!H816</f>
        <v>0</v>
      </c>
      <c r="I812" s="14">
        <f>equip.xml!J816</f>
        <v>10</v>
      </c>
      <c r="J812" s="14">
        <f>equip.xml!K816</f>
        <v>0</v>
      </c>
      <c r="K812" s="14">
        <f>equip.xml!L816</f>
        <v>0</v>
      </c>
      <c r="L812" s="14" t="str">
        <f>equip.xml!M816</f>
        <v>105_2195_2195</v>
      </c>
      <c r="M812" s="17" t="str">
        <f>equip.xml!Q816</f>
        <v>equipment/5019.png</v>
      </c>
      <c r="N812" s="16" t="str">
        <f>equip.xml!P816</f>
        <v>10000_1002_70000,30000_30001_1,30000_30002_1,30000_30003_1</v>
      </c>
      <c r="O812">
        <f>equip.xml!R816</f>
        <v>0</v>
      </c>
    </row>
    <row r="813" spans="1:15">
      <c r="A813" s="14">
        <f>equip.xml!A817</f>
        <v>20750041</v>
      </c>
      <c r="B813" s="14">
        <f>equip.xml!B817</f>
        <v>1</v>
      </c>
      <c r="C813" s="14" t="str">
        <f>equip.xml!C817</f>
        <v>冥铸之铠</v>
      </c>
      <c r="D813" s="14" t="str">
        <f>equip.xml!D817</f>
        <v>胸甲</v>
      </c>
      <c r="E813" s="14">
        <f>equip.xml!E817</f>
        <v>4</v>
      </c>
      <c r="F813" s="14">
        <f>equip.xml!F817</f>
        <v>2</v>
      </c>
      <c r="G813" s="14">
        <f>equip.xml!G817</f>
        <v>75</v>
      </c>
      <c r="H813" s="14">
        <f>equip.xml!H817</f>
        <v>0</v>
      </c>
      <c r="I813" s="14">
        <f>equip.xml!J817</f>
        <v>10</v>
      </c>
      <c r="J813" s="14">
        <f>equip.xml!K817</f>
        <v>0</v>
      </c>
      <c r="K813" s="14">
        <f>equip.xml!L817</f>
        <v>0</v>
      </c>
      <c r="L813" s="14" t="str">
        <f>equip.xml!M817</f>
        <v>105_2346_2346</v>
      </c>
      <c r="M813" s="17" t="str">
        <f>equip.xml!Q817</f>
        <v>equipment/5020.png</v>
      </c>
      <c r="N813" s="16" t="str">
        <f>equip.xml!P817</f>
        <v>10000_1002_70000,30000_30001_1,30000_30002_1,30000_30003_1</v>
      </c>
      <c r="O813">
        <f>equip.xml!R817</f>
        <v>0</v>
      </c>
    </row>
    <row r="814" spans="1:15">
      <c r="A814" s="14">
        <f>equip.xml!A818</f>
        <v>20750070</v>
      </c>
      <c r="B814" s="14">
        <f>equip.xml!B818</f>
        <v>1</v>
      </c>
      <c r="C814" s="14" t="str">
        <f>equip.xml!C818</f>
        <v>怜悯护腿</v>
      </c>
      <c r="D814" s="14" t="str">
        <f>equip.xml!D818</f>
        <v>护腿</v>
      </c>
      <c r="E814" s="14">
        <f>equip.xml!E818</f>
        <v>7</v>
      </c>
      <c r="F814" s="14">
        <f>equip.xml!F818</f>
        <v>2</v>
      </c>
      <c r="G814" s="14">
        <f>equip.xml!G818</f>
        <v>75</v>
      </c>
      <c r="H814" s="14">
        <f>equip.xml!H818</f>
        <v>0</v>
      </c>
      <c r="I814" s="14">
        <f>equip.xml!J818</f>
        <v>10</v>
      </c>
      <c r="J814" s="14">
        <f>equip.xml!K818</f>
        <v>0</v>
      </c>
      <c r="K814" s="14">
        <f>equip.xml!L818</f>
        <v>0</v>
      </c>
      <c r="L814" s="14" t="str">
        <f>equip.xml!M818</f>
        <v>105_2195_2195</v>
      </c>
      <c r="M814" s="17" t="str">
        <f>equip.xml!Q818</f>
        <v>equipment/7019.png</v>
      </c>
      <c r="N814" s="16" t="str">
        <f>equip.xml!P818</f>
        <v>10000_1002_70000,30000_30001_1,30000_30002_1,30000_30003_1</v>
      </c>
      <c r="O814">
        <f>equip.xml!R818</f>
        <v>0</v>
      </c>
    </row>
    <row r="815" spans="1:15">
      <c r="A815" s="14">
        <f>equip.xml!A819</f>
        <v>20750071</v>
      </c>
      <c r="B815" s="14">
        <f>equip.xml!B819</f>
        <v>1</v>
      </c>
      <c r="C815" s="14" t="str">
        <f>equip.xml!C819</f>
        <v>魔痕护腿</v>
      </c>
      <c r="D815" s="14" t="str">
        <f>equip.xml!D819</f>
        <v>护腿</v>
      </c>
      <c r="E815" s="14">
        <f>equip.xml!E819</f>
        <v>7</v>
      </c>
      <c r="F815" s="14">
        <f>equip.xml!F819</f>
        <v>2</v>
      </c>
      <c r="G815" s="14">
        <f>equip.xml!G819</f>
        <v>75</v>
      </c>
      <c r="H815" s="14">
        <f>equip.xml!H819</f>
        <v>0</v>
      </c>
      <c r="I815" s="14">
        <f>equip.xml!J819</f>
        <v>10</v>
      </c>
      <c r="J815" s="14">
        <f>equip.xml!K819</f>
        <v>0</v>
      </c>
      <c r="K815" s="14">
        <f>equip.xml!L819</f>
        <v>0</v>
      </c>
      <c r="L815" s="14" t="str">
        <f>equip.xml!M819</f>
        <v>105_2346_2346</v>
      </c>
      <c r="M815" s="17" t="str">
        <f>equip.xml!Q819</f>
        <v>equipment/7020.png</v>
      </c>
      <c r="N815" s="16" t="str">
        <f>equip.xml!P819</f>
        <v>10000_1002_70000,30000_30001_1,30000_30002_1,30000_30003_1</v>
      </c>
      <c r="O815">
        <f>equip.xml!R819</f>
        <v>0</v>
      </c>
    </row>
    <row r="816" spans="1:15">
      <c r="A816" s="14">
        <f>equip.xml!A820</f>
        <v>20800010</v>
      </c>
      <c r="B816" s="14">
        <f>equip.xml!B820</f>
        <v>1</v>
      </c>
      <c r="C816" s="14" t="str">
        <f>equip.xml!C820</f>
        <v>浴火战盔</v>
      </c>
      <c r="D816" s="14" t="str">
        <f>equip.xml!D820</f>
        <v>头盔</v>
      </c>
      <c r="E816" s="14">
        <f>equip.xml!E820</f>
        <v>1</v>
      </c>
      <c r="F816" s="14">
        <f>equip.xml!F820</f>
        <v>2</v>
      </c>
      <c r="G816" s="14">
        <f>equip.xml!G820</f>
        <v>80</v>
      </c>
      <c r="H816" s="14">
        <f>equip.xml!H820</f>
        <v>0</v>
      </c>
      <c r="I816" s="14">
        <f>equip.xml!J820</f>
        <v>10</v>
      </c>
      <c r="J816" s="14">
        <f>equip.xml!K820</f>
        <v>0</v>
      </c>
      <c r="K816" s="14">
        <f>equip.xml!L820</f>
        <v>0</v>
      </c>
      <c r="L816" s="14" t="str">
        <f>equip.xml!M820</f>
        <v>106_3066_3066</v>
      </c>
      <c r="M816" s="17" t="str">
        <f>equip.xml!Q820</f>
        <v>equipment/3015.png</v>
      </c>
      <c r="N816" s="16" t="str">
        <f>equip.xml!P820</f>
        <v>10000_1002_70000,30000_30001_1,30000_30002_1,30000_30003_1</v>
      </c>
      <c r="O816">
        <f>equip.xml!R820</f>
        <v>0</v>
      </c>
    </row>
    <row r="817" spans="1:15">
      <c r="A817" s="14">
        <f>equip.xml!A821</f>
        <v>20800020</v>
      </c>
      <c r="B817" s="14">
        <f>equip.xml!B821</f>
        <v>1</v>
      </c>
      <c r="C817" s="14" t="str">
        <f>equip.xml!C821</f>
        <v>联合徽记</v>
      </c>
      <c r="D817" s="14" t="str">
        <f>equip.xml!D821</f>
        <v>戒指</v>
      </c>
      <c r="E817" s="14">
        <f>equip.xml!E821</f>
        <v>2</v>
      </c>
      <c r="F817" s="14">
        <f>equip.xml!F821</f>
        <v>2</v>
      </c>
      <c r="G817" s="14">
        <f>equip.xml!G821</f>
        <v>80</v>
      </c>
      <c r="H817" s="14">
        <f>equip.xml!H821</f>
        <v>0</v>
      </c>
      <c r="I817" s="14">
        <f>equip.xml!J821</f>
        <v>10</v>
      </c>
      <c r="J817" s="14">
        <f>equip.xml!K821</f>
        <v>0</v>
      </c>
      <c r="K817" s="14">
        <f>equip.xml!L821</f>
        <v>0</v>
      </c>
      <c r="L817" s="14" t="str">
        <f>equip.xml!M821</f>
        <v>102_1900_1900</v>
      </c>
      <c r="M817" s="17" t="str">
        <f>equip.xml!Q821</f>
        <v>equipment/14014.png</v>
      </c>
      <c r="N817" s="16" t="str">
        <f>equip.xml!P821</f>
        <v>10000_1002_70000,30000_30001_1,30000_30002_1,30000_30003_1</v>
      </c>
      <c r="O817">
        <f>equip.xml!R821</f>
        <v>0</v>
      </c>
    </row>
    <row r="818" spans="1:15">
      <c r="A818" s="14">
        <f>equip.xml!A822</f>
        <v>20800030</v>
      </c>
      <c r="B818" s="14">
        <f>equip.xml!B822</f>
        <v>1</v>
      </c>
      <c r="C818" s="14" t="str">
        <f>equip.xml!C822</f>
        <v>怒岩腰带</v>
      </c>
      <c r="D818" s="14" t="str">
        <f>equip.xml!D822</f>
        <v>腰带</v>
      </c>
      <c r="E818" s="14">
        <f>equip.xml!E822</f>
        <v>3</v>
      </c>
      <c r="F818" s="14">
        <f>equip.xml!F822</f>
        <v>2</v>
      </c>
      <c r="G818" s="14">
        <f>equip.xml!G822</f>
        <v>80</v>
      </c>
      <c r="H818" s="14">
        <f>equip.xml!H822</f>
        <v>0</v>
      </c>
      <c r="I818" s="14">
        <f>equip.xml!J822</f>
        <v>10</v>
      </c>
      <c r="J818" s="14">
        <f>equip.xml!K822</f>
        <v>0</v>
      </c>
      <c r="K818" s="14">
        <f>equip.xml!L822</f>
        <v>0</v>
      </c>
      <c r="L818" s="14" t="str">
        <f>equip.xml!M822</f>
        <v>101_24080_24080</v>
      </c>
      <c r="M818" s="17" t="str">
        <f>equip.xml!Q822</f>
        <v>equipment/6015.png</v>
      </c>
      <c r="N818" s="16" t="str">
        <f>equip.xml!P822</f>
        <v>10000_1002_70000,30000_30001_1,30000_30002_1,30000_30003_1</v>
      </c>
      <c r="O818">
        <f>equip.xml!R822</f>
        <v>0</v>
      </c>
    </row>
    <row r="819" spans="1:15">
      <c r="A819" s="14">
        <f>equip.xml!A823</f>
        <v>20800080</v>
      </c>
      <c r="B819" s="14">
        <f>equip.xml!B823</f>
        <v>1</v>
      </c>
      <c r="C819" s="14" t="str">
        <f>equip.xml!C823</f>
        <v>缚法之靴</v>
      </c>
      <c r="D819" s="14" t="str">
        <f>equip.xml!D823</f>
        <v>鞋子</v>
      </c>
      <c r="E819" s="14">
        <f>equip.xml!E823</f>
        <v>8</v>
      </c>
      <c r="F819" s="14">
        <f>equip.xml!F823</f>
        <v>2</v>
      </c>
      <c r="G819" s="14">
        <f>equip.xml!G823</f>
        <v>80</v>
      </c>
      <c r="H819" s="14">
        <f>equip.xml!H823</f>
        <v>0</v>
      </c>
      <c r="I819" s="14">
        <f>equip.xml!J823</f>
        <v>10</v>
      </c>
      <c r="J819" s="14">
        <f>equip.xml!K823</f>
        <v>0</v>
      </c>
      <c r="K819" s="14">
        <f>equip.xml!L823</f>
        <v>0</v>
      </c>
      <c r="L819" s="14" t="str">
        <f>equip.xml!M823</f>
        <v>110_568_568</v>
      </c>
      <c r="M819" s="17" t="str">
        <f>equip.xml!Q823</f>
        <v>equipment/8015.png</v>
      </c>
      <c r="N819" s="16" t="str">
        <f>equip.xml!P823</f>
        <v>10000_1002_70000,30000_30001_1,30000_30002_1,30000_30003_1</v>
      </c>
      <c r="O819">
        <f>equip.xml!R823</f>
        <v>0</v>
      </c>
    </row>
    <row r="820" spans="1:15">
      <c r="A820" s="14">
        <f>equip.xml!A824</f>
        <v>20800090</v>
      </c>
      <c r="B820" s="14">
        <f>equip.xml!B824</f>
        <v>1</v>
      </c>
      <c r="C820" s="14" t="str">
        <f>equip.xml!C824</f>
        <v>梦境护手</v>
      </c>
      <c r="D820" s="14" t="str">
        <f>equip.xml!D824</f>
        <v>手套</v>
      </c>
      <c r="E820" s="14">
        <f>equip.xml!E824</f>
        <v>9</v>
      </c>
      <c r="F820" s="14">
        <f>equip.xml!F824</f>
        <v>2</v>
      </c>
      <c r="G820" s="14">
        <f>equip.xml!G824</f>
        <v>80</v>
      </c>
      <c r="H820" s="14">
        <f>equip.xml!H824</f>
        <v>0</v>
      </c>
      <c r="I820" s="14">
        <f>equip.xml!J824</f>
        <v>10</v>
      </c>
      <c r="J820" s="14">
        <f>equip.xml!K824</f>
        <v>0</v>
      </c>
      <c r="K820" s="14">
        <f>equip.xml!L824</f>
        <v>0</v>
      </c>
      <c r="L820" s="14" t="str">
        <f>equip.xml!M824</f>
        <v>108_5067_5067</v>
      </c>
      <c r="M820" s="17" t="str">
        <f>equip.xml!Q824</f>
        <v>equipment/10016.png</v>
      </c>
      <c r="N820" s="16" t="str">
        <f>equip.xml!P824</f>
        <v>10000_1002_70000,30000_30001_1,30000_30002_1,30000_30003_1</v>
      </c>
      <c r="O820">
        <f>equip.xml!R824</f>
        <v>0</v>
      </c>
    </row>
    <row r="821" spans="1:15">
      <c r="A821" s="14">
        <f>equip.xml!A825</f>
        <v>20800100</v>
      </c>
      <c r="B821" s="14">
        <f>equip.xml!B825</f>
        <v>1</v>
      </c>
      <c r="C821" s="14" t="str">
        <f>equip.xml!C825</f>
        <v>亏蚀项链</v>
      </c>
      <c r="D821" s="14" t="str">
        <f>equip.xml!D825</f>
        <v>项链</v>
      </c>
      <c r="E821" s="14">
        <f>equip.xml!E825</f>
        <v>10</v>
      </c>
      <c r="F821" s="14">
        <f>equip.xml!F825</f>
        <v>2</v>
      </c>
      <c r="G821" s="14">
        <f>equip.xml!G825</f>
        <v>80</v>
      </c>
      <c r="H821" s="14">
        <f>equip.xml!H825</f>
        <v>0</v>
      </c>
      <c r="I821" s="14">
        <f>equip.xml!J825</f>
        <v>10</v>
      </c>
      <c r="J821" s="14">
        <f>equip.xml!K825</f>
        <v>0</v>
      </c>
      <c r="K821" s="14">
        <f>equip.xml!L825</f>
        <v>0</v>
      </c>
      <c r="L821" s="14" t="str">
        <f>equip.xml!M825</f>
        <v>107_3066_3066</v>
      </c>
      <c r="M821" s="17" t="str">
        <f>equip.xml!Q825</f>
        <v>equipment/12015.png</v>
      </c>
      <c r="N821" s="16" t="str">
        <f>equip.xml!P825</f>
        <v>10000_1002_70000,30000_30001_1,30000_30002_1,30000_30003_1</v>
      </c>
      <c r="O821">
        <f>equip.xml!R825</f>
        <v>0</v>
      </c>
    </row>
    <row r="822" spans="1:15">
      <c r="A822" s="14">
        <f>equip.xml!A826</f>
        <v>20801050</v>
      </c>
      <c r="B822" s="14">
        <f>equip.xml!B826</f>
        <v>1</v>
      </c>
      <c r="C822" s="14" t="str">
        <f>equip.xml!C826</f>
        <v>死寂之剑</v>
      </c>
      <c r="D822" s="14" t="str">
        <f>equip.xml!D826</f>
        <v>主手武器</v>
      </c>
      <c r="E822" s="14">
        <f>equip.xml!E826</f>
        <v>5</v>
      </c>
      <c r="F822" s="14">
        <f>equip.xml!F826</f>
        <v>2</v>
      </c>
      <c r="G822" s="14">
        <f>equip.xml!G826</f>
        <v>80</v>
      </c>
      <c r="H822" s="14" t="str">
        <f>equip.xml!H826</f>
        <v>1,1001</v>
      </c>
      <c r="I822" s="14">
        <f>equip.xml!J826</f>
        <v>10</v>
      </c>
      <c r="J822" s="14">
        <f>equip.xml!K826</f>
        <v>0</v>
      </c>
      <c r="K822" s="14">
        <f>equip.xml!L826</f>
        <v>0</v>
      </c>
      <c r="L822" s="14" t="str">
        <f>equip.xml!M826</f>
        <v>103_4331_4331,104_8662_8662</v>
      </c>
      <c r="M822" s="17" t="str">
        <f>equip.xml!Q826</f>
        <v>equipment/1130.png</v>
      </c>
      <c r="N822" s="16" t="str">
        <f>equip.xml!P826</f>
        <v>10000_1002_70000,30000_30001_1,30000_30002_1,30000_30003_1</v>
      </c>
      <c r="O822">
        <f>equip.xml!R826</f>
        <v>0</v>
      </c>
    </row>
    <row r="823" spans="1:15">
      <c r="A823" s="14">
        <f>equip.xml!A827</f>
        <v>20801051</v>
      </c>
      <c r="B823" s="14">
        <f>equip.xml!B827</f>
        <v>1</v>
      </c>
      <c r="C823" s="14" t="str">
        <f>equip.xml!C827</f>
        <v>千魂之刃</v>
      </c>
      <c r="D823" s="14" t="str">
        <f>equip.xml!D827</f>
        <v>主手武器</v>
      </c>
      <c r="E823" s="14">
        <f>equip.xml!E827</f>
        <v>5</v>
      </c>
      <c r="F823" s="14">
        <f>equip.xml!F827</f>
        <v>2</v>
      </c>
      <c r="G823" s="14">
        <f>equip.xml!G827</f>
        <v>80</v>
      </c>
      <c r="H823" s="14" t="str">
        <f>equip.xml!H827</f>
        <v>1,1001</v>
      </c>
      <c r="I823" s="14">
        <f>equip.xml!J827</f>
        <v>10</v>
      </c>
      <c r="J823" s="14">
        <f>equip.xml!K827</f>
        <v>0</v>
      </c>
      <c r="K823" s="14">
        <f>equip.xml!L827</f>
        <v>0</v>
      </c>
      <c r="L823" s="14" t="str">
        <f>equip.xml!M827</f>
        <v>103_4552_4552,104_9105_9105</v>
      </c>
      <c r="M823" s="17" t="str">
        <f>equip.xml!Q827</f>
        <v>equipment/1125.png</v>
      </c>
      <c r="N823" s="16" t="str">
        <f>equip.xml!P827</f>
        <v>10000_1002_70000,30000_30001_1,30000_30002_1,30000_30003_1</v>
      </c>
      <c r="O823">
        <f>equip.xml!R827</f>
        <v>0</v>
      </c>
    </row>
    <row r="824" spans="1:15">
      <c r="A824" s="14">
        <f>equip.xml!A828</f>
        <v>20801060</v>
      </c>
      <c r="B824" s="14">
        <f>equip.xml!B828</f>
        <v>1</v>
      </c>
      <c r="C824" s="14" t="str">
        <f>equip.xml!C828</f>
        <v>折戟之盾</v>
      </c>
      <c r="D824" s="14" t="str">
        <f>equip.xml!D828</f>
        <v>副手武器</v>
      </c>
      <c r="E824" s="14">
        <f>equip.xml!E828</f>
        <v>6</v>
      </c>
      <c r="F824" s="14">
        <f>equip.xml!F828</f>
        <v>2</v>
      </c>
      <c r="G824" s="14">
        <f>equip.xml!G828</f>
        <v>80</v>
      </c>
      <c r="H824" s="14" t="str">
        <f>equip.xml!H828</f>
        <v>1,1001</v>
      </c>
      <c r="I824" s="14">
        <f>equip.xml!J828</f>
        <v>10</v>
      </c>
      <c r="J824" s="14">
        <f>equip.xml!K828</f>
        <v>0</v>
      </c>
      <c r="K824" s="14">
        <f>equip.xml!L828</f>
        <v>0</v>
      </c>
      <c r="L824" s="14" t="str">
        <f>equip.xml!M828</f>
        <v>105_4288_4288</v>
      </c>
      <c r="M824" s="17" t="str">
        <f>equip.xml!Q828</f>
        <v>equipment/2122.png</v>
      </c>
      <c r="N824" s="16" t="str">
        <f>equip.xml!P828</f>
        <v>10000_1002_70000,30000_30001_1,30000_30002_1,30000_30003_1</v>
      </c>
      <c r="O824">
        <f>equip.xml!R828</f>
        <v>0</v>
      </c>
    </row>
    <row r="825" spans="1:15">
      <c r="A825" s="14">
        <f>equip.xml!A829</f>
        <v>20801061</v>
      </c>
      <c r="B825" s="14">
        <f>equip.xml!B829</f>
        <v>1</v>
      </c>
      <c r="C825" s="14" t="str">
        <f>equip.xml!C829</f>
        <v>古石壁垒</v>
      </c>
      <c r="D825" s="14" t="str">
        <f>equip.xml!D829</f>
        <v>副手武器</v>
      </c>
      <c r="E825" s="14">
        <f>equip.xml!E829</f>
        <v>6</v>
      </c>
      <c r="F825" s="14">
        <f>equip.xml!F829</f>
        <v>2</v>
      </c>
      <c r="G825" s="14">
        <f>equip.xml!G829</f>
        <v>80</v>
      </c>
      <c r="H825" s="14" t="str">
        <f>equip.xml!H829</f>
        <v>1,1001</v>
      </c>
      <c r="I825" s="14">
        <f>equip.xml!J829</f>
        <v>10</v>
      </c>
      <c r="J825" s="14">
        <f>equip.xml!K829</f>
        <v>0</v>
      </c>
      <c r="K825" s="14">
        <f>equip.xml!L829</f>
        <v>0</v>
      </c>
      <c r="L825" s="14" t="str">
        <f>equip.xml!M829</f>
        <v>105_4419_4419</v>
      </c>
      <c r="M825" s="17" t="str">
        <f>equip.xml!Q829</f>
        <v>equipment/2120.png</v>
      </c>
      <c r="N825" s="16" t="str">
        <f>equip.xml!P829</f>
        <v>10000_1002_70000,30000_30001_1,30000_30002_1,30000_30003_1</v>
      </c>
      <c r="O825">
        <f>equip.xml!R829</f>
        <v>0</v>
      </c>
    </row>
    <row r="826" spans="1:15">
      <c r="A826" s="14">
        <f>equip.xml!A830</f>
        <v>20802050</v>
      </c>
      <c r="B826" s="14">
        <f>equip.xml!B830</f>
        <v>1</v>
      </c>
      <c r="C826" s="14" t="str">
        <f>equip.xml!C830</f>
        <v>龙骨弯弓</v>
      </c>
      <c r="D826" s="14" t="str">
        <f>equip.xml!D830</f>
        <v>主手武器</v>
      </c>
      <c r="E826" s="14">
        <f>equip.xml!E830</f>
        <v>5</v>
      </c>
      <c r="F826" s="14">
        <f>equip.xml!F830</f>
        <v>2</v>
      </c>
      <c r="G826" s="14">
        <f>equip.xml!G830</f>
        <v>80</v>
      </c>
      <c r="H826" s="14" t="str">
        <f>equip.xml!H830</f>
        <v>2,1002</v>
      </c>
      <c r="I826" s="14">
        <f>equip.xml!J830</f>
        <v>10</v>
      </c>
      <c r="J826" s="14">
        <f>equip.xml!K830</f>
        <v>0</v>
      </c>
      <c r="K826" s="14">
        <f>equip.xml!L830</f>
        <v>0</v>
      </c>
      <c r="L826" s="14" t="str">
        <f>equip.xml!M830</f>
        <v>103_4331_4331,104_8662_8662</v>
      </c>
      <c r="M826" s="17" t="str">
        <f>equip.xml!Q830</f>
        <v>equipment/1227.png</v>
      </c>
      <c r="N826" s="16" t="str">
        <f>equip.xml!P830</f>
        <v>10000_1002_70000,30000_30001_1,30000_30002_1,30000_30003_1</v>
      </c>
      <c r="O826">
        <f>equip.xml!R830</f>
        <v>0</v>
      </c>
    </row>
    <row r="827" spans="1:15">
      <c r="A827" s="14">
        <f>equip.xml!A831</f>
        <v>20802051</v>
      </c>
      <c r="B827" s="14">
        <f>equip.xml!B831</f>
        <v>1</v>
      </c>
      <c r="C827" s="14" t="str">
        <f>equip.xml!C831</f>
        <v>川流长弓</v>
      </c>
      <c r="D827" s="14" t="str">
        <f>equip.xml!D831</f>
        <v>主手武器</v>
      </c>
      <c r="E827" s="14">
        <f>equip.xml!E831</f>
        <v>5</v>
      </c>
      <c r="F827" s="14">
        <f>equip.xml!F831</f>
        <v>2</v>
      </c>
      <c r="G827" s="14">
        <f>equip.xml!G831</f>
        <v>80</v>
      </c>
      <c r="H827" s="14" t="str">
        <f>equip.xml!H831</f>
        <v>2,1002</v>
      </c>
      <c r="I827" s="14">
        <f>equip.xml!J831</f>
        <v>10</v>
      </c>
      <c r="J827" s="14">
        <f>equip.xml!K831</f>
        <v>0</v>
      </c>
      <c r="K827" s="14">
        <f>equip.xml!L831</f>
        <v>0</v>
      </c>
      <c r="L827" s="14" t="str">
        <f>equip.xml!M831</f>
        <v>103_4552_4552,104_9105_9105</v>
      </c>
      <c r="M827" s="17" t="str">
        <f>equip.xml!Q831</f>
        <v>equipment/1229.png</v>
      </c>
      <c r="N827" s="16" t="str">
        <f>equip.xml!P831</f>
        <v>10000_1002_70000,30000_30001_1,30000_30002_1,30000_30003_1</v>
      </c>
      <c r="O827">
        <f>equip.xml!R831</f>
        <v>0</v>
      </c>
    </row>
    <row r="828" spans="1:15">
      <c r="A828" s="14">
        <f>equip.xml!A832</f>
        <v>20802060</v>
      </c>
      <c r="B828" s="14">
        <f>equip.xml!B832</f>
        <v>1</v>
      </c>
      <c r="C828" s="14" t="str">
        <f>equip.xml!C832</f>
        <v>荒原箭袋</v>
      </c>
      <c r="D828" s="14" t="str">
        <f>equip.xml!D832</f>
        <v>副手武器</v>
      </c>
      <c r="E828" s="14">
        <f>equip.xml!E832</f>
        <v>6</v>
      </c>
      <c r="F828" s="14">
        <f>equip.xml!F832</f>
        <v>2</v>
      </c>
      <c r="G828" s="14">
        <f>equip.xml!G832</f>
        <v>80</v>
      </c>
      <c r="H828" s="14" t="str">
        <f>equip.xml!H832</f>
        <v>2,1002</v>
      </c>
      <c r="I828" s="14">
        <f>equip.xml!J832</f>
        <v>10</v>
      </c>
      <c r="J828" s="14">
        <f>equip.xml!K832</f>
        <v>0</v>
      </c>
      <c r="K828" s="14">
        <f>equip.xml!L832</f>
        <v>0</v>
      </c>
      <c r="L828" s="14" t="str">
        <f>equip.xml!M832</f>
        <v>108_4288_4288</v>
      </c>
      <c r="M828" s="17" t="str">
        <f>equip.xml!Q832</f>
        <v>equipment/2222.png</v>
      </c>
      <c r="N828" s="16" t="str">
        <f>equip.xml!P832</f>
        <v>10000_1002_70000,30000_30001_1,30000_30002_1,30000_30003_1</v>
      </c>
      <c r="O828">
        <f>equip.xml!R832</f>
        <v>0</v>
      </c>
    </row>
    <row r="829" spans="1:15">
      <c r="A829" s="14">
        <f>equip.xml!A833</f>
        <v>20802061</v>
      </c>
      <c r="B829" s="14">
        <f>equip.xml!B833</f>
        <v>1</v>
      </c>
      <c r="C829" s="14" t="str">
        <f>equip.xml!C833</f>
        <v>追逝箭袋</v>
      </c>
      <c r="D829" s="14" t="str">
        <f>equip.xml!D833</f>
        <v>副手武器</v>
      </c>
      <c r="E829" s="14">
        <f>equip.xml!E833</f>
        <v>6</v>
      </c>
      <c r="F829" s="14">
        <f>equip.xml!F833</f>
        <v>2</v>
      </c>
      <c r="G829" s="14">
        <f>equip.xml!G833</f>
        <v>80</v>
      </c>
      <c r="H829" s="14" t="str">
        <f>equip.xml!H833</f>
        <v>2,1002</v>
      </c>
      <c r="I829" s="14">
        <f>equip.xml!J833</f>
        <v>10</v>
      </c>
      <c r="J829" s="14">
        <f>equip.xml!K833</f>
        <v>0</v>
      </c>
      <c r="K829" s="14">
        <f>equip.xml!L833</f>
        <v>0</v>
      </c>
      <c r="L829" s="14" t="str">
        <f>equip.xml!M833</f>
        <v>108_4419_4419</v>
      </c>
      <c r="M829" s="17" t="str">
        <f>equip.xml!Q833</f>
        <v>equipment/2223.png</v>
      </c>
      <c r="N829" s="16" t="str">
        <f>equip.xml!P833</f>
        <v>10000_1002_70000,30000_30001_1,30000_30002_1,30000_30003_1</v>
      </c>
      <c r="O829">
        <f>equip.xml!R833</f>
        <v>0</v>
      </c>
    </row>
    <row r="830" spans="1:15">
      <c r="A830" s="14">
        <f>equip.xml!A834</f>
        <v>20803050</v>
      </c>
      <c r="B830" s="14">
        <f>equip.xml!B834</f>
        <v>1</v>
      </c>
      <c r="C830" s="14" t="str">
        <f>equip.xml!C834</f>
        <v>显像符杖</v>
      </c>
      <c r="D830" s="14" t="str">
        <f>equip.xml!D834</f>
        <v>主手武器</v>
      </c>
      <c r="E830" s="14">
        <f>equip.xml!E834</f>
        <v>5</v>
      </c>
      <c r="F830" s="14">
        <f>equip.xml!F834</f>
        <v>2</v>
      </c>
      <c r="G830" s="14">
        <f>equip.xml!G834</f>
        <v>80</v>
      </c>
      <c r="H830" s="14" t="str">
        <f>equip.xml!H834</f>
        <v>3,1003</v>
      </c>
      <c r="I830" s="14">
        <f>equip.xml!J834</f>
        <v>10</v>
      </c>
      <c r="J830" s="14">
        <f>equip.xml!K834</f>
        <v>0</v>
      </c>
      <c r="K830" s="14">
        <f>equip.xml!L834</f>
        <v>0</v>
      </c>
      <c r="L830" s="14" t="str">
        <f>equip.xml!M834</f>
        <v>103_4331_4331,104_8662_8662</v>
      </c>
      <c r="M830" s="17" t="str">
        <f>equip.xml!Q834</f>
        <v>equipment/1327.png</v>
      </c>
      <c r="N830" s="16" t="str">
        <f>equip.xml!P834</f>
        <v>10000_1002_70000,30000_30001_1,30000_30002_1,30000_30003_1</v>
      </c>
      <c r="O830">
        <f>equip.xml!R834</f>
        <v>0</v>
      </c>
    </row>
    <row r="831" spans="1:15">
      <c r="A831" s="14">
        <f>equip.xml!A835</f>
        <v>20803051</v>
      </c>
      <c r="B831" s="14">
        <f>equip.xml!B835</f>
        <v>1</v>
      </c>
      <c r="C831" s="14" t="str">
        <f>equip.xml!C835</f>
        <v>幻灭之杖</v>
      </c>
      <c r="D831" s="14" t="str">
        <f>equip.xml!D835</f>
        <v>主手武器</v>
      </c>
      <c r="E831" s="14">
        <f>equip.xml!E835</f>
        <v>5</v>
      </c>
      <c r="F831" s="14">
        <f>equip.xml!F835</f>
        <v>2</v>
      </c>
      <c r="G831" s="14">
        <f>equip.xml!G835</f>
        <v>80</v>
      </c>
      <c r="H831" s="14" t="str">
        <f>equip.xml!H835</f>
        <v>3,1003</v>
      </c>
      <c r="I831" s="14">
        <f>equip.xml!J835</f>
        <v>10</v>
      </c>
      <c r="J831" s="14">
        <f>equip.xml!K835</f>
        <v>0</v>
      </c>
      <c r="K831" s="14">
        <f>equip.xml!L835</f>
        <v>0</v>
      </c>
      <c r="L831" s="14" t="str">
        <f>equip.xml!M835</f>
        <v>103_4552_4552,104_9105_9105</v>
      </c>
      <c r="M831" s="17" t="str">
        <f>equip.xml!Q835</f>
        <v>equipment/1329.png</v>
      </c>
      <c r="N831" s="16" t="str">
        <f>equip.xml!P835</f>
        <v>10000_1002_70000,30000_30001_1,30000_30002_1,30000_30003_1</v>
      </c>
      <c r="O831">
        <f>equip.xml!R835</f>
        <v>0</v>
      </c>
    </row>
    <row r="832" spans="1:15">
      <c r="A832" s="14">
        <f>equip.xml!A836</f>
        <v>20803060</v>
      </c>
      <c r="B832" s="14">
        <f>equip.xml!B836</f>
        <v>1</v>
      </c>
      <c r="C832" s="14" t="str">
        <f>equip.xml!C836</f>
        <v>王国古书</v>
      </c>
      <c r="D832" s="14" t="str">
        <f>equip.xml!D836</f>
        <v>副手武器</v>
      </c>
      <c r="E832" s="14">
        <f>equip.xml!E836</f>
        <v>6</v>
      </c>
      <c r="F832" s="14">
        <f>equip.xml!F836</f>
        <v>2</v>
      </c>
      <c r="G832" s="14">
        <f>equip.xml!G836</f>
        <v>80</v>
      </c>
      <c r="H832" s="14" t="str">
        <f>equip.xml!H836</f>
        <v>3,1003</v>
      </c>
      <c r="I832" s="14">
        <f>equip.xml!J836</f>
        <v>10</v>
      </c>
      <c r="J832" s="14">
        <f>equip.xml!K836</f>
        <v>0</v>
      </c>
      <c r="K832" s="14">
        <f>equip.xml!L836</f>
        <v>0</v>
      </c>
      <c r="L832" s="14" t="str">
        <f>equip.xml!M836</f>
        <v>102_3610_3610</v>
      </c>
      <c r="M832" s="17" t="str">
        <f>equip.xml!Q836</f>
        <v>equipment/2320.png</v>
      </c>
      <c r="N832" s="16" t="str">
        <f>equip.xml!P836</f>
        <v>10000_1002_70000,30000_30001_1,30000_30002_1,30000_30003_1</v>
      </c>
      <c r="O832">
        <f>equip.xml!R836</f>
        <v>0</v>
      </c>
    </row>
    <row r="833" spans="1:15">
      <c r="A833" s="14">
        <f>equip.xml!A837</f>
        <v>20803061</v>
      </c>
      <c r="B833" s="14">
        <f>equip.xml!B837</f>
        <v>1</v>
      </c>
      <c r="C833" s="14" t="str">
        <f>equip.xml!C837</f>
        <v>上古纪事</v>
      </c>
      <c r="D833" s="14" t="str">
        <f>equip.xml!D837</f>
        <v>副手武器</v>
      </c>
      <c r="E833" s="14">
        <f>equip.xml!E837</f>
        <v>6</v>
      </c>
      <c r="F833" s="14">
        <f>equip.xml!F837</f>
        <v>2</v>
      </c>
      <c r="G833" s="14">
        <f>equip.xml!G837</f>
        <v>80</v>
      </c>
      <c r="H833" s="14" t="str">
        <f>equip.xml!H837</f>
        <v>3,1003</v>
      </c>
      <c r="I833" s="14">
        <f>equip.xml!J837</f>
        <v>10</v>
      </c>
      <c r="J833" s="14">
        <f>equip.xml!K837</f>
        <v>0</v>
      </c>
      <c r="K833" s="14">
        <f>equip.xml!L837</f>
        <v>0</v>
      </c>
      <c r="L833" s="14" t="str">
        <f>equip.xml!M837</f>
        <v>102_3680_3680</v>
      </c>
      <c r="M833" s="17" t="str">
        <f>equip.xml!Q837</f>
        <v>equipment/2322.png</v>
      </c>
      <c r="N833" s="16" t="str">
        <f>equip.xml!P837</f>
        <v>10000_1002_70000,30000_30001_1,30000_30002_1,30000_30003_1</v>
      </c>
      <c r="O833">
        <f>equip.xml!R837</f>
        <v>0</v>
      </c>
    </row>
    <row r="834" spans="1:15">
      <c r="A834" s="14">
        <f>equip.xml!A838</f>
        <v>20800040</v>
      </c>
      <c r="B834" s="14">
        <f>equip.xml!B838</f>
        <v>1</v>
      </c>
      <c r="C834" s="14" t="str">
        <f>equip.xml!C838</f>
        <v>复仇战甲</v>
      </c>
      <c r="D834" s="14" t="str">
        <f>equip.xml!D838</f>
        <v>胸甲</v>
      </c>
      <c r="E834" s="14">
        <f>equip.xml!E838</f>
        <v>4</v>
      </c>
      <c r="F834" s="14">
        <f>equip.xml!F838</f>
        <v>2</v>
      </c>
      <c r="G834" s="14">
        <f>equip.xml!G838</f>
        <v>80</v>
      </c>
      <c r="H834" s="14">
        <f>equip.xml!H838</f>
        <v>0</v>
      </c>
      <c r="I834" s="14">
        <f>equip.xml!J838</f>
        <v>10</v>
      </c>
      <c r="J834" s="14">
        <f>equip.xml!K838</f>
        <v>0</v>
      </c>
      <c r="K834" s="14">
        <f>equip.xml!L838</f>
        <v>0</v>
      </c>
      <c r="L834" s="14" t="str">
        <f>equip.xml!M838</f>
        <v>105_2573_2573</v>
      </c>
      <c r="M834" s="17" t="str">
        <f>equip.xml!Q838</f>
        <v>equipment/5021.png</v>
      </c>
      <c r="N834" s="16" t="str">
        <f>equip.xml!P838</f>
        <v>10000_1002_70000,30000_30001_1,30000_30002_1,30000_30003_1</v>
      </c>
      <c r="O834">
        <f>equip.xml!R838</f>
        <v>0</v>
      </c>
    </row>
    <row r="835" spans="1:15">
      <c r="A835" s="14">
        <f>equip.xml!A839</f>
        <v>20800041</v>
      </c>
      <c r="B835" s="14">
        <f>equip.xml!B839</f>
        <v>1</v>
      </c>
      <c r="C835" s="14" t="str">
        <f>equip.xml!C839</f>
        <v>预兆胸甲</v>
      </c>
      <c r="D835" s="14" t="str">
        <f>equip.xml!D839</f>
        <v>胸甲</v>
      </c>
      <c r="E835" s="14">
        <f>equip.xml!E839</f>
        <v>4</v>
      </c>
      <c r="F835" s="14">
        <f>equip.xml!F839</f>
        <v>2</v>
      </c>
      <c r="G835" s="14">
        <f>equip.xml!G839</f>
        <v>80</v>
      </c>
      <c r="H835" s="14">
        <f>equip.xml!H839</f>
        <v>0</v>
      </c>
      <c r="I835" s="14">
        <f>equip.xml!J839</f>
        <v>10</v>
      </c>
      <c r="J835" s="14">
        <f>equip.xml!K839</f>
        <v>0</v>
      </c>
      <c r="K835" s="14">
        <f>equip.xml!L839</f>
        <v>0</v>
      </c>
      <c r="L835" s="14" t="str">
        <f>equip.xml!M839</f>
        <v>105_2739_2739</v>
      </c>
      <c r="M835" s="17" t="str">
        <f>equip.xml!Q839</f>
        <v>equipment/5022.png</v>
      </c>
      <c r="N835" s="16" t="str">
        <f>equip.xml!P839</f>
        <v>10000_1002_70000,30000_30001_1,30000_30002_1,30000_30003_1</v>
      </c>
      <c r="O835">
        <f>equip.xml!R839</f>
        <v>0</v>
      </c>
    </row>
    <row r="836" spans="1:15">
      <c r="A836" s="14">
        <f>equip.xml!A840</f>
        <v>20800070</v>
      </c>
      <c r="B836" s="14">
        <f>equip.xml!B840</f>
        <v>1</v>
      </c>
      <c r="C836" s="14" t="str">
        <f>equip.xml!C840</f>
        <v>迷失护腿</v>
      </c>
      <c r="D836" s="14" t="str">
        <f>equip.xml!D840</f>
        <v>护腿</v>
      </c>
      <c r="E836" s="14">
        <f>equip.xml!E840</f>
        <v>7</v>
      </c>
      <c r="F836" s="14">
        <f>equip.xml!F840</f>
        <v>2</v>
      </c>
      <c r="G836" s="14">
        <f>equip.xml!G840</f>
        <v>80</v>
      </c>
      <c r="H836" s="14">
        <f>equip.xml!H840</f>
        <v>0</v>
      </c>
      <c r="I836" s="14">
        <f>equip.xml!J840</f>
        <v>10</v>
      </c>
      <c r="J836" s="14">
        <f>equip.xml!K840</f>
        <v>0</v>
      </c>
      <c r="K836" s="14">
        <f>equip.xml!L840</f>
        <v>0</v>
      </c>
      <c r="L836" s="14" t="str">
        <f>equip.xml!M840</f>
        <v>105_2573_2573</v>
      </c>
      <c r="M836" s="17" t="str">
        <f>equip.xml!Q840</f>
        <v>equipment/7022.png</v>
      </c>
      <c r="N836" s="16" t="str">
        <f>equip.xml!P840</f>
        <v>10000_1002_70000,30000_30001_1,30000_30002_1,30000_30003_1</v>
      </c>
      <c r="O836">
        <f>equip.xml!R840</f>
        <v>0</v>
      </c>
    </row>
    <row r="837" spans="1:15">
      <c r="A837" s="14">
        <f>equip.xml!A841</f>
        <v>20800071</v>
      </c>
      <c r="B837" s="14">
        <f>equip.xml!B841</f>
        <v>1</v>
      </c>
      <c r="C837" s="14" t="str">
        <f>equip.xml!C841</f>
        <v>幽影腿甲</v>
      </c>
      <c r="D837" s="14" t="str">
        <f>equip.xml!D841</f>
        <v>护腿</v>
      </c>
      <c r="E837" s="14">
        <f>equip.xml!E841</f>
        <v>7</v>
      </c>
      <c r="F837" s="14">
        <f>equip.xml!F841</f>
        <v>2</v>
      </c>
      <c r="G837" s="14">
        <f>equip.xml!G841</f>
        <v>80</v>
      </c>
      <c r="H837" s="14">
        <f>equip.xml!H841</f>
        <v>0</v>
      </c>
      <c r="I837" s="14">
        <f>equip.xml!J841</f>
        <v>10</v>
      </c>
      <c r="J837" s="14">
        <f>equip.xml!K841</f>
        <v>0</v>
      </c>
      <c r="K837" s="14">
        <f>equip.xml!L841</f>
        <v>0</v>
      </c>
      <c r="L837" s="14" t="str">
        <f>equip.xml!M841</f>
        <v>105_2739_2739</v>
      </c>
      <c r="M837" s="17" t="str">
        <f>equip.xml!Q841</f>
        <v>equipment/7021.png</v>
      </c>
      <c r="N837" s="16" t="str">
        <f>equip.xml!P841</f>
        <v>10000_1002_70000,30000_30001_1,30000_30002_1,30000_30003_1</v>
      </c>
      <c r="O837">
        <f>equip.xml!R841</f>
        <v>0</v>
      </c>
    </row>
    <row r="838" spans="1:15">
      <c r="A838" s="14">
        <f>equip.xml!A842</f>
        <v>20850010</v>
      </c>
      <c r="B838" s="14">
        <f>equip.xml!B842</f>
        <v>1</v>
      </c>
      <c r="C838" s="14" t="str">
        <f>equip.xml!C842</f>
        <v>低语之冠</v>
      </c>
      <c r="D838" s="14" t="str">
        <f>equip.xml!D842</f>
        <v>头盔</v>
      </c>
      <c r="E838" s="14">
        <f>equip.xml!E842</f>
        <v>1</v>
      </c>
      <c r="F838" s="14">
        <f>equip.xml!F842</f>
        <v>2</v>
      </c>
      <c r="G838" s="14">
        <f>equip.xml!G842</f>
        <v>85</v>
      </c>
      <c r="H838" s="14">
        <f>equip.xml!H842</f>
        <v>0</v>
      </c>
      <c r="I838" s="14">
        <f>equip.xml!J842</f>
        <v>10</v>
      </c>
      <c r="J838" s="14">
        <f>equip.xml!K842</f>
        <v>0</v>
      </c>
      <c r="K838" s="14">
        <f>equip.xml!L842</f>
        <v>0</v>
      </c>
      <c r="L838" s="14" t="str">
        <f>equip.xml!M842</f>
        <v>106_3672_3672</v>
      </c>
      <c r="M838" s="17" t="str">
        <f>equip.xml!Q842</f>
        <v>equipment/3012.png</v>
      </c>
      <c r="N838" s="16" t="str">
        <f>equip.xml!P842</f>
        <v>10000_1002_70000,30000_30001_1,30000_30002_1,30000_30003_1</v>
      </c>
      <c r="O838">
        <f>equip.xml!R842</f>
        <v>0</v>
      </c>
    </row>
    <row r="839" spans="1:15">
      <c r="A839" s="14">
        <f>equip.xml!A843</f>
        <v>20850020</v>
      </c>
      <c r="B839" s="14">
        <f>equip.xml!B843</f>
        <v>1</v>
      </c>
      <c r="C839" s="14" t="str">
        <f>equip.xml!C843</f>
        <v>神迹指环</v>
      </c>
      <c r="D839" s="14" t="str">
        <f>equip.xml!D843</f>
        <v>戒指</v>
      </c>
      <c r="E839" s="14">
        <f>equip.xml!E843</f>
        <v>2</v>
      </c>
      <c r="F839" s="14">
        <f>equip.xml!F843</f>
        <v>2</v>
      </c>
      <c r="G839" s="14">
        <f>equip.xml!G843</f>
        <v>85</v>
      </c>
      <c r="H839" s="14">
        <f>equip.xml!H843</f>
        <v>0</v>
      </c>
      <c r="I839" s="14">
        <f>equip.xml!J843</f>
        <v>10</v>
      </c>
      <c r="J839" s="14">
        <f>equip.xml!K843</f>
        <v>0</v>
      </c>
      <c r="K839" s="14">
        <f>equip.xml!L843</f>
        <v>0</v>
      </c>
      <c r="L839" s="14" t="str">
        <f>equip.xml!M843</f>
        <v>102_2020_2020</v>
      </c>
      <c r="M839" s="17" t="str">
        <f>equip.xml!Q843</f>
        <v>equipment/14016.png</v>
      </c>
      <c r="N839" s="16" t="str">
        <f>equip.xml!P843</f>
        <v>10000_1002_70000,30000_30001_1,30000_30002_1,30000_30003_1</v>
      </c>
      <c r="O839">
        <f>equip.xml!R843</f>
        <v>0</v>
      </c>
    </row>
    <row r="840" spans="1:15">
      <c r="A840" s="14">
        <f>equip.xml!A844</f>
        <v>20850030</v>
      </c>
      <c r="B840" s="14">
        <f>equip.xml!B844</f>
        <v>1</v>
      </c>
      <c r="C840" s="14" t="str">
        <f>equip.xml!C844</f>
        <v>威严腰带</v>
      </c>
      <c r="D840" s="14" t="str">
        <f>equip.xml!D844</f>
        <v>腰带</v>
      </c>
      <c r="E840" s="14">
        <f>equip.xml!E844</f>
        <v>3</v>
      </c>
      <c r="F840" s="14">
        <f>equip.xml!F844</f>
        <v>2</v>
      </c>
      <c r="G840" s="14">
        <f>equip.xml!G844</f>
        <v>85</v>
      </c>
      <c r="H840" s="14">
        <f>equip.xml!H844</f>
        <v>0</v>
      </c>
      <c r="I840" s="14">
        <f>equip.xml!J844</f>
        <v>10</v>
      </c>
      <c r="J840" s="14">
        <f>equip.xml!K844</f>
        <v>0</v>
      </c>
      <c r="K840" s="14">
        <f>equip.xml!L844</f>
        <v>0</v>
      </c>
      <c r="L840" s="14" t="str">
        <f>equip.xml!M844</f>
        <v>101_27040_27040</v>
      </c>
      <c r="M840" s="17" t="str">
        <f>equip.xml!Q844</f>
        <v>equipment/6017.png</v>
      </c>
      <c r="N840" s="16" t="str">
        <f>equip.xml!P844</f>
        <v>10000_1002_70000,30000_30001_1,30000_30002_1,30000_30003_1</v>
      </c>
      <c r="O840">
        <f>equip.xml!R844</f>
        <v>0</v>
      </c>
    </row>
    <row r="841" spans="1:15">
      <c r="A841" s="14">
        <f>equip.xml!A845</f>
        <v>20850080</v>
      </c>
      <c r="B841" s="14">
        <f>equip.xml!B845</f>
        <v>1</v>
      </c>
      <c r="C841" s="14" t="str">
        <f>equip.xml!C845</f>
        <v>统治长靴</v>
      </c>
      <c r="D841" s="14" t="str">
        <f>equip.xml!D845</f>
        <v>鞋子</v>
      </c>
      <c r="E841" s="14">
        <f>equip.xml!E845</f>
        <v>8</v>
      </c>
      <c r="F841" s="14">
        <f>equip.xml!F845</f>
        <v>2</v>
      </c>
      <c r="G841" s="14">
        <f>equip.xml!G845</f>
        <v>85</v>
      </c>
      <c r="H841" s="14">
        <f>equip.xml!H845</f>
        <v>0</v>
      </c>
      <c r="I841" s="14">
        <f>equip.xml!J845</f>
        <v>10</v>
      </c>
      <c r="J841" s="14">
        <f>equip.xml!K845</f>
        <v>0</v>
      </c>
      <c r="K841" s="14">
        <f>equip.xml!L845</f>
        <v>0</v>
      </c>
      <c r="L841" s="14" t="str">
        <f>equip.xml!M845</f>
        <v>110_661_661</v>
      </c>
      <c r="M841" s="17" t="str">
        <f>equip.xml!Q845</f>
        <v>equipment/8016.png</v>
      </c>
      <c r="N841" s="16" t="str">
        <f>equip.xml!P845</f>
        <v>10000_1002_70000,30000_30001_1,30000_30002_1,30000_30003_1</v>
      </c>
      <c r="O841">
        <f>equip.xml!R845</f>
        <v>0</v>
      </c>
    </row>
    <row r="842" spans="1:15">
      <c r="A842" s="14">
        <f>equip.xml!A846</f>
        <v>20850090</v>
      </c>
      <c r="B842" s="14">
        <f>equip.xml!B846</f>
        <v>1</v>
      </c>
      <c r="C842" s="14" t="str">
        <f>equip.xml!C846</f>
        <v>誓烈手甲</v>
      </c>
      <c r="D842" s="14" t="str">
        <f>equip.xml!D846</f>
        <v>手套</v>
      </c>
      <c r="E842" s="14">
        <f>equip.xml!E846</f>
        <v>9</v>
      </c>
      <c r="F842" s="14">
        <f>equip.xml!F846</f>
        <v>2</v>
      </c>
      <c r="G842" s="14">
        <f>equip.xml!G846</f>
        <v>85</v>
      </c>
      <c r="H842" s="14">
        <f>equip.xml!H846</f>
        <v>0</v>
      </c>
      <c r="I842" s="14">
        <f>equip.xml!J846</f>
        <v>10</v>
      </c>
      <c r="J842" s="14">
        <f>equip.xml!K846</f>
        <v>0</v>
      </c>
      <c r="K842" s="14">
        <f>equip.xml!L846</f>
        <v>0</v>
      </c>
      <c r="L842" s="14" t="str">
        <f>equip.xml!M846</f>
        <v>108_5495_5495</v>
      </c>
      <c r="M842" s="17" t="str">
        <f>equip.xml!Q846</f>
        <v>equipment/10014.png</v>
      </c>
      <c r="N842" s="16" t="str">
        <f>equip.xml!P846</f>
        <v>10000_1002_70000,30000_30001_1,30000_30002_1,30000_30003_1</v>
      </c>
      <c r="O842">
        <f>equip.xml!R846</f>
        <v>0</v>
      </c>
    </row>
    <row r="843" spans="1:15">
      <c r="A843" s="14">
        <f>equip.xml!A847</f>
        <v>20850100</v>
      </c>
      <c r="B843" s="14">
        <f>equip.xml!B847</f>
        <v>1</v>
      </c>
      <c r="C843" s="14" t="str">
        <f>equip.xml!C847</f>
        <v>漂泊者之链</v>
      </c>
      <c r="D843" s="14" t="str">
        <f>equip.xml!D847</f>
        <v>项链</v>
      </c>
      <c r="E843" s="14">
        <f>equip.xml!E847</f>
        <v>10</v>
      </c>
      <c r="F843" s="14">
        <f>equip.xml!F847</f>
        <v>2</v>
      </c>
      <c r="G843" s="14">
        <f>equip.xml!G847</f>
        <v>85</v>
      </c>
      <c r="H843" s="14">
        <f>equip.xml!H847</f>
        <v>0</v>
      </c>
      <c r="I843" s="14">
        <f>equip.xml!J847</f>
        <v>10</v>
      </c>
      <c r="J843" s="14">
        <f>equip.xml!K847</f>
        <v>0</v>
      </c>
      <c r="K843" s="14">
        <f>equip.xml!L847</f>
        <v>0</v>
      </c>
      <c r="L843" s="14" t="str">
        <f>equip.xml!M847</f>
        <v>107_3672_3672</v>
      </c>
      <c r="M843" s="17" t="str">
        <f>equip.xml!Q847</f>
        <v>equipment/12016.png</v>
      </c>
      <c r="N843" s="16" t="str">
        <f>equip.xml!P847</f>
        <v>10000_1002_70000,30000_30001_1,30000_30002_1,30000_30003_1</v>
      </c>
      <c r="O843">
        <f>equip.xml!R847</f>
        <v>0</v>
      </c>
    </row>
    <row r="844" spans="1:15">
      <c r="A844" s="14">
        <f>equip.xml!A848</f>
        <v>20851050</v>
      </c>
      <c r="B844" s="14">
        <f>equip.xml!B848</f>
        <v>1</v>
      </c>
      <c r="C844" s="14" t="str">
        <f>equip.xml!C848</f>
        <v>谦逊之剑</v>
      </c>
      <c r="D844" s="14" t="str">
        <f>equip.xml!D848</f>
        <v>主手武器</v>
      </c>
      <c r="E844" s="14">
        <f>equip.xml!E848</f>
        <v>5</v>
      </c>
      <c r="F844" s="14">
        <f>equip.xml!F848</f>
        <v>2</v>
      </c>
      <c r="G844" s="14">
        <f>equip.xml!G848</f>
        <v>85</v>
      </c>
      <c r="H844" s="14" t="str">
        <f>equip.xml!H848</f>
        <v>1,1001</v>
      </c>
      <c r="I844" s="14">
        <f>equip.xml!J848</f>
        <v>10</v>
      </c>
      <c r="J844" s="14">
        <f>equip.xml!K848</f>
        <v>0</v>
      </c>
      <c r="K844" s="14">
        <f>equip.xml!L848</f>
        <v>0</v>
      </c>
      <c r="L844" s="14" t="str">
        <f>equip.xml!M848</f>
        <v>103_4884_4884,104_9769_9769</v>
      </c>
      <c r="M844" s="17" t="str">
        <f>equip.xml!Q848</f>
        <v>equipment/1128.png</v>
      </c>
      <c r="N844" s="16" t="str">
        <f>equip.xml!P848</f>
        <v>10000_1002_70000,30000_30001_1,30000_30002_1,30000_30003_1</v>
      </c>
      <c r="O844">
        <f>equip.xml!R848</f>
        <v>0</v>
      </c>
    </row>
    <row r="845" spans="1:15">
      <c r="A845" s="14">
        <f>equip.xml!A849</f>
        <v>20851051</v>
      </c>
      <c r="B845" s="14">
        <f>equip.xml!B849</f>
        <v>0</v>
      </c>
      <c r="C845" s="14" t="str">
        <f>equip.xml!C849</f>
        <v>破壁之刃</v>
      </c>
      <c r="D845" s="14" t="str">
        <f>equip.xml!D849</f>
        <v>主手武器</v>
      </c>
      <c r="E845" s="14">
        <f>equip.xml!E849</f>
        <v>5</v>
      </c>
      <c r="F845" s="14">
        <f>equip.xml!F849</f>
        <v>2</v>
      </c>
      <c r="G845" s="14">
        <f>equip.xml!G849</f>
        <v>85</v>
      </c>
      <c r="H845" s="14" t="str">
        <f>equip.xml!H849</f>
        <v>1,1001</v>
      </c>
      <c r="I845" s="14">
        <f>equip.xml!J849</f>
        <v>10</v>
      </c>
      <c r="J845" s="14">
        <f>equip.xml!K849</f>
        <v>0</v>
      </c>
      <c r="K845" s="14">
        <f>equip.xml!L849</f>
        <v>0</v>
      </c>
      <c r="L845" s="14" t="str">
        <f>equip.xml!M849</f>
        <v>103_5119_5119,104_10238_10238</v>
      </c>
      <c r="M845" s="17" t="str">
        <f>equip.xml!Q849</f>
        <v>equipment/1129.png</v>
      </c>
      <c r="N845" s="16" t="str">
        <f>equip.xml!P849</f>
        <v>10000_1002_70000,30000_30001_1,30000_30002_1,30000_30003_1</v>
      </c>
      <c r="O845">
        <f>equip.xml!R849</f>
        <v>0</v>
      </c>
    </row>
    <row r="846" spans="1:15">
      <c r="A846" s="14">
        <f>equip.xml!A850</f>
        <v>20851060</v>
      </c>
      <c r="B846" s="14">
        <f>equip.xml!B850</f>
        <v>1</v>
      </c>
      <c r="C846" s="14" t="str">
        <f>equip.xml!C850</f>
        <v>邪铁盾牌</v>
      </c>
      <c r="D846" s="14" t="str">
        <f>equip.xml!D850</f>
        <v>副手武器</v>
      </c>
      <c r="E846" s="14">
        <f>equip.xml!E850</f>
        <v>6</v>
      </c>
      <c r="F846" s="14">
        <f>equip.xml!F850</f>
        <v>2</v>
      </c>
      <c r="G846" s="14">
        <f>equip.xml!G850</f>
        <v>85</v>
      </c>
      <c r="H846" s="14" t="str">
        <f>equip.xml!H850</f>
        <v>1,1001</v>
      </c>
      <c r="I846" s="14">
        <f>equip.xml!J850</f>
        <v>10</v>
      </c>
      <c r="J846" s="14">
        <f>equip.xml!K850</f>
        <v>0</v>
      </c>
      <c r="K846" s="14">
        <f>equip.xml!L850</f>
        <v>0</v>
      </c>
      <c r="L846" s="14" t="str">
        <f>equip.xml!M850</f>
        <v>105_4616_4616</v>
      </c>
      <c r="M846" s="17" t="str">
        <f>equip.xml!Q850</f>
        <v>equipment/2124.png</v>
      </c>
      <c r="N846" s="16" t="str">
        <f>equip.xml!P850</f>
        <v>10000_1002_70000,30000_30001_1,30000_30002_1,30000_30003_1</v>
      </c>
      <c r="O846">
        <f>equip.xml!R850</f>
        <v>0</v>
      </c>
    </row>
    <row r="847" spans="1:15">
      <c r="A847" s="14">
        <f>equip.xml!A851</f>
        <v>20851061</v>
      </c>
      <c r="B847" s="14">
        <f>equip.xml!B851</f>
        <v>0</v>
      </c>
      <c r="C847" s="14" t="str">
        <f>equip.xml!C851</f>
        <v>埋骨之盾</v>
      </c>
      <c r="D847" s="14" t="str">
        <f>equip.xml!D851</f>
        <v>副手武器</v>
      </c>
      <c r="E847" s="14">
        <f>equip.xml!E851</f>
        <v>6</v>
      </c>
      <c r="F847" s="14">
        <f>equip.xml!F851</f>
        <v>2</v>
      </c>
      <c r="G847" s="14">
        <f>equip.xml!G851</f>
        <v>85</v>
      </c>
      <c r="H847" s="14" t="str">
        <f>equip.xml!H851</f>
        <v>1,1001</v>
      </c>
      <c r="I847" s="14">
        <f>equip.xml!J851</f>
        <v>10</v>
      </c>
      <c r="J847" s="14">
        <f>equip.xml!K851</f>
        <v>0</v>
      </c>
      <c r="K847" s="14">
        <f>equip.xml!L851</f>
        <v>0</v>
      </c>
      <c r="L847" s="14" t="str">
        <f>equip.xml!M851</f>
        <v>105_4739_4739</v>
      </c>
      <c r="M847" s="17" t="str">
        <f>equip.xml!Q851</f>
        <v>equipment/2119.png</v>
      </c>
      <c r="N847" s="16" t="str">
        <f>equip.xml!P851</f>
        <v>10000_1002_70000,30000_30001_1,30000_30002_1,30000_30003_1</v>
      </c>
      <c r="O847">
        <f>equip.xml!R851</f>
        <v>0</v>
      </c>
    </row>
    <row r="848" spans="1:15">
      <c r="A848" s="14">
        <f>equip.xml!A852</f>
        <v>20852050</v>
      </c>
      <c r="B848" s="14">
        <f>equip.xml!B852</f>
        <v>1</v>
      </c>
      <c r="C848" s="14" t="str">
        <f>equip.xml!C852</f>
        <v>悔恨长弓</v>
      </c>
      <c r="D848" s="14" t="str">
        <f>equip.xml!D852</f>
        <v>主手武器</v>
      </c>
      <c r="E848" s="14">
        <f>equip.xml!E852</f>
        <v>5</v>
      </c>
      <c r="F848" s="14">
        <f>equip.xml!F852</f>
        <v>2</v>
      </c>
      <c r="G848" s="14">
        <f>equip.xml!G852</f>
        <v>85</v>
      </c>
      <c r="H848" s="14" t="str">
        <f>equip.xml!H852</f>
        <v>2,1002</v>
      </c>
      <c r="I848" s="14">
        <f>equip.xml!J852</f>
        <v>10</v>
      </c>
      <c r="J848" s="14">
        <f>equip.xml!K852</f>
        <v>0</v>
      </c>
      <c r="K848" s="14">
        <f>equip.xml!L852</f>
        <v>0</v>
      </c>
      <c r="L848" s="14" t="str">
        <f>equip.xml!M852</f>
        <v>103_4884_4884,104_9769_9769</v>
      </c>
      <c r="M848" s="17" t="str">
        <f>equip.xml!Q852</f>
        <v>equipment/1228.png</v>
      </c>
      <c r="N848" s="16" t="str">
        <f>equip.xml!P852</f>
        <v>10000_1002_70000,30000_30001_1,30000_30002_1,30000_30003_1</v>
      </c>
      <c r="O848">
        <f>equip.xml!R852</f>
        <v>0</v>
      </c>
    </row>
    <row r="849" spans="1:15">
      <c r="A849" s="14">
        <f>equip.xml!A853</f>
        <v>20852051</v>
      </c>
      <c r="B849" s="14">
        <f>equip.xml!B853</f>
        <v>0</v>
      </c>
      <c r="C849" s="14" t="str">
        <f>equip.xml!C853</f>
        <v>祈圣之弓</v>
      </c>
      <c r="D849" s="14" t="str">
        <f>equip.xml!D853</f>
        <v>主手武器</v>
      </c>
      <c r="E849" s="14">
        <f>equip.xml!E853</f>
        <v>5</v>
      </c>
      <c r="F849" s="14">
        <f>equip.xml!F853</f>
        <v>2</v>
      </c>
      <c r="G849" s="14">
        <f>equip.xml!G853</f>
        <v>85</v>
      </c>
      <c r="H849" s="14" t="str">
        <f>equip.xml!H853</f>
        <v>2,1002</v>
      </c>
      <c r="I849" s="14">
        <f>equip.xml!J853</f>
        <v>10</v>
      </c>
      <c r="J849" s="14">
        <f>equip.xml!K853</f>
        <v>0</v>
      </c>
      <c r="K849" s="14">
        <f>equip.xml!L853</f>
        <v>0</v>
      </c>
      <c r="L849" s="14" t="str">
        <f>equip.xml!M853</f>
        <v>103_5119_5119,104_10238_10238</v>
      </c>
      <c r="M849" s="17" t="str">
        <f>equip.xml!Q853</f>
        <v>equipment/1230.png</v>
      </c>
      <c r="N849" s="16" t="str">
        <f>equip.xml!P853</f>
        <v>10000_1002_70000,30000_30001_1,30000_30002_1,30000_30003_1</v>
      </c>
      <c r="O849">
        <f>equip.xml!R853</f>
        <v>0</v>
      </c>
    </row>
    <row r="850" spans="1:15">
      <c r="A850" s="14">
        <f>equip.xml!A854</f>
        <v>20852060</v>
      </c>
      <c r="B850" s="14">
        <f>equip.xml!B854</f>
        <v>1</v>
      </c>
      <c r="C850" s="14" t="str">
        <f>equip.xml!C854</f>
        <v>悲鸣箭筒</v>
      </c>
      <c r="D850" s="14" t="str">
        <f>equip.xml!D854</f>
        <v>副手武器</v>
      </c>
      <c r="E850" s="14">
        <f>equip.xml!E854</f>
        <v>6</v>
      </c>
      <c r="F850" s="14">
        <f>equip.xml!F854</f>
        <v>2</v>
      </c>
      <c r="G850" s="14">
        <f>equip.xml!G854</f>
        <v>85</v>
      </c>
      <c r="H850" s="14" t="str">
        <f>equip.xml!H854</f>
        <v>2,1002</v>
      </c>
      <c r="I850" s="14">
        <f>equip.xml!J854</f>
        <v>10</v>
      </c>
      <c r="J850" s="14">
        <f>equip.xml!K854</f>
        <v>0</v>
      </c>
      <c r="K850" s="14">
        <f>equip.xml!L854</f>
        <v>0</v>
      </c>
      <c r="L850" s="14" t="str">
        <f>equip.xml!M854</f>
        <v>108_4616_4616</v>
      </c>
      <c r="M850" s="17" t="str">
        <f>equip.xml!Q854</f>
        <v>equipment/2224.png</v>
      </c>
      <c r="N850" s="16" t="str">
        <f>equip.xml!P854</f>
        <v>10000_1002_70000,30000_30001_1,30000_30002_1,30000_30003_1</v>
      </c>
      <c r="O850">
        <f>equip.xml!R854</f>
        <v>0</v>
      </c>
    </row>
    <row r="851" spans="1:15">
      <c r="A851" s="14">
        <f>equip.xml!A855</f>
        <v>20852061</v>
      </c>
      <c r="B851" s="14">
        <f>equip.xml!B855</f>
        <v>0</v>
      </c>
      <c r="C851" s="14" t="str">
        <f>equip.xml!C855</f>
        <v>咒逐箭筒</v>
      </c>
      <c r="D851" s="14" t="str">
        <f>equip.xml!D855</f>
        <v>副手武器</v>
      </c>
      <c r="E851" s="14">
        <f>equip.xml!E855</f>
        <v>6</v>
      </c>
      <c r="F851" s="14">
        <f>equip.xml!F855</f>
        <v>2</v>
      </c>
      <c r="G851" s="14">
        <f>equip.xml!G855</f>
        <v>85</v>
      </c>
      <c r="H851" s="14" t="str">
        <f>equip.xml!H855</f>
        <v>2,1002</v>
      </c>
      <c r="I851" s="14">
        <f>equip.xml!J855</f>
        <v>10</v>
      </c>
      <c r="J851" s="14">
        <f>equip.xml!K855</f>
        <v>0</v>
      </c>
      <c r="K851" s="14">
        <f>equip.xml!L855</f>
        <v>0</v>
      </c>
      <c r="L851" s="14" t="str">
        <f>equip.xml!M855</f>
        <v>108_4739_4739</v>
      </c>
      <c r="M851" s="17" t="str">
        <f>equip.xml!Q855</f>
        <v>equipment/2221.png</v>
      </c>
      <c r="N851" s="16" t="str">
        <f>equip.xml!P855</f>
        <v>10000_1002_70000,30000_30001_1,30000_30002_1,30000_30003_1</v>
      </c>
      <c r="O851">
        <f>equip.xml!R855</f>
        <v>0</v>
      </c>
    </row>
    <row r="852" spans="1:15">
      <c r="A852" s="14">
        <f>equip.xml!A856</f>
        <v>20853050</v>
      </c>
      <c r="B852" s="14">
        <f>equip.xml!B856</f>
        <v>1</v>
      </c>
      <c r="C852" s="14" t="str">
        <f>equip.xml!C856</f>
        <v>归还法杖</v>
      </c>
      <c r="D852" s="14" t="str">
        <f>equip.xml!D856</f>
        <v>主手武器</v>
      </c>
      <c r="E852" s="14">
        <f>equip.xml!E856</f>
        <v>5</v>
      </c>
      <c r="F852" s="14">
        <f>equip.xml!F856</f>
        <v>2</v>
      </c>
      <c r="G852" s="14">
        <f>equip.xml!G856</f>
        <v>85</v>
      </c>
      <c r="H852" s="14" t="str">
        <f>equip.xml!H856</f>
        <v>3,1003</v>
      </c>
      <c r="I852" s="14">
        <f>equip.xml!J856</f>
        <v>10</v>
      </c>
      <c r="J852" s="14">
        <f>equip.xml!K856</f>
        <v>0</v>
      </c>
      <c r="K852" s="14">
        <f>equip.xml!L856</f>
        <v>0</v>
      </c>
      <c r="L852" s="14" t="str">
        <f>equip.xml!M856</f>
        <v>103_4884_4884,104_9769_9769</v>
      </c>
      <c r="M852" s="17" t="str">
        <f>equip.xml!Q856</f>
        <v>equipment/1329.png</v>
      </c>
      <c r="N852" s="16" t="str">
        <f>equip.xml!P856</f>
        <v>10000_1002_70000,30000_30001_1,30000_30002_1,30000_30003_1</v>
      </c>
      <c r="O852">
        <f>equip.xml!R856</f>
        <v>0</v>
      </c>
    </row>
    <row r="853" spans="1:15">
      <c r="A853" s="14">
        <f>equip.xml!A857</f>
        <v>20853051</v>
      </c>
      <c r="B853" s="14">
        <f>equip.xml!B857</f>
        <v>0</v>
      </c>
      <c r="C853" s="14" t="str">
        <f>equip.xml!C857</f>
        <v>荒寂之杖</v>
      </c>
      <c r="D853" s="14" t="str">
        <f>equip.xml!D857</f>
        <v>主手武器</v>
      </c>
      <c r="E853" s="14">
        <f>equip.xml!E857</f>
        <v>5</v>
      </c>
      <c r="F853" s="14">
        <f>equip.xml!F857</f>
        <v>2</v>
      </c>
      <c r="G853" s="14">
        <f>equip.xml!G857</f>
        <v>85</v>
      </c>
      <c r="H853" s="14" t="str">
        <f>equip.xml!H857</f>
        <v>3,1003</v>
      </c>
      <c r="I853" s="14">
        <f>equip.xml!J857</f>
        <v>10</v>
      </c>
      <c r="J853" s="14">
        <f>equip.xml!K857</f>
        <v>0</v>
      </c>
      <c r="K853" s="14">
        <f>equip.xml!L857</f>
        <v>0</v>
      </c>
      <c r="L853" s="14" t="str">
        <f>equip.xml!M857</f>
        <v>103_5119_5119,104_10238_10238</v>
      </c>
      <c r="M853" s="17" t="str">
        <f>equip.xml!Q857</f>
        <v>equipment/1331.png</v>
      </c>
      <c r="N853" s="16" t="str">
        <f>equip.xml!P857</f>
        <v>10000_1002_70000,30000_30001_1,30000_30002_1,30000_30003_1</v>
      </c>
      <c r="O853">
        <f>equip.xml!R857</f>
        <v>0</v>
      </c>
    </row>
    <row r="854" spans="1:15">
      <c r="A854" s="14">
        <f>equip.xml!A858</f>
        <v>20853060</v>
      </c>
      <c r="B854" s="14">
        <f>equip.xml!B858</f>
        <v>1</v>
      </c>
      <c r="C854" s="14" t="str">
        <f>equip.xml!C858</f>
        <v>幻咒秘语</v>
      </c>
      <c r="D854" s="14" t="str">
        <f>equip.xml!D858</f>
        <v>副手武器</v>
      </c>
      <c r="E854" s="14">
        <f>equip.xml!E858</f>
        <v>6</v>
      </c>
      <c r="F854" s="14">
        <f>equip.xml!F858</f>
        <v>2</v>
      </c>
      <c r="G854" s="14">
        <f>equip.xml!G858</f>
        <v>85</v>
      </c>
      <c r="H854" s="14" t="str">
        <f>equip.xml!H858</f>
        <v>3,1003</v>
      </c>
      <c r="I854" s="14">
        <f>equip.xml!J858</f>
        <v>10</v>
      </c>
      <c r="J854" s="14">
        <f>equip.xml!K858</f>
        <v>0</v>
      </c>
      <c r="K854" s="14">
        <f>equip.xml!L858</f>
        <v>0</v>
      </c>
      <c r="L854" s="14" t="str">
        <f>equip.xml!M858</f>
        <v>102_3790_3790</v>
      </c>
      <c r="M854" s="17" t="str">
        <f>equip.xml!Q858</f>
        <v>equipment/102301.png</v>
      </c>
      <c r="N854" s="16" t="str">
        <f>equip.xml!P858</f>
        <v>10000_1002_70000,30000_30001_1,30000_30002_1,30000_30003_1</v>
      </c>
      <c r="O854">
        <f>equip.xml!R858</f>
        <v>0</v>
      </c>
    </row>
    <row r="855" spans="1:15">
      <c r="A855" s="14">
        <f>equip.xml!A859</f>
        <v>20853061</v>
      </c>
      <c r="B855" s="14">
        <f>equip.xml!B859</f>
        <v>0</v>
      </c>
      <c r="C855" s="14" t="str">
        <f>equip.xml!C859</f>
        <v>岁月之书</v>
      </c>
      <c r="D855" s="14" t="str">
        <f>equip.xml!D859</f>
        <v>副手武器</v>
      </c>
      <c r="E855" s="14">
        <f>equip.xml!E859</f>
        <v>6</v>
      </c>
      <c r="F855" s="14">
        <f>equip.xml!F859</f>
        <v>2</v>
      </c>
      <c r="G855" s="14">
        <f>equip.xml!G859</f>
        <v>85</v>
      </c>
      <c r="H855" s="14" t="str">
        <f>equip.xml!H859</f>
        <v>3,1003</v>
      </c>
      <c r="I855" s="14">
        <f>equip.xml!J859</f>
        <v>10</v>
      </c>
      <c r="J855" s="14">
        <f>equip.xml!K859</f>
        <v>0</v>
      </c>
      <c r="K855" s="14">
        <f>equip.xml!L859</f>
        <v>0</v>
      </c>
      <c r="L855" s="14" t="str">
        <f>equip.xml!M859</f>
        <v>102_3890_3890</v>
      </c>
      <c r="M855" s="17" t="str">
        <f>equip.xml!Q859</f>
        <v>equipment/2323.png</v>
      </c>
      <c r="N855" s="16" t="str">
        <f>equip.xml!P859</f>
        <v>10000_1002_70000,30000_30001_1,30000_30002_1,30000_30003_1</v>
      </c>
      <c r="O855">
        <f>equip.xml!R859</f>
        <v>0</v>
      </c>
    </row>
    <row r="856" spans="1:15">
      <c r="A856" s="14">
        <f>equip.xml!A860</f>
        <v>20850040</v>
      </c>
      <c r="B856" s="14">
        <f>equip.xml!B860</f>
        <v>1</v>
      </c>
      <c r="C856" s="14" t="str">
        <f>equip.xml!C860</f>
        <v>梦魇胸甲</v>
      </c>
      <c r="D856" s="14" t="str">
        <f>equip.xml!D860</f>
        <v>胸甲</v>
      </c>
      <c r="E856" s="14">
        <f>equip.xml!E860</f>
        <v>4</v>
      </c>
      <c r="F856" s="14">
        <f>equip.xml!F860</f>
        <v>2</v>
      </c>
      <c r="G856" s="14">
        <f>equip.xml!G860</f>
        <v>85</v>
      </c>
      <c r="H856" s="14">
        <f>equip.xml!H860</f>
        <v>0</v>
      </c>
      <c r="I856" s="14">
        <f>equip.xml!J860</f>
        <v>10</v>
      </c>
      <c r="J856" s="14">
        <f>equip.xml!K860</f>
        <v>0</v>
      </c>
      <c r="K856" s="14">
        <f>equip.xml!L860</f>
        <v>0</v>
      </c>
      <c r="L856" s="14" t="str">
        <f>equip.xml!M860</f>
        <v>105_2989_2989</v>
      </c>
      <c r="M856" s="17" t="str">
        <f>equip.xml!Q860</f>
        <v>equipment/105001.png</v>
      </c>
      <c r="N856" s="16" t="str">
        <f>equip.xml!P860</f>
        <v>10000_1002_70000,30000_30001_1,30000_30002_1,30000_30003_1</v>
      </c>
      <c r="O856">
        <f>equip.xml!R860</f>
        <v>0</v>
      </c>
    </row>
    <row r="857" spans="1:15">
      <c r="A857" s="14">
        <f>equip.xml!A861</f>
        <v>20850041</v>
      </c>
      <c r="B857" s="14">
        <f>equip.xml!B861</f>
        <v>0</v>
      </c>
      <c r="C857" s="14" t="str">
        <f>equip.xml!C861</f>
        <v>鬼域战铠</v>
      </c>
      <c r="D857" s="14" t="str">
        <f>equip.xml!D861</f>
        <v>胸甲</v>
      </c>
      <c r="E857" s="14">
        <f>equip.xml!E861</f>
        <v>4</v>
      </c>
      <c r="F857" s="14">
        <f>equip.xml!F861</f>
        <v>2</v>
      </c>
      <c r="G857" s="14">
        <f>equip.xml!G861</f>
        <v>85</v>
      </c>
      <c r="H857" s="14">
        <f>equip.xml!H861</f>
        <v>0</v>
      </c>
      <c r="I857" s="14">
        <f>equip.xml!J861</f>
        <v>10</v>
      </c>
      <c r="J857" s="14">
        <f>equip.xml!K861</f>
        <v>0</v>
      </c>
      <c r="K857" s="14">
        <f>equip.xml!L861</f>
        <v>0</v>
      </c>
      <c r="L857" s="14" t="str">
        <f>equip.xml!M861</f>
        <v>105_3172_3172</v>
      </c>
      <c r="M857" s="17" t="str">
        <f>equip.xml!Q861</f>
        <v>equipment/5023.png</v>
      </c>
      <c r="N857" s="16" t="str">
        <f>equip.xml!P861</f>
        <v>10000_1002_70000,30000_30001_1,30000_30002_1,30000_30003_1</v>
      </c>
      <c r="O857">
        <f>equip.xml!R861</f>
        <v>0</v>
      </c>
    </row>
    <row r="858" spans="1:15">
      <c r="A858" s="14">
        <f>equip.xml!A862</f>
        <v>20850070</v>
      </c>
      <c r="B858" s="14">
        <f>equip.xml!B862</f>
        <v>1</v>
      </c>
      <c r="C858" s="14" t="str">
        <f>equip.xml!C862</f>
        <v>逝亡护腿</v>
      </c>
      <c r="D858" s="14" t="str">
        <f>equip.xml!D862</f>
        <v>护腿</v>
      </c>
      <c r="E858" s="14">
        <f>equip.xml!E862</f>
        <v>7</v>
      </c>
      <c r="F858" s="14">
        <f>equip.xml!F862</f>
        <v>2</v>
      </c>
      <c r="G858" s="14">
        <f>equip.xml!G862</f>
        <v>85</v>
      </c>
      <c r="H858" s="14">
        <f>equip.xml!H862</f>
        <v>0</v>
      </c>
      <c r="I858" s="14">
        <f>equip.xml!J862</f>
        <v>10</v>
      </c>
      <c r="J858" s="14">
        <f>equip.xml!K862</f>
        <v>0</v>
      </c>
      <c r="K858" s="14">
        <f>equip.xml!L862</f>
        <v>0</v>
      </c>
      <c r="L858" s="14" t="str">
        <f>equip.xml!M862</f>
        <v>105_2989_2989</v>
      </c>
      <c r="M858" s="17" t="str">
        <f>equip.xml!Q862</f>
        <v>equipment/7023.png</v>
      </c>
      <c r="N858" s="16" t="str">
        <f>equip.xml!P862</f>
        <v>10000_1002_70000,30000_30001_1,30000_30002_1,30000_30003_1</v>
      </c>
      <c r="O858">
        <f>equip.xml!R862</f>
        <v>0</v>
      </c>
    </row>
    <row r="859" spans="1:15">
      <c r="A859" s="14">
        <f>equip.xml!A863</f>
        <v>20850071</v>
      </c>
      <c r="B859" s="14">
        <f>equip.xml!B863</f>
        <v>0</v>
      </c>
      <c r="C859" s="14" t="str">
        <f>equip.xml!C863</f>
        <v>泯灭护腿</v>
      </c>
      <c r="D859" s="14" t="str">
        <f>equip.xml!D863</f>
        <v>护腿</v>
      </c>
      <c r="E859" s="14">
        <f>equip.xml!E863</f>
        <v>7</v>
      </c>
      <c r="F859" s="14">
        <f>equip.xml!F863</f>
        <v>2</v>
      </c>
      <c r="G859" s="14">
        <f>equip.xml!G863</f>
        <v>85</v>
      </c>
      <c r="H859" s="14">
        <f>equip.xml!H863</f>
        <v>0</v>
      </c>
      <c r="I859" s="14">
        <f>equip.xml!J863</f>
        <v>10</v>
      </c>
      <c r="J859" s="14">
        <f>equip.xml!K863</f>
        <v>0</v>
      </c>
      <c r="K859" s="14">
        <f>equip.xml!L863</f>
        <v>0</v>
      </c>
      <c r="L859" s="14" t="str">
        <f>equip.xml!M863</f>
        <v>105_3172_3172</v>
      </c>
      <c r="M859" s="17" t="str">
        <f>equip.xml!Q863</f>
        <v>equipment/107001.png</v>
      </c>
      <c r="N859" s="16" t="str">
        <f>equip.xml!P863</f>
        <v>10000_1002_70000,30000_30001_1,30000_30002_1,30000_30003_1</v>
      </c>
      <c r="O859">
        <f>equip.xml!R863</f>
        <v>0</v>
      </c>
    </row>
    <row r="860" spans="1:15">
      <c r="A860" s="14">
        <f>equip.xml!A864</f>
        <v>20900010</v>
      </c>
      <c r="B860" s="14">
        <f>equip.xml!B864</f>
        <v>1</v>
      </c>
      <c r="C860" s="14" t="str">
        <f>equip.xml!C864</f>
        <v>风暴之冠</v>
      </c>
      <c r="D860" s="14" t="str">
        <f>equip.xml!D864</f>
        <v>头盔</v>
      </c>
      <c r="E860" s="14">
        <f>equip.xml!E864</f>
        <v>1</v>
      </c>
      <c r="F860" s="14">
        <f>equip.xml!F864</f>
        <v>2</v>
      </c>
      <c r="G860" s="14">
        <f>equip.xml!G864</f>
        <v>90</v>
      </c>
      <c r="H860" s="14">
        <f>equip.xml!H864</f>
        <v>0</v>
      </c>
      <c r="I860" s="14">
        <f>equip.xml!J864</f>
        <v>10</v>
      </c>
      <c r="J860" s="14">
        <f>equip.xml!K864</f>
        <v>0</v>
      </c>
      <c r="K860" s="14">
        <f>equip.xml!L864</f>
        <v>0</v>
      </c>
      <c r="L860" s="14" t="str">
        <f>equip.xml!M864</f>
        <v>106_4428_4428</v>
      </c>
      <c r="M860" s="17" t="str">
        <f>equip.xml!Q864</f>
        <v>equipment/3017.png</v>
      </c>
      <c r="N860" s="16" t="str">
        <f>equip.xml!P864</f>
        <v>10000_1002_70000,30000_30001_1,30000_30002_1,30000_30003_1</v>
      </c>
      <c r="O860">
        <f>equip.xml!R864</f>
        <v>0</v>
      </c>
    </row>
    <row r="861" spans="1:15">
      <c r="A861" s="14">
        <f>equip.xml!A865</f>
        <v>20900020</v>
      </c>
      <c r="B861" s="14">
        <f>equip.xml!B865</f>
        <v>1</v>
      </c>
      <c r="C861" s="14" t="str">
        <f>equip.xml!C865</f>
        <v>无尽智慧指环</v>
      </c>
      <c r="D861" s="14" t="str">
        <f>equip.xml!D865</f>
        <v>戒指</v>
      </c>
      <c r="E861" s="14">
        <f>equip.xml!E865</f>
        <v>2</v>
      </c>
      <c r="F861" s="14">
        <f>equip.xml!F865</f>
        <v>2</v>
      </c>
      <c r="G861" s="14">
        <f>equip.xml!G865</f>
        <v>90</v>
      </c>
      <c r="H861" s="14">
        <f>equip.xml!H865</f>
        <v>0</v>
      </c>
      <c r="I861" s="14">
        <f>equip.xml!J865</f>
        <v>10</v>
      </c>
      <c r="J861" s="14">
        <f>equip.xml!K865</f>
        <v>0</v>
      </c>
      <c r="K861" s="14">
        <f>equip.xml!L865</f>
        <v>0</v>
      </c>
      <c r="L861" s="14" t="str">
        <f>equip.xml!M865</f>
        <v>102_2150_2150</v>
      </c>
      <c r="M861" s="17" t="str">
        <f>equip.xml!Q865</f>
        <v>equipment/14015.png</v>
      </c>
      <c r="N861" s="16" t="str">
        <f>equip.xml!P865</f>
        <v>10000_1002_70000,30000_30001_1,30000_30002_1,30000_30003_1</v>
      </c>
      <c r="O861">
        <f>equip.xml!R865</f>
        <v>0</v>
      </c>
    </row>
    <row r="862" spans="1:15">
      <c r="A862" s="14">
        <f>equip.xml!A866</f>
        <v>20900030</v>
      </c>
      <c r="B862" s="14">
        <f>equip.xml!B866</f>
        <v>1</v>
      </c>
      <c r="C862" s="14" t="str">
        <f>equip.xml!C866</f>
        <v>丰饶腰带</v>
      </c>
      <c r="D862" s="14" t="str">
        <f>equip.xml!D866</f>
        <v>腰带</v>
      </c>
      <c r="E862" s="14">
        <f>equip.xml!E866</f>
        <v>3</v>
      </c>
      <c r="F862" s="14">
        <f>equip.xml!F866</f>
        <v>2</v>
      </c>
      <c r="G862" s="14">
        <f>equip.xml!G866</f>
        <v>90</v>
      </c>
      <c r="H862" s="14">
        <f>equip.xml!H866</f>
        <v>0</v>
      </c>
      <c r="I862" s="14">
        <f>equip.xml!J866</f>
        <v>10</v>
      </c>
      <c r="J862" s="14">
        <f>equip.xml!K866</f>
        <v>0</v>
      </c>
      <c r="K862" s="14">
        <f>equip.xml!L866</f>
        <v>0</v>
      </c>
      <c r="L862" s="14" t="str">
        <f>equip.xml!M866</f>
        <v>101_29800_29800</v>
      </c>
      <c r="M862" s="17" t="str">
        <f>equip.xml!Q866</f>
        <v>equipment/6016.png</v>
      </c>
      <c r="N862" s="16" t="str">
        <f>equip.xml!P866</f>
        <v>10000_1002_70000,30000_30001_1,30000_30002_1,30000_30003_1</v>
      </c>
      <c r="O862">
        <f>equip.xml!R866</f>
        <v>0</v>
      </c>
    </row>
    <row r="863" spans="1:15">
      <c r="A863" s="14">
        <f>equip.xml!A867</f>
        <v>20900080</v>
      </c>
      <c r="B863" s="14">
        <f>equip.xml!B867</f>
        <v>1</v>
      </c>
      <c r="C863" s="14" t="str">
        <f>equip.xml!C867</f>
        <v>秩序战靴</v>
      </c>
      <c r="D863" s="14" t="str">
        <f>equip.xml!D867</f>
        <v>鞋子</v>
      </c>
      <c r="E863" s="14">
        <f>equip.xml!E867</f>
        <v>8</v>
      </c>
      <c r="F863" s="14">
        <f>equip.xml!F867</f>
        <v>2</v>
      </c>
      <c r="G863" s="14">
        <f>equip.xml!G867</f>
        <v>90</v>
      </c>
      <c r="H863" s="14">
        <f>equip.xml!H867</f>
        <v>0</v>
      </c>
      <c r="I863" s="14">
        <f>equip.xml!J867</f>
        <v>10</v>
      </c>
      <c r="J863" s="14">
        <f>equip.xml!K867</f>
        <v>0</v>
      </c>
      <c r="K863" s="14">
        <f>equip.xml!L867</f>
        <v>0</v>
      </c>
      <c r="L863" s="14" t="str">
        <f>equip.xml!M867</f>
        <v>110_715_715</v>
      </c>
      <c r="M863" s="17" t="str">
        <f>equip.xml!Q867</f>
        <v>equipment/8017.png</v>
      </c>
      <c r="N863" s="16" t="str">
        <f>equip.xml!P867</f>
        <v>10000_1002_70000,30000_30001_1,30000_30002_1,30000_30003_1</v>
      </c>
      <c r="O863">
        <f>equip.xml!R867</f>
        <v>0</v>
      </c>
    </row>
    <row r="864" spans="1:15">
      <c r="A864" s="14">
        <f>equip.xml!A868</f>
        <v>20900090</v>
      </c>
      <c r="B864" s="14">
        <f>equip.xml!B868</f>
        <v>1</v>
      </c>
      <c r="C864" s="14" t="str">
        <f>equip.xml!C868</f>
        <v>超载护手</v>
      </c>
      <c r="D864" s="14" t="str">
        <f>equip.xml!D868</f>
        <v>手套</v>
      </c>
      <c r="E864" s="14">
        <f>equip.xml!E868</f>
        <v>9</v>
      </c>
      <c r="F864" s="14">
        <f>equip.xml!F868</f>
        <v>2</v>
      </c>
      <c r="G864" s="14">
        <f>equip.xml!G868</f>
        <v>90</v>
      </c>
      <c r="H864" s="14">
        <f>equip.xml!H868</f>
        <v>0</v>
      </c>
      <c r="I864" s="14">
        <f>equip.xml!J868</f>
        <v>10</v>
      </c>
      <c r="J864" s="14">
        <f>equip.xml!K868</f>
        <v>0</v>
      </c>
      <c r="K864" s="14">
        <f>equip.xml!L868</f>
        <v>0</v>
      </c>
      <c r="L864" s="14" t="str">
        <f>equip.xml!M868</f>
        <v>108_6155_6155</v>
      </c>
      <c r="M864" s="17" t="str">
        <f>equip.xml!Q868</f>
        <v>equipment/10017.png</v>
      </c>
      <c r="N864" s="16" t="str">
        <f>equip.xml!P868</f>
        <v>10000_1002_70000,30000_30001_1,30000_30002_1,30000_30003_1</v>
      </c>
      <c r="O864">
        <f>equip.xml!R868</f>
        <v>0</v>
      </c>
    </row>
    <row r="865" spans="1:15">
      <c r="A865" s="14">
        <f>equip.xml!A869</f>
        <v>20900100</v>
      </c>
      <c r="B865" s="14">
        <f>equip.xml!B869</f>
        <v>1</v>
      </c>
      <c r="C865" s="14" t="str">
        <f>equip.xml!C869</f>
        <v>寒霜之心</v>
      </c>
      <c r="D865" s="14" t="str">
        <f>equip.xml!D869</f>
        <v>项链</v>
      </c>
      <c r="E865" s="14">
        <f>equip.xml!E869</f>
        <v>10</v>
      </c>
      <c r="F865" s="14">
        <f>equip.xml!F869</f>
        <v>2</v>
      </c>
      <c r="G865" s="14">
        <f>equip.xml!G869</f>
        <v>90</v>
      </c>
      <c r="H865" s="14">
        <f>equip.xml!H869</f>
        <v>0</v>
      </c>
      <c r="I865" s="14">
        <f>equip.xml!J869</f>
        <v>10</v>
      </c>
      <c r="J865" s="14">
        <f>equip.xml!K869</f>
        <v>0</v>
      </c>
      <c r="K865" s="14">
        <f>equip.xml!L869</f>
        <v>0</v>
      </c>
      <c r="L865" s="14" t="str">
        <f>equip.xml!M869</f>
        <v>107_4428_4428</v>
      </c>
      <c r="M865" s="17" t="str">
        <f>equip.xml!Q869</f>
        <v>equipment/12017.png</v>
      </c>
      <c r="N865" s="16" t="str">
        <f>equip.xml!P869</f>
        <v>10000_1002_70000,30000_30001_1,30000_30002_1,30000_30003_1</v>
      </c>
      <c r="O865">
        <f>equip.xml!R869</f>
        <v>0</v>
      </c>
    </row>
    <row r="866" spans="1:15">
      <c r="A866" s="14">
        <f>equip.xml!A870</f>
        <v>20901050</v>
      </c>
      <c r="B866" s="14">
        <f>equip.xml!B870</f>
        <v>1</v>
      </c>
      <c r="C866" s="14" t="str">
        <f>equip.xml!C870</f>
        <v>湮灭之剑</v>
      </c>
      <c r="D866" s="14" t="str">
        <f>equip.xml!D870</f>
        <v>主手武器</v>
      </c>
      <c r="E866" s="14">
        <f>equip.xml!E870</f>
        <v>5</v>
      </c>
      <c r="F866" s="14">
        <f>equip.xml!F870</f>
        <v>2</v>
      </c>
      <c r="G866" s="14">
        <f>equip.xml!G870</f>
        <v>90</v>
      </c>
      <c r="H866" s="14" t="str">
        <f>equip.xml!H870</f>
        <v>1,1001</v>
      </c>
      <c r="I866" s="14">
        <f>equip.xml!J870</f>
        <v>10</v>
      </c>
      <c r="J866" s="14">
        <f>equip.xml!K870</f>
        <v>0</v>
      </c>
      <c r="K866" s="14">
        <f>equip.xml!L870</f>
        <v>0</v>
      </c>
      <c r="L866" s="14" t="str">
        <f>equip.xml!M870</f>
        <v>103_5471_5471,104_10942_10942</v>
      </c>
      <c r="M866" s="17" t="str">
        <f>equip.xml!Q870</f>
        <v>equipment/101101.png</v>
      </c>
      <c r="N866" s="16" t="str">
        <f>equip.xml!P870</f>
        <v>10000_1002_70000,30000_30001_1,30000_30002_1,30000_30003_1</v>
      </c>
      <c r="O866">
        <f>equip.xml!R870</f>
        <v>0</v>
      </c>
    </row>
    <row r="867" spans="1:15">
      <c r="A867" s="14">
        <f>equip.xml!A871</f>
        <v>20901051</v>
      </c>
      <c r="B867" s="14">
        <f>equip.xml!B871</f>
        <v>0</v>
      </c>
      <c r="C867" s="14" t="str">
        <f>equip.xml!C871</f>
        <v>封印之剑</v>
      </c>
      <c r="D867" s="14" t="str">
        <f>equip.xml!D871</f>
        <v>主手武器</v>
      </c>
      <c r="E867" s="14">
        <f>equip.xml!E871</f>
        <v>5</v>
      </c>
      <c r="F867" s="14">
        <f>equip.xml!F871</f>
        <v>2</v>
      </c>
      <c r="G867" s="14">
        <f>equip.xml!G871</f>
        <v>90</v>
      </c>
      <c r="H867" s="14" t="str">
        <f>equip.xml!H871</f>
        <v>1,1001</v>
      </c>
      <c r="I867" s="14">
        <f>equip.xml!J871</f>
        <v>10</v>
      </c>
      <c r="J867" s="14">
        <f>equip.xml!K871</f>
        <v>0</v>
      </c>
      <c r="K867" s="14">
        <f>equip.xml!L871</f>
        <v>0</v>
      </c>
      <c r="L867" s="14" t="str">
        <f>equip.xml!M871</f>
        <v>103_5719_5719,104_11438_11438</v>
      </c>
      <c r="M867" s="17" t="str">
        <f>equip.xml!Q871</f>
        <v>equipment/1131.png</v>
      </c>
      <c r="N867" s="16" t="str">
        <f>equip.xml!P871</f>
        <v>10000_1002_70000,30000_30001_1,30000_30002_1,30000_30003_1</v>
      </c>
      <c r="O867">
        <f>equip.xml!R871</f>
        <v>0</v>
      </c>
    </row>
    <row r="868" spans="1:15">
      <c r="A868" s="14">
        <f>equip.xml!A872</f>
        <v>20901060</v>
      </c>
      <c r="B868" s="14">
        <f>equip.xml!B872</f>
        <v>1</v>
      </c>
      <c r="C868" s="14" t="str">
        <f>equip.xml!C872</f>
        <v>灾祸之盾</v>
      </c>
      <c r="D868" s="14" t="str">
        <f>equip.xml!D872</f>
        <v>副手武器</v>
      </c>
      <c r="E868" s="14">
        <f>equip.xml!E872</f>
        <v>6</v>
      </c>
      <c r="F868" s="14">
        <f>equip.xml!F872</f>
        <v>2</v>
      </c>
      <c r="G868" s="14">
        <f>equip.xml!G872</f>
        <v>90</v>
      </c>
      <c r="H868" s="14" t="str">
        <f>equip.xml!H872</f>
        <v>1,1001</v>
      </c>
      <c r="I868" s="14">
        <f>equip.xml!J872</f>
        <v>10</v>
      </c>
      <c r="J868" s="14">
        <f>equip.xml!K872</f>
        <v>0</v>
      </c>
      <c r="K868" s="14">
        <f>equip.xml!L872</f>
        <v>0</v>
      </c>
      <c r="L868" s="14" t="str">
        <f>equip.xml!M872</f>
        <v>105_4924_4924</v>
      </c>
      <c r="M868" s="17" t="str">
        <f>equip.xml!Q872</f>
        <v>equipment/2125.png</v>
      </c>
      <c r="N868" s="16" t="str">
        <f>equip.xml!P872</f>
        <v>10000_1002_70000,30000_30001_1,30000_30002_1,30000_30003_1</v>
      </c>
      <c r="O868">
        <f>equip.xml!R872</f>
        <v>0</v>
      </c>
    </row>
    <row r="869" spans="1:15">
      <c r="A869" s="14">
        <f>equip.xml!A873</f>
        <v>20901061</v>
      </c>
      <c r="B869" s="14">
        <f>equip.xml!B873</f>
        <v>0</v>
      </c>
      <c r="C869" s="14" t="str">
        <f>equip.xml!C873</f>
        <v>堕神之盾</v>
      </c>
      <c r="D869" s="14" t="str">
        <f>equip.xml!D873</f>
        <v>副手武器</v>
      </c>
      <c r="E869" s="14">
        <f>equip.xml!E873</f>
        <v>6</v>
      </c>
      <c r="F869" s="14">
        <f>equip.xml!F873</f>
        <v>2</v>
      </c>
      <c r="G869" s="14">
        <f>equip.xml!G873</f>
        <v>90</v>
      </c>
      <c r="H869" s="14" t="str">
        <f>equip.xml!H873</f>
        <v>1,1001</v>
      </c>
      <c r="I869" s="14">
        <f>equip.xml!J873</f>
        <v>10</v>
      </c>
      <c r="J869" s="14">
        <f>equip.xml!K873</f>
        <v>0</v>
      </c>
      <c r="K869" s="14">
        <f>equip.xml!L873</f>
        <v>0</v>
      </c>
      <c r="L869" s="14" t="str">
        <f>equip.xml!M873</f>
        <v>105_5147_5147</v>
      </c>
      <c r="M869" s="17" t="str">
        <f>equip.xml!Q873</f>
        <v>equipment/102101.png</v>
      </c>
      <c r="N869" s="16" t="str">
        <f>equip.xml!P873</f>
        <v>10000_1002_70000,30000_30001_1,30000_30002_1,30000_30003_1</v>
      </c>
      <c r="O869">
        <f>equip.xml!R873</f>
        <v>0</v>
      </c>
    </row>
    <row r="870" spans="1:15">
      <c r="A870" s="14">
        <f>equip.xml!A874</f>
        <v>20902050</v>
      </c>
      <c r="B870" s="14">
        <f>equip.xml!B874</f>
        <v>1</v>
      </c>
      <c r="C870" s="14" t="str">
        <f>equip.xml!C874</f>
        <v>破晓之弓</v>
      </c>
      <c r="D870" s="14" t="str">
        <f>equip.xml!D874</f>
        <v>主手武器</v>
      </c>
      <c r="E870" s="14">
        <f>equip.xml!E874</f>
        <v>5</v>
      </c>
      <c r="F870" s="14">
        <f>equip.xml!F874</f>
        <v>2</v>
      </c>
      <c r="G870" s="14">
        <f>equip.xml!G874</f>
        <v>90</v>
      </c>
      <c r="H870" s="14" t="str">
        <f>equip.xml!H874</f>
        <v>2,1002</v>
      </c>
      <c r="I870" s="14">
        <f>equip.xml!J874</f>
        <v>10</v>
      </c>
      <c r="J870" s="14">
        <f>equip.xml!K874</f>
        <v>0</v>
      </c>
      <c r="K870" s="14">
        <f>equip.xml!L874</f>
        <v>0</v>
      </c>
      <c r="L870" s="14" t="str">
        <f>equip.xml!M874</f>
        <v>103_5471_5471,104_10942_10942</v>
      </c>
      <c r="M870" s="17" t="str">
        <f>equip.xml!Q874</f>
        <v>equipment/1231.png</v>
      </c>
      <c r="N870" s="16" t="str">
        <f>equip.xml!P874</f>
        <v>10000_1002_70000,30000_30001_1,30000_30002_1,30000_30003_1</v>
      </c>
      <c r="O870">
        <f>equip.xml!R874</f>
        <v>0</v>
      </c>
    </row>
    <row r="871" spans="1:15">
      <c r="A871" s="14">
        <f>equip.xml!A875</f>
        <v>20902051</v>
      </c>
      <c r="B871" s="14">
        <f>equip.xml!B875</f>
        <v>0</v>
      </c>
      <c r="C871" s="14" t="str">
        <f>equip.xml!C875</f>
        <v>彗星之击</v>
      </c>
      <c r="D871" s="14" t="str">
        <f>equip.xml!D875</f>
        <v>主手武器</v>
      </c>
      <c r="E871" s="14">
        <f>equip.xml!E875</f>
        <v>5</v>
      </c>
      <c r="F871" s="14">
        <f>equip.xml!F875</f>
        <v>2</v>
      </c>
      <c r="G871" s="14">
        <f>equip.xml!G875</f>
        <v>90</v>
      </c>
      <c r="H871" s="14" t="str">
        <f>equip.xml!H875</f>
        <v>2,1002</v>
      </c>
      <c r="I871" s="14">
        <f>equip.xml!J875</f>
        <v>10</v>
      </c>
      <c r="J871" s="14">
        <f>equip.xml!K875</f>
        <v>0</v>
      </c>
      <c r="K871" s="14">
        <f>equip.xml!L875</f>
        <v>0</v>
      </c>
      <c r="L871" s="14" t="str">
        <f>equip.xml!M875</f>
        <v>103_5719_5719,104_11438_11438</v>
      </c>
      <c r="M871" s="17" t="str">
        <f>equip.xml!Q875</f>
        <v>equipment/101201.png</v>
      </c>
      <c r="N871" s="16" t="str">
        <f>equip.xml!P875</f>
        <v>10000_1002_70000,30000_30001_1,30000_30002_1,30000_30003_1</v>
      </c>
      <c r="O871">
        <f>equip.xml!R875</f>
        <v>0</v>
      </c>
    </row>
    <row r="872" spans="1:15">
      <c r="A872" s="14">
        <f>equip.xml!A876</f>
        <v>20902060</v>
      </c>
      <c r="B872" s="14">
        <f>equip.xml!B876</f>
        <v>1</v>
      </c>
      <c r="C872" s="14" t="str">
        <f>equip.xml!C876</f>
        <v>灵痕箭袋</v>
      </c>
      <c r="D872" s="14" t="str">
        <f>equip.xml!D876</f>
        <v>副手武器</v>
      </c>
      <c r="E872" s="14">
        <f>equip.xml!E876</f>
        <v>6</v>
      </c>
      <c r="F872" s="14">
        <f>equip.xml!F876</f>
        <v>2</v>
      </c>
      <c r="G872" s="14">
        <f>equip.xml!G876</f>
        <v>90</v>
      </c>
      <c r="H872" s="14" t="str">
        <f>equip.xml!H876</f>
        <v>2,1002</v>
      </c>
      <c r="I872" s="14">
        <f>equip.xml!J876</f>
        <v>10</v>
      </c>
      <c r="J872" s="14">
        <f>equip.xml!K876</f>
        <v>0</v>
      </c>
      <c r="K872" s="14">
        <f>equip.xml!L876</f>
        <v>0</v>
      </c>
      <c r="L872" s="14" t="str">
        <f>equip.xml!M876</f>
        <v>108_4924_4924</v>
      </c>
      <c r="M872" s="17" t="str">
        <f>equip.xml!Q876</f>
        <v>equipment/2225.png</v>
      </c>
      <c r="N872" s="16" t="str">
        <f>equip.xml!P876</f>
        <v>10000_1002_70000,30000_30001_1,30000_30002_1,30000_30003_1</v>
      </c>
      <c r="O872">
        <f>equip.xml!R876</f>
        <v>0</v>
      </c>
    </row>
    <row r="873" spans="1:15">
      <c r="A873" s="14">
        <f>equip.xml!A877</f>
        <v>20902061</v>
      </c>
      <c r="B873" s="14">
        <f>equip.xml!B877</f>
        <v>0</v>
      </c>
      <c r="C873" s="14" t="str">
        <f>equip.xml!C877</f>
        <v>星坠箭筒</v>
      </c>
      <c r="D873" s="14" t="str">
        <f>equip.xml!D877</f>
        <v>副手武器</v>
      </c>
      <c r="E873" s="14">
        <f>equip.xml!E877</f>
        <v>6</v>
      </c>
      <c r="F873" s="14">
        <f>equip.xml!F877</f>
        <v>2</v>
      </c>
      <c r="G873" s="14">
        <f>equip.xml!G877</f>
        <v>90</v>
      </c>
      <c r="H873" s="14" t="str">
        <f>equip.xml!H877</f>
        <v>2,1002</v>
      </c>
      <c r="I873" s="14">
        <f>equip.xml!J877</f>
        <v>10</v>
      </c>
      <c r="J873" s="14">
        <f>equip.xml!K877</f>
        <v>0</v>
      </c>
      <c r="K873" s="14">
        <f>equip.xml!L877</f>
        <v>0</v>
      </c>
      <c r="L873" s="14" t="str">
        <f>equip.xml!M877</f>
        <v>108_5147_5147</v>
      </c>
      <c r="M873" s="17" t="str">
        <f>equip.xml!Q877</f>
        <v>equipment/2217.png</v>
      </c>
      <c r="N873" s="16" t="str">
        <f>equip.xml!P877</f>
        <v>10000_1002_70000,30000_30001_1,30000_30002_1,30000_30003_1</v>
      </c>
      <c r="O873">
        <f>equip.xml!R877</f>
        <v>0</v>
      </c>
    </row>
    <row r="874" spans="1:15">
      <c r="A874" s="14">
        <f>equip.xml!A878</f>
        <v>20903050</v>
      </c>
      <c r="B874" s="14">
        <f>equip.xml!B878</f>
        <v>1</v>
      </c>
      <c r="C874" s="14" t="str">
        <f>equip.xml!C878</f>
        <v>观察者之杖</v>
      </c>
      <c r="D874" s="14" t="str">
        <f>equip.xml!D878</f>
        <v>主手武器</v>
      </c>
      <c r="E874" s="14">
        <f>equip.xml!E878</f>
        <v>5</v>
      </c>
      <c r="F874" s="14">
        <f>equip.xml!F878</f>
        <v>2</v>
      </c>
      <c r="G874" s="14">
        <f>equip.xml!G878</f>
        <v>90</v>
      </c>
      <c r="H874" s="14" t="str">
        <f>equip.xml!H878</f>
        <v>3,1003</v>
      </c>
      <c r="I874" s="14">
        <f>equip.xml!J878</f>
        <v>10</v>
      </c>
      <c r="J874" s="14">
        <f>equip.xml!K878</f>
        <v>0</v>
      </c>
      <c r="K874" s="14">
        <f>equip.xml!L878</f>
        <v>0</v>
      </c>
      <c r="L874" s="14" t="str">
        <f>equip.xml!M878</f>
        <v>103_5471_5471,104_10942_10942</v>
      </c>
      <c r="M874" s="17" t="str">
        <f>equip.xml!Q878</f>
        <v>equipment/1330.png</v>
      </c>
      <c r="N874" s="16" t="str">
        <f>equip.xml!P878</f>
        <v>10000_1002_70000,30000_30001_1,30000_30002_1,30000_30003_1</v>
      </c>
      <c r="O874">
        <f>equip.xml!R878</f>
        <v>0</v>
      </c>
    </row>
    <row r="875" spans="1:15">
      <c r="A875" s="14">
        <f>equip.xml!A879</f>
        <v>20903051</v>
      </c>
      <c r="B875" s="14">
        <f>equip.xml!B879</f>
        <v>0</v>
      </c>
      <c r="C875" s="14" t="str">
        <f>equip.xml!C879</f>
        <v>星辰权杖</v>
      </c>
      <c r="D875" s="14" t="str">
        <f>equip.xml!D879</f>
        <v>主手武器</v>
      </c>
      <c r="E875" s="14">
        <f>equip.xml!E879</f>
        <v>5</v>
      </c>
      <c r="F875" s="14">
        <f>equip.xml!F879</f>
        <v>2</v>
      </c>
      <c r="G875" s="14">
        <f>equip.xml!G879</f>
        <v>90</v>
      </c>
      <c r="H875" s="14" t="str">
        <f>equip.xml!H879</f>
        <v>3,1003</v>
      </c>
      <c r="I875" s="14">
        <f>equip.xml!J879</f>
        <v>10</v>
      </c>
      <c r="J875" s="14">
        <f>equip.xml!K879</f>
        <v>0</v>
      </c>
      <c r="K875" s="14">
        <f>equip.xml!L879</f>
        <v>0</v>
      </c>
      <c r="L875" s="14" t="str">
        <f>equip.xml!M879</f>
        <v>103_5719_5719,104_11438_11438</v>
      </c>
      <c r="M875" s="17" t="str">
        <f>equip.xml!Q879</f>
        <v>equipment/1328.png</v>
      </c>
      <c r="N875" s="16" t="str">
        <f>equip.xml!P879</f>
        <v>10000_1002_70000,30000_30001_1,30000_30002_1,30000_30003_1</v>
      </c>
      <c r="O875">
        <f>equip.xml!R879</f>
        <v>0</v>
      </c>
    </row>
    <row r="876" spans="1:15">
      <c r="A876" s="14">
        <f>equip.xml!A880</f>
        <v>20903060</v>
      </c>
      <c r="B876" s="14">
        <f>equip.xml!B880</f>
        <v>1</v>
      </c>
      <c r="C876" s="14" t="str">
        <f>equip.xml!C880</f>
        <v>云河指南</v>
      </c>
      <c r="D876" s="14" t="str">
        <f>equip.xml!D880</f>
        <v>副手武器</v>
      </c>
      <c r="E876" s="14">
        <f>equip.xml!E880</f>
        <v>6</v>
      </c>
      <c r="F876" s="14">
        <f>equip.xml!F880</f>
        <v>2</v>
      </c>
      <c r="G876" s="14">
        <f>equip.xml!G880</f>
        <v>90</v>
      </c>
      <c r="H876" s="14" t="str">
        <f>equip.xml!H880</f>
        <v>3,1003</v>
      </c>
      <c r="I876" s="14">
        <f>equip.xml!J880</f>
        <v>10</v>
      </c>
      <c r="J876" s="14">
        <f>equip.xml!K880</f>
        <v>0</v>
      </c>
      <c r="K876" s="14">
        <f>equip.xml!L880</f>
        <v>0</v>
      </c>
      <c r="L876" s="14" t="str">
        <f>equip.xml!M880</f>
        <v>102_4040_4040</v>
      </c>
      <c r="M876" s="17" t="str">
        <f>equip.xml!Q880</f>
        <v>equipment/2325.png</v>
      </c>
      <c r="N876" s="16" t="str">
        <f>equip.xml!P880</f>
        <v>10000_1002_70000,30000_30001_1,30000_30002_1,30000_30003_1</v>
      </c>
      <c r="O876">
        <f>equip.xml!R880</f>
        <v>0</v>
      </c>
    </row>
    <row r="877" spans="1:15">
      <c r="A877" s="14">
        <f>equip.xml!A881</f>
        <v>20903061</v>
      </c>
      <c r="B877" s="14">
        <f>equip.xml!B881</f>
        <v>0</v>
      </c>
      <c r="C877" s="14" t="str">
        <f>equip.xml!C881</f>
        <v>星界之书</v>
      </c>
      <c r="D877" s="14" t="str">
        <f>equip.xml!D881</f>
        <v>副手武器</v>
      </c>
      <c r="E877" s="14">
        <f>equip.xml!E881</f>
        <v>6</v>
      </c>
      <c r="F877" s="14">
        <f>equip.xml!F881</f>
        <v>2</v>
      </c>
      <c r="G877" s="14">
        <f>equip.xml!G881</f>
        <v>90</v>
      </c>
      <c r="H877" s="14" t="str">
        <f>equip.xml!H881</f>
        <v>3,1003</v>
      </c>
      <c r="I877" s="14">
        <f>equip.xml!J881</f>
        <v>10</v>
      </c>
      <c r="J877" s="14">
        <f>equip.xml!K881</f>
        <v>0</v>
      </c>
      <c r="K877" s="14">
        <f>equip.xml!L881</f>
        <v>0</v>
      </c>
      <c r="L877" s="14" t="str">
        <f>equip.xml!M881</f>
        <v>102_4140_4140</v>
      </c>
      <c r="M877" s="17" t="str">
        <f>equip.xml!Q881</f>
        <v>equipment/2324.png</v>
      </c>
      <c r="N877" s="16" t="str">
        <f>equip.xml!P881</f>
        <v>10000_1002_70000,30000_30001_1,30000_30002_1,30000_30003_1</v>
      </c>
      <c r="O877">
        <f>equip.xml!R881</f>
        <v>0</v>
      </c>
    </row>
    <row r="878" spans="1:15">
      <c r="A878" s="14">
        <f>equip.xml!A882</f>
        <v>20900040</v>
      </c>
      <c r="B878" s="14">
        <f>equip.xml!B882</f>
        <v>1</v>
      </c>
      <c r="C878" s="14" t="str">
        <f>equip.xml!C882</f>
        <v>坚毅胸甲</v>
      </c>
      <c r="D878" s="14" t="str">
        <f>equip.xml!D882</f>
        <v>胸甲</v>
      </c>
      <c r="E878" s="14">
        <f>equip.xml!E882</f>
        <v>4</v>
      </c>
      <c r="F878" s="14">
        <f>equip.xml!F882</f>
        <v>2</v>
      </c>
      <c r="G878" s="14">
        <f>equip.xml!G882</f>
        <v>90</v>
      </c>
      <c r="H878" s="14">
        <f>equip.xml!H882</f>
        <v>0</v>
      </c>
      <c r="I878" s="14">
        <f>equip.xml!J882</f>
        <v>10</v>
      </c>
      <c r="J878" s="14">
        <f>equip.xml!K882</f>
        <v>0</v>
      </c>
      <c r="K878" s="14">
        <f>equip.xml!L882</f>
        <v>0</v>
      </c>
      <c r="L878" s="14" t="str">
        <f>equip.xml!M882</f>
        <v>105_3447_3447</v>
      </c>
      <c r="M878" s="17" t="str">
        <f>equip.xml!Q882</f>
        <v>equipment/5024.png</v>
      </c>
      <c r="N878" s="16" t="str">
        <f>equip.xml!P882</f>
        <v>10000_1002_70000,30000_30001_1,30000_30002_1,30000_30003_1</v>
      </c>
      <c r="O878">
        <f>equip.xml!R882</f>
        <v>0</v>
      </c>
    </row>
    <row r="879" spans="1:15">
      <c r="A879" s="14">
        <f>equip.xml!A883</f>
        <v>20900041</v>
      </c>
      <c r="B879" s="14">
        <f>equip.xml!B883</f>
        <v>0</v>
      </c>
      <c r="C879" s="14" t="str">
        <f>equip.xml!C883</f>
        <v>群山之拥</v>
      </c>
      <c r="D879" s="14" t="str">
        <f>equip.xml!D883</f>
        <v>胸甲</v>
      </c>
      <c r="E879" s="14">
        <f>equip.xml!E883</f>
        <v>4</v>
      </c>
      <c r="F879" s="14">
        <f>equip.xml!F883</f>
        <v>2</v>
      </c>
      <c r="G879" s="14">
        <f>equip.xml!G883</f>
        <v>90</v>
      </c>
      <c r="H879" s="14">
        <f>equip.xml!H883</f>
        <v>0</v>
      </c>
      <c r="I879" s="14">
        <f>equip.xml!J883</f>
        <v>10</v>
      </c>
      <c r="J879" s="14">
        <f>equip.xml!K883</f>
        <v>0</v>
      </c>
      <c r="K879" s="14">
        <f>equip.xml!L883</f>
        <v>0</v>
      </c>
      <c r="L879" s="14" t="str">
        <f>equip.xml!M883</f>
        <v>105_3603_3603</v>
      </c>
      <c r="M879" s="17" t="str">
        <f>equip.xml!Q883</f>
        <v>equipment/5001.png</v>
      </c>
      <c r="N879" s="16" t="str">
        <f>equip.xml!P883</f>
        <v>10000_1002_70000,30000_30001_1,30000_30002_1,30000_30003_1</v>
      </c>
      <c r="O879">
        <f>equip.xml!R883</f>
        <v>0</v>
      </c>
    </row>
    <row r="880" spans="1:15">
      <c r="A880" s="14">
        <f>equip.xml!A884</f>
        <v>20900070</v>
      </c>
      <c r="B880" s="14">
        <f>equip.xml!B884</f>
        <v>1</v>
      </c>
      <c r="C880" s="14" t="str">
        <f>equip.xml!C884</f>
        <v>复苏护腿</v>
      </c>
      <c r="D880" s="14" t="str">
        <f>equip.xml!D884</f>
        <v>护腿</v>
      </c>
      <c r="E880" s="14">
        <f>equip.xml!E884</f>
        <v>7</v>
      </c>
      <c r="F880" s="14">
        <f>equip.xml!F884</f>
        <v>2</v>
      </c>
      <c r="G880" s="14">
        <f>equip.xml!G884</f>
        <v>90</v>
      </c>
      <c r="H880" s="14">
        <f>equip.xml!H884</f>
        <v>0</v>
      </c>
      <c r="I880" s="14">
        <f>equip.xml!J884</f>
        <v>10</v>
      </c>
      <c r="J880" s="14">
        <f>equip.xml!K884</f>
        <v>0</v>
      </c>
      <c r="K880" s="14">
        <f>equip.xml!L884</f>
        <v>0</v>
      </c>
      <c r="L880" s="14" t="str">
        <f>equip.xml!M884</f>
        <v>105_3447_3447</v>
      </c>
      <c r="M880" s="17" t="str">
        <f>equip.xml!Q884</f>
        <v>equipment/7016.png</v>
      </c>
      <c r="N880" s="16" t="str">
        <f>equip.xml!P884</f>
        <v>10000_1002_70000,30000_30001_1,30000_30002_1,30000_30003_1</v>
      </c>
      <c r="O880">
        <f>equip.xml!R884</f>
        <v>0</v>
      </c>
    </row>
    <row r="881" spans="1:15">
      <c r="A881" s="14">
        <f>equip.xml!A885</f>
        <v>20900071</v>
      </c>
      <c r="B881" s="14">
        <f>equip.xml!B885</f>
        <v>0</v>
      </c>
      <c r="C881" s="14" t="str">
        <f>equip.xml!C885</f>
        <v>虔信腿甲</v>
      </c>
      <c r="D881" s="14" t="str">
        <f>equip.xml!D885</f>
        <v>护腿</v>
      </c>
      <c r="E881" s="14">
        <f>equip.xml!E885</f>
        <v>7</v>
      </c>
      <c r="F881" s="14">
        <f>equip.xml!F885</f>
        <v>2</v>
      </c>
      <c r="G881" s="14">
        <f>equip.xml!G885</f>
        <v>90</v>
      </c>
      <c r="H881" s="14">
        <f>equip.xml!H885</f>
        <v>0</v>
      </c>
      <c r="I881" s="14">
        <f>equip.xml!J885</f>
        <v>10</v>
      </c>
      <c r="J881" s="14">
        <f>equip.xml!K885</f>
        <v>0</v>
      </c>
      <c r="K881" s="14">
        <f>equip.xml!L885</f>
        <v>0</v>
      </c>
      <c r="L881" s="14" t="str">
        <f>equip.xml!M885</f>
        <v>105_3603_3603</v>
      </c>
      <c r="M881" s="17" t="str">
        <f>equip.xml!Q885</f>
        <v>equipment/7001.png</v>
      </c>
      <c r="N881" s="16" t="str">
        <f>equip.xml!P885</f>
        <v>10000_1002_70000,30000_30001_1,30000_30002_1,30000_30003_1</v>
      </c>
      <c r="O881">
        <f>equip.xml!R885</f>
        <v>0</v>
      </c>
    </row>
    <row r="882" spans="1:15">
      <c r="A882" s="14">
        <f>equip.xml!A886</f>
        <v>20950010</v>
      </c>
      <c r="B882" s="14">
        <f>equip.xml!B886</f>
        <v>1</v>
      </c>
      <c r="C882" s="14" t="str">
        <f>equip.xml!C886</f>
        <v>魂铸头盔</v>
      </c>
      <c r="D882" s="14" t="str">
        <f>equip.xml!D886</f>
        <v>头盔</v>
      </c>
      <c r="E882" s="14">
        <f>equip.xml!E886</f>
        <v>1</v>
      </c>
      <c r="F882" s="14">
        <f>equip.xml!F886</f>
        <v>2</v>
      </c>
      <c r="G882" s="14">
        <f>equip.xml!G886</f>
        <v>95</v>
      </c>
      <c r="H882" s="14">
        <f>equip.xml!H886</f>
        <v>0</v>
      </c>
      <c r="I882" s="14">
        <f>equip.xml!J886</f>
        <v>10</v>
      </c>
      <c r="J882" s="14">
        <f>equip.xml!K886</f>
        <v>0</v>
      </c>
      <c r="K882" s="14">
        <f>equip.xml!L886</f>
        <v>0</v>
      </c>
      <c r="L882" s="14" t="str">
        <f>equip.xml!M886</f>
        <v>106_5346_5346</v>
      </c>
      <c r="M882" s="17" t="str">
        <f>equip.xml!Q886</f>
        <v>equipment/3001.png</v>
      </c>
      <c r="N882" s="16" t="str">
        <f>equip.xml!P886</f>
        <v>10000_1002_70000,30000_30001_1,30000_30002_1,30000_30003_1</v>
      </c>
      <c r="O882">
        <f>equip.xml!R886</f>
        <v>0</v>
      </c>
    </row>
    <row r="883" spans="1:15">
      <c r="A883" s="14">
        <f>equip.xml!A887</f>
        <v>20950020</v>
      </c>
      <c r="B883" s="14">
        <f>equip.xml!B887</f>
        <v>1</v>
      </c>
      <c r="C883" s="14" t="str">
        <f>equip.xml!C887</f>
        <v>云霄之环</v>
      </c>
      <c r="D883" s="14" t="str">
        <f>equip.xml!D887</f>
        <v>戒指</v>
      </c>
      <c r="E883" s="14">
        <f>equip.xml!E887</f>
        <v>2</v>
      </c>
      <c r="F883" s="14">
        <f>equip.xml!F887</f>
        <v>2</v>
      </c>
      <c r="G883" s="14">
        <f>equip.xml!G887</f>
        <v>95</v>
      </c>
      <c r="H883" s="14">
        <f>equip.xml!H887</f>
        <v>0</v>
      </c>
      <c r="I883" s="14">
        <f>equip.xml!J887</f>
        <v>10</v>
      </c>
      <c r="J883" s="14">
        <f>equip.xml!K887</f>
        <v>0</v>
      </c>
      <c r="K883" s="14">
        <f>equip.xml!L887</f>
        <v>0</v>
      </c>
      <c r="L883" s="14" t="str">
        <f>equip.xml!M887</f>
        <v>102_2240_2240</v>
      </c>
      <c r="M883" s="17" t="str">
        <f>equip.xml!Q887</f>
        <v>equipment/14001.png</v>
      </c>
      <c r="N883" s="16" t="str">
        <f>equip.xml!P887</f>
        <v>10000_1002_70000,30000_30001_1,30000_30002_1,30000_30003_1</v>
      </c>
      <c r="O883">
        <f>equip.xml!R887</f>
        <v>0</v>
      </c>
    </row>
    <row r="884" spans="1:15">
      <c r="A884" s="14">
        <f>equip.xml!A888</f>
        <v>20950030</v>
      </c>
      <c r="B884" s="14">
        <f>equip.xml!B888</f>
        <v>1</v>
      </c>
      <c r="C884" s="14" t="str">
        <f>equip.xml!C888</f>
        <v>破天者腰带</v>
      </c>
      <c r="D884" s="14" t="str">
        <f>equip.xml!D888</f>
        <v>腰带</v>
      </c>
      <c r="E884" s="14">
        <f>equip.xml!E888</f>
        <v>3</v>
      </c>
      <c r="F884" s="14">
        <f>equip.xml!F888</f>
        <v>2</v>
      </c>
      <c r="G884" s="14">
        <f>equip.xml!G888</f>
        <v>95</v>
      </c>
      <c r="H884" s="14">
        <f>equip.xml!H888</f>
        <v>0</v>
      </c>
      <c r="I884" s="14">
        <f>equip.xml!J888</f>
        <v>10</v>
      </c>
      <c r="J884" s="14">
        <f>equip.xml!K888</f>
        <v>0</v>
      </c>
      <c r="K884" s="14">
        <f>equip.xml!L888</f>
        <v>0</v>
      </c>
      <c r="L884" s="14" t="str">
        <f>equip.xml!M888</f>
        <v>101_32760_32760</v>
      </c>
      <c r="M884" s="17" t="str">
        <f>equip.xml!Q888</f>
        <v>equipment/6001.png</v>
      </c>
      <c r="N884" s="16" t="str">
        <f>equip.xml!P888</f>
        <v>10000_1002_70000,30000_30001_1,30000_30002_1,30000_30003_1</v>
      </c>
      <c r="O884">
        <f>equip.xml!R888</f>
        <v>0</v>
      </c>
    </row>
    <row r="885" spans="1:15">
      <c r="A885" s="14">
        <f>equip.xml!A889</f>
        <v>20950080</v>
      </c>
      <c r="B885" s="14">
        <f>equip.xml!B889</f>
        <v>1</v>
      </c>
      <c r="C885" s="14" t="str">
        <f>equip.xml!C889</f>
        <v>圣洁怒火之靴</v>
      </c>
      <c r="D885" s="14" t="str">
        <f>equip.xml!D889</f>
        <v>鞋子</v>
      </c>
      <c r="E885" s="14">
        <f>equip.xml!E889</f>
        <v>8</v>
      </c>
      <c r="F885" s="14">
        <f>equip.xml!F889</f>
        <v>2</v>
      </c>
      <c r="G885" s="14">
        <f>equip.xml!G889</f>
        <v>95</v>
      </c>
      <c r="H885" s="14">
        <f>equip.xml!H889</f>
        <v>0</v>
      </c>
      <c r="I885" s="14">
        <f>equip.xml!J889</f>
        <v>10</v>
      </c>
      <c r="J885" s="14">
        <f>equip.xml!K889</f>
        <v>0</v>
      </c>
      <c r="K885" s="14">
        <f>equip.xml!L889</f>
        <v>0</v>
      </c>
      <c r="L885" s="14" t="str">
        <f>equip.xml!M889</f>
        <v>110_786_786</v>
      </c>
      <c r="M885" s="17" t="str">
        <f>equip.xml!Q889</f>
        <v>equipment/8001.png</v>
      </c>
      <c r="N885" s="16" t="str">
        <f>equip.xml!P889</f>
        <v>10000_1002_70000,30000_30001_1,30000_30002_1,30000_30003_1</v>
      </c>
      <c r="O885">
        <f>equip.xml!R889</f>
        <v>0</v>
      </c>
    </row>
    <row r="886" spans="1:15">
      <c r="A886" s="14">
        <f>equip.xml!A890</f>
        <v>20950090</v>
      </c>
      <c r="B886" s="14">
        <f>equip.xml!B890</f>
        <v>1</v>
      </c>
      <c r="C886" s="14" t="str">
        <f>equip.xml!C890</f>
        <v>破灭之手</v>
      </c>
      <c r="D886" s="14" t="str">
        <f>equip.xml!D890</f>
        <v>手套</v>
      </c>
      <c r="E886" s="14">
        <f>equip.xml!E890</f>
        <v>9</v>
      </c>
      <c r="F886" s="14">
        <f>equip.xml!F890</f>
        <v>2</v>
      </c>
      <c r="G886" s="14">
        <f>equip.xml!G890</f>
        <v>95</v>
      </c>
      <c r="H886" s="14">
        <f>equip.xml!H890</f>
        <v>0</v>
      </c>
      <c r="I886" s="14">
        <f>equip.xml!J890</f>
        <v>10</v>
      </c>
      <c r="J886" s="14">
        <f>equip.xml!K890</f>
        <v>0</v>
      </c>
      <c r="K886" s="14">
        <f>equip.xml!L890</f>
        <v>0</v>
      </c>
      <c r="L886" s="14" t="str">
        <f>equip.xml!M890</f>
        <v>108_6853_6853</v>
      </c>
      <c r="M886" s="17" t="str">
        <f>equip.xml!Q890</f>
        <v>equipment/10001.png</v>
      </c>
      <c r="N886" s="16" t="str">
        <f>equip.xml!P890</f>
        <v>10000_1002_70000,30000_30001_1,30000_30002_1,30000_30003_1</v>
      </c>
      <c r="O886">
        <f>equip.xml!R890</f>
        <v>0</v>
      </c>
    </row>
    <row r="887" spans="1:15">
      <c r="A887" s="14">
        <f>equip.xml!A891</f>
        <v>20950100</v>
      </c>
      <c r="B887" s="14">
        <f>equip.xml!B891</f>
        <v>1</v>
      </c>
      <c r="C887" s="14" t="str">
        <f>equip.xml!C891</f>
        <v>圣灵之佑</v>
      </c>
      <c r="D887" s="14" t="str">
        <f>equip.xml!D891</f>
        <v>项链</v>
      </c>
      <c r="E887" s="14">
        <f>equip.xml!E891</f>
        <v>10</v>
      </c>
      <c r="F887" s="14">
        <f>equip.xml!F891</f>
        <v>2</v>
      </c>
      <c r="G887" s="14">
        <f>equip.xml!G891</f>
        <v>95</v>
      </c>
      <c r="H887" s="14">
        <f>equip.xml!H891</f>
        <v>0</v>
      </c>
      <c r="I887" s="14">
        <f>equip.xml!J891</f>
        <v>10</v>
      </c>
      <c r="J887" s="14">
        <f>equip.xml!K891</f>
        <v>0</v>
      </c>
      <c r="K887" s="14">
        <f>equip.xml!L891</f>
        <v>0</v>
      </c>
      <c r="L887" s="14" t="str">
        <f>equip.xml!M891</f>
        <v>107_5346_5346</v>
      </c>
      <c r="M887" s="17" t="str">
        <f>equip.xml!Q891</f>
        <v>equipment/12001.png</v>
      </c>
      <c r="N887" s="16" t="str">
        <f>equip.xml!P891</f>
        <v>10000_1002_70000,30000_30001_1,30000_30002_1,30000_30003_1</v>
      </c>
      <c r="O887">
        <f>equip.xml!R891</f>
        <v>0</v>
      </c>
    </row>
    <row r="888" spans="1:15">
      <c r="A888" s="14">
        <f>equip.xml!A892</f>
        <v>20951050</v>
      </c>
      <c r="B888" s="14">
        <f>equip.xml!B892</f>
        <v>1</v>
      </c>
      <c r="C888" s="14" t="str">
        <f>equip.xml!C892</f>
        <v>云颠之剑</v>
      </c>
      <c r="D888" s="14" t="str">
        <f>equip.xml!D892</f>
        <v>主手武器</v>
      </c>
      <c r="E888" s="14">
        <f>equip.xml!E892</f>
        <v>5</v>
      </c>
      <c r="F888" s="14">
        <f>equip.xml!F892</f>
        <v>2</v>
      </c>
      <c r="G888" s="14">
        <f>equip.xml!G892</f>
        <v>95</v>
      </c>
      <c r="H888" s="14" t="str">
        <f>equip.xml!H892</f>
        <v>1,1001</v>
      </c>
      <c r="I888" s="14">
        <f>equip.xml!J892</f>
        <v>10</v>
      </c>
      <c r="J888" s="14">
        <f>equip.xml!K892</f>
        <v>0</v>
      </c>
      <c r="K888" s="14">
        <f>equip.xml!L892</f>
        <v>0</v>
      </c>
      <c r="L888" s="14" t="str">
        <f>equip.xml!M892</f>
        <v>103_6091_6091,104_12182_12182</v>
      </c>
      <c r="M888" s="17" t="str">
        <f>equip.xml!Q892</f>
        <v>equipment/1124.png</v>
      </c>
      <c r="N888" s="16" t="str">
        <f>equip.xml!P892</f>
        <v>10000_1002_70000,30000_30001_1,30000_30002_1,30000_30003_1</v>
      </c>
      <c r="O888">
        <f>equip.xml!R892</f>
        <v>0</v>
      </c>
    </row>
    <row r="889" spans="1:15">
      <c r="A889" s="14">
        <f>equip.xml!A893</f>
        <v>20951051</v>
      </c>
      <c r="B889" s="14">
        <f>equip.xml!B893</f>
        <v>0</v>
      </c>
      <c r="C889" s="14" t="str">
        <f>equip.xml!C893</f>
        <v>血色黎明</v>
      </c>
      <c r="D889" s="14" t="str">
        <f>equip.xml!D893</f>
        <v>主手武器</v>
      </c>
      <c r="E889" s="14">
        <f>equip.xml!E893</f>
        <v>5</v>
      </c>
      <c r="F889" s="14">
        <f>equip.xml!F893</f>
        <v>2</v>
      </c>
      <c r="G889" s="14">
        <f>equip.xml!G893</f>
        <v>95</v>
      </c>
      <c r="H889" s="14" t="str">
        <f>equip.xml!H893</f>
        <v>1,1001</v>
      </c>
      <c r="I889" s="14">
        <f>equip.xml!J893</f>
        <v>10</v>
      </c>
      <c r="J889" s="14">
        <f>equip.xml!K893</f>
        <v>0</v>
      </c>
      <c r="K889" s="14">
        <f>equip.xml!L893</f>
        <v>0</v>
      </c>
      <c r="L889" s="14" t="str">
        <f>equip.xml!M893</f>
        <v>103_6352_6352,104_12705_12705</v>
      </c>
      <c r="M889" s="17" t="str">
        <f>equip.xml!Q893</f>
        <v>equipment/1101.png</v>
      </c>
      <c r="N889" s="16" t="str">
        <f>equip.xml!P893</f>
        <v>10000_1002_70000,30000_30001_1,30000_30002_1,30000_30003_1</v>
      </c>
      <c r="O889">
        <f>equip.xml!R893</f>
        <v>0</v>
      </c>
    </row>
    <row r="890" spans="1:15">
      <c r="A890" s="14">
        <f>equip.xml!A894</f>
        <v>20951060</v>
      </c>
      <c r="B890" s="14">
        <f>equip.xml!B894</f>
        <v>1</v>
      </c>
      <c r="C890" s="14" t="str">
        <f>equip.xml!C894</f>
        <v>荣耀壁垒</v>
      </c>
      <c r="D890" s="14" t="str">
        <f>equip.xml!D894</f>
        <v>副手武器</v>
      </c>
      <c r="E890" s="14">
        <f>equip.xml!E894</f>
        <v>6</v>
      </c>
      <c r="F890" s="14">
        <f>equip.xml!F894</f>
        <v>2</v>
      </c>
      <c r="G890" s="14">
        <f>equip.xml!G894</f>
        <v>95</v>
      </c>
      <c r="H890" s="14" t="str">
        <f>equip.xml!H894</f>
        <v>1,1001</v>
      </c>
      <c r="I890" s="14">
        <f>equip.xml!J894</f>
        <v>10</v>
      </c>
      <c r="J890" s="14">
        <f>equip.xml!K894</f>
        <v>0</v>
      </c>
      <c r="K890" s="14">
        <f>equip.xml!L894</f>
        <v>0</v>
      </c>
      <c r="L890" s="14" t="str">
        <f>equip.xml!M894</f>
        <v>105_5482_5482</v>
      </c>
      <c r="M890" s="17" t="str">
        <f>equip.xml!Q894</f>
        <v>equipment/2118.png</v>
      </c>
      <c r="N890" s="16" t="str">
        <f>equip.xml!P894</f>
        <v>10000_1002_70000,30000_30001_1,30000_30002_1,30000_30003_1</v>
      </c>
      <c r="O890">
        <f>equip.xml!R894</f>
        <v>0</v>
      </c>
    </row>
    <row r="891" spans="1:15">
      <c r="A891" s="14">
        <f>equip.xml!A895</f>
        <v>20951061</v>
      </c>
      <c r="B891" s="14">
        <f>equip.xml!B895</f>
        <v>0</v>
      </c>
      <c r="C891" s="14" t="str">
        <f>equip.xml!C895</f>
        <v>曙光之盾</v>
      </c>
      <c r="D891" s="14" t="str">
        <f>equip.xml!D895</f>
        <v>副手武器</v>
      </c>
      <c r="E891" s="14">
        <f>equip.xml!E895</f>
        <v>6</v>
      </c>
      <c r="F891" s="14">
        <f>equip.xml!F895</f>
        <v>2</v>
      </c>
      <c r="G891" s="14">
        <f>equip.xml!G895</f>
        <v>95</v>
      </c>
      <c r="H891" s="14" t="str">
        <f>equip.xml!H895</f>
        <v>1,1001</v>
      </c>
      <c r="I891" s="14">
        <f>equip.xml!J895</f>
        <v>10</v>
      </c>
      <c r="J891" s="14">
        <f>equip.xml!K895</f>
        <v>0</v>
      </c>
      <c r="K891" s="14">
        <f>equip.xml!L895</f>
        <v>0</v>
      </c>
      <c r="L891" s="14" t="str">
        <f>equip.xml!M895</f>
        <v>105_5717_5717</v>
      </c>
      <c r="M891" s="17" t="str">
        <f>equip.xml!Q895</f>
        <v>equipment/2101.png</v>
      </c>
      <c r="N891" s="16" t="str">
        <f>equip.xml!P895</f>
        <v>10000_1002_70000,30000_30001_1,30000_30002_1,30000_30003_1</v>
      </c>
      <c r="O891">
        <f>equip.xml!R895</f>
        <v>0</v>
      </c>
    </row>
    <row r="892" spans="1:15">
      <c r="A892" s="14">
        <f>equip.xml!A896</f>
        <v>20952050</v>
      </c>
      <c r="B892" s="14">
        <f>equip.xml!B896</f>
        <v>1</v>
      </c>
      <c r="C892" s="14" t="str">
        <f>equip.xml!C896</f>
        <v>灵魂之弦</v>
      </c>
      <c r="D892" s="14" t="str">
        <f>equip.xml!D896</f>
        <v>主手武器</v>
      </c>
      <c r="E892" s="14">
        <f>equip.xml!E896</f>
        <v>5</v>
      </c>
      <c r="F892" s="14">
        <f>equip.xml!F896</f>
        <v>2</v>
      </c>
      <c r="G892" s="14">
        <f>equip.xml!G896</f>
        <v>95</v>
      </c>
      <c r="H892" s="14" t="str">
        <f>equip.xml!H896</f>
        <v>2,1002</v>
      </c>
      <c r="I892" s="14">
        <f>equip.xml!J896</f>
        <v>10</v>
      </c>
      <c r="J892" s="14">
        <f>equip.xml!K896</f>
        <v>0</v>
      </c>
      <c r="K892" s="14">
        <f>equip.xml!L896</f>
        <v>0</v>
      </c>
      <c r="L892" s="14" t="str">
        <f>equip.xml!M896</f>
        <v>103_6091_6091,104_12182_12182</v>
      </c>
      <c r="M892" s="17" t="str">
        <f>equip.xml!Q896</f>
        <v>equipment/1222.png</v>
      </c>
      <c r="N892" s="16" t="str">
        <f>equip.xml!P896</f>
        <v>10000_1002_70000,30000_30001_1,30000_30002_1,30000_30003_1</v>
      </c>
      <c r="O892">
        <f>equip.xml!R896</f>
        <v>0</v>
      </c>
    </row>
    <row r="893" spans="1:15">
      <c r="A893" s="14">
        <f>equip.xml!A897</f>
        <v>20952051</v>
      </c>
      <c r="B893" s="14">
        <f>equip.xml!B897</f>
        <v>0</v>
      </c>
      <c r="C893" s="14" t="str">
        <f>equip.xml!C897</f>
        <v>风暴凝视</v>
      </c>
      <c r="D893" s="14" t="str">
        <f>equip.xml!D897</f>
        <v>主手武器</v>
      </c>
      <c r="E893" s="14">
        <f>equip.xml!E897</f>
        <v>5</v>
      </c>
      <c r="F893" s="14">
        <f>equip.xml!F897</f>
        <v>2</v>
      </c>
      <c r="G893" s="14">
        <f>equip.xml!G897</f>
        <v>95</v>
      </c>
      <c r="H893" s="14" t="str">
        <f>equip.xml!H897</f>
        <v>2,1002</v>
      </c>
      <c r="I893" s="14">
        <f>equip.xml!J897</f>
        <v>10</v>
      </c>
      <c r="J893" s="14">
        <f>equip.xml!K897</f>
        <v>0</v>
      </c>
      <c r="K893" s="14">
        <f>equip.xml!L897</f>
        <v>0</v>
      </c>
      <c r="L893" s="14" t="str">
        <f>equip.xml!M897</f>
        <v>103_6352_6352,104_12705_12705</v>
      </c>
      <c r="M893" s="17" t="str">
        <f>equip.xml!Q897</f>
        <v>equipment/1201.png</v>
      </c>
      <c r="N893" s="16" t="str">
        <f>equip.xml!P897</f>
        <v>10000_1002_70000,30000_30001_1,30000_30002_1,30000_30003_1</v>
      </c>
      <c r="O893">
        <f>equip.xml!R897</f>
        <v>0</v>
      </c>
    </row>
    <row r="894" spans="1:15">
      <c r="A894" s="14">
        <f>equip.xml!A898</f>
        <v>20952060</v>
      </c>
      <c r="B894" s="14">
        <f>equip.xml!B898</f>
        <v>1</v>
      </c>
      <c r="C894" s="14" t="str">
        <f>equip.xml!C898</f>
        <v>魂织箭袋</v>
      </c>
      <c r="D894" s="14" t="str">
        <f>equip.xml!D898</f>
        <v>副手武器</v>
      </c>
      <c r="E894" s="14">
        <f>equip.xml!E898</f>
        <v>6</v>
      </c>
      <c r="F894" s="14">
        <f>equip.xml!F898</f>
        <v>2</v>
      </c>
      <c r="G894" s="14">
        <f>equip.xml!G898</f>
        <v>95</v>
      </c>
      <c r="H894" s="14" t="str">
        <f>equip.xml!H898</f>
        <v>2,1002</v>
      </c>
      <c r="I894" s="14">
        <f>equip.xml!J898</f>
        <v>10</v>
      </c>
      <c r="J894" s="14">
        <f>equip.xml!K898</f>
        <v>0</v>
      </c>
      <c r="K894" s="14">
        <f>equip.xml!L898</f>
        <v>0</v>
      </c>
      <c r="L894" s="14" t="str">
        <f>equip.xml!M898</f>
        <v>108_5482_5482</v>
      </c>
      <c r="M894" s="17" t="str">
        <f>equip.xml!Q898</f>
        <v>equipment/2218.png</v>
      </c>
      <c r="N894" s="16" t="str">
        <f>equip.xml!P898</f>
        <v>10000_1002_70000,30000_30001_1,30000_30002_1,30000_30003_1</v>
      </c>
      <c r="O894">
        <f>equip.xml!R898</f>
        <v>0</v>
      </c>
    </row>
    <row r="895" spans="1:15">
      <c r="A895" s="14">
        <f>equip.xml!A899</f>
        <v>20952061</v>
      </c>
      <c r="B895" s="14">
        <f>equip.xml!B899</f>
        <v>0</v>
      </c>
      <c r="C895" s="14" t="str">
        <f>equip.xml!C899</f>
        <v>闪电之矢</v>
      </c>
      <c r="D895" s="14" t="str">
        <f>equip.xml!D899</f>
        <v>副手武器</v>
      </c>
      <c r="E895" s="14">
        <f>equip.xml!E899</f>
        <v>6</v>
      </c>
      <c r="F895" s="14">
        <f>equip.xml!F899</f>
        <v>2</v>
      </c>
      <c r="G895" s="14">
        <f>equip.xml!G899</f>
        <v>95</v>
      </c>
      <c r="H895" s="14" t="str">
        <f>equip.xml!H899</f>
        <v>2,1002</v>
      </c>
      <c r="I895" s="14">
        <f>equip.xml!J899</f>
        <v>10</v>
      </c>
      <c r="J895" s="14">
        <f>equip.xml!K899</f>
        <v>0</v>
      </c>
      <c r="K895" s="14">
        <f>equip.xml!L899</f>
        <v>0</v>
      </c>
      <c r="L895" s="14" t="str">
        <f>equip.xml!M899</f>
        <v>108_5717_5717</v>
      </c>
      <c r="M895" s="17" t="str">
        <f>equip.xml!Q899</f>
        <v>equipment/2201.png</v>
      </c>
      <c r="N895" s="16" t="str">
        <f>equip.xml!P899</f>
        <v>10000_1002_70000,30000_30001_1,30000_30002_1,30000_30003_1</v>
      </c>
      <c r="O895">
        <f>equip.xml!R899</f>
        <v>0</v>
      </c>
    </row>
    <row r="896" spans="1:15">
      <c r="A896" s="14">
        <f>equip.xml!A900</f>
        <v>20953050</v>
      </c>
      <c r="B896" s="14">
        <f>equip.xml!B900</f>
        <v>1</v>
      </c>
      <c r="C896" s="14" t="str">
        <f>equip.xml!C900</f>
        <v>歼灭之杖</v>
      </c>
      <c r="D896" s="14" t="str">
        <f>equip.xml!D900</f>
        <v>主手武器</v>
      </c>
      <c r="E896" s="14">
        <f>equip.xml!E900</f>
        <v>5</v>
      </c>
      <c r="F896" s="14">
        <f>equip.xml!F900</f>
        <v>2</v>
      </c>
      <c r="G896" s="14">
        <f>equip.xml!G900</f>
        <v>95</v>
      </c>
      <c r="H896" s="14" t="str">
        <f>equip.xml!H900</f>
        <v>3,1003</v>
      </c>
      <c r="I896" s="14">
        <f>equip.xml!J900</f>
        <v>10</v>
      </c>
      <c r="J896" s="14">
        <f>equip.xml!K900</f>
        <v>0</v>
      </c>
      <c r="K896" s="14">
        <f>equip.xml!L900</f>
        <v>0</v>
      </c>
      <c r="L896" s="14" t="str">
        <f>equip.xml!M900</f>
        <v>103_6091_6091,104_12182_12182</v>
      </c>
      <c r="M896" s="17" t="str">
        <f>equip.xml!Q900</f>
        <v>equipment/1324.png</v>
      </c>
      <c r="N896" s="16" t="str">
        <f>equip.xml!P900</f>
        <v>10000_1002_70000,30000_30001_1,30000_30002_1,30000_30003_1</v>
      </c>
      <c r="O896">
        <f>equip.xml!R900</f>
        <v>0</v>
      </c>
    </row>
    <row r="897" spans="1:15">
      <c r="A897" s="14">
        <f>equip.xml!A901</f>
        <v>20953051</v>
      </c>
      <c r="B897" s="14">
        <f>equip.xml!B901</f>
        <v>0</v>
      </c>
      <c r="C897" s="14" t="str">
        <f>equip.xml!C901</f>
        <v>末日降临</v>
      </c>
      <c r="D897" s="14" t="str">
        <f>equip.xml!D901</f>
        <v>主手武器</v>
      </c>
      <c r="E897" s="14">
        <f>equip.xml!E901</f>
        <v>5</v>
      </c>
      <c r="F897" s="14">
        <f>equip.xml!F901</f>
        <v>2</v>
      </c>
      <c r="G897" s="14">
        <f>equip.xml!G901</f>
        <v>95</v>
      </c>
      <c r="H897" s="14" t="str">
        <f>equip.xml!H901</f>
        <v>3,1003</v>
      </c>
      <c r="I897" s="14">
        <f>equip.xml!J901</f>
        <v>10</v>
      </c>
      <c r="J897" s="14">
        <f>equip.xml!K901</f>
        <v>0</v>
      </c>
      <c r="K897" s="14">
        <f>equip.xml!L901</f>
        <v>0</v>
      </c>
      <c r="L897" s="14" t="str">
        <f>equip.xml!M901</f>
        <v>103_6352_6352,104_12705_12705</v>
      </c>
      <c r="M897" s="17" t="str">
        <f>equip.xml!Q901</f>
        <v>equipment/1301.png</v>
      </c>
      <c r="N897" s="16" t="str">
        <f>equip.xml!P901</f>
        <v>10000_1002_70000,30000_30001_1,30000_30002_1,30000_30003_1</v>
      </c>
      <c r="O897">
        <f>equip.xml!R901</f>
        <v>0</v>
      </c>
    </row>
    <row r="898" spans="1:15">
      <c r="A898" s="14">
        <f>equip.xml!A902</f>
        <v>20953060</v>
      </c>
      <c r="B898" s="14">
        <f>equip.xml!B902</f>
        <v>1</v>
      </c>
      <c r="C898" s="14" t="str">
        <f>equip.xml!C902</f>
        <v>聚能魔典</v>
      </c>
      <c r="D898" s="14" t="str">
        <f>equip.xml!D902</f>
        <v>副手武器</v>
      </c>
      <c r="E898" s="14">
        <f>equip.xml!E902</f>
        <v>6</v>
      </c>
      <c r="F898" s="14">
        <f>equip.xml!F902</f>
        <v>2</v>
      </c>
      <c r="G898" s="14">
        <f>equip.xml!G902</f>
        <v>95</v>
      </c>
      <c r="H898" s="14" t="str">
        <f>equip.xml!H902</f>
        <v>3,1003</v>
      </c>
      <c r="I898" s="14">
        <f>equip.xml!J902</f>
        <v>10</v>
      </c>
      <c r="J898" s="14">
        <f>equip.xml!K902</f>
        <v>0</v>
      </c>
      <c r="K898" s="14">
        <f>equip.xml!L902</f>
        <v>0</v>
      </c>
      <c r="L898" s="14" t="str">
        <f>equip.xml!M902</f>
        <v>102_4280_4280</v>
      </c>
      <c r="M898" s="17" t="str">
        <f>equip.xml!Q902</f>
        <v>equipment/2318.png</v>
      </c>
      <c r="N898" s="16" t="str">
        <f>equip.xml!P902</f>
        <v>10000_1002_70000,30000_30001_1,30000_30002_1,30000_30003_1</v>
      </c>
      <c r="O898">
        <f>equip.xml!R902</f>
        <v>0</v>
      </c>
    </row>
    <row r="899" spans="1:15">
      <c r="A899" s="14">
        <f>equip.xml!A903</f>
        <v>20953061</v>
      </c>
      <c r="B899" s="14">
        <f>equip.xml!B903</f>
        <v>0</v>
      </c>
      <c r="C899" s="14" t="str">
        <f>equip.xml!C903</f>
        <v>启示圣典</v>
      </c>
      <c r="D899" s="14" t="str">
        <f>equip.xml!D903</f>
        <v>副手武器</v>
      </c>
      <c r="E899" s="14">
        <f>equip.xml!E903</f>
        <v>6</v>
      </c>
      <c r="F899" s="14">
        <f>equip.xml!F903</f>
        <v>2</v>
      </c>
      <c r="G899" s="14">
        <f>equip.xml!G903</f>
        <v>95</v>
      </c>
      <c r="H899" s="14" t="str">
        <f>equip.xml!H903</f>
        <v>3,1003</v>
      </c>
      <c r="I899" s="14">
        <f>equip.xml!J903</f>
        <v>10</v>
      </c>
      <c r="J899" s="14">
        <f>equip.xml!K903</f>
        <v>0</v>
      </c>
      <c r="K899" s="14">
        <f>equip.xml!L903</f>
        <v>0</v>
      </c>
      <c r="L899" s="14" t="str">
        <f>equip.xml!M903</f>
        <v>102_4390_4390</v>
      </c>
      <c r="M899" s="17" t="str">
        <f>equip.xml!Q903</f>
        <v>equipment/2301.png</v>
      </c>
      <c r="N899" s="16" t="str">
        <f>equip.xml!P903</f>
        <v>10000_1002_70000,30000_30001_1,30000_30002_1,30000_30003_1</v>
      </c>
      <c r="O899">
        <f>equip.xml!R903</f>
        <v>0</v>
      </c>
    </row>
    <row r="900" spans="1:15">
      <c r="A900" s="14">
        <f>equip.xml!A904</f>
        <v>20950040</v>
      </c>
      <c r="B900" s="14">
        <f>equip.xml!B904</f>
        <v>1</v>
      </c>
      <c r="C900" s="14" t="str">
        <f>equip.xml!C904</f>
        <v>湮没胸甲</v>
      </c>
      <c r="D900" s="14" t="str">
        <f>equip.xml!D904</f>
        <v>胸甲</v>
      </c>
      <c r="E900" s="14">
        <f>equip.xml!E904</f>
        <v>4</v>
      </c>
      <c r="F900" s="14">
        <f>equip.xml!F904</f>
        <v>2</v>
      </c>
      <c r="G900" s="14">
        <f>equip.xml!G904</f>
        <v>95</v>
      </c>
      <c r="H900" s="14">
        <f>equip.xml!H904</f>
        <v>0</v>
      </c>
      <c r="I900" s="14">
        <f>equip.xml!J904</f>
        <v>10</v>
      </c>
      <c r="J900" s="14">
        <f>equip.xml!K904</f>
        <v>0</v>
      </c>
      <c r="K900" s="14">
        <f>equip.xml!L904</f>
        <v>0</v>
      </c>
      <c r="L900" s="14" t="str">
        <f>equip.xml!M904</f>
        <v>105_3837_3837</v>
      </c>
      <c r="M900" s="17" t="str">
        <f>equip.xml!Q904</f>
        <v>equipment/5001.png</v>
      </c>
      <c r="N900" s="16" t="str">
        <f>equip.xml!P904</f>
        <v>10000_1002_70000,30000_30001_1,30000_30002_1,30000_30003_1</v>
      </c>
      <c r="O900">
        <f>equip.xml!R904</f>
        <v>0</v>
      </c>
    </row>
    <row r="901" spans="1:15">
      <c r="A901" s="14">
        <f>equip.xml!A905</f>
        <v>20950041</v>
      </c>
      <c r="B901" s="14">
        <f>equip.xml!B905</f>
        <v>0</v>
      </c>
      <c r="C901" s="14" t="str">
        <f>equip.xml!C905</f>
        <v>诸王战铠</v>
      </c>
      <c r="D901" s="14" t="str">
        <f>equip.xml!D905</f>
        <v>胸甲</v>
      </c>
      <c r="E901" s="14">
        <f>equip.xml!E905</f>
        <v>4</v>
      </c>
      <c r="F901" s="14">
        <f>equip.xml!F905</f>
        <v>2</v>
      </c>
      <c r="G901" s="14">
        <f>equip.xml!G905</f>
        <v>95</v>
      </c>
      <c r="H901" s="14">
        <f>equip.xml!H905</f>
        <v>0</v>
      </c>
      <c r="I901" s="14">
        <f>equip.xml!J905</f>
        <v>10</v>
      </c>
      <c r="J901" s="14">
        <f>equip.xml!K905</f>
        <v>0</v>
      </c>
      <c r="K901" s="14">
        <f>equip.xml!L905</f>
        <v>0</v>
      </c>
      <c r="L901" s="14" t="str">
        <f>equip.xml!M905</f>
        <v>105_4002_4002</v>
      </c>
      <c r="M901" s="17" t="str">
        <f>equip.xml!Q905</f>
        <v>equipment/5001.png</v>
      </c>
      <c r="N901" s="16" t="str">
        <f>equip.xml!P905</f>
        <v>10000_1002_70000,30000_30001_1,30000_30002_1,30000_30003_1</v>
      </c>
      <c r="O901">
        <f>equip.xml!R905</f>
        <v>0</v>
      </c>
    </row>
    <row r="902" spans="1:15">
      <c r="A902" s="14">
        <f>equip.xml!A906</f>
        <v>20950070</v>
      </c>
      <c r="B902" s="14">
        <f>equip.xml!B906</f>
        <v>1</v>
      </c>
      <c r="C902" s="14" t="str">
        <f>equip.xml!C906</f>
        <v>魂卫护腿</v>
      </c>
      <c r="D902" s="14" t="str">
        <f>equip.xml!D906</f>
        <v>护腿</v>
      </c>
      <c r="E902" s="14">
        <f>equip.xml!E906</f>
        <v>7</v>
      </c>
      <c r="F902" s="14">
        <f>equip.xml!F906</f>
        <v>2</v>
      </c>
      <c r="G902" s="14">
        <f>equip.xml!G906</f>
        <v>95</v>
      </c>
      <c r="H902" s="14">
        <f>equip.xml!H906</f>
        <v>0</v>
      </c>
      <c r="I902" s="14">
        <f>equip.xml!J906</f>
        <v>10</v>
      </c>
      <c r="J902" s="14">
        <f>equip.xml!K906</f>
        <v>0</v>
      </c>
      <c r="K902" s="14">
        <f>equip.xml!L906</f>
        <v>0</v>
      </c>
      <c r="L902" s="14" t="str">
        <f>equip.xml!M906</f>
        <v>105_3837_3837</v>
      </c>
      <c r="M902" s="17" t="str">
        <f>equip.xml!Q906</f>
        <v>equipment/7001.png</v>
      </c>
      <c r="N902" s="16" t="str">
        <f>equip.xml!P906</f>
        <v>10000_1002_70000,30000_30001_1,30000_30002_1,30000_30003_1</v>
      </c>
      <c r="O902">
        <f>equip.xml!R906</f>
        <v>0</v>
      </c>
    </row>
    <row r="903" spans="1:15">
      <c r="A903" s="14">
        <f>equip.xml!A907</f>
        <v>20950071</v>
      </c>
      <c r="B903" s="14">
        <f>equip.xml!B907</f>
        <v>0</v>
      </c>
      <c r="C903" s="14" t="str">
        <f>equip.xml!C907</f>
        <v>不朽护腿</v>
      </c>
      <c r="D903" s="14" t="str">
        <f>equip.xml!D907</f>
        <v>护腿</v>
      </c>
      <c r="E903" s="14">
        <f>equip.xml!E907</f>
        <v>7</v>
      </c>
      <c r="F903" s="14">
        <f>equip.xml!F907</f>
        <v>2</v>
      </c>
      <c r="G903" s="14">
        <f>equip.xml!G907</f>
        <v>95</v>
      </c>
      <c r="H903" s="14">
        <f>equip.xml!H907</f>
        <v>0</v>
      </c>
      <c r="I903" s="14">
        <f>equip.xml!J907</f>
        <v>10</v>
      </c>
      <c r="J903" s="14">
        <f>equip.xml!K907</f>
        <v>0</v>
      </c>
      <c r="K903" s="14">
        <f>equip.xml!L907</f>
        <v>0</v>
      </c>
      <c r="L903" s="14" t="str">
        <f>equip.xml!M907</f>
        <v>105_4002_4002</v>
      </c>
      <c r="M903" s="17" t="str">
        <f>equip.xml!Q907</f>
        <v>equipment/7001.png</v>
      </c>
      <c r="N903" s="16" t="str">
        <f>equip.xml!P907</f>
        <v>10000_1002_70000,30000_30001_1,30000_30002_1,30000_30003_1</v>
      </c>
      <c r="O903">
        <f>equip.xml!R907</f>
        <v>0</v>
      </c>
    </row>
    <row r="904" spans="1:15">
      <c r="A904" s="14">
        <f>equip.xml!A908</f>
        <v>21000010</v>
      </c>
      <c r="B904" s="14">
        <f>equip.xml!B908</f>
        <v>0</v>
      </c>
      <c r="C904" s="14" t="str">
        <f>equip.xml!C908</f>
        <v>天灾统领</v>
      </c>
      <c r="D904" s="14" t="str">
        <f>equip.xml!D908</f>
        <v>头盔</v>
      </c>
      <c r="E904" s="14">
        <f>equip.xml!E908</f>
        <v>1</v>
      </c>
      <c r="F904" s="14">
        <f>equip.xml!F908</f>
        <v>2</v>
      </c>
      <c r="G904" s="14">
        <f>equip.xml!G908</f>
        <v>100</v>
      </c>
      <c r="H904" s="14">
        <f>equip.xml!H908</f>
        <v>0</v>
      </c>
      <c r="I904" s="14">
        <f>equip.xml!J908</f>
        <v>10</v>
      </c>
      <c r="J904" s="14">
        <f>equip.xml!K908</f>
        <v>0</v>
      </c>
      <c r="K904" s="14">
        <f>equip.xml!L908</f>
        <v>0</v>
      </c>
      <c r="L904" s="14" t="str">
        <f>equip.xml!M908</f>
        <v>106_6460_6460</v>
      </c>
      <c r="M904" s="17" t="str">
        <f>equip.xml!Q908</f>
        <v>equipment/3001.png</v>
      </c>
      <c r="N904" s="16" t="str">
        <f>equip.xml!P908</f>
        <v>10000_1002_70000,30000_30001_1,30000_30002_1,30000_30003_1</v>
      </c>
      <c r="O904">
        <f>equip.xml!R908</f>
        <v>0</v>
      </c>
    </row>
    <row r="905" spans="1:15">
      <c r="A905" s="14">
        <f>equip.xml!A909</f>
        <v>21000020</v>
      </c>
      <c r="B905" s="14">
        <f>equip.xml!B909</f>
        <v>0</v>
      </c>
      <c r="C905" s="14" t="str">
        <f>equip.xml!C909</f>
        <v>镇魂挽歌</v>
      </c>
      <c r="D905" s="14" t="str">
        <f>equip.xml!D909</f>
        <v>戒指</v>
      </c>
      <c r="E905" s="14">
        <f>equip.xml!E909</f>
        <v>2</v>
      </c>
      <c r="F905" s="14">
        <f>equip.xml!F909</f>
        <v>2</v>
      </c>
      <c r="G905" s="14">
        <f>equip.xml!G909</f>
        <v>100</v>
      </c>
      <c r="H905" s="14">
        <f>equip.xml!H909</f>
        <v>0</v>
      </c>
      <c r="I905" s="14">
        <f>equip.xml!J909</f>
        <v>10</v>
      </c>
      <c r="J905" s="14">
        <f>equip.xml!K909</f>
        <v>0</v>
      </c>
      <c r="K905" s="14">
        <f>equip.xml!L909</f>
        <v>0</v>
      </c>
      <c r="L905" s="14" t="str">
        <f>equip.xml!M909</f>
        <v>102_2360_2360</v>
      </c>
      <c r="M905" s="17" t="str">
        <f>equip.xml!Q909</f>
        <v>equipment/14001.png</v>
      </c>
      <c r="N905" s="16" t="str">
        <f>equip.xml!P909</f>
        <v>10000_1002_70000,30000_30001_1,30000_30002_1,30000_30003_1</v>
      </c>
      <c r="O905">
        <f>equip.xml!R909</f>
        <v>0</v>
      </c>
    </row>
    <row r="906" spans="1:15">
      <c r="A906" s="14">
        <f>equip.xml!A910</f>
        <v>21000030</v>
      </c>
      <c r="B906" s="14">
        <f>equip.xml!B910</f>
        <v>0</v>
      </c>
      <c r="C906" s="14" t="str">
        <f>equip.xml!C910</f>
        <v>雷霆护腰</v>
      </c>
      <c r="D906" s="14" t="str">
        <f>equip.xml!D910</f>
        <v>腰带</v>
      </c>
      <c r="E906" s="14">
        <f>equip.xml!E910</f>
        <v>3</v>
      </c>
      <c r="F906" s="14">
        <f>equip.xml!F910</f>
        <v>2</v>
      </c>
      <c r="G906" s="14">
        <f>equip.xml!G910</f>
        <v>100</v>
      </c>
      <c r="H906" s="14">
        <f>equip.xml!H910</f>
        <v>0</v>
      </c>
      <c r="I906" s="14">
        <f>equip.xml!J910</f>
        <v>10</v>
      </c>
      <c r="J906" s="14">
        <f>equip.xml!K910</f>
        <v>0</v>
      </c>
      <c r="K906" s="14">
        <f>equip.xml!L910</f>
        <v>0</v>
      </c>
      <c r="L906" s="14" t="str">
        <f>equip.xml!M910</f>
        <v>101_36120_36120</v>
      </c>
      <c r="M906" s="17" t="str">
        <f>equip.xml!Q910</f>
        <v>equipment/6001.png</v>
      </c>
      <c r="N906" s="16" t="str">
        <f>equip.xml!P910</f>
        <v>10000_1002_70000,30000_30001_1,30000_30002_1,30000_30003_1</v>
      </c>
      <c r="O906">
        <f>equip.xml!R910</f>
        <v>0</v>
      </c>
    </row>
    <row r="907" spans="1:15">
      <c r="A907" s="14">
        <f>equip.xml!A911</f>
        <v>21000080</v>
      </c>
      <c r="B907" s="14">
        <f>equip.xml!B911</f>
        <v>0</v>
      </c>
      <c r="C907" s="14" t="str">
        <f>equip.xml!C911</f>
        <v>星旅之靴</v>
      </c>
      <c r="D907" s="14" t="str">
        <f>equip.xml!D911</f>
        <v>鞋子</v>
      </c>
      <c r="E907" s="14">
        <f>equip.xml!E911</f>
        <v>8</v>
      </c>
      <c r="F907" s="14">
        <f>equip.xml!F911</f>
        <v>2</v>
      </c>
      <c r="G907" s="14">
        <f>equip.xml!G911</f>
        <v>100</v>
      </c>
      <c r="H907" s="14">
        <f>equip.xml!H911</f>
        <v>0</v>
      </c>
      <c r="I907" s="14">
        <f>equip.xml!J911</f>
        <v>10</v>
      </c>
      <c r="J907" s="14">
        <f>equip.xml!K911</f>
        <v>0</v>
      </c>
      <c r="K907" s="14">
        <f>equip.xml!L911</f>
        <v>0</v>
      </c>
      <c r="L907" s="14" t="str">
        <f>equip.xml!M911</f>
        <v>110_871_871</v>
      </c>
      <c r="M907" s="17" t="str">
        <f>equip.xml!Q911</f>
        <v>equipment/8001.png</v>
      </c>
      <c r="N907" s="16" t="str">
        <f>equip.xml!P911</f>
        <v>10000_1002_70000,30000_30001_1,30000_30002_1,30000_30003_1</v>
      </c>
      <c r="O907">
        <f>equip.xml!R911</f>
        <v>0</v>
      </c>
    </row>
    <row r="908" spans="1:15">
      <c r="A908" s="14">
        <f>equip.xml!A912</f>
        <v>21000090</v>
      </c>
      <c r="B908" s="14">
        <f>equip.xml!B912</f>
        <v>0</v>
      </c>
      <c r="C908" s="14" t="str">
        <f>equip.xml!C912</f>
        <v>泰坦之拳</v>
      </c>
      <c r="D908" s="14" t="str">
        <f>equip.xml!D912</f>
        <v>手套</v>
      </c>
      <c r="E908" s="14">
        <f>equip.xml!E912</f>
        <v>9</v>
      </c>
      <c r="F908" s="14">
        <f>equip.xml!F912</f>
        <v>2</v>
      </c>
      <c r="G908" s="14">
        <f>equip.xml!G912</f>
        <v>100</v>
      </c>
      <c r="H908" s="14">
        <f>equip.xml!H912</f>
        <v>0</v>
      </c>
      <c r="I908" s="14">
        <f>equip.xml!J912</f>
        <v>10</v>
      </c>
      <c r="J908" s="14">
        <f>equip.xml!K912</f>
        <v>0</v>
      </c>
      <c r="K908" s="14">
        <f>equip.xml!L912</f>
        <v>0</v>
      </c>
      <c r="L908" s="14" t="str">
        <f>equip.xml!M912</f>
        <v>108_7588_7588</v>
      </c>
      <c r="M908" s="17" t="str">
        <f>equip.xml!Q912</f>
        <v>equipment/10001.png</v>
      </c>
      <c r="N908" s="16" t="str">
        <f>equip.xml!P912</f>
        <v>10000_1002_70000,30000_30001_1,30000_30002_1,30000_30003_1</v>
      </c>
      <c r="O908">
        <f>equip.xml!R912</f>
        <v>0</v>
      </c>
    </row>
    <row r="909" spans="1:15">
      <c r="A909" s="14">
        <f>equip.xml!A913</f>
        <v>21000100</v>
      </c>
      <c r="B909" s="14">
        <f>equip.xml!B913</f>
        <v>0</v>
      </c>
      <c r="C909" s="14" t="str">
        <f>equip.xml!C913</f>
        <v>永志不渝</v>
      </c>
      <c r="D909" s="14" t="str">
        <f>equip.xml!D913</f>
        <v>项链</v>
      </c>
      <c r="E909" s="14">
        <f>equip.xml!E913</f>
        <v>10</v>
      </c>
      <c r="F909" s="14">
        <f>equip.xml!F913</f>
        <v>2</v>
      </c>
      <c r="G909" s="14">
        <f>equip.xml!G913</f>
        <v>100</v>
      </c>
      <c r="H909" s="14">
        <f>equip.xml!H913</f>
        <v>0</v>
      </c>
      <c r="I909" s="14">
        <f>equip.xml!J913</f>
        <v>10</v>
      </c>
      <c r="J909" s="14">
        <f>equip.xml!K913</f>
        <v>0</v>
      </c>
      <c r="K909" s="14">
        <f>equip.xml!L913</f>
        <v>0</v>
      </c>
      <c r="L909" s="14" t="str">
        <f>equip.xml!M913</f>
        <v>107_6460_6460</v>
      </c>
      <c r="M909" s="17" t="str">
        <f>equip.xml!Q913</f>
        <v>equipment/12001.png</v>
      </c>
      <c r="N909" s="16" t="str">
        <f>equip.xml!P913</f>
        <v>10000_1002_70000,30000_30001_1,30000_30002_1,30000_30003_1</v>
      </c>
      <c r="O909">
        <f>equip.xml!R913</f>
        <v>0</v>
      </c>
    </row>
    <row r="910" spans="1:15">
      <c r="A910" s="14">
        <f>equip.xml!A914</f>
        <v>21001050</v>
      </c>
      <c r="B910" s="14">
        <f>equip.xml!B914</f>
        <v>0</v>
      </c>
      <c r="C910" s="14" t="str">
        <f>equip.xml!C914</f>
        <v>毁天灭地</v>
      </c>
      <c r="D910" s="14" t="str">
        <f>equip.xml!D914</f>
        <v>主手武器</v>
      </c>
      <c r="E910" s="14">
        <f>equip.xml!E914</f>
        <v>5</v>
      </c>
      <c r="F910" s="14">
        <f>equip.xml!F914</f>
        <v>2</v>
      </c>
      <c r="G910" s="14">
        <f>equip.xml!G914</f>
        <v>100</v>
      </c>
      <c r="H910" s="14" t="str">
        <f>equip.xml!H914</f>
        <v>1,1001</v>
      </c>
      <c r="I910" s="14">
        <f>equip.xml!J914</f>
        <v>10</v>
      </c>
      <c r="J910" s="14">
        <f>equip.xml!K914</f>
        <v>0</v>
      </c>
      <c r="K910" s="14">
        <f>equip.xml!L914</f>
        <v>0</v>
      </c>
      <c r="L910" s="14" t="str">
        <f>equip.xml!M914</f>
        <v>103_6744_6744,104_13489_13489</v>
      </c>
      <c r="M910" s="17" t="str">
        <f>equip.xml!Q914</f>
        <v>equipment/1124.png</v>
      </c>
      <c r="N910" s="16" t="str">
        <f>equip.xml!P914</f>
        <v>10000_1002_70000,30000_30001_1,30000_30002_1,30000_30003_1</v>
      </c>
      <c r="O910">
        <f>equip.xml!R914</f>
        <v>0</v>
      </c>
    </row>
    <row r="911" spans="1:15">
      <c r="A911" s="14">
        <f>equip.xml!A915</f>
        <v>21001051</v>
      </c>
      <c r="B911" s="14">
        <f>equip.xml!B915</f>
        <v>0</v>
      </c>
      <c r="C911" s="14" t="str">
        <f>equip.xml!C915</f>
        <v>灰烬使者</v>
      </c>
      <c r="D911" s="14" t="str">
        <f>equip.xml!D915</f>
        <v>主手武器</v>
      </c>
      <c r="E911" s="14">
        <f>equip.xml!E915</f>
        <v>5</v>
      </c>
      <c r="F911" s="14">
        <f>equip.xml!F915</f>
        <v>2</v>
      </c>
      <c r="G911" s="14">
        <f>equip.xml!G915</f>
        <v>100</v>
      </c>
      <c r="H911" s="14" t="str">
        <f>equip.xml!H915</f>
        <v>1,1001</v>
      </c>
      <c r="I911" s="14">
        <f>equip.xml!J915</f>
        <v>10</v>
      </c>
      <c r="J911" s="14">
        <f>equip.xml!K915</f>
        <v>0</v>
      </c>
      <c r="K911" s="14">
        <f>equip.xml!L915</f>
        <v>0</v>
      </c>
      <c r="L911" s="14" t="str">
        <f>equip.xml!M915</f>
        <v>103_0_0</v>
      </c>
      <c r="M911" s="17" t="str">
        <f>equip.xml!Q915</f>
        <v>equipment/1101.png</v>
      </c>
      <c r="N911" s="16" t="str">
        <f>equip.xml!P915</f>
        <v>10000_1002_70000,30000_30001_1,30000_30002_1,30000_30003_1</v>
      </c>
      <c r="O911">
        <f>equip.xml!R915</f>
        <v>0</v>
      </c>
    </row>
    <row r="912" spans="1:15">
      <c r="A912" s="14">
        <f>equip.xml!A916</f>
        <v>21001060</v>
      </c>
      <c r="B912" s="14">
        <f>equip.xml!B916</f>
        <v>0</v>
      </c>
      <c r="C912" s="14" t="str">
        <f>equip.xml!C916</f>
        <v>叹息之墙</v>
      </c>
      <c r="D912" s="14" t="str">
        <f>equip.xml!D916</f>
        <v>副手武器</v>
      </c>
      <c r="E912" s="14">
        <f>equip.xml!E916</f>
        <v>6</v>
      </c>
      <c r="F912" s="14">
        <f>equip.xml!F916</f>
        <v>2</v>
      </c>
      <c r="G912" s="14">
        <f>equip.xml!G916</f>
        <v>100</v>
      </c>
      <c r="H912" s="14" t="str">
        <f>equip.xml!H916</f>
        <v>1,1001</v>
      </c>
      <c r="I912" s="14">
        <f>equip.xml!J916</f>
        <v>10</v>
      </c>
      <c r="J912" s="14">
        <f>equip.xml!K916</f>
        <v>0</v>
      </c>
      <c r="K912" s="14">
        <f>equip.xml!L916</f>
        <v>0</v>
      </c>
      <c r="L912" s="14" t="str">
        <f>equip.xml!M916</f>
        <v>105_6070_6070</v>
      </c>
      <c r="M912" s="17" t="str">
        <f>equip.xml!Q916</f>
        <v>equipment/2118.png</v>
      </c>
      <c r="N912" s="16" t="str">
        <f>equip.xml!P916</f>
        <v>10000_1002_70000,30000_30001_1,30000_30002_1,30000_30003_1</v>
      </c>
      <c r="O912">
        <f>equip.xml!R916</f>
        <v>0</v>
      </c>
    </row>
    <row r="913" spans="1:15">
      <c r="A913" s="14">
        <f>equip.xml!A917</f>
        <v>21001061</v>
      </c>
      <c r="B913" s="14">
        <f>equip.xml!B917</f>
        <v>0</v>
      </c>
      <c r="C913" s="14" t="str">
        <f>equip.xml!C917</f>
        <v>叹息之墙</v>
      </c>
      <c r="D913" s="14" t="str">
        <f>equip.xml!D917</f>
        <v>副手武器</v>
      </c>
      <c r="E913" s="14">
        <f>equip.xml!E917</f>
        <v>6</v>
      </c>
      <c r="F913" s="14">
        <f>equip.xml!F917</f>
        <v>2</v>
      </c>
      <c r="G913" s="14">
        <f>equip.xml!G917</f>
        <v>100</v>
      </c>
      <c r="H913" s="14" t="str">
        <f>equip.xml!H917</f>
        <v>1,1001</v>
      </c>
      <c r="I913" s="14">
        <f>equip.xml!J917</f>
        <v>10</v>
      </c>
      <c r="J913" s="14">
        <f>equip.xml!K917</f>
        <v>0</v>
      </c>
      <c r="K913" s="14">
        <f>equip.xml!L917</f>
        <v>0</v>
      </c>
      <c r="L913" s="14" t="str">
        <f>equip.xml!M917</f>
        <v>105_0_0</v>
      </c>
      <c r="M913" s="17" t="str">
        <f>equip.xml!Q917</f>
        <v>equipment/2101.png</v>
      </c>
      <c r="N913" s="16" t="str">
        <f>equip.xml!P917</f>
        <v>10000_1002_70000,30000_30001_1,30000_30002_1,30000_30003_1</v>
      </c>
      <c r="O913">
        <f>equip.xml!R917</f>
        <v>0</v>
      </c>
    </row>
    <row r="914" spans="1:15">
      <c r="A914" s="14">
        <f>equip.xml!A918</f>
        <v>21002050</v>
      </c>
      <c r="B914" s="14">
        <f>equip.xml!B918</f>
        <v>0</v>
      </c>
      <c r="C914" s="14" t="str">
        <f>equip.xml!C918</f>
        <v>苍穹怒火</v>
      </c>
      <c r="D914" s="14" t="str">
        <f>equip.xml!D918</f>
        <v>主手武器</v>
      </c>
      <c r="E914" s="14">
        <f>equip.xml!E918</f>
        <v>5</v>
      </c>
      <c r="F914" s="14">
        <f>equip.xml!F918</f>
        <v>2</v>
      </c>
      <c r="G914" s="14">
        <f>equip.xml!G918</f>
        <v>100</v>
      </c>
      <c r="H914" s="14" t="str">
        <f>equip.xml!H918</f>
        <v>2,1002</v>
      </c>
      <c r="I914" s="14">
        <f>equip.xml!J918</f>
        <v>10</v>
      </c>
      <c r="J914" s="14">
        <f>equip.xml!K918</f>
        <v>0</v>
      </c>
      <c r="K914" s="14">
        <f>equip.xml!L918</f>
        <v>0</v>
      </c>
      <c r="L914" s="14" t="str">
        <f>equip.xml!M918</f>
        <v>103_6744_6744,104_13489_13489</v>
      </c>
      <c r="M914" s="17" t="str">
        <f>equip.xml!Q918</f>
        <v>equipment/1222.png</v>
      </c>
      <c r="N914" s="16" t="str">
        <f>equip.xml!P918</f>
        <v>10000_1002_70000,30000_30001_1,30000_30002_1,30000_30003_1</v>
      </c>
      <c r="O914">
        <f>equip.xml!R918</f>
        <v>0</v>
      </c>
    </row>
    <row r="915" spans="1:15">
      <c r="A915" s="14">
        <f>equip.xml!A919</f>
        <v>21002051</v>
      </c>
      <c r="B915" s="14">
        <f>equip.xml!B919</f>
        <v>0</v>
      </c>
      <c r="C915" s="14" t="str">
        <f>equip.xml!C919</f>
        <v>群星之怒</v>
      </c>
      <c r="D915" s="14" t="str">
        <f>equip.xml!D919</f>
        <v>主手武器</v>
      </c>
      <c r="E915" s="14">
        <f>equip.xml!E919</f>
        <v>5</v>
      </c>
      <c r="F915" s="14">
        <f>equip.xml!F919</f>
        <v>2</v>
      </c>
      <c r="G915" s="14">
        <f>equip.xml!G919</f>
        <v>100</v>
      </c>
      <c r="H915" s="14" t="str">
        <f>equip.xml!H919</f>
        <v>2,1002</v>
      </c>
      <c r="I915" s="14">
        <f>equip.xml!J919</f>
        <v>10</v>
      </c>
      <c r="J915" s="14">
        <f>equip.xml!K919</f>
        <v>0</v>
      </c>
      <c r="K915" s="14">
        <f>equip.xml!L919</f>
        <v>0</v>
      </c>
      <c r="L915" s="14" t="str">
        <f>equip.xml!M919</f>
        <v>103_0_0</v>
      </c>
      <c r="M915" s="17" t="str">
        <f>equip.xml!Q919</f>
        <v>equipment/1201.png</v>
      </c>
      <c r="N915" s="16" t="str">
        <f>equip.xml!P919</f>
        <v>10000_1002_70000,30000_30001_1,30000_30002_1,30000_30003_1</v>
      </c>
      <c r="O915">
        <f>equip.xml!R919</f>
        <v>0</v>
      </c>
    </row>
    <row r="916" spans="1:15">
      <c r="A916" s="14">
        <f>equip.xml!A920</f>
        <v>21002060</v>
      </c>
      <c r="B916" s="14">
        <f>equip.xml!B920</f>
        <v>0</v>
      </c>
      <c r="C916" s="14" t="str">
        <f>equip.xml!C920</f>
        <v>天际之矢</v>
      </c>
      <c r="D916" s="14" t="str">
        <f>equip.xml!D920</f>
        <v>副手武器</v>
      </c>
      <c r="E916" s="14">
        <f>equip.xml!E920</f>
        <v>6</v>
      </c>
      <c r="F916" s="14">
        <f>equip.xml!F920</f>
        <v>2</v>
      </c>
      <c r="G916" s="14">
        <f>equip.xml!G920</f>
        <v>100</v>
      </c>
      <c r="H916" s="14" t="str">
        <f>equip.xml!H920</f>
        <v>2,1002</v>
      </c>
      <c r="I916" s="14">
        <f>equip.xml!J920</f>
        <v>10</v>
      </c>
      <c r="J916" s="14">
        <f>equip.xml!K920</f>
        <v>0</v>
      </c>
      <c r="K916" s="14">
        <f>equip.xml!L920</f>
        <v>0</v>
      </c>
      <c r="L916" s="14" t="str">
        <f>equip.xml!M920</f>
        <v>108_6070_6070</v>
      </c>
      <c r="M916" s="17" t="str">
        <f>equip.xml!Q920</f>
        <v>equipment/2218.png</v>
      </c>
      <c r="N916" s="16" t="str">
        <f>equip.xml!P920</f>
        <v>10000_1002_70000,30000_30001_1,30000_30002_1,30000_30003_1</v>
      </c>
      <c r="O916">
        <f>equip.xml!R920</f>
        <v>0</v>
      </c>
    </row>
    <row r="917" spans="1:15">
      <c r="A917" s="14">
        <f>equip.xml!A921</f>
        <v>21002061</v>
      </c>
      <c r="B917" s="14">
        <f>equip.xml!B921</f>
        <v>0</v>
      </c>
      <c r="C917" s="14" t="str">
        <f>equip.xml!C921</f>
        <v>天际之矢</v>
      </c>
      <c r="D917" s="14" t="str">
        <f>equip.xml!D921</f>
        <v>副手武器</v>
      </c>
      <c r="E917" s="14">
        <f>equip.xml!E921</f>
        <v>6</v>
      </c>
      <c r="F917" s="14">
        <f>equip.xml!F921</f>
        <v>2</v>
      </c>
      <c r="G917" s="14">
        <f>equip.xml!G921</f>
        <v>100</v>
      </c>
      <c r="H917" s="14" t="str">
        <f>equip.xml!H921</f>
        <v>2,1002</v>
      </c>
      <c r="I917" s="14">
        <f>equip.xml!J921</f>
        <v>10</v>
      </c>
      <c r="J917" s="14">
        <f>equip.xml!K921</f>
        <v>0</v>
      </c>
      <c r="K917" s="14">
        <f>equip.xml!L921</f>
        <v>0</v>
      </c>
      <c r="L917" s="14" t="str">
        <f>equip.xml!M921</f>
        <v>108_0_0</v>
      </c>
      <c r="M917" s="17" t="str">
        <f>equip.xml!Q921</f>
        <v>equipment/2201.png</v>
      </c>
      <c r="N917" s="16" t="str">
        <f>equip.xml!P921</f>
        <v>10000_1002_70000,30000_30001_1,30000_30002_1,30000_30003_1</v>
      </c>
      <c r="O917">
        <f>equip.xml!R921</f>
        <v>0</v>
      </c>
    </row>
    <row r="918" spans="1:15">
      <c r="A918" s="14">
        <f>equip.xml!A922</f>
        <v>21003050</v>
      </c>
      <c r="B918" s="14">
        <f>equip.xml!B922</f>
        <v>0</v>
      </c>
      <c r="C918" s="14" t="str">
        <f>equip.xml!C922</f>
        <v>混沌终幕</v>
      </c>
      <c r="D918" s="14" t="str">
        <f>equip.xml!D922</f>
        <v>主手武器</v>
      </c>
      <c r="E918" s="14">
        <f>equip.xml!E922</f>
        <v>5</v>
      </c>
      <c r="F918" s="14">
        <f>equip.xml!F922</f>
        <v>2</v>
      </c>
      <c r="G918" s="14">
        <f>equip.xml!G922</f>
        <v>100</v>
      </c>
      <c r="H918" s="14" t="str">
        <f>equip.xml!H922</f>
        <v>3,1003</v>
      </c>
      <c r="I918" s="14">
        <f>equip.xml!J922</f>
        <v>10</v>
      </c>
      <c r="J918" s="14">
        <f>equip.xml!K922</f>
        <v>0</v>
      </c>
      <c r="K918" s="14">
        <f>equip.xml!L922</f>
        <v>0</v>
      </c>
      <c r="L918" s="14" t="str">
        <f>equip.xml!M922</f>
        <v>103_6744_6744,104_13489_13489</v>
      </c>
      <c r="M918" s="17" t="str">
        <f>equip.xml!Q922</f>
        <v>equipment/1324.png</v>
      </c>
      <c r="N918" s="16" t="str">
        <f>equip.xml!P922</f>
        <v>10000_1002_70000,30000_30001_1,30000_30002_1,30000_30003_1</v>
      </c>
      <c r="O918">
        <f>equip.xml!R922</f>
        <v>0</v>
      </c>
    </row>
    <row r="919" spans="1:15">
      <c r="A919" s="14">
        <f>equip.xml!A923</f>
        <v>21003051</v>
      </c>
      <c r="B919" s="14">
        <f>equip.xml!B923</f>
        <v>0</v>
      </c>
      <c r="C919" s="14" t="str">
        <f>equip.xml!C923</f>
        <v>埃提耶什，守护者的传说之杖</v>
      </c>
      <c r="D919" s="14" t="str">
        <f>equip.xml!D923</f>
        <v>主手武器</v>
      </c>
      <c r="E919" s="14">
        <f>equip.xml!E923</f>
        <v>5</v>
      </c>
      <c r="F919" s="14">
        <f>equip.xml!F923</f>
        <v>2</v>
      </c>
      <c r="G919" s="14">
        <f>equip.xml!G923</f>
        <v>100</v>
      </c>
      <c r="H919" s="14" t="str">
        <f>equip.xml!H923</f>
        <v>3,1003</v>
      </c>
      <c r="I919" s="14">
        <f>equip.xml!J923</f>
        <v>10</v>
      </c>
      <c r="J919" s="14">
        <f>equip.xml!K923</f>
        <v>0</v>
      </c>
      <c r="K919" s="14">
        <f>equip.xml!L923</f>
        <v>0</v>
      </c>
      <c r="L919" s="14" t="str">
        <f>equip.xml!M923</f>
        <v>103_0_0</v>
      </c>
      <c r="M919" s="17" t="str">
        <f>equip.xml!Q923</f>
        <v>equipment/1301.png</v>
      </c>
      <c r="N919" s="16" t="str">
        <f>equip.xml!P923</f>
        <v>10000_1002_70000,30000_30001_1,30000_30002_1,30000_30003_1</v>
      </c>
      <c r="O919">
        <f>equip.xml!R923</f>
        <v>0</v>
      </c>
    </row>
    <row r="920" spans="1:15">
      <c r="A920" s="14">
        <f>equip.xml!A924</f>
        <v>21003060</v>
      </c>
      <c r="B920" s="14">
        <f>equip.xml!B924</f>
        <v>0</v>
      </c>
      <c r="C920" s="14" t="str">
        <f>equip.xml!C924</f>
        <v>决战之书</v>
      </c>
      <c r="D920" s="14" t="str">
        <f>equip.xml!D924</f>
        <v>副手武器</v>
      </c>
      <c r="E920" s="14">
        <f>equip.xml!E924</f>
        <v>6</v>
      </c>
      <c r="F920" s="14">
        <f>equip.xml!F924</f>
        <v>2</v>
      </c>
      <c r="G920" s="14">
        <f>equip.xml!G924</f>
        <v>100</v>
      </c>
      <c r="H920" s="14" t="str">
        <f>equip.xml!H924</f>
        <v>3,1003</v>
      </c>
      <c r="I920" s="14">
        <f>equip.xml!J924</f>
        <v>10</v>
      </c>
      <c r="J920" s="14">
        <f>equip.xml!K924</f>
        <v>0</v>
      </c>
      <c r="K920" s="14">
        <f>equip.xml!L924</f>
        <v>0</v>
      </c>
      <c r="L920" s="14" t="str">
        <f>equip.xml!M924</f>
        <v>102_4560_4560</v>
      </c>
      <c r="M920" s="17" t="str">
        <f>equip.xml!Q924</f>
        <v>equipment/2318.png</v>
      </c>
      <c r="N920" s="16" t="str">
        <f>equip.xml!P924</f>
        <v>10000_1002_70000,30000_30001_1,30000_30002_1,30000_30003_1</v>
      </c>
      <c r="O920">
        <f>equip.xml!R924</f>
        <v>0</v>
      </c>
    </row>
    <row r="921" spans="1:15">
      <c r="A921" s="14">
        <f>equip.xml!A925</f>
        <v>21003061</v>
      </c>
      <c r="B921" s="14">
        <f>equip.xml!B925</f>
        <v>0</v>
      </c>
      <c r="C921" s="14" t="str">
        <f>equip.xml!C925</f>
        <v>诸界流声</v>
      </c>
      <c r="D921" s="14" t="str">
        <f>equip.xml!D925</f>
        <v>副手武器</v>
      </c>
      <c r="E921" s="14">
        <f>equip.xml!E925</f>
        <v>6</v>
      </c>
      <c r="F921" s="14">
        <f>equip.xml!F925</f>
        <v>2</v>
      </c>
      <c r="G921" s="14">
        <f>equip.xml!G925</f>
        <v>100</v>
      </c>
      <c r="H921" s="14" t="str">
        <f>equip.xml!H925</f>
        <v>3,1003</v>
      </c>
      <c r="I921" s="14">
        <f>equip.xml!J925</f>
        <v>10</v>
      </c>
      <c r="J921" s="14">
        <f>equip.xml!K925</f>
        <v>0</v>
      </c>
      <c r="K921" s="14">
        <f>equip.xml!L925</f>
        <v>0</v>
      </c>
      <c r="L921" s="14" t="str">
        <f>equip.xml!M925</f>
        <v>102_0_0</v>
      </c>
      <c r="M921" s="17" t="str">
        <f>equip.xml!Q925</f>
        <v>equipment/2301.png</v>
      </c>
      <c r="N921" s="16" t="str">
        <f>equip.xml!P925</f>
        <v>10000_1002_70000,30000_30001_1,30000_30002_1,30000_30003_1</v>
      </c>
      <c r="O921">
        <f>equip.xml!R925</f>
        <v>0</v>
      </c>
    </row>
    <row r="922" spans="1:15">
      <c r="A922" s="14">
        <f>equip.xml!A926</f>
        <v>21000040</v>
      </c>
      <c r="B922" s="14">
        <f>equip.xml!B926</f>
        <v>0</v>
      </c>
      <c r="C922" s="14" t="str">
        <f>equip.xml!C926</f>
        <v>光明圣铠</v>
      </c>
      <c r="D922" s="14" t="str">
        <f>equip.xml!D926</f>
        <v>胸甲</v>
      </c>
      <c r="E922" s="14">
        <f>equip.xml!E926</f>
        <v>4</v>
      </c>
      <c r="F922" s="14">
        <f>equip.xml!F926</f>
        <v>2</v>
      </c>
      <c r="G922" s="14">
        <f>equip.xml!G926</f>
        <v>100</v>
      </c>
      <c r="H922" s="14">
        <f>equip.xml!H926</f>
        <v>0</v>
      </c>
      <c r="I922" s="14">
        <f>equip.xml!J926</f>
        <v>10</v>
      </c>
      <c r="J922" s="14">
        <f>equip.xml!K926</f>
        <v>0</v>
      </c>
      <c r="K922" s="14">
        <f>equip.xml!L926</f>
        <v>0</v>
      </c>
      <c r="L922" s="14" t="str">
        <f>equip.xml!M926</f>
        <v>105_4249_4249</v>
      </c>
      <c r="M922" s="17" t="str">
        <f>equip.xml!Q926</f>
        <v>equipment/5001.png</v>
      </c>
      <c r="N922" s="16" t="str">
        <f>equip.xml!P926</f>
        <v>10000_1002_70000,30000_30001_1,30000_30002_1,30000_30003_1</v>
      </c>
      <c r="O922">
        <f>equip.xml!R926</f>
        <v>0</v>
      </c>
    </row>
    <row r="923" spans="1:15">
      <c r="A923" s="14">
        <f>equip.xml!A927</f>
        <v>21000041</v>
      </c>
      <c r="B923" s="14">
        <f>equip.xml!B927</f>
        <v>0</v>
      </c>
      <c r="C923" s="14" t="str">
        <f>equip.xml!C927</f>
        <v>碎界之铠</v>
      </c>
      <c r="D923" s="14" t="str">
        <f>equip.xml!D927</f>
        <v>胸甲</v>
      </c>
      <c r="E923" s="14">
        <f>equip.xml!E927</f>
        <v>4</v>
      </c>
      <c r="F923" s="14">
        <f>equip.xml!F927</f>
        <v>2</v>
      </c>
      <c r="G923" s="14">
        <f>equip.xml!G927</f>
        <v>100</v>
      </c>
      <c r="H923" s="14">
        <f>equip.xml!H927</f>
        <v>0</v>
      </c>
      <c r="I923" s="14">
        <f>equip.xml!J927</f>
        <v>10</v>
      </c>
      <c r="J923" s="14">
        <f>equip.xml!K927</f>
        <v>0</v>
      </c>
      <c r="K923" s="14">
        <f>equip.xml!L927</f>
        <v>0</v>
      </c>
      <c r="L923" s="14" t="str">
        <f>equip.xml!M927</f>
        <v>105_0_0</v>
      </c>
      <c r="M923" s="17" t="str">
        <f>equip.xml!Q927</f>
        <v>equipment/5001.png</v>
      </c>
      <c r="N923" s="16" t="str">
        <f>equip.xml!P927</f>
        <v>10000_1002_70000,30000_30001_1,30000_30002_1,30000_30003_1</v>
      </c>
      <c r="O923">
        <f>equip.xml!R927</f>
        <v>0</v>
      </c>
    </row>
    <row r="924" spans="1:15">
      <c r="A924" s="14">
        <f>equip.xml!A928</f>
        <v>21000070</v>
      </c>
      <c r="B924" s="14">
        <f>equip.xml!B928</f>
        <v>0</v>
      </c>
      <c r="C924" s="14" t="str">
        <f>equip.xml!C928</f>
        <v>渡魂护腿</v>
      </c>
      <c r="D924" s="14" t="str">
        <f>equip.xml!D928</f>
        <v>护腿</v>
      </c>
      <c r="E924" s="14">
        <f>equip.xml!E928</f>
        <v>7</v>
      </c>
      <c r="F924" s="14">
        <f>equip.xml!F928</f>
        <v>2</v>
      </c>
      <c r="G924" s="14">
        <f>equip.xml!G928</f>
        <v>100</v>
      </c>
      <c r="H924" s="14">
        <f>equip.xml!H928</f>
        <v>0</v>
      </c>
      <c r="I924" s="14">
        <f>equip.xml!J928</f>
        <v>10</v>
      </c>
      <c r="J924" s="14">
        <f>equip.xml!K928</f>
        <v>0</v>
      </c>
      <c r="K924" s="14">
        <f>equip.xml!L928</f>
        <v>0</v>
      </c>
      <c r="L924" s="14" t="str">
        <f>equip.xml!M928</f>
        <v>105_4249_4249</v>
      </c>
      <c r="M924" s="17" t="str">
        <f>equip.xml!Q928</f>
        <v>equipment/7001.png</v>
      </c>
      <c r="N924" s="16" t="str">
        <f>equip.xml!P928</f>
        <v>10000_1002_70000,30000_30001_1,30000_30002_1,30000_30003_1</v>
      </c>
      <c r="O924">
        <f>equip.xml!R928</f>
        <v>0</v>
      </c>
    </row>
    <row r="925" spans="1:15">
      <c r="A925" s="14">
        <f>equip.xml!A929</f>
        <v>21000071</v>
      </c>
      <c r="B925" s="14">
        <f>equip.xml!B929</f>
        <v>0</v>
      </c>
      <c r="C925" s="14" t="str">
        <f>equip.xml!C929</f>
        <v>涅磐腿甲</v>
      </c>
      <c r="D925" s="14" t="str">
        <f>equip.xml!D929</f>
        <v>护腿</v>
      </c>
      <c r="E925" s="14">
        <f>equip.xml!E929</f>
        <v>7</v>
      </c>
      <c r="F925" s="14">
        <f>equip.xml!F929</f>
        <v>2</v>
      </c>
      <c r="G925" s="14">
        <f>equip.xml!G929</f>
        <v>100</v>
      </c>
      <c r="H925" s="14">
        <f>equip.xml!H929</f>
        <v>0</v>
      </c>
      <c r="I925" s="14">
        <f>equip.xml!J929</f>
        <v>10</v>
      </c>
      <c r="J925" s="14">
        <f>equip.xml!K929</f>
        <v>0</v>
      </c>
      <c r="K925" s="14">
        <f>equip.xml!L929</f>
        <v>0</v>
      </c>
      <c r="L925" s="14" t="str">
        <f>equip.xml!M929</f>
        <v>105_0_0</v>
      </c>
      <c r="M925" s="17" t="str">
        <f>equip.xml!Q929</f>
        <v>equipment/7001.png</v>
      </c>
      <c r="N925" s="16" t="str">
        <f>equip.xml!P929</f>
        <v>10000_1002_70000,30000_30001_1,30000_30002_1,30000_30003_1</v>
      </c>
      <c r="O925">
        <f>equip.xml!R929</f>
        <v>0</v>
      </c>
    </row>
    <row r="926" spans="1:15">
      <c r="A926" s="14" t="str">
        <f>equip.xml!A930</f>
        <v>30010010</v>
      </c>
      <c r="B926" s="14">
        <f>equip.xml!B930</f>
        <v>0</v>
      </c>
      <c r="C926" s="14" t="str">
        <f>equip.xml!C930</f>
        <v>纹饰帽</v>
      </c>
      <c r="D926" s="14" t="str">
        <f>equip.xml!D930</f>
        <v>头盔</v>
      </c>
      <c r="E926" s="14">
        <f>equip.xml!E930</f>
        <v>1</v>
      </c>
      <c r="F926" s="14">
        <f>equip.xml!F930</f>
        <v>3</v>
      </c>
      <c r="G926" s="14">
        <f>equip.xml!G930</f>
        <v>1</v>
      </c>
      <c r="H926" s="14">
        <f>equip.xml!H930</f>
        <v>0</v>
      </c>
      <c r="I926" s="14">
        <f>equip.xml!J930</f>
        <v>20</v>
      </c>
      <c r="J926" s="14">
        <f>equip.xml!K930</f>
        <v>0</v>
      </c>
      <c r="K926" s="14">
        <f>equip.xml!L930</f>
        <v>0</v>
      </c>
      <c r="L926" s="14" t="str">
        <f>equip.xml!M930</f>
        <v>106_0_0</v>
      </c>
      <c r="M926" s="17" t="str">
        <f>equip.xml!Q930</f>
        <v>equipment/3001.png</v>
      </c>
      <c r="N926" s="16" t="str">
        <f>equip.xml!P930</f>
        <v>10000_1002_1000,30000_30001_1,30000_30002_1,30000_30003_1</v>
      </c>
      <c r="O926">
        <f>equip.xml!R930</f>
        <v>0</v>
      </c>
    </row>
    <row r="927" spans="1:15">
      <c r="A927" s="14" t="str">
        <f>equip.xml!A931</f>
        <v>30010020</v>
      </c>
      <c r="B927" s="14">
        <f>equip.xml!B931</f>
        <v>0</v>
      </c>
      <c r="C927" s="14" t="str">
        <f>equip.xml!C931</f>
        <v>金戒指</v>
      </c>
      <c r="D927" s="14" t="str">
        <f>equip.xml!D931</f>
        <v>戒指</v>
      </c>
      <c r="E927" s="14">
        <f>equip.xml!E931</f>
        <v>2</v>
      </c>
      <c r="F927" s="14">
        <f>equip.xml!F931</f>
        <v>3</v>
      </c>
      <c r="G927" s="14">
        <f>equip.xml!G931</f>
        <v>1</v>
      </c>
      <c r="H927" s="14">
        <f>equip.xml!H931</f>
        <v>0</v>
      </c>
      <c r="I927" s="14">
        <f>equip.xml!J931</f>
        <v>20</v>
      </c>
      <c r="J927" s="14">
        <f>equip.xml!K931</f>
        <v>0</v>
      </c>
      <c r="K927" s="14">
        <f>equip.xml!L931</f>
        <v>0</v>
      </c>
      <c r="L927" s="14" t="str">
        <f>equip.xml!M931</f>
        <v>102_20_20</v>
      </c>
      <c r="M927" s="17" t="str">
        <f>equip.xml!Q931</f>
        <v>equipment/14001.png</v>
      </c>
      <c r="N927" s="16" t="str">
        <f>equip.xml!P931</f>
        <v>10000_1002_1000,30000_30001_1,30000_30002_1,30000_30003_1</v>
      </c>
      <c r="O927">
        <f>equip.xml!R931</f>
        <v>0</v>
      </c>
    </row>
    <row r="928" spans="1:15">
      <c r="A928" s="14" t="str">
        <f>equip.xml!A932</f>
        <v>30010030</v>
      </c>
      <c r="B928" s="14">
        <f>equip.xml!B932</f>
        <v>0</v>
      </c>
      <c r="C928" s="14" t="str">
        <f>equip.xml!C932</f>
        <v>兽皮腰带</v>
      </c>
      <c r="D928" s="14" t="str">
        <f>equip.xml!D932</f>
        <v>腰带</v>
      </c>
      <c r="E928" s="14">
        <f>equip.xml!E932</f>
        <v>3</v>
      </c>
      <c r="F928" s="14">
        <f>equip.xml!F932</f>
        <v>3</v>
      </c>
      <c r="G928" s="14">
        <f>equip.xml!G932</f>
        <v>1</v>
      </c>
      <c r="H928" s="14">
        <f>equip.xml!H932</f>
        <v>0</v>
      </c>
      <c r="I928" s="14">
        <f>equip.xml!J932</f>
        <v>20</v>
      </c>
      <c r="J928" s="14">
        <f>equip.xml!K932</f>
        <v>0</v>
      </c>
      <c r="K928" s="14">
        <f>equip.xml!L932</f>
        <v>0</v>
      </c>
      <c r="L928" s="14" t="str">
        <f>equip.xml!M932</f>
        <v>101_100_100</v>
      </c>
      <c r="M928" s="17" t="str">
        <f>equip.xml!Q932</f>
        <v>equipment/6001.png</v>
      </c>
      <c r="N928" s="16" t="str">
        <f>equip.xml!P932</f>
        <v>10000_1002_1000,30000_30001_1,30000_30002_1,30000_30003_1</v>
      </c>
      <c r="O928">
        <f>equip.xml!R932</f>
        <v>0</v>
      </c>
    </row>
    <row r="929" spans="1:15">
      <c r="A929" s="14" t="str">
        <f>equip.xml!A933</f>
        <v>30010080</v>
      </c>
      <c r="B929" s="14">
        <f>equip.xml!B933</f>
        <v>1</v>
      </c>
      <c r="C929" s="14" t="str">
        <f>equip.xml!C933</f>
        <v>皮靴</v>
      </c>
      <c r="D929" s="14" t="str">
        <f>equip.xml!D933</f>
        <v>鞋子</v>
      </c>
      <c r="E929" s="14">
        <f>equip.xml!E933</f>
        <v>8</v>
      </c>
      <c r="F929" s="14">
        <f>equip.xml!F933</f>
        <v>3</v>
      </c>
      <c r="G929" s="14">
        <f>equip.xml!G933</f>
        <v>1</v>
      </c>
      <c r="H929" s="14">
        <f>equip.xml!H933</f>
        <v>0</v>
      </c>
      <c r="I929" s="14">
        <f>equip.xml!J933</f>
        <v>20</v>
      </c>
      <c r="J929" s="14">
        <f>equip.xml!K933</f>
        <v>0</v>
      </c>
      <c r="K929" s="14">
        <f>equip.xml!L933</f>
        <v>0</v>
      </c>
      <c r="L929" s="14" t="str">
        <f>equip.xml!M933</f>
        <v>110_4_4</v>
      </c>
      <c r="M929" s="17" t="str">
        <f>equip.xml!Q933</f>
        <v>equipment/8001.png</v>
      </c>
      <c r="N929" s="16" t="str">
        <f>equip.xml!P933</f>
        <v>10000_1002_1000,30000_30001_1,30000_30002_1,30000_30003_1</v>
      </c>
      <c r="O929">
        <f>equip.xml!R933</f>
        <v>0</v>
      </c>
    </row>
    <row r="930" spans="1:15">
      <c r="A930" s="14" t="str">
        <f>equip.xml!A934</f>
        <v>30010090</v>
      </c>
      <c r="B930" s="14">
        <f>equip.xml!B934</f>
        <v>1</v>
      </c>
      <c r="C930" s="14" t="str">
        <f>equip.xml!C934</f>
        <v>轻布手套</v>
      </c>
      <c r="D930" s="14" t="str">
        <f>equip.xml!D934</f>
        <v>手套</v>
      </c>
      <c r="E930" s="14">
        <f>equip.xml!E934</f>
        <v>9</v>
      </c>
      <c r="F930" s="14">
        <f>equip.xml!F934</f>
        <v>3</v>
      </c>
      <c r="G930" s="14">
        <f>equip.xml!G934</f>
        <v>1</v>
      </c>
      <c r="H930" s="14">
        <f>equip.xml!H934</f>
        <v>0</v>
      </c>
      <c r="I930" s="14">
        <f>equip.xml!J934</f>
        <v>20</v>
      </c>
      <c r="J930" s="14">
        <f>equip.xml!K934</f>
        <v>0</v>
      </c>
      <c r="K930" s="14">
        <f>equip.xml!L934</f>
        <v>0</v>
      </c>
      <c r="L930" s="14" t="str">
        <f>equip.xml!M934</f>
        <v>108_9_9</v>
      </c>
      <c r="M930" s="17" t="str">
        <f>equip.xml!Q934</f>
        <v>equipment/10001.png</v>
      </c>
      <c r="N930" s="16" t="str">
        <f>equip.xml!P934</f>
        <v>10000_1002_1000,30000_30001_1,30000_30002_1,30000_30003_1</v>
      </c>
      <c r="O930">
        <f>equip.xml!R934</f>
        <v>0</v>
      </c>
    </row>
    <row r="931" spans="1:15">
      <c r="A931" s="14" t="str">
        <f>equip.xml!A935</f>
        <v>30010100</v>
      </c>
      <c r="B931" s="14">
        <f>equip.xml!B935</f>
        <v>0</v>
      </c>
      <c r="C931" s="14" t="str">
        <f>equip.xml!C935</f>
        <v>贝壳项链</v>
      </c>
      <c r="D931" s="14" t="str">
        <f>equip.xml!D935</f>
        <v>项链</v>
      </c>
      <c r="E931" s="14">
        <f>equip.xml!E935</f>
        <v>10</v>
      </c>
      <c r="F931" s="14">
        <f>equip.xml!F935</f>
        <v>3</v>
      </c>
      <c r="G931" s="14">
        <f>equip.xml!G935</f>
        <v>1</v>
      </c>
      <c r="H931" s="14">
        <f>equip.xml!H935</f>
        <v>0</v>
      </c>
      <c r="I931" s="14">
        <f>equip.xml!J935</f>
        <v>20</v>
      </c>
      <c r="J931" s="14">
        <f>equip.xml!K935</f>
        <v>0</v>
      </c>
      <c r="K931" s="14">
        <f>equip.xml!L935</f>
        <v>0</v>
      </c>
      <c r="L931" s="14" t="str">
        <f>equip.xml!M935</f>
        <v>107_0_0</v>
      </c>
      <c r="M931" s="17" t="str">
        <f>equip.xml!Q935</f>
        <v>equipment/12001.png</v>
      </c>
      <c r="N931" s="16" t="str">
        <f>equip.xml!P935</f>
        <v>10000_1002_1000,30000_30001_1,30000_30002_1,30000_30003_1</v>
      </c>
      <c r="O931">
        <f>equip.xml!R935</f>
        <v>0</v>
      </c>
    </row>
    <row r="932" spans="1:15">
      <c r="A932" s="14" t="str">
        <f>equip.xml!A936</f>
        <v>30011050</v>
      </c>
      <c r="B932" s="14">
        <f>equip.xml!B936</f>
        <v>1</v>
      </c>
      <c r="C932" s="14" t="str">
        <f>equip.xml!C936</f>
        <v>短剑</v>
      </c>
      <c r="D932" s="14" t="str">
        <f>equip.xml!D936</f>
        <v>主手武器</v>
      </c>
      <c r="E932" s="14">
        <f>equip.xml!E936</f>
        <v>5</v>
      </c>
      <c r="F932" s="14">
        <f>equip.xml!F936</f>
        <v>3</v>
      </c>
      <c r="G932" s="14">
        <f>equip.xml!G936</f>
        <v>1</v>
      </c>
      <c r="H932" s="14" t="str">
        <f>equip.xml!H936</f>
        <v>1,1001</v>
      </c>
      <c r="I932" s="14">
        <f>equip.xml!J936</f>
        <v>20</v>
      </c>
      <c r="J932" s="14">
        <f>equip.xml!K936</f>
        <v>0</v>
      </c>
      <c r="K932" s="14">
        <f>equip.xml!L936</f>
        <v>0</v>
      </c>
      <c r="L932" s="14" t="str">
        <f>equip.xml!M936</f>
        <v>103_2_2,104_6_6</v>
      </c>
      <c r="M932" s="17" t="str">
        <f>equip.xml!Q936</f>
        <v>equipment/1101.png</v>
      </c>
      <c r="N932" s="16" t="str">
        <f>equip.xml!P936</f>
        <v>10000_1002_1000,30000_30001_1,30000_30002_1,30000_30003_1</v>
      </c>
      <c r="O932">
        <f>equip.xml!R936</f>
        <v>0</v>
      </c>
    </row>
    <row r="933" spans="1:15">
      <c r="A933" s="14" t="str">
        <f>equip.xml!A937</f>
        <v>30011051</v>
      </c>
      <c r="B933" s="14">
        <f>equip.xml!B937</f>
        <v>1</v>
      </c>
      <c r="C933" s="14" t="str">
        <f>equip.xml!C937</f>
        <v>军刀</v>
      </c>
      <c r="D933" s="14" t="str">
        <f>equip.xml!D937</f>
        <v>主手武器</v>
      </c>
      <c r="E933" s="14">
        <f>equip.xml!E937</f>
        <v>5</v>
      </c>
      <c r="F933" s="14">
        <f>equip.xml!F937</f>
        <v>3</v>
      </c>
      <c r="G933" s="14">
        <f>equip.xml!G937</f>
        <v>1</v>
      </c>
      <c r="H933" s="14" t="str">
        <f>equip.xml!H937</f>
        <v>1,1001</v>
      </c>
      <c r="I933" s="14">
        <f>equip.xml!J937</f>
        <v>20</v>
      </c>
      <c r="J933" s="14">
        <f>equip.xml!K937</f>
        <v>0</v>
      </c>
      <c r="K933" s="14">
        <f>equip.xml!L937</f>
        <v>0</v>
      </c>
      <c r="L933" s="14" t="str">
        <f>equip.xml!M937</f>
        <v>103_5_5,104_12_12</v>
      </c>
      <c r="M933" s="17" t="str">
        <f>equip.xml!Q937</f>
        <v>equipment/1102.png</v>
      </c>
      <c r="N933" s="16" t="str">
        <f>equip.xml!P937</f>
        <v>10000_1002_1000,30000_30001_1,30000_30002_1,30000_30003_1</v>
      </c>
      <c r="O933">
        <f>equip.xml!R937</f>
        <v>0</v>
      </c>
    </row>
    <row r="934" spans="1:15">
      <c r="A934" s="14" t="str">
        <f>equip.xml!A938</f>
        <v>30011060</v>
      </c>
      <c r="B934" s="14">
        <f>equip.xml!B938</f>
        <v>1</v>
      </c>
      <c r="C934" s="14" t="str">
        <f>equip.xml!C938</f>
        <v>小圆盾</v>
      </c>
      <c r="D934" s="14" t="str">
        <f>equip.xml!D938</f>
        <v>副手武器</v>
      </c>
      <c r="E934" s="14">
        <f>equip.xml!E938</f>
        <v>6</v>
      </c>
      <c r="F934" s="14">
        <f>equip.xml!F938</f>
        <v>3</v>
      </c>
      <c r="G934" s="14">
        <f>equip.xml!G938</f>
        <v>1</v>
      </c>
      <c r="H934" s="14" t="str">
        <f>equip.xml!H938</f>
        <v>1,1001</v>
      </c>
      <c r="I934" s="14">
        <f>equip.xml!J938</f>
        <v>20</v>
      </c>
      <c r="J934" s="14">
        <f>equip.xml!K938</f>
        <v>0</v>
      </c>
      <c r="K934" s="14">
        <f>equip.xml!L938</f>
        <v>0</v>
      </c>
      <c r="L934" s="14" t="str">
        <f>equip.xml!M938</f>
        <v>105_4_4</v>
      </c>
      <c r="M934" s="17" t="str">
        <f>equip.xml!Q938</f>
        <v>equipment/2101.png</v>
      </c>
      <c r="N934" s="16" t="str">
        <f>equip.xml!P938</f>
        <v>10000_1002_1000,30000_30001_1,30000_30002_1,30000_30003_1</v>
      </c>
      <c r="O934">
        <f>equip.xml!R938</f>
        <v>0</v>
      </c>
    </row>
    <row r="935" spans="1:15">
      <c r="A935" s="14" t="str">
        <f>equip.xml!A939</f>
        <v>30011061</v>
      </c>
      <c r="B935" s="14">
        <f>equip.xml!B939</f>
        <v>0</v>
      </c>
      <c r="C935" s="14" t="str">
        <f>equip.xml!C939</f>
        <v>尖头盾</v>
      </c>
      <c r="D935" s="14" t="str">
        <f>equip.xml!D939</f>
        <v>副手武器</v>
      </c>
      <c r="E935" s="14">
        <f>equip.xml!E939</f>
        <v>6</v>
      </c>
      <c r="F935" s="14">
        <f>equip.xml!F939</f>
        <v>3</v>
      </c>
      <c r="G935" s="14">
        <f>equip.xml!G939</f>
        <v>1</v>
      </c>
      <c r="H935" s="14" t="str">
        <f>equip.xml!H939</f>
        <v>1,1001</v>
      </c>
      <c r="I935" s="14">
        <f>equip.xml!J939</f>
        <v>20</v>
      </c>
      <c r="J935" s="14">
        <f>equip.xml!K939</f>
        <v>0</v>
      </c>
      <c r="K935" s="14">
        <f>equip.xml!L939</f>
        <v>0</v>
      </c>
      <c r="L935" s="14" t="str">
        <f>equip.xml!M939</f>
        <v>105_7_7</v>
      </c>
      <c r="M935" s="17" t="str">
        <f>equip.xml!Q939</f>
        <v>equipment/2101.png</v>
      </c>
      <c r="N935" s="16" t="str">
        <f>equip.xml!P939</f>
        <v>10000_1002_1000,30000_30001_1,30000_30002_1,30000_30003_1</v>
      </c>
      <c r="O935">
        <f>equip.xml!R939</f>
        <v>0</v>
      </c>
    </row>
    <row r="936" spans="1:15">
      <c r="A936" s="14" t="str">
        <f>equip.xml!A940</f>
        <v>30012050</v>
      </c>
      <c r="B936" s="14">
        <f>equip.xml!B940</f>
        <v>1</v>
      </c>
      <c r="C936" s="14" t="str">
        <f>equip.xml!C940</f>
        <v>短弓</v>
      </c>
      <c r="D936" s="14" t="str">
        <f>equip.xml!D940</f>
        <v>主手武器</v>
      </c>
      <c r="E936" s="14">
        <f>equip.xml!E940</f>
        <v>5</v>
      </c>
      <c r="F936" s="14">
        <f>equip.xml!F940</f>
        <v>3</v>
      </c>
      <c r="G936" s="14">
        <f>equip.xml!G940</f>
        <v>1</v>
      </c>
      <c r="H936" s="14" t="str">
        <f>equip.xml!H940</f>
        <v>2,1002</v>
      </c>
      <c r="I936" s="14">
        <f>equip.xml!J940</f>
        <v>20</v>
      </c>
      <c r="J936" s="14">
        <f>equip.xml!K940</f>
        <v>0</v>
      </c>
      <c r="K936" s="14">
        <f>equip.xml!L940</f>
        <v>0</v>
      </c>
      <c r="L936" s="14" t="str">
        <f>equip.xml!M940</f>
        <v>103_2_2,104_6_6</v>
      </c>
      <c r="M936" s="17" t="str">
        <f>equip.xml!Q940</f>
        <v>equipment/1201.png</v>
      </c>
      <c r="N936" s="16" t="str">
        <f>equip.xml!P940</f>
        <v>10000_1002_1000,30000_30001_1,30000_30002_1,30000_30003_1</v>
      </c>
      <c r="O936">
        <f>equip.xml!R940</f>
        <v>0</v>
      </c>
    </row>
    <row r="937" spans="1:15">
      <c r="A937" s="14" t="str">
        <f>equip.xml!A941</f>
        <v>30012051</v>
      </c>
      <c r="B937" s="14">
        <f>equip.xml!B941</f>
        <v>1</v>
      </c>
      <c r="C937" s="14" t="str">
        <f>equip.xml!C941</f>
        <v>棘木弓</v>
      </c>
      <c r="D937" s="14" t="str">
        <f>equip.xml!D941</f>
        <v>主手武器</v>
      </c>
      <c r="E937" s="14">
        <f>equip.xml!E941</f>
        <v>5</v>
      </c>
      <c r="F937" s="14">
        <f>equip.xml!F941</f>
        <v>3</v>
      </c>
      <c r="G937" s="14">
        <f>equip.xml!G941</f>
        <v>1</v>
      </c>
      <c r="H937" s="14" t="str">
        <f>equip.xml!H941</f>
        <v>2,1002</v>
      </c>
      <c r="I937" s="14">
        <f>equip.xml!J941</f>
        <v>20</v>
      </c>
      <c r="J937" s="14">
        <f>equip.xml!K941</f>
        <v>0</v>
      </c>
      <c r="K937" s="14">
        <f>equip.xml!L941</f>
        <v>0</v>
      </c>
      <c r="L937" s="14" t="str">
        <f>equip.xml!M941</f>
        <v>103_5_5,104_12_12</v>
      </c>
      <c r="M937" s="17" t="str">
        <f>equip.xml!Q941</f>
        <v>equipment/1202.png</v>
      </c>
      <c r="N937" s="16" t="str">
        <f>equip.xml!P941</f>
        <v>10000_1002_1000,30000_30001_1,30000_30002_1,30000_30003_1</v>
      </c>
      <c r="O937">
        <f>equip.xml!R941</f>
        <v>0</v>
      </c>
    </row>
    <row r="938" spans="1:15">
      <c r="A938" s="14" t="str">
        <f>equip.xml!A942</f>
        <v>30012060</v>
      </c>
      <c r="B938" s="14">
        <f>equip.xml!B942</f>
        <v>1</v>
      </c>
      <c r="C938" s="14" t="str">
        <f>equip.xml!C942</f>
        <v>小箭筒</v>
      </c>
      <c r="D938" s="14" t="str">
        <f>equip.xml!D942</f>
        <v>副手武器</v>
      </c>
      <c r="E938" s="14">
        <f>equip.xml!E942</f>
        <v>6</v>
      </c>
      <c r="F938" s="14">
        <f>equip.xml!F942</f>
        <v>3</v>
      </c>
      <c r="G938" s="14">
        <f>equip.xml!G942</f>
        <v>1</v>
      </c>
      <c r="H938" s="14" t="str">
        <f>equip.xml!H942</f>
        <v>2,1002</v>
      </c>
      <c r="I938" s="14">
        <f>equip.xml!J942</f>
        <v>20</v>
      </c>
      <c r="J938" s="14">
        <f>equip.xml!K942</f>
        <v>0</v>
      </c>
      <c r="K938" s="14">
        <f>equip.xml!L942</f>
        <v>0</v>
      </c>
      <c r="L938" s="14" t="str">
        <f>equip.xml!M942</f>
        <v>108_4_4</v>
      </c>
      <c r="M938" s="17" t="str">
        <f>equip.xml!Q942</f>
        <v>equipment/2201.png</v>
      </c>
      <c r="N938" s="16" t="str">
        <f>equip.xml!P942</f>
        <v>10000_1002_1000,30000_30001_1,30000_30002_1,30000_30003_1</v>
      </c>
      <c r="O938">
        <f>equip.xml!R942</f>
        <v>0</v>
      </c>
    </row>
    <row r="939" spans="1:15">
      <c r="A939" s="14" t="str">
        <f>equip.xml!A943</f>
        <v>30012061</v>
      </c>
      <c r="B939" s="14">
        <f>equip.xml!B943</f>
        <v>0</v>
      </c>
      <c r="C939" s="14" t="str">
        <f>equip.xml!C943</f>
        <v>箭筒</v>
      </c>
      <c r="D939" s="14" t="str">
        <f>equip.xml!D943</f>
        <v>副手武器</v>
      </c>
      <c r="E939" s="14">
        <f>equip.xml!E943</f>
        <v>6</v>
      </c>
      <c r="F939" s="14">
        <f>equip.xml!F943</f>
        <v>3</v>
      </c>
      <c r="G939" s="14">
        <f>equip.xml!G943</f>
        <v>1</v>
      </c>
      <c r="H939" s="14" t="str">
        <f>equip.xml!H943</f>
        <v>2,1002</v>
      </c>
      <c r="I939" s="14">
        <f>equip.xml!J943</f>
        <v>20</v>
      </c>
      <c r="J939" s="14">
        <f>equip.xml!K943</f>
        <v>0</v>
      </c>
      <c r="K939" s="14">
        <f>equip.xml!L943</f>
        <v>0</v>
      </c>
      <c r="L939" s="14" t="str">
        <f>equip.xml!M943</f>
        <v>108_7_7</v>
      </c>
      <c r="M939" s="17" t="str">
        <f>equip.xml!Q943</f>
        <v>equipment/2201.png</v>
      </c>
      <c r="N939" s="16" t="str">
        <f>equip.xml!P943</f>
        <v>10000_1002_1000,30000_30001_1,30000_30002_1,30000_30003_1</v>
      </c>
      <c r="O939">
        <f>equip.xml!R943</f>
        <v>0</v>
      </c>
    </row>
    <row r="940" spans="1:15">
      <c r="A940" s="14" t="str">
        <f>equip.xml!A944</f>
        <v>30013050</v>
      </c>
      <c r="B940" s="14">
        <f>equip.xml!B944</f>
        <v>1</v>
      </c>
      <c r="C940" s="14" t="str">
        <f>equip.xml!C944</f>
        <v>训练用杖</v>
      </c>
      <c r="D940" s="14" t="str">
        <f>equip.xml!D944</f>
        <v>主手武器</v>
      </c>
      <c r="E940" s="14">
        <f>equip.xml!E944</f>
        <v>5</v>
      </c>
      <c r="F940" s="14">
        <f>equip.xml!F944</f>
        <v>3</v>
      </c>
      <c r="G940" s="14">
        <f>equip.xml!G944</f>
        <v>1</v>
      </c>
      <c r="H940" s="14" t="str">
        <f>equip.xml!H944</f>
        <v>3,1003</v>
      </c>
      <c r="I940" s="14">
        <f>equip.xml!J944</f>
        <v>20</v>
      </c>
      <c r="J940" s="14">
        <f>equip.xml!K944</f>
        <v>0</v>
      </c>
      <c r="K940" s="14">
        <f>equip.xml!L944</f>
        <v>0</v>
      </c>
      <c r="L940" s="14" t="str">
        <f>equip.xml!M944</f>
        <v>103_2_2,104_6_6</v>
      </c>
      <c r="M940" s="17" t="str">
        <f>equip.xml!Q944</f>
        <v>equipment/1301.png</v>
      </c>
      <c r="N940" s="16" t="str">
        <f>equip.xml!P944</f>
        <v>10000_1002_1000,30000_30001_1,30000_30002_1,30000_30003_1</v>
      </c>
      <c r="O940">
        <f>equip.xml!R944</f>
        <v>0</v>
      </c>
    </row>
    <row r="941" spans="1:15">
      <c r="A941" s="14" t="str">
        <f>equip.xml!A945</f>
        <v>30013051</v>
      </c>
      <c r="B941" s="14">
        <f>equip.xml!B945</f>
        <v>1</v>
      </c>
      <c r="C941" s="14" t="str">
        <f>equip.xml!C945</f>
        <v>学徒法杖</v>
      </c>
      <c r="D941" s="14" t="str">
        <f>equip.xml!D945</f>
        <v>主手武器</v>
      </c>
      <c r="E941" s="14">
        <f>equip.xml!E945</f>
        <v>5</v>
      </c>
      <c r="F941" s="14">
        <f>equip.xml!F945</f>
        <v>3</v>
      </c>
      <c r="G941" s="14">
        <f>equip.xml!G945</f>
        <v>1</v>
      </c>
      <c r="H941" s="14" t="str">
        <f>equip.xml!H945</f>
        <v>3,1003</v>
      </c>
      <c r="I941" s="14">
        <f>equip.xml!J945</f>
        <v>20</v>
      </c>
      <c r="J941" s="14">
        <f>equip.xml!K945</f>
        <v>0</v>
      </c>
      <c r="K941" s="14">
        <f>equip.xml!L945</f>
        <v>0</v>
      </c>
      <c r="L941" s="14" t="str">
        <f>equip.xml!M945</f>
        <v>103_5_5,104_12_12</v>
      </c>
      <c r="M941" s="17" t="str">
        <f>equip.xml!Q945</f>
        <v>equipment/1302.png</v>
      </c>
      <c r="N941" s="16" t="str">
        <f>equip.xml!P945</f>
        <v>10000_1002_1000,30000_30001_1,30000_30002_1,30000_30003_1</v>
      </c>
      <c r="O941">
        <f>equip.xml!R945</f>
        <v>0</v>
      </c>
    </row>
    <row r="942" spans="1:15">
      <c r="A942" s="14" t="str">
        <f>equip.xml!A946</f>
        <v>30013060</v>
      </c>
      <c r="B942" s="14">
        <f>equip.xml!B946</f>
        <v>1</v>
      </c>
      <c r="C942" s="14" t="str">
        <f>equip.xml!C946</f>
        <v>学徒手册</v>
      </c>
      <c r="D942" s="14" t="str">
        <f>equip.xml!D946</f>
        <v>副手武器</v>
      </c>
      <c r="E942" s="14">
        <f>equip.xml!E946</f>
        <v>6</v>
      </c>
      <c r="F942" s="14">
        <f>equip.xml!F946</f>
        <v>3</v>
      </c>
      <c r="G942" s="14">
        <f>equip.xml!G946</f>
        <v>1</v>
      </c>
      <c r="H942" s="14" t="str">
        <f>equip.xml!H946</f>
        <v>3,1003</v>
      </c>
      <c r="I942" s="14">
        <f>equip.xml!J946</f>
        <v>20</v>
      </c>
      <c r="J942" s="14">
        <f>equip.xml!K946</f>
        <v>0</v>
      </c>
      <c r="K942" s="14">
        <f>equip.xml!L946</f>
        <v>0</v>
      </c>
      <c r="L942" s="14" t="str">
        <f>equip.xml!M946</f>
        <v>102_30_30</v>
      </c>
      <c r="M942" s="17" t="str">
        <f>equip.xml!Q946</f>
        <v>equipment/2301.png</v>
      </c>
      <c r="N942" s="16" t="str">
        <f>equip.xml!P946</f>
        <v>10000_1002_1000,30000_30001_1,30000_30002_1,30000_30003_1</v>
      </c>
      <c r="O942">
        <f>equip.xml!R946</f>
        <v>0</v>
      </c>
    </row>
    <row r="943" spans="1:15">
      <c r="A943" s="14" t="str">
        <f>equip.xml!A947</f>
        <v>30013061</v>
      </c>
      <c r="B943" s="14">
        <f>equip.xml!B947</f>
        <v>0</v>
      </c>
      <c r="C943" s="14" t="str">
        <f>equip.xml!C947</f>
        <v>法术指南</v>
      </c>
      <c r="D943" s="14" t="str">
        <f>equip.xml!D947</f>
        <v>副手武器</v>
      </c>
      <c r="E943" s="14">
        <f>equip.xml!E947</f>
        <v>6</v>
      </c>
      <c r="F943" s="14">
        <f>equip.xml!F947</f>
        <v>3</v>
      </c>
      <c r="G943" s="14">
        <f>equip.xml!G947</f>
        <v>1</v>
      </c>
      <c r="H943" s="14" t="str">
        <f>equip.xml!H947</f>
        <v>3,1003</v>
      </c>
      <c r="I943" s="14">
        <f>equip.xml!J947</f>
        <v>20</v>
      </c>
      <c r="J943" s="14">
        <f>equip.xml!K947</f>
        <v>0</v>
      </c>
      <c r="K943" s="14">
        <f>equip.xml!L947</f>
        <v>0</v>
      </c>
      <c r="L943" s="14" t="str">
        <f>equip.xml!M947</f>
        <v>102_7_7</v>
      </c>
      <c r="M943" s="17" t="str">
        <f>equip.xml!Q947</f>
        <v>equipment/2301.png</v>
      </c>
      <c r="N943" s="16" t="str">
        <f>equip.xml!P947</f>
        <v>10000_1002_1000,30000_30001_1,30000_30002_1,30000_30003_1</v>
      </c>
      <c r="O943">
        <f>equip.xml!R947</f>
        <v>0</v>
      </c>
    </row>
    <row r="944" spans="1:15">
      <c r="A944" s="14" t="str">
        <f>equip.xml!A948</f>
        <v>30010040</v>
      </c>
      <c r="B944" s="14">
        <f>equip.xml!B948</f>
        <v>1</v>
      </c>
      <c r="C944" s="14" t="str">
        <f>equip.xml!C948</f>
        <v>新兵外套</v>
      </c>
      <c r="D944" s="14" t="str">
        <f>equip.xml!D948</f>
        <v>胸甲</v>
      </c>
      <c r="E944" s="14">
        <f>equip.xml!E948</f>
        <v>4</v>
      </c>
      <c r="F944" s="14">
        <f>equip.xml!F948</f>
        <v>3</v>
      </c>
      <c r="G944" s="14">
        <f>equip.xml!G948</f>
        <v>1</v>
      </c>
      <c r="H944" s="14">
        <f>equip.xml!H948</f>
        <v>0</v>
      </c>
      <c r="I944" s="14">
        <f>equip.xml!J948</f>
        <v>20</v>
      </c>
      <c r="J944" s="14">
        <f>equip.xml!K948</f>
        <v>0</v>
      </c>
      <c r="K944" s="14">
        <f>equip.xml!L948</f>
        <v>0</v>
      </c>
      <c r="L944" s="14" t="str">
        <f>equip.xml!M948</f>
        <v>105_3_3</v>
      </c>
      <c r="M944" s="17" t="str">
        <f>equip.xml!Q948</f>
        <v>equipment/5001.png</v>
      </c>
      <c r="N944" s="16" t="str">
        <f>equip.xml!P948</f>
        <v>10000_1002_1000,30000_30001_1,30000_30002_1,30000_30003_1</v>
      </c>
      <c r="O944">
        <f>equip.xml!R948</f>
        <v>0</v>
      </c>
    </row>
    <row r="945" spans="1:15">
      <c r="A945" s="14" t="str">
        <f>equip.xml!A949</f>
        <v>30010041</v>
      </c>
      <c r="B945" s="14">
        <f>equip.xml!B949</f>
        <v>0</v>
      </c>
      <c r="C945" s="14" t="str">
        <f>equip.xml!C949</f>
        <v>新兵外套</v>
      </c>
      <c r="D945" s="14" t="str">
        <f>equip.xml!D949</f>
        <v>胸甲</v>
      </c>
      <c r="E945" s="14">
        <f>equip.xml!E949</f>
        <v>4</v>
      </c>
      <c r="F945" s="14">
        <f>equip.xml!F949</f>
        <v>3</v>
      </c>
      <c r="G945" s="14">
        <f>equip.xml!G949</f>
        <v>1</v>
      </c>
      <c r="H945" s="14">
        <f>equip.xml!H949</f>
        <v>0</v>
      </c>
      <c r="I945" s="14">
        <f>equip.xml!J949</f>
        <v>20</v>
      </c>
      <c r="J945" s="14">
        <f>equip.xml!K949</f>
        <v>0</v>
      </c>
      <c r="K945" s="14">
        <f>equip.xml!L949</f>
        <v>0</v>
      </c>
      <c r="L945" s="14" t="str">
        <f>equip.xml!M949</f>
        <v>105_5_5</v>
      </c>
      <c r="M945" s="17" t="str">
        <f>equip.xml!Q949</f>
        <v>equipment/5001.png</v>
      </c>
      <c r="N945" s="16" t="str">
        <f>equip.xml!P949</f>
        <v>10000_1002_1000,30000_30001_1,30000_30002_1,30000_30003_1</v>
      </c>
      <c r="O945">
        <f>equip.xml!R949</f>
        <v>0</v>
      </c>
    </row>
    <row r="946" spans="1:15">
      <c r="A946" s="14" t="str">
        <f>equip.xml!A950</f>
        <v>30010070</v>
      </c>
      <c r="B946" s="14">
        <f>equip.xml!B950</f>
        <v>0</v>
      </c>
      <c r="C946" s="14" t="str">
        <f>equip.xml!C950</f>
        <v>皮甲短裤</v>
      </c>
      <c r="D946" s="14" t="str">
        <f>equip.xml!D950</f>
        <v>护腿</v>
      </c>
      <c r="E946" s="14">
        <f>equip.xml!E950</f>
        <v>7</v>
      </c>
      <c r="F946" s="14">
        <f>equip.xml!F950</f>
        <v>3</v>
      </c>
      <c r="G946" s="14">
        <f>equip.xml!G950</f>
        <v>1</v>
      </c>
      <c r="H946" s="14">
        <f>equip.xml!H950</f>
        <v>0</v>
      </c>
      <c r="I946" s="14">
        <f>equip.xml!J950</f>
        <v>20</v>
      </c>
      <c r="J946" s="14">
        <f>equip.xml!K950</f>
        <v>0</v>
      </c>
      <c r="K946" s="14">
        <f>equip.xml!L950</f>
        <v>0</v>
      </c>
      <c r="L946" s="14" t="str">
        <f>equip.xml!M950</f>
        <v>105_0_0</v>
      </c>
      <c r="M946" s="17" t="str">
        <f>equip.xml!Q950</f>
        <v>equipment/7001.png</v>
      </c>
      <c r="N946" s="16" t="str">
        <f>equip.xml!P950</f>
        <v>10000_1002_1000,30000_30001_1,30000_30002_1,30000_30003_1</v>
      </c>
      <c r="O946">
        <f>equip.xml!R950</f>
        <v>0</v>
      </c>
    </row>
    <row r="947" spans="1:15">
      <c r="A947" s="14" t="str">
        <f>equip.xml!A951</f>
        <v>30010071</v>
      </c>
      <c r="B947" s="14">
        <f>equip.xml!B951</f>
        <v>0</v>
      </c>
      <c r="C947" s="14" t="str">
        <f>equip.xml!C951</f>
        <v>学徒短裤</v>
      </c>
      <c r="D947" s="14" t="str">
        <f>equip.xml!D951</f>
        <v>护腿</v>
      </c>
      <c r="E947" s="14">
        <f>equip.xml!E951</f>
        <v>7</v>
      </c>
      <c r="F947" s="14">
        <f>equip.xml!F951</f>
        <v>3</v>
      </c>
      <c r="G947" s="14">
        <f>equip.xml!G951</f>
        <v>1</v>
      </c>
      <c r="H947" s="14">
        <f>equip.xml!H951</f>
        <v>0</v>
      </c>
      <c r="I947" s="14">
        <f>equip.xml!J951</f>
        <v>20</v>
      </c>
      <c r="J947" s="14">
        <f>equip.xml!K951</f>
        <v>0</v>
      </c>
      <c r="K947" s="14">
        <f>equip.xml!L951</f>
        <v>0</v>
      </c>
      <c r="L947" s="14" t="str">
        <f>equip.xml!M951</f>
        <v>105_1_1</v>
      </c>
      <c r="M947" s="17" t="str">
        <f>equip.xml!Q951</f>
        <v>equipment/7001.png</v>
      </c>
      <c r="N947" s="16" t="str">
        <f>equip.xml!P951</f>
        <v>10000_1002_1000,30000_30001_1,30000_30002_1,30000_30003_1</v>
      </c>
      <c r="O947">
        <f>equip.xml!R951</f>
        <v>0</v>
      </c>
    </row>
    <row r="948" spans="1:15">
      <c r="A948" s="14" t="str">
        <f>equip.xml!A952</f>
        <v>30050010</v>
      </c>
      <c r="B948" s="14">
        <f>equip.xml!B952</f>
        <v>1</v>
      </c>
      <c r="C948" s="14" t="str">
        <f>equip.xml!C952</f>
        <v>纹饰帽</v>
      </c>
      <c r="D948" s="14" t="str">
        <f>equip.xml!D952</f>
        <v>头盔</v>
      </c>
      <c r="E948" s="14">
        <f>equip.xml!E952</f>
        <v>1</v>
      </c>
      <c r="F948" s="14">
        <f>equip.xml!F952</f>
        <v>3</v>
      </c>
      <c r="G948" s="14">
        <f>equip.xml!G952</f>
        <v>5</v>
      </c>
      <c r="H948" s="14">
        <f>equip.xml!H952</f>
        <v>0</v>
      </c>
      <c r="I948" s="14">
        <f>equip.xml!J952</f>
        <v>20</v>
      </c>
      <c r="J948" s="14">
        <f>equip.xml!K952</f>
        <v>0</v>
      </c>
      <c r="K948" s="14">
        <f>equip.xml!L952</f>
        <v>0</v>
      </c>
      <c r="L948" s="14" t="str">
        <f>equip.xml!M952</f>
        <v>106_20_20</v>
      </c>
      <c r="M948" s="17" t="str">
        <f>equip.xml!Q952</f>
        <v>equipment/3001.png</v>
      </c>
      <c r="N948" s="16" t="str">
        <f>equip.xml!P952</f>
        <v>10000_1002_5000,30000_30001_1,30000_30002_1,30000_30003_1</v>
      </c>
      <c r="O948">
        <f>equip.xml!R952</f>
        <v>0</v>
      </c>
    </row>
    <row r="949" spans="1:15">
      <c r="A949" s="14" t="str">
        <f>equip.xml!A953</f>
        <v>30050020</v>
      </c>
      <c r="B949" s="14">
        <f>equip.xml!B953</f>
        <v>1</v>
      </c>
      <c r="C949" s="14" t="str">
        <f>equip.xml!C953</f>
        <v>金戒指</v>
      </c>
      <c r="D949" s="14" t="str">
        <f>equip.xml!D953</f>
        <v>戒指</v>
      </c>
      <c r="E949" s="14">
        <f>equip.xml!E953</f>
        <v>2</v>
      </c>
      <c r="F949" s="14">
        <f>equip.xml!F953</f>
        <v>3</v>
      </c>
      <c r="G949" s="14">
        <f>equip.xml!G953</f>
        <v>5</v>
      </c>
      <c r="H949" s="14">
        <f>equip.xml!H953</f>
        <v>0</v>
      </c>
      <c r="I949" s="14">
        <f>equip.xml!J953</f>
        <v>20</v>
      </c>
      <c r="J949" s="14">
        <f>equip.xml!K953</f>
        <v>0</v>
      </c>
      <c r="K949" s="14">
        <f>equip.xml!L953</f>
        <v>0</v>
      </c>
      <c r="L949" s="14" t="str">
        <f>equip.xml!M953</f>
        <v>102_80_80</v>
      </c>
      <c r="M949" s="17" t="str">
        <f>equip.xml!Q953</f>
        <v>equipment/14001.png</v>
      </c>
      <c r="N949" s="16" t="str">
        <f>equip.xml!P953</f>
        <v>10000_1002_5000,30000_30001_1,30000_30002_1,30000_30003_1</v>
      </c>
      <c r="O949">
        <f>equip.xml!R953</f>
        <v>0</v>
      </c>
    </row>
    <row r="950" spans="1:15">
      <c r="A950" s="14" t="str">
        <f>equip.xml!A954</f>
        <v>30050030</v>
      </c>
      <c r="B950" s="14">
        <f>equip.xml!B954</f>
        <v>1</v>
      </c>
      <c r="C950" s="14" t="str">
        <f>equip.xml!C954</f>
        <v>兽皮腰带</v>
      </c>
      <c r="D950" s="14" t="str">
        <f>equip.xml!D954</f>
        <v>腰带</v>
      </c>
      <c r="E950" s="14">
        <f>equip.xml!E954</f>
        <v>3</v>
      </c>
      <c r="F950" s="14">
        <f>equip.xml!F954</f>
        <v>3</v>
      </c>
      <c r="G950" s="14">
        <f>equip.xml!G954</f>
        <v>5</v>
      </c>
      <c r="H950" s="14">
        <f>equip.xml!H954</f>
        <v>0</v>
      </c>
      <c r="I950" s="14">
        <f>equip.xml!J954</f>
        <v>20</v>
      </c>
      <c r="J950" s="14">
        <f>equip.xml!K954</f>
        <v>0</v>
      </c>
      <c r="K950" s="14">
        <f>equip.xml!L954</f>
        <v>0</v>
      </c>
      <c r="L950" s="14" t="str">
        <f>equip.xml!M954</f>
        <v>101_100_100</v>
      </c>
      <c r="M950" s="17" t="str">
        <f>equip.xml!Q954</f>
        <v>equipment/6001.png</v>
      </c>
      <c r="N950" s="16" t="str">
        <f>equip.xml!P954</f>
        <v>10000_1002_5000,30000_30001_1,30000_30002_1,30000_30003_1</v>
      </c>
      <c r="O950">
        <f>equip.xml!R954</f>
        <v>0</v>
      </c>
    </row>
    <row r="951" spans="1:15">
      <c r="A951" s="14" t="str">
        <f>equip.xml!A955</f>
        <v>30050080</v>
      </c>
      <c r="B951" s="14">
        <f>equip.xml!B955</f>
        <v>0</v>
      </c>
      <c r="C951" s="14" t="str">
        <f>equip.xml!C955</f>
        <v>皮靴</v>
      </c>
      <c r="D951" s="14" t="str">
        <f>equip.xml!D955</f>
        <v>鞋子</v>
      </c>
      <c r="E951" s="14">
        <f>equip.xml!E955</f>
        <v>8</v>
      </c>
      <c r="F951" s="14">
        <f>equip.xml!F955</f>
        <v>3</v>
      </c>
      <c r="G951" s="14">
        <f>equip.xml!G955</f>
        <v>5</v>
      </c>
      <c r="H951" s="14">
        <f>equip.xml!H955</f>
        <v>0</v>
      </c>
      <c r="I951" s="14">
        <f>equip.xml!J955</f>
        <v>20</v>
      </c>
      <c r="J951" s="14">
        <f>equip.xml!K955</f>
        <v>0</v>
      </c>
      <c r="K951" s="14">
        <f>equip.xml!L955</f>
        <v>0</v>
      </c>
      <c r="L951" s="14" t="str">
        <f>equip.xml!M955</f>
        <v>110_7_7</v>
      </c>
      <c r="M951" s="17" t="str">
        <f>equip.xml!Q955</f>
        <v>equipment/8001.png</v>
      </c>
      <c r="N951" s="16" t="str">
        <f>equip.xml!P955</f>
        <v>10000_1002_5000,30000_30001_1,30000_30002_1,30000_30003_1</v>
      </c>
      <c r="O951">
        <f>equip.xml!R955</f>
        <v>0</v>
      </c>
    </row>
    <row r="952" spans="1:15">
      <c r="A952" s="14" t="str">
        <f>equip.xml!A956</f>
        <v>30050090</v>
      </c>
      <c r="B952" s="14">
        <f>equip.xml!B956</f>
        <v>0</v>
      </c>
      <c r="C952" s="14" t="str">
        <f>equip.xml!C956</f>
        <v>轻布手套</v>
      </c>
      <c r="D952" s="14" t="str">
        <f>equip.xml!D956</f>
        <v>手套</v>
      </c>
      <c r="E952" s="14">
        <f>equip.xml!E956</f>
        <v>9</v>
      </c>
      <c r="F952" s="14">
        <f>equip.xml!F956</f>
        <v>3</v>
      </c>
      <c r="G952" s="14">
        <f>equip.xml!G956</f>
        <v>5</v>
      </c>
      <c r="H952" s="14">
        <f>equip.xml!H956</f>
        <v>0</v>
      </c>
      <c r="I952" s="14">
        <f>equip.xml!J956</f>
        <v>20</v>
      </c>
      <c r="J952" s="14">
        <f>equip.xml!K956</f>
        <v>0</v>
      </c>
      <c r="K952" s="14">
        <f>equip.xml!L956</f>
        <v>0</v>
      </c>
      <c r="L952" s="14" t="str">
        <f>equip.xml!M956</f>
        <v>108_23_23</v>
      </c>
      <c r="M952" s="17" t="str">
        <f>equip.xml!Q956</f>
        <v>equipment/10001.png</v>
      </c>
      <c r="N952" s="16" t="str">
        <f>equip.xml!P956</f>
        <v>10000_1002_5000,30000_30001_1,30000_30002_1,30000_30003_1</v>
      </c>
      <c r="O952">
        <f>equip.xml!R956</f>
        <v>0</v>
      </c>
    </row>
    <row r="953" spans="1:15">
      <c r="A953" s="14" t="str">
        <f>equip.xml!A957</f>
        <v>30050100</v>
      </c>
      <c r="B953" s="14">
        <f>equip.xml!B957</f>
        <v>1</v>
      </c>
      <c r="C953" s="14" t="str">
        <f>equip.xml!C957</f>
        <v>贝壳项链</v>
      </c>
      <c r="D953" s="14" t="str">
        <f>equip.xml!D957</f>
        <v>项链</v>
      </c>
      <c r="E953" s="14">
        <f>equip.xml!E957</f>
        <v>10</v>
      </c>
      <c r="F953" s="14">
        <f>equip.xml!F957</f>
        <v>3</v>
      </c>
      <c r="G953" s="14">
        <f>equip.xml!G957</f>
        <v>5</v>
      </c>
      <c r="H953" s="14">
        <f>equip.xml!H957</f>
        <v>0</v>
      </c>
      <c r="I953" s="14">
        <f>equip.xml!J957</f>
        <v>20</v>
      </c>
      <c r="J953" s="14">
        <f>equip.xml!K957</f>
        <v>0</v>
      </c>
      <c r="K953" s="14">
        <f>equip.xml!L957</f>
        <v>0</v>
      </c>
      <c r="L953" s="14" t="str">
        <f>equip.xml!M957</f>
        <v>107_20_20</v>
      </c>
      <c r="M953" s="17" t="str">
        <f>equip.xml!Q957</f>
        <v>equipment/12001.png</v>
      </c>
      <c r="N953" s="16" t="str">
        <f>equip.xml!P957</f>
        <v>10000_1002_5000,30000_30001_1,30000_30002_1,30000_30003_1</v>
      </c>
      <c r="O953">
        <f>equip.xml!R957</f>
        <v>0</v>
      </c>
    </row>
    <row r="954" spans="1:15">
      <c r="A954" s="14" t="str">
        <f>equip.xml!A958</f>
        <v>30051050</v>
      </c>
      <c r="B954" s="14">
        <f>equip.xml!B958</f>
        <v>1</v>
      </c>
      <c r="C954" s="14" t="str">
        <f>equip.xml!C958</f>
        <v>长剑</v>
      </c>
      <c r="D954" s="14" t="str">
        <f>equip.xml!D958</f>
        <v>主手武器</v>
      </c>
      <c r="E954" s="14">
        <f>equip.xml!E958</f>
        <v>5</v>
      </c>
      <c r="F954" s="14">
        <f>equip.xml!F958</f>
        <v>3</v>
      </c>
      <c r="G954" s="14">
        <f>equip.xml!G958</f>
        <v>5</v>
      </c>
      <c r="H954" s="14" t="str">
        <f>equip.xml!H958</f>
        <v>1,1001</v>
      </c>
      <c r="I954" s="14">
        <f>equip.xml!J958</f>
        <v>20</v>
      </c>
      <c r="J954" s="14">
        <f>equip.xml!K958</f>
        <v>0</v>
      </c>
      <c r="K954" s="14">
        <f>equip.xml!L958</f>
        <v>0</v>
      </c>
      <c r="L954" s="14" t="str">
        <f>equip.xml!M958</f>
        <v>103_10_10,104_20_20</v>
      </c>
      <c r="M954" s="17" t="str">
        <f>equip.xml!Q958</f>
        <v>equipment/1103.png</v>
      </c>
      <c r="N954" s="16" t="str">
        <f>equip.xml!P958</f>
        <v>10000_1002_5000,30000_30001_1,30000_30002_1,30000_30003_1</v>
      </c>
      <c r="O954">
        <f>equip.xml!R958</f>
        <v>0</v>
      </c>
    </row>
    <row r="955" spans="1:15">
      <c r="A955" s="14" t="str">
        <f>equip.xml!A959</f>
        <v>30051051</v>
      </c>
      <c r="B955" s="14">
        <f>equip.xml!B959</f>
        <v>1</v>
      </c>
      <c r="C955" s="14" t="str">
        <f>equip.xml!C959</f>
        <v>双刃剑</v>
      </c>
      <c r="D955" s="14" t="str">
        <f>equip.xml!D959</f>
        <v>主手武器</v>
      </c>
      <c r="E955" s="14">
        <f>equip.xml!E959</f>
        <v>5</v>
      </c>
      <c r="F955" s="14">
        <f>equip.xml!F959</f>
        <v>3</v>
      </c>
      <c r="G955" s="14">
        <f>equip.xml!G959</f>
        <v>5</v>
      </c>
      <c r="H955" s="14" t="str">
        <f>equip.xml!H959</f>
        <v>1,1001</v>
      </c>
      <c r="I955" s="14">
        <f>equip.xml!J959</f>
        <v>20</v>
      </c>
      <c r="J955" s="14">
        <f>equip.xml!K959</f>
        <v>0</v>
      </c>
      <c r="K955" s="14">
        <f>equip.xml!L959</f>
        <v>0</v>
      </c>
      <c r="L955" s="14" t="str">
        <f>equip.xml!M959</f>
        <v>103_18_18,104_38_38</v>
      </c>
      <c r="M955" s="17" t="str">
        <f>equip.xml!Q959</f>
        <v>equipment/1104.png</v>
      </c>
      <c r="N955" s="16" t="str">
        <f>equip.xml!P959</f>
        <v>10000_1002_5000,30000_30001_1,30000_30002_1,30000_30003_1</v>
      </c>
      <c r="O955">
        <f>equip.xml!R959</f>
        <v>0</v>
      </c>
    </row>
    <row r="956" spans="1:15">
      <c r="A956" s="14" t="str">
        <f>equip.xml!A960</f>
        <v>30051060</v>
      </c>
      <c r="B956" s="14">
        <f>equip.xml!B960</f>
        <v>1</v>
      </c>
      <c r="C956" s="14" t="str">
        <f>equip.xml!C960</f>
        <v>尖头盾</v>
      </c>
      <c r="D956" s="14" t="str">
        <f>equip.xml!D960</f>
        <v>副手武器</v>
      </c>
      <c r="E956" s="14">
        <f>equip.xml!E960</f>
        <v>6</v>
      </c>
      <c r="F956" s="14">
        <f>equip.xml!F960</f>
        <v>3</v>
      </c>
      <c r="G956" s="14">
        <f>equip.xml!G960</f>
        <v>5</v>
      </c>
      <c r="H956" s="14" t="str">
        <f>equip.xml!H960</f>
        <v>1,1001</v>
      </c>
      <c r="I956" s="14">
        <f>equip.xml!J960</f>
        <v>20</v>
      </c>
      <c r="J956" s="14">
        <f>equip.xml!K960</f>
        <v>0</v>
      </c>
      <c r="K956" s="14">
        <f>equip.xml!L960</f>
        <v>0</v>
      </c>
      <c r="L956" s="14" t="str">
        <f>equip.xml!M960</f>
        <v>105_12_12</v>
      </c>
      <c r="M956" s="17" t="str">
        <f>equip.xml!Q960</f>
        <v>equipment/2102.png</v>
      </c>
      <c r="N956" s="16" t="str">
        <f>equip.xml!P960</f>
        <v>10000_1002_5000,30000_30001_1,30000_30002_1,30000_30003_1</v>
      </c>
      <c r="O956">
        <f>equip.xml!R960</f>
        <v>0</v>
      </c>
    </row>
    <row r="957" spans="1:15">
      <c r="A957" s="14" t="str">
        <f>equip.xml!A961</f>
        <v>30051061</v>
      </c>
      <c r="B957" s="14">
        <f>equip.xml!B961</f>
        <v>0</v>
      </c>
      <c r="C957" s="14" t="str">
        <f>equip.xml!C961</f>
        <v>尖头盾</v>
      </c>
      <c r="D957" s="14" t="str">
        <f>equip.xml!D961</f>
        <v>副手武器</v>
      </c>
      <c r="E957" s="14">
        <f>equip.xml!E961</f>
        <v>6</v>
      </c>
      <c r="F957" s="14">
        <f>equip.xml!F961</f>
        <v>3</v>
      </c>
      <c r="G957" s="14">
        <f>equip.xml!G961</f>
        <v>5</v>
      </c>
      <c r="H957" s="14" t="str">
        <f>equip.xml!H961</f>
        <v>1,1001</v>
      </c>
      <c r="I957" s="14">
        <f>equip.xml!J961</f>
        <v>20</v>
      </c>
      <c r="J957" s="14">
        <f>equip.xml!K961</f>
        <v>0</v>
      </c>
      <c r="K957" s="14">
        <f>equip.xml!L961</f>
        <v>0</v>
      </c>
      <c r="L957" s="14" t="str">
        <f>equip.xml!M961</f>
        <v>105_19_19</v>
      </c>
      <c r="M957" s="17" t="str">
        <f>equip.xml!Q961</f>
        <v>equipment/2101.png</v>
      </c>
      <c r="N957" s="16" t="str">
        <f>equip.xml!P961</f>
        <v>10000_1002_5000,30000_30001_1,30000_30002_1,30000_30003_1</v>
      </c>
      <c r="O957">
        <f>equip.xml!R961</f>
        <v>0</v>
      </c>
    </row>
    <row r="958" spans="1:15">
      <c r="A958" s="14" t="str">
        <f>equip.xml!A962</f>
        <v>30052050</v>
      </c>
      <c r="B958" s="14">
        <f>equip.xml!B962</f>
        <v>1</v>
      </c>
      <c r="C958" s="14" t="str">
        <f>equip.xml!C962</f>
        <v>硬弓</v>
      </c>
      <c r="D958" s="14" t="str">
        <f>equip.xml!D962</f>
        <v>主手武器</v>
      </c>
      <c r="E958" s="14">
        <f>equip.xml!E962</f>
        <v>5</v>
      </c>
      <c r="F958" s="14">
        <f>equip.xml!F962</f>
        <v>3</v>
      </c>
      <c r="G958" s="14">
        <f>equip.xml!G962</f>
        <v>5</v>
      </c>
      <c r="H958" s="14" t="str">
        <f>equip.xml!H962</f>
        <v>2,1002</v>
      </c>
      <c r="I958" s="14">
        <f>equip.xml!J962</f>
        <v>20</v>
      </c>
      <c r="J958" s="14">
        <f>equip.xml!K962</f>
        <v>0</v>
      </c>
      <c r="K958" s="14">
        <f>equip.xml!L962</f>
        <v>0</v>
      </c>
      <c r="L958" s="14" t="str">
        <f>equip.xml!M962</f>
        <v>103_10_10,104_20_20</v>
      </c>
      <c r="M958" s="17" t="str">
        <f>equip.xml!Q962</f>
        <v>equipment/1204.png</v>
      </c>
      <c r="N958" s="16" t="str">
        <f>equip.xml!P962</f>
        <v>10000_1002_5000,30000_30001_1,30000_30002_1,30000_30003_1</v>
      </c>
      <c r="O958">
        <f>equip.xml!R962</f>
        <v>0</v>
      </c>
    </row>
    <row r="959" spans="1:15">
      <c r="A959" s="14" t="str">
        <f>equip.xml!A963</f>
        <v>30052051</v>
      </c>
      <c r="B959" s="14">
        <f>equip.xml!B963</f>
        <v>1</v>
      </c>
      <c r="C959" s="14" t="str">
        <f>equip.xml!C963</f>
        <v>反曲弓</v>
      </c>
      <c r="D959" s="14" t="str">
        <f>equip.xml!D963</f>
        <v>主手武器</v>
      </c>
      <c r="E959" s="14">
        <f>equip.xml!E963</f>
        <v>5</v>
      </c>
      <c r="F959" s="14">
        <f>equip.xml!F963</f>
        <v>3</v>
      </c>
      <c r="G959" s="14">
        <f>equip.xml!G963</f>
        <v>5</v>
      </c>
      <c r="H959" s="14" t="str">
        <f>equip.xml!H963</f>
        <v>2,1002</v>
      </c>
      <c r="I959" s="14">
        <f>equip.xml!J963</f>
        <v>20</v>
      </c>
      <c r="J959" s="14">
        <f>equip.xml!K963</f>
        <v>0</v>
      </c>
      <c r="K959" s="14">
        <f>equip.xml!L963</f>
        <v>0</v>
      </c>
      <c r="L959" s="14" t="str">
        <f>equip.xml!M963</f>
        <v>103_18_18,104_38_38</v>
      </c>
      <c r="M959" s="17" t="str">
        <f>equip.xml!Q963</f>
        <v>equipment/1203.png</v>
      </c>
      <c r="N959" s="16" t="str">
        <f>equip.xml!P963</f>
        <v>10000_1002_5000,30000_30001_1,30000_30002_1,30000_30003_1</v>
      </c>
      <c r="O959">
        <f>equip.xml!R963</f>
        <v>0</v>
      </c>
    </row>
    <row r="960" spans="1:15">
      <c r="A960" s="14" t="str">
        <f>equip.xml!A964</f>
        <v>30052060</v>
      </c>
      <c r="B960" s="14">
        <f>equip.xml!B964</f>
        <v>1</v>
      </c>
      <c r="C960" s="14" t="str">
        <f>equip.xml!C964</f>
        <v>箭筒</v>
      </c>
      <c r="D960" s="14" t="str">
        <f>equip.xml!D964</f>
        <v>副手武器</v>
      </c>
      <c r="E960" s="14">
        <f>equip.xml!E964</f>
        <v>6</v>
      </c>
      <c r="F960" s="14">
        <f>equip.xml!F964</f>
        <v>3</v>
      </c>
      <c r="G960" s="14">
        <f>equip.xml!G964</f>
        <v>5</v>
      </c>
      <c r="H960" s="14" t="str">
        <f>equip.xml!H964</f>
        <v>2,1002</v>
      </c>
      <c r="I960" s="14">
        <f>equip.xml!J964</f>
        <v>20</v>
      </c>
      <c r="J960" s="14">
        <f>equip.xml!K964</f>
        <v>0</v>
      </c>
      <c r="K960" s="14">
        <f>equip.xml!L964</f>
        <v>0</v>
      </c>
      <c r="L960" s="14" t="str">
        <f>equip.xml!M964</f>
        <v>108_12_12</v>
      </c>
      <c r="M960" s="17" t="str">
        <f>equip.xml!Q964</f>
        <v>equipment/2202.png</v>
      </c>
      <c r="N960" s="16" t="str">
        <f>equip.xml!P964</f>
        <v>10000_1002_5000,30000_30001_1,30000_30002_1,30000_30003_1</v>
      </c>
      <c r="O960">
        <f>equip.xml!R964</f>
        <v>0</v>
      </c>
    </row>
    <row r="961" spans="1:15">
      <c r="A961" s="14" t="str">
        <f>equip.xml!A965</f>
        <v>30052061</v>
      </c>
      <c r="B961" s="14">
        <f>equip.xml!B965</f>
        <v>0</v>
      </c>
      <c r="C961" s="14" t="str">
        <f>equip.xml!C965</f>
        <v>箭筒</v>
      </c>
      <c r="D961" s="14" t="str">
        <f>equip.xml!D965</f>
        <v>副手武器</v>
      </c>
      <c r="E961" s="14">
        <f>equip.xml!E965</f>
        <v>6</v>
      </c>
      <c r="F961" s="14">
        <f>equip.xml!F965</f>
        <v>3</v>
      </c>
      <c r="G961" s="14">
        <f>equip.xml!G965</f>
        <v>5</v>
      </c>
      <c r="H961" s="14" t="str">
        <f>equip.xml!H965</f>
        <v>2,1002</v>
      </c>
      <c r="I961" s="14">
        <f>equip.xml!J965</f>
        <v>20</v>
      </c>
      <c r="J961" s="14">
        <f>equip.xml!K965</f>
        <v>0</v>
      </c>
      <c r="K961" s="14">
        <f>equip.xml!L965</f>
        <v>0</v>
      </c>
      <c r="L961" s="14" t="str">
        <f>equip.xml!M965</f>
        <v>108_19_19</v>
      </c>
      <c r="M961" s="17" t="str">
        <f>equip.xml!Q965</f>
        <v>equipment/2201.png</v>
      </c>
      <c r="N961" s="16" t="str">
        <f>equip.xml!P965</f>
        <v>10000_1002_5000,30000_30001_1,30000_30002_1,30000_30003_1</v>
      </c>
      <c r="O961">
        <f>equip.xml!R965</f>
        <v>0</v>
      </c>
    </row>
    <row r="962" spans="1:15">
      <c r="A962" s="14" t="str">
        <f>equip.xml!A966</f>
        <v>30053050</v>
      </c>
      <c r="B962" s="14">
        <f>equip.xml!B966</f>
        <v>1</v>
      </c>
      <c r="C962" s="14" t="str">
        <f>equip.xml!C966</f>
        <v>巫术之杖</v>
      </c>
      <c r="D962" s="14" t="str">
        <f>equip.xml!D966</f>
        <v>主手武器</v>
      </c>
      <c r="E962" s="14">
        <f>equip.xml!E966</f>
        <v>5</v>
      </c>
      <c r="F962" s="14">
        <f>equip.xml!F966</f>
        <v>3</v>
      </c>
      <c r="G962" s="14">
        <f>equip.xml!G966</f>
        <v>5</v>
      </c>
      <c r="H962" s="14" t="str">
        <f>equip.xml!H966</f>
        <v>3,1003</v>
      </c>
      <c r="I962" s="14">
        <f>equip.xml!J966</f>
        <v>20</v>
      </c>
      <c r="J962" s="14">
        <f>equip.xml!K966</f>
        <v>0</v>
      </c>
      <c r="K962" s="14">
        <f>equip.xml!L966</f>
        <v>0</v>
      </c>
      <c r="L962" s="14" t="str">
        <f>equip.xml!M966</f>
        <v>103_10_10,104_20_20</v>
      </c>
      <c r="M962" s="17" t="str">
        <f>equip.xml!Q966</f>
        <v>equipment/1303.png</v>
      </c>
      <c r="N962" s="16" t="str">
        <f>equip.xml!P966</f>
        <v>10000_1002_5000,30000_30001_1,30000_30002_1,30000_30003_1</v>
      </c>
      <c r="O962">
        <f>equip.xml!R966</f>
        <v>0</v>
      </c>
    </row>
    <row r="963" spans="1:15">
      <c r="A963" s="14" t="str">
        <f>equip.xml!A967</f>
        <v>30053051</v>
      </c>
      <c r="B963" s="14">
        <f>equip.xml!B967</f>
        <v>1</v>
      </c>
      <c r="C963" s="14" t="str">
        <f>equip.xml!C967</f>
        <v>秘术法杖</v>
      </c>
      <c r="D963" s="14" t="str">
        <f>equip.xml!D967</f>
        <v>主手武器</v>
      </c>
      <c r="E963" s="14">
        <f>equip.xml!E967</f>
        <v>5</v>
      </c>
      <c r="F963" s="14">
        <f>equip.xml!F967</f>
        <v>3</v>
      </c>
      <c r="G963" s="14">
        <f>equip.xml!G967</f>
        <v>5</v>
      </c>
      <c r="H963" s="14" t="str">
        <f>equip.xml!H967</f>
        <v>3,1003</v>
      </c>
      <c r="I963" s="14">
        <f>equip.xml!J967</f>
        <v>20</v>
      </c>
      <c r="J963" s="14">
        <f>equip.xml!K967</f>
        <v>0</v>
      </c>
      <c r="K963" s="14">
        <f>equip.xml!L967</f>
        <v>0</v>
      </c>
      <c r="L963" s="14" t="str">
        <f>equip.xml!M967</f>
        <v>103_18_18,104_38_38</v>
      </c>
      <c r="M963" s="17" t="str">
        <f>equip.xml!Q967</f>
        <v>equipment/1304.png</v>
      </c>
      <c r="N963" s="16" t="str">
        <f>equip.xml!P967</f>
        <v>10000_1002_5000,30000_30001_1,30000_30002_1,30000_30003_1</v>
      </c>
      <c r="O963">
        <f>equip.xml!R967</f>
        <v>0</v>
      </c>
    </row>
    <row r="964" spans="1:15">
      <c r="A964" s="14" t="str">
        <f>equip.xml!A968</f>
        <v>30053060</v>
      </c>
      <c r="B964" s="14">
        <f>equip.xml!B968</f>
        <v>1</v>
      </c>
      <c r="C964" s="14" t="str">
        <f>equip.xml!C968</f>
        <v>法术指南</v>
      </c>
      <c r="D964" s="14" t="str">
        <f>equip.xml!D968</f>
        <v>副手武器</v>
      </c>
      <c r="E964" s="14">
        <f>equip.xml!E968</f>
        <v>6</v>
      </c>
      <c r="F964" s="14">
        <f>equip.xml!F968</f>
        <v>3</v>
      </c>
      <c r="G964" s="14">
        <f>equip.xml!G968</f>
        <v>5</v>
      </c>
      <c r="H964" s="14" t="str">
        <f>equip.xml!H968</f>
        <v>3,1003</v>
      </c>
      <c r="I964" s="14">
        <f>equip.xml!J968</f>
        <v>20</v>
      </c>
      <c r="J964" s="14">
        <f>equip.xml!K968</f>
        <v>0</v>
      </c>
      <c r="K964" s="14">
        <f>equip.xml!L968</f>
        <v>0</v>
      </c>
      <c r="L964" s="14" t="str">
        <f>equip.xml!M968</f>
        <v>102_110_110</v>
      </c>
      <c r="M964" s="17" t="str">
        <f>equip.xml!Q968</f>
        <v>equipment/2302.png</v>
      </c>
      <c r="N964" s="16" t="str">
        <f>equip.xml!P968</f>
        <v>10000_1002_5000,30000_30001_1,30000_30002_1,30000_30003_1</v>
      </c>
      <c r="O964">
        <f>equip.xml!R968</f>
        <v>0</v>
      </c>
    </row>
    <row r="965" spans="1:15">
      <c r="A965" s="14" t="str">
        <f>equip.xml!A969</f>
        <v>30053061</v>
      </c>
      <c r="B965" s="14">
        <f>equip.xml!B969</f>
        <v>0</v>
      </c>
      <c r="C965" s="14" t="str">
        <f>equip.xml!C969</f>
        <v>法术指南</v>
      </c>
      <c r="D965" s="14" t="str">
        <f>equip.xml!D969</f>
        <v>副手武器</v>
      </c>
      <c r="E965" s="14">
        <f>equip.xml!E969</f>
        <v>6</v>
      </c>
      <c r="F965" s="14">
        <f>equip.xml!F969</f>
        <v>3</v>
      </c>
      <c r="G965" s="14">
        <f>equip.xml!G969</f>
        <v>5</v>
      </c>
      <c r="H965" s="14" t="str">
        <f>equip.xml!H969</f>
        <v>3,1003</v>
      </c>
      <c r="I965" s="14">
        <f>equip.xml!J969</f>
        <v>20</v>
      </c>
      <c r="J965" s="14">
        <f>equip.xml!K969</f>
        <v>0</v>
      </c>
      <c r="K965" s="14">
        <f>equip.xml!L969</f>
        <v>0</v>
      </c>
      <c r="L965" s="14" t="str">
        <f>equip.xml!M969</f>
        <v>102_19_19</v>
      </c>
      <c r="M965" s="17" t="str">
        <f>equip.xml!Q969</f>
        <v>equipment/2301.png</v>
      </c>
      <c r="N965" s="16" t="str">
        <f>equip.xml!P969</f>
        <v>10000_1002_5000,30000_30001_1,30000_30002_1,30000_30003_1</v>
      </c>
      <c r="O965">
        <f>equip.xml!R969</f>
        <v>0</v>
      </c>
    </row>
    <row r="966" spans="1:15">
      <c r="A966" s="14" t="str">
        <f>equip.xml!A970</f>
        <v>30050040</v>
      </c>
      <c r="B966" s="14">
        <f>equip.xml!B970</f>
        <v>1</v>
      </c>
      <c r="C966" s="14" t="str">
        <f>equip.xml!C970</f>
        <v>锁甲外套</v>
      </c>
      <c r="D966" s="14" t="str">
        <f>equip.xml!D970</f>
        <v>胸甲</v>
      </c>
      <c r="E966" s="14">
        <f>equip.xml!E970</f>
        <v>4</v>
      </c>
      <c r="F966" s="14">
        <f>equip.xml!F970</f>
        <v>3</v>
      </c>
      <c r="G966" s="14">
        <f>equip.xml!G970</f>
        <v>5</v>
      </c>
      <c r="H966" s="14">
        <f>equip.xml!H970</f>
        <v>0</v>
      </c>
      <c r="I966" s="14">
        <f>equip.xml!J970</f>
        <v>20</v>
      </c>
      <c r="J966" s="14">
        <f>equip.xml!K970</f>
        <v>0</v>
      </c>
      <c r="K966" s="14">
        <f>equip.xml!L970</f>
        <v>0</v>
      </c>
      <c r="L966" s="14" t="str">
        <f>equip.xml!M970</f>
        <v>105_9_9</v>
      </c>
      <c r="M966" s="17" t="str">
        <f>equip.xml!Q970</f>
        <v>equipment/5002.png</v>
      </c>
      <c r="N966" s="16" t="str">
        <f>equip.xml!P970</f>
        <v>10000_1002_5000,30000_30001_1,30000_30002_1,30000_30003_1</v>
      </c>
      <c r="O966">
        <f>equip.xml!R970</f>
        <v>0</v>
      </c>
    </row>
    <row r="967" spans="1:15">
      <c r="A967" s="14" t="str">
        <f>equip.xml!A971</f>
        <v>30050041</v>
      </c>
      <c r="B967" s="14">
        <f>equip.xml!B971</f>
        <v>1</v>
      </c>
      <c r="C967" s="14" t="str">
        <f>equip.xml!C971</f>
        <v>战士胸甲</v>
      </c>
      <c r="D967" s="14" t="str">
        <f>equip.xml!D971</f>
        <v>胸甲</v>
      </c>
      <c r="E967" s="14">
        <f>equip.xml!E971</f>
        <v>4</v>
      </c>
      <c r="F967" s="14">
        <f>equip.xml!F971</f>
        <v>3</v>
      </c>
      <c r="G967" s="14">
        <f>equip.xml!G971</f>
        <v>5</v>
      </c>
      <c r="H967" s="14">
        <f>equip.xml!H971</f>
        <v>0</v>
      </c>
      <c r="I967" s="14">
        <f>equip.xml!J971</f>
        <v>20</v>
      </c>
      <c r="J967" s="14">
        <f>equip.xml!K971</f>
        <v>0</v>
      </c>
      <c r="K967" s="14">
        <f>equip.xml!L971</f>
        <v>0</v>
      </c>
      <c r="L967" s="14" t="str">
        <f>equip.xml!M971</f>
        <v>105_13_13</v>
      </c>
      <c r="M967" s="17" t="str">
        <f>equip.xml!Q971</f>
        <v>equipment/5003.png</v>
      </c>
      <c r="N967" s="16" t="str">
        <f>equip.xml!P971</f>
        <v>10000_1002_5000,30000_30001_1,30000_30002_1,30000_30003_1</v>
      </c>
      <c r="O967">
        <f>equip.xml!R971</f>
        <v>0</v>
      </c>
    </row>
    <row r="968" spans="1:15">
      <c r="A968" s="14" t="str">
        <f>equip.xml!A972</f>
        <v>30050070</v>
      </c>
      <c r="B968" s="14">
        <f>equip.xml!B972</f>
        <v>1</v>
      </c>
      <c r="C968" s="14" t="str">
        <f>equip.xml!C972</f>
        <v>皮甲短裤</v>
      </c>
      <c r="D968" s="14" t="str">
        <f>equip.xml!D972</f>
        <v>护腿</v>
      </c>
      <c r="E968" s="14">
        <f>equip.xml!E972</f>
        <v>7</v>
      </c>
      <c r="F968" s="14">
        <f>equip.xml!F972</f>
        <v>3</v>
      </c>
      <c r="G968" s="14">
        <f>equip.xml!G972</f>
        <v>5</v>
      </c>
      <c r="H968" s="14">
        <f>equip.xml!H972</f>
        <v>0</v>
      </c>
      <c r="I968" s="14">
        <f>equip.xml!J972</f>
        <v>20</v>
      </c>
      <c r="J968" s="14">
        <f>equip.xml!K972</f>
        <v>0</v>
      </c>
      <c r="K968" s="14">
        <f>equip.xml!L972</f>
        <v>0</v>
      </c>
      <c r="L968" s="14" t="str">
        <f>equip.xml!M972</f>
        <v>105_3_3</v>
      </c>
      <c r="M968" s="17" t="str">
        <f>equip.xml!Q972</f>
        <v>equipment/7001.png</v>
      </c>
      <c r="N968" s="16" t="str">
        <f>equip.xml!P972</f>
        <v>10000_1002_5000,30000_30001_1,30000_30002_1,30000_30003_1</v>
      </c>
      <c r="O968">
        <f>equip.xml!R972</f>
        <v>0</v>
      </c>
    </row>
    <row r="969" spans="1:15">
      <c r="A969" s="14" t="str">
        <f>equip.xml!A973</f>
        <v>30050071</v>
      </c>
      <c r="B969" s="14">
        <f>equip.xml!B973</f>
        <v>1</v>
      </c>
      <c r="C969" s="14" t="str">
        <f>equip.xml!C973</f>
        <v>学徒短裤</v>
      </c>
      <c r="D969" s="14" t="str">
        <f>equip.xml!D973</f>
        <v>护腿</v>
      </c>
      <c r="E969" s="14">
        <f>equip.xml!E973</f>
        <v>7</v>
      </c>
      <c r="F969" s="14">
        <f>equip.xml!F973</f>
        <v>3</v>
      </c>
      <c r="G969" s="14">
        <f>equip.xml!G973</f>
        <v>5</v>
      </c>
      <c r="H969" s="14">
        <f>equip.xml!H973</f>
        <v>0</v>
      </c>
      <c r="I969" s="14">
        <f>equip.xml!J973</f>
        <v>20</v>
      </c>
      <c r="J969" s="14">
        <f>equip.xml!K973</f>
        <v>0</v>
      </c>
      <c r="K969" s="14">
        <f>equip.xml!L973</f>
        <v>0</v>
      </c>
      <c r="L969" s="14" t="str">
        <f>equip.xml!M973</f>
        <v>105_10_10</v>
      </c>
      <c r="M969" s="17" t="str">
        <f>equip.xml!Q973</f>
        <v>equipment/7002.png</v>
      </c>
      <c r="N969" s="16" t="str">
        <f>equip.xml!P973</f>
        <v>10000_1002_5000,30000_30001_1,30000_30002_1,30000_30003_1</v>
      </c>
      <c r="O969">
        <f>equip.xml!R973</f>
        <v>0</v>
      </c>
    </row>
    <row r="970" spans="1:15">
      <c r="A970" s="14" t="str">
        <f>equip.xml!A974</f>
        <v>30100010</v>
      </c>
      <c r="B970" s="14">
        <f>equip.xml!B974</f>
        <v>1</v>
      </c>
      <c r="C970" s="14" t="str">
        <f>equip.xml!C974</f>
        <v>轻便头盔</v>
      </c>
      <c r="D970" s="14" t="str">
        <f>equip.xml!D974</f>
        <v>头盔</v>
      </c>
      <c r="E970" s="14">
        <f>equip.xml!E974</f>
        <v>1</v>
      </c>
      <c r="F970" s="14">
        <f>equip.xml!F974</f>
        <v>3</v>
      </c>
      <c r="G970" s="14">
        <f>equip.xml!G974</f>
        <v>10</v>
      </c>
      <c r="H970" s="14">
        <f>equip.xml!H974</f>
        <v>0</v>
      </c>
      <c r="I970" s="14">
        <f>equip.xml!J974</f>
        <v>20</v>
      </c>
      <c r="J970" s="14">
        <f>equip.xml!K974</f>
        <v>0</v>
      </c>
      <c r="K970" s="14">
        <f>equip.xml!L974</f>
        <v>7500</v>
      </c>
      <c r="L970" s="14" t="str">
        <f>equip.xml!M974</f>
        <v>106_64_64</v>
      </c>
      <c r="M970" s="17" t="str">
        <f>equip.xml!Q974</f>
        <v>equipment/3002.png</v>
      </c>
      <c r="N970" s="16" t="str">
        <f>equip.xml!P974</f>
        <v>10000_1002_10000,30000_30001_1,30000_30002_1,30000_30003_1</v>
      </c>
      <c r="O970">
        <f>equip.xml!R974</f>
        <v>0</v>
      </c>
    </row>
    <row r="971" spans="1:15">
      <c r="A971" s="14" t="str">
        <f>equip.xml!A975</f>
        <v>30100020</v>
      </c>
      <c r="B971" s="14">
        <f>equip.xml!B975</f>
        <v>1</v>
      </c>
      <c r="C971" s="14" t="str">
        <f>equip.xml!C975</f>
        <v>宝石戒指</v>
      </c>
      <c r="D971" s="14" t="str">
        <f>equip.xml!D975</f>
        <v>戒指</v>
      </c>
      <c r="E971" s="14">
        <f>equip.xml!E975</f>
        <v>2</v>
      </c>
      <c r="F971" s="14">
        <f>equip.xml!F975</f>
        <v>3</v>
      </c>
      <c r="G971" s="14">
        <f>equip.xml!G975</f>
        <v>10</v>
      </c>
      <c r="H971" s="14">
        <f>equip.xml!H975</f>
        <v>0</v>
      </c>
      <c r="I971" s="14">
        <f>equip.xml!J975</f>
        <v>20</v>
      </c>
      <c r="J971" s="14">
        <f>equip.xml!K975</f>
        <v>0</v>
      </c>
      <c r="K971" s="14">
        <f>equip.xml!L975</f>
        <v>7500</v>
      </c>
      <c r="L971" s="14" t="str">
        <f>equip.xml!M975</f>
        <v>102_150_150</v>
      </c>
      <c r="M971" s="17" t="str">
        <f>equip.xml!Q975</f>
        <v>equipment/14002.png</v>
      </c>
      <c r="N971" s="16" t="str">
        <f>equip.xml!P975</f>
        <v>10000_1002_10000,30000_30001_1,30000_30002_1,30000_30003_1</v>
      </c>
      <c r="O971">
        <f>equip.xml!R975</f>
        <v>0</v>
      </c>
    </row>
    <row r="972" spans="1:15">
      <c r="A972" s="14" t="str">
        <f>equip.xml!A976</f>
        <v>30100030</v>
      </c>
      <c r="B972" s="14">
        <f>equip.xml!B976</f>
        <v>1</v>
      </c>
      <c r="C972" s="14" t="str">
        <f>equip.xml!C976</f>
        <v>坚硬皮带</v>
      </c>
      <c r="D972" s="14" t="str">
        <f>equip.xml!D976</f>
        <v>腰带</v>
      </c>
      <c r="E972" s="14">
        <f>equip.xml!E976</f>
        <v>3</v>
      </c>
      <c r="F972" s="14">
        <f>equip.xml!F976</f>
        <v>3</v>
      </c>
      <c r="G972" s="14">
        <f>equip.xml!G976</f>
        <v>10</v>
      </c>
      <c r="H972" s="14">
        <f>equip.xml!H976</f>
        <v>0</v>
      </c>
      <c r="I972" s="14">
        <f>equip.xml!J976</f>
        <v>20</v>
      </c>
      <c r="J972" s="14">
        <f>equip.xml!K976</f>
        <v>0</v>
      </c>
      <c r="K972" s="14">
        <f>equip.xml!L976</f>
        <v>7500</v>
      </c>
      <c r="L972" s="14" t="str">
        <f>equip.xml!M976</f>
        <v>101_480_480</v>
      </c>
      <c r="M972" s="17" t="str">
        <f>equip.xml!Q976</f>
        <v>equipment/6002.png</v>
      </c>
      <c r="N972" s="16" t="str">
        <f>equip.xml!P976</f>
        <v>10000_1002_10000,30000_30001_1,30000_30002_1,30000_30003_1</v>
      </c>
      <c r="O972">
        <f>equip.xml!R976</f>
        <v>0</v>
      </c>
    </row>
    <row r="973" spans="1:15">
      <c r="A973" s="14" t="str">
        <f>equip.xml!A977</f>
        <v>30100080</v>
      </c>
      <c r="B973" s="14">
        <f>equip.xml!B977</f>
        <v>1</v>
      </c>
      <c r="C973" s="14" t="str">
        <f>equip.xml!C977</f>
        <v>软垫靴</v>
      </c>
      <c r="D973" s="14" t="str">
        <f>equip.xml!D977</f>
        <v>鞋子</v>
      </c>
      <c r="E973" s="14">
        <f>equip.xml!E977</f>
        <v>8</v>
      </c>
      <c r="F973" s="14">
        <f>equip.xml!F977</f>
        <v>3</v>
      </c>
      <c r="G973" s="14">
        <f>equip.xml!G977</f>
        <v>10</v>
      </c>
      <c r="H973" s="14">
        <f>equip.xml!H977</f>
        <v>0</v>
      </c>
      <c r="I973" s="14">
        <f>equip.xml!J977</f>
        <v>20</v>
      </c>
      <c r="J973" s="14">
        <f>equip.xml!K977</f>
        <v>0</v>
      </c>
      <c r="K973" s="14">
        <f>equip.xml!L977</f>
        <v>7500</v>
      </c>
      <c r="L973" s="14" t="str">
        <f>equip.xml!M977</f>
        <v>110_12_12</v>
      </c>
      <c r="M973" s="17" t="str">
        <f>equip.xml!Q977</f>
        <v>equipment/8002.png</v>
      </c>
      <c r="N973" s="16" t="str">
        <f>equip.xml!P977</f>
        <v>10000_1002_10000,30000_30001_1,30000_30002_1,30000_30003_1</v>
      </c>
      <c r="O973">
        <f>equip.xml!R977</f>
        <v>0</v>
      </c>
    </row>
    <row r="974" spans="1:15">
      <c r="A974" s="14" t="str">
        <f>equip.xml!A978</f>
        <v>30100090</v>
      </c>
      <c r="B974" s="14">
        <f>equip.xml!B978</f>
        <v>1</v>
      </c>
      <c r="C974" s="14" t="str">
        <f>equip.xml!C978</f>
        <v>步兵护手</v>
      </c>
      <c r="D974" s="14" t="str">
        <f>equip.xml!D978</f>
        <v>手套</v>
      </c>
      <c r="E974" s="14">
        <f>equip.xml!E978</f>
        <v>9</v>
      </c>
      <c r="F974" s="14">
        <f>equip.xml!F978</f>
        <v>3</v>
      </c>
      <c r="G974" s="14">
        <f>equip.xml!G978</f>
        <v>10</v>
      </c>
      <c r="H974" s="14">
        <f>equip.xml!H978</f>
        <v>0</v>
      </c>
      <c r="I974" s="14">
        <f>equip.xml!J978</f>
        <v>20</v>
      </c>
      <c r="J974" s="14">
        <f>equip.xml!K978</f>
        <v>0</v>
      </c>
      <c r="K974" s="14">
        <f>equip.xml!L978</f>
        <v>7500</v>
      </c>
      <c r="L974" s="14" t="str">
        <f>equip.xml!M978</f>
        <v>108_43_43</v>
      </c>
      <c r="M974" s="17" t="str">
        <f>equip.xml!Q978</f>
        <v>equipment/10002.png</v>
      </c>
      <c r="N974" s="16" t="str">
        <f>equip.xml!P978</f>
        <v>10000_1002_10000,30000_30001_1,30000_30002_1,30000_30003_1</v>
      </c>
      <c r="O974">
        <f>equip.xml!R978</f>
        <v>0</v>
      </c>
    </row>
    <row r="975" spans="1:15">
      <c r="A975" s="14" t="str">
        <f>equip.xml!A979</f>
        <v>30100100</v>
      </c>
      <c r="B975" s="14">
        <f>equip.xml!B979</f>
        <v>0</v>
      </c>
      <c r="C975" s="14" t="str">
        <f>equip.xml!C979</f>
        <v>贝壳项链</v>
      </c>
      <c r="D975" s="14" t="str">
        <f>equip.xml!D979</f>
        <v>项链</v>
      </c>
      <c r="E975" s="14">
        <f>equip.xml!E979</f>
        <v>10</v>
      </c>
      <c r="F975" s="14">
        <f>equip.xml!F979</f>
        <v>3</v>
      </c>
      <c r="G975" s="14">
        <f>equip.xml!G979</f>
        <v>10</v>
      </c>
      <c r="H975" s="14">
        <f>equip.xml!H979</f>
        <v>0</v>
      </c>
      <c r="I975" s="14">
        <f>equip.xml!J979</f>
        <v>20</v>
      </c>
      <c r="J975" s="14">
        <f>equip.xml!K979</f>
        <v>0</v>
      </c>
      <c r="K975" s="14">
        <f>equip.xml!L979</f>
        <v>7500</v>
      </c>
      <c r="L975" s="14" t="str">
        <f>equip.xml!M979</f>
        <v>107_20_20</v>
      </c>
      <c r="M975" s="17" t="str">
        <f>equip.xml!Q979</f>
        <v>equipment/12001.png</v>
      </c>
      <c r="N975" s="16" t="str">
        <f>equip.xml!P979</f>
        <v>10000_1002_10000,30000_30001_1,30000_30002_1,30000_30003_1</v>
      </c>
      <c r="O975">
        <f>equip.xml!R979</f>
        <v>0</v>
      </c>
    </row>
    <row r="976" spans="1:15">
      <c r="A976" s="14" t="str">
        <f>equip.xml!A980</f>
        <v>30101050</v>
      </c>
      <c r="B976" s="14">
        <f>equip.xml!B980</f>
        <v>1</v>
      </c>
      <c r="C976" s="14" t="str">
        <f>equip.xml!C980</f>
        <v>护卫之刃</v>
      </c>
      <c r="D976" s="14" t="str">
        <f>equip.xml!D980</f>
        <v>主手武器</v>
      </c>
      <c r="E976" s="14">
        <f>equip.xml!E980</f>
        <v>5</v>
      </c>
      <c r="F976" s="14">
        <f>equip.xml!F980</f>
        <v>3</v>
      </c>
      <c r="G976" s="14">
        <f>equip.xml!G980</f>
        <v>10</v>
      </c>
      <c r="H976" s="14" t="str">
        <f>equip.xml!H980</f>
        <v>1,1001</v>
      </c>
      <c r="I976" s="14">
        <f>equip.xml!J980</f>
        <v>20</v>
      </c>
      <c r="J976" s="14">
        <f>equip.xml!K980</f>
        <v>0</v>
      </c>
      <c r="K976" s="14">
        <f>equip.xml!L980</f>
        <v>7500</v>
      </c>
      <c r="L976" s="14" t="str">
        <f>equip.xml!M980</f>
        <v>103_32_32,104_64_64</v>
      </c>
      <c r="M976" s="17" t="str">
        <f>equip.xml!Q980</f>
        <v>equipment/1105.png</v>
      </c>
      <c r="N976" s="16" t="str">
        <f>equip.xml!P980</f>
        <v>10000_1002_10000,30000_30001_1,30000_30002_1,30000_30003_1</v>
      </c>
      <c r="O976">
        <f>equip.xml!R980</f>
        <v>0</v>
      </c>
    </row>
    <row r="977" spans="1:15">
      <c r="A977" s="14" t="str">
        <f>equip.xml!A981</f>
        <v>30101051</v>
      </c>
      <c r="B977" s="14">
        <f>equip.xml!B981</f>
        <v>1</v>
      </c>
      <c r="C977" s="14" t="str">
        <f>equip.xml!C981</f>
        <v>铜铸重剑</v>
      </c>
      <c r="D977" s="14" t="str">
        <f>equip.xml!D981</f>
        <v>主手武器</v>
      </c>
      <c r="E977" s="14">
        <f>equip.xml!E981</f>
        <v>5</v>
      </c>
      <c r="F977" s="14">
        <f>equip.xml!F981</f>
        <v>3</v>
      </c>
      <c r="G977" s="14">
        <f>equip.xml!G981</f>
        <v>10</v>
      </c>
      <c r="H977" s="14" t="str">
        <f>equip.xml!H981</f>
        <v>1,1001</v>
      </c>
      <c r="I977" s="14">
        <f>equip.xml!J981</f>
        <v>20</v>
      </c>
      <c r="J977" s="14">
        <f>equip.xml!K981</f>
        <v>0</v>
      </c>
      <c r="K977" s="14">
        <f>equip.xml!L981</f>
        <v>10000</v>
      </c>
      <c r="L977" s="14" t="str">
        <f>equip.xml!M981</f>
        <v>103_40_40,104_80_80</v>
      </c>
      <c r="M977" s="17" t="str">
        <f>equip.xml!Q981</f>
        <v>equipment/1106.png</v>
      </c>
      <c r="N977" s="16" t="str">
        <f>equip.xml!P981</f>
        <v>10000_1002_10000,30000_30001_1,30000_30002_1,30000_30003_1</v>
      </c>
      <c r="O977">
        <f>equip.xml!R981</f>
        <v>0</v>
      </c>
    </row>
    <row r="978" spans="1:15">
      <c r="A978" s="14" t="str">
        <f>equip.xml!A982</f>
        <v>30101060</v>
      </c>
      <c r="B978" s="14">
        <f>equip.xml!B982</f>
        <v>1</v>
      </c>
      <c r="C978" s="14" t="str">
        <f>equip.xml!C982</f>
        <v>金属大盾</v>
      </c>
      <c r="D978" s="14" t="str">
        <f>equip.xml!D982</f>
        <v>副手武器</v>
      </c>
      <c r="E978" s="14">
        <f>equip.xml!E982</f>
        <v>6</v>
      </c>
      <c r="F978" s="14">
        <f>equip.xml!F982</f>
        <v>3</v>
      </c>
      <c r="G978" s="14">
        <f>equip.xml!G982</f>
        <v>10</v>
      </c>
      <c r="H978" s="14" t="str">
        <f>equip.xml!H982</f>
        <v>1,1001</v>
      </c>
      <c r="I978" s="14">
        <f>equip.xml!J982</f>
        <v>20</v>
      </c>
      <c r="J978" s="14">
        <f>equip.xml!K982</f>
        <v>0</v>
      </c>
      <c r="K978" s="14">
        <f>equip.xml!L982</f>
        <v>7500</v>
      </c>
      <c r="L978" s="14" t="str">
        <f>equip.xml!M982</f>
        <v>105_30_30</v>
      </c>
      <c r="M978" s="17" t="str">
        <f>equip.xml!Q982</f>
        <v>equipment/2103.png</v>
      </c>
      <c r="N978" s="16" t="str">
        <f>equip.xml!P982</f>
        <v>10000_1002_10000,30000_30001_1,30000_30002_1,30000_30003_1</v>
      </c>
      <c r="O978">
        <f>equip.xml!R982</f>
        <v>0</v>
      </c>
    </row>
    <row r="979" spans="1:15">
      <c r="A979" s="14" t="str">
        <f>equip.xml!A983</f>
        <v>30101061</v>
      </c>
      <c r="B979" s="14">
        <f>equip.xml!B983</f>
        <v>0</v>
      </c>
      <c r="C979" s="14" t="str">
        <f>equip.xml!C983</f>
        <v>尖头盾</v>
      </c>
      <c r="D979" s="14" t="str">
        <f>equip.xml!D983</f>
        <v>副手武器</v>
      </c>
      <c r="E979" s="14">
        <f>equip.xml!E983</f>
        <v>6</v>
      </c>
      <c r="F979" s="14">
        <f>equip.xml!F983</f>
        <v>3</v>
      </c>
      <c r="G979" s="14">
        <f>equip.xml!G983</f>
        <v>10</v>
      </c>
      <c r="H979" s="14" t="str">
        <f>equip.xml!H983</f>
        <v>1,1001</v>
      </c>
      <c r="I979" s="14">
        <f>equip.xml!J983</f>
        <v>20</v>
      </c>
      <c r="J979" s="14">
        <f>equip.xml!K983</f>
        <v>0</v>
      </c>
      <c r="K979" s="14">
        <f>equip.xml!L983</f>
        <v>10000</v>
      </c>
      <c r="L979" s="14" t="str">
        <f>equip.xml!M983</f>
        <v>105_59_59</v>
      </c>
      <c r="M979" s="17" t="str">
        <f>equip.xml!Q983</f>
        <v>equipment/2101.png</v>
      </c>
      <c r="N979" s="16" t="str">
        <f>equip.xml!P983</f>
        <v>10000_1002_10000,30000_30001_1,30000_30002_1,30000_30003_1</v>
      </c>
      <c r="O979">
        <f>equip.xml!R983</f>
        <v>0</v>
      </c>
    </row>
    <row r="980" spans="1:15">
      <c r="A980" s="14" t="str">
        <f>equip.xml!A984</f>
        <v>30102050</v>
      </c>
      <c r="B980" s="14">
        <f>equip.xml!B984</f>
        <v>1</v>
      </c>
      <c r="C980" s="14" t="str">
        <f>equip.xml!C984</f>
        <v>猎手强弓</v>
      </c>
      <c r="D980" s="14" t="str">
        <f>equip.xml!D984</f>
        <v>主手武器</v>
      </c>
      <c r="E980" s="14">
        <f>equip.xml!E984</f>
        <v>5</v>
      </c>
      <c r="F980" s="14">
        <f>equip.xml!F984</f>
        <v>3</v>
      </c>
      <c r="G980" s="14">
        <f>equip.xml!G984</f>
        <v>10</v>
      </c>
      <c r="H980" s="14" t="str">
        <f>equip.xml!H984</f>
        <v>2,1002</v>
      </c>
      <c r="I980" s="14">
        <f>equip.xml!J984</f>
        <v>20</v>
      </c>
      <c r="J980" s="14">
        <f>equip.xml!K984</f>
        <v>0</v>
      </c>
      <c r="K980" s="14">
        <f>equip.xml!L984</f>
        <v>7500</v>
      </c>
      <c r="L980" s="14" t="str">
        <f>equip.xml!M984</f>
        <v>103_32_32,104_64_64</v>
      </c>
      <c r="M980" s="17" t="str">
        <f>equip.xml!Q984</f>
        <v>equipment/1205.png</v>
      </c>
      <c r="N980" s="16" t="str">
        <f>equip.xml!P984</f>
        <v>10000_1002_10000,30000_30001_1,30000_30002_1,30000_30003_1</v>
      </c>
      <c r="O980">
        <f>equip.xml!R984</f>
        <v>0</v>
      </c>
    </row>
    <row r="981" spans="1:15">
      <c r="A981" s="14" t="str">
        <f>equip.xml!A985</f>
        <v>30102051</v>
      </c>
      <c r="B981" s="14">
        <f>equip.xml!B985</f>
        <v>1</v>
      </c>
      <c r="C981" s="14" t="str">
        <f>equip.xml!C985</f>
        <v>灰木弓</v>
      </c>
      <c r="D981" s="14" t="str">
        <f>equip.xml!D985</f>
        <v>主手武器</v>
      </c>
      <c r="E981" s="14">
        <f>equip.xml!E985</f>
        <v>5</v>
      </c>
      <c r="F981" s="14">
        <f>equip.xml!F985</f>
        <v>3</v>
      </c>
      <c r="G981" s="14">
        <f>equip.xml!G985</f>
        <v>10</v>
      </c>
      <c r="H981" s="14" t="str">
        <f>equip.xml!H985</f>
        <v>2,1002</v>
      </c>
      <c r="I981" s="14">
        <f>equip.xml!J985</f>
        <v>20</v>
      </c>
      <c r="J981" s="14">
        <f>equip.xml!K985</f>
        <v>0</v>
      </c>
      <c r="K981" s="14">
        <f>equip.xml!L985</f>
        <v>10000</v>
      </c>
      <c r="L981" s="14" t="str">
        <f>equip.xml!M985</f>
        <v>103_40_40,104_80_80</v>
      </c>
      <c r="M981" s="17" t="str">
        <f>equip.xml!Q985</f>
        <v>equipment/1206.png</v>
      </c>
      <c r="N981" s="16" t="str">
        <f>equip.xml!P985</f>
        <v>10000_1002_10000,30000_30001_1,30000_30002_1,30000_30003_1</v>
      </c>
      <c r="O981">
        <f>equip.xml!R985</f>
        <v>0</v>
      </c>
    </row>
    <row r="982" spans="1:15">
      <c r="A982" s="14" t="str">
        <f>equip.xml!A986</f>
        <v>30102060</v>
      </c>
      <c r="B982" s="14">
        <f>equip.xml!B986</f>
        <v>1</v>
      </c>
      <c r="C982" s="14" t="str">
        <f>equip.xml!C986</f>
        <v>帆布箭筒</v>
      </c>
      <c r="D982" s="14" t="str">
        <f>equip.xml!D986</f>
        <v>副手武器</v>
      </c>
      <c r="E982" s="14">
        <f>equip.xml!E986</f>
        <v>6</v>
      </c>
      <c r="F982" s="14">
        <f>equip.xml!F986</f>
        <v>3</v>
      </c>
      <c r="G982" s="14">
        <f>equip.xml!G986</f>
        <v>10</v>
      </c>
      <c r="H982" s="14" t="str">
        <f>equip.xml!H986</f>
        <v>2,1002</v>
      </c>
      <c r="I982" s="14">
        <f>equip.xml!J986</f>
        <v>20</v>
      </c>
      <c r="J982" s="14">
        <f>equip.xml!K986</f>
        <v>0</v>
      </c>
      <c r="K982" s="14">
        <f>equip.xml!L986</f>
        <v>7500</v>
      </c>
      <c r="L982" s="14" t="str">
        <f>equip.xml!M986</f>
        <v>108_30_30</v>
      </c>
      <c r="M982" s="17" t="str">
        <f>equip.xml!Q986</f>
        <v>equipment/2203.png</v>
      </c>
      <c r="N982" s="16" t="str">
        <f>equip.xml!P986</f>
        <v>10000_1002_10000,30000_30001_1,30000_30002_1,30000_30003_1</v>
      </c>
      <c r="O982">
        <f>equip.xml!R986</f>
        <v>0</v>
      </c>
    </row>
    <row r="983" spans="1:15">
      <c r="A983" s="14" t="str">
        <f>equip.xml!A987</f>
        <v>30102061</v>
      </c>
      <c r="B983" s="14">
        <f>equip.xml!B987</f>
        <v>0</v>
      </c>
      <c r="C983" s="14" t="str">
        <f>equip.xml!C987</f>
        <v>箭筒</v>
      </c>
      <c r="D983" s="14" t="str">
        <f>equip.xml!D987</f>
        <v>副手武器</v>
      </c>
      <c r="E983" s="14">
        <f>equip.xml!E987</f>
        <v>6</v>
      </c>
      <c r="F983" s="14">
        <f>equip.xml!F987</f>
        <v>3</v>
      </c>
      <c r="G983" s="14">
        <f>equip.xml!G987</f>
        <v>10</v>
      </c>
      <c r="H983" s="14" t="str">
        <f>equip.xml!H987</f>
        <v>2,1002</v>
      </c>
      <c r="I983" s="14">
        <f>equip.xml!J987</f>
        <v>20</v>
      </c>
      <c r="J983" s="14">
        <f>equip.xml!K987</f>
        <v>0</v>
      </c>
      <c r="K983" s="14">
        <f>equip.xml!L987</f>
        <v>10000</v>
      </c>
      <c r="L983" s="14" t="str">
        <f>equip.xml!M987</f>
        <v>108_59_59</v>
      </c>
      <c r="M983" s="17" t="str">
        <f>equip.xml!Q987</f>
        <v>equipment/2201.png</v>
      </c>
      <c r="N983" s="16" t="str">
        <f>equip.xml!P987</f>
        <v>10000_1002_10000,30000_30001_1,30000_30002_1,30000_30003_1</v>
      </c>
      <c r="O983">
        <f>equip.xml!R987</f>
        <v>0</v>
      </c>
    </row>
    <row r="984" spans="1:15">
      <c r="A984" s="14" t="str">
        <f>equip.xml!A988</f>
        <v>30103050</v>
      </c>
      <c r="B984" s="14">
        <f>equip.xml!B988</f>
        <v>1</v>
      </c>
      <c r="C984" s="14" t="str">
        <f>equip.xml!C988</f>
        <v>附魔银棒</v>
      </c>
      <c r="D984" s="14" t="str">
        <f>equip.xml!D988</f>
        <v>主手武器</v>
      </c>
      <c r="E984" s="14">
        <f>equip.xml!E988</f>
        <v>5</v>
      </c>
      <c r="F984" s="14">
        <f>equip.xml!F988</f>
        <v>3</v>
      </c>
      <c r="G984" s="14">
        <f>equip.xml!G988</f>
        <v>10</v>
      </c>
      <c r="H984" s="14" t="str">
        <f>equip.xml!H988</f>
        <v>3,1003</v>
      </c>
      <c r="I984" s="14">
        <f>equip.xml!J988</f>
        <v>20</v>
      </c>
      <c r="J984" s="14">
        <f>equip.xml!K988</f>
        <v>0</v>
      </c>
      <c r="K984" s="14">
        <f>equip.xml!L988</f>
        <v>7500</v>
      </c>
      <c r="L984" s="14" t="str">
        <f>equip.xml!M988</f>
        <v>103_32_32,104_64_64</v>
      </c>
      <c r="M984" s="17" t="str">
        <f>equip.xml!Q988</f>
        <v>equipment/1305.png</v>
      </c>
      <c r="N984" s="16" t="str">
        <f>equip.xml!P988</f>
        <v>10000_1002_10000,30000_30001_1,30000_30002_1,30000_30003_1</v>
      </c>
      <c r="O984">
        <f>equip.xml!R988</f>
        <v>0</v>
      </c>
    </row>
    <row r="985" spans="1:15">
      <c r="A985" s="14" t="str">
        <f>equip.xml!A989</f>
        <v>30103051</v>
      </c>
      <c r="B985" s="14">
        <f>equip.xml!B989</f>
        <v>1</v>
      </c>
      <c r="C985" s="14" t="str">
        <f>equip.xml!C989</f>
        <v>魔导法杖</v>
      </c>
      <c r="D985" s="14" t="str">
        <f>equip.xml!D989</f>
        <v>主手武器</v>
      </c>
      <c r="E985" s="14">
        <f>equip.xml!E989</f>
        <v>5</v>
      </c>
      <c r="F985" s="14">
        <f>equip.xml!F989</f>
        <v>3</v>
      </c>
      <c r="G985" s="14">
        <f>equip.xml!G989</f>
        <v>10</v>
      </c>
      <c r="H985" s="14" t="str">
        <f>equip.xml!H989</f>
        <v>3,1003</v>
      </c>
      <c r="I985" s="14">
        <f>equip.xml!J989</f>
        <v>20</v>
      </c>
      <c r="J985" s="14">
        <f>equip.xml!K989</f>
        <v>0</v>
      </c>
      <c r="K985" s="14">
        <f>equip.xml!L989</f>
        <v>10000</v>
      </c>
      <c r="L985" s="14" t="str">
        <f>equip.xml!M989</f>
        <v>103_40_40,104_80_80</v>
      </c>
      <c r="M985" s="17" t="str">
        <f>equip.xml!Q989</f>
        <v>equipment/1306.png</v>
      </c>
      <c r="N985" s="16" t="str">
        <f>equip.xml!P989</f>
        <v>10000_1002_10000,30000_30001_1,30000_30002_1,30000_30003_1</v>
      </c>
      <c r="O985">
        <f>equip.xml!R989</f>
        <v>0</v>
      </c>
    </row>
    <row r="986" spans="1:15">
      <c r="A986" s="14" t="str">
        <f>equip.xml!A990</f>
        <v>30103060</v>
      </c>
      <c r="B986" s="14">
        <f>equip.xml!B990</f>
        <v>1</v>
      </c>
      <c r="C986" s="14" t="str">
        <f>equip.xml!C990</f>
        <v>奥术典籍</v>
      </c>
      <c r="D986" s="14" t="str">
        <f>equip.xml!D990</f>
        <v>副手武器</v>
      </c>
      <c r="E986" s="14">
        <f>equip.xml!E990</f>
        <v>6</v>
      </c>
      <c r="F986" s="14">
        <f>equip.xml!F990</f>
        <v>3</v>
      </c>
      <c r="G986" s="14">
        <f>equip.xml!G990</f>
        <v>10</v>
      </c>
      <c r="H986" s="14" t="str">
        <f>equip.xml!H990</f>
        <v>3,1003</v>
      </c>
      <c r="I986" s="14">
        <f>equip.xml!J990</f>
        <v>20</v>
      </c>
      <c r="J986" s="14">
        <f>equip.xml!K990</f>
        <v>0</v>
      </c>
      <c r="K986" s="14">
        <f>equip.xml!L990</f>
        <v>7500</v>
      </c>
      <c r="L986" s="14" t="str">
        <f>equip.xml!M990</f>
        <v>102_240_240</v>
      </c>
      <c r="M986" s="17" t="str">
        <f>equip.xml!Q990</f>
        <v>equipment/2303.png</v>
      </c>
      <c r="N986" s="16" t="str">
        <f>equip.xml!P990</f>
        <v>10000_1002_10000,30000_30001_1,30000_30002_1,30000_30003_1</v>
      </c>
      <c r="O986">
        <f>equip.xml!R990</f>
        <v>0</v>
      </c>
    </row>
    <row r="987" spans="1:15">
      <c r="A987" s="14" t="str">
        <f>equip.xml!A991</f>
        <v>30103061</v>
      </c>
      <c r="B987" s="14">
        <f>equip.xml!B991</f>
        <v>0</v>
      </c>
      <c r="C987" s="14" t="str">
        <f>equip.xml!C991</f>
        <v>法术指南</v>
      </c>
      <c r="D987" s="14" t="str">
        <f>equip.xml!D991</f>
        <v>副手武器</v>
      </c>
      <c r="E987" s="14">
        <f>equip.xml!E991</f>
        <v>6</v>
      </c>
      <c r="F987" s="14">
        <f>equip.xml!F991</f>
        <v>3</v>
      </c>
      <c r="G987" s="14">
        <f>equip.xml!G991</f>
        <v>10</v>
      </c>
      <c r="H987" s="14" t="str">
        <f>equip.xml!H991</f>
        <v>3,1003</v>
      </c>
      <c r="I987" s="14">
        <f>equip.xml!J991</f>
        <v>20</v>
      </c>
      <c r="J987" s="14">
        <f>equip.xml!K991</f>
        <v>0</v>
      </c>
      <c r="K987" s="14">
        <f>equip.xml!L991</f>
        <v>10000</v>
      </c>
      <c r="L987" s="14" t="str">
        <f>equip.xml!M991</f>
        <v>102_59_59</v>
      </c>
      <c r="M987" s="17" t="str">
        <f>equip.xml!Q991</f>
        <v>equipment/2301.png</v>
      </c>
      <c r="N987" s="16" t="str">
        <f>equip.xml!P991</f>
        <v>10000_1002_10000,30000_30001_1,30000_30002_1,30000_30003_1</v>
      </c>
      <c r="O987">
        <f>equip.xml!R991</f>
        <v>0</v>
      </c>
    </row>
    <row r="988" spans="1:15">
      <c r="A988" s="14" t="str">
        <f>equip.xml!A992</f>
        <v>30100040</v>
      </c>
      <c r="B988" s="14">
        <f>equip.xml!B992</f>
        <v>1</v>
      </c>
      <c r="C988" s="14" t="str">
        <f>equip.xml!C992</f>
        <v>硬皮外套</v>
      </c>
      <c r="D988" s="14" t="str">
        <f>equip.xml!D992</f>
        <v>胸甲</v>
      </c>
      <c r="E988" s="14">
        <f>equip.xml!E992</f>
        <v>4</v>
      </c>
      <c r="F988" s="14">
        <f>equip.xml!F992</f>
        <v>3</v>
      </c>
      <c r="G988" s="14">
        <f>equip.xml!G992</f>
        <v>10</v>
      </c>
      <c r="H988" s="14">
        <f>equip.xml!H992</f>
        <v>0</v>
      </c>
      <c r="I988" s="14">
        <f>equip.xml!J992</f>
        <v>20</v>
      </c>
      <c r="J988" s="14">
        <f>equip.xml!K992</f>
        <v>0</v>
      </c>
      <c r="K988" s="14">
        <f>equip.xml!L992</f>
        <v>7500</v>
      </c>
      <c r="L988" s="14" t="str">
        <f>equip.xml!M992</f>
        <v>105_20_20</v>
      </c>
      <c r="M988" s="17" t="str">
        <f>equip.xml!Q992</f>
        <v>equipment/5003.png</v>
      </c>
      <c r="N988" s="16" t="str">
        <f>equip.xml!P992</f>
        <v>10000_1002_10000,30000_30001_1,30000_30002_1,30000_30003_1</v>
      </c>
      <c r="O988">
        <f>equip.xml!R992</f>
        <v>0</v>
      </c>
    </row>
    <row r="989" spans="1:15">
      <c r="A989" s="14" t="str">
        <f>equip.xml!A993</f>
        <v>30100041</v>
      </c>
      <c r="B989" s="14">
        <f>equip.xml!B993</f>
        <v>0</v>
      </c>
      <c r="C989" s="14" t="str">
        <f>equip.xml!C993</f>
        <v>新兵外套</v>
      </c>
      <c r="D989" s="14" t="str">
        <f>equip.xml!D993</f>
        <v>胸甲</v>
      </c>
      <c r="E989" s="14">
        <f>equip.xml!E993</f>
        <v>4</v>
      </c>
      <c r="F989" s="14">
        <f>equip.xml!F993</f>
        <v>3</v>
      </c>
      <c r="G989" s="14">
        <f>equip.xml!G993</f>
        <v>10</v>
      </c>
      <c r="H989" s="14">
        <f>equip.xml!H993</f>
        <v>0</v>
      </c>
      <c r="I989" s="14">
        <f>equip.xml!J993</f>
        <v>20</v>
      </c>
      <c r="J989" s="14">
        <f>equip.xml!K993</f>
        <v>0</v>
      </c>
      <c r="K989" s="14">
        <f>equip.xml!L993</f>
        <v>10000</v>
      </c>
      <c r="L989" s="14" t="str">
        <f>equip.xml!M993</f>
        <v>105_28_28</v>
      </c>
      <c r="M989" s="17" t="str">
        <f>equip.xml!Q993</f>
        <v>equipment/5001.png</v>
      </c>
      <c r="N989" s="16" t="str">
        <f>equip.xml!P993</f>
        <v>10000_1002_10000,30000_30001_1,30000_30002_1,30000_30003_1</v>
      </c>
      <c r="O989">
        <f>equip.xml!R993</f>
        <v>0</v>
      </c>
    </row>
    <row r="990" spans="1:15">
      <c r="A990" s="14" t="str">
        <f>equip.xml!A994</f>
        <v>30100070</v>
      </c>
      <c r="B990" s="14">
        <f>equip.xml!B994</f>
        <v>1</v>
      </c>
      <c r="C990" s="14" t="str">
        <f>equip.xml!C994</f>
        <v>护卫短裤</v>
      </c>
      <c r="D990" s="14" t="str">
        <f>equip.xml!D994</f>
        <v>护腿</v>
      </c>
      <c r="E990" s="14">
        <f>equip.xml!E994</f>
        <v>7</v>
      </c>
      <c r="F990" s="14">
        <f>equip.xml!F994</f>
        <v>3</v>
      </c>
      <c r="G990" s="14">
        <f>equip.xml!G994</f>
        <v>10</v>
      </c>
      <c r="H990" s="14">
        <f>equip.xml!H994</f>
        <v>0</v>
      </c>
      <c r="I990" s="14">
        <f>equip.xml!J994</f>
        <v>20</v>
      </c>
      <c r="J990" s="14">
        <f>equip.xml!K994</f>
        <v>0</v>
      </c>
      <c r="K990" s="14">
        <f>equip.xml!L994</f>
        <v>7500</v>
      </c>
      <c r="L990" s="14" t="str">
        <f>equip.xml!M994</f>
        <v>105_20_20</v>
      </c>
      <c r="M990" s="17" t="str">
        <f>equip.xml!Q994</f>
        <v>equipment/7003.png</v>
      </c>
      <c r="N990" s="16" t="str">
        <f>equip.xml!P994</f>
        <v>10000_1002_10000,30000_30001_1,30000_30002_1,30000_30003_1</v>
      </c>
      <c r="O990">
        <f>equip.xml!R994</f>
        <v>0</v>
      </c>
    </row>
    <row r="991" spans="1:15">
      <c r="A991" s="14" t="str">
        <f>equip.xml!A995</f>
        <v>30100071</v>
      </c>
      <c r="B991" s="14">
        <f>equip.xml!B995</f>
        <v>0</v>
      </c>
      <c r="C991" s="14" t="str">
        <f>equip.xml!C995</f>
        <v>学徒短裤</v>
      </c>
      <c r="D991" s="14" t="str">
        <f>equip.xml!D995</f>
        <v>护腿</v>
      </c>
      <c r="E991" s="14">
        <f>equip.xml!E995</f>
        <v>7</v>
      </c>
      <c r="F991" s="14">
        <f>equip.xml!F995</f>
        <v>3</v>
      </c>
      <c r="G991" s="14">
        <f>equip.xml!G995</f>
        <v>10</v>
      </c>
      <c r="H991" s="14">
        <f>equip.xml!H995</f>
        <v>0</v>
      </c>
      <c r="I991" s="14">
        <f>equip.xml!J995</f>
        <v>20</v>
      </c>
      <c r="J991" s="14">
        <f>equip.xml!K995</f>
        <v>0</v>
      </c>
      <c r="K991" s="14">
        <f>equip.xml!L995</f>
        <v>10000</v>
      </c>
      <c r="L991" s="14" t="str">
        <f>equip.xml!M995</f>
        <v>105_28_28</v>
      </c>
      <c r="M991" s="17" t="str">
        <f>equip.xml!Q995</f>
        <v>equipment/7001.png</v>
      </c>
      <c r="N991" s="16" t="str">
        <f>equip.xml!P995</f>
        <v>10000_1002_10000,30000_30001_1,30000_30002_1,30000_30003_1</v>
      </c>
      <c r="O991">
        <f>equip.xml!R995</f>
        <v>0</v>
      </c>
    </row>
    <row r="992" spans="1:15">
      <c r="A992" s="14" t="str">
        <f>equip.xml!A996</f>
        <v>30150010</v>
      </c>
      <c r="B992" s="14">
        <f>equip.xml!B996</f>
        <v>0</v>
      </c>
      <c r="C992" s="14" t="str">
        <f>equip.xml!C996</f>
        <v>纹饰帽</v>
      </c>
      <c r="D992" s="14" t="str">
        <f>equip.xml!D996</f>
        <v>头盔</v>
      </c>
      <c r="E992" s="14">
        <f>equip.xml!E996</f>
        <v>1</v>
      </c>
      <c r="F992" s="14">
        <f>equip.xml!F996</f>
        <v>3</v>
      </c>
      <c r="G992" s="14">
        <f>equip.xml!G996</f>
        <v>15</v>
      </c>
      <c r="H992" s="14">
        <f>equip.xml!H996</f>
        <v>0</v>
      </c>
      <c r="I992" s="14">
        <f>equip.xml!J996</f>
        <v>20</v>
      </c>
      <c r="J992" s="14">
        <f>equip.xml!K996</f>
        <v>0</v>
      </c>
      <c r="K992" s="14">
        <f>equip.xml!L996</f>
        <v>10000</v>
      </c>
      <c r="L992" s="14" t="str">
        <f>equip.xml!M996</f>
        <v>106_64_64</v>
      </c>
      <c r="M992" s="17" t="str">
        <f>equip.xml!Q996</f>
        <v>equipment/3001.png</v>
      </c>
      <c r="N992" s="16" t="str">
        <f>equip.xml!P996</f>
        <v>10000_1002_15000,30000_30001_1,30000_30002_1,30000_30003_1</v>
      </c>
      <c r="O992">
        <f>equip.xml!R996</f>
        <v>0</v>
      </c>
    </row>
    <row r="993" spans="1:15">
      <c r="A993" s="14" t="str">
        <f>equip.xml!A997</f>
        <v>30150020</v>
      </c>
      <c r="B993" s="14">
        <f>equip.xml!B997</f>
        <v>0</v>
      </c>
      <c r="C993" s="14" t="str">
        <f>equip.xml!C997</f>
        <v>金戒指</v>
      </c>
      <c r="D993" s="14" t="str">
        <f>equip.xml!D997</f>
        <v>戒指</v>
      </c>
      <c r="E993" s="14">
        <f>equip.xml!E997</f>
        <v>2</v>
      </c>
      <c r="F993" s="14">
        <f>equip.xml!F997</f>
        <v>3</v>
      </c>
      <c r="G993" s="14">
        <f>equip.xml!G997</f>
        <v>15</v>
      </c>
      <c r="H993" s="14">
        <f>equip.xml!H997</f>
        <v>0</v>
      </c>
      <c r="I993" s="14">
        <f>equip.xml!J997</f>
        <v>20</v>
      </c>
      <c r="J993" s="14">
        <f>equip.xml!K997</f>
        <v>0</v>
      </c>
      <c r="K993" s="14">
        <f>equip.xml!L997</f>
        <v>10000</v>
      </c>
      <c r="L993" s="14" t="str">
        <f>equip.xml!M997</f>
        <v>102_185_185</v>
      </c>
      <c r="M993" s="17" t="str">
        <f>equip.xml!Q997</f>
        <v>equipment/14001.png</v>
      </c>
      <c r="N993" s="16" t="str">
        <f>equip.xml!P997</f>
        <v>10000_1002_15000,30000_30001_1,30000_30002_1,30000_30003_1</v>
      </c>
      <c r="O993">
        <f>equip.xml!R997</f>
        <v>0</v>
      </c>
    </row>
    <row r="994" spans="1:15">
      <c r="A994" s="14" t="str">
        <f>equip.xml!A998</f>
        <v>30150030</v>
      </c>
      <c r="B994" s="14">
        <f>equip.xml!B998</f>
        <v>1</v>
      </c>
      <c r="C994" s="14" t="str">
        <f>equip.xml!C998</f>
        <v>铁锁腰带</v>
      </c>
      <c r="D994" s="14" t="str">
        <f>equip.xml!D998</f>
        <v>腰带</v>
      </c>
      <c r="E994" s="14">
        <f>equip.xml!E998</f>
        <v>3</v>
      </c>
      <c r="F994" s="14">
        <f>equip.xml!F998</f>
        <v>3</v>
      </c>
      <c r="G994" s="14">
        <f>equip.xml!G998</f>
        <v>15</v>
      </c>
      <c r="H994" s="14">
        <f>equip.xml!H998</f>
        <v>0</v>
      </c>
      <c r="I994" s="14">
        <f>equip.xml!J998</f>
        <v>20</v>
      </c>
      <c r="J994" s="14">
        <f>equip.xml!K998</f>
        <v>0</v>
      </c>
      <c r="K994" s="14">
        <f>equip.xml!L998</f>
        <v>10000</v>
      </c>
      <c r="L994" s="14" t="str">
        <f>equip.xml!M998</f>
        <v>101_1160_1160</v>
      </c>
      <c r="M994" s="17" t="str">
        <f>equip.xml!Q998</f>
        <v>equipment/6003.png</v>
      </c>
      <c r="N994" s="16" t="str">
        <f>equip.xml!P998</f>
        <v>10000_1002_15000,30000_30001_1,30000_30002_1,30000_30003_1</v>
      </c>
      <c r="O994">
        <f>equip.xml!R998</f>
        <v>0</v>
      </c>
    </row>
    <row r="995" spans="1:15">
      <c r="A995" s="14" t="str">
        <f>equip.xml!A999</f>
        <v>30150080</v>
      </c>
      <c r="B995" s="14">
        <f>equip.xml!B999</f>
        <v>1</v>
      </c>
      <c r="C995" s="14" t="str">
        <f>equip.xml!C999</f>
        <v>链甲战靴</v>
      </c>
      <c r="D995" s="14" t="str">
        <f>equip.xml!D999</f>
        <v>鞋子</v>
      </c>
      <c r="E995" s="14">
        <f>equip.xml!E999</f>
        <v>8</v>
      </c>
      <c r="F995" s="14">
        <f>equip.xml!F999</f>
        <v>3</v>
      </c>
      <c r="G995" s="14">
        <f>equip.xml!G999</f>
        <v>15</v>
      </c>
      <c r="H995" s="14">
        <f>equip.xml!H999</f>
        <v>0</v>
      </c>
      <c r="I995" s="14">
        <f>equip.xml!J999</f>
        <v>20</v>
      </c>
      <c r="J995" s="14">
        <f>equip.xml!K999</f>
        <v>0</v>
      </c>
      <c r="K995" s="14">
        <f>equip.xml!L999</f>
        <v>10000</v>
      </c>
      <c r="L995" s="14" t="str">
        <f>equip.xml!M999</f>
        <v>110_27_27</v>
      </c>
      <c r="M995" s="17" t="str">
        <f>equip.xml!Q999</f>
        <v>equipment/8003.png</v>
      </c>
      <c r="N995" s="16" t="str">
        <f>equip.xml!P999</f>
        <v>10000_1002_15000,30000_30001_1,30000_30002_1,30000_30003_1</v>
      </c>
      <c r="O995">
        <f>equip.xml!R999</f>
        <v>0</v>
      </c>
    </row>
    <row r="996" spans="1:15">
      <c r="A996" s="14" t="str">
        <f>equip.xml!A1000</f>
        <v>30150090</v>
      </c>
      <c r="B996" s="14">
        <f>equip.xml!B1000</f>
        <v>1</v>
      </c>
      <c r="C996" s="14" t="str">
        <f>equip.xml!C1000</f>
        <v>战痕手套</v>
      </c>
      <c r="D996" s="14" t="str">
        <f>equip.xml!D1000</f>
        <v>手套</v>
      </c>
      <c r="E996" s="14">
        <f>equip.xml!E1000</f>
        <v>9</v>
      </c>
      <c r="F996" s="14">
        <f>equip.xml!F1000</f>
        <v>3</v>
      </c>
      <c r="G996" s="14">
        <f>equip.xml!G1000</f>
        <v>15</v>
      </c>
      <c r="H996" s="14">
        <f>equip.xml!H1000</f>
        <v>0</v>
      </c>
      <c r="I996" s="14">
        <f>equip.xml!J1000</f>
        <v>20</v>
      </c>
      <c r="J996" s="14">
        <f>equip.xml!K1000</f>
        <v>0</v>
      </c>
      <c r="K996" s="14">
        <f>equip.xml!L1000</f>
        <v>10000</v>
      </c>
      <c r="L996" s="14" t="str">
        <f>equip.xml!M1000</f>
        <v>108_106_106</v>
      </c>
      <c r="M996" s="17" t="str">
        <f>equip.xml!Q1000</f>
        <v>equipment/10003.png</v>
      </c>
      <c r="N996" s="16" t="str">
        <f>equip.xml!P1000</f>
        <v>10000_1002_15000,30000_30001_1,30000_30002_1,30000_30003_1</v>
      </c>
      <c r="O996">
        <f>equip.xml!R1000</f>
        <v>0</v>
      </c>
    </row>
    <row r="997" spans="1:15">
      <c r="A997" s="14" t="str">
        <f>equip.xml!A1001</f>
        <v>30150100</v>
      </c>
      <c r="B997" s="14">
        <f>equip.xml!B1001</f>
        <v>1</v>
      </c>
      <c r="C997" s="14" t="str">
        <f>equip.xml!C1001</f>
        <v>使者项链</v>
      </c>
      <c r="D997" s="14" t="str">
        <f>equip.xml!D1001</f>
        <v>项链</v>
      </c>
      <c r="E997" s="14">
        <f>equip.xml!E1001</f>
        <v>10</v>
      </c>
      <c r="F997" s="14">
        <f>equip.xml!F1001</f>
        <v>3</v>
      </c>
      <c r="G997" s="14">
        <f>equip.xml!G1001</f>
        <v>15</v>
      </c>
      <c r="H997" s="14">
        <f>equip.xml!H1001</f>
        <v>0</v>
      </c>
      <c r="I997" s="14">
        <f>equip.xml!J1001</f>
        <v>20</v>
      </c>
      <c r="J997" s="14">
        <f>equip.xml!K1001</f>
        <v>0</v>
      </c>
      <c r="K997" s="14">
        <f>equip.xml!L1001</f>
        <v>10000</v>
      </c>
      <c r="L997" s="14" t="str">
        <f>equip.xml!M1001</f>
        <v>107_64_64</v>
      </c>
      <c r="M997" s="17" t="str">
        <f>equip.xml!Q1001</f>
        <v>equipment/12002.png</v>
      </c>
      <c r="N997" s="16" t="str">
        <f>equip.xml!P1001</f>
        <v>10000_1002_15000,30000_30001_1,30000_30002_1,30000_30003_1</v>
      </c>
      <c r="O997">
        <f>equip.xml!R1001</f>
        <v>0</v>
      </c>
    </row>
    <row r="998" spans="1:15">
      <c r="A998" s="14" t="str">
        <f>equip.xml!A1002</f>
        <v>30151050</v>
      </c>
      <c r="B998" s="14">
        <f>equip.xml!B1002</f>
        <v>1</v>
      </c>
      <c r="C998" s="14" t="str">
        <f>equip.xml!C1002</f>
        <v>宽刃剑</v>
      </c>
      <c r="D998" s="14" t="str">
        <f>equip.xml!D1002</f>
        <v>主手武器</v>
      </c>
      <c r="E998" s="14">
        <f>equip.xml!E1002</f>
        <v>5</v>
      </c>
      <c r="F998" s="14">
        <f>equip.xml!F1002</f>
        <v>3</v>
      </c>
      <c r="G998" s="14">
        <f>equip.xml!G1002</f>
        <v>15</v>
      </c>
      <c r="H998" s="14" t="str">
        <f>equip.xml!H1002</f>
        <v>1,1001</v>
      </c>
      <c r="I998" s="14">
        <f>equip.xml!J1002</f>
        <v>20</v>
      </c>
      <c r="J998" s="14">
        <f>equip.xml!K1002</f>
        <v>0</v>
      </c>
      <c r="K998" s="14">
        <f>equip.xml!L1002</f>
        <v>10000</v>
      </c>
      <c r="L998" s="14" t="str">
        <f>equip.xml!M1002</f>
        <v>103_52_52,104_104_104</v>
      </c>
      <c r="M998" s="17" t="str">
        <f>equip.xml!Q1002</f>
        <v>equipment/1108.png</v>
      </c>
      <c r="N998" s="16" t="str">
        <f>equip.xml!P1002</f>
        <v>10000_1002_15000,30000_30001_1,30000_30002_1,30000_30003_1</v>
      </c>
      <c r="O998">
        <f>equip.xml!R1002</f>
        <v>0</v>
      </c>
    </row>
    <row r="999" spans="1:15">
      <c r="A999" s="14" t="str">
        <f>equip.xml!A1003</f>
        <v>30151051</v>
      </c>
      <c r="B999" s="14">
        <f>equip.xml!B1003</f>
        <v>1</v>
      </c>
      <c r="C999" s="14" t="str">
        <f>equip.xml!C1003</f>
        <v>游侠之刃</v>
      </c>
      <c r="D999" s="14" t="str">
        <f>equip.xml!D1003</f>
        <v>主手武器</v>
      </c>
      <c r="E999" s="14">
        <f>equip.xml!E1003</f>
        <v>5</v>
      </c>
      <c r="F999" s="14">
        <f>equip.xml!F1003</f>
        <v>3</v>
      </c>
      <c r="G999" s="14">
        <f>equip.xml!G1003</f>
        <v>15</v>
      </c>
      <c r="H999" s="14" t="str">
        <f>equip.xml!H1003</f>
        <v>1,1001</v>
      </c>
      <c r="I999" s="14">
        <f>equip.xml!J1003</f>
        <v>20</v>
      </c>
      <c r="J999" s="14">
        <f>equip.xml!K1003</f>
        <v>0</v>
      </c>
      <c r="K999" s="14">
        <f>equip.xml!L1003</f>
        <v>12500</v>
      </c>
      <c r="L999" s="14" t="str">
        <f>equip.xml!M1003</f>
        <v>103_76_76,104_152_152</v>
      </c>
      <c r="M999" s="17" t="str">
        <f>equip.xml!Q1003</f>
        <v>equipment/1107.png</v>
      </c>
      <c r="N999" s="16" t="str">
        <f>equip.xml!P1003</f>
        <v>10000_1002_15000,30000_30001_1,30000_30002_1,30000_30003_1</v>
      </c>
      <c r="O999">
        <f>equip.xml!R1003</f>
        <v>0</v>
      </c>
    </row>
    <row r="1000" spans="1:15">
      <c r="A1000" s="14" t="str">
        <f>equip.xml!A1004</f>
        <v>30151060</v>
      </c>
      <c r="B1000" s="14">
        <f>equip.xml!B1004</f>
        <v>1</v>
      </c>
      <c r="C1000" s="14" t="str">
        <f>equip.xml!C1004</f>
        <v>鸢盾</v>
      </c>
      <c r="D1000" s="14" t="str">
        <f>equip.xml!D1004</f>
        <v>副手武器</v>
      </c>
      <c r="E1000" s="14">
        <f>equip.xml!E1004</f>
        <v>6</v>
      </c>
      <c r="F1000" s="14">
        <f>equip.xml!F1004</f>
        <v>3</v>
      </c>
      <c r="G1000" s="14">
        <f>equip.xml!G1004</f>
        <v>15</v>
      </c>
      <c r="H1000" s="14" t="str">
        <f>equip.xml!H1004</f>
        <v>1,1001</v>
      </c>
      <c r="I1000" s="14">
        <f>equip.xml!J1004</f>
        <v>20</v>
      </c>
      <c r="J1000" s="14">
        <f>equip.xml!K1004</f>
        <v>0</v>
      </c>
      <c r="K1000" s="14">
        <f>equip.xml!L1004</f>
        <v>10000</v>
      </c>
      <c r="L1000" s="14" t="str">
        <f>equip.xml!M1004</f>
        <v>105_103_103</v>
      </c>
      <c r="M1000" s="17" t="str">
        <f>equip.xml!Q1004</f>
        <v>equipment/2105.png</v>
      </c>
      <c r="N1000" s="16" t="str">
        <f>equip.xml!P1004</f>
        <v>10000_1002_15000,30000_30001_1,30000_30002_1,30000_30003_1</v>
      </c>
      <c r="O1000">
        <f>equip.xml!R1004</f>
        <v>0</v>
      </c>
    </row>
    <row r="1001" spans="1:15">
      <c r="A1001" s="14" t="str">
        <f>equip.xml!A1005</f>
        <v>30151061</v>
      </c>
      <c r="B1001" s="14">
        <f>equip.xml!B1005</f>
        <v>0</v>
      </c>
      <c r="C1001" s="14" t="str">
        <f>equip.xml!C1005</f>
        <v>尖头盾</v>
      </c>
      <c r="D1001" s="14" t="str">
        <f>equip.xml!D1005</f>
        <v>副手武器</v>
      </c>
      <c r="E1001" s="14">
        <f>equip.xml!E1005</f>
        <v>6</v>
      </c>
      <c r="F1001" s="14">
        <f>equip.xml!F1005</f>
        <v>3</v>
      </c>
      <c r="G1001" s="14">
        <f>equip.xml!G1005</f>
        <v>15</v>
      </c>
      <c r="H1001" s="14" t="str">
        <f>equip.xml!H1005</f>
        <v>1,1001</v>
      </c>
      <c r="I1001" s="14">
        <f>equip.xml!J1005</f>
        <v>20</v>
      </c>
      <c r="J1001" s="14">
        <f>equip.xml!K1005</f>
        <v>0</v>
      </c>
      <c r="K1001" s="14">
        <f>equip.xml!L1005</f>
        <v>12500</v>
      </c>
      <c r="L1001" s="14" t="str">
        <f>equip.xml!M1005</f>
        <v>105_130_130</v>
      </c>
      <c r="M1001" s="17" t="str">
        <f>equip.xml!Q1005</f>
        <v>equipment/2101.png</v>
      </c>
      <c r="N1001" s="16" t="str">
        <f>equip.xml!P1005</f>
        <v>10000_1002_15000,30000_30001_1,30000_30002_1,30000_30003_1</v>
      </c>
      <c r="O1001">
        <f>equip.xml!R1005</f>
        <v>0</v>
      </c>
    </row>
    <row r="1002" spans="1:15">
      <c r="A1002" s="14" t="str">
        <f>equip.xml!A1006</f>
        <v>30152050</v>
      </c>
      <c r="B1002" s="14">
        <f>equip.xml!B1006</f>
        <v>1</v>
      </c>
      <c r="C1002" s="14" t="str">
        <f>equip.xml!C1006</f>
        <v>狩猎之弓</v>
      </c>
      <c r="D1002" s="14" t="str">
        <f>equip.xml!D1006</f>
        <v>主手武器</v>
      </c>
      <c r="E1002" s="14">
        <f>equip.xml!E1006</f>
        <v>5</v>
      </c>
      <c r="F1002" s="14">
        <f>equip.xml!F1006</f>
        <v>3</v>
      </c>
      <c r="G1002" s="14">
        <f>equip.xml!G1006</f>
        <v>15</v>
      </c>
      <c r="H1002" s="14" t="str">
        <f>equip.xml!H1006</f>
        <v>2,1002</v>
      </c>
      <c r="I1002" s="14">
        <f>equip.xml!J1006</f>
        <v>20</v>
      </c>
      <c r="J1002" s="14">
        <f>equip.xml!K1006</f>
        <v>0</v>
      </c>
      <c r="K1002" s="14">
        <f>equip.xml!L1006</f>
        <v>10000</v>
      </c>
      <c r="L1002" s="14" t="str">
        <f>equip.xml!M1006</f>
        <v>103_52_52,104_104_104</v>
      </c>
      <c r="M1002" s="17" t="str">
        <f>equip.xml!Q1006</f>
        <v>equipment/1207.png</v>
      </c>
      <c r="N1002" s="16" t="str">
        <f>equip.xml!P1006</f>
        <v>10000_1002_15000,30000_30001_1,30000_30002_1,30000_30003_1</v>
      </c>
      <c r="O1002">
        <f>equip.xml!R1006</f>
        <v>0</v>
      </c>
    </row>
    <row r="1003" spans="1:15">
      <c r="A1003" s="14" t="str">
        <f>equip.xml!A1007</f>
        <v>30152051</v>
      </c>
      <c r="B1003" s="14">
        <f>equip.xml!B1007</f>
        <v>1</v>
      </c>
      <c r="C1003" s="14" t="str">
        <f>equip.xml!C1007</f>
        <v>半人马长弓</v>
      </c>
      <c r="D1003" s="14" t="str">
        <f>equip.xml!D1007</f>
        <v>主手武器</v>
      </c>
      <c r="E1003" s="14">
        <f>equip.xml!E1007</f>
        <v>5</v>
      </c>
      <c r="F1003" s="14">
        <f>equip.xml!F1007</f>
        <v>3</v>
      </c>
      <c r="G1003" s="14">
        <f>equip.xml!G1007</f>
        <v>15</v>
      </c>
      <c r="H1003" s="14" t="str">
        <f>equip.xml!H1007</f>
        <v>2,1002</v>
      </c>
      <c r="I1003" s="14">
        <f>equip.xml!J1007</f>
        <v>20</v>
      </c>
      <c r="J1003" s="14">
        <f>equip.xml!K1007</f>
        <v>0</v>
      </c>
      <c r="K1003" s="14">
        <f>equip.xml!L1007</f>
        <v>12500</v>
      </c>
      <c r="L1003" s="14" t="str">
        <f>equip.xml!M1007</f>
        <v>103_76_76,104_152_152</v>
      </c>
      <c r="M1003" s="17" t="str">
        <f>equip.xml!Q1007</f>
        <v>equipment/1208.png</v>
      </c>
      <c r="N1003" s="16" t="str">
        <f>equip.xml!P1007</f>
        <v>10000_1002_15000,30000_30001_1,30000_30002_1,30000_30003_1</v>
      </c>
      <c r="O1003">
        <f>equip.xml!R1007</f>
        <v>0</v>
      </c>
    </row>
    <row r="1004" spans="1:15">
      <c r="A1004" s="14" t="str">
        <f>equip.xml!A1008</f>
        <v>30152060</v>
      </c>
      <c r="B1004" s="14">
        <f>equip.xml!B1008</f>
        <v>1</v>
      </c>
      <c r="C1004" s="14" t="str">
        <f>equip.xml!C1008</f>
        <v>皮革箭筒</v>
      </c>
      <c r="D1004" s="14" t="str">
        <f>equip.xml!D1008</f>
        <v>副手武器</v>
      </c>
      <c r="E1004" s="14">
        <f>equip.xml!E1008</f>
        <v>6</v>
      </c>
      <c r="F1004" s="14">
        <f>equip.xml!F1008</f>
        <v>3</v>
      </c>
      <c r="G1004" s="14">
        <f>equip.xml!G1008</f>
        <v>15</v>
      </c>
      <c r="H1004" s="14" t="str">
        <f>equip.xml!H1008</f>
        <v>2,1002</v>
      </c>
      <c r="I1004" s="14">
        <f>equip.xml!J1008</f>
        <v>20</v>
      </c>
      <c r="J1004" s="14">
        <f>equip.xml!K1008</f>
        <v>0</v>
      </c>
      <c r="K1004" s="14">
        <f>equip.xml!L1008</f>
        <v>10000</v>
      </c>
      <c r="L1004" s="14" t="str">
        <f>equip.xml!M1008</f>
        <v>108_103_103</v>
      </c>
      <c r="M1004" s="17" t="str">
        <f>equip.xml!Q1008</f>
        <v>equipment/2204.png</v>
      </c>
      <c r="N1004" s="16" t="str">
        <f>equip.xml!P1008</f>
        <v>10000_1002_15000,30000_30001_1,30000_30002_1,30000_30003_1</v>
      </c>
      <c r="O1004">
        <f>equip.xml!R1008</f>
        <v>0</v>
      </c>
    </row>
    <row r="1005" spans="1:15">
      <c r="A1005" s="14" t="str">
        <f>equip.xml!A1009</f>
        <v>30152061</v>
      </c>
      <c r="B1005" s="14">
        <f>equip.xml!B1009</f>
        <v>0</v>
      </c>
      <c r="C1005" s="14" t="str">
        <f>equip.xml!C1009</f>
        <v>箭筒</v>
      </c>
      <c r="D1005" s="14" t="str">
        <f>equip.xml!D1009</f>
        <v>副手武器</v>
      </c>
      <c r="E1005" s="14">
        <f>equip.xml!E1009</f>
        <v>6</v>
      </c>
      <c r="F1005" s="14">
        <f>equip.xml!F1009</f>
        <v>3</v>
      </c>
      <c r="G1005" s="14">
        <f>equip.xml!G1009</f>
        <v>15</v>
      </c>
      <c r="H1005" s="14" t="str">
        <f>equip.xml!H1009</f>
        <v>2,1002</v>
      </c>
      <c r="I1005" s="14">
        <f>equip.xml!J1009</f>
        <v>20</v>
      </c>
      <c r="J1005" s="14">
        <f>equip.xml!K1009</f>
        <v>0</v>
      </c>
      <c r="K1005" s="14">
        <f>equip.xml!L1009</f>
        <v>12500</v>
      </c>
      <c r="L1005" s="14" t="str">
        <f>equip.xml!M1009</f>
        <v>108_130_130</v>
      </c>
      <c r="M1005" s="17" t="str">
        <f>equip.xml!Q1009</f>
        <v>equipment/2201.png</v>
      </c>
      <c r="N1005" s="16" t="str">
        <f>equip.xml!P1009</f>
        <v>10000_1002_15000,30000_30001_1,30000_30002_1,30000_30003_1</v>
      </c>
      <c r="O1005">
        <f>equip.xml!R1009</f>
        <v>0</v>
      </c>
    </row>
    <row r="1006" spans="1:15">
      <c r="A1006" s="14" t="str">
        <f>equip.xml!A1010</f>
        <v>30153050</v>
      </c>
      <c r="B1006" s="14">
        <f>equip.xml!B1010</f>
        <v>1</v>
      </c>
      <c r="C1006" s="14" t="str">
        <f>equip.xml!C1010</f>
        <v>风灵法杖</v>
      </c>
      <c r="D1006" s="14" t="str">
        <f>equip.xml!D1010</f>
        <v>主手武器</v>
      </c>
      <c r="E1006" s="14">
        <f>equip.xml!E1010</f>
        <v>5</v>
      </c>
      <c r="F1006" s="14">
        <f>equip.xml!F1010</f>
        <v>3</v>
      </c>
      <c r="G1006" s="14">
        <f>equip.xml!G1010</f>
        <v>15</v>
      </c>
      <c r="H1006" s="14" t="str">
        <f>equip.xml!H1010</f>
        <v>3,1003</v>
      </c>
      <c r="I1006" s="14">
        <f>equip.xml!J1010</f>
        <v>20</v>
      </c>
      <c r="J1006" s="14">
        <f>equip.xml!K1010</f>
        <v>0</v>
      </c>
      <c r="K1006" s="14">
        <f>equip.xml!L1010</f>
        <v>10000</v>
      </c>
      <c r="L1006" s="14" t="str">
        <f>equip.xml!M1010</f>
        <v>103_52_52,104_104_104</v>
      </c>
      <c r="M1006" s="17" t="str">
        <f>equip.xml!Q1010</f>
        <v>equipment/1307.png</v>
      </c>
      <c r="N1006" s="16" t="str">
        <f>equip.xml!P1010</f>
        <v>10000_1002_15000,30000_30001_1,30000_30002_1,30000_30003_1</v>
      </c>
      <c r="O1006">
        <f>equip.xml!R1010</f>
        <v>0</v>
      </c>
    </row>
    <row r="1007" spans="1:15">
      <c r="A1007" s="14" t="str">
        <f>equip.xml!A1011</f>
        <v>30153051</v>
      </c>
      <c r="B1007" s="14">
        <f>equip.xml!B1011</f>
        <v>1</v>
      </c>
      <c r="C1007" s="14" t="str">
        <f>equip.xml!C1011</f>
        <v>禁锢之杖</v>
      </c>
      <c r="D1007" s="14" t="str">
        <f>equip.xml!D1011</f>
        <v>主手武器</v>
      </c>
      <c r="E1007" s="14">
        <f>equip.xml!E1011</f>
        <v>5</v>
      </c>
      <c r="F1007" s="14">
        <f>equip.xml!F1011</f>
        <v>3</v>
      </c>
      <c r="G1007" s="14">
        <f>equip.xml!G1011</f>
        <v>15</v>
      </c>
      <c r="H1007" s="14" t="str">
        <f>equip.xml!H1011</f>
        <v>3,1003</v>
      </c>
      <c r="I1007" s="14">
        <f>equip.xml!J1011</f>
        <v>20</v>
      </c>
      <c r="J1007" s="14">
        <f>equip.xml!K1011</f>
        <v>0</v>
      </c>
      <c r="K1007" s="14">
        <f>equip.xml!L1011</f>
        <v>12500</v>
      </c>
      <c r="L1007" s="14" t="str">
        <f>equip.xml!M1011</f>
        <v>103_76_76,104_152_152</v>
      </c>
      <c r="M1007" s="17" t="str">
        <f>equip.xml!Q1011</f>
        <v>equipment/1308.png</v>
      </c>
      <c r="N1007" s="16" t="str">
        <f>equip.xml!P1011</f>
        <v>10000_1002_15000,30000_30001_1,30000_30002_1,30000_30003_1</v>
      </c>
      <c r="O1007">
        <f>equip.xml!R1011</f>
        <v>0</v>
      </c>
    </row>
    <row r="1008" spans="1:15">
      <c r="A1008" s="14" t="str">
        <f>equip.xml!A1012</f>
        <v>30153060</v>
      </c>
      <c r="B1008" s="14">
        <f>equip.xml!B1012</f>
        <v>1</v>
      </c>
      <c r="C1008" s="14" t="str">
        <f>equip.xml!C1012</f>
        <v>秘法之书</v>
      </c>
      <c r="D1008" s="14" t="str">
        <f>equip.xml!D1012</f>
        <v>副手武器</v>
      </c>
      <c r="E1008" s="14">
        <f>equip.xml!E1012</f>
        <v>6</v>
      </c>
      <c r="F1008" s="14">
        <f>equip.xml!F1012</f>
        <v>3</v>
      </c>
      <c r="G1008" s="14">
        <f>equip.xml!G1012</f>
        <v>15</v>
      </c>
      <c r="H1008" s="14" t="str">
        <f>equip.xml!H1012</f>
        <v>3,1003</v>
      </c>
      <c r="I1008" s="14">
        <f>equip.xml!J1012</f>
        <v>20</v>
      </c>
      <c r="J1008" s="14">
        <f>equip.xml!K1012</f>
        <v>0</v>
      </c>
      <c r="K1008" s="14">
        <f>equip.xml!L1012</f>
        <v>10000</v>
      </c>
      <c r="L1008" s="14" t="str">
        <f>equip.xml!M1012</f>
        <v>102_420_420</v>
      </c>
      <c r="M1008" s="17" t="str">
        <f>equip.xml!Q1012</f>
        <v>equipment/2304.png</v>
      </c>
      <c r="N1008" s="16" t="str">
        <f>equip.xml!P1012</f>
        <v>10000_1002_15000,30000_30001_1,30000_30002_1,30000_30003_1</v>
      </c>
      <c r="O1008">
        <f>equip.xml!R1012</f>
        <v>0</v>
      </c>
    </row>
    <row r="1009" spans="1:15">
      <c r="A1009" s="14" t="str">
        <f>equip.xml!A1013</f>
        <v>30153061</v>
      </c>
      <c r="B1009" s="14">
        <f>equip.xml!B1013</f>
        <v>0</v>
      </c>
      <c r="C1009" s="14" t="str">
        <f>equip.xml!C1013</f>
        <v>法术指南</v>
      </c>
      <c r="D1009" s="14" t="str">
        <f>equip.xml!D1013</f>
        <v>副手武器</v>
      </c>
      <c r="E1009" s="14">
        <f>equip.xml!E1013</f>
        <v>6</v>
      </c>
      <c r="F1009" s="14">
        <f>equip.xml!F1013</f>
        <v>3</v>
      </c>
      <c r="G1009" s="14">
        <f>equip.xml!G1013</f>
        <v>15</v>
      </c>
      <c r="H1009" s="14" t="str">
        <f>equip.xml!H1013</f>
        <v>3,1003</v>
      </c>
      <c r="I1009" s="14">
        <f>equip.xml!J1013</f>
        <v>20</v>
      </c>
      <c r="J1009" s="14">
        <f>equip.xml!K1013</f>
        <v>0</v>
      </c>
      <c r="K1009" s="14">
        <f>equip.xml!L1013</f>
        <v>12500</v>
      </c>
      <c r="L1009" s="14" t="str">
        <f>equip.xml!M1013</f>
        <v>102_472_472</v>
      </c>
      <c r="M1009" s="17" t="str">
        <f>equip.xml!Q1013</f>
        <v>equipment/2301.png</v>
      </c>
      <c r="N1009" s="16" t="str">
        <f>equip.xml!P1013</f>
        <v>10000_1002_15000,30000_30001_1,30000_30002_1,30000_30003_1</v>
      </c>
      <c r="O1009">
        <f>equip.xml!R1013</f>
        <v>0</v>
      </c>
    </row>
    <row r="1010" spans="1:15">
      <c r="A1010" s="14" t="str">
        <f>equip.xml!A1014</f>
        <v>30150040</v>
      </c>
      <c r="B1010" s="14">
        <f>equip.xml!B1014</f>
        <v>1</v>
      </c>
      <c r="C1010" s="14" t="str">
        <f>equip.xml!C1014</f>
        <v>暗石胸甲</v>
      </c>
      <c r="D1010" s="14" t="str">
        <f>equip.xml!D1014</f>
        <v>胸甲</v>
      </c>
      <c r="E1010" s="14">
        <f>equip.xml!E1014</f>
        <v>4</v>
      </c>
      <c r="F1010" s="14">
        <f>equip.xml!F1014</f>
        <v>3</v>
      </c>
      <c r="G1010" s="14">
        <f>equip.xml!G1014</f>
        <v>15</v>
      </c>
      <c r="H1010" s="14">
        <f>equip.xml!H1014</f>
        <v>0</v>
      </c>
      <c r="I1010" s="14">
        <f>equip.xml!J1014</f>
        <v>20</v>
      </c>
      <c r="J1010" s="14">
        <f>equip.xml!K1014</f>
        <v>0</v>
      </c>
      <c r="K1010" s="14">
        <f>equip.xml!L1014</f>
        <v>10000</v>
      </c>
      <c r="L1010" s="14" t="str">
        <f>equip.xml!M1014</f>
        <v>105_39_39</v>
      </c>
      <c r="M1010" s="17" t="str">
        <f>equip.xml!Q1014</f>
        <v>equipment/5005.png</v>
      </c>
      <c r="N1010" s="16" t="str">
        <f>equip.xml!P1014</f>
        <v>10000_1002_15000,30000_30001_1,30000_30002_1,30000_30003_1</v>
      </c>
      <c r="O1010">
        <f>equip.xml!R1014</f>
        <v>0</v>
      </c>
    </row>
    <row r="1011" spans="1:15">
      <c r="A1011" s="14" t="str">
        <f>equip.xml!A1015</f>
        <v>30150041</v>
      </c>
      <c r="B1011" s="14">
        <f>equip.xml!B1015</f>
        <v>0</v>
      </c>
      <c r="C1011" s="14" t="str">
        <f>equip.xml!C1015</f>
        <v>新兵外套</v>
      </c>
      <c r="D1011" s="14" t="str">
        <f>equip.xml!D1015</f>
        <v>胸甲</v>
      </c>
      <c r="E1011" s="14">
        <f>equip.xml!E1015</f>
        <v>4</v>
      </c>
      <c r="F1011" s="14">
        <f>equip.xml!F1015</f>
        <v>3</v>
      </c>
      <c r="G1011" s="14">
        <f>equip.xml!G1015</f>
        <v>15</v>
      </c>
      <c r="H1011" s="14">
        <f>equip.xml!H1015</f>
        <v>0</v>
      </c>
      <c r="I1011" s="14">
        <f>equip.xml!J1015</f>
        <v>20</v>
      </c>
      <c r="J1011" s="14">
        <f>equip.xml!K1015</f>
        <v>0</v>
      </c>
      <c r="K1011" s="14">
        <f>equip.xml!L1015</f>
        <v>12500</v>
      </c>
      <c r="L1011" s="14" t="str">
        <f>equip.xml!M1015</f>
        <v>105_64_64</v>
      </c>
      <c r="M1011" s="17" t="str">
        <f>equip.xml!Q1015</f>
        <v>equipment/5001.png</v>
      </c>
      <c r="N1011" s="16" t="str">
        <f>equip.xml!P1015</f>
        <v>10000_1002_15000,30000_30001_1,30000_30002_1,30000_30003_1</v>
      </c>
      <c r="O1011">
        <f>equip.xml!R1015</f>
        <v>0</v>
      </c>
    </row>
    <row r="1012" spans="1:15">
      <c r="A1012" s="14" t="str">
        <f>equip.xml!A1016</f>
        <v>30150070</v>
      </c>
      <c r="B1012" s="14">
        <f>equip.xml!B1016</f>
        <v>1</v>
      </c>
      <c r="C1012" s="14" t="str">
        <f>equip.xml!C1016</f>
        <v>荒野马裤</v>
      </c>
      <c r="D1012" s="14" t="str">
        <f>equip.xml!D1016</f>
        <v>护腿</v>
      </c>
      <c r="E1012" s="14">
        <f>equip.xml!E1016</f>
        <v>7</v>
      </c>
      <c r="F1012" s="14">
        <f>equip.xml!F1016</f>
        <v>3</v>
      </c>
      <c r="G1012" s="14">
        <f>equip.xml!G1016</f>
        <v>15</v>
      </c>
      <c r="H1012" s="14">
        <f>equip.xml!H1016</f>
        <v>0</v>
      </c>
      <c r="I1012" s="14">
        <f>equip.xml!J1016</f>
        <v>20</v>
      </c>
      <c r="J1012" s="14">
        <f>equip.xml!K1016</f>
        <v>0</v>
      </c>
      <c r="K1012" s="14">
        <f>equip.xml!L1016</f>
        <v>10000</v>
      </c>
      <c r="L1012" s="14" t="str">
        <f>equip.xml!M1016</f>
        <v>105_39_39</v>
      </c>
      <c r="M1012" s="17" t="str">
        <f>equip.xml!Q1016</f>
        <v>equipment/7003.png</v>
      </c>
      <c r="N1012" s="16" t="str">
        <f>equip.xml!P1016</f>
        <v>10000_1002_15000,30000_30001_1,30000_30002_1,30000_30003_1</v>
      </c>
      <c r="O1012">
        <f>equip.xml!R1016</f>
        <v>0</v>
      </c>
    </row>
    <row r="1013" spans="1:15">
      <c r="A1013" s="14" t="str">
        <f>equip.xml!A1017</f>
        <v>30150071</v>
      </c>
      <c r="B1013" s="14">
        <f>equip.xml!B1017</f>
        <v>0</v>
      </c>
      <c r="C1013" s="14" t="str">
        <f>equip.xml!C1017</f>
        <v>学徒短裤</v>
      </c>
      <c r="D1013" s="14" t="str">
        <f>equip.xml!D1017</f>
        <v>护腿</v>
      </c>
      <c r="E1013" s="14">
        <f>equip.xml!E1017</f>
        <v>7</v>
      </c>
      <c r="F1013" s="14">
        <f>equip.xml!F1017</f>
        <v>3</v>
      </c>
      <c r="G1013" s="14">
        <f>equip.xml!G1017</f>
        <v>15</v>
      </c>
      <c r="H1013" s="14">
        <f>equip.xml!H1017</f>
        <v>0</v>
      </c>
      <c r="I1013" s="14">
        <f>equip.xml!J1017</f>
        <v>20</v>
      </c>
      <c r="J1013" s="14">
        <f>equip.xml!K1017</f>
        <v>0</v>
      </c>
      <c r="K1013" s="14">
        <f>equip.xml!L1017</f>
        <v>12500</v>
      </c>
      <c r="L1013" s="14" t="str">
        <f>equip.xml!M1017</f>
        <v>105_50_50</v>
      </c>
      <c r="M1013" s="17" t="str">
        <f>equip.xml!Q1017</f>
        <v>equipment/7001.png</v>
      </c>
      <c r="N1013" s="16" t="str">
        <f>equip.xml!P1017</f>
        <v>10000_1002_15000,30000_30001_1,30000_30002_1,30000_30003_1</v>
      </c>
      <c r="O1013">
        <f>equip.xml!R1017</f>
        <v>0</v>
      </c>
    </row>
    <row r="1014" spans="1:15">
      <c r="A1014" s="14" t="str">
        <f>equip.xml!A1018</f>
        <v>30200010</v>
      </c>
      <c r="B1014" s="14">
        <f>equip.xml!B1018</f>
        <v>1</v>
      </c>
      <c r="C1014" s="14" t="str">
        <f>equip.xml!C1018</f>
        <v>卫士头盔</v>
      </c>
      <c r="D1014" s="14" t="str">
        <f>equip.xml!D1018</f>
        <v>头盔</v>
      </c>
      <c r="E1014" s="14">
        <f>equip.xml!E1018</f>
        <v>1</v>
      </c>
      <c r="F1014" s="14">
        <f>equip.xml!F1018</f>
        <v>3</v>
      </c>
      <c r="G1014" s="14">
        <f>equip.xml!G1018</f>
        <v>20</v>
      </c>
      <c r="H1014" s="14">
        <f>equip.xml!H1018</f>
        <v>0</v>
      </c>
      <c r="I1014" s="14">
        <f>equip.xml!J1018</f>
        <v>20</v>
      </c>
      <c r="J1014" s="14">
        <f>equip.xml!K1018</f>
        <v>0</v>
      </c>
      <c r="K1014" s="14">
        <f>equip.xml!L1018</f>
        <v>12500</v>
      </c>
      <c r="L1014" s="14" t="str">
        <f>equip.xml!M1018</f>
        <v>106_136_136</v>
      </c>
      <c r="M1014" s="17" t="str">
        <f>equip.xml!Q1018</f>
        <v>equipment/3003.png</v>
      </c>
      <c r="N1014" s="16" t="str">
        <f>equip.xml!P1018</f>
        <v>10000_1002_20000,30000_30001_1,30000_30002_1,30000_30003_1</v>
      </c>
      <c r="O1014">
        <f>equip.xml!R1018</f>
        <v>0</v>
      </c>
    </row>
    <row r="1015" spans="1:15">
      <c r="A1015" s="14" t="str">
        <f>equip.xml!A1019</f>
        <v>30200020</v>
      </c>
      <c r="B1015" s="14">
        <f>equip.xml!B1019</f>
        <v>1</v>
      </c>
      <c r="C1015" s="14" t="str">
        <f>equip.xml!C1019</f>
        <v>石岩指环</v>
      </c>
      <c r="D1015" s="14" t="str">
        <f>equip.xml!D1019</f>
        <v>戒指</v>
      </c>
      <c r="E1015" s="14">
        <f>equip.xml!E1019</f>
        <v>2</v>
      </c>
      <c r="F1015" s="14">
        <f>equip.xml!F1019</f>
        <v>3</v>
      </c>
      <c r="G1015" s="14">
        <f>equip.xml!G1019</f>
        <v>20</v>
      </c>
      <c r="H1015" s="14">
        <f>equip.xml!H1019</f>
        <v>0</v>
      </c>
      <c r="I1015" s="14">
        <f>equip.xml!J1019</f>
        <v>20</v>
      </c>
      <c r="J1015" s="14">
        <f>equip.xml!K1019</f>
        <v>0</v>
      </c>
      <c r="K1015" s="14">
        <f>equip.xml!L1019</f>
        <v>12500</v>
      </c>
      <c r="L1015" s="14" t="str">
        <f>equip.xml!M1019</f>
        <v>102_240_240</v>
      </c>
      <c r="M1015" s="17" t="str">
        <f>equip.xml!Q1019</f>
        <v>equipment/14003.png</v>
      </c>
      <c r="N1015" s="16" t="str">
        <f>equip.xml!P1019</f>
        <v>10000_1002_20000,30000_30001_1,30000_30002_1,30000_30003_1</v>
      </c>
      <c r="O1015">
        <f>equip.xml!R1019</f>
        <v>0</v>
      </c>
    </row>
    <row r="1016" spans="1:15">
      <c r="A1016" s="14" t="str">
        <f>equip.xml!A1020</f>
        <v>30200030</v>
      </c>
      <c r="B1016" s="14">
        <f>equip.xml!B1020</f>
        <v>1</v>
      </c>
      <c r="C1016" s="14" t="str">
        <f>equip.xml!C1020</f>
        <v>勇者束带</v>
      </c>
      <c r="D1016" s="14" t="str">
        <f>equip.xml!D1020</f>
        <v>腰带</v>
      </c>
      <c r="E1016" s="14">
        <f>equip.xml!E1020</f>
        <v>3</v>
      </c>
      <c r="F1016" s="14">
        <f>equip.xml!F1020</f>
        <v>3</v>
      </c>
      <c r="G1016" s="14">
        <f>equip.xml!G1020</f>
        <v>20</v>
      </c>
      <c r="H1016" s="14">
        <f>equip.xml!H1020</f>
        <v>0</v>
      </c>
      <c r="I1016" s="14">
        <f>equip.xml!J1020</f>
        <v>20</v>
      </c>
      <c r="J1016" s="14">
        <f>equip.xml!K1020</f>
        <v>0</v>
      </c>
      <c r="K1016" s="14">
        <f>equip.xml!L1020</f>
        <v>12500</v>
      </c>
      <c r="L1016" s="14" t="str">
        <f>equip.xml!M1020</f>
        <v>101_2120_2120</v>
      </c>
      <c r="M1016" s="17" t="str">
        <f>equip.xml!Q1020</f>
        <v>equipment/6004.png</v>
      </c>
      <c r="N1016" s="16" t="str">
        <f>equip.xml!P1020</f>
        <v>10000_1002_20000,30000_30001_1,30000_30002_1,30000_30003_1</v>
      </c>
      <c r="O1016">
        <f>equip.xml!R1020</f>
        <v>0</v>
      </c>
    </row>
    <row r="1017" spans="1:15">
      <c r="A1017" s="14" t="str">
        <f>equip.xml!A1021</f>
        <v>30200080</v>
      </c>
      <c r="B1017" s="14">
        <f>equip.xml!B1021</f>
        <v>1</v>
      </c>
      <c r="C1017" s="14" t="str">
        <f>equip.xml!C1021</f>
        <v>冒险长靴</v>
      </c>
      <c r="D1017" s="14" t="str">
        <f>equip.xml!D1021</f>
        <v>鞋子</v>
      </c>
      <c r="E1017" s="14">
        <f>equip.xml!E1021</f>
        <v>8</v>
      </c>
      <c r="F1017" s="14">
        <f>equip.xml!F1021</f>
        <v>3</v>
      </c>
      <c r="G1017" s="14">
        <f>equip.xml!G1021</f>
        <v>20</v>
      </c>
      <c r="H1017" s="14">
        <f>equip.xml!H1021</f>
        <v>0</v>
      </c>
      <c r="I1017" s="14">
        <f>equip.xml!J1021</f>
        <v>20</v>
      </c>
      <c r="J1017" s="14">
        <f>equip.xml!K1021</f>
        <v>0</v>
      </c>
      <c r="K1017" s="14">
        <f>equip.xml!L1021</f>
        <v>12500</v>
      </c>
      <c r="L1017" s="14" t="str">
        <f>equip.xml!M1021</f>
        <v>110_32_32</v>
      </c>
      <c r="M1017" s="17" t="str">
        <f>equip.xml!Q1021</f>
        <v>equipment/8003.png</v>
      </c>
      <c r="N1017" s="16" t="str">
        <f>equip.xml!P1021</f>
        <v>10000_1002_20000,30000_30001_1,30000_30002_1,30000_30003_1</v>
      </c>
      <c r="O1017">
        <f>equip.xml!R1021</f>
        <v>0</v>
      </c>
    </row>
    <row r="1018" spans="1:15">
      <c r="A1018" s="14" t="str">
        <f>equip.xml!A1022</f>
        <v>30200090</v>
      </c>
      <c r="B1018" s="14">
        <f>equip.xml!B1022</f>
        <v>1</v>
      </c>
      <c r="C1018" s="14" t="str">
        <f>equip.xml!C1022</f>
        <v>工程手套</v>
      </c>
      <c r="D1018" s="14" t="str">
        <f>equip.xml!D1022</f>
        <v>手套</v>
      </c>
      <c r="E1018" s="14">
        <f>equip.xml!E1022</f>
        <v>9</v>
      </c>
      <c r="F1018" s="14">
        <f>equip.xml!F1022</f>
        <v>3</v>
      </c>
      <c r="G1018" s="14">
        <f>equip.xml!G1022</f>
        <v>20</v>
      </c>
      <c r="H1018" s="14">
        <f>equip.xml!H1022</f>
        <v>0</v>
      </c>
      <c r="I1018" s="14">
        <f>equip.xml!J1022</f>
        <v>20</v>
      </c>
      <c r="J1018" s="14">
        <f>equip.xml!K1022</f>
        <v>0</v>
      </c>
      <c r="K1018" s="14">
        <f>equip.xml!L1022</f>
        <v>12500</v>
      </c>
      <c r="L1018" s="14" t="str">
        <f>equip.xml!M1022</f>
        <v>108_211_211</v>
      </c>
      <c r="M1018" s="17" t="str">
        <f>equip.xml!Q1022</f>
        <v>equipment/10004.png</v>
      </c>
      <c r="N1018" s="16" t="str">
        <f>equip.xml!P1022</f>
        <v>10000_1002_20000,30000_30001_1,30000_30002_1,30000_30003_1</v>
      </c>
      <c r="O1018">
        <f>equip.xml!R1022</f>
        <v>0</v>
      </c>
    </row>
    <row r="1019" spans="1:15">
      <c r="A1019" s="14" t="str">
        <f>equip.xml!A1023</f>
        <v>30200100</v>
      </c>
      <c r="B1019" s="14">
        <f>equip.xml!B1023</f>
        <v>1</v>
      </c>
      <c r="C1019" s="14" t="str">
        <f>equip.xml!C1023</f>
        <v>翡翠项链</v>
      </c>
      <c r="D1019" s="14" t="str">
        <f>equip.xml!D1023</f>
        <v>项链</v>
      </c>
      <c r="E1019" s="14">
        <f>equip.xml!E1023</f>
        <v>10</v>
      </c>
      <c r="F1019" s="14">
        <f>equip.xml!F1023</f>
        <v>3</v>
      </c>
      <c r="G1019" s="14">
        <f>equip.xml!G1023</f>
        <v>20</v>
      </c>
      <c r="H1019" s="14">
        <f>equip.xml!H1023</f>
        <v>0</v>
      </c>
      <c r="I1019" s="14">
        <f>equip.xml!J1023</f>
        <v>20</v>
      </c>
      <c r="J1019" s="14">
        <f>equip.xml!K1023</f>
        <v>0</v>
      </c>
      <c r="K1019" s="14">
        <f>equip.xml!L1023</f>
        <v>12500</v>
      </c>
      <c r="L1019" s="14" t="str">
        <f>equip.xml!M1023</f>
        <v>107_136_136</v>
      </c>
      <c r="M1019" s="17" t="str">
        <f>equip.xml!Q1023</f>
        <v>equipment/12003.png</v>
      </c>
      <c r="N1019" s="16" t="str">
        <f>equip.xml!P1023</f>
        <v>10000_1002_20000,30000_30001_1,30000_30002_1,30000_30003_1</v>
      </c>
      <c r="O1019">
        <f>equip.xml!R1023</f>
        <v>0</v>
      </c>
    </row>
    <row r="1020" spans="1:15">
      <c r="A1020" s="14" t="str">
        <f>equip.xml!A1024</f>
        <v>30201050</v>
      </c>
      <c r="B1020" s="14">
        <f>equip.xml!B1024</f>
        <v>1</v>
      </c>
      <c r="C1020" s="14" t="str">
        <f>equip.xml!C1024</f>
        <v>勇者长剑</v>
      </c>
      <c r="D1020" s="14" t="str">
        <f>equip.xml!D1024</f>
        <v>主手武器</v>
      </c>
      <c r="E1020" s="14">
        <f>equip.xml!E1024</f>
        <v>5</v>
      </c>
      <c r="F1020" s="14">
        <f>equip.xml!F1024</f>
        <v>3</v>
      </c>
      <c r="G1020" s="14">
        <f>equip.xml!G1024</f>
        <v>20</v>
      </c>
      <c r="H1020" s="14" t="str">
        <f>equip.xml!H1024</f>
        <v>1,1001</v>
      </c>
      <c r="I1020" s="14">
        <f>equip.xml!J1024</f>
        <v>20</v>
      </c>
      <c r="J1020" s="14">
        <f>equip.xml!K1024</f>
        <v>0</v>
      </c>
      <c r="K1020" s="14">
        <f>equip.xml!L1024</f>
        <v>12500</v>
      </c>
      <c r="L1020" s="14" t="str">
        <f>equip.xml!M1024</f>
        <v>103_113_113,104_226_226</v>
      </c>
      <c r="M1020" s="17" t="str">
        <f>equip.xml!Q1024</f>
        <v>equipment/1109.png</v>
      </c>
      <c r="N1020" s="16" t="str">
        <f>equip.xml!P1024</f>
        <v>10000_1002_20000,30000_30001_1,30000_30002_1,30000_30003_1</v>
      </c>
      <c r="O1020">
        <f>equip.xml!R1024</f>
        <v>0</v>
      </c>
    </row>
    <row r="1021" spans="1:15">
      <c r="A1021" s="14" t="str">
        <f>equip.xml!A1025</f>
        <v>30201051</v>
      </c>
      <c r="B1021" s="14">
        <f>equip.xml!B1025</f>
        <v>0</v>
      </c>
      <c r="C1021" s="14" t="str">
        <f>equip.xml!C1025</f>
        <v>军刀</v>
      </c>
      <c r="D1021" s="14" t="str">
        <f>equip.xml!D1025</f>
        <v>主手武器</v>
      </c>
      <c r="E1021" s="14">
        <f>equip.xml!E1025</f>
        <v>5</v>
      </c>
      <c r="F1021" s="14">
        <f>equip.xml!F1025</f>
        <v>3</v>
      </c>
      <c r="G1021" s="14">
        <f>equip.xml!G1025</f>
        <v>20</v>
      </c>
      <c r="H1021" s="14" t="str">
        <f>equip.xml!H1025</f>
        <v>1,1001</v>
      </c>
      <c r="I1021" s="14">
        <f>equip.xml!J1025</f>
        <v>20</v>
      </c>
      <c r="J1021" s="14">
        <f>equip.xml!K1025</f>
        <v>0</v>
      </c>
      <c r="K1021" s="14">
        <f>equip.xml!L1025</f>
        <v>15000</v>
      </c>
      <c r="L1021" s="14" t="str">
        <f>equip.xml!M1025</f>
        <v>103_138_138,104_276_276</v>
      </c>
      <c r="M1021" s="17" t="str">
        <f>equip.xml!Q1025</f>
        <v>equipment/1101.png</v>
      </c>
      <c r="N1021" s="16" t="str">
        <f>equip.xml!P1025</f>
        <v>10000_1002_20000,30000_30001_1,30000_30002_1,30000_30003_1</v>
      </c>
      <c r="O1021">
        <f>equip.xml!R1025</f>
        <v>0</v>
      </c>
    </row>
    <row r="1022" spans="1:15">
      <c r="A1022" s="14" t="str">
        <f>equip.xml!A1026</f>
        <v>30201060</v>
      </c>
      <c r="B1022" s="14">
        <f>equip.xml!B1026</f>
        <v>1</v>
      </c>
      <c r="C1022" s="14" t="str">
        <f>equip.xml!C1026</f>
        <v>护卫之盾</v>
      </c>
      <c r="D1022" s="14" t="str">
        <f>equip.xml!D1026</f>
        <v>副手武器</v>
      </c>
      <c r="E1022" s="14">
        <f>equip.xml!E1026</f>
        <v>6</v>
      </c>
      <c r="F1022" s="14">
        <f>equip.xml!F1026</f>
        <v>3</v>
      </c>
      <c r="G1022" s="14">
        <f>equip.xml!G1026</f>
        <v>20</v>
      </c>
      <c r="H1022" s="14" t="str">
        <f>equip.xml!H1026</f>
        <v>1,1001</v>
      </c>
      <c r="I1022" s="14">
        <f>equip.xml!J1026</f>
        <v>20</v>
      </c>
      <c r="J1022" s="14">
        <f>equip.xml!K1026</f>
        <v>0</v>
      </c>
      <c r="K1022" s="14">
        <f>equip.xml!L1026</f>
        <v>12500</v>
      </c>
      <c r="L1022" s="14" t="str">
        <f>equip.xml!M1026</f>
        <v>105_171_171</v>
      </c>
      <c r="M1022" s="17" t="str">
        <f>equip.xml!Q1026</f>
        <v>equipment/2104.png</v>
      </c>
      <c r="N1022" s="16" t="str">
        <f>equip.xml!P1026</f>
        <v>10000_1002_20000,30000_30001_1,30000_30002_1,30000_30003_1</v>
      </c>
      <c r="O1022">
        <f>equip.xml!R1026</f>
        <v>0</v>
      </c>
    </row>
    <row r="1023" spans="1:15">
      <c r="A1023" s="14" t="str">
        <f>equip.xml!A1027</f>
        <v>30201061</v>
      </c>
      <c r="B1023" s="14">
        <f>equip.xml!B1027</f>
        <v>0</v>
      </c>
      <c r="C1023" s="14" t="str">
        <f>equip.xml!C1027</f>
        <v>尖头盾</v>
      </c>
      <c r="D1023" s="14" t="str">
        <f>equip.xml!D1027</f>
        <v>副手武器</v>
      </c>
      <c r="E1023" s="14">
        <f>equip.xml!E1027</f>
        <v>6</v>
      </c>
      <c r="F1023" s="14">
        <f>equip.xml!F1027</f>
        <v>3</v>
      </c>
      <c r="G1023" s="14">
        <f>equip.xml!G1027</f>
        <v>20</v>
      </c>
      <c r="H1023" s="14" t="str">
        <f>equip.xml!H1027</f>
        <v>1,1001</v>
      </c>
      <c r="I1023" s="14">
        <f>equip.xml!J1027</f>
        <v>20</v>
      </c>
      <c r="J1023" s="14">
        <f>equip.xml!K1027</f>
        <v>0</v>
      </c>
      <c r="K1023" s="14">
        <f>equip.xml!L1027</f>
        <v>15000</v>
      </c>
      <c r="L1023" s="14" t="str">
        <f>equip.xml!M1027</f>
        <v>105_205_205</v>
      </c>
      <c r="M1023" s="17" t="str">
        <f>equip.xml!Q1027</f>
        <v>equipment/2101.png</v>
      </c>
      <c r="N1023" s="16" t="str">
        <f>equip.xml!P1027</f>
        <v>10000_1002_20000,30000_30001_1,30000_30002_1,30000_30003_1</v>
      </c>
      <c r="O1023">
        <f>equip.xml!R1027</f>
        <v>0</v>
      </c>
    </row>
    <row r="1024" spans="1:15">
      <c r="A1024" s="14" t="str">
        <f>equip.xml!A1028</f>
        <v>30202050</v>
      </c>
      <c r="B1024" s="14">
        <f>equip.xml!B1028</f>
        <v>1</v>
      </c>
      <c r="C1024" s="14" t="str">
        <f>equip.xml!C1028</f>
        <v>护卫之弓</v>
      </c>
      <c r="D1024" s="14" t="str">
        <f>equip.xml!D1028</f>
        <v>主手武器</v>
      </c>
      <c r="E1024" s="14">
        <f>equip.xml!E1028</f>
        <v>5</v>
      </c>
      <c r="F1024" s="14">
        <f>equip.xml!F1028</f>
        <v>3</v>
      </c>
      <c r="G1024" s="14">
        <f>equip.xml!G1028</f>
        <v>20</v>
      </c>
      <c r="H1024" s="14" t="str">
        <f>equip.xml!H1028</f>
        <v>2,1002</v>
      </c>
      <c r="I1024" s="14">
        <f>equip.xml!J1028</f>
        <v>20</v>
      </c>
      <c r="J1024" s="14">
        <f>equip.xml!K1028</f>
        <v>0</v>
      </c>
      <c r="K1024" s="14">
        <f>equip.xml!L1028</f>
        <v>12500</v>
      </c>
      <c r="L1024" s="14" t="str">
        <f>equip.xml!M1028</f>
        <v>103_113_113,104_226_226</v>
      </c>
      <c r="M1024" s="17" t="str">
        <f>equip.xml!Q1028</f>
        <v>equipment/1209.png</v>
      </c>
      <c r="N1024" s="16" t="str">
        <f>equip.xml!P1028</f>
        <v>10000_1002_20000,30000_30001_1,30000_30002_1,30000_30003_1</v>
      </c>
      <c r="O1024">
        <f>equip.xml!R1028</f>
        <v>0</v>
      </c>
    </row>
    <row r="1025" spans="1:15">
      <c r="A1025" s="14" t="str">
        <f>equip.xml!A1029</f>
        <v>30202051</v>
      </c>
      <c r="B1025" s="14">
        <f>equip.xml!B1029</f>
        <v>0</v>
      </c>
      <c r="C1025" s="14" t="str">
        <f>equip.xml!C1029</f>
        <v>棘木弓</v>
      </c>
      <c r="D1025" s="14" t="str">
        <f>equip.xml!D1029</f>
        <v>主手武器</v>
      </c>
      <c r="E1025" s="14">
        <f>equip.xml!E1029</f>
        <v>5</v>
      </c>
      <c r="F1025" s="14">
        <f>equip.xml!F1029</f>
        <v>3</v>
      </c>
      <c r="G1025" s="14">
        <f>equip.xml!G1029</f>
        <v>20</v>
      </c>
      <c r="H1025" s="14" t="str">
        <f>equip.xml!H1029</f>
        <v>2,1002</v>
      </c>
      <c r="I1025" s="14">
        <f>equip.xml!J1029</f>
        <v>20</v>
      </c>
      <c r="J1025" s="14">
        <f>equip.xml!K1029</f>
        <v>0</v>
      </c>
      <c r="K1025" s="14">
        <f>equip.xml!L1029</f>
        <v>15000</v>
      </c>
      <c r="L1025" s="14" t="str">
        <f>equip.xml!M1029</f>
        <v>103_138_138,104_276_276</v>
      </c>
      <c r="M1025" s="17" t="str">
        <f>equip.xml!Q1029</f>
        <v>equipment/1201.png</v>
      </c>
      <c r="N1025" s="16" t="str">
        <f>equip.xml!P1029</f>
        <v>10000_1002_20000,30000_30001_1,30000_30002_1,30000_30003_1</v>
      </c>
      <c r="O1025">
        <f>equip.xml!R1029</f>
        <v>0</v>
      </c>
    </row>
    <row r="1026" spans="1:15">
      <c r="A1026" s="14" t="str">
        <f>equip.xml!A1030</f>
        <v>30202060</v>
      </c>
      <c r="B1026" s="14">
        <f>equip.xml!B1030</f>
        <v>1</v>
      </c>
      <c r="C1026" s="14" t="str">
        <f>equip.xml!C1030</f>
        <v>狩猎箭筒</v>
      </c>
      <c r="D1026" s="14" t="str">
        <f>equip.xml!D1030</f>
        <v>副手武器</v>
      </c>
      <c r="E1026" s="14">
        <f>equip.xml!E1030</f>
        <v>6</v>
      </c>
      <c r="F1026" s="14">
        <f>equip.xml!F1030</f>
        <v>3</v>
      </c>
      <c r="G1026" s="14">
        <f>equip.xml!G1030</f>
        <v>20</v>
      </c>
      <c r="H1026" s="14" t="str">
        <f>equip.xml!H1030</f>
        <v>2,1002</v>
      </c>
      <c r="I1026" s="14">
        <f>equip.xml!J1030</f>
        <v>20</v>
      </c>
      <c r="J1026" s="14">
        <f>equip.xml!K1030</f>
        <v>0</v>
      </c>
      <c r="K1026" s="14">
        <f>equip.xml!L1030</f>
        <v>12500</v>
      </c>
      <c r="L1026" s="14" t="str">
        <f>equip.xml!M1030</f>
        <v>108_171_171</v>
      </c>
      <c r="M1026" s="17" t="str">
        <f>equip.xml!Q1030</f>
        <v>equipment/2205.png</v>
      </c>
      <c r="N1026" s="16" t="str">
        <f>equip.xml!P1030</f>
        <v>10000_1002_20000,30000_30001_1,30000_30002_1,30000_30003_1</v>
      </c>
      <c r="O1026">
        <f>equip.xml!R1030</f>
        <v>0</v>
      </c>
    </row>
    <row r="1027" spans="1:15">
      <c r="A1027" s="14" t="str">
        <f>equip.xml!A1031</f>
        <v>30202061</v>
      </c>
      <c r="B1027" s="14">
        <f>equip.xml!B1031</f>
        <v>0</v>
      </c>
      <c r="C1027" s="14" t="str">
        <f>equip.xml!C1031</f>
        <v>箭筒</v>
      </c>
      <c r="D1027" s="14" t="str">
        <f>equip.xml!D1031</f>
        <v>副手武器</v>
      </c>
      <c r="E1027" s="14">
        <f>equip.xml!E1031</f>
        <v>6</v>
      </c>
      <c r="F1027" s="14">
        <f>equip.xml!F1031</f>
        <v>3</v>
      </c>
      <c r="G1027" s="14">
        <f>equip.xml!G1031</f>
        <v>20</v>
      </c>
      <c r="H1027" s="14" t="str">
        <f>equip.xml!H1031</f>
        <v>2,1002</v>
      </c>
      <c r="I1027" s="14">
        <f>equip.xml!J1031</f>
        <v>20</v>
      </c>
      <c r="J1027" s="14">
        <f>equip.xml!K1031</f>
        <v>0</v>
      </c>
      <c r="K1027" s="14">
        <f>equip.xml!L1031</f>
        <v>15000</v>
      </c>
      <c r="L1027" s="14" t="str">
        <f>equip.xml!M1031</f>
        <v>108_205_205</v>
      </c>
      <c r="M1027" s="17" t="str">
        <f>equip.xml!Q1031</f>
        <v>equipment/2201.png</v>
      </c>
      <c r="N1027" s="16" t="str">
        <f>equip.xml!P1031</f>
        <v>10000_1002_20000,30000_30001_1,30000_30002_1,30000_30003_1</v>
      </c>
      <c r="O1027">
        <f>equip.xml!R1031</f>
        <v>0</v>
      </c>
    </row>
    <row r="1028" spans="1:15">
      <c r="A1028" s="14" t="str">
        <f>equip.xml!A1032</f>
        <v>30203050</v>
      </c>
      <c r="B1028" s="14">
        <f>equip.xml!B1032</f>
        <v>1</v>
      </c>
      <c r="C1028" s="14" t="str">
        <f>equip.xml!C1032</f>
        <v>保护法杖</v>
      </c>
      <c r="D1028" s="14" t="str">
        <f>equip.xml!D1032</f>
        <v>主手武器</v>
      </c>
      <c r="E1028" s="14">
        <f>equip.xml!E1032</f>
        <v>5</v>
      </c>
      <c r="F1028" s="14">
        <f>equip.xml!F1032</f>
        <v>3</v>
      </c>
      <c r="G1028" s="14">
        <f>equip.xml!G1032</f>
        <v>20</v>
      </c>
      <c r="H1028" s="14" t="str">
        <f>equip.xml!H1032</f>
        <v>3,1003</v>
      </c>
      <c r="I1028" s="14">
        <f>equip.xml!J1032</f>
        <v>20</v>
      </c>
      <c r="J1028" s="14">
        <f>equip.xml!K1032</f>
        <v>0</v>
      </c>
      <c r="K1028" s="14">
        <f>equip.xml!L1032</f>
        <v>12500</v>
      </c>
      <c r="L1028" s="14" t="str">
        <f>equip.xml!M1032</f>
        <v>103_113_113,104_226_226</v>
      </c>
      <c r="M1028" s="17" t="str">
        <f>equip.xml!Q1032</f>
        <v>equipment/1309.png</v>
      </c>
      <c r="N1028" s="16" t="str">
        <f>equip.xml!P1032</f>
        <v>10000_1002_20000,30000_30001_1,30000_30002_1,30000_30003_1</v>
      </c>
      <c r="O1028">
        <f>equip.xml!R1032</f>
        <v>0</v>
      </c>
    </row>
    <row r="1029" spans="1:15">
      <c r="A1029" s="14" t="str">
        <f>equip.xml!A1033</f>
        <v>30203051</v>
      </c>
      <c r="B1029" s="14">
        <f>equip.xml!B1033</f>
        <v>1</v>
      </c>
      <c r="C1029" s="14" t="str">
        <f>equip.xml!C1033</f>
        <v>火石法杖</v>
      </c>
      <c r="D1029" s="14" t="str">
        <f>equip.xml!D1033</f>
        <v>主手武器</v>
      </c>
      <c r="E1029" s="14">
        <f>equip.xml!E1033</f>
        <v>5</v>
      </c>
      <c r="F1029" s="14">
        <f>equip.xml!F1033</f>
        <v>3</v>
      </c>
      <c r="G1029" s="14">
        <f>equip.xml!G1033</f>
        <v>20</v>
      </c>
      <c r="H1029" s="14" t="str">
        <f>equip.xml!H1033</f>
        <v>3,1003</v>
      </c>
      <c r="I1029" s="14">
        <f>equip.xml!J1033</f>
        <v>20</v>
      </c>
      <c r="J1029" s="14">
        <f>equip.xml!K1033</f>
        <v>0</v>
      </c>
      <c r="K1029" s="14">
        <f>equip.xml!L1033</f>
        <v>15000</v>
      </c>
      <c r="L1029" s="14" t="str">
        <f>equip.xml!M1033</f>
        <v>103_138_138,104_276_276</v>
      </c>
      <c r="M1029" s="17" t="str">
        <f>equip.xml!Q1033</f>
        <v>equipment/1310.png</v>
      </c>
      <c r="N1029" s="16" t="str">
        <f>equip.xml!P1033</f>
        <v>10000_1002_20000,30000_30001_1,30000_30002_1,30000_30003_1</v>
      </c>
      <c r="O1029">
        <f>equip.xml!R1033</f>
        <v>0</v>
      </c>
    </row>
    <row r="1030" spans="1:15">
      <c r="A1030" s="14" t="str">
        <f>equip.xml!A1034</f>
        <v>30203060</v>
      </c>
      <c r="B1030" s="14">
        <f>equip.xml!B1034</f>
        <v>1</v>
      </c>
      <c r="C1030" s="14" t="str">
        <f>equip.xml!C1034</f>
        <v>奥义之书</v>
      </c>
      <c r="D1030" s="14" t="str">
        <f>equip.xml!D1034</f>
        <v>副手武器</v>
      </c>
      <c r="E1030" s="14">
        <f>equip.xml!E1034</f>
        <v>6</v>
      </c>
      <c r="F1030" s="14">
        <f>equip.xml!F1034</f>
        <v>3</v>
      </c>
      <c r="G1030" s="14">
        <f>equip.xml!G1034</f>
        <v>20</v>
      </c>
      <c r="H1030" s="14" t="str">
        <f>equip.xml!H1034</f>
        <v>3,1003</v>
      </c>
      <c r="I1030" s="14">
        <f>equip.xml!J1034</f>
        <v>20</v>
      </c>
      <c r="J1030" s="14">
        <f>equip.xml!K1034</f>
        <v>0</v>
      </c>
      <c r="K1030" s="14">
        <f>equip.xml!L1034</f>
        <v>12500</v>
      </c>
      <c r="L1030" s="14" t="str">
        <f>equip.xml!M1034</f>
        <v>102_550_550</v>
      </c>
      <c r="M1030" s="17" t="str">
        <f>equip.xml!Q1034</f>
        <v>equipment/2305.png</v>
      </c>
      <c r="N1030" s="16" t="str">
        <f>equip.xml!P1034</f>
        <v>10000_1002_20000,30000_30001_1,30000_30002_1,30000_30003_1</v>
      </c>
      <c r="O1030">
        <f>equip.xml!R1034</f>
        <v>0</v>
      </c>
    </row>
    <row r="1031" spans="1:15">
      <c r="A1031" s="14" t="str">
        <f>equip.xml!A1035</f>
        <v>30203061</v>
      </c>
      <c r="B1031" s="14">
        <f>equip.xml!B1035</f>
        <v>0</v>
      </c>
      <c r="C1031" s="14" t="str">
        <f>equip.xml!C1035</f>
        <v>法术指南</v>
      </c>
      <c r="D1031" s="14" t="str">
        <f>equip.xml!D1035</f>
        <v>副手武器</v>
      </c>
      <c r="E1031" s="14">
        <f>equip.xml!E1035</f>
        <v>6</v>
      </c>
      <c r="F1031" s="14">
        <f>equip.xml!F1035</f>
        <v>3</v>
      </c>
      <c r="G1031" s="14">
        <f>equip.xml!G1035</f>
        <v>20</v>
      </c>
      <c r="H1031" s="14" t="str">
        <f>equip.xml!H1035</f>
        <v>3,1003</v>
      </c>
      <c r="I1031" s="14">
        <f>equip.xml!J1035</f>
        <v>20</v>
      </c>
      <c r="J1031" s="14">
        <f>equip.xml!K1035</f>
        <v>0</v>
      </c>
      <c r="K1031" s="14">
        <f>equip.xml!L1035</f>
        <v>15000</v>
      </c>
      <c r="L1031" s="14" t="str">
        <f>equip.xml!M1035</f>
        <v>102_606_606</v>
      </c>
      <c r="M1031" s="17" t="str">
        <f>equip.xml!Q1035</f>
        <v>equipment/2301.png</v>
      </c>
      <c r="N1031" s="16" t="str">
        <f>equip.xml!P1035</f>
        <v>10000_1002_20000,30000_30001_1,30000_30002_1,30000_30003_1</v>
      </c>
      <c r="O1031">
        <f>equip.xml!R1035</f>
        <v>0</v>
      </c>
    </row>
    <row r="1032" spans="1:15">
      <c r="A1032" s="14" t="str">
        <f>equip.xml!A1036</f>
        <v>30200040</v>
      </c>
      <c r="B1032" s="14">
        <f>equip.xml!B1036</f>
        <v>1</v>
      </c>
      <c r="C1032" s="14" t="str">
        <f>equip.xml!C1036</f>
        <v>卫兵胸甲</v>
      </c>
      <c r="D1032" s="14" t="str">
        <f>equip.xml!D1036</f>
        <v>胸甲</v>
      </c>
      <c r="E1032" s="14">
        <f>equip.xml!E1036</f>
        <v>4</v>
      </c>
      <c r="F1032" s="14">
        <f>equip.xml!F1036</f>
        <v>3</v>
      </c>
      <c r="G1032" s="14">
        <f>equip.xml!G1036</f>
        <v>20</v>
      </c>
      <c r="H1032" s="14">
        <f>equip.xml!H1036</f>
        <v>0</v>
      </c>
      <c r="I1032" s="14">
        <f>equip.xml!J1036</f>
        <v>20</v>
      </c>
      <c r="J1032" s="14">
        <f>equip.xml!K1036</f>
        <v>0</v>
      </c>
      <c r="K1032" s="14">
        <f>equip.xml!L1036</f>
        <v>12500</v>
      </c>
      <c r="L1032" s="14" t="str">
        <f>equip.xml!M1036</f>
        <v>105_102_102</v>
      </c>
      <c r="M1032" s="17" t="str">
        <f>equip.xml!Q1036</f>
        <v>equipment/5004.png</v>
      </c>
      <c r="N1032" s="16" t="str">
        <f>equip.xml!P1036</f>
        <v>10000_1002_20000,30000_30001_1,30000_30002_1,30000_30003_1</v>
      </c>
      <c r="O1032">
        <f>equip.xml!R1036</f>
        <v>0</v>
      </c>
    </row>
    <row r="1033" spans="1:15">
      <c r="A1033" s="14" t="str">
        <f>equip.xml!A1037</f>
        <v>30200041</v>
      </c>
      <c r="B1033" s="14">
        <f>equip.xml!B1037</f>
        <v>1</v>
      </c>
      <c r="C1033" s="14" t="str">
        <f>equip.xml!C1037</f>
        <v>银月护甲</v>
      </c>
      <c r="D1033" s="14" t="str">
        <f>equip.xml!D1037</f>
        <v>胸甲</v>
      </c>
      <c r="E1033" s="14">
        <f>equip.xml!E1037</f>
        <v>4</v>
      </c>
      <c r="F1033" s="14">
        <f>equip.xml!F1037</f>
        <v>3</v>
      </c>
      <c r="G1033" s="14">
        <f>equip.xml!G1037</f>
        <v>20</v>
      </c>
      <c r="H1033" s="14">
        <f>equip.xml!H1037</f>
        <v>0</v>
      </c>
      <c r="I1033" s="14">
        <f>equip.xml!J1037</f>
        <v>20</v>
      </c>
      <c r="J1033" s="14">
        <f>equip.xml!K1037</f>
        <v>0</v>
      </c>
      <c r="K1033" s="14">
        <f>equip.xml!L1037</f>
        <v>15000</v>
      </c>
      <c r="L1033" s="14" t="str">
        <f>equip.xml!M1037</f>
        <v>105_122_122</v>
      </c>
      <c r="M1033" s="17" t="str">
        <f>equip.xml!Q1037</f>
        <v>equipment/5006.png</v>
      </c>
      <c r="N1033" s="16" t="str">
        <f>equip.xml!P1037</f>
        <v>10000_1002_20000,30000_30001_1,30000_30002_1,30000_30003_1</v>
      </c>
      <c r="O1033">
        <f>equip.xml!R1037</f>
        <v>0</v>
      </c>
    </row>
    <row r="1034" spans="1:15">
      <c r="A1034" s="14" t="str">
        <f>equip.xml!A1038</f>
        <v>30200070</v>
      </c>
      <c r="B1034" s="14">
        <f>equip.xml!B1038</f>
        <v>1</v>
      </c>
      <c r="C1034" s="14" t="str">
        <f>equip.xml!C1038</f>
        <v>手工长裤</v>
      </c>
      <c r="D1034" s="14" t="str">
        <f>equip.xml!D1038</f>
        <v>护腿</v>
      </c>
      <c r="E1034" s="14">
        <f>equip.xml!E1038</f>
        <v>7</v>
      </c>
      <c r="F1034" s="14">
        <f>equip.xml!F1038</f>
        <v>3</v>
      </c>
      <c r="G1034" s="14">
        <f>equip.xml!G1038</f>
        <v>20</v>
      </c>
      <c r="H1034" s="14">
        <f>equip.xml!H1038</f>
        <v>0</v>
      </c>
      <c r="I1034" s="14">
        <f>equip.xml!J1038</f>
        <v>20</v>
      </c>
      <c r="J1034" s="14">
        <f>equip.xml!K1038</f>
        <v>0</v>
      </c>
      <c r="K1034" s="14">
        <f>equip.xml!L1038</f>
        <v>12500</v>
      </c>
      <c r="L1034" s="14" t="str">
        <f>equip.xml!M1038</f>
        <v>105_66_66</v>
      </c>
      <c r="M1034" s="17" t="str">
        <f>equip.xml!Q1038</f>
        <v>equipment/7005.png</v>
      </c>
      <c r="N1034" s="16" t="str">
        <f>equip.xml!P1038</f>
        <v>10000_1002_20000,30000_30001_1,30000_30002_1,30000_30003_1</v>
      </c>
      <c r="O1034">
        <f>equip.xml!R1038</f>
        <v>0</v>
      </c>
    </row>
    <row r="1035" spans="1:15">
      <c r="A1035" s="14" t="str">
        <f>equip.xml!A1039</f>
        <v>30200071</v>
      </c>
      <c r="B1035" s="14">
        <f>equip.xml!B1039</f>
        <v>1</v>
      </c>
      <c r="C1035" s="14" t="str">
        <f>equip.xml!C1039</f>
        <v>链甲护腿</v>
      </c>
      <c r="D1035" s="14" t="str">
        <f>equip.xml!D1039</f>
        <v>护腿</v>
      </c>
      <c r="E1035" s="14">
        <f>equip.xml!E1039</f>
        <v>7</v>
      </c>
      <c r="F1035" s="14">
        <f>equip.xml!F1039</f>
        <v>3</v>
      </c>
      <c r="G1035" s="14">
        <f>equip.xml!G1039</f>
        <v>20</v>
      </c>
      <c r="H1035" s="14">
        <f>equip.xml!H1039</f>
        <v>0</v>
      </c>
      <c r="I1035" s="14">
        <f>equip.xml!J1039</f>
        <v>20</v>
      </c>
      <c r="J1035" s="14">
        <f>equip.xml!K1039</f>
        <v>0</v>
      </c>
      <c r="K1035" s="14">
        <f>equip.xml!L1039</f>
        <v>15000</v>
      </c>
      <c r="L1035" s="14" t="str">
        <f>equip.xml!M1039</f>
        <v>105_81_81</v>
      </c>
      <c r="M1035" s="17" t="str">
        <f>equip.xml!Q1039</f>
        <v>equipment/7004.png</v>
      </c>
      <c r="N1035" s="16" t="str">
        <f>equip.xml!P1039</f>
        <v>10000_1002_20000,30000_30001_1,30000_30002_1,30000_30003_1</v>
      </c>
      <c r="O1035">
        <f>equip.xml!R1039</f>
        <v>0</v>
      </c>
    </row>
    <row r="1036" spans="1:15">
      <c r="A1036" s="14" t="str">
        <f>equip.xml!A1040</f>
        <v>30250010</v>
      </c>
      <c r="B1036" s="14">
        <f>equip.xml!B1040</f>
        <v>1</v>
      </c>
      <c r="C1036" s="14" t="str">
        <f>equip.xml!C1040</f>
        <v>盔帽</v>
      </c>
      <c r="D1036" s="14" t="str">
        <f>equip.xml!D1040</f>
        <v>头盔</v>
      </c>
      <c r="E1036" s="14">
        <f>equip.xml!E1040</f>
        <v>1</v>
      </c>
      <c r="F1036" s="14">
        <f>equip.xml!F1040</f>
        <v>3</v>
      </c>
      <c r="G1036" s="14">
        <f>equip.xml!G1040</f>
        <v>25</v>
      </c>
      <c r="H1036" s="14">
        <f>equip.xml!H1040</f>
        <v>0</v>
      </c>
      <c r="I1036" s="14">
        <f>equip.xml!J1040</f>
        <v>20</v>
      </c>
      <c r="J1036" s="14">
        <f>equip.xml!K1040</f>
        <v>0</v>
      </c>
      <c r="K1036" s="14">
        <f>equip.xml!L1040</f>
        <v>15000</v>
      </c>
      <c r="L1036" s="14" t="str">
        <f>equip.xml!M1040</f>
        <v>106_237_237</v>
      </c>
      <c r="M1036" s="17" t="str">
        <f>equip.xml!Q1040</f>
        <v>equipment/3005.png</v>
      </c>
      <c r="N1036" s="16" t="str">
        <f>equip.xml!P1040</f>
        <v>10000_1002_25000,30000_30001_1,30000_30002_1,30000_30003_1</v>
      </c>
      <c r="O1036">
        <f>equip.xml!R1040</f>
        <v>0</v>
      </c>
    </row>
    <row r="1037" spans="1:15">
      <c r="A1037" s="14" t="str">
        <f>equip.xml!A1041</f>
        <v>30250020</v>
      </c>
      <c r="B1037" s="14">
        <f>equip.xml!B1041</f>
        <v>1</v>
      </c>
      <c r="C1037" s="14" t="str">
        <f>equip.xml!C1041</f>
        <v>血岩戒指</v>
      </c>
      <c r="D1037" s="14" t="str">
        <f>equip.xml!D1041</f>
        <v>戒指</v>
      </c>
      <c r="E1037" s="14">
        <f>equip.xml!E1041</f>
        <v>2</v>
      </c>
      <c r="F1037" s="14">
        <f>equip.xml!F1041</f>
        <v>3</v>
      </c>
      <c r="G1037" s="14">
        <f>equip.xml!G1041</f>
        <v>25</v>
      </c>
      <c r="H1037" s="14">
        <f>equip.xml!H1041</f>
        <v>0</v>
      </c>
      <c r="I1037" s="14">
        <f>equip.xml!J1041</f>
        <v>20</v>
      </c>
      <c r="J1037" s="14">
        <f>equip.xml!K1041</f>
        <v>0</v>
      </c>
      <c r="K1037" s="14">
        <f>equip.xml!L1041</f>
        <v>15000</v>
      </c>
      <c r="L1037" s="14" t="str">
        <f>equip.xml!M1041</f>
        <v>102_330_330</v>
      </c>
      <c r="M1037" s="17" t="str">
        <f>equip.xml!Q1041</f>
        <v>equipment/14004.png</v>
      </c>
      <c r="N1037" s="16" t="str">
        <f>equip.xml!P1041</f>
        <v>10000_1002_25000,30000_30001_1,30000_30002_1,30000_30003_1</v>
      </c>
      <c r="O1037">
        <f>equip.xml!R1041</f>
        <v>0</v>
      </c>
    </row>
    <row r="1038" spans="1:15">
      <c r="A1038" s="14" t="str">
        <f>equip.xml!A1042</f>
        <v>30250030</v>
      </c>
      <c r="B1038" s="14">
        <f>equip.xml!B1042</f>
        <v>1</v>
      </c>
      <c r="C1038" s="14" t="str">
        <f>equip.xml!C1042</f>
        <v>前锋腰带</v>
      </c>
      <c r="D1038" s="14" t="str">
        <f>equip.xml!D1042</f>
        <v>腰带</v>
      </c>
      <c r="E1038" s="14">
        <f>equip.xml!E1042</f>
        <v>3</v>
      </c>
      <c r="F1038" s="14">
        <f>equip.xml!F1042</f>
        <v>3</v>
      </c>
      <c r="G1038" s="14">
        <f>equip.xml!G1042</f>
        <v>25</v>
      </c>
      <c r="H1038" s="14">
        <f>equip.xml!H1042</f>
        <v>0</v>
      </c>
      <c r="I1038" s="14">
        <f>equip.xml!J1042</f>
        <v>20</v>
      </c>
      <c r="J1038" s="14">
        <f>equip.xml!K1042</f>
        <v>0</v>
      </c>
      <c r="K1038" s="14">
        <f>equip.xml!L1042</f>
        <v>15000</v>
      </c>
      <c r="L1038" s="14" t="str">
        <f>equip.xml!M1042</f>
        <v>101_3360_3360</v>
      </c>
      <c r="M1038" s="17" t="str">
        <f>equip.xml!Q1042</f>
        <v>equipment/6005.png</v>
      </c>
      <c r="N1038" s="16" t="str">
        <f>equip.xml!P1042</f>
        <v>10000_1002_25000,30000_30001_1,30000_30002_1,30000_30003_1</v>
      </c>
      <c r="O1038">
        <f>equip.xml!R1042</f>
        <v>0</v>
      </c>
    </row>
    <row r="1039" spans="1:15">
      <c r="A1039" s="14" t="str">
        <f>equip.xml!A1043</f>
        <v>30250080</v>
      </c>
      <c r="B1039" s="14">
        <f>equip.xml!B1043</f>
        <v>1</v>
      </c>
      <c r="C1039" s="14" t="str">
        <f>equip.xml!C1043</f>
        <v>探寻者之靴</v>
      </c>
      <c r="D1039" s="14" t="str">
        <f>equip.xml!D1043</f>
        <v>鞋子</v>
      </c>
      <c r="E1039" s="14">
        <f>equip.xml!E1043</f>
        <v>8</v>
      </c>
      <c r="F1039" s="14">
        <f>equip.xml!F1043</f>
        <v>3</v>
      </c>
      <c r="G1039" s="14">
        <f>equip.xml!G1043</f>
        <v>25</v>
      </c>
      <c r="H1039" s="14">
        <f>equip.xml!H1043</f>
        <v>0</v>
      </c>
      <c r="I1039" s="14">
        <f>equip.xml!J1043</f>
        <v>20</v>
      </c>
      <c r="J1039" s="14">
        <f>equip.xml!K1043</f>
        <v>0</v>
      </c>
      <c r="K1039" s="14">
        <f>equip.xml!L1043</f>
        <v>15000</v>
      </c>
      <c r="L1039" s="14" t="str">
        <f>equip.xml!M1043</f>
        <v>110_40_40</v>
      </c>
      <c r="M1039" s="17" t="str">
        <f>equip.xml!Q1043</f>
        <v>equipment/8004.png</v>
      </c>
      <c r="N1039" s="16" t="str">
        <f>equip.xml!P1043</f>
        <v>10000_1002_25000,30000_30001_1,30000_30002_1,30000_30003_1</v>
      </c>
      <c r="O1039">
        <f>equip.xml!R1043</f>
        <v>0</v>
      </c>
    </row>
    <row r="1040" spans="1:15">
      <c r="A1040" s="14" t="str">
        <f>equip.xml!A1044</f>
        <v>30250090</v>
      </c>
      <c r="B1040" s="14">
        <f>equip.xml!B1044</f>
        <v>1</v>
      </c>
      <c r="C1040" s="14" t="str">
        <f>equip.xml!C1044</f>
        <v>轻型手套</v>
      </c>
      <c r="D1040" s="14" t="str">
        <f>equip.xml!D1044</f>
        <v>手套</v>
      </c>
      <c r="E1040" s="14">
        <f>equip.xml!E1044</f>
        <v>9</v>
      </c>
      <c r="F1040" s="14">
        <f>equip.xml!F1044</f>
        <v>3</v>
      </c>
      <c r="G1040" s="14">
        <f>equip.xml!G1044</f>
        <v>25</v>
      </c>
      <c r="H1040" s="14">
        <f>equip.xml!H1044</f>
        <v>0</v>
      </c>
      <c r="I1040" s="14">
        <f>equip.xml!J1044</f>
        <v>20</v>
      </c>
      <c r="J1040" s="14">
        <f>equip.xml!K1044</f>
        <v>0</v>
      </c>
      <c r="K1040" s="14">
        <f>equip.xml!L1044</f>
        <v>15000</v>
      </c>
      <c r="L1040" s="14" t="str">
        <f>equip.xml!M1044</f>
        <v>108_286_286</v>
      </c>
      <c r="M1040" s="17" t="str">
        <f>equip.xml!Q1044</f>
        <v>equipment/10003.png</v>
      </c>
      <c r="N1040" s="16" t="str">
        <f>equip.xml!P1044</f>
        <v>10000_1002_25000,30000_30001_1,30000_30002_1,30000_30003_1</v>
      </c>
      <c r="O1040">
        <f>equip.xml!R1044</f>
        <v>0</v>
      </c>
    </row>
    <row r="1041" spans="1:15">
      <c r="A1041" s="14" t="str">
        <f>equip.xml!A1045</f>
        <v>30250100</v>
      </c>
      <c r="B1041" s="14">
        <f>equip.xml!B1045</f>
        <v>1</v>
      </c>
      <c r="C1041" s="14" t="str">
        <f>equip.xml!C1045</f>
        <v>魔光项链</v>
      </c>
      <c r="D1041" s="14" t="str">
        <f>equip.xml!D1045</f>
        <v>项链</v>
      </c>
      <c r="E1041" s="14">
        <f>equip.xml!E1045</f>
        <v>10</v>
      </c>
      <c r="F1041" s="14">
        <f>equip.xml!F1045</f>
        <v>3</v>
      </c>
      <c r="G1041" s="14">
        <f>equip.xml!G1045</f>
        <v>25</v>
      </c>
      <c r="H1041" s="14">
        <f>equip.xml!H1045</f>
        <v>0</v>
      </c>
      <c r="I1041" s="14">
        <f>equip.xml!J1045</f>
        <v>20</v>
      </c>
      <c r="J1041" s="14">
        <f>equip.xml!K1045</f>
        <v>0</v>
      </c>
      <c r="K1041" s="14">
        <f>equip.xml!L1045</f>
        <v>15000</v>
      </c>
      <c r="L1041" s="14" t="str">
        <f>equip.xml!M1045</f>
        <v>107_237_237</v>
      </c>
      <c r="M1041" s="17" t="str">
        <f>equip.xml!Q1045</f>
        <v>equipment/12004.png</v>
      </c>
      <c r="N1041" s="16" t="str">
        <f>equip.xml!P1045</f>
        <v>10000_1002_25000,30000_30001_1,30000_30002_1,30000_30003_1</v>
      </c>
      <c r="O1041">
        <f>equip.xml!R1045</f>
        <v>0</v>
      </c>
    </row>
    <row r="1042" spans="1:15">
      <c r="A1042" s="14" t="str">
        <f>equip.xml!A1046</f>
        <v>30251050</v>
      </c>
      <c r="B1042" s="14">
        <f>equip.xml!B1046</f>
        <v>1</v>
      </c>
      <c r="C1042" s="14" t="str">
        <f>equip.xml!C1046</f>
        <v>血刃</v>
      </c>
      <c r="D1042" s="14" t="str">
        <f>equip.xml!D1046</f>
        <v>主手武器</v>
      </c>
      <c r="E1042" s="14">
        <f>equip.xml!E1046</f>
        <v>5</v>
      </c>
      <c r="F1042" s="14">
        <f>equip.xml!F1046</f>
        <v>3</v>
      </c>
      <c r="G1042" s="14">
        <f>equip.xml!G1046</f>
        <v>25</v>
      </c>
      <c r="H1042" s="14" t="str">
        <f>equip.xml!H1046</f>
        <v>1,1001</v>
      </c>
      <c r="I1042" s="14">
        <f>equip.xml!J1046</f>
        <v>20</v>
      </c>
      <c r="J1042" s="14">
        <f>equip.xml!K1046</f>
        <v>0</v>
      </c>
      <c r="K1042" s="14">
        <f>equip.xml!L1046</f>
        <v>15000</v>
      </c>
      <c r="L1042" s="14" t="str">
        <f>equip.xml!M1046</f>
        <v>103_177_177,104_354_354</v>
      </c>
      <c r="M1042" s="17" t="str">
        <f>equip.xml!Q1046</f>
        <v>equipment/1110.png</v>
      </c>
      <c r="N1042" s="16" t="str">
        <f>equip.xml!P1046</f>
        <v>10000_1002_25000,30000_30001_1,30000_30002_1,30000_30003_1</v>
      </c>
      <c r="O1042">
        <f>equip.xml!R1046</f>
        <v>0</v>
      </c>
    </row>
    <row r="1043" spans="1:15">
      <c r="A1043" s="14" t="str">
        <f>equip.xml!A1047</f>
        <v>30251051</v>
      </c>
      <c r="B1043" s="14">
        <f>equip.xml!B1047</f>
        <v>1</v>
      </c>
      <c r="C1043" s="14" t="str">
        <f>equip.xml!C1047</f>
        <v>游侠利刃</v>
      </c>
      <c r="D1043" s="14" t="str">
        <f>equip.xml!D1047</f>
        <v>主手武器</v>
      </c>
      <c r="E1043" s="14">
        <f>equip.xml!E1047</f>
        <v>5</v>
      </c>
      <c r="F1043" s="14">
        <f>equip.xml!F1047</f>
        <v>3</v>
      </c>
      <c r="G1043" s="14">
        <f>equip.xml!G1047</f>
        <v>25</v>
      </c>
      <c r="H1043" s="14" t="str">
        <f>equip.xml!H1047</f>
        <v>1,1001</v>
      </c>
      <c r="I1043" s="14">
        <f>equip.xml!J1047</f>
        <v>20</v>
      </c>
      <c r="J1043" s="14">
        <f>equip.xml!K1047</f>
        <v>0</v>
      </c>
      <c r="K1043" s="14">
        <f>equip.xml!L1047</f>
        <v>17500</v>
      </c>
      <c r="L1043" s="14" t="str">
        <f>equip.xml!M1047</f>
        <v>103_216_216,104_432_432</v>
      </c>
      <c r="M1043" s="17" t="str">
        <f>equip.xml!Q1047</f>
        <v>equipment/1111.png</v>
      </c>
      <c r="N1043" s="16" t="str">
        <f>equip.xml!P1047</f>
        <v>10000_1002_25000,30000_30001_1,30000_30002_1,30000_30003_1</v>
      </c>
      <c r="O1043">
        <f>equip.xml!R1047</f>
        <v>0</v>
      </c>
    </row>
    <row r="1044" spans="1:15">
      <c r="A1044" s="14" t="str">
        <f>equip.xml!A1048</f>
        <v>30251060</v>
      </c>
      <c r="B1044" s="14">
        <f>equip.xml!B1048</f>
        <v>1</v>
      </c>
      <c r="C1044" s="14" t="str">
        <f>equip.xml!C1048</f>
        <v>坚固重盾</v>
      </c>
      <c r="D1044" s="14" t="str">
        <f>equip.xml!D1048</f>
        <v>副手武器</v>
      </c>
      <c r="E1044" s="14">
        <f>equip.xml!E1048</f>
        <v>6</v>
      </c>
      <c r="F1044" s="14">
        <f>equip.xml!F1048</f>
        <v>3</v>
      </c>
      <c r="G1044" s="14">
        <f>equip.xml!G1048</f>
        <v>25</v>
      </c>
      <c r="H1044" s="14" t="str">
        <f>equip.xml!H1048</f>
        <v>1,1001</v>
      </c>
      <c r="I1044" s="14">
        <f>equip.xml!J1048</f>
        <v>20</v>
      </c>
      <c r="J1044" s="14">
        <f>equip.xml!K1048</f>
        <v>0</v>
      </c>
      <c r="K1044" s="14">
        <f>equip.xml!L1048</f>
        <v>15000</v>
      </c>
      <c r="L1044" s="14" t="str">
        <f>equip.xml!M1048</f>
        <v>105_256_256</v>
      </c>
      <c r="M1044" s="17" t="str">
        <f>equip.xml!Q1048</f>
        <v>equipment/2106.png</v>
      </c>
      <c r="N1044" s="16" t="str">
        <f>equip.xml!P1048</f>
        <v>10000_1002_25000,30000_30001_1,30000_30002_1,30000_30003_1</v>
      </c>
      <c r="O1044">
        <f>equip.xml!R1048</f>
        <v>0</v>
      </c>
    </row>
    <row r="1045" spans="1:15">
      <c r="A1045" s="14" t="str">
        <f>equip.xml!A1049</f>
        <v>30251061</v>
      </c>
      <c r="B1045" s="14">
        <f>equip.xml!B1049</f>
        <v>0</v>
      </c>
      <c r="C1045" s="14" t="str">
        <f>equip.xml!C1049</f>
        <v>尖头盾</v>
      </c>
      <c r="D1045" s="14" t="str">
        <f>equip.xml!D1049</f>
        <v>副手武器</v>
      </c>
      <c r="E1045" s="14">
        <f>equip.xml!E1049</f>
        <v>6</v>
      </c>
      <c r="F1045" s="14">
        <f>equip.xml!F1049</f>
        <v>3</v>
      </c>
      <c r="G1045" s="14">
        <f>equip.xml!G1049</f>
        <v>25</v>
      </c>
      <c r="H1045" s="14" t="str">
        <f>equip.xml!H1049</f>
        <v>1,1001</v>
      </c>
      <c r="I1045" s="14">
        <f>equip.xml!J1049</f>
        <v>20</v>
      </c>
      <c r="J1045" s="14">
        <f>equip.xml!K1049</f>
        <v>0</v>
      </c>
      <c r="K1045" s="14">
        <f>equip.xml!L1049</f>
        <v>17500</v>
      </c>
      <c r="L1045" s="14" t="str">
        <f>equip.xml!M1049</f>
        <v>105_301_301</v>
      </c>
      <c r="M1045" s="17" t="str">
        <f>equip.xml!Q1049</f>
        <v>equipment/2101.png</v>
      </c>
      <c r="N1045" s="16" t="str">
        <f>equip.xml!P1049</f>
        <v>10000_1002_25000,30000_30001_1,30000_30002_1,30000_30003_1</v>
      </c>
      <c r="O1045">
        <f>equip.xml!R1049</f>
        <v>0</v>
      </c>
    </row>
    <row r="1046" spans="1:15">
      <c r="A1046" s="14" t="str">
        <f>equip.xml!A1050</f>
        <v>30252050</v>
      </c>
      <c r="B1046" s="14">
        <f>equip.xml!B1050</f>
        <v>1</v>
      </c>
      <c r="C1046" s="14" t="str">
        <f>equip.xml!C1050</f>
        <v>精准之弓</v>
      </c>
      <c r="D1046" s="14" t="str">
        <f>equip.xml!D1050</f>
        <v>主手武器</v>
      </c>
      <c r="E1046" s="14">
        <f>equip.xml!E1050</f>
        <v>5</v>
      </c>
      <c r="F1046" s="14">
        <f>equip.xml!F1050</f>
        <v>3</v>
      </c>
      <c r="G1046" s="14">
        <f>equip.xml!G1050</f>
        <v>25</v>
      </c>
      <c r="H1046" s="14" t="str">
        <f>equip.xml!H1050</f>
        <v>2,1002</v>
      </c>
      <c r="I1046" s="14">
        <f>equip.xml!J1050</f>
        <v>20</v>
      </c>
      <c r="J1046" s="14">
        <f>equip.xml!K1050</f>
        <v>0</v>
      </c>
      <c r="K1046" s="14">
        <f>equip.xml!L1050</f>
        <v>15000</v>
      </c>
      <c r="L1046" s="14" t="str">
        <f>equip.xml!M1050</f>
        <v>103_177_177,104_354_354</v>
      </c>
      <c r="M1046" s="17" t="str">
        <f>equip.xml!Q1050</f>
        <v>equipment/1210.png</v>
      </c>
      <c r="N1046" s="16" t="str">
        <f>equip.xml!P1050</f>
        <v>10000_1002_25000,30000_30001_1,30000_30002_1,30000_30003_1</v>
      </c>
      <c r="O1046">
        <f>equip.xml!R1050</f>
        <v>0</v>
      </c>
    </row>
    <row r="1047" spans="1:15">
      <c r="A1047" s="14" t="str">
        <f>equip.xml!A1051</f>
        <v>30252051</v>
      </c>
      <c r="B1047" s="14">
        <f>equip.xml!B1051</f>
        <v>1</v>
      </c>
      <c r="C1047" s="14" t="str">
        <f>equip.xml!C1051</f>
        <v>行者弯弓</v>
      </c>
      <c r="D1047" s="14" t="str">
        <f>equip.xml!D1051</f>
        <v>主手武器</v>
      </c>
      <c r="E1047" s="14">
        <f>equip.xml!E1051</f>
        <v>5</v>
      </c>
      <c r="F1047" s="14">
        <f>equip.xml!F1051</f>
        <v>3</v>
      </c>
      <c r="G1047" s="14">
        <f>equip.xml!G1051</f>
        <v>25</v>
      </c>
      <c r="H1047" s="14" t="str">
        <f>equip.xml!H1051</f>
        <v>2,1002</v>
      </c>
      <c r="I1047" s="14">
        <f>equip.xml!J1051</f>
        <v>20</v>
      </c>
      <c r="J1047" s="14">
        <f>equip.xml!K1051</f>
        <v>0</v>
      </c>
      <c r="K1047" s="14">
        <f>equip.xml!L1051</f>
        <v>17500</v>
      </c>
      <c r="L1047" s="14" t="str">
        <f>equip.xml!M1051</f>
        <v>103_216_216,104_432_432</v>
      </c>
      <c r="M1047" s="17" t="str">
        <f>equip.xml!Q1051</f>
        <v>equipment/1215.png</v>
      </c>
      <c r="N1047" s="16" t="str">
        <f>equip.xml!P1051</f>
        <v>10000_1002_25000,30000_30001_1,30000_30002_1,30000_30003_1</v>
      </c>
      <c r="O1047">
        <f>equip.xml!R1051</f>
        <v>0</v>
      </c>
    </row>
    <row r="1048" spans="1:15">
      <c r="A1048" s="14" t="str">
        <f>equip.xml!A1052</f>
        <v>30252060</v>
      </c>
      <c r="B1048" s="14">
        <f>equip.xml!B1052</f>
        <v>1</v>
      </c>
      <c r="C1048" s="14" t="str">
        <f>equip.xml!C1052</f>
        <v>刺客箭筒</v>
      </c>
      <c r="D1048" s="14" t="str">
        <f>equip.xml!D1052</f>
        <v>副手武器</v>
      </c>
      <c r="E1048" s="14">
        <f>equip.xml!E1052</f>
        <v>6</v>
      </c>
      <c r="F1048" s="14">
        <f>equip.xml!F1052</f>
        <v>3</v>
      </c>
      <c r="G1048" s="14">
        <f>equip.xml!G1052</f>
        <v>25</v>
      </c>
      <c r="H1048" s="14" t="str">
        <f>equip.xml!H1052</f>
        <v>2,1002</v>
      </c>
      <c r="I1048" s="14">
        <f>equip.xml!J1052</f>
        <v>20</v>
      </c>
      <c r="J1048" s="14">
        <f>equip.xml!K1052</f>
        <v>0</v>
      </c>
      <c r="K1048" s="14">
        <f>equip.xml!L1052</f>
        <v>15000</v>
      </c>
      <c r="L1048" s="14" t="str">
        <f>equip.xml!M1052</f>
        <v>108_256_256</v>
      </c>
      <c r="M1048" s="17" t="str">
        <f>equip.xml!Q1052</f>
        <v>equipment/2206.png</v>
      </c>
      <c r="N1048" s="16" t="str">
        <f>equip.xml!P1052</f>
        <v>10000_1002_25000,30000_30001_1,30000_30002_1,30000_30003_1</v>
      </c>
      <c r="O1048">
        <f>equip.xml!R1052</f>
        <v>0</v>
      </c>
    </row>
    <row r="1049" spans="1:15">
      <c r="A1049" s="14" t="str">
        <f>equip.xml!A1053</f>
        <v>30252061</v>
      </c>
      <c r="B1049" s="14">
        <f>equip.xml!B1053</f>
        <v>0</v>
      </c>
      <c r="C1049" s="14" t="str">
        <f>equip.xml!C1053</f>
        <v>箭筒</v>
      </c>
      <c r="D1049" s="14" t="str">
        <f>equip.xml!D1053</f>
        <v>副手武器</v>
      </c>
      <c r="E1049" s="14">
        <f>equip.xml!E1053</f>
        <v>6</v>
      </c>
      <c r="F1049" s="14">
        <f>equip.xml!F1053</f>
        <v>3</v>
      </c>
      <c r="G1049" s="14">
        <f>equip.xml!G1053</f>
        <v>25</v>
      </c>
      <c r="H1049" s="14" t="str">
        <f>equip.xml!H1053</f>
        <v>2,1002</v>
      </c>
      <c r="I1049" s="14">
        <f>equip.xml!J1053</f>
        <v>20</v>
      </c>
      <c r="J1049" s="14">
        <f>equip.xml!K1053</f>
        <v>0</v>
      </c>
      <c r="K1049" s="14">
        <f>equip.xml!L1053</f>
        <v>17500</v>
      </c>
      <c r="L1049" s="14" t="str">
        <f>equip.xml!M1053</f>
        <v>108_301_301</v>
      </c>
      <c r="M1049" s="17" t="str">
        <f>equip.xml!Q1053</f>
        <v>equipment/2201.png</v>
      </c>
      <c r="N1049" s="16" t="str">
        <f>equip.xml!P1053</f>
        <v>10000_1002_25000,30000_30001_1,30000_30002_1,30000_30003_1</v>
      </c>
      <c r="O1049">
        <f>equip.xml!R1053</f>
        <v>0</v>
      </c>
    </row>
    <row r="1050" spans="1:15">
      <c r="A1050" s="14" t="str">
        <f>equip.xml!A1054</f>
        <v>30253050</v>
      </c>
      <c r="B1050" s="14">
        <f>equip.xml!B1054</f>
        <v>1</v>
      </c>
      <c r="C1050" s="14" t="str">
        <f>equip.xml!C1054</f>
        <v>预言法杖</v>
      </c>
      <c r="D1050" s="14" t="str">
        <f>equip.xml!D1054</f>
        <v>主手武器</v>
      </c>
      <c r="E1050" s="14">
        <f>equip.xml!E1054</f>
        <v>5</v>
      </c>
      <c r="F1050" s="14">
        <f>equip.xml!F1054</f>
        <v>3</v>
      </c>
      <c r="G1050" s="14">
        <f>equip.xml!G1054</f>
        <v>25</v>
      </c>
      <c r="H1050" s="14" t="str">
        <f>equip.xml!H1054</f>
        <v>3,1003</v>
      </c>
      <c r="I1050" s="14">
        <f>equip.xml!J1054</f>
        <v>20</v>
      </c>
      <c r="J1050" s="14">
        <f>equip.xml!K1054</f>
        <v>0</v>
      </c>
      <c r="K1050" s="14">
        <f>equip.xml!L1054</f>
        <v>15000</v>
      </c>
      <c r="L1050" s="14" t="str">
        <f>equip.xml!M1054</f>
        <v>103_177_177,104_354_354</v>
      </c>
      <c r="M1050" s="17" t="str">
        <f>equip.xml!Q1054</f>
        <v>equipment/1311.png</v>
      </c>
      <c r="N1050" s="16" t="str">
        <f>equip.xml!P1054</f>
        <v>10000_1002_25000,30000_30001_1,30000_30002_1,30000_30003_1</v>
      </c>
      <c r="O1050">
        <f>equip.xml!R1054</f>
        <v>0</v>
      </c>
    </row>
    <row r="1051" spans="1:15">
      <c r="A1051" s="14" t="str">
        <f>equip.xml!A1055</f>
        <v>30253051</v>
      </c>
      <c r="B1051" s="14">
        <f>equip.xml!B1055</f>
        <v>0</v>
      </c>
      <c r="C1051" s="14" t="str">
        <f>equip.xml!C1055</f>
        <v>荒骨法杖</v>
      </c>
      <c r="D1051" s="14" t="str">
        <f>equip.xml!D1055</f>
        <v>主手武器</v>
      </c>
      <c r="E1051" s="14">
        <f>equip.xml!E1055</f>
        <v>5</v>
      </c>
      <c r="F1051" s="14">
        <f>equip.xml!F1055</f>
        <v>3</v>
      </c>
      <c r="G1051" s="14">
        <f>equip.xml!G1055</f>
        <v>25</v>
      </c>
      <c r="H1051" s="14" t="str">
        <f>equip.xml!H1055</f>
        <v>3,1003</v>
      </c>
      <c r="I1051" s="14">
        <f>equip.xml!J1055</f>
        <v>20</v>
      </c>
      <c r="J1051" s="14">
        <f>equip.xml!K1055</f>
        <v>0</v>
      </c>
      <c r="K1051" s="14">
        <f>equip.xml!L1055</f>
        <v>17500</v>
      </c>
      <c r="L1051" s="14" t="str">
        <f>equip.xml!M1055</f>
        <v>103_216_216,104_432_432</v>
      </c>
      <c r="M1051" s="17" t="str">
        <f>equip.xml!Q1055</f>
        <v>equipment/1312.png</v>
      </c>
      <c r="N1051" s="16" t="str">
        <f>equip.xml!P1055</f>
        <v>10000_1002_25000,30000_30001_1,30000_30002_1,30000_30003_1</v>
      </c>
      <c r="O1051">
        <f>equip.xml!R1055</f>
        <v>0</v>
      </c>
    </row>
    <row r="1052" spans="1:15">
      <c r="A1052" s="14" t="str">
        <f>equip.xml!A1056</f>
        <v>30253060</v>
      </c>
      <c r="B1052" s="14">
        <f>equip.xml!B1056</f>
        <v>1</v>
      </c>
      <c r="C1052" s="14" t="str">
        <f>equip.xml!C1056</f>
        <v>魔法秘典</v>
      </c>
      <c r="D1052" s="14" t="str">
        <f>equip.xml!D1056</f>
        <v>副手武器</v>
      </c>
      <c r="E1052" s="14">
        <f>equip.xml!E1056</f>
        <v>6</v>
      </c>
      <c r="F1052" s="14">
        <f>equip.xml!F1056</f>
        <v>3</v>
      </c>
      <c r="G1052" s="14">
        <f>equip.xml!G1056</f>
        <v>25</v>
      </c>
      <c r="H1052" s="14" t="str">
        <f>equip.xml!H1056</f>
        <v>3,1003</v>
      </c>
      <c r="I1052" s="14">
        <f>equip.xml!J1056</f>
        <v>20</v>
      </c>
      <c r="J1052" s="14">
        <f>equip.xml!K1056</f>
        <v>0</v>
      </c>
      <c r="K1052" s="14">
        <f>equip.xml!L1056</f>
        <v>15000</v>
      </c>
      <c r="L1052" s="14" t="str">
        <f>equip.xml!M1056</f>
        <v>102_690_690</v>
      </c>
      <c r="M1052" s="17" t="str">
        <f>equip.xml!Q1056</f>
        <v>equipment/2306.png</v>
      </c>
      <c r="N1052" s="16" t="str">
        <f>equip.xml!P1056</f>
        <v>10000_1002_25000,30000_30001_1,30000_30002_1,30000_30003_1</v>
      </c>
      <c r="O1052">
        <f>equip.xml!R1056</f>
        <v>0</v>
      </c>
    </row>
    <row r="1053" spans="1:15">
      <c r="A1053" s="14" t="str">
        <f>equip.xml!A1057</f>
        <v>30253061</v>
      </c>
      <c r="B1053" s="14">
        <f>equip.xml!B1057</f>
        <v>0</v>
      </c>
      <c r="C1053" s="14" t="str">
        <f>equip.xml!C1057</f>
        <v>法术指南</v>
      </c>
      <c r="D1053" s="14" t="str">
        <f>equip.xml!D1057</f>
        <v>副手武器</v>
      </c>
      <c r="E1053" s="14">
        <f>equip.xml!E1057</f>
        <v>6</v>
      </c>
      <c r="F1053" s="14">
        <f>equip.xml!F1057</f>
        <v>3</v>
      </c>
      <c r="G1053" s="14">
        <f>equip.xml!G1057</f>
        <v>25</v>
      </c>
      <c r="H1053" s="14" t="str">
        <f>equip.xml!H1057</f>
        <v>3,1003</v>
      </c>
      <c r="I1053" s="14">
        <f>equip.xml!J1057</f>
        <v>20</v>
      </c>
      <c r="J1053" s="14">
        <f>equip.xml!K1057</f>
        <v>0</v>
      </c>
      <c r="K1053" s="14">
        <f>equip.xml!L1057</f>
        <v>17500</v>
      </c>
      <c r="L1053" s="14" t="str">
        <f>equip.xml!M1057</f>
        <v>102_301_301</v>
      </c>
      <c r="M1053" s="17" t="str">
        <f>equip.xml!Q1057</f>
        <v>equipment/2301.png</v>
      </c>
      <c r="N1053" s="16" t="str">
        <f>equip.xml!P1057</f>
        <v>10000_1002_25000,30000_30001_1,30000_30002_1,30000_30003_1</v>
      </c>
      <c r="O1053">
        <f>equip.xml!R1057</f>
        <v>0</v>
      </c>
    </row>
    <row r="1054" spans="1:15">
      <c r="A1054" s="14" t="str">
        <f>equip.xml!A1058</f>
        <v>30250040</v>
      </c>
      <c r="B1054" s="14">
        <f>equip.xml!B1058</f>
        <v>1</v>
      </c>
      <c r="C1054" s="14" t="str">
        <f>equip.xml!C1058</f>
        <v>烙铁胸甲</v>
      </c>
      <c r="D1054" s="14" t="str">
        <f>equip.xml!D1058</f>
        <v>胸甲</v>
      </c>
      <c r="E1054" s="14">
        <f>equip.xml!E1058</f>
        <v>4</v>
      </c>
      <c r="F1054" s="14">
        <f>equip.xml!F1058</f>
        <v>3</v>
      </c>
      <c r="G1054" s="14">
        <f>equip.xml!G1058</f>
        <v>25</v>
      </c>
      <c r="H1054" s="14">
        <f>equip.xml!H1058</f>
        <v>0</v>
      </c>
      <c r="I1054" s="14">
        <f>equip.xml!J1058</f>
        <v>20</v>
      </c>
      <c r="J1054" s="14">
        <f>equip.xml!K1058</f>
        <v>0</v>
      </c>
      <c r="K1054" s="14">
        <f>equip.xml!L1058</f>
        <v>15000</v>
      </c>
      <c r="L1054" s="14" t="str">
        <f>equip.xml!M1058</f>
        <v>105_153_153</v>
      </c>
      <c r="M1054" s="17" t="str">
        <f>equip.xml!Q1058</f>
        <v>equipment/5007.png</v>
      </c>
      <c r="N1054" s="16" t="str">
        <f>equip.xml!P1058</f>
        <v>10000_1002_25000,30000_30001_1,30000_30002_1,30000_30003_1</v>
      </c>
      <c r="O1054">
        <f>equip.xml!R1058</f>
        <v>0</v>
      </c>
    </row>
    <row r="1055" spans="1:15">
      <c r="A1055" s="14" t="str">
        <f>equip.xml!A1059</f>
        <v>30250041</v>
      </c>
      <c r="B1055" s="14">
        <f>equip.xml!B1059</f>
        <v>0</v>
      </c>
      <c r="C1055" s="14" t="str">
        <f>equip.xml!C1059</f>
        <v>新兵外套</v>
      </c>
      <c r="D1055" s="14" t="str">
        <f>equip.xml!D1059</f>
        <v>胸甲</v>
      </c>
      <c r="E1055" s="14">
        <f>equip.xml!E1059</f>
        <v>4</v>
      </c>
      <c r="F1055" s="14">
        <f>equip.xml!F1059</f>
        <v>3</v>
      </c>
      <c r="G1055" s="14">
        <f>equip.xml!G1059</f>
        <v>25</v>
      </c>
      <c r="H1055" s="14">
        <f>equip.xml!H1059</f>
        <v>0</v>
      </c>
      <c r="I1055" s="14">
        <f>equip.xml!J1059</f>
        <v>20</v>
      </c>
      <c r="J1055" s="14">
        <f>equip.xml!K1059</f>
        <v>0</v>
      </c>
      <c r="K1055" s="14">
        <f>equip.xml!L1059</f>
        <v>17500</v>
      </c>
      <c r="L1055" s="14" t="str">
        <f>equip.xml!M1059</f>
        <v>105_178_178</v>
      </c>
      <c r="M1055" s="17" t="str">
        <f>equip.xml!Q1059</f>
        <v>equipment/5001.png</v>
      </c>
      <c r="N1055" s="16" t="str">
        <f>equip.xml!P1059</f>
        <v>10000_1002_25000,30000_30001_1,30000_30002_1,30000_30003_1</v>
      </c>
      <c r="O1055">
        <f>equip.xml!R1059</f>
        <v>0</v>
      </c>
    </row>
    <row r="1056" spans="1:15">
      <c r="A1056" s="14" t="str">
        <f>equip.xml!A1060</f>
        <v>30250070</v>
      </c>
      <c r="B1056" s="14">
        <f>equip.xml!B1060</f>
        <v>1</v>
      </c>
      <c r="C1056" s="14" t="str">
        <f>equip.xml!C1060</f>
        <v>勇气腿甲</v>
      </c>
      <c r="D1056" s="14" t="str">
        <f>equip.xml!D1060</f>
        <v>护腿</v>
      </c>
      <c r="E1056" s="14">
        <f>equip.xml!E1060</f>
        <v>7</v>
      </c>
      <c r="F1056" s="14">
        <f>equip.xml!F1060</f>
        <v>3</v>
      </c>
      <c r="G1056" s="14">
        <f>equip.xml!G1060</f>
        <v>25</v>
      </c>
      <c r="H1056" s="14">
        <f>equip.xml!H1060</f>
        <v>0</v>
      </c>
      <c r="I1056" s="14">
        <f>equip.xml!J1060</f>
        <v>20</v>
      </c>
      <c r="J1056" s="14">
        <f>equip.xml!K1060</f>
        <v>0</v>
      </c>
      <c r="K1056" s="14">
        <f>equip.xml!L1060</f>
        <v>15000</v>
      </c>
      <c r="L1056" s="14" t="str">
        <f>equip.xml!M1060</f>
        <v>105_104_104</v>
      </c>
      <c r="M1056" s="17" t="str">
        <f>equip.xml!Q1060</f>
        <v>equipment/7006.png</v>
      </c>
      <c r="N1056" s="16" t="str">
        <f>equip.xml!P1060</f>
        <v>10000_1002_25000,30000_30001_1,30000_30002_1,30000_30003_1</v>
      </c>
      <c r="O1056">
        <f>equip.xml!R1060</f>
        <v>0</v>
      </c>
    </row>
    <row r="1057" spans="1:15">
      <c r="A1057" s="14" t="str">
        <f>equip.xml!A1061</f>
        <v>30250071</v>
      </c>
      <c r="B1057" s="14">
        <f>equip.xml!B1061</f>
        <v>0</v>
      </c>
      <c r="C1057" s="14" t="str">
        <f>equip.xml!C1061</f>
        <v>学徒短裤</v>
      </c>
      <c r="D1057" s="14" t="str">
        <f>equip.xml!D1061</f>
        <v>护腿</v>
      </c>
      <c r="E1057" s="14">
        <f>equip.xml!E1061</f>
        <v>7</v>
      </c>
      <c r="F1057" s="14">
        <f>equip.xml!F1061</f>
        <v>3</v>
      </c>
      <c r="G1057" s="14">
        <f>equip.xml!G1061</f>
        <v>25</v>
      </c>
      <c r="H1057" s="14">
        <f>equip.xml!H1061</f>
        <v>0</v>
      </c>
      <c r="I1057" s="14">
        <f>equip.xml!J1061</f>
        <v>20</v>
      </c>
      <c r="J1057" s="14">
        <f>equip.xml!K1061</f>
        <v>0</v>
      </c>
      <c r="K1057" s="14">
        <f>equip.xml!L1061</f>
        <v>17500</v>
      </c>
      <c r="L1057" s="14" t="str">
        <f>equip.xml!M1061</f>
        <v>105_149_149</v>
      </c>
      <c r="M1057" s="17" t="str">
        <f>equip.xml!Q1061</f>
        <v>equipment/7001.png</v>
      </c>
      <c r="N1057" s="16" t="str">
        <f>equip.xml!P1061</f>
        <v>10000_1002_25000,30000_30001_1,30000_30002_1,30000_30003_1</v>
      </c>
      <c r="O1057">
        <f>equip.xml!R1061</f>
        <v>0</v>
      </c>
    </row>
    <row r="1058" spans="1:15">
      <c r="A1058" s="14" t="str">
        <f>equip.xml!A1062</f>
        <v>30300010</v>
      </c>
      <c r="B1058" s="14">
        <f>equip.xml!B1062</f>
        <v>1</v>
      </c>
      <c r="C1058" s="14" t="str">
        <f>equip.xml!C1062</f>
        <v>双链罩帽</v>
      </c>
      <c r="D1058" s="14" t="str">
        <f>equip.xml!D1062</f>
        <v>头盔</v>
      </c>
      <c r="E1058" s="14">
        <f>equip.xml!E1062</f>
        <v>1</v>
      </c>
      <c r="F1058" s="14">
        <f>equip.xml!F1062</f>
        <v>3</v>
      </c>
      <c r="G1058" s="14">
        <f>equip.xml!G1062</f>
        <v>30</v>
      </c>
      <c r="H1058" s="14">
        <f>equip.xml!H1062</f>
        <v>0</v>
      </c>
      <c r="I1058" s="14">
        <f>equip.xml!J1062</f>
        <v>20</v>
      </c>
      <c r="J1058" s="14">
        <f>equip.xml!K1062</f>
        <v>0</v>
      </c>
      <c r="K1058" s="14">
        <f>equip.xml!L1062</f>
        <v>17500</v>
      </c>
      <c r="L1058" s="14" t="str">
        <f>equip.xml!M1062</f>
        <v>106_372_372</v>
      </c>
      <c r="M1058" s="17" t="str">
        <f>equip.xml!Q1062</f>
        <v>equipment/3004.png</v>
      </c>
      <c r="N1058" s="16" t="str">
        <f>equip.xml!P1062</f>
        <v>10000_1002_30000,30000_30001_1,30000_30002_1,30000_30003_1</v>
      </c>
      <c r="O1058">
        <f>equip.xml!R1062</f>
        <v>0</v>
      </c>
    </row>
    <row r="1059" spans="1:15">
      <c r="A1059" s="14" t="str">
        <f>equip.xml!A1063</f>
        <v>30300020</v>
      </c>
      <c r="B1059" s="14">
        <f>equip.xml!B1063</f>
        <v>1</v>
      </c>
      <c r="C1059" s="14" t="str">
        <f>equip.xml!C1063</f>
        <v>繁星之戒</v>
      </c>
      <c r="D1059" s="14" t="str">
        <f>equip.xml!D1063</f>
        <v>戒指</v>
      </c>
      <c r="E1059" s="14">
        <f>equip.xml!E1063</f>
        <v>2</v>
      </c>
      <c r="F1059" s="14">
        <f>equip.xml!F1063</f>
        <v>3</v>
      </c>
      <c r="G1059" s="14">
        <f>equip.xml!G1063</f>
        <v>30</v>
      </c>
      <c r="H1059" s="14">
        <f>equip.xml!H1063</f>
        <v>0</v>
      </c>
      <c r="I1059" s="14">
        <f>equip.xml!J1063</f>
        <v>20</v>
      </c>
      <c r="J1059" s="14">
        <f>equip.xml!K1063</f>
        <v>0</v>
      </c>
      <c r="K1059" s="14">
        <f>equip.xml!L1063</f>
        <v>17500</v>
      </c>
      <c r="L1059" s="14" t="str">
        <f>equip.xml!M1063</f>
        <v>102_460_460</v>
      </c>
      <c r="M1059" s="17" t="str">
        <f>equip.xml!Q1063</f>
        <v>equipment/14005.png</v>
      </c>
      <c r="N1059" s="16" t="str">
        <f>equip.xml!P1063</f>
        <v>10000_1002_30000,30000_30001_1,30000_30002_1,30000_30003_1</v>
      </c>
      <c r="O1059">
        <f>equip.xml!R1063</f>
        <v>0</v>
      </c>
    </row>
    <row r="1060" spans="1:15">
      <c r="A1060" s="14" t="str">
        <f>equip.xml!A1064</f>
        <v>30300030</v>
      </c>
      <c r="B1060" s="14">
        <f>equip.xml!B1064</f>
        <v>1</v>
      </c>
      <c r="C1060" s="14" t="str">
        <f>equip.xml!C1064</f>
        <v>秘银腰带</v>
      </c>
      <c r="D1060" s="14" t="str">
        <f>equip.xml!D1064</f>
        <v>腰带</v>
      </c>
      <c r="E1060" s="14">
        <f>equip.xml!E1064</f>
        <v>3</v>
      </c>
      <c r="F1060" s="14">
        <f>equip.xml!F1064</f>
        <v>3</v>
      </c>
      <c r="G1060" s="14">
        <f>equip.xml!G1064</f>
        <v>30</v>
      </c>
      <c r="H1060" s="14">
        <f>equip.xml!H1064</f>
        <v>0</v>
      </c>
      <c r="I1060" s="14">
        <f>equip.xml!J1064</f>
        <v>20</v>
      </c>
      <c r="J1060" s="14">
        <f>equip.xml!K1064</f>
        <v>0</v>
      </c>
      <c r="K1060" s="14">
        <f>equip.xml!L1064</f>
        <v>17500</v>
      </c>
      <c r="L1060" s="14" t="str">
        <f>equip.xml!M1064</f>
        <v>101_3920_3920</v>
      </c>
      <c r="M1060" s="17" t="str">
        <f>equip.xml!Q1064</f>
        <v>equipment/6002.png</v>
      </c>
      <c r="N1060" s="16" t="str">
        <f>equip.xml!P1064</f>
        <v>10000_1002_30000,30000_30001_1,30000_30002_1,30000_30003_1</v>
      </c>
      <c r="O1060">
        <f>equip.xml!R1064</f>
        <v>0</v>
      </c>
    </row>
    <row r="1061" spans="1:15">
      <c r="A1061" s="14" t="str">
        <f>equip.xml!A1065</f>
        <v>30300080</v>
      </c>
      <c r="B1061" s="14">
        <f>equip.xml!B1065</f>
        <v>1</v>
      </c>
      <c r="C1061" s="14" t="str">
        <f>equip.xml!C1065</f>
        <v>镶饰胫甲</v>
      </c>
      <c r="D1061" s="14" t="str">
        <f>equip.xml!D1065</f>
        <v>鞋子</v>
      </c>
      <c r="E1061" s="14">
        <f>equip.xml!E1065</f>
        <v>8</v>
      </c>
      <c r="F1061" s="14">
        <f>equip.xml!F1065</f>
        <v>3</v>
      </c>
      <c r="G1061" s="14">
        <f>equip.xml!G1065</f>
        <v>30</v>
      </c>
      <c r="H1061" s="14">
        <f>equip.xml!H1065</f>
        <v>0</v>
      </c>
      <c r="I1061" s="14">
        <f>equip.xml!J1065</f>
        <v>20</v>
      </c>
      <c r="J1061" s="14">
        <f>equip.xml!K1065</f>
        <v>0</v>
      </c>
      <c r="K1061" s="14">
        <f>equip.xml!L1065</f>
        <v>17500</v>
      </c>
      <c r="L1061" s="14" t="str">
        <f>equip.xml!M1065</f>
        <v>110_65_65</v>
      </c>
      <c r="M1061" s="17" t="str">
        <f>equip.xml!Q1065</f>
        <v>equipment/8005.png</v>
      </c>
      <c r="N1061" s="16" t="str">
        <f>equip.xml!P1065</f>
        <v>10000_1002_30000,30000_30001_1,30000_30002_1,30000_30003_1</v>
      </c>
      <c r="O1061">
        <f>equip.xml!R1065</f>
        <v>0</v>
      </c>
    </row>
    <row r="1062" spans="1:15">
      <c r="A1062" s="14" t="str">
        <f>equip.xml!A1066</f>
        <v>30300090</v>
      </c>
      <c r="B1062" s="14">
        <f>equip.xml!B1066</f>
        <v>1</v>
      </c>
      <c r="C1062" s="14" t="str">
        <f>equip.xml!C1066</f>
        <v>链甲手套</v>
      </c>
      <c r="D1062" s="14" t="str">
        <f>equip.xml!D1066</f>
        <v>手套</v>
      </c>
      <c r="E1062" s="14">
        <f>equip.xml!E1066</f>
        <v>9</v>
      </c>
      <c r="F1062" s="14">
        <f>equip.xml!F1066</f>
        <v>3</v>
      </c>
      <c r="G1062" s="14">
        <f>equip.xml!G1066</f>
        <v>30</v>
      </c>
      <c r="H1062" s="14">
        <f>equip.xml!H1066</f>
        <v>0</v>
      </c>
      <c r="I1062" s="14">
        <f>equip.xml!J1066</f>
        <v>20</v>
      </c>
      <c r="J1062" s="14">
        <f>equip.xml!K1066</f>
        <v>0</v>
      </c>
      <c r="K1062" s="14">
        <f>equip.xml!L1066</f>
        <v>17500</v>
      </c>
      <c r="L1062" s="14" t="str">
        <f>equip.xml!M1066</f>
        <v>108_367_367</v>
      </c>
      <c r="M1062" s="17" t="str">
        <f>equip.xml!Q1066</f>
        <v>equipment/10005.png</v>
      </c>
      <c r="N1062" s="16" t="str">
        <f>equip.xml!P1066</f>
        <v>10000_1002_30000,30000_30001_1,30000_30002_1,30000_30003_1</v>
      </c>
      <c r="O1062">
        <f>equip.xml!R1066</f>
        <v>0</v>
      </c>
    </row>
    <row r="1063" spans="1:15">
      <c r="A1063" s="14" t="str">
        <f>equip.xml!A1067</f>
        <v>30300100</v>
      </c>
      <c r="B1063" s="14">
        <f>equip.xml!B1067</f>
        <v>1</v>
      </c>
      <c r="C1063" s="14" t="str">
        <f>equip.xml!C1067</f>
        <v>虎眼石项链</v>
      </c>
      <c r="D1063" s="14" t="str">
        <f>equip.xml!D1067</f>
        <v>项链</v>
      </c>
      <c r="E1063" s="14">
        <f>equip.xml!E1067</f>
        <v>10</v>
      </c>
      <c r="F1063" s="14">
        <f>equip.xml!F1067</f>
        <v>3</v>
      </c>
      <c r="G1063" s="14">
        <f>equip.xml!G1067</f>
        <v>30</v>
      </c>
      <c r="H1063" s="14">
        <f>equip.xml!H1067</f>
        <v>0</v>
      </c>
      <c r="I1063" s="14">
        <f>equip.xml!J1067</f>
        <v>20</v>
      </c>
      <c r="J1063" s="14">
        <f>equip.xml!K1067</f>
        <v>0</v>
      </c>
      <c r="K1063" s="14">
        <f>equip.xml!L1067</f>
        <v>17500</v>
      </c>
      <c r="L1063" s="14" t="str">
        <f>equip.xml!M1067</f>
        <v>107_372_372</v>
      </c>
      <c r="M1063" s="17" t="str">
        <f>equip.xml!Q1067</f>
        <v>equipment/12005.png</v>
      </c>
      <c r="N1063" s="16" t="str">
        <f>equip.xml!P1067</f>
        <v>10000_1002_30000,30000_30001_1,30000_30002_1,30000_30003_1</v>
      </c>
      <c r="O1063">
        <f>equip.xml!R1067</f>
        <v>0</v>
      </c>
    </row>
    <row r="1064" spans="1:15">
      <c r="A1064" s="14" t="str">
        <f>equip.xml!A1068</f>
        <v>30301050</v>
      </c>
      <c r="B1064" s="14">
        <f>equip.xml!B1068</f>
        <v>1</v>
      </c>
      <c r="C1064" s="14" t="str">
        <f>equip.xml!C1068</f>
        <v>炽热长剑</v>
      </c>
      <c r="D1064" s="14" t="str">
        <f>equip.xml!D1068</f>
        <v>主手武器</v>
      </c>
      <c r="E1064" s="14">
        <f>equip.xml!E1068</f>
        <v>5</v>
      </c>
      <c r="F1064" s="14">
        <f>equip.xml!F1068</f>
        <v>3</v>
      </c>
      <c r="G1064" s="14">
        <f>equip.xml!G1068</f>
        <v>30</v>
      </c>
      <c r="H1064" s="14" t="str">
        <f>equip.xml!H1068</f>
        <v>1,1001</v>
      </c>
      <c r="I1064" s="14">
        <f>equip.xml!J1068</f>
        <v>20</v>
      </c>
      <c r="J1064" s="14">
        <f>equip.xml!K1068</f>
        <v>0</v>
      </c>
      <c r="K1064" s="14">
        <f>equip.xml!L1068</f>
        <v>17500</v>
      </c>
      <c r="L1064" s="14" t="str">
        <f>equip.xml!M1068</f>
        <v>103_275_275,104_550_550</v>
      </c>
      <c r="M1064" s="17" t="str">
        <f>equip.xml!Q1068</f>
        <v>equipment/1112.png</v>
      </c>
      <c r="N1064" s="16" t="str">
        <f>equip.xml!P1068</f>
        <v>10000_1002_30000,30000_30001_1,30000_30002_1,30000_30003_1</v>
      </c>
      <c r="O1064">
        <f>equip.xml!R1068</f>
        <v>0</v>
      </c>
    </row>
    <row r="1065" spans="1:15">
      <c r="A1065" s="14" t="str">
        <f>equip.xml!A1069</f>
        <v>30301051</v>
      </c>
      <c r="B1065" s="14">
        <f>equip.xml!B1069</f>
        <v>1</v>
      </c>
      <c r="C1065" s="14" t="str">
        <f>equip.xml!C1069</f>
        <v>贵族阔剑</v>
      </c>
      <c r="D1065" s="14" t="str">
        <f>equip.xml!D1069</f>
        <v>主手武器</v>
      </c>
      <c r="E1065" s="14">
        <f>equip.xml!E1069</f>
        <v>5</v>
      </c>
      <c r="F1065" s="14">
        <f>equip.xml!F1069</f>
        <v>3</v>
      </c>
      <c r="G1065" s="14">
        <f>equip.xml!G1069</f>
        <v>30</v>
      </c>
      <c r="H1065" s="14" t="str">
        <f>equip.xml!H1069</f>
        <v>1,1001</v>
      </c>
      <c r="I1065" s="14">
        <f>equip.xml!J1069</f>
        <v>20</v>
      </c>
      <c r="J1065" s="14">
        <f>equip.xml!K1069</f>
        <v>0</v>
      </c>
      <c r="K1065" s="14">
        <f>equip.xml!L1069</f>
        <v>20000</v>
      </c>
      <c r="L1065" s="14" t="str">
        <f>equip.xml!M1069</f>
        <v>103_342_342,104_684_684</v>
      </c>
      <c r="M1065" s="17" t="str">
        <f>equip.xml!Q1069</f>
        <v>equipment/1113.png</v>
      </c>
      <c r="N1065" s="16" t="str">
        <f>equip.xml!P1069</f>
        <v>10000_1002_30000,30000_30001_1,30000_30002_1,30000_30003_1</v>
      </c>
      <c r="O1065">
        <f>equip.xml!R1069</f>
        <v>0</v>
      </c>
    </row>
    <row r="1066" spans="1:15">
      <c r="A1066" s="14" t="str">
        <f>equip.xml!A1070</f>
        <v>30301060</v>
      </c>
      <c r="B1066" s="14">
        <f>equip.xml!B1070</f>
        <v>1</v>
      </c>
      <c r="C1066" s="14" t="str">
        <f>equip.xml!C1070</f>
        <v>耐久盾牌</v>
      </c>
      <c r="D1066" s="14" t="str">
        <f>equip.xml!D1070</f>
        <v>副手武器</v>
      </c>
      <c r="E1066" s="14">
        <f>equip.xml!E1070</f>
        <v>6</v>
      </c>
      <c r="F1066" s="14">
        <f>equip.xml!F1070</f>
        <v>3</v>
      </c>
      <c r="G1066" s="14">
        <f>equip.xml!G1070</f>
        <v>30</v>
      </c>
      <c r="H1066" s="14" t="str">
        <f>equip.xml!H1070</f>
        <v>1,1001</v>
      </c>
      <c r="I1066" s="14">
        <f>equip.xml!J1070</f>
        <v>20</v>
      </c>
      <c r="J1066" s="14">
        <f>equip.xml!K1070</f>
        <v>0</v>
      </c>
      <c r="K1066" s="14">
        <f>equip.xml!L1070</f>
        <v>17500</v>
      </c>
      <c r="L1066" s="14" t="str">
        <f>equip.xml!M1070</f>
        <v>105_368_368</v>
      </c>
      <c r="M1066" s="17" t="str">
        <f>equip.xml!Q1070</f>
        <v>equipment/2107.png</v>
      </c>
      <c r="N1066" s="16" t="str">
        <f>equip.xml!P1070</f>
        <v>10000_1002_30000,30000_30001_1,30000_30002_1,30000_30003_1</v>
      </c>
      <c r="O1066">
        <f>equip.xml!R1070</f>
        <v>0</v>
      </c>
    </row>
    <row r="1067" spans="1:15">
      <c r="A1067" s="14" t="str">
        <f>equip.xml!A1071</f>
        <v>30301061</v>
      </c>
      <c r="B1067" s="14">
        <f>equip.xml!B1071</f>
        <v>0</v>
      </c>
      <c r="C1067" s="14" t="str">
        <f>equip.xml!C1071</f>
        <v>盐石盾牌</v>
      </c>
      <c r="D1067" s="14" t="str">
        <f>equip.xml!D1071</f>
        <v>副手武器</v>
      </c>
      <c r="E1067" s="14">
        <f>equip.xml!E1071</f>
        <v>6</v>
      </c>
      <c r="F1067" s="14">
        <f>equip.xml!F1071</f>
        <v>3</v>
      </c>
      <c r="G1067" s="14">
        <f>equip.xml!G1071</f>
        <v>30</v>
      </c>
      <c r="H1067" s="14" t="str">
        <f>equip.xml!H1071</f>
        <v>1,1001</v>
      </c>
      <c r="I1067" s="14">
        <f>equip.xml!J1071</f>
        <v>20</v>
      </c>
      <c r="J1067" s="14">
        <f>equip.xml!K1071</f>
        <v>0</v>
      </c>
      <c r="K1067" s="14">
        <f>equip.xml!L1071</f>
        <v>20000</v>
      </c>
      <c r="L1067" s="14" t="str">
        <f>equip.xml!M1071</f>
        <v>105_491_491</v>
      </c>
      <c r="M1067" s="17" t="str">
        <f>equip.xml!Q1071</f>
        <v>equipment/2108.png</v>
      </c>
      <c r="N1067" s="16" t="str">
        <f>equip.xml!P1071</f>
        <v>10000_1002_30000,30000_30001_1,30000_30002_1,30000_30003_1</v>
      </c>
      <c r="O1067">
        <f>equip.xml!R1071</f>
        <v>0</v>
      </c>
    </row>
    <row r="1068" spans="1:15">
      <c r="A1068" s="14" t="str">
        <f>equip.xml!A1072</f>
        <v>30302050</v>
      </c>
      <c r="B1068" s="14">
        <f>equip.xml!B1072</f>
        <v>1</v>
      </c>
      <c r="C1068" s="14" t="str">
        <f>equip.xml!C1072</f>
        <v>红木长弓</v>
      </c>
      <c r="D1068" s="14" t="str">
        <f>equip.xml!D1072</f>
        <v>主手武器</v>
      </c>
      <c r="E1068" s="14">
        <f>equip.xml!E1072</f>
        <v>5</v>
      </c>
      <c r="F1068" s="14">
        <f>equip.xml!F1072</f>
        <v>3</v>
      </c>
      <c r="G1068" s="14">
        <f>equip.xml!G1072</f>
        <v>30</v>
      </c>
      <c r="H1068" s="14" t="str">
        <f>equip.xml!H1072</f>
        <v>2,1002</v>
      </c>
      <c r="I1068" s="14">
        <f>equip.xml!J1072</f>
        <v>20</v>
      </c>
      <c r="J1068" s="14">
        <f>equip.xml!K1072</f>
        <v>0</v>
      </c>
      <c r="K1068" s="14">
        <f>equip.xml!L1072</f>
        <v>17500</v>
      </c>
      <c r="L1068" s="14" t="str">
        <f>equip.xml!M1072</f>
        <v>103_275_275,104_550_550</v>
      </c>
      <c r="M1068" s="17" t="str">
        <f>equip.xml!Q1072</f>
        <v>equipment/1211.png</v>
      </c>
      <c r="N1068" s="16" t="str">
        <f>equip.xml!P1072</f>
        <v>10000_1002_30000,30000_30001_1,30000_30002_1,30000_30003_1</v>
      </c>
      <c r="O1068">
        <f>equip.xml!R1072</f>
        <v>0</v>
      </c>
    </row>
    <row r="1069" spans="1:15">
      <c r="A1069" s="14" t="str">
        <f>equip.xml!A1073</f>
        <v>30302051</v>
      </c>
      <c r="B1069" s="14">
        <f>equip.xml!B1073</f>
        <v>1</v>
      </c>
      <c r="C1069" s="14" t="str">
        <f>equip.xml!C1073</f>
        <v>灼热弓</v>
      </c>
      <c r="D1069" s="14" t="str">
        <f>equip.xml!D1073</f>
        <v>主手武器</v>
      </c>
      <c r="E1069" s="14">
        <f>equip.xml!E1073</f>
        <v>5</v>
      </c>
      <c r="F1069" s="14">
        <f>equip.xml!F1073</f>
        <v>3</v>
      </c>
      <c r="G1069" s="14">
        <f>equip.xml!G1073</f>
        <v>30</v>
      </c>
      <c r="H1069" s="14" t="str">
        <f>equip.xml!H1073</f>
        <v>2,1002</v>
      </c>
      <c r="I1069" s="14">
        <f>equip.xml!J1073</f>
        <v>20</v>
      </c>
      <c r="J1069" s="14">
        <f>equip.xml!K1073</f>
        <v>0</v>
      </c>
      <c r="K1069" s="14">
        <f>equip.xml!L1073</f>
        <v>20000</v>
      </c>
      <c r="L1069" s="14" t="str">
        <f>equip.xml!M1073</f>
        <v>103_342_342,104_684_684</v>
      </c>
      <c r="M1069" s="17" t="str">
        <f>equip.xml!Q1073</f>
        <v>equipment/1212.png</v>
      </c>
      <c r="N1069" s="16" t="str">
        <f>equip.xml!P1073</f>
        <v>10000_1002_30000,30000_30001_1,30000_30002_1,30000_30003_1</v>
      </c>
      <c r="O1069">
        <f>equip.xml!R1073</f>
        <v>0</v>
      </c>
    </row>
    <row r="1070" spans="1:15">
      <c r="A1070" s="14" t="str">
        <f>equip.xml!A1074</f>
        <v>30302060</v>
      </c>
      <c r="B1070" s="14">
        <f>equip.xml!B1074</f>
        <v>1</v>
      </c>
      <c r="C1070" s="14" t="str">
        <f>equip.xml!C1074</f>
        <v>倒刺箭筒</v>
      </c>
      <c r="D1070" s="14" t="str">
        <f>equip.xml!D1074</f>
        <v>副手武器</v>
      </c>
      <c r="E1070" s="14">
        <f>equip.xml!E1074</f>
        <v>6</v>
      </c>
      <c r="F1070" s="14">
        <f>equip.xml!F1074</f>
        <v>3</v>
      </c>
      <c r="G1070" s="14">
        <f>equip.xml!G1074</f>
        <v>30</v>
      </c>
      <c r="H1070" s="14" t="str">
        <f>equip.xml!H1074</f>
        <v>2,1002</v>
      </c>
      <c r="I1070" s="14">
        <f>equip.xml!J1074</f>
        <v>20</v>
      </c>
      <c r="J1070" s="14">
        <f>equip.xml!K1074</f>
        <v>0</v>
      </c>
      <c r="K1070" s="14">
        <f>equip.xml!L1074</f>
        <v>17500</v>
      </c>
      <c r="L1070" s="14" t="str">
        <f>equip.xml!M1074</f>
        <v>108_368_368</v>
      </c>
      <c r="M1070" s="17" t="str">
        <f>equip.xml!Q1074</f>
        <v>equipment/2207.png</v>
      </c>
      <c r="N1070" s="16" t="str">
        <f>equip.xml!P1074</f>
        <v>10000_1002_30000,30000_30001_1,30000_30002_1,30000_30003_1</v>
      </c>
      <c r="O1070">
        <f>equip.xml!R1074</f>
        <v>0</v>
      </c>
    </row>
    <row r="1071" spans="1:15">
      <c r="A1071" s="14" t="str">
        <f>equip.xml!A1075</f>
        <v>30302061</v>
      </c>
      <c r="B1071" s="14">
        <f>equip.xml!B1075</f>
        <v>0</v>
      </c>
      <c r="C1071" s="14" t="str">
        <f>equip.xml!C1075</f>
        <v>崇圣箭筒</v>
      </c>
      <c r="D1071" s="14" t="str">
        <f>equip.xml!D1075</f>
        <v>副手武器</v>
      </c>
      <c r="E1071" s="14">
        <f>equip.xml!E1075</f>
        <v>6</v>
      </c>
      <c r="F1071" s="14">
        <f>equip.xml!F1075</f>
        <v>3</v>
      </c>
      <c r="G1071" s="14">
        <f>equip.xml!G1075</f>
        <v>30</v>
      </c>
      <c r="H1071" s="14" t="str">
        <f>equip.xml!H1075</f>
        <v>2,1002</v>
      </c>
      <c r="I1071" s="14">
        <f>equip.xml!J1075</f>
        <v>20</v>
      </c>
      <c r="J1071" s="14">
        <f>equip.xml!K1075</f>
        <v>0</v>
      </c>
      <c r="K1071" s="14">
        <f>equip.xml!L1075</f>
        <v>20000</v>
      </c>
      <c r="L1071" s="14" t="str">
        <f>equip.xml!M1075</f>
        <v>108_491_491</v>
      </c>
      <c r="M1071" s="17" t="str">
        <f>equip.xml!Q1075</f>
        <v>equipment/2208.png</v>
      </c>
      <c r="N1071" s="16" t="str">
        <f>equip.xml!P1075</f>
        <v>10000_1002_30000,30000_30001_1,30000_30002_1,30000_30003_1</v>
      </c>
      <c r="O1071">
        <f>equip.xml!R1075</f>
        <v>0</v>
      </c>
    </row>
    <row r="1072" spans="1:15">
      <c r="A1072" s="14" t="str">
        <f>equip.xml!A1076</f>
        <v>30303050</v>
      </c>
      <c r="B1072" s="14">
        <f>equip.xml!B1076</f>
        <v>1</v>
      </c>
      <c r="C1072" s="14" t="str">
        <f>equip.xml!C1076</f>
        <v>荒骨法杖</v>
      </c>
      <c r="D1072" s="14" t="str">
        <f>equip.xml!D1076</f>
        <v>主手武器</v>
      </c>
      <c r="E1072" s="14">
        <f>equip.xml!E1076</f>
        <v>5</v>
      </c>
      <c r="F1072" s="14">
        <f>equip.xml!F1076</f>
        <v>3</v>
      </c>
      <c r="G1072" s="14">
        <f>equip.xml!G1076</f>
        <v>30</v>
      </c>
      <c r="H1072" s="14" t="str">
        <f>equip.xml!H1076</f>
        <v>3,1003</v>
      </c>
      <c r="I1072" s="14">
        <f>equip.xml!J1076</f>
        <v>20</v>
      </c>
      <c r="J1072" s="14">
        <f>equip.xml!K1076</f>
        <v>0</v>
      </c>
      <c r="K1072" s="14">
        <f>equip.xml!L1076</f>
        <v>17500</v>
      </c>
      <c r="L1072" s="14" t="str">
        <f>equip.xml!M1076</f>
        <v>103_275_275,104_550_550</v>
      </c>
      <c r="M1072" s="17" t="str">
        <f>equip.xml!Q1076</f>
        <v>equipment/1312.png</v>
      </c>
      <c r="N1072" s="16" t="str">
        <f>equip.xml!P1076</f>
        <v>10000_1002_30000,30000_30001_1,30000_30002_1,30000_30003_1</v>
      </c>
      <c r="O1072">
        <f>equip.xml!R1076</f>
        <v>0</v>
      </c>
    </row>
    <row r="1073" spans="1:15">
      <c r="A1073" s="14" t="str">
        <f>equip.xml!A1077</f>
        <v>30303051</v>
      </c>
      <c r="B1073" s="14">
        <f>equip.xml!B1077</f>
        <v>1</v>
      </c>
      <c r="C1073" s="14" t="str">
        <f>equip.xml!C1077</f>
        <v>新月法杖</v>
      </c>
      <c r="D1073" s="14" t="str">
        <f>equip.xml!D1077</f>
        <v>主手武器</v>
      </c>
      <c r="E1073" s="14">
        <f>equip.xml!E1077</f>
        <v>5</v>
      </c>
      <c r="F1073" s="14">
        <f>equip.xml!F1077</f>
        <v>3</v>
      </c>
      <c r="G1073" s="14">
        <f>equip.xml!G1077</f>
        <v>30</v>
      </c>
      <c r="H1073" s="14" t="str">
        <f>equip.xml!H1077</f>
        <v>3,1003</v>
      </c>
      <c r="I1073" s="14">
        <f>equip.xml!J1077</f>
        <v>20</v>
      </c>
      <c r="J1073" s="14">
        <f>equip.xml!K1077</f>
        <v>0</v>
      </c>
      <c r="K1073" s="14">
        <f>equip.xml!L1077</f>
        <v>20000</v>
      </c>
      <c r="L1073" s="14" t="str">
        <f>equip.xml!M1077</f>
        <v>103_342_342,104_684_684</v>
      </c>
      <c r="M1073" s="17" t="str">
        <f>equip.xml!Q1077</f>
        <v>equipment/1313.png</v>
      </c>
      <c r="N1073" s="16" t="str">
        <f>equip.xml!P1077</f>
        <v>10000_1002_30000,30000_30001_1,30000_30002_1,30000_30003_1</v>
      </c>
      <c r="O1073">
        <f>equip.xml!R1077</f>
        <v>0</v>
      </c>
    </row>
    <row r="1074" spans="1:15">
      <c r="A1074" s="14" t="str">
        <f>equip.xml!A1078</f>
        <v>30303060</v>
      </c>
      <c r="B1074" s="14">
        <f>equip.xml!B1078</f>
        <v>1</v>
      </c>
      <c r="C1074" s="14" t="str">
        <f>equip.xml!C1078</f>
        <v>神圣典籍</v>
      </c>
      <c r="D1074" s="14" t="str">
        <f>equip.xml!D1078</f>
        <v>副手武器</v>
      </c>
      <c r="E1074" s="14">
        <f>equip.xml!E1078</f>
        <v>6</v>
      </c>
      <c r="F1074" s="14">
        <f>equip.xml!F1078</f>
        <v>3</v>
      </c>
      <c r="G1074" s="14">
        <f>equip.xml!G1078</f>
        <v>30</v>
      </c>
      <c r="H1074" s="14" t="str">
        <f>equip.xml!H1078</f>
        <v>3,1003</v>
      </c>
      <c r="I1074" s="14">
        <f>equip.xml!J1078</f>
        <v>20</v>
      </c>
      <c r="J1074" s="14">
        <f>equip.xml!K1078</f>
        <v>0</v>
      </c>
      <c r="K1074" s="14">
        <f>equip.xml!L1078</f>
        <v>17500</v>
      </c>
      <c r="L1074" s="14" t="str">
        <f>equip.xml!M1078</f>
        <v>102_880_880</v>
      </c>
      <c r="M1074" s="17" t="str">
        <f>equip.xml!Q1078</f>
        <v>equipment/2307.png</v>
      </c>
      <c r="N1074" s="16" t="str">
        <f>equip.xml!P1078</f>
        <v>10000_1002_30000,30000_30001_1,30000_30002_1,30000_30003_1</v>
      </c>
      <c r="O1074">
        <f>equip.xml!R1078</f>
        <v>0</v>
      </c>
    </row>
    <row r="1075" spans="1:15">
      <c r="A1075" s="14" t="str">
        <f>equip.xml!A1079</f>
        <v>30303061</v>
      </c>
      <c r="B1075" s="14">
        <f>equip.xml!B1079</f>
        <v>0</v>
      </c>
      <c r="C1075" s="14" t="str">
        <f>equip.xml!C1079</f>
        <v>召唤之书</v>
      </c>
      <c r="D1075" s="14" t="str">
        <f>equip.xml!D1079</f>
        <v>副手武器</v>
      </c>
      <c r="E1075" s="14">
        <f>equip.xml!E1079</f>
        <v>6</v>
      </c>
      <c r="F1075" s="14">
        <f>equip.xml!F1079</f>
        <v>3</v>
      </c>
      <c r="G1075" s="14">
        <f>equip.xml!G1079</f>
        <v>30</v>
      </c>
      <c r="H1075" s="14" t="str">
        <f>equip.xml!H1079</f>
        <v>3,1003</v>
      </c>
      <c r="I1075" s="14">
        <f>equip.xml!J1079</f>
        <v>20</v>
      </c>
      <c r="J1075" s="14">
        <f>equip.xml!K1079</f>
        <v>0</v>
      </c>
      <c r="K1075" s="14">
        <f>equip.xml!L1079</f>
        <v>20000</v>
      </c>
      <c r="L1075" s="14" t="str">
        <f>equip.xml!M1079</f>
        <v>102_944_944</v>
      </c>
      <c r="M1075" s="17" t="str">
        <f>equip.xml!Q1079</f>
        <v>equipment/2308.png</v>
      </c>
      <c r="N1075" s="16" t="str">
        <f>equip.xml!P1079</f>
        <v>10000_1002_30000,30000_30001_1,30000_30002_1,30000_30003_1</v>
      </c>
      <c r="O1075">
        <f>equip.xml!R1079</f>
        <v>0</v>
      </c>
    </row>
    <row r="1076" spans="1:15">
      <c r="A1076" s="14" t="str">
        <f>equip.xml!A1080</f>
        <v>30300040</v>
      </c>
      <c r="B1076" s="14">
        <f>equip.xml!B1080</f>
        <v>1</v>
      </c>
      <c r="C1076" s="14" t="str">
        <f>equip.xml!C1080</f>
        <v>水滴胸铠</v>
      </c>
      <c r="D1076" s="14" t="str">
        <f>equip.xml!D1080</f>
        <v>胸甲</v>
      </c>
      <c r="E1076" s="14">
        <f>equip.xml!E1080</f>
        <v>4</v>
      </c>
      <c r="F1076" s="14">
        <f>equip.xml!F1080</f>
        <v>3</v>
      </c>
      <c r="G1076" s="14">
        <f>equip.xml!G1080</f>
        <v>30</v>
      </c>
      <c r="H1076" s="14">
        <f>equip.xml!H1080</f>
        <v>0</v>
      </c>
      <c r="I1076" s="14">
        <f>equip.xml!J1080</f>
        <v>20</v>
      </c>
      <c r="J1076" s="14">
        <f>equip.xml!K1080</f>
        <v>0</v>
      </c>
      <c r="K1076" s="14">
        <f>equip.xml!L1080</f>
        <v>17500</v>
      </c>
      <c r="L1076" s="14" t="str">
        <f>equip.xml!M1080</f>
        <v>105_216_216</v>
      </c>
      <c r="M1076" s="17" t="str">
        <f>equip.xml!Q1080</f>
        <v>equipment/5008.png</v>
      </c>
      <c r="N1076" s="16" t="str">
        <f>equip.xml!P1080</f>
        <v>10000_1002_30000,30000_30001_1,30000_30002_1,30000_30003_1</v>
      </c>
      <c r="O1076">
        <f>equip.xml!R1080</f>
        <v>0</v>
      </c>
    </row>
    <row r="1077" spans="1:15">
      <c r="A1077" s="14" t="str">
        <f>equip.xml!A1081</f>
        <v>30300041</v>
      </c>
      <c r="B1077" s="14">
        <f>equip.xml!B1081</f>
        <v>1</v>
      </c>
      <c r="C1077" s="14" t="str">
        <f>equip.xml!C1081</f>
        <v>防卫者外套</v>
      </c>
      <c r="D1077" s="14" t="str">
        <f>equip.xml!D1081</f>
        <v>胸甲</v>
      </c>
      <c r="E1077" s="14">
        <f>equip.xml!E1081</f>
        <v>4</v>
      </c>
      <c r="F1077" s="14">
        <f>equip.xml!F1081</f>
        <v>3</v>
      </c>
      <c r="G1077" s="14">
        <f>equip.xml!G1081</f>
        <v>30</v>
      </c>
      <c r="H1077" s="14">
        <f>equip.xml!H1081</f>
        <v>0</v>
      </c>
      <c r="I1077" s="14">
        <f>equip.xml!J1081</f>
        <v>20</v>
      </c>
      <c r="J1077" s="14">
        <f>equip.xml!K1081</f>
        <v>0</v>
      </c>
      <c r="K1077" s="14">
        <f>equip.xml!L1081</f>
        <v>20000</v>
      </c>
      <c r="L1077" s="14" t="str">
        <f>equip.xml!M1081</f>
        <v>105_247_247</v>
      </c>
      <c r="M1077" s="17" t="str">
        <f>equip.xml!Q1081</f>
        <v>equipment/5009.png</v>
      </c>
      <c r="N1077" s="16" t="str">
        <f>equip.xml!P1081</f>
        <v>10000_1002_30000,30000_30001_1,30000_30002_1,30000_30003_1</v>
      </c>
      <c r="O1077">
        <f>equip.xml!R1081</f>
        <v>0</v>
      </c>
    </row>
    <row r="1078" spans="1:15">
      <c r="A1078" s="14" t="str">
        <f>equip.xml!A1082</f>
        <v>30300070</v>
      </c>
      <c r="B1078" s="14">
        <f>equip.xml!B1082</f>
        <v>1</v>
      </c>
      <c r="C1078" s="14" t="str">
        <f>equip.xml!C1082</f>
        <v>游侠护腿</v>
      </c>
      <c r="D1078" s="14" t="str">
        <f>equip.xml!D1082</f>
        <v>护腿</v>
      </c>
      <c r="E1078" s="14">
        <f>equip.xml!E1082</f>
        <v>7</v>
      </c>
      <c r="F1078" s="14">
        <f>equip.xml!F1082</f>
        <v>3</v>
      </c>
      <c r="G1078" s="14">
        <f>equip.xml!G1082</f>
        <v>30</v>
      </c>
      <c r="H1078" s="14">
        <f>equip.xml!H1082</f>
        <v>0</v>
      </c>
      <c r="I1078" s="14">
        <f>equip.xml!J1082</f>
        <v>20</v>
      </c>
      <c r="J1078" s="14">
        <f>equip.xml!K1082</f>
        <v>0</v>
      </c>
      <c r="K1078" s="14">
        <f>equip.xml!L1082</f>
        <v>17500</v>
      </c>
      <c r="L1078" s="14" t="str">
        <f>equip.xml!M1082</f>
        <v>105_216_216</v>
      </c>
      <c r="M1078" s="17" t="str">
        <f>equip.xml!Q1082</f>
        <v>equipment/7007.png</v>
      </c>
      <c r="N1078" s="16" t="str">
        <f>equip.xml!P1082</f>
        <v>10000_1002_30000,30000_30001_1,30000_30002_1,30000_30003_1</v>
      </c>
      <c r="O1078">
        <f>equip.xml!R1082</f>
        <v>0</v>
      </c>
    </row>
    <row r="1079" spans="1:15">
      <c r="A1079" s="14" t="str">
        <f>equip.xml!A1083</f>
        <v>30300071</v>
      </c>
      <c r="B1079" s="14">
        <f>equip.xml!B1083</f>
        <v>1</v>
      </c>
      <c r="C1079" s="14" t="str">
        <f>equip.xml!C1083</f>
        <v>逐风护腿</v>
      </c>
      <c r="D1079" s="14" t="str">
        <f>equip.xml!D1083</f>
        <v>护腿</v>
      </c>
      <c r="E1079" s="14">
        <f>equip.xml!E1083</f>
        <v>7</v>
      </c>
      <c r="F1079" s="14">
        <f>equip.xml!F1083</f>
        <v>3</v>
      </c>
      <c r="G1079" s="14">
        <f>equip.xml!G1083</f>
        <v>30</v>
      </c>
      <c r="H1079" s="14">
        <f>equip.xml!H1083</f>
        <v>0</v>
      </c>
      <c r="I1079" s="14">
        <f>equip.xml!J1083</f>
        <v>20</v>
      </c>
      <c r="J1079" s="14">
        <f>equip.xml!K1083</f>
        <v>0</v>
      </c>
      <c r="K1079" s="14">
        <f>equip.xml!L1083</f>
        <v>20000</v>
      </c>
      <c r="L1079" s="14" t="str">
        <f>equip.xml!M1083</f>
        <v>105_247_247</v>
      </c>
      <c r="M1079" s="17" t="str">
        <f>equip.xml!Q1083</f>
        <v>equipment/7008.png</v>
      </c>
      <c r="N1079" s="16" t="str">
        <f>equip.xml!P1083</f>
        <v>10000_1002_30000,30000_30001_1,30000_30002_1,30000_30003_1</v>
      </c>
      <c r="O1079">
        <f>equip.xml!R1083</f>
        <v>0</v>
      </c>
    </row>
    <row r="1080" spans="1:15">
      <c r="A1080" s="14" t="str">
        <f>equip.xml!A1084</f>
        <v>30350010</v>
      </c>
      <c r="B1080" s="14">
        <f>equip.xml!B1084</f>
        <v>1</v>
      </c>
      <c r="C1080" s="14" t="str">
        <f>equip.xml!C1084</f>
        <v>镶带头盔</v>
      </c>
      <c r="D1080" s="14" t="str">
        <f>equip.xml!D1084</f>
        <v>头盔</v>
      </c>
      <c r="E1080" s="14">
        <f>equip.xml!E1084</f>
        <v>1</v>
      </c>
      <c r="F1080" s="14">
        <f>equip.xml!F1084</f>
        <v>3</v>
      </c>
      <c r="G1080" s="14">
        <f>equip.xml!G1084</f>
        <v>35</v>
      </c>
      <c r="H1080" s="14">
        <f>equip.xml!H1084</f>
        <v>0</v>
      </c>
      <c r="I1080" s="14">
        <f>equip.xml!J1084</f>
        <v>20</v>
      </c>
      <c r="J1080" s="14">
        <f>equip.xml!K1084</f>
        <v>0</v>
      </c>
      <c r="K1080" s="14">
        <f>equip.xml!L1084</f>
        <v>20000</v>
      </c>
      <c r="L1080" s="14" t="str">
        <f>equip.xml!M1084</f>
        <v>106_596_596</v>
      </c>
      <c r="M1080" s="17" t="str">
        <f>equip.xml!Q1084</f>
        <v>equipment/3006.png</v>
      </c>
      <c r="N1080" s="16" t="str">
        <f>equip.xml!P1084</f>
        <v>10000_1002_35000,30000_30001_1,30000_30002_1,30000_30003_1</v>
      </c>
      <c r="O1080">
        <f>equip.xml!R1084</f>
        <v>0</v>
      </c>
    </row>
    <row r="1081" spans="1:15">
      <c r="A1081" s="14" t="str">
        <f>equip.xml!A1085</f>
        <v>30350020</v>
      </c>
      <c r="B1081" s="14">
        <f>equip.xml!B1085</f>
        <v>1</v>
      </c>
      <c r="C1081" s="14" t="str">
        <f>equip.xml!C1085</f>
        <v>烈焰指环</v>
      </c>
      <c r="D1081" s="14" t="str">
        <f>equip.xml!D1085</f>
        <v>戒指</v>
      </c>
      <c r="E1081" s="14">
        <f>equip.xml!E1085</f>
        <v>2</v>
      </c>
      <c r="F1081" s="14">
        <f>equip.xml!F1085</f>
        <v>3</v>
      </c>
      <c r="G1081" s="14">
        <f>equip.xml!G1085</f>
        <v>35</v>
      </c>
      <c r="H1081" s="14">
        <f>equip.xml!H1085</f>
        <v>0</v>
      </c>
      <c r="I1081" s="14">
        <f>equip.xml!J1085</f>
        <v>20</v>
      </c>
      <c r="J1081" s="14">
        <f>equip.xml!K1085</f>
        <v>0</v>
      </c>
      <c r="K1081" s="14">
        <f>equip.xml!L1085</f>
        <v>20000</v>
      </c>
      <c r="L1081" s="14" t="str">
        <f>equip.xml!M1085</f>
        <v>102_590_590</v>
      </c>
      <c r="M1081" s="17" t="str">
        <f>equip.xml!Q1085</f>
        <v>equipment/14006.png</v>
      </c>
      <c r="N1081" s="16" t="str">
        <f>equip.xml!P1085</f>
        <v>10000_1002_35000,30000_30001_1,30000_30002_1,30000_30003_1</v>
      </c>
      <c r="O1081">
        <f>equip.xml!R1085</f>
        <v>0</v>
      </c>
    </row>
    <row r="1082" spans="1:15">
      <c r="A1082" s="14" t="str">
        <f>equip.xml!A1086</f>
        <v>30350030</v>
      </c>
      <c r="B1082" s="14">
        <f>equip.xml!B1086</f>
        <v>1</v>
      </c>
      <c r="C1082" s="14" t="str">
        <f>equip.xml!C1086</f>
        <v>斗士腰带</v>
      </c>
      <c r="D1082" s="14" t="str">
        <f>equip.xml!D1086</f>
        <v>腰带</v>
      </c>
      <c r="E1082" s="14">
        <f>equip.xml!E1086</f>
        <v>3</v>
      </c>
      <c r="F1082" s="14">
        <f>equip.xml!F1086</f>
        <v>3</v>
      </c>
      <c r="G1082" s="14">
        <f>equip.xml!G1086</f>
        <v>35</v>
      </c>
      <c r="H1082" s="14">
        <f>equip.xml!H1086</f>
        <v>0</v>
      </c>
      <c r="I1082" s="14">
        <f>equip.xml!J1086</f>
        <v>20</v>
      </c>
      <c r="J1082" s="14">
        <f>equip.xml!K1086</f>
        <v>0</v>
      </c>
      <c r="K1082" s="14">
        <f>equip.xml!L1086</f>
        <v>20000</v>
      </c>
      <c r="L1082" s="14" t="str">
        <f>equip.xml!M1086</f>
        <v>101_4900_4900</v>
      </c>
      <c r="M1082" s="17" t="str">
        <f>equip.xml!Q1086</f>
        <v>equipment/6006.png</v>
      </c>
      <c r="N1082" s="16" t="str">
        <f>equip.xml!P1086</f>
        <v>10000_1002_35000,30000_30001_1,30000_30002_1,30000_30003_1</v>
      </c>
      <c r="O1082">
        <f>equip.xml!R1086</f>
        <v>0</v>
      </c>
    </row>
    <row r="1083" spans="1:15">
      <c r="A1083" s="14" t="str">
        <f>equip.xml!A1087</f>
        <v>30350080</v>
      </c>
      <c r="B1083" s="14">
        <f>equip.xml!B1087</f>
        <v>1</v>
      </c>
      <c r="C1083" s="14" t="str">
        <f>equip.xml!C1087</f>
        <v>混乱之靴</v>
      </c>
      <c r="D1083" s="14" t="str">
        <f>equip.xml!D1087</f>
        <v>鞋子</v>
      </c>
      <c r="E1083" s="14">
        <f>equip.xml!E1087</f>
        <v>8</v>
      </c>
      <c r="F1083" s="14">
        <f>equip.xml!F1087</f>
        <v>3</v>
      </c>
      <c r="G1083" s="14">
        <f>equip.xml!G1087</f>
        <v>35</v>
      </c>
      <c r="H1083" s="14">
        <f>equip.xml!H1087</f>
        <v>0</v>
      </c>
      <c r="I1083" s="14">
        <f>equip.xml!J1087</f>
        <v>20</v>
      </c>
      <c r="J1083" s="14">
        <f>equip.xml!K1087</f>
        <v>0</v>
      </c>
      <c r="K1083" s="14">
        <f>equip.xml!L1087</f>
        <v>20000</v>
      </c>
      <c r="L1083" s="14" t="str">
        <f>equip.xml!M1087</f>
        <v>110_82_82</v>
      </c>
      <c r="M1083" s="17" t="str">
        <f>equip.xml!Q1087</f>
        <v>equipment/8006.png</v>
      </c>
      <c r="N1083" s="16" t="str">
        <f>equip.xml!P1087</f>
        <v>10000_1002_35000,30000_30001_1,30000_30002_1,30000_30003_1</v>
      </c>
      <c r="O1083">
        <f>equip.xml!R1087</f>
        <v>0</v>
      </c>
    </row>
    <row r="1084" spans="1:15">
      <c r="A1084" s="14" t="str">
        <f>equip.xml!A1088</f>
        <v>30350090</v>
      </c>
      <c r="B1084" s="14">
        <f>equip.xml!B1088</f>
        <v>1</v>
      </c>
      <c r="C1084" s="14" t="str">
        <f>equip.xml!C1088</f>
        <v>激励手甲</v>
      </c>
      <c r="D1084" s="14" t="str">
        <f>equip.xml!D1088</f>
        <v>手套</v>
      </c>
      <c r="E1084" s="14">
        <f>equip.xml!E1088</f>
        <v>9</v>
      </c>
      <c r="F1084" s="14">
        <f>equip.xml!F1088</f>
        <v>3</v>
      </c>
      <c r="G1084" s="14">
        <f>equip.xml!G1088</f>
        <v>35</v>
      </c>
      <c r="H1084" s="14">
        <f>equip.xml!H1088</f>
        <v>0</v>
      </c>
      <c r="I1084" s="14">
        <f>equip.xml!J1088</f>
        <v>20</v>
      </c>
      <c r="J1084" s="14">
        <f>equip.xml!K1088</f>
        <v>0</v>
      </c>
      <c r="K1084" s="14">
        <f>equip.xml!L1088</f>
        <v>20000</v>
      </c>
      <c r="L1084" s="14" t="str">
        <f>equip.xml!M1088</f>
        <v>108_588_588</v>
      </c>
      <c r="M1084" s="17" t="str">
        <f>equip.xml!Q1088</f>
        <v>equipment/10006.png</v>
      </c>
      <c r="N1084" s="16" t="str">
        <f>equip.xml!P1088</f>
        <v>10000_1002_35000,30000_30001_1,30000_30002_1,30000_30003_1</v>
      </c>
      <c r="O1084">
        <f>equip.xml!R1088</f>
        <v>0</v>
      </c>
    </row>
    <row r="1085" spans="1:15">
      <c r="A1085" s="14" t="str">
        <f>equip.xml!A1089</f>
        <v>30350100</v>
      </c>
      <c r="B1085" s="14">
        <f>equip.xml!B1089</f>
        <v>1</v>
      </c>
      <c r="C1085" s="14" t="str">
        <f>equip.xml!C1089</f>
        <v>苍蓝挂坠</v>
      </c>
      <c r="D1085" s="14" t="str">
        <f>equip.xml!D1089</f>
        <v>项链</v>
      </c>
      <c r="E1085" s="14">
        <f>equip.xml!E1089</f>
        <v>10</v>
      </c>
      <c r="F1085" s="14">
        <f>equip.xml!F1089</f>
        <v>3</v>
      </c>
      <c r="G1085" s="14">
        <f>equip.xml!G1089</f>
        <v>35</v>
      </c>
      <c r="H1085" s="14">
        <f>equip.xml!H1089</f>
        <v>0</v>
      </c>
      <c r="I1085" s="14">
        <f>equip.xml!J1089</f>
        <v>20</v>
      </c>
      <c r="J1085" s="14">
        <f>equip.xml!K1089</f>
        <v>0</v>
      </c>
      <c r="K1085" s="14">
        <f>equip.xml!L1089</f>
        <v>20000</v>
      </c>
      <c r="L1085" s="14" t="str">
        <f>equip.xml!M1089</f>
        <v>107_542_542</v>
      </c>
      <c r="M1085" s="17" t="str">
        <f>equip.xml!Q1089</f>
        <v>equipment/12006.png</v>
      </c>
      <c r="N1085" s="16" t="str">
        <f>equip.xml!P1089</f>
        <v>10000_1002_35000,30000_30001_1,30000_30002_1,30000_30003_1</v>
      </c>
      <c r="O1085">
        <f>equip.xml!R1089</f>
        <v>0</v>
      </c>
    </row>
    <row r="1086" spans="1:15">
      <c r="A1086" s="14" t="str">
        <f>equip.xml!A1090</f>
        <v>30351050</v>
      </c>
      <c r="B1086" s="14">
        <f>equip.xml!B1090</f>
        <v>1</v>
      </c>
      <c r="C1086" s="14" t="str">
        <f>equip.xml!C1090</f>
        <v>水晶剑</v>
      </c>
      <c r="D1086" s="14" t="str">
        <f>equip.xml!D1090</f>
        <v>主手武器</v>
      </c>
      <c r="E1086" s="14">
        <f>equip.xml!E1090</f>
        <v>5</v>
      </c>
      <c r="F1086" s="14">
        <f>equip.xml!F1090</f>
        <v>3</v>
      </c>
      <c r="G1086" s="14">
        <f>equip.xml!G1090</f>
        <v>35</v>
      </c>
      <c r="H1086" s="14" t="str">
        <f>equip.xml!H1090</f>
        <v>1,1001</v>
      </c>
      <c r="I1086" s="14">
        <f>equip.xml!J1090</f>
        <v>20</v>
      </c>
      <c r="J1086" s="14">
        <f>equip.xml!K1090</f>
        <v>0</v>
      </c>
      <c r="K1086" s="14">
        <f>equip.xml!L1090</f>
        <v>20000</v>
      </c>
      <c r="L1086" s="14" t="str">
        <f>equip.xml!M1090</f>
        <v>103_443_443,104_886_886</v>
      </c>
      <c r="M1086" s="17" t="str">
        <f>equip.xml!Q1090</f>
        <v>equipment/1114.png</v>
      </c>
      <c r="N1086" s="16" t="str">
        <f>equip.xml!P1090</f>
        <v>10000_1002_35000,30000_30001_1,30000_30002_1,30000_30003_1</v>
      </c>
      <c r="O1086">
        <f>equip.xml!R1090</f>
        <v>0</v>
      </c>
    </row>
    <row r="1087" spans="1:15">
      <c r="A1087" s="14" t="str">
        <f>equip.xml!A1091</f>
        <v>30351051</v>
      </c>
      <c r="B1087" s="14">
        <f>equip.xml!B1091</f>
        <v>0</v>
      </c>
      <c r="C1087" s="14" t="str">
        <f>equip.xml!C1091</f>
        <v>军刀</v>
      </c>
      <c r="D1087" s="14" t="str">
        <f>equip.xml!D1091</f>
        <v>主手武器</v>
      </c>
      <c r="E1087" s="14">
        <f>equip.xml!E1091</f>
        <v>5</v>
      </c>
      <c r="F1087" s="14">
        <f>equip.xml!F1091</f>
        <v>3</v>
      </c>
      <c r="G1087" s="14">
        <f>equip.xml!G1091</f>
        <v>35</v>
      </c>
      <c r="H1087" s="14" t="str">
        <f>equip.xml!H1091</f>
        <v>1,1001</v>
      </c>
      <c r="I1087" s="14">
        <f>equip.xml!J1091</f>
        <v>20</v>
      </c>
      <c r="J1087" s="14">
        <f>equip.xml!K1091</f>
        <v>0</v>
      </c>
      <c r="K1087" s="14">
        <f>equip.xml!L1091</f>
        <v>22500</v>
      </c>
      <c r="L1087" s="14" t="str">
        <f>equip.xml!M1091</f>
        <v>103_533_533,104_1066_1066</v>
      </c>
      <c r="M1087" s="17" t="str">
        <f>equip.xml!Q1091</f>
        <v>equipment/1101.png</v>
      </c>
      <c r="N1087" s="16" t="str">
        <f>equip.xml!P1091</f>
        <v>10000_1002_35000,30000_30001_1,30000_30002_1,30000_30003_1</v>
      </c>
      <c r="O1087">
        <f>equip.xml!R1091</f>
        <v>0</v>
      </c>
    </row>
    <row r="1088" spans="1:15">
      <c r="A1088" s="14" t="str">
        <f>equip.xml!A1092</f>
        <v>30351060</v>
      </c>
      <c r="B1088" s="14">
        <f>equip.xml!B1092</f>
        <v>1</v>
      </c>
      <c r="C1088" s="14" t="str">
        <f>equip.xml!C1092</f>
        <v>符记盾牌</v>
      </c>
      <c r="D1088" s="14" t="str">
        <f>equip.xml!D1092</f>
        <v>副手武器</v>
      </c>
      <c r="E1088" s="14">
        <f>equip.xml!E1092</f>
        <v>6</v>
      </c>
      <c r="F1088" s="14">
        <f>equip.xml!F1092</f>
        <v>3</v>
      </c>
      <c r="G1088" s="14">
        <f>equip.xml!G1092</f>
        <v>35</v>
      </c>
      <c r="H1088" s="14" t="str">
        <f>equip.xml!H1092</f>
        <v>1,1001</v>
      </c>
      <c r="I1088" s="14">
        <f>equip.xml!J1092</f>
        <v>20</v>
      </c>
      <c r="J1088" s="14">
        <f>equip.xml!K1092</f>
        <v>0</v>
      </c>
      <c r="K1088" s="14">
        <f>equip.xml!L1092</f>
        <v>20000</v>
      </c>
      <c r="L1088" s="14" t="str">
        <f>equip.xml!M1092</f>
        <v>105_676_676</v>
      </c>
      <c r="M1088" s="17" t="str">
        <f>equip.xml!Q1092</f>
        <v>equipment/2108.png</v>
      </c>
      <c r="N1088" s="16" t="str">
        <f>equip.xml!P1092</f>
        <v>10000_1002_35000,30000_30001_1,30000_30002_1,30000_30003_1</v>
      </c>
      <c r="O1088">
        <f>equip.xml!R1092</f>
        <v>0</v>
      </c>
    </row>
    <row r="1089" spans="1:15">
      <c r="A1089" s="14" t="str">
        <f>equip.xml!A1093</f>
        <v>30351061</v>
      </c>
      <c r="B1089" s="14">
        <f>equip.xml!B1093</f>
        <v>1</v>
      </c>
      <c r="C1089" s="14" t="str">
        <f>equip.xml!C1093</f>
        <v>秩序盾牌</v>
      </c>
      <c r="D1089" s="14" t="str">
        <f>equip.xml!D1093</f>
        <v>副手武器</v>
      </c>
      <c r="E1089" s="14">
        <f>equip.xml!E1093</f>
        <v>6</v>
      </c>
      <c r="F1089" s="14">
        <f>equip.xml!F1093</f>
        <v>3</v>
      </c>
      <c r="G1089" s="14">
        <f>equip.xml!G1093</f>
        <v>35</v>
      </c>
      <c r="H1089" s="14" t="str">
        <f>equip.xml!H1093</f>
        <v>1,1001</v>
      </c>
      <c r="I1089" s="14">
        <f>equip.xml!J1093</f>
        <v>20</v>
      </c>
      <c r="J1089" s="14">
        <f>equip.xml!K1093</f>
        <v>0</v>
      </c>
      <c r="K1089" s="14">
        <f>equip.xml!L1093</f>
        <v>22500</v>
      </c>
      <c r="L1089" s="14" t="str">
        <f>equip.xml!M1093</f>
        <v>105_758_758</v>
      </c>
      <c r="M1089" s="17" t="str">
        <f>equip.xml!Q1093</f>
        <v>equipment/2117.png</v>
      </c>
      <c r="N1089" s="16" t="str">
        <f>equip.xml!P1093</f>
        <v>10000_1002_35000,30000_30001_1,30000_30002_1,30000_30003_1</v>
      </c>
      <c r="O1089">
        <f>equip.xml!R1093</f>
        <v>0</v>
      </c>
    </row>
    <row r="1090" spans="1:15">
      <c r="A1090" s="14" t="str">
        <f>equip.xml!A1094</f>
        <v>30352050</v>
      </c>
      <c r="B1090" s="14">
        <f>equip.xml!B1094</f>
        <v>1</v>
      </c>
      <c r="C1090" s="14" t="str">
        <f>equip.xml!C1094</f>
        <v>风语者弯弓</v>
      </c>
      <c r="D1090" s="14" t="str">
        <f>equip.xml!D1094</f>
        <v>主手武器</v>
      </c>
      <c r="E1090" s="14">
        <f>equip.xml!E1094</f>
        <v>5</v>
      </c>
      <c r="F1090" s="14">
        <f>equip.xml!F1094</f>
        <v>3</v>
      </c>
      <c r="G1090" s="14">
        <f>equip.xml!G1094</f>
        <v>35</v>
      </c>
      <c r="H1090" s="14" t="str">
        <f>equip.xml!H1094</f>
        <v>2,1002</v>
      </c>
      <c r="I1090" s="14">
        <f>equip.xml!J1094</f>
        <v>20</v>
      </c>
      <c r="J1090" s="14">
        <f>equip.xml!K1094</f>
        <v>0</v>
      </c>
      <c r="K1090" s="14">
        <f>equip.xml!L1094</f>
        <v>20000</v>
      </c>
      <c r="L1090" s="14" t="str">
        <f>equip.xml!M1094</f>
        <v>103_443_443,104_886_886</v>
      </c>
      <c r="M1090" s="17" t="str">
        <f>equip.xml!Q1094</f>
        <v>equipment/1213.png</v>
      </c>
      <c r="N1090" s="16" t="str">
        <f>equip.xml!P1094</f>
        <v>10000_1002_35000,30000_30001_1,30000_30002_1,30000_30003_1</v>
      </c>
      <c r="O1090">
        <f>equip.xml!R1094</f>
        <v>0</v>
      </c>
    </row>
    <row r="1091" spans="1:15">
      <c r="A1091" s="14" t="str">
        <f>equip.xml!A1095</f>
        <v>30352051</v>
      </c>
      <c r="B1091" s="14">
        <f>equip.xml!B1095</f>
        <v>0</v>
      </c>
      <c r="C1091" s="14" t="str">
        <f>equip.xml!C1095</f>
        <v>棘木弓</v>
      </c>
      <c r="D1091" s="14" t="str">
        <f>equip.xml!D1095</f>
        <v>主手武器</v>
      </c>
      <c r="E1091" s="14">
        <f>equip.xml!E1095</f>
        <v>5</v>
      </c>
      <c r="F1091" s="14">
        <f>equip.xml!F1095</f>
        <v>3</v>
      </c>
      <c r="G1091" s="14">
        <f>equip.xml!G1095</f>
        <v>35</v>
      </c>
      <c r="H1091" s="14" t="str">
        <f>equip.xml!H1095</f>
        <v>2,1002</v>
      </c>
      <c r="I1091" s="14">
        <f>equip.xml!J1095</f>
        <v>20</v>
      </c>
      <c r="J1091" s="14">
        <f>equip.xml!K1095</f>
        <v>0</v>
      </c>
      <c r="K1091" s="14">
        <f>equip.xml!L1095</f>
        <v>22500</v>
      </c>
      <c r="L1091" s="14" t="str">
        <f>equip.xml!M1095</f>
        <v>103_533_533,104_1066_1066</v>
      </c>
      <c r="M1091" s="17" t="str">
        <f>equip.xml!Q1095</f>
        <v>equipment/1201.png</v>
      </c>
      <c r="N1091" s="16" t="str">
        <f>equip.xml!P1095</f>
        <v>10000_1002_35000,30000_30001_1,30000_30002_1,30000_30003_1</v>
      </c>
      <c r="O1091">
        <f>equip.xml!R1095</f>
        <v>0</v>
      </c>
    </row>
    <row r="1092" spans="1:15">
      <c r="A1092" s="14" t="str">
        <f>equip.xml!A1096</f>
        <v>30352060</v>
      </c>
      <c r="B1092" s="14">
        <f>equip.xml!B1096</f>
        <v>1</v>
      </c>
      <c r="C1092" s="14" t="str">
        <f>equip.xml!C1096</f>
        <v>游侠箭筒</v>
      </c>
      <c r="D1092" s="14" t="str">
        <f>equip.xml!D1096</f>
        <v>副手武器</v>
      </c>
      <c r="E1092" s="14">
        <f>equip.xml!E1096</f>
        <v>6</v>
      </c>
      <c r="F1092" s="14">
        <f>equip.xml!F1096</f>
        <v>3</v>
      </c>
      <c r="G1092" s="14">
        <f>equip.xml!G1096</f>
        <v>35</v>
      </c>
      <c r="H1092" s="14" t="str">
        <f>equip.xml!H1096</f>
        <v>2,1002</v>
      </c>
      <c r="I1092" s="14">
        <f>equip.xml!J1096</f>
        <v>20</v>
      </c>
      <c r="J1092" s="14">
        <f>equip.xml!K1096</f>
        <v>0</v>
      </c>
      <c r="K1092" s="14">
        <f>equip.xml!L1096</f>
        <v>20000</v>
      </c>
      <c r="L1092" s="14" t="str">
        <f>equip.xml!M1096</f>
        <v>108_676_676</v>
      </c>
      <c r="M1092" s="17" t="str">
        <f>equip.xml!Q1096</f>
        <v>equipment/2208.png</v>
      </c>
      <c r="N1092" s="16" t="str">
        <f>equip.xml!P1096</f>
        <v>10000_1002_35000,30000_30001_1,30000_30002_1,30000_30003_1</v>
      </c>
      <c r="O1092">
        <f>equip.xml!R1096</f>
        <v>0</v>
      </c>
    </row>
    <row r="1093" spans="1:15">
      <c r="A1093" s="14" t="str">
        <f>equip.xml!A1097</f>
        <v>30352061</v>
      </c>
      <c r="B1093" s="14">
        <f>equip.xml!B1097</f>
        <v>1</v>
      </c>
      <c r="C1093" s="14" t="str">
        <f>equip.xml!C1097</f>
        <v>风行者箭筒</v>
      </c>
      <c r="D1093" s="14" t="str">
        <f>equip.xml!D1097</f>
        <v>副手武器</v>
      </c>
      <c r="E1093" s="14">
        <f>equip.xml!E1097</f>
        <v>6</v>
      </c>
      <c r="F1093" s="14">
        <f>equip.xml!F1097</f>
        <v>3</v>
      </c>
      <c r="G1093" s="14">
        <f>equip.xml!G1097</f>
        <v>35</v>
      </c>
      <c r="H1093" s="14" t="str">
        <f>equip.xml!H1097</f>
        <v>2,1002</v>
      </c>
      <c r="I1093" s="14">
        <f>equip.xml!J1097</f>
        <v>20</v>
      </c>
      <c r="J1093" s="14">
        <f>equip.xml!K1097</f>
        <v>0</v>
      </c>
      <c r="K1093" s="14">
        <f>equip.xml!L1097</f>
        <v>22500</v>
      </c>
      <c r="L1093" s="14" t="str">
        <f>equip.xml!M1097</f>
        <v>108_758_758</v>
      </c>
      <c r="M1093" s="17" t="str">
        <f>equip.xml!Q1097</f>
        <v>equipment/2201.png</v>
      </c>
      <c r="N1093" s="16" t="str">
        <f>equip.xml!P1097</f>
        <v>10000_1002_35000,30000_30001_1,30000_30002_1,30000_30003_1</v>
      </c>
      <c r="O1093">
        <f>equip.xml!R1097</f>
        <v>0</v>
      </c>
    </row>
    <row r="1094" spans="1:15">
      <c r="A1094" s="14" t="str">
        <f>equip.xml!A1098</f>
        <v>30353050</v>
      </c>
      <c r="B1094" s="14">
        <f>equip.xml!B1098</f>
        <v>1</v>
      </c>
      <c r="C1094" s="14" t="str">
        <f>equip.xml!C1098</f>
        <v>聚能之杖</v>
      </c>
      <c r="D1094" s="14" t="str">
        <f>equip.xml!D1098</f>
        <v>主手武器</v>
      </c>
      <c r="E1094" s="14">
        <f>equip.xml!E1098</f>
        <v>5</v>
      </c>
      <c r="F1094" s="14">
        <f>equip.xml!F1098</f>
        <v>3</v>
      </c>
      <c r="G1094" s="14">
        <f>equip.xml!G1098</f>
        <v>35</v>
      </c>
      <c r="H1094" s="14" t="str">
        <f>equip.xml!H1098</f>
        <v>3,1003</v>
      </c>
      <c r="I1094" s="14">
        <f>equip.xml!J1098</f>
        <v>20</v>
      </c>
      <c r="J1094" s="14">
        <f>equip.xml!K1098</f>
        <v>0</v>
      </c>
      <c r="K1094" s="14">
        <f>equip.xml!L1098</f>
        <v>20000</v>
      </c>
      <c r="L1094" s="14" t="str">
        <f>equip.xml!M1098</f>
        <v>103_443_443,104_886_886</v>
      </c>
      <c r="M1094" s="17" t="str">
        <f>equip.xml!Q1098</f>
        <v>equipment/1314.png</v>
      </c>
      <c r="N1094" s="16" t="str">
        <f>equip.xml!P1098</f>
        <v>10000_1002_35000,30000_30001_1,30000_30002_1,30000_30003_1</v>
      </c>
      <c r="O1094">
        <f>equip.xml!R1098</f>
        <v>0</v>
      </c>
    </row>
    <row r="1095" spans="1:15">
      <c r="A1095" s="14" t="str">
        <f>equip.xml!A1099</f>
        <v>30353051</v>
      </c>
      <c r="B1095" s="14">
        <f>equip.xml!B1099</f>
        <v>0</v>
      </c>
      <c r="C1095" s="14" t="str">
        <f>equip.xml!C1099</f>
        <v>学徒法杖</v>
      </c>
      <c r="D1095" s="14" t="str">
        <f>equip.xml!D1099</f>
        <v>主手武器</v>
      </c>
      <c r="E1095" s="14">
        <f>equip.xml!E1099</f>
        <v>5</v>
      </c>
      <c r="F1095" s="14">
        <f>equip.xml!F1099</f>
        <v>3</v>
      </c>
      <c r="G1095" s="14">
        <f>equip.xml!G1099</f>
        <v>35</v>
      </c>
      <c r="H1095" s="14" t="str">
        <f>equip.xml!H1099</f>
        <v>3,1003</v>
      </c>
      <c r="I1095" s="14">
        <f>equip.xml!J1099</f>
        <v>20</v>
      </c>
      <c r="J1095" s="14">
        <f>equip.xml!K1099</f>
        <v>0</v>
      </c>
      <c r="K1095" s="14">
        <f>equip.xml!L1099</f>
        <v>22500</v>
      </c>
      <c r="L1095" s="14" t="str">
        <f>equip.xml!M1099</f>
        <v>103_533_533,104_1066_1066</v>
      </c>
      <c r="M1095" s="17" t="str">
        <f>equip.xml!Q1099</f>
        <v>equipment/1301.png</v>
      </c>
      <c r="N1095" s="16" t="str">
        <f>equip.xml!P1099</f>
        <v>10000_1002_35000,30000_30001_1,30000_30002_1,30000_30003_1</v>
      </c>
      <c r="O1095">
        <f>equip.xml!R1099</f>
        <v>0</v>
      </c>
    </row>
    <row r="1096" spans="1:15">
      <c r="A1096" s="14" t="str">
        <f>equip.xml!A1100</f>
        <v>30353060</v>
      </c>
      <c r="B1096" s="14">
        <f>equip.xml!B1100</f>
        <v>1</v>
      </c>
      <c r="C1096" s="14" t="str">
        <f>equip.xml!C1100</f>
        <v>召唤魔典</v>
      </c>
      <c r="D1096" s="14" t="str">
        <f>equip.xml!D1100</f>
        <v>副手武器</v>
      </c>
      <c r="E1096" s="14">
        <f>equip.xml!E1100</f>
        <v>6</v>
      </c>
      <c r="F1096" s="14">
        <f>equip.xml!F1100</f>
        <v>3</v>
      </c>
      <c r="G1096" s="14">
        <f>equip.xml!G1100</f>
        <v>35</v>
      </c>
      <c r="H1096" s="14" t="str">
        <f>equip.xml!H1100</f>
        <v>3,1003</v>
      </c>
      <c r="I1096" s="14">
        <f>equip.xml!J1100</f>
        <v>20</v>
      </c>
      <c r="J1096" s="14">
        <f>equip.xml!K1100</f>
        <v>0</v>
      </c>
      <c r="K1096" s="14">
        <f>equip.xml!L1100</f>
        <v>20000</v>
      </c>
      <c r="L1096" s="14" t="str">
        <f>equip.xml!M1100</f>
        <v>102_1040_1040</v>
      </c>
      <c r="M1096" s="17" t="str">
        <f>equip.xml!Q1100</f>
        <v>equipment/2308.png</v>
      </c>
      <c r="N1096" s="16" t="str">
        <f>equip.xml!P1100</f>
        <v>10000_1002_35000,30000_30001_1,30000_30002_1,30000_30003_1</v>
      </c>
      <c r="O1096">
        <f>equip.xml!R1100</f>
        <v>0</v>
      </c>
    </row>
    <row r="1097" spans="1:15">
      <c r="A1097" s="14" t="str">
        <f>equip.xml!A1101</f>
        <v>30353061</v>
      </c>
      <c r="B1097" s="14">
        <f>equip.xml!B1101</f>
        <v>1</v>
      </c>
      <c r="C1097" s="14" t="str">
        <f>equip.xml!C1101</f>
        <v>大法师之书</v>
      </c>
      <c r="D1097" s="14" t="str">
        <f>equip.xml!D1101</f>
        <v>副手武器</v>
      </c>
      <c r="E1097" s="14">
        <f>equip.xml!E1101</f>
        <v>6</v>
      </c>
      <c r="F1097" s="14">
        <f>equip.xml!F1101</f>
        <v>3</v>
      </c>
      <c r="G1097" s="14">
        <f>equip.xml!G1101</f>
        <v>35</v>
      </c>
      <c r="H1097" s="14" t="str">
        <f>equip.xml!H1101</f>
        <v>3,1003</v>
      </c>
      <c r="I1097" s="14">
        <f>equip.xml!J1101</f>
        <v>20</v>
      </c>
      <c r="J1097" s="14">
        <f>equip.xml!K1101</f>
        <v>0</v>
      </c>
      <c r="K1097" s="14">
        <f>equip.xml!L1101</f>
        <v>22500</v>
      </c>
      <c r="L1097" s="14" t="str">
        <f>equip.xml!M1101</f>
        <v>102_1120_1120</v>
      </c>
      <c r="M1097" s="17" t="str">
        <f>equip.xml!Q1101</f>
        <v>equipment/2314.png</v>
      </c>
      <c r="N1097" s="16" t="str">
        <f>equip.xml!P1101</f>
        <v>10000_1002_35000,30000_30001_1,30000_30002_1,30000_30003_1</v>
      </c>
      <c r="O1097">
        <f>equip.xml!R1101</f>
        <v>0</v>
      </c>
    </row>
    <row r="1098" spans="1:15">
      <c r="A1098" s="14" t="str">
        <f>equip.xml!A1102</f>
        <v>30350040</v>
      </c>
      <c r="B1098" s="14">
        <f>equip.xml!B1102</f>
        <v>1</v>
      </c>
      <c r="C1098" s="14" t="str">
        <f>equip.xml!C1102</f>
        <v>蛮兽胸甲</v>
      </c>
      <c r="D1098" s="14" t="str">
        <f>equip.xml!D1102</f>
        <v>胸甲</v>
      </c>
      <c r="E1098" s="14">
        <f>equip.xml!E1102</f>
        <v>4</v>
      </c>
      <c r="F1098" s="14">
        <f>equip.xml!F1102</f>
        <v>3</v>
      </c>
      <c r="G1098" s="14">
        <f>equip.xml!G1102</f>
        <v>35</v>
      </c>
      <c r="H1098" s="14">
        <f>equip.xml!H1102</f>
        <v>0</v>
      </c>
      <c r="I1098" s="14">
        <f>equip.xml!J1102</f>
        <v>20</v>
      </c>
      <c r="J1098" s="14">
        <f>equip.xml!K1102</f>
        <v>0</v>
      </c>
      <c r="K1098" s="14">
        <f>equip.xml!L1102</f>
        <v>20000</v>
      </c>
      <c r="L1098" s="14" t="str">
        <f>equip.xml!M1102</f>
        <v>105_293_293</v>
      </c>
      <c r="M1098" s="17" t="str">
        <f>equip.xml!Q1102</f>
        <v>equipment/5011.png</v>
      </c>
      <c r="N1098" s="16" t="str">
        <f>equip.xml!P1102</f>
        <v>10000_1002_35000,30000_30001_1,30000_30002_1,30000_30003_1</v>
      </c>
      <c r="O1098">
        <f>equip.xml!R1102</f>
        <v>0</v>
      </c>
    </row>
    <row r="1099" spans="1:15">
      <c r="A1099" s="14" t="str">
        <f>equip.xml!A1103</f>
        <v>30350041</v>
      </c>
      <c r="B1099" s="14">
        <f>equip.xml!B1103</f>
        <v>1</v>
      </c>
      <c r="C1099" s="14" t="str">
        <f>equip.xml!C1103</f>
        <v>魔鳞外衣</v>
      </c>
      <c r="D1099" s="14" t="str">
        <f>equip.xml!D1103</f>
        <v>胸甲</v>
      </c>
      <c r="E1099" s="14">
        <f>equip.xml!E1103</f>
        <v>4</v>
      </c>
      <c r="F1099" s="14">
        <f>equip.xml!F1103</f>
        <v>3</v>
      </c>
      <c r="G1099" s="14">
        <f>equip.xml!G1103</f>
        <v>35</v>
      </c>
      <c r="H1099" s="14">
        <f>equip.xml!H1103</f>
        <v>0</v>
      </c>
      <c r="I1099" s="14">
        <f>equip.xml!J1103</f>
        <v>20</v>
      </c>
      <c r="J1099" s="14">
        <f>equip.xml!K1103</f>
        <v>0</v>
      </c>
      <c r="K1099" s="14">
        <f>equip.xml!L1103</f>
        <v>22500</v>
      </c>
      <c r="L1099" s="14" t="str">
        <f>equip.xml!M1103</f>
        <v>105_375_375</v>
      </c>
      <c r="M1099" s="17" t="str">
        <f>equip.xml!Q1103</f>
        <v>equipment/5001.png</v>
      </c>
      <c r="N1099" s="16" t="str">
        <f>equip.xml!P1103</f>
        <v>10000_1002_35000,30000_30001_1,30000_30002_1,30000_30003_1</v>
      </c>
      <c r="O1099">
        <f>equip.xml!R1103</f>
        <v>0</v>
      </c>
    </row>
    <row r="1100" spans="1:15">
      <c r="A1100" s="14" t="str">
        <f>equip.xml!A1104</f>
        <v>30350070</v>
      </c>
      <c r="B1100" s="14">
        <f>equip.xml!B1104</f>
        <v>1</v>
      </c>
      <c r="C1100" s="14" t="str">
        <f>equip.xml!C1104</f>
        <v>残忍腿甲</v>
      </c>
      <c r="D1100" s="14" t="str">
        <f>equip.xml!D1104</f>
        <v>护腿</v>
      </c>
      <c r="E1100" s="14">
        <f>equip.xml!E1104</f>
        <v>7</v>
      </c>
      <c r="F1100" s="14">
        <f>equip.xml!F1104</f>
        <v>3</v>
      </c>
      <c r="G1100" s="14">
        <f>equip.xml!G1104</f>
        <v>35</v>
      </c>
      <c r="H1100" s="14">
        <f>equip.xml!H1104</f>
        <v>0</v>
      </c>
      <c r="I1100" s="14">
        <f>equip.xml!J1104</f>
        <v>20</v>
      </c>
      <c r="J1100" s="14">
        <f>equip.xml!K1104</f>
        <v>0</v>
      </c>
      <c r="K1100" s="14">
        <f>equip.xml!L1104</f>
        <v>20000</v>
      </c>
      <c r="L1100" s="14" t="str">
        <f>equip.xml!M1104</f>
        <v>105_293_293</v>
      </c>
      <c r="M1100" s="17" t="str">
        <f>equip.xml!Q1104</f>
        <v>equipment/7008.png</v>
      </c>
      <c r="N1100" s="16" t="str">
        <f>equip.xml!P1104</f>
        <v>10000_1002_35000,30000_30001_1,30000_30002_1,30000_30003_1</v>
      </c>
      <c r="O1100">
        <f>equip.xml!R1104</f>
        <v>0</v>
      </c>
    </row>
    <row r="1101" spans="1:15">
      <c r="A1101" s="14" t="str">
        <f>equip.xml!A1105</f>
        <v>30350071</v>
      </c>
      <c r="B1101" s="14">
        <f>equip.xml!B1105</f>
        <v>0</v>
      </c>
      <c r="C1101" s="14" t="str">
        <f>equip.xml!C1105</f>
        <v>学徒短裤</v>
      </c>
      <c r="D1101" s="14" t="str">
        <f>equip.xml!D1105</f>
        <v>护腿</v>
      </c>
      <c r="E1101" s="14">
        <f>equip.xml!E1105</f>
        <v>7</v>
      </c>
      <c r="F1101" s="14">
        <f>equip.xml!F1105</f>
        <v>3</v>
      </c>
      <c r="G1101" s="14">
        <f>equip.xml!G1105</f>
        <v>35</v>
      </c>
      <c r="H1101" s="14">
        <f>equip.xml!H1105</f>
        <v>0</v>
      </c>
      <c r="I1101" s="14">
        <f>equip.xml!J1105</f>
        <v>20</v>
      </c>
      <c r="J1101" s="14">
        <f>equip.xml!K1105</f>
        <v>0</v>
      </c>
      <c r="K1101" s="14">
        <f>equip.xml!L1105</f>
        <v>22500</v>
      </c>
      <c r="L1101" s="14" t="str">
        <f>equip.xml!M1105</f>
        <v>105_331_331</v>
      </c>
      <c r="M1101" s="17" t="str">
        <f>equip.xml!Q1105</f>
        <v>equipment/7001.png</v>
      </c>
      <c r="N1101" s="16" t="str">
        <f>equip.xml!P1105</f>
        <v>10000_1002_35000,30000_30001_1,30000_30002_1,30000_30003_1</v>
      </c>
      <c r="O1101">
        <f>equip.xml!R1105</f>
        <v>0</v>
      </c>
    </row>
    <row r="1102" spans="1:15">
      <c r="A1102" s="14" t="str">
        <f>equip.xml!A1106</f>
        <v>30400010</v>
      </c>
      <c r="B1102" s="14">
        <f>equip.xml!B1106</f>
        <v>1</v>
      </c>
      <c r="C1102" s="14" t="str">
        <f>equip.xml!C1106</f>
        <v>烈焰头罩</v>
      </c>
      <c r="D1102" s="14" t="str">
        <f>equip.xml!D1106</f>
        <v>头盔</v>
      </c>
      <c r="E1102" s="14">
        <f>equip.xml!E1106</f>
        <v>1</v>
      </c>
      <c r="F1102" s="14">
        <f>equip.xml!F1106</f>
        <v>3</v>
      </c>
      <c r="G1102" s="14">
        <f>equip.xml!G1106</f>
        <v>40</v>
      </c>
      <c r="H1102" s="14">
        <f>equip.xml!H1106</f>
        <v>0</v>
      </c>
      <c r="I1102" s="14">
        <f>equip.xml!J1106</f>
        <v>20</v>
      </c>
      <c r="J1102" s="14">
        <f>equip.xml!K1106</f>
        <v>0</v>
      </c>
      <c r="K1102" s="14">
        <f>equip.xml!L1106</f>
        <v>22500</v>
      </c>
      <c r="L1102" s="14" t="str">
        <f>equip.xml!M1106</f>
        <v>106_751_751</v>
      </c>
      <c r="M1102" s="17" t="str">
        <f>equip.xml!Q1106</f>
        <v>equipment/3007.png</v>
      </c>
      <c r="N1102" s="16" t="str">
        <f>equip.xml!P1106</f>
        <v>10000_1002_40000,30000_30001_1,30000_30002_1,30000_30003_1</v>
      </c>
      <c r="O1102">
        <f>equip.xml!R1106</f>
        <v>0</v>
      </c>
    </row>
    <row r="1103" spans="1:15">
      <c r="A1103" s="14" t="str">
        <f>equip.xml!A1107</f>
        <v>30400020</v>
      </c>
      <c r="B1103" s="14">
        <f>equip.xml!B1107</f>
        <v>1</v>
      </c>
      <c r="C1103" s="14" t="str">
        <f>equip.xml!C1107</f>
        <v>龙纹戒指</v>
      </c>
      <c r="D1103" s="14" t="str">
        <f>equip.xml!D1107</f>
        <v>戒指</v>
      </c>
      <c r="E1103" s="14">
        <f>equip.xml!E1107</f>
        <v>2</v>
      </c>
      <c r="F1103" s="14">
        <f>equip.xml!F1107</f>
        <v>3</v>
      </c>
      <c r="G1103" s="14">
        <f>equip.xml!G1107</f>
        <v>40</v>
      </c>
      <c r="H1103" s="14">
        <f>equip.xml!H1107</f>
        <v>0</v>
      </c>
      <c r="I1103" s="14">
        <f>equip.xml!J1107</f>
        <v>20</v>
      </c>
      <c r="J1103" s="14">
        <f>equip.xml!K1107</f>
        <v>0</v>
      </c>
      <c r="K1103" s="14">
        <f>equip.xml!L1107</f>
        <v>22500</v>
      </c>
      <c r="L1103" s="14" t="str">
        <f>equip.xml!M1107</f>
        <v>102_740_740</v>
      </c>
      <c r="M1103" s="17" t="str">
        <f>equip.xml!Q1107</f>
        <v>equipment/14007.png</v>
      </c>
      <c r="N1103" s="16" t="str">
        <f>equip.xml!P1107</f>
        <v>10000_1002_40000,30000_30001_1,30000_30002_1,30000_30003_1</v>
      </c>
      <c r="O1103">
        <f>equip.xml!R1107</f>
        <v>0</v>
      </c>
    </row>
    <row r="1104" spans="1:15">
      <c r="A1104" s="14" t="str">
        <f>equip.xml!A1108</f>
        <v>30400030</v>
      </c>
      <c r="B1104" s="14">
        <f>equip.xml!B1108</f>
        <v>1</v>
      </c>
      <c r="C1104" s="14" t="str">
        <f>equip.xml!C1108</f>
        <v>力量腰带</v>
      </c>
      <c r="D1104" s="14" t="str">
        <f>equip.xml!D1108</f>
        <v>腰带</v>
      </c>
      <c r="E1104" s="14">
        <f>equip.xml!E1108</f>
        <v>3</v>
      </c>
      <c r="F1104" s="14">
        <f>equip.xml!F1108</f>
        <v>3</v>
      </c>
      <c r="G1104" s="14">
        <f>equip.xml!G1108</f>
        <v>40</v>
      </c>
      <c r="H1104" s="14">
        <f>equip.xml!H1108</f>
        <v>0</v>
      </c>
      <c r="I1104" s="14">
        <f>equip.xml!J1108</f>
        <v>20</v>
      </c>
      <c r="J1104" s="14">
        <f>equip.xml!K1108</f>
        <v>0</v>
      </c>
      <c r="K1104" s="14">
        <f>equip.xml!L1108</f>
        <v>22500</v>
      </c>
      <c r="L1104" s="14" t="str">
        <f>equip.xml!M1108</f>
        <v>101_6720_6720</v>
      </c>
      <c r="M1104" s="17" t="str">
        <f>equip.xml!Q1108</f>
        <v>equipment/6007.png</v>
      </c>
      <c r="N1104" s="16" t="str">
        <f>equip.xml!P1108</f>
        <v>10000_1002_40000,30000_30001_1,30000_30002_1,30000_30003_1</v>
      </c>
      <c r="O1104">
        <f>equip.xml!R1108</f>
        <v>0</v>
      </c>
    </row>
    <row r="1105" spans="1:15">
      <c r="A1105" s="14" t="str">
        <f>equip.xml!A1109</f>
        <v>30400080</v>
      </c>
      <c r="B1105" s="14">
        <f>equip.xml!B1109</f>
        <v>1</v>
      </c>
      <c r="C1105" s="14" t="str">
        <f>equip.xml!C1109</f>
        <v>征战之靴</v>
      </c>
      <c r="D1105" s="14" t="str">
        <f>equip.xml!D1109</f>
        <v>鞋子</v>
      </c>
      <c r="E1105" s="14">
        <f>equip.xml!E1109</f>
        <v>8</v>
      </c>
      <c r="F1105" s="14">
        <f>equip.xml!F1109</f>
        <v>3</v>
      </c>
      <c r="G1105" s="14">
        <f>equip.xml!G1109</f>
        <v>40</v>
      </c>
      <c r="H1105" s="14">
        <f>equip.xml!H1109</f>
        <v>0</v>
      </c>
      <c r="I1105" s="14">
        <f>equip.xml!J1109</f>
        <v>20</v>
      </c>
      <c r="J1105" s="14">
        <f>equip.xml!K1109</f>
        <v>0</v>
      </c>
      <c r="K1105" s="14">
        <f>equip.xml!L1109</f>
        <v>22500</v>
      </c>
      <c r="L1105" s="14" t="str">
        <f>equip.xml!M1109</f>
        <v>110_108_108</v>
      </c>
      <c r="M1105" s="17" t="str">
        <f>equip.xml!Q1109</f>
        <v>equipment/8007.png</v>
      </c>
      <c r="N1105" s="16" t="str">
        <f>equip.xml!P1109</f>
        <v>10000_1002_40000,30000_30001_1,30000_30002_1,30000_30003_1</v>
      </c>
      <c r="O1105">
        <f>equip.xml!R1109</f>
        <v>0</v>
      </c>
    </row>
    <row r="1106" spans="1:15">
      <c r="A1106" s="14" t="str">
        <f>equip.xml!A1110</f>
        <v>30400090</v>
      </c>
      <c r="B1106" s="14">
        <f>equip.xml!B1110</f>
        <v>1</v>
      </c>
      <c r="C1106" s="14" t="str">
        <f>equip.xml!C1110</f>
        <v>重拳手套</v>
      </c>
      <c r="D1106" s="14" t="str">
        <f>equip.xml!D1110</f>
        <v>手套</v>
      </c>
      <c r="E1106" s="14">
        <f>equip.xml!E1110</f>
        <v>9</v>
      </c>
      <c r="F1106" s="14">
        <f>equip.xml!F1110</f>
        <v>3</v>
      </c>
      <c r="G1106" s="14">
        <f>equip.xml!G1110</f>
        <v>40</v>
      </c>
      <c r="H1106" s="14">
        <f>equip.xml!H1110</f>
        <v>0</v>
      </c>
      <c r="I1106" s="14">
        <f>equip.xml!J1110</f>
        <v>20</v>
      </c>
      <c r="J1106" s="14">
        <f>equip.xml!K1110</f>
        <v>0</v>
      </c>
      <c r="K1106" s="14">
        <f>equip.xml!L1110</f>
        <v>22500</v>
      </c>
      <c r="L1106" s="14" t="str">
        <f>equip.xml!M1110</f>
        <v>108_880_880</v>
      </c>
      <c r="M1106" s="17" t="str">
        <f>equip.xml!Q1110</f>
        <v>equipment/10007.png</v>
      </c>
      <c r="N1106" s="16" t="str">
        <f>equip.xml!P1110</f>
        <v>10000_1002_40000,30000_30001_1,30000_30002_1,30000_30003_1</v>
      </c>
      <c r="O1106">
        <f>equip.xml!R1110</f>
        <v>0</v>
      </c>
    </row>
    <row r="1107" spans="1:15">
      <c r="A1107" s="14" t="str">
        <f>equip.xml!A1111</f>
        <v>30400100</v>
      </c>
      <c r="B1107" s="14">
        <f>equip.xml!B1111</f>
        <v>1</v>
      </c>
      <c r="C1107" s="14" t="str">
        <f>equip.xml!C1111</f>
        <v>迅捷项链</v>
      </c>
      <c r="D1107" s="14" t="str">
        <f>equip.xml!D1111</f>
        <v>项链</v>
      </c>
      <c r="E1107" s="14">
        <f>equip.xml!E1111</f>
        <v>10</v>
      </c>
      <c r="F1107" s="14">
        <f>equip.xml!F1111</f>
        <v>3</v>
      </c>
      <c r="G1107" s="14">
        <f>equip.xml!G1111</f>
        <v>40</v>
      </c>
      <c r="H1107" s="14">
        <f>equip.xml!H1111</f>
        <v>0</v>
      </c>
      <c r="I1107" s="14">
        <f>equip.xml!J1111</f>
        <v>20</v>
      </c>
      <c r="J1107" s="14">
        <f>equip.xml!K1111</f>
        <v>0</v>
      </c>
      <c r="K1107" s="14">
        <f>equip.xml!L1111</f>
        <v>22500</v>
      </c>
      <c r="L1107" s="14" t="str">
        <f>equip.xml!M1111</f>
        <v>107_542_542</v>
      </c>
      <c r="M1107" s="17" t="str">
        <f>equip.xml!Q1111</f>
        <v>equipment/12012.png</v>
      </c>
      <c r="N1107" s="16" t="str">
        <f>equip.xml!P1111</f>
        <v>10000_1002_40000,30000_30001_1,30000_30002_1,30000_30003_1</v>
      </c>
      <c r="O1107">
        <f>equip.xml!R1111</f>
        <v>0</v>
      </c>
    </row>
    <row r="1108" spans="1:15">
      <c r="A1108" s="14" t="str">
        <f>equip.xml!A1112</f>
        <v>30401050</v>
      </c>
      <c r="B1108" s="14">
        <f>equip.xml!B1112</f>
        <v>1</v>
      </c>
      <c r="C1108" s="14" t="str">
        <f>equip.xml!C1112</f>
        <v>魔铁巨剑</v>
      </c>
      <c r="D1108" s="14" t="str">
        <f>equip.xml!D1112</f>
        <v>主手武器</v>
      </c>
      <c r="E1108" s="14">
        <f>equip.xml!E1112</f>
        <v>5</v>
      </c>
      <c r="F1108" s="14">
        <f>equip.xml!F1112</f>
        <v>3</v>
      </c>
      <c r="G1108" s="14">
        <f>equip.xml!G1112</f>
        <v>40</v>
      </c>
      <c r="H1108" s="14" t="str">
        <f>equip.xml!H1112</f>
        <v>1,1001</v>
      </c>
      <c r="I1108" s="14">
        <f>equip.xml!J1112</f>
        <v>20</v>
      </c>
      <c r="J1108" s="14">
        <f>equip.xml!K1112</f>
        <v>0</v>
      </c>
      <c r="K1108" s="14">
        <f>equip.xml!L1112</f>
        <v>22500</v>
      </c>
      <c r="L1108" s="14" t="str">
        <f>equip.xml!M1112</f>
        <v>103_670_670,104_1340_1340</v>
      </c>
      <c r="M1108" s="17" t="str">
        <f>equip.xml!Q1112</f>
        <v>equipment/1115.png</v>
      </c>
      <c r="N1108" s="16" t="str">
        <f>equip.xml!P1112</f>
        <v>10000_1002_40000,30000_30001_1,30000_30002_1,30000_30003_1</v>
      </c>
      <c r="O1108">
        <f>equip.xml!R1112</f>
        <v>0</v>
      </c>
    </row>
    <row r="1109" spans="1:15">
      <c r="A1109" s="14" t="str">
        <f>equip.xml!A1113</f>
        <v>30401051</v>
      </c>
      <c r="B1109" s="14">
        <f>equip.xml!B1113</f>
        <v>1</v>
      </c>
      <c r="C1109" s="14" t="str">
        <f>equip.xml!C1113</f>
        <v>破咒之刃</v>
      </c>
      <c r="D1109" s="14" t="str">
        <f>equip.xml!D1113</f>
        <v>主手武器</v>
      </c>
      <c r="E1109" s="14">
        <f>equip.xml!E1113</f>
        <v>5</v>
      </c>
      <c r="F1109" s="14">
        <f>equip.xml!F1113</f>
        <v>3</v>
      </c>
      <c r="G1109" s="14">
        <f>equip.xml!G1113</f>
        <v>40</v>
      </c>
      <c r="H1109" s="14" t="str">
        <f>equip.xml!H1113</f>
        <v>1,1001</v>
      </c>
      <c r="I1109" s="14">
        <f>equip.xml!J1113</f>
        <v>20</v>
      </c>
      <c r="J1109" s="14">
        <f>equip.xml!K1113</f>
        <v>0</v>
      </c>
      <c r="K1109" s="14">
        <f>equip.xml!L1113</f>
        <v>25000</v>
      </c>
      <c r="L1109" s="14" t="str">
        <f>equip.xml!M1113</f>
        <v>103_743_743,104_1486_1486</v>
      </c>
      <c r="M1109" s="17" t="str">
        <f>equip.xml!Q1113</f>
        <v>equipment/1116.png</v>
      </c>
      <c r="N1109" s="16" t="str">
        <f>equip.xml!P1113</f>
        <v>10000_1002_40000,30000_30001_1,30000_30002_1,30000_30003_1</v>
      </c>
      <c r="O1109">
        <f>equip.xml!R1113</f>
        <v>0</v>
      </c>
    </row>
    <row r="1110" spans="1:15">
      <c r="A1110" s="14" t="str">
        <f>equip.xml!A1114</f>
        <v>30401060</v>
      </c>
      <c r="B1110" s="14">
        <f>equip.xml!B1114</f>
        <v>1</v>
      </c>
      <c r="C1110" s="14" t="str">
        <f>equip.xml!C1114</f>
        <v>洛阿巨盾</v>
      </c>
      <c r="D1110" s="14" t="str">
        <f>equip.xml!D1114</f>
        <v>副手武器</v>
      </c>
      <c r="E1110" s="14">
        <f>equip.xml!E1114</f>
        <v>6</v>
      </c>
      <c r="F1110" s="14">
        <f>equip.xml!F1114</f>
        <v>3</v>
      </c>
      <c r="G1110" s="14">
        <f>equip.xml!G1114</f>
        <v>40</v>
      </c>
      <c r="H1110" s="14" t="str">
        <f>equip.xml!H1114</f>
        <v>1,1001</v>
      </c>
      <c r="I1110" s="14">
        <f>equip.xml!J1114</f>
        <v>20</v>
      </c>
      <c r="J1110" s="14">
        <f>equip.xml!K1114</f>
        <v>0</v>
      </c>
      <c r="K1110" s="14">
        <f>equip.xml!L1114</f>
        <v>22500</v>
      </c>
      <c r="L1110" s="14" t="str">
        <f>equip.xml!M1114</f>
        <v>105_880_880</v>
      </c>
      <c r="M1110" s="17" t="str">
        <f>equip.xml!Q1114</f>
        <v>equipment/2109.png</v>
      </c>
      <c r="N1110" s="16" t="str">
        <f>equip.xml!P1114</f>
        <v>10000_1002_40000,30000_30001_1,30000_30002_1,30000_30003_1</v>
      </c>
      <c r="O1110">
        <f>equip.xml!R1114</f>
        <v>0</v>
      </c>
    </row>
    <row r="1111" spans="1:15">
      <c r="A1111" s="14" t="str">
        <f>equip.xml!A1115</f>
        <v>30401061</v>
      </c>
      <c r="B1111" s="14">
        <f>equip.xml!B1115</f>
        <v>0</v>
      </c>
      <c r="C1111" s="14" t="str">
        <f>equip.xml!C1115</f>
        <v>尖头盾</v>
      </c>
      <c r="D1111" s="14" t="str">
        <f>equip.xml!D1115</f>
        <v>副手武器</v>
      </c>
      <c r="E1111" s="14">
        <f>equip.xml!E1115</f>
        <v>6</v>
      </c>
      <c r="F1111" s="14">
        <f>equip.xml!F1115</f>
        <v>3</v>
      </c>
      <c r="G1111" s="14">
        <f>equip.xml!G1115</f>
        <v>40</v>
      </c>
      <c r="H1111" s="14" t="str">
        <f>equip.xml!H1115</f>
        <v>1,1001</v>
      </c>
      <c r="I1111" s="14">
        <f>equip.xml!J1115</f>
        <v>20</v>
      </c>
      <c r="J1111" s="14">
        <f>equip.xml!K1115</f>
        <v>0</v>
      </c>
      <c r="K1111" s="14">
        <f>equip.xml!L1115</f>
        <v>25000</v>
      </c>
      <c r="L1111" s="14" t="str">
        <f>equip.xml!M1115</f>
        <v>105_1029_1029</v>
      </c>
      <c r="M1111" s="17" t="str">
        <f>equip.xml!Q1115</f>
        <v>equipment/2101.png</v>
      </c>
      <c r="N1111" s="16" t="str">
        <f>equip.xml!P1115</f>
        <v>10000_1002_40000,30000_30001_1,30000_30002_1,30000_30003_1</v>
      </c>
      <c r="O1111">
        <f>equip.xml!R1115</f>
        <v>0</v>
      </c>
    </row>
    <row r="1112" spans="1:15">
      <c r="A1112" s="14" t="str">
        <f>equip.xml!A1116</f>
        <v>30402050</v>
      </c>
      <c r="B1112" s="14">
        <f>equip.xml!B1116</f>
        <v>1</v>
      </c>
      <c r="C1112" s="14" t="str">
        <f>equip.xml!C1116</f>
        <v>强击之弓</v>
      </c>
      <c r="D1112" s="14" t="str">
        <f>equip.xml!D1116</f>
        <v>主手武器</v>
      </c>
      <c r="E1112" s="14">
        <f>equip.xml!E1116</f>
        <v>5</v>
      </c>
      <c r="F1112" s="14">
        <f>equip.xml!F1116</f>
        <v>3</v>
      </c>
      <c r="G1112" s="14">
        <f>equip.xml!G1116</f>
        <v>40</v>
      </c>
      <c r="H1112" s="14" t="str">
        <f>equip.xml!H1116</f>
        <v>2,1002</v>
      </c>
      <c r="I1112" s="14">
        <f>equip.xml!J1116</f>
        <v>20</v>
      </c>
      <c r="J1112" s="14">
        <f>equip.xml!K1116</f>
        <v>0</v>
      </c>
      <c r="K1112" s="14">
        <f>equip.xml!L1116</f>
        <v>22500</v>
      </c>
      <c r="L1112" s="14" t="str">
        <f>equip.xml!M1116</f>
        <v>103_670_670,104_1340_1340</v>
      </c>
      <c r="M1112" s="17" t="str">
        <f>equip.xml!Q1116</f>
        <v>equipment/1216.png</v>
      </c>
      <c r="N1112" s="16" t="str">
        <f>equip.xml!P1116</f>
        <v>10000_1002_40000,30000_30001_1,30000_30002_1,30000_30003_1</v>
      </c>
      <c r="O1112">
        <f>equip.xml!R1116</f>
        <v>0</v>
      </c>
    </row>
    <row r="1113" spans="1:15">
      <c r="A1113" s="14" t="str">
        <f>equip.xml!A1117</f>
        <v>30402051</v>
      </c>
      <c r="B1113" s="14">
        <f>equip.xml!B1117</f>
        <v>1</v>
      </c>
      <c r="C1113" s="14" t="str">
        <f>equip.xml!C1117</f>
        <v>羽月长弓</v>
      </c>
      <c r="D1113" s="14" t="str">
        <f>equip.xml!D1117</f>
        <v>主手武器</v>
      </c>
      <c r="E1113" s="14">
        <f>equip.xml!E1117</f>
        <v>5</v>
      </c>
      <c r="F1113" s="14">
        <f>equip.xml!F1117</f>
        <v>3</v>
      </c>
      <c r="G1113" s="14">
        <f>equip.xml!G1117</f>
        <v>40</v>
      </c>
      <c r="H1113" s="14" t="str">
        <f>equip.xml!H1117</f>
        <v>2,1002</v>
      </c>
      <c r="I1113" s="14">
        <f>equip.xml!J1117</f>
        <v>20</v>
      </c>
      <c r="J1113" s="14">
        <f>equip.xml!K1117</f>
        <v>0</v>
      </c>
      <c r="K1113" s="14">
        <f>equip.xml!L1117</f>
        <v>25000</v>
      </c>
      <c r="L1113" s="14" t="str">
        <f>equip.xml!M1117</f>
        <v>103_743_743,104_1486_1486</v>
      </c>
      <c r="M1113" s="17" t="str">
        <f>equip.xml!Q1117</f>
        <v>equipment/1214.png</v>
      </c>
      <c r="N1113" s="16" t="str">
        <f>equip.xml!P1117</f>
        <v>10000_1002_40000,30000_30001_1,30000_30002_1,30000_30003_1</v>
      </c>
      <c r="O1113">
        <f>equip.xml!R1117</f>
        <v>0</v>
      </c>
    </row>
    <row r="1114" spans="1:15">
      <c r="A1114" s="14" t="str">
        <f>equip.xml!A1118</f>
        <v>30402060</v>
      </c>
      <c r="B1114" s="14">
        <f>equip.xml!B1118</f>
        <v>1</v>
      </c>
      <c r="C1114" s="14" t="str">
        <f>equip.xml!C1118</f>
        <v>风怒箭筒</v>
      </c>
      <c r="D1114" s="14" t="str">
        <f>equip.xml!D1118</f>
        <v>副手武器</v>
      </c>
      <c r="E1114" s="14">
        <f>equip.xml!E1118</f>
        <v>6</v>
      </c>
      <c r="F1114" s="14">
        <f>equip.xml!F1118</f>
        <v>3</v>
      </c>
      <c r="G1114" s="14">
        <f>equip.xml!G1118</f>
        <v>40</v>
      </c>
      <c r="H1114" s="14" t="str">
        <f>equip.xml!H1118</f>
        <v>2,1002</v>
      </c>
      <c r="I1114" s="14">
        <f>equip.xml!J1118</f>
        <v>20</v>
      </c>
      <c r="J1114" s="14">
        <f>equip.xml!K1118</f>
        <v>0</v>
      </c>
      <c r="K1114" s="14">
        <f>equip.xml!L1118</f>
        <v>22500</v>
      </c>
      <c r="L1114" s="14" t="str">
        <f>equip.xml!M1118</f>
        <v>108_880_880</v>
      </c>
      <c r="M1114" s="17" t="str">
        <f>equip.xml!Q1118</f>
        <v>equipment/2209.png</v>
      </c>
      <c r="N1114" s="16" t="str">
        <f>equip.xml!P1118</f>
        <v>10000_1002_40000,30000_30001_1,30000_30002_1,30000_30003_1</v>
      </c>
      <c r="O1114">
        <f>equip.xml!R1118</f>
        <v>0</v>
      </c>
    </row>
    <row r="1115" spans="1:15">
      <c r="A1115" s="14" t="str">
        <f>equip.xml!A1119</f>
        <v>30402061</v>
      </c>
      <c r="B1115" s="14">
        <f>equip.xml!B1119</f>
        <v>0</v>
      </c>
      <c r="C1115" s="14" t="str">
        <f>equip.xml!C1119</f>
        <v>箭筒</v>
      </c>
      <c r="D1115" s="14" t="str">
        <f>equip.xml!D1119</f>
        <v>副手武器</v>
      </c>
      <c r="E1115" s="14">
        <f>equip.xml!E1119</f>
        <v>6</v>
      </c>
      <c r="F1115" s="14">
        <f>equip.xml!F1119</f>
        <v>3</v>
      </c>
      <c r="G1115" s="14">
        <f>equip.xml!G1119</f>
        <v>40</v>
      </c>
      <c r="H1115" s="14" t="str">
        <f>equip.xml!H1119</f>
        <v>2,1002</v>
      </c>
      <c r="I1115" s="14">
        <f>equip.xml!J1119</f>
        <v>20</v>
      </c>
      <c r="J1115" s="14">
        <f>equip.xml!K1119</f>
        <v>0</v>
      </c>
      <c r="K1115" s="14">
        <f>equip.xml!L1119</f>
        <v>25000</v>
      </c>
      <c r="L1115" s="14" t="str">
        <f>equip.xml!M1119</f>
        <v>108_1029_1029</v>
      </c>
      <c r="M1115" s="17" t="str">
        <f>equip.xml!Q1119</f>
        <v>equipment/2201.png</v>
      </c>
      <c r="N1115" s="16" t="str">
        <f>equip.xml!P1119</f>
        <v>10000_1002_40000,30000_30001_1,30000_30002_1,30000_30003_1</v>
      </c>
      <c r="O1115">
        <f>equip.xml!R1119</f>
        <v>0</v>
      </c>
    </row>
    <row r="1116" spans="1:15">
      <c r="A1116" s="14" t="str">
        <f>equip.xml!A1120</f>
        <v>30403050</v>
      </c>
      <c r="B1116" s="14">
        <f>equip.xml!B1120</f>
        <v>1</v>
      </c>
      <c r="C1116" s="14" t="str">
        <f>equip.xml!C1120</f>
        <v>符文魔杖</v>
      </c>
      <c r="D1116" s="14" t="str">
        <f>equip.xml!D1120</f>
        <v>主手武器</v>
      </c>
      <c r="E1116" s="14">
        <f>equip.xml!E1120</f>
        <v>5</v>
      </c>
      <c r="F1116" s="14">
        <f>equip.xml!F1120</f>
        <v>3</v>
      </c>
      <c r="G1116" s="14">
        <f>equip.xml!G1120</f>
        <v>40</v>
      </c>
      <c r="H1116" s="14" t="str">
        <f>equip.xml!H1120</f>
        <v>3,1003</v>
      </c>
      <c r="I1116" s="14">
        <f>equip.xml!J1120</f>
        <v>20</v>
      </c>
      <c r="J1116" s="14">
        <f>equip.xml!K1120</f>
        <v>0</v>
      </c>
      <c r="K1116" s="14">
        <f>equip.xml!L1120</f>
        <v>22500</v>
      </c>
      <c r="L1116" s="14" t="str">
        <f>equip.xml!M1120</f>
        <v>103_670_670,104_1340_1340</v>
      </c>
      <c r="M1116" s="17" t="str">
        <f>equip.xml!Q1120</f>
        <v>equipment/1317.png</v>
      </c>
      <c r="N1116" s="16" t="str">
        <f>equip.xml!P1120</f>
        <v>10000_1002_40000,30000_30001_1,30000_30002_1,30000_30003_1</v>
      </c>
      <c r="O1116">
        <f>equip.xml!R1120</f>
        <v>0</v>
      </c>
    </row>
    <row r="1117" spans="1:15">
      <c r="A1117" s="14" t="str">
        <f>equip.xml!A1121</f>
        <v>30403051</v>
      </c>
      <c r="B1117" s="14">
        <f>equip.xml!B1121</f>
        <v>1</v>
      </c>
      <c r="C1117" s="14" t="str">
        <f>equip.xml!C1121</f>
        <v>真理之杖</v>
      </c>
      <c r="D1117" s="14" t="str">
        <f>equip.xml!D1121</f>
        <v>主手武器</v>
      </c>
      <c r="E1117" s="14">
        <f>equip.xml!E1121</f>
        <v>5</v>
      </c>
      <c r="F1117" s="14">
        <f>equip.xml!F1121</f>
        <v>3</v>
      </c>
      <c r="G1117" s="14">
        <f>equip.xml!G1121</f>
        <v>40</v>
      </c>
      <c r="H1117" s="14" t="str">
        <f>equip.xml!H1121</f>
        <v>3,1003</v>
      </c>
      <c r="I1117" s="14">
        <f>equip.xml!J1121</f>
        <v>20</v>
      </c>
      <c r="J1117" s="14">
        <f>equip.xml!K1121</f>
        <v>0</v>
      </c>
      <c r="K1117" s="14">
        <f>equip.xml!L1121</f>
        <v>25000</v>
      </c>
      <c r="L1117" s="14" t="str">
        <f>equip.xml!M1121</f>
        <v>103_743_743,104_1486_1486</v>
      </c>
      <c r="M1117" s="17" t="str">
        <f>equip.xml!Q1121</f>
        <v>equipment/1315.png</v>
      </c>
      <c r="N1117" s="16" t="str">
        <f>equip.xml!P1121</f>
        <v>10000_1002_40000,30000_30001_1,30000_30002_1,30000_30003_1</v>
      </c>
      <c r="O1117">
        <f>equip.xml!R1121</f>
        <v>0</v>
      </c>
    </row>
    <row r="1118" spans="1:15">
      <c r="A1118" s="14" t="str">
        <f>equip.xml!A1122</f>
        <v>30403060</v>
      </c>
      <c r="B1118" s="14">
        <f>equip.xml!B1122</f>
        <v>1</v>
      </c>
      <c r="C1118" s="14" t="str">
        <f>equip.xml!C1122</f>
        <v>附魔秘典</v>
      </c>
      <c r="D1118" s="14" t="str">
        <f>equip.xml!D1122</f>
        <v>副手武器</v>
      </c>
      <c r="E1118" s="14">
        <f>equip.xml!E1122</f>
        <v>6</v>
      </c>
      <c r="F1118" s="14">
        <f>equip.xml!F1122</f>
        <v>3</v>
      </c>
      <c r="G1118" s="14">
        <f>equip.xml!G1122</f>
        <v>40</v>
      </c>
      <c r="H1118" s="14" t="str">
        <f>equip.xml!H1122</f>
        <v>3,1003</v>
      </c>
      <c r="I1118" s="14">
        <f>equip.xml!J1122</f>
        <v>20</v>
      </c>
      <c r="J1118" s="14">
        <f>equip.xml!K1122</f>
        <v>0</v>
      </c>
      <c r="K1118" s="14">
        <f>equip.xml!L1122</f>
        <v>22500</v>
      </c>
      <c r="L1118" s="14" t="str">
        <f>equip.xml!M1122</f>
        <v>102_1240_1240</v>
      </c>
      <c r="M1118" s="17" t="str">
        <f>equip.xml!Q1122</f>
        <v>equipment/2309.png</v>
      </c>
      <c r="N1118" s="16" t="str">
        <f>equip.xml!P1122</f>
        <v>10000_1002_40000,30000_30001_1,30000_30002_1,30000_30003_1</v>
      </c>
      <c r="O1118">
        <f>equip.xml!R1122</f>
        <v>0</v>
      </c>
    </row>
    <row r="1119" spans="1:15">
      <c r="A1119" s="14" t="str">
        <f>equip.xml!A1123</f>
        <v>30403061</v>
      </c>
      <c r="B1119" s="14">
        <f>equip.xml!B1123</f>
        <v>0</v>
      </c>
      <c r="C1119" s="14" t="str">
        <f>equip.xml!C1123</f>
        <v>法术指南</v>
      </c>
      <c r="D1119" s="14" t="str">
        <f>equip.xml!D1123</f>
        <v>副手武器</v>
      </c>
      <c r="E1119" s="14">
        <f>equip.xml!E1123</f>
        <v>6</v>
      </c>
      <c r="F1119" s="14">
        <f>equip.xml!F1123</f>
        <v>3</v>
      </c>
      <c r="G1119" s="14">
        <f>equip.xml!G1123</f>
        <v>40</v>
      </c>
      <c r="H1119" s="14" t="str">
        <f>equip.xml!H1123</f>
        <v>3,1003</v>
      </c>
      <c r="I1119" s="14">
        <f>equip.xml!J1123</f>
        <v>20</v>
      </c>
      <c r="J1119" s="14">
        <f>equip.xml!K1123</f>
        <v>0</v>
      </c>
      <c r="K1119" s="14">
        <f>equip.xml!L1123</f>
        <v>25000</v>
      </c>
      <c r="L1119" s="14" t="str">
        <f>equip.xml!M1123</f>
        <v>102_1029_1029</v>
      </c>
      <c r="M1119" s="17" t="str">
        <f>equip.xml!Q1123</f>
        <v>equipment/2301.png</v>
      </c>
      <c r="N1119" s="16" t="str">
        <f>equip.xml!P1123</f>
        <v>10000_1002_40000,30000_30001_1,30000_30002_1,30000_30003_1</v>
      </c>
      <c r="O1119">
        <f>equip.xml!R1123</f>
        <v>0</v>
      </c>
    </row>
    <row r="1120" spans="1:15">
      <c r="A1120" s="14" t="str">
        <f>equip.xml!A1124</f>
        <v>30400040</v>
      </c>
      <c r="B1120" s="14">
        <f>equip.xml!B1124</f>
        <v>1</v>
      </c>
      <c r="C1120" s="14" t="str">
        <f>equip.xml!C1124</f>
        <v>瑟银护甲</v>
      </c>
      <c r="D1120" s="14" t="str">
        <f>equip.xml!D1124</f>
        <v>胸甲</v>
      </c>
      <c r="E1120" s="14">
        <f>equip.xml!E1124</f>
        <v>4</v>
      </c>
      <c r="F1120" s="14">
        <f>equip.xml!F1124</f>
        <v>3</v>
      </c>
      <c r="G1120" s="14">
        <f>equip.xml!G1124</f>
        <v>40</v>
      </c>
      <c r="H1120" s="14">
        <f>equip.xml!H1124</f>
        <v>0</v>
      </c>
      <c r="I1120" s="14">
        <f>equip.xml!J1124</f>
        <v>20</v>
      </c>
      <c r="J1120" s="14">
        <f>equip.xml!K1124</f>
        <v>0</v>
      </c>
      <c r="K1120" s="14">
        <f>equip.xml!L1124</f>
        <v>22500</v>
      </c>
      <c r="L1120" s="14" t="str">
        <f>equip.xml!M1124</f>
        <v>105_497_497</v>
      </c>
      <c r="M1120" s="17" t="str">
        <f>equip.xml!Q1124</f>
        <v>equipment/5012.png</v>
      </c>
      <c r="N1120" s="16" t="str">
        <f>equip.xml!P1124</f>
        <v>10000_1002_40000,30000_30001_1,30000_30002_1,30000_30003_1</v>
      </c>
      <c r="O1120">
        <f>equip.xml!R1124</f>
        <v>0</v>
      </c>
    </row>
    <row r="1121" spans="1:15">
      <c r="A1121" s="14" t="str">
        <f>equip.xml!A1125</f>
        <v>30400041</v>
      </c>
      <c r="B1121" s="14">
        <f>equip.xml!B1125</f>
        <v>0</v>
      </c>
      <c r="C1121" s="14" t="str">
        <f>equip.xml!C1125</f>
        <v>新兵外套</v>
      </c>
      <c r="D1121" s="14" t="str">
        <f>equip.xml!D1125</f>
        <v>胸甲</v>
      </c>
      <c r="E1121" s="14">
        <f>equip.xml!E1125</f>
        <v>4</v>
      </c>
      <c r="F1121" s="14">
        <f>equip.xml!F1125</f>
        <v>3</v>
      </c>
      <c r="G1121" s="14">
        <f>equip.xml!G1125</f>
        <v>40</v>
      </c>
      <c r="H1121" s="14">
        <f>equip.xml!H1125</f>
        <v>0</v>
      </c>
      <c r="I1121" s="14">
        <f>equip.xml!J1125</f>
        <v>20</v>
      </c>
      <c r="J1121" s="14">
        <f>equip.xml!K1125</f>
        <v>0</v>
      </c>
      <c r="K1121" s="14">
        <f>equip.xml!L1125</f>
        <v>25000</v>
      </c>
      <c r="L1121" s="14" t="str">
        <f>equip.xml!M1125</f>
        <v>105_549_549</v>
      </c>
      <c r="M1121" s="17" t="str">
        <f>equip.xml!Q1125</f>
        <v>equipment/5001.png</v>
      </c>
      <c r="N1121" s="16" t="str">
        <f>equip.xml!P1125</f>
        <v>10000_1002_40000,30000_30001_1,30000_30002_1,30000_30003_1</v>
      </c>
      <c r="O1121">
        <f>equip.xml!R1125</f>
        <v>0</v>
      </c>
    </row>
    <row r="1122" spans="1:15">
      <c r="A1122" s="14" t="str">
        <f>equip.xml!A1126</f>
        <v>30400070</v>
      </c>
      <c r="B1122" s="14">
        <f>equip.xml!B1126</f>
        <v>1</v>
      </c>
      <c r="C1122" s="14" t="str">
        <f>equip.xml!C1126</f>
        <v>巨熊护腿</v>
      </c>
      <c r="D1122" s="14" t="str">
        <f>equip.xml!D1126</f>
        <v>护腿</v>
      </c>
      <c r="E1122" s="14">
        <f>equip.xml!E1126</f>
        <v>7</v>
      </c>
      <c r="F1122" s="14">
        <f>equip.xml!F1126</f>
        <v>3</v>
      </c>
      <c r="G1122" s="14">
        <f>equip.xml!G1126</f>
        <v>40</v>
      </c>
      <c r="H1122" s="14">
        <f>equip.xml!H1126</f>
        <v>0</v>
      </c>
      <c r="I1122" s="14">
        <f>equip.xml!J1126</f>
        <v>20</v>
      </c>
      <c r="J1122" s="14">
        <f>equip.xml!K1126</f>
        <v>0</v>
      </c>
      <c r="K1122" s="14">
        <f>equip.xml!L1126</f>
        <v>22500</v>
      </c>
      <c r="L1122" s="14" t="str">
        <f>equip.xml!M1126</f>
        <v>105_387_387</v>
      </c>
      <c r="M1122" s="17" t="str">
        <f>equip.xml!Q1126</f>
        <v>equipment/7009.png</v>
      </c>
      <c r="N1122" s="16" t="str">
        <f>equip.xml!P1126</f>
        <v>10000_1002_40000,30000_30001_1,30000_30002_1,30000_30003_1</v>
      </c>
      <c r="O1122">
        <f>equip.xml!R1126</f>
        <v>0</v>
      </c>
    </row>
    <row r="1123" spans="1:15">
      <c r="A1123" s="14" t="str">
        <f>equip.xml!A1127</f>
        <v>30400071</v>
      </c>
      <c r="B1123" s="14">
        <f>equip.xml!B1127</f>
        <v>0</v>
      </c>
      <c r="C1123" s="14" t="str">
        <f>equip.xml!C1127</f>
        <v>学徒短裤</v>
      </c>
      <c r="D1123" s="14" t="str">
        <f>equip.xml!D1127</f>
        <v>护腿</v>
      </c>
      <c r="E1123" s="14">
        <f>equip.xml!E1127</f>
        <v>7</v>
      </c>
      <c r="F1123" s="14">
        <f>equip.xml!F1127</f>
        <v>3</v>
      </c>
      <c r="G1123" s="14">
        <f>equip.xml!G1127</f>
        <v>40</v>
      </c>
      <c r="H1123" s="14">
        <f>equip.xml!H1127</f>
        <v>0</v>
      </c>
      <c r="I1123" s="14">
        <f>equip.xml!J1127</f>
        <v>20</v>
      </c>
      <c r="J1123" s="14">
        <f>equip.xml!K1127</f>
        <v>0</v>
      </c>
      <c r="K1123" s="14">
        <f>equip.xml!L1127</f>
        <v>25000</v>
      </c>
      <c r="L1123" s="14" t="str">
        <f>equip.xml!M1127</f>
        <v>105_431_431</v>
      </c>
      <c r="M1123" s="17" t="str">
        <f>equip.xml!Q1127</f>
        <v>equipment/7001.png</v>
      </c>
      <c r="N1123" s="16" t="str">
        <f>equip.xml!P1127</f>
        <v>10000_1002_40000,30000_30001_1,30000_30002_1,30000_30003_1</v>
      </c>
      <c r="O1123">
        <f>equip.xml!R1127</f>
        <v>0</v>
      </c>
    </row>
    <row r="1124" spans="1:15">
      <c r="A1124" s="14" t="str">
        <f>equip.xml!A1128</f>
        <v>30450010</v>
      </c>
      <c r="B1124" s="14">
        <f>equip.xml!B1128</f>
        <v>1</v>
      </c>
      <c r="C1124" s="14" t="str">
        <f>equip.xml!C1128</f>
        <v>战争头盔</v>
      </c>
      <c r="D1124" s="14" t="str">
        <f>equip.xml!D1128</f>
        <v>头盔</v>
      </c>
      <c r="E1124" s="14">
        <f>equip.xml!E1128</f>
        <v>1</v>
      </c>
      <c r="F1124" s="14">
        <f>equip.xml!F1128</f>
        <v>3</v>
      </c>
      <c r="G1124" s="14">
        <f>equip.xml!G1128</f>
        <v>45</v>
      </c>
      <c r="H1124" s="14">
        <f>equip.xml!H1128</f>
        <v>0</v>
      </c>
      <c r="I1124" s="14">
        <f>equip.xml!J1128</f>
        <v>20</v>
      </c>
      <c r="J1124" s="14">
        <f>equip.xml!K1128</f>
        <v>0</v>
      </c>
      <c r="K1124" s="14">
        <f>equip.xml!L1128</f>
        <v>25000</v>
      </c>
      <c r="L1124" s="14" t="str">
        <f>equip.xml!M1128</f>
        <v>106_751_751</v>
      </c>
      <c r="M1124" s="17" t="str">
        <f>equip.xml!Q1128</f>
        <v>equipment/3003.png</v>
      </c>
      <c r="N1124" s="16" t="str">
        <f>equip.xml!P1128</f>
        <v>10000_1002_45000,30000_30001_1,30000_30002_1,30000_30003_1</v>
      </c>
      <c r="O1124">
        <f>equip.xml!R1128</f>
        <v>0</v>
      </c>
    </row>
    <row r="1125" spans="1:15">
      <c r="A1125" s="14" t="str">
        <f>equip.xml!A1129</f>
        <v>30450020</v>
      </c>
      <c r="B1125" s="14">
        <f>equip.xml!B1129</f>
        <v>1</v>
      </c>
      <c r="C1125" s="14" t="str">
        <f>equip.xml!C1129</f>
        <v>洞察指环</v>
      </c>
      <c r="D1125" s="14" t="str">
        <f>equip.xml!D1129</f>
        <v>戒指</v>
      </c>
      <c r="E1125" s="14">
        <f>equip.xml!E1129</f>
        <v>2</v>
      </c>
      <c r="F1125" s="14">
        <f>equip.xml!F1129</f>
        <v>3</v>
      </c>
      <c r="G1125" s="14">
        <f>equip.xml!G1129</f>
        <v>45</v>
      </c>
      <c r="H1125" s="14">
        <f>equip.xml!H1129</f>
        <v>0</v>
      </c>
      <c r="I1125" s="14">
        <f>equip.xml!J1129</f>
        <v>20</v>
      </c>
      <c r="J1125" s="14">
        <f>equip.xml!K1129</f>
        <v>0</v>
      </c>
      <c r="K1125" s="14">
        <f>equip.xml!L1129</f>
        <v>25000</v>
      </c>
      <c r="L1125" s="14" t="str">
        <f>equip.xml!M1129</f>
        <v>102_740_740</v>
      </c>
      <c r="M1125" s="17" t="str">
        <f>equip.xml!Q1129</f>
        <v>equipment/14001.png</v>
      </c>
      <c r="N1125" s="16" t="str">
        <f>equip.xml!P1129</f>
        <v>10000_1002_45000,30000_30001_1,30000_30002_1,30000_30003_1</v>
      </c>
      <c r="O1125">
        <f>equip.xml!R1129</f>
        <v>0</v>
      </c>
    </row>
    <row r="1126" spans="1:15">
      <c r="A1126" s="14" t="str">
        <f>equip.xml!A1130</f>
        <v>30450030</v>
      </c>
      <c r="B1126" s="14">
        <f>equip.xml!B1130</f>
        <v>1</v>
      </c>
      <c r="C1126" s="14" t="str">
        <f>equip.xml!C1130</f>
        <v>督军腰带</v>
      </c>
      <c r="D1126" s="14" t="str">
        <f>equip.xml!D1130</f>
        <v>腰带</v>
      </c>
      <c r="E1126" s="14">
        <f>equip.xml!E1130</f>
        <v>3</v>
      </c>
      <c r="F1126" s="14">
        <f>equip.xml!F1130</f>
        <v>3</v>
      </c>
      <c r="G1126" s="14">
        <f>equip.xml!G1130</f>
        <v>45</v>
      </c>
      <c r="H1126" s="14">
        <f>equip.xml!H1130</f>
        <v>0</v>
      </c>
      <c r="I1126" s="14">
        <f>equip.xml!J1130</f>
        <v>20</v>
      </c>
      <c r="J1126" s="14">
        <f>equip.xml!K1130</f>
        <v>0</v>
      </c>
      <c r="K1126" s="14">
        <f>equip.xml!L1130</f>
        <v>25000</v>
      </c>
      <c r="L1126" s="14" t="str">
        <f>equip.xml!M1130</f>
        <v>101_8840_8840</v>
      </c>
      <c r="M1126" s="17" t="str">
        <f>equip.xml!Q1130</f>
        <v>equipment/6008.png</v>
      </c>
      <c r="N1126" s="16" t="str">
        <f>equip.xml!P1130</f>
        <v>10000_1002_45000,30000_30001_1,30000_30002_1,30000_30003_1</v>
      </c>
      <c r="O1126">
        <f>equip.xml!R1130</f>
        <v>0</v>
      </c>
    </row>
    <row r="1127" spans="1:15">
      <c r="A1127" s="14" t="str">
        <f>equip.xml!A1131</f>
        <v>30450080</v>
      </c>
      <c r="B1127" s="14">
        <f>equip.xml!B1131</f>
        <v>1</v>
      </c>
      <c r="C1127" s="14" t="str">
        <f>equip.xml!C1131</f>
        <v>浩劫长靴</v>
      </c>
      <c r="D1127" s="14" t="str">
        <f>equip.xml!D1131</f>
        <v>鞋子</v>
      </c>
      <c r="E1127" s="14">
        <f>equip.xml!E1131</f>
        <v>8</v>
      </c>
      <c r="F1127" s="14">
        <f>equip.xml!F1131</f>
        <v>3</v>
      </c>
      <c r="G1127" s="14">
        <f>equip.xml!G1131</f>
        <v>45</v>
      </c>
      <c r="H1127" s="14">
        <f>equip.xml!H1131</f>
        <v>0</v>
      </c>
      <c r="I1127" s="14">
        <f>equip.xml!J1131</f>
        <v>20</v>
      </c>
      <c r="J1127" s="14">
        <f>equip.xml!K1131</f>
        <v>0</v>
      </c>
      <c r="K1127" s="14">
        <f>equip.xml!L1131</f>
        <v>25000</v>
      </c>
      <c r="L1127" s="14" t="str">
        <f>equip.xml!M1131</f>
        <v>110_137_137</v>
      </c>
      <c r="M1127" s="17" t="str">
        <f>equip.xml!Q1131</f>
        <v>equipment/8008.png</v>
      </c>
      <c r="N1127" s="16" t="str">
        <f>equip.xml!P1131</f>
        <v>10000_1002_45000,30000_30001_1,30000_30002_1,30000_30003_1</v>
      </c>
      <c r="O1127">
        <f>equip.xml!R1131</f>
        <v>0</v>
      </c>
    </row>
    <row r="1128" spans="1:15">
      <c r="A1128" s="14" t="str">
        <f>equip.xml!A1132</f>
        <v>30450090</v>
      </c>
      <c r="B1128" s="14">
        <f>equip.xml!B1132</f>
        <v>1</v>
      </c>
      <c r="C1128" s="14" t="str">
        <f>equip.xml!C1132</f>
        <v>愤怒护手</v>
      </c>
      <c r="D1128" s="14" t="str">
        <f>equip.xml!D1132</f>
        <v>手套</v>
      </c>
      <c r="E1128" s="14">
        <f>equip.xml!E1132</f>
        <v>9</v>
      </c>
      <c r="F1128" s="14">
        <f>equip.xml!F1132</f>
        <v>3</v>
      </c>
      <c r="G1128" s="14">
        <f>equip.xml!G1132</f>
        <v>45</v>
      </c>
      <c r="H1128" s="14">
        <f>equip.xml!H1132</f>
        <v>0</v>
      </c>
      <c r="I1128" s="14">
        <f>equip.xml!J1132</f>
        <v>20</v>
      </c>
      <c r="J1128" s="14">
        <f>equip.xml!K1132</f>
        <v>0</v>
      </c>
      <c r="K1128" s="14">
        <f>equip.xml!L1132</f>
        <v>25000</v>
      </c>
      <c r="L1128" s="14" t="str">
        <f>equip.xml!M1132</f>
        <v>108_1255_1255</v>
      </c>
      <c r="M1128" s="17" t="str">
        <f>equip.xml!Q1132</f>
        <v>equipment/10008.png</v>
      </c>
      <c r="N1128" s="16" t="str">
        <f>equip.xml!P1132</f>
        <v>10000_1002_45000,30000_30001_1,30000_30002_1,30000_30003_1</v>
      </c>
      <c r="O1128">
        <f>equip.xml!R1132</f>
        <v>0</v>
      </c>
    </row>
    <row r="1129" spans="1:15">
      <c r="A1129" s="14" t="str">
        <f>equip.xml!A1133</f>
        <v>30450100</v>
      </c>
      <c r="B1129" s="14">
        <f>equip.xml!B1133</f>
        <v>1</v>
      </c>
      <c r="C1129" s="14" t="str">
        <f>equip.xml!C1133</f>
        <v>新月项链</v>
      </c>
      <c r="D1129" s="14" t="str">
        <f>equip.xml!D1133</f>
        <v>项链</v>
      </c>
      <c r="E1129" s="14">
        <f>equip.xml!E1133</f>
        <v>10</v>
      </c>
      <c r="F1129" s="14">
        <f>equip.xml!F1133</f>
        <v>3</v>
      </c>
      <c r="G1129" s="14">
        <f>equip.xml!G1133</f>
        <v>45</v>
      </c>
      <c r="H1129" s="14">
        <f>equip.xml!H1133</f>
        <v>0</v>
      </c>
      <c r="I1129" s="14">
        <f>equip.xml!J1133</f>
        <v>20</v>
      </c>
      <c r="J1129" s="14">
        <f>equip.xml!K1133</f>
        <v>0</v>
      </c>
      <c r="K1129" s="14">
        <f>equip.xml!L1133</f>
        <v>25000</v>
      </c>
      <c r="L1129" s="14" t="str">
        <f>equip.xml!M1133</f>
        <v>107_751_751</v>
      </c>
      <c r="M1129" s="17" t="str">
        <f>equip.xml!Q1133</f>
        <v>equipment/12007.png</v>
      </c>
      <c r="N1129" s="16" t="str">
        <f>equip.xml!P1133</f>
        <v>10000_1002_45000,30000_30001_1,30000_30002_1,30000_30003_1</v>
      </c>
      <c r="O1129">
        <f>equip.xml!R1133</f>
        <v>0</v>
      </c>
    </row>
    <row r="1130" spans="1:15">
      <c r="A1130" s="14" t="str">
        <f>equip.xml!A1134</f>
        <v>30451050</v>
      </c>
      <c r="B1130" s="14">
        <f>equip.xml!B1134</f>
        <v>1</v>
      </c>
      <c r="C1130" s="14" t="str">
        <f>equip.xml!C1134</f>
        <v>龙纹之刃</v>
      </c>
      <c r="D1130" s="14" t="str">
        <f>equip.xml!D1134</f>
        <v>主手武器</v>
      </c>
      <c r="E1130" s="14">
        <f>equip.xml!E1134</f>
        <v>5</v>
      </c>
      <c r="F1130" s="14">
        <f>equip.xml!F1134</f>
        <v>3</v>
      </c>
      <c r="G1130" s="14">
        <f>equip.xml!G1134</f>
        <v>45</v>
      </c>
      <c r="H1130" s="14" t="str">
        <f>equip.xml!H1134</f>
        <v>1,1001</v>
      </c>
      <c r="I1130" s="14">
        <f>equip.xml!J1134</f>
        <v>20</v>
      </c>
      <c r="J1130" s="14">
        <f>equip.xml!K1134</f>
        <v>0</v>
      </c>
      <c r="K1130" s="14">
        <f>equip.xml!L1134</f>
        <v>25000</v>
      </c>
      <c r="L1130" s="14" t="str">
        <f>equip.xml!M1134</f>
        <v>103_854_854,104_1708_1708</v>
      </c>
      <c r="M1130" s="17" t="str">
        <f>equip.xml!Q1134</f>
        <v>equipment/1117.png</v>
      </c>
      <c r="N1130" s="16" t="str">
        <f>equip.xml!P1134</f>
        <v>10000_1002_45000,30000_30001_1,30000_30002_1,30000_30003_1</v>
      </c>
      <c r="O1130">
        <f>equip.xml!R1134</f>
        <v>0</v>
      </c>
    </row>
    <row r="1131" spans="1:15">
      <c r="A1131" s="14" t="str">
        <f>equip.xml!A1135</f>
        <v>30451051</v>
      </c>
      <c r="B1131" s="14">
        <f>equip.xml!B1135</f>
        <v>0</v>
      </c>
      <c r="C1131" s="14" t="str">
        <f>equip.xml!C1135</f>
        <v>军刀</v>
      </c>
      <c r="D1131" s="14" t="str">
        <f>equip.xml!D1135</f>
        <v>主手武器</v>
      </c>
      <c r="E1131" s="14">
        <f>equip.xml!E1135</f>
        <v>5</v>
      </c>
      <c r="F1131" s="14">
        <f>equip.xml!F1135</f>
        <v>3</v>
      </c>
      <c r="G1131" s="14">
        <f>equip.xml!G1135</f>
        <v>45</v>
      </c>
      <c r="H1131" s="14" t="str">
        <f>equip.xml!H1135</f>
        <v>1,1001</v>
      </c>
      <c r="I1131" s="14">
        <f>equip.xml!J1135</f>
        <v>20</v>
      </c>
      <c r="J1131" s="14">
        <f>equip.xml!K1135</f>
        <v>0</v>
      </c>
      <c r="K1131" s="14">
        <f>equip.xml!L1135</f>
        <v>27500</v>
      </c>
      <c r="L1131" s="14" t="str">
        <f>equip.xml!M1135</f>
        <v>103_951_951,104_1902_1902</v>
      </c>
      <c r="M1131" s="17" t="str">
        <f>equip.xml!Q1135</f>
        <v>equipment/1101.png</v>
      </c>
      <c r="N1131" s="16" t="str">
        <f>equip.xml!P1135</f>
        <v>10000_1002_45000,30000_30001_1,30000_30002_1,30000_30003_1</v>
      </c>
      <c r="O1131">
        <f>equip.xml!R1135</f>
        <v>0</v>
      </c>
    </row>
    <row r="1132" spans="1:15">
      <c r="A1132" s="14" t="str">
        <f>equip.xml!A1136</f>
        <v>30451060</v>
      </c>
      <c r="B1132" s="14">
        <f>equip.xml!B1136</f>
        <v>1</v>
      </c>
      <c r="C1132" s="14" t="str">
        <f>equip.xml!C1136</f>
        <v>正义壁垒</v>
      </c>
      <c r="D1132" s="14" t="str">
        <f>equip.xml!D1136</f>
        <v>副手武器</v>
      </c>
      <c r="E1132" s="14">
        <f>equip.xml!E1136</f>
        <v>6</v>
      </c>
      <c r="F1132" s="14">
        <f>equip.xml!F1136</f>
        <v>3</v>
      </c>
      <c r="G1132" s="14">
        <f>equip.xml!G1136</f>
        <v>45</v>
      </c>
      <c r="H1132" s="14" t="str">
        <f>equip.xml!H1136</f>
        <v>1,1001</v>
      </c>
      <c r="I1132" s="14">
        <f>equip.xml!J1136</f>
        <v>20</v>
      </c>
      <c r="J1132" s="14">
        <f>equip.xml!K1136</f>
        <v>0</v>
      </c>
      <c r="K1132" s="14">
        <f>equip.xml!L1136</f>
        <v>25000</v>
      </c>
      <c r="L1132" s="14" t="str">
        <f>equip.xml!M1136</f>
        <v>105_1253_1253</v>
      </c>
      <c r="M1132" s="17" t="str">
        <f>equip.xml!Q1136</f>
        <v>equipment/2110.png</v>
      </c>
      <c r="N1132" s="16" t="str">
        <f>equip.xml!P1136</f>
        <v>10000_1002_45000,30000_30001_1,30000_30002_1,30000_30003_1</v>
      </c>
      <c r="O1132">
        <f>equip.xml!R1136</f>
        <v>0</v>
      </c>
    </row>
    <row r="1133" spans="1:15">
      <c r="A1133" s="14" t="str">
        <f>equip.xml!A1137</f>
        <v>30451061</v>
      </c>
      <c r="B1133" s="14">
        <f>equip.xml!B1137</f>
        <v>0</v>
      </c>
      <c r="C1133" s="14" t="str">
        <f>equip.xml!C1137</f>
        <v>尖头盾</v>
      </c>
      <c r="D1133" s="14" t="str">
        <f>equip.xml!D1137</f>
        <v>副手武器</v>
      </c>
      <c r="E1133" s="14">
        <f>equip.xml!E1137</f>
        <v>6</v>
      </c>
      <c r="F1133" s="14">
        <f>equip.xml!F1137</f>
        <v>3</v>
      </c>
      <c r="G1133" s="14">
        <f>equip.xml!G1137</f>
        <v>45</v>
      </c>
      <c r="H1133" s="14" t="str">
        <f>equip.xml!H1137</f>
        <v>1,1001</v>
      </c>
      <c r="I1133" s="14">
        <f>equip.xml!J1137</f>
        <v>20</v>
      </c>
      <c r="J1133" s="14">
        <f>equip.xml!K1137</f>
        <v>0</v>
      </c>
      <c r="K1133" s="14">
        <f>equip.xml!L1137</f>
        <v>27500</v>
      </c>
      <c r="L1133" s="14" t="str">
        <f>equip.xml!M1137</f>
        <v>105_1312_1312</v>
      </c>
      <c r="M1133" s="17" t="str">
        <f>equip.xml!Q1137</f>
        <v>equipment/2101.png</v>
      </c>
      <c r="N1133" s="16" t="str">
        <f>equip.xml!P1137</f>
        <v>10000_1002_45000,30000_30001_1,30000_30002_1,30000_30003_1</v>
      </c>
      <c r="O1133">
        <f>equip.xml!R1137</f>
        <v>0</v>
      </c>
    </row>
    <row r="1134" spans="1:15">
      <c r="A1134" s="14" t="str">
        <f>equip.xml!A1138</f>
        <v>30452050</v>
      </c>
      <c r="B1134" s="14">
        <f>equip.xml!B1138</f>
        <v>1</v>
      </c>
      <c r="C1134" s="14" t="str">
        <f>equip.xml!C1138</f>
        <v>霜语长弓</v>
      </c>
      <c r="D1134" s="14" t="str">
        <f>equip.xml!D1138</f>
        <v>主手武器</v>
      </c>
      <c r="E1134" s="14">
        <f>equip.xml!E1138</f>
        <v>5</v>
      </c>
      <c r="F1134" s="14">
        <f>equip.xml!F1138</f>
        <v>3</v>
      </c>
      <c r="G1134" s="14">
        <f>equip.xml!G1138</f>
        <v>45</v>
      </c>
      <c r="H1134" s="14" t="str">
        <f>equip.xml!H1138</f>
        <v>2,1002</v>
      </c>
      <c r="I1134" s="14">
        <f>equip.xml!J1138</f>
        <v>20</v>
      </c>
      <c r="J1134" s="14">
        <f>equip.xml!K1138</f>
        <v>0</v>
      </c>
      <c r="K1134" s="14">
        <f>equip.xml!L1138</f>
        <v>25000</v>
      </c>
      <c r="L1134" s="14" t="str">
        <f>equip.xml!M1138</f>
        <v>103_854_854,104_1708_1708</v>
      </c>
      <c r="M1134" s="17" t="str">
        <f>equip.xml!Q1138</f>
        <v>equipment/1217.png</v>
      </c>
      <c r="N1134" s="16" t="str">
        <f>equip.xml!P1138</f>
        <v>10000_1002_45000,30000_30001_1,30000_30002_1,30000_30003_1</v>
      </c>
      <c r="O1134">
        <f>equip.xml!R1138</f>
        <v>0</v>
      </c>
    </row>
    <row r="1135" spans="1:15">
      <c r="A1135" s="14" t="str">
        <f>equip.xml!A1139</f>
        <v>30452051</v>
      </c>
      <c r="B1135" s="14">
        <f>equip.xml!B1139</f>
        <v>0</v>
      </c>
      <c r="C1135" s="14" t="str">
        <f>equip.xml!C1139</f>
        <v>棘木弓</v>
      </c>
      <c r="D1135" s="14" t="str">
        <f>equip.xml!D1139</f>
        <v>主手武器</v>
      </c>
      <c r="E1135" s="14">
        <f>equip.xml!E1139</f>
        <v>5</v>
      </c>
      <c r="F1135" s="14">
        <f>equip.xml!F1139</f>
        <v>3</v>
      </c>
      <c r="G1135" s="14">
        <f>equip.xml!G1139</f>
        <v>45</v>
      </c>
      <c r="H1135" s="14" t="str">
        <f>equip.xml!H1139</f>
        <v>2,1002</v>
      </c>
      <c r="I1135" s="14">
        <f>equip.xml!J1139</f>
        <v>20</v>
      </c>
      <c r="J1135" s="14">
        <f>equip.xml!K1139</f>
        <v>0</v>
      </c>
      <c r="K1135" s="14">
        <f>equip.xml!L1139</f>
        <v>27500</v>
      </c>
      <c r="L1135" s="14" t="str">
        <f>equip.xml!M1139</f>
        <v>103_951_951,104_1902_1902</v>
      </c>
      <c r="M1135" s="17" t="str">
        <f>equip.xml!Q1139</f>
        <v>equipment/1201.png</v>
      </c>
      <c r="N1135" s="16" t="str">
        <f>equip.xml!P1139</f>
        <v>10000_1002_45000,30000_30001_1,30000_30002_1,30000_30003_1</v>
      </c>
      <c r="O1135">
        <f>equip.xml!R1139</f>
        <v>0</v>
      </c>
    </row>
    <row r="1136" spans="1:15">
      <c r="A1136" s="14" t="str">
        <f>equip.xml!A1140</f>
        <v>30452060</v>
      </c>
      <c r="B1136" s="14">
        <f>equip.xml!B1140</f>
        <v>1</v>
      </c>
      <c r="C1136" s="14" t="str">
        <f>equip.xml!C1140</f>
        <v>月沐箭筒</v>
      </c>
      <c r="D1136" s="14" t="str">
        <f>equip.xml!D1140</f>
        <v>副手武器</v>
      </c>
      <c r="E1136" s="14">
        <f>equip.xml!E1140</f>
        <v>6</v>
      </c>
      <c r="F1136" s="14">
        <f>equip.xml!F1140</f>
        <v>3</v>
      </c>
      <c r="G1136" s="14">
        <f>equip.xml!G1140</f>
        <v>45</v>
      </c>
      <c r="H1136" s="14" t="str">
        <f>equip.xml!H1140</f>
        <v>2,1002</v>
      </c>
      <c r="I1136" s="14">
        <f>equip.xml!J1140</f>
        <v>20</v>
      </c>
      <c r="J1136" s="14">
        <f>equip.xml!K1140</f>
        <v>0</v>
      </c>
      <c r="K1136" s="14">
        <f>equip.xml!L1140</f>
        <v>25000</v>
      </c>
      <c r="L1136" s="14" t="str">
        <f>equip.xml!M1140</f>
        <v>108_1253_1253</v>
      </c>
      <c r="M1136" s="17" t="str">
        <f>equip.xml!Q1140</f>
        <v>equipment/2211.png</v>
      </c>
      <c r="N1136" s="16" t="str">
        <f>equip.xml!P1140</f>
        <v>10000_1002_45000,30000_30001_1,30000_30002_1,30000_30003_1</v>
      </c>
      <c r="O1136">
        <f>equip.xml!R1140</f>
        <v>0</v>
      </c>
    </row>
    <row r="1137" spans="1:15">
      <c r="A1137" s="14" t="str">
        <f>equip.xml!A1141</f>
        <v>30452061</v>
      </c>
      <c r="B1137" s="14">
        <f>equip.xml!B1141</f>
        <v>0</v>
      </c>
      <c r="C1137" s="14" t="str">
        <f>equip.xml!C1141</f>
        <v>箭筒</v>
      </c>
      <c r="D1137" s="14" t="str">
        <f>equip.xml!D1141</f>
        <v>副手武器</v>
      </c>
      <c r="E1137" s="14">
        <f>equip.xml!E1141</f>
        <v>6</v>
      </c>
      <c r="F1137" s="14">
        <f>equip.xml!F1141</f>
        <v>3</v>
      </c>
      <c r="G1137" s="14">
        <f>equip.xml!G1141</f>
        <v>45</v>
      </c>
      <c r="H1137" s="14" t="str">
        <f>equip.xml!H1141</f>
        <v>2,1002</v>
      </c>
      <c r="I1137" s="14">
        <f>equip.xml!J1141</f>
        <v>20</v>
      </c>
      <c r="J1137" s="14">
        <f>equip.xml!K1141</f>
        <v>0</v>
      </c>
      <c r="K1137" s="14">
        <f>equip.xml!L1141</f>
        <v>27500</v>
      </c>
      <c r="L1137" s="14" t="str">
        <f>equip.xml!M1141</f>
        <v>108_1312_1312</v>
      </c>
      <c r="M1137" s="17" t="str">
        <f>equip.xml!Q1141</f>
        <v>equipment/2201.png</v>
      </c>
      <c r="N1137" s="16" t="str">
        <f>equip.xml!P1141</f>
        <v>10000_1002_45000,30000_30001_1,30000_30002_1,30000_30003_1</v>
      </c>
      <c r="O1137">
        <f>equip.xml!R1141</f>
        <v>0</v>
      </c>
    </row>
    <row r="1138" spans="1:15">
      <c r="A1138" s="14" t="str">
        <f>equip.xml!A1142</f>
        <v>30453050</v>
      </c>
      <c r="B1138" s="14">
        <f>equip.xml!B1142</f>
        <v>1</v>
      </c>
      <c r="C1138" s="14" t="str">
        <f>equip.xml!C1142</f>
        <v>皇权之杖</v>
      </c>
      <c r="D1138" s="14" t="str">
        <f>equip.xml!D1142</f>
        <v>主手武器</v>
      </c>
      <c r="E1138" s="14">
        <f>equip.xml!E1142</f>
        <v>5</v>
      </c>
      <c r="F1138" s="14">
        <f>equip.xml!F1142</f>
        <v>3</v>
      </c>
      <c r="G1138" s="14">
        <f>equip.xml!G1142</f>
        <v>45</v>
      </c>
      <c r="H1138" s="14" t="str">
        <f>equip.xml!H1142</f>
        <v>3,1003</v>
      </c>
      <c r="I1138" s="14">
        <f>equip.xml!J1142</f>
        <v>20</v>
      </c>
      <c r="J1138" s="14">
        <f>equip.xml!K1142</f>
        <v>0</v>
      </c>
      <c r="K1138" s="14">
        <f>equip.xml!L1142</f>
        <v>25000</v>
      </c>
      <c r="L1138" s="14" t="str">
        <f>equip.xml!M1142</f>
        <v>103_854_854,104_1708_1708</v>
      </c>
      <c r="M1138" s="17" t="str">
        <f>equip.xml!Q1142</f>
        <v>equipment/1316.png</v>
      </c>
      <c r="N1138" s="16" t="str">
        <f>equip.xml!P1142</f>
        <v>10000_1002_45000,30000_30001_1,30000_30002_1,30000_30003_1</v>
      </c>
      <c r="O1138">
        <f>equip.xml!R1142</f>
        <v>0</v>
      </c>
    </row>
    <row r="1139" spans="1:15">
      <c r="A1139" s="14" t="str">
        <f>equip.xml!A1143</f>
        <v>30453051</v>
      </c>
      <c r="B1139" s="14">
        <f>equip.xml!B1143</f>
        <v>1</v>
      </c>
      <c r="C1139" s="14" t="str">
        <f>equip.xml!C1143</f>
        <v>圣晶权杖</v>
      </c>
      <c r="D1139" s="14" t="str">
        <f>equip.xml!D1143</f>
        <v>主手武器</v>
      </c>
      <c r="E1139" s="14">
        <f>equip.xml!E1143</f>
        <v>5</v>
      </c>
      <c r="F1139" s="14">
        <f>equip.xml!F1143</f>
        <v>3</v>
      </c>
      <c r="G1139" s="14">
        <f>equip.xml!G1143</f>
        <v>45</v>
      </c>
      <c r="H1139" s="14" t="str">
        <f>equip.xml!H1143</f>
        <v>3,1003</v>
      </c>
      <c r="I1139" s="14">
        <f>equip.xml!J1143</f>
        <v>20</v>
      </c>
      <c r="J1139" s="14">
        <f>equip.xml!K1143</f>
        <v>0</v>
      </c>
      <c r="K1139" s="14">
        <f>equip.xml!L1143</f>
        <v>27500</v>
      </c>
      <c r="L1139" s="14" t="str">
        <f>equip.xml!M1143</f>
        <v>103_951_951,104_1902_1902</v>
      </c>
      <c r="M1139" s="17" t="str">
        <f>equip.xml!Q1143</f>
        <v>equipment/1318.png</v>
      </c>
      <c r="N1139" s="16" t="str">
        <f>equip.xml!P1143</f>
        <v>10000_1002_45000,30000_30001_1,30000_30002_1,30000_30003_1</v>
      </c>
      <c r="O1139">
        <f>equip.xml!R1143</f>
        <v>0</v>
      </c>
    </row>
    <row r="1140" spans="1:15">
      <c r="A1140" s="14" t="str">
        <f>equip.xml!A1144</f>
        <v>30453060</v>
      </c>
      <c r="B1140" s="14">
        <f>equip.xml!B1144</f>
        <v>1</v>
      </c>
      <c r="C1140" s="14" t="str">
        <f>equip.xml!C1144</f>
        <v>占卜魔典</v>
      </c>
      <c r="D1140" s="14" t="str">
        <f>equip.xml!D1144</f>
        <v>副手武器</v>
      </c>
      <c r="E1140" s="14">
        <f>equip.xml!E1144</f>
        <v>6</v>
      </c>
      <c r="F1140" s="14">
        <f>equip.xml!F1144</f>
        <v>3</v>
      </c>
      <c r="G1140" s="14">
        <f>equip.xml!G1144</f>
        <v>45</v>
      </c>
      <c r="H1140" s="14" t="str">
        <f>equip.xml!H1144</f>
        <v>3,1003</v>
      </c>
      <c r="I1140" s="14">
        <f>equip.xml!J1144</f>
        <v>20</v>
      </c>
      <c r="J1140" s="14">
        <f>equip.xml!K1144</f>
        <v>0</v>
      </c>
      <c r="K1140" s="14">
        <f>equip.xml!L1144</f>
        <v>25000</v>
      </c>
      <c r="L1140" s="14" t="str">
        <f>equip.xml!M1144</f>
        <v>102_1320_1320</v>
      </c>
      <c r="M1140" s="17" t="str">
        <f>equip.xml!Q1144</f>
        <v>equipment/2310.png</v>
      </c>
      <c r="N1140" s="16" t="str">
        <f>equip.xml!P1144</f>
        <v>10000_1002_45000,30000_30001_1,30000_30002_1,30000_30003_1</v>
      </c>
      <c r="O1140">
        <f>equip.xml!R1144</f>
        <v>0</v>
      </c>
    </row>
    <row r="1141" spans="1:15">
      <c r="A1141" s="14" t="str">
        <f>equip.xml!A1145</f>
        <v>30453061</v>
      </c>
      <c r="B1141" s="14">
        <f>equip.xml!B1145</f>
        <v>0</v>
      </c>
      <c r="C1141" s="14" t="str">
        <f>equip.xml!C1145</f>
        <v>法术指南</v>
      </c>
      <c r="D1141" s="14" t="str">
        <f>equip.xml!D1145</f>
        <v>副手武器</v>
      </c>
      <c r="E1141" s="14">
        <f>equip.xml!E1145</f>
        <v>6</v>
      </c>
      <c r="F1141" s="14">
        <f>equip.xml!F1145</f>
        <v>3</v>
      </c>
      <c r="G1141" s="14">
        <f>equip.xml!G1145</f>
        <v>45</v>
      </c>
      <c r="H1141" s="14" t="str">
        <f>equip.xml!H1145</f>
        <v>3,1003</v>
      </c>
      <c r="I1141" s="14">
        <f>equip.xml!J1145</f>
        <v>20</v>
      </c>
      <c r="J1141" s="14">
        <f>equip.xml!K1145</f>
        <v>0</v>
      </c>
      <c r="K1141" s="14">
        <f>equip.xml!L1145</f>
        <v>27500</v>
      </c>
      <c r="L1141" s="14" t="str">
        <f>equip.xml!M1145</f>
        <v>102_1312_1312</v>
      </c>
      <c r="M1141" s="17" t="str">
        <f>equip.xml!Q1145</f>
        <v>equipment/2301.png</v>
      </c>
      <c r="N1141" s="16" t="str">
        <f>equip.xml!P1145</f>
        <v>10000_1002_45000,30000_30001_1,30000_30002_1,30000_30003_1</v>
      </c>
      <c r="O1141">
        <f>equip.xml!R1145</f>
        <v>0</v>
      </c>
    </row>
    <row r="1142" spans="1:15">
      <c r="A1142" s="14" t="str">
        <f>equip.xml!A1146</f>
        <v>30450040</v>
      </c>
      <c r="B1142" s="14">
        <f>equip.xml!B1146</f>
        <v>1</v>
      </c>
      <c r="C1142" s="14" t="str">
        <f>equip.xml!C1146</f>
        <v>执政官胸甲</v>
      </c>
      <c r="D1142" s="14" t="str">
        <f>equip.xml!D1146</f>
        <v>胸甲</v>
      </c>
      <c r="E1142" s="14">
        <f>equip.xml!E1146</f>
        <v>4</v>
      </c>
      <c r="F1142" s="14">
        <f>equip.xml!F1146</f>
        <v>3</v>
      </c>
      <c r="G1142" s="14">
        <f>equip.xml!G1146</f>
        <v>45</v>
      </c>
      <c r="H1142" s="14">
        <f>equip.xml!H1146</f>
        <v>0</v>
      </c>
      <c r="I1142" s="14">
        <f>equip.xml!J1146</f>
        <v>20</v>
      </c>
      <c r="J1142" s="14">
        <f>equip.xml!K1146</f>
        <v>0</v>
      </c>
      <c r="K1142" s="14">
        <f>equip.xml!L1146</f>
        <v>25000</v>
      </c>
      <c r="L1142" s="14" t="str">
        <f>equip.xml!M1146</f>
        <v>105_628_628</v>
      </c>
      <c r="M1142" s="17" t="str">
        <f>equip.xml!Q1146</f>
        <v>equipment/5013.png</v>
      </c>
      <c r="N1142" s="16" t="str">
        <f>equip.xml!P1146</f>
        <v>10000_1002_45000,30000_30001_1,30000_30002_1,30000_30003_1</v>
      </c>
      <c r="O1142">
        <f>equip.xml!R1146</f>
        <v>0</v>
      </c>
    </row>
    <row r="1143" spans="1:15">
      <c r="A1143" s="14" t="str">
        <f>equip.xml!A1147</f>
        <v>30450041</v>
      </c>
      <c r="B1143" s="14">
        <f>equip.xml!B1147</f>
        <v>1</v>
      </c>
      <c r="C1143" s="14" t="str">
        <f>equip.xml!C1147</f>
        <v>军团胸甲</v>
      </c>
      <c r="D1143" s="14" t="str">
        <f>equip.xml!D1147</f>
        <v>胸甲</v>
      </c>
      <c r="E1143" s="14">
        <f>equip.xml!E1147</f>
        <v>4</v>
      </c>
      <c r="F1143" s="14">
        <f>equip.xml!F1147</f>
        <v>3</v>
      </c>
      <c r="G1143" s="14">
        <f>equip.xml!G1147</f>
        <v>45</v>
      </c>
      <c r="H1143" s="14">
        <f>equip.xml!H1147</f>
        <v>0</v>
      </c>
      <c r="I1143" s="14">
        <f>equip.xml!J1147</f>
        <v>20</v>
      </c>
      <c r="J1143" s="14">
        <f>equip.xml!K1147</f>
        <v>0</v>
      </c>
      <c r="K1143" s="14">
        <f>equip.xml!L1147</f>
        <v>27500</v>
      </c>
      <c r="L1143" s="14" t="str">
        <f>equip.xml!M1147</f>
        <v>105_689_689</v>
      </c>
      <c r="M1143" s="17" t="str">
        <f>equip.xml!Q1147</f>
        <v>equipment/5014.png</v>
      </c>
      <c r="N1143" s="16" t="str">
        <f>equip.xml!P1147</f>
        <v>10000_1002_45000,30000_30001_1,30000_30002_1,30000_30003_1</v>
      </c>
      <c r="O1143">
        <f>equip.xml!R1147</f>
        <v>0</v>
      </c>
    </row>
    <row r="1144" spans="1:15">
      <c r="A1144" s="14" t="str">
        <f>equip.xml!A1148</f>
        <v>30450070</v>
      </c>
      <c r="B1144" s="14">
        <f>equip.xml!B1148</f>
        <v>1</v>
      </c>
      <c r="C1144" s="14" t="str">
        <f>equip.xml!C1148</f>
        <v>冰铸腿铠</v>
      </c>
      <c r="D1144" s="14" t="str">
        <f>equip.xml!D1148</f>
        <v>护腿</v>
      </c>
      <c r="E1144" s="14">
        <f>equip.xml!E1148</f>
        <v>7</v>
      </c>
      <c r="F1144" s="14">
        <f>equip.xml!F1148</f>
        <v>3</v>
      </c>
      <c r="G1144" s="14">
        <f>equip.xml!G1148</f>
        <v>45</v>
      </c>
      <c r="H1144" s="14">
        <f>equip.xml!H1148</f>
        <v>0</v>
      </c>
      <c r="I1144" s="14">
        <f>equip.xml!J1148</f>
        <v>20</v>
      </c>
      <c r="J1144" s="14">
        <f>equip.xml!K1148</f>
        <v>0</v>
      </c>
      <c r="K1144" s="14">
        <f>equip.xml!L1148</f>
        <v>25000</v>
      </c>
      <c r="L1144" s="14" t="str">
        <f>equip.xml!M1148</f>
        <v>105_497_497</v>
      </c>
      <c r="M1144" s="17" t="str">
        <f>equip.xml!Q1148</f>
        <v>equipment/7011.png</v>
      </c>
      <c r="N1144" s="16" t="str">
        <f>equip.xml!P1148</f>
        <v>10000_1002_45000,30000_30001_1,30000_30002_1,30000_30003_1</v>
      </c>
      <c r="O1144">
        <f>equip.xml!R1148</f>
        <v>0</v>
      </c>
    </row>
    <row r="1145" spans="1:15">
      <c r="A1145" s="14" t="str">
        <f>equip.xml!A1149</f>
        <v>30450071</v>
      </c>
      <c r="B1145" s="14">
        <f>equip.xml!B1149</f>
        <v>1</v>
      </c>
      <c r="C1145" s="14" t="str">
        <f>equip.xml!C1149</f>
        <v>织灵护腿</v>
      </c>
      <c r="D1145" s="14" t="str">
        <f>equip.xml!D1149</f>
        <v>护腿</v>
      </c>
      <c r="E1145" s="14">
        <f>equip.xml!E1149</f>
        <v>7</v>
      </c>
      <c r="F1145" s="14">
        <f>equip.xml!F1149</f>
        <v>3</v>
      </c>
      <c r="G1145" s="14">
        <f>equip.xml!G1149</f>
        <v>45</v>
      </c>
      <c r="H1145" s="14">
        <f>equip.xml!H1149</f>
        <v>0</v>
      </c>
      <c r="I1145" s="14">
        <f>equip.xml!J1149</f>
        <v>20</v>
      </c>
      <c r="J1145" s="14">
        <f>equip.xml!K1149</f>
        <v>0</v>
      </c>
      <c r="K1145" s="14">
        <f>equip.xml!L1149</f>
        <v>27500</v>
      </c>
      <c r="L1145" s="14" t="str">
        <f>equip.xml!M1149</f>
        <v>105_549_549</v>
      </c>
      <c r="M1145" s="17" t="str">
        <f>equip.xml!Q1149</f>
        <v>equipment/7010.png</v>
      </c>
      <c r="N1145" s="16" t="str">
        <f>equip.xml!P1149</f>
        <v>10000_1002_45000,30000_30001_1,30000_30002_1,30000_30003_1</v>
      </c>
      <c r="O1145">
        <f>equip.xml!R1149</f>
        <v>0</v>
      </c>
    </row>
    <row r="1146" spans="1:15">
      <c r="A1146" s="14" t="str">
        <f>equip.xml!A1150</f>
        <v>30500010</v>
      </c>
      <c r="B1146" s="14">
        <f>equip.xml!B1150</f>
        <v>1</v>
      </c>
      <c r="C1146" s="14" t="str">
        <f>equip.xml!C1150</f>
        <v>战痕头盔</v>
      </c>
      <c r="D1146" s="14" t="str">
        <f>equip.xml!D1150</f>
        <v>头盔</v>
      </c>
      <c r="E1146" s="14">
        <f>equip.xml!E1150</f>
        <v>1</v>
      </c>
      <c r="F1146" s="14">
        <f>equip.xml!F1150</f>
        <v>3</v>
      </c>
      <c r="G1146" s="14">
        <f>equip.xml!G1150</f>
        <v>50</v>
      </c>
      <c r="H1146" s="14">
        <f>equip.xml!H1150</f>
        <v>0</v>
      </c>
      <c r="I1146" s="14">
        <f>equip.xml!J1150</f>
        <v>20</v>
      </c>
      <c r="J1146" s="14">
        <f>equip.xml!K1150</f>
        <v>0</v>
      </c>
      <c r="K1146" s="14">
        <f>equip.xml!L1150</f>
        <v>27500</v>
      </c>
      <c r="L1146" s="14" t="str">
        <f>equip.xml!M1150</f>
        <v>106_1000_1000</v>
      </c>
      <c r="M1146" s="17" t="str">
        <f>equip.xml!Q1150</f>
        <v>equipment/3008.png</v>
      </c>
      <c r="N1146" s="16" t="str">
        <f>equip.xml!P1150</f>
        <v>10000_1002_50000,30000_30001_1,30000_30002_1,30000_30003_1</v>
      </c>
      <c r="O1146">
        <f>equip.xml!R1150</f>
        <v>0</v>
      </c>
    </row>
    <row r="1147" spans="1:15">
      <c r="A1147" s="14" t="str">
        <f>equip.xml!A1151</f>
        <v>30500020</v>
      </c>
      <c r="B1147" s="14">
        <f>equip.xml!B1151</f>
        <v>1</v>
      </c>
      <c r="C1147" s="14" t="str">
        <f>equip.xml!C1151</f>
        <v>灵风之戒</v>
      </c>
      <c r="D1147" s="14" t="str">
        <f>equip.xml!D1151</f>
        <v>戒指</v>
      </c>
      <c r="E1147" s="14">
        <f>equip.xml!E1151</f>
        <v>2</v>
      </c>
      <c r="F1147" s="14">
        <f>equip.xml!F1151</f>
        <v>3</v>
      </c>
      <c r="G1147" s="14">
        <f>equip.xml!G1151</f>
        <v>50</v>
      </c>
      <c r="H1147" s="14">
        <f>equip.xml!H1151</f>
        <v>0</v>
      </c>
      <c r="I1147" s="14">
        <f>equip.xml!J1151</f>
        <v>20</v>
      </c>
      <c r="J1147" s="14">
        <f>equip.xml!K1151</f>
        <v>0</v>
      </c>
      <c r="K1147" s="14">
        <f>equip.xml!L1151</f>
        <v>27500</v>
      </c>
      <c r="L1147" s="14" t="str">
        <f>equip.xml!M1151</f>
        <v>102_975_975</v>
      </c>
      <c r="M1147" s="17" t="str">
        <f>equip.xml!Q1151</f>
        <v>equipment/14008.png</v>
      </c>
      <c r="N1147" s="16" t="str">
        <f>equip.xml!P1151</f>
        <v>10000_1002_50000,30000_30001_1,30000_30002_1,30000_30003_1</v>
      </c>
      <c r="O1147">
        <f>equip.xml!R1151</f>
        <v>0</v>
      </c>
    </row>
    <row r="1148" spans="1:15">
      <c r="A1148" s="14" t="str">
        <f>equip.xml!A1152</f>
        <v>30500030</v>
      </c>
      <c r="B1148" s="14">
        <f>equip.xml!B1152</f>
        <v>1</v>
      </c>
      <c r="C1148" s="14" t="str">
        <f>equip.xml!C1152</f>
        <v>生命腰带</v>
      </c>
      <c r="D1148" s="14" t="str">
        <f>equip.xml!D1152</f>
        <v>腰带</v>
      </c>
      <c r="E1148" s="14">
        <f>equip.xml!E1152</f>
        <v>3</v>
      </c>
      <c r="F1148" s="14">
        <f>equip.xml!F1152</f>
        <v>3</v>
      </c>
      <c r="G1148" s="14">
        <f>equip.xml!G1152</f>
        <v>50</v>
      </c>
      <c r="H1148" s="14">
        <f>equip.xml!H1152</f>
        <v>0</v>
      </c>
      <c r="I1148" s="14">
        <f>equip.xml!J1152</f>
        <v>20</v>
      </c>
      <c r="J1148" s="14">
        <f>equip.xml!K1152</f>
        <v>0</v>
      </c>
      <c r="K1148" s="14">
        <f>equip.xml!L1152</f>
        <v>27500</v>
      </c>
      <c r="L1148" s="14" t="str">
        <f>equip.xml!M1152</f>
        <v>101_11560_11560</v>
      </c>
      <c r="M1148" s="17" t="str">
        <f>equip.xml!Q1152</f>
        <v>equipment/6009.png</v>
      </c>
      <c r="N1148" s="16" t="str">
        <f>equip.xml!P1152</f>
        <v>10000_1002_50000,30000_30001_1,30000_30002_1,30000_30003_1</v>
      </c>
      <c r="O1148">
        <f>equip.xml!R1152</f>
        <v>0</v>
      </c>
    </row>
    <row r="1149" spans="1:15">
      <c r="A1149" s="14" t="str">
        <f>equip.xml!A1153</f>
        <v>30500080</v>
      </c>
      <c r="B1149" s="14">
        <f>equip.xml!B1153</f>
        <v>1</v>
      </c>
      <c r="C1149" s="14" t="str">
        <f>equip.xml!C1153</f>
        <v>龙鳞护胫</v>
      </c>
      <c r="D1149" s="14" t="str">
        <f>equip.xml!D1153</f>
        <v>鞋子</v>
      </c>
      <c r="E1149" s="14">
        <f>equip.xml!E1153</f>
        <v>8</v>
      </c>
      <c r="F1149" s="14">
        <f>equip.xml!F1153</f>
        <v>3</v>
      </c>
      <c r="G1149" s="14">
        <f>equip.xml!G1153</f>
        <v>50</v>
      </c>
      <c r="H1149" s="14">
        <f>equip.xml!H1153</f>
        <v>0</v>
      </c>
      <c r="I1149" s="14">
        <f>equip.xml!J1153</f>
        <v>20</v>
      </c>
      <c r="J1149" s="14">
        <f>equip.xml!K1153</f>
        <v>0</v>
      </c>
      <c r="K1149" s="14">
        <f>equip.xml!L1153</f>
        <v>27500</v>
      </c>
      <c r="L1149" s="14" t="str">
        <f>equip.xml!M1153</f>
        <v>110_172_172</v>
      </c>
      <c r="M1149" s="17" t="str">
        <f>equip.xml!Q1153</f>
        <v>equipment/8004.png</v>
      </c>
      <c r="N1149" s="16" t="str">
        <f>equip.xml!P1153</f>
        <v>10000_1002_50000,30000_30001_1,30000_30002_1,30000_30003_1</v>
      </c>
      <c r="O1149">
        <f>equip.xml!R1153</f>
        <v>0</v>
      </c>
    </row>
    <row r="1150" spans="1:15">
      <c r="A1150" s="14" t="str">
        <f>equip.xml!A1154</f>
        <v>30500090</v>
      </c>
      <c r="B1150" s="14">
        <f>equip.xml!B1154</f>
        <v>1</v>
      </c>
      <c r="C1150" s="14" t="str">
        <f>equip.xml!C1154</f>
        <v>血拳手套</v>
      </c>
      <c r="D1150" s="14" t="str">
        <f>equip.xml!D1154</f>
        <v>手套</v>
      </c>
      <c r="E1150" s="14">
        <f>equip.xml!E1154</f>
        <v>9</v>
      </c>
      <c r="F1150" s="14">
        <f>equip.xml!F1154</f>
        <v>3</v>
      </c>
      <c r="G1150" s="14">
        <f>equip.xml!G1154</f>
        <v>50</v>
      </c>
      <c r="H1150" s="14">
        <f>equip.xml!H1154</f>
        <v>0</v>
      </c>
      <c r="I1150" s="14">
        <f>equip.xml!J1154</f>
        <v>20</v>
      </c>
      <c r="J1150" s="14">
        <f>equip.xml!K1154</f>
        <v>0</v>
      </c>
      <c r="K1150" s="14">
        <f>equip.xml!L1154</f>
        <v>27500</v>
      </c>
      <c r="L1150" s="14" t="str">
        <f>equip.xml!M1154</f>
        <v>108_1726_1726</v>
      </c>
      <c r="M1150" s="17" t="str">
        <f>equip.xml!Q1154</f>
        <v>equipment/10009.png</v>
      </c>
      <c r="N1150" s="16" t="str">
        <f>equip.xml!P1154</f>
        <v>10000_1002_50000,30000_30001_1,30000_30002_1,30000_30003_1</v>
      </c>
      <c r="O1150">
        <f>equip.xml!R1154</f>
        <v>0</v>
      </c>
    </row>
    <row r="1151" spans="1:15">
      <c r="A1151" s="14" t="str">
        <f>equip.xml!A1155</f>
        <v>30500100</v>
      </c>
      <c r="B1151" s="14">
        <f>equip.xml!B1155</f>
        <v>1</v>
      </c>
      <c r="C1151" s="14" t="str">
        <f>equip.xml!C1155</f>
        <v>誓言护坠</v>
      </c>
      <c r="D1151" s="14" t="str">
        <f>equip.xml!D1155</f>
        <v>项链</v>
      </c>
      <c r="E1151" s="14">
        <f>equip.xml!E1155</f>
        <v>10</v>
      </c>
      <c r="F1151" s="14">
        <f>equip.xml!F1155</f>
        <v>3</v>
      </c>
      <c r="G1151" s="14">
        <f>equip.xml!G1155</f>
        <v>50</v>
      </c>
      <c r="H1151" s="14">
        <f>equip.xml!H1155</f>
        <v>0</v>
      </c>
      <c r="I1151" s="14">
        <f>equip.xml!J1155</f>
        <v>20</v>
      </c>
      <c r="J1151" s="14">
        <f>equip.xml!K1155</f>
        <v>0</v>
      </c>
      <c r="K1151" s="14">
        <f>equip.xml!L1155</f>
        <v>27500</v>
      </c>
      <c r="L1151" s="14" t="str">
        <f>equip.xml!M1155</f>
        <v>107_1000_1000</v>
      </c>
      <c r="M1151" s="17" t="str">
        <f>equip.xml!Q1155</f>
        <v>equipment/12008.png</v>
      </c>
      <c r="N1151" s="16" t="str">
        <f>equip.xml!P1155</f>
        <v>10000_1002_50000,30000_30001_1,30000_30002_1,30000_30003_1</v>
      </c>
      <c r="O1151">
        <f>equip.xml!R1155</f>
        <v>0</v>
      </c>
    </row>
    <row r="1152" spans="1:15">
      <c r="A1152" s="14" t="str">
        <f>equip.xml!A1156</f>
        <v>30501050</v>
      </c>
      <c r="B1152" s="14">
        <f>equip.xml!B1156</f>
        <v>1</v>
      </c>
      <c r="C1152" s="14" t="str">
        <f>equip.xml!C1156</f>
        <v>黎明之刃</v>
      </c>
      <c r="D1152" s="14" t="str">
        <f>equip.xml!D1156</f>
        <v>主手武器</v>
      </c>
      <c r="E1152" s="14">
        <f>equip.xml!E1156</f>
        <v>5</v>
      </c>
      <c r="F1152" s="14">
        <f>equip.xml!F1156</f>
        <v>3</v>
      </c>
      <c r="G1152" s="14">
        <f>equip.xml!G1156</f>
        <v>50</v>
      </c>
      <c r="H1152" s="14" t="str">
        <f>equip.xml!H1156</f>
        <v>1,1001</v>
      </c>
      <c r="I1152" s="14">
        <f>equip.xml!J1156</f>
        <v>20</v>
      </c>
      <c r="J1152" s="14">
        <f>equip.xml!K1156</f>
        <v>0</v>
      </c>
      <c r="K1152" s="14">
        <f>equip.xml!L1156</f>
        <v>27500</v>
      </c>
      <c r="L1152" s="14" t="str">
        <f>equip.xml!M1156</f>
        <v>103_1097_1097,104_2194_2194</v>
      </c>
      <c r="M1152" s="17" t="str">
        <f>equip.xml!Q1156</f>
        <v>equipment/1119.png</v>
      </c>
      <c r="N1152" s="16" t="str">
        <f>equip.xml!P1156</f>
        <v>10000_1002_50000,30000_30001_1,30000_30002_1,30000_30003_1</v>
      </c>
      <c r="O1152">
        <f>equip.xml!R1156</f>
        <v>0</v>
      </c>
    </row>
    <row r="1153" spans="1:15">
      <c r="A1153" s="14" t="str">
        <f>equip.xml!A1157</f>
        <v>30501051</v>
      </c>
      <c r="B1153" s="14">
        <f>equip.xml!B1157</f>
        <v>1</v>
      </c>
      <c r="C1153" s="14" t="str">
        <f>equip.xml!C1157</f>
        <v>放逐者之刃</v>
      </c>
      <c r="D1153" s="14" t="str">
        <f>equip.xml!D1157</f>
        <v>主手武器</v>
      </c>
      <c r="E1153" s="14">
        <f>equip.xml!E1157</f>
        <v>5</v>
      </c>
      <c r="F1153" s="14">
        <f>equip.xml!F1157</f>
        <v>3</v>
      </c>
      <c r="G1153" s="14">
        <f>equip.xml!G1157</f>
        <v>50</v>
      </c>
      <c r="H1153" s="14" t="str">
        <f>equip.xml!H1157</f>
        <v>1,1001</v>
      </c>
      <c r="I1153" s="14">
        <f>equip.xml!J1157</f>
        <v>20</v>
      </c>
      <c r="J1153" s="14">
        <f>equip.xml!K1157</f>
        <v>0</v>
      </c>
      <c r="K1153" s="14">
        <f>equip.xml!L1157</f>
        <v>30000</v>
      </c>
      <c r="L1153" s="14" t="str">
        <f>equip.xml!M1157</f>
        <v>103_1222_1222,104_2444_2444</v>
      </c>
      <c r="M1153" s="17" t="str">
        <f>equip.xml!Q1157</f>
        <v>equipment/1120.png</v>
      </c>
      <c r="N1153" s="16" t="str">
        <f>equip.xml!P1157</f>
        <v>10000_1002_50000,30000_30001_1,30000_30002_1,30000_30003_1</v>
      </c>
      <c r="O1153">
        <f>equip.xml!R1157</f>
        <v>0</v>
      </c>
    </row>
    <row r="1154" spans="1:15">
      <c r="A1154" s="14" t="str">
        <f>equip.xml!A1158</f>
        <v>30501060</v>
      </c>
      <c r="B1154" s="14">
        <f>equip.xml!B1158</f>
        <v>1</v>
      </c>
      <c r="C1154" s="14" t="str">
        <f>equip.xml!C1158</f>
        <v>魂祭之盾</v>
      </c>
      <c r="D1154" s="14" t="str">
        <f>equip.xml!D1158</f>
        <v>副手武器</v>
      </c>
      <c r="E1154" s="14">
        <f>equip.xml!E1158</f>
        <v>6</v>
      </c>
      <c r="F1154" s="14">
        <f>equip.xml!F1158</f>
        <v>3</v>
      </c>
      <c r="G1154" s="14">
        <f>equip.xml!G1158</f>
        <v>50</v>
      </c>
      <c r="H1154" s="14" t="str">
        <f>equip.xml!H1158</f>
        <v>1,1001</v>
      </c>
      <c r="I1154" s="14">
        <f>equip.xml!J1158</f>
        <v>20</v>
      </c>
      <c r="J1154" s="14">
        <f>equip.xml!K1158</f>
        <v>0</v>
      </c>
      <c r="K1154" s="14">
        <f>equip.xml!L1158</f>
        <v>27500</v>
      </c>
      <c r="L1154" s="14" t="str">
        <f>equip.xml!M1158</f>
        <v>105_1401_1401</v>
      </c>
      <c r="M1154" s="17" t="str">
        <f>equip.xml!Q1158</f>
        <v>equipment/2111.png</v>
      </c>
      <c r="N1154" s="16" t="str">
        <f>equip.xml!P1158</f>
        <v>10000_1002_50000,30000_30001_1,30000_30002_1,30000_30003_1</v>
      </c>
      <c r="O1154">
        <f>equip.xml!R1158</f>
        <v>0</v>
      </c>
    </row>
    <row r="1155" spans="1:15">
      <c r="A1155" s="14" t="str">
        <f>equip.xml!A1159</f>
        <v>30501061</v>
      </c>
      <c r="B1155" s="14">
        <f>equip.xml!B1159</f>
        <v>1</v>
      </c>
      <c r="C1155" s="14" t="str">
        <f>equip.xml!C1159</f>
        <v>氪金大盾</v>
      </c>
      <c r="D1155" s="14" t="str">
        <f>equip.xml!D1159</f>
        <v>副手武器</v>
      </c>
      <c r="E1155" s="14">
        <f>equip.xml!E1159</f>
        <v>6</v>
      </c>
      <c r="F1155" s="14">
        <f>equip.xml!F1159</f>
        <v>3</v>
      </c>
      <c r="G1155" s="14">
        <f>equip.xml!G1159</f>
        <v>50</v>
      </c>
      <c r="H1155" s="14" t="str">
        <f>equip.xml!H1159</f>
        <v>1,1001</v>
      </c>
      <c r="I1155" s="14">
        <f>equip.xml!J1159</f>
        <v>20</v>
      </c>
      <c r="J1155" s="14">
        <f>equip.xml!K1159</f>
        <v>0</v>
      </c>
      <c r="K1155" s="14">
        <f>equip.xml!L1159</f>
        <v>30000</v>
      </c>
      <c r="L1155" s="14" t="str">
        <f>equip.xml!M1159</f>
        <v>105_1633_1633</v>
      </c>
      <c r="M1155" s="17" t="str">
        <f>equip.xml!Q1159</f>
        <v>equipment/2112.png</v>
      </c>
      <c r="N1155" s="16" t="str">
        <f>equip.xml!P1159</f>
        <v>10000_1002_50000,30000_30001_1,30000_30002_1,30000_30003_1</v>
      </c>
      <c r="O1155">
        <f>equip.xml!R1159</f>
        <v>0</v>
      </c>
    </row>
    <row r="1156" spans="1:15">
      <c r="A1156" s="14" t="str">
        <f>equip.xml!A1160</f>
        <v>30502050</v>
      </c>
      <c r="B1156" s="14">
        <f>equip.xml!B1160</f>
        <v>1</v>
      </c>
      <c r="C1156" s="14" t="str">
        <f>equip.xml!C1160</f>
        <v>觅心者长弓</v>
      </c>
      <c r="D1156" s="14" t="str">
        <f>equip.xml!D1160</f>
        <v>主手武器</v>
      </c>
      <c r="E1156" s="14">
        <f>equip.xml!E1160</f>
        <v>5</v>
      </c>
      <c r="F1156" s="14">
        <f>equip.xml!F1160</f>
        <v>3</v>
      </c>
      <c r="G1156" s="14">
        <f>equip.xml!G1160</f>
        <v>50</v>
      </c>
      <c r="H1156" s="14" t="str">
        <f>equip.xml!H1160</f>
        <v>2,1002</v>
      </c>
      <c r="I1156" s="14">
        <f>equip.xml!J1160</f>
        <v>20</v>
      </c>
      <c r="J1156" s="14">
        <f>equip.xml!K1160</f>
        <v>0</v>
      </c>
      <c r="K1156" s="14">
        <f>equip.xml!L1160</f>
        <v>27500</v>
      </c>
      <c r="L1156" s="14" t="str">
        <f>equip.xml!M1160</f>
        <v>103_1097_1097,104_2194_2194</v>
      </c>
      <c r="M1156" s="17" t="str">
        <f>equip.xml!Q1160</f>
        <v>equipment/1218.png</v>
      </c>
      <c r="N1156" s="16" t="str">
        <f>equip.xml!P1160</f>
        <v>10000_1002_50000,30000_30001_1,30000_30002_1,30000_30003_1</v>
      </c>
      <c r="O1156">
        <f>equip.xml!R1160</f>
        <v>0</v>
      </c>
    </row>
    <row r="1157" spans="1:15">
      <c r="A1157" s="14" t="str">
        <f>equip.xml!A1161</f>
        <v>30502051</v>
      </c>
      <c r="B1157" s="14">
        <f>equip.xml!B1161</f>
        <v>1</v>
      </c>
      <c r="C1157" s="14" t="str">
        <f>equip.xml!C1161</f>
        <v>阳炎之弓</v>
      </c>
      <c r="D1157" s="14" t="str">
        <f>equip.xml!D1161</f>
        <v>主手武器</v>
      </c>
      <c r="E1157" s="14">
        <f>equip.xml!E1161</f>
        <v>5</v>
      </c>
      <c r="F1157" s="14">
        <f>equip.xml!F1161</f>
        <v>3</v>
      </c>
      <c r="G1157" s="14">
        <f>equip.xml!G1161</f>
        <v>50</v>
      </c>
      <c r="H1157" s="14" t="str">
        <f>equip.xml!H1161</f>
        <v>2,1002</v>
      </c>
      <c r="I1157" s="14">
        <f>equip.xml!J1161</f>
        <v>20</v>
      </c>
      <c r="J1157" s="14">
        <f>equip.xml!K1161</f>
        <v>0</v>
      </c>
      <c r="K1157" s="14">
        <f>equip.xml!L1161</f>
        <v>30000</v>
      </c>
      <c r="L1157" s="14" t="str">
        <f>equip.xml!M1161</f>
        <v>103_1222_1222,104_2444_2444</v>
      </c>
      <c r="M1157" s="17" t="str">
        <f>equip.xml!Q1161</f>
        <v>equipment/1221.png</v>
      </c>
      <c r="N1157" s="16" t="str">
        <f>equip.xml!P1161</f>
        <v>10000_1002_50000,30000_30001_1,30000_30002_1,30000_30003_1</v>
      </c>
      <c r="O1157">
        <f>equip.xml!R1161</f>
        <v>0</v>
      </c>
    </row>
    <row r="1158" spans="1:15">
      <c r="A1158" s="14" t="str">
        <f>equip.xml!A1162</f>
        <v>30502060</v>
      </c>
      <c r="B1158" s="14">
        <f>equip.xml!B1162</f>
        <v>1</v>
      </c>
      <c r="C1158" s="14" t="str">
        <f>equip.xml!C1162</f>
        <v>黑骨箭袋</v>
      </c>
      <c r="D1158" s="14" t="str">
        <f>equip.xml!D1162</f>
        <v>副手武器</v>
      </c>
      <c r="E1158" s="14">
        <f>equip.xml!E1162</f>
        <v>6</v>
      </c>
      <c r="F1158" s="14">
        <f>equip.xml!F1162</f>
        <v>3</v>
      </c>
      <c r="G1158" s="14">
        <f>equip.xml!G1162</f>
        <v>50</v>
      </c>
      <c r="H1158" s="14" t="str">
        <f>equip.xml!H1162</f>
        <v>2,1002</v>
      </c>
      <c r="I1158" s="14">
        <f>equip.xml!J1162</f>
        <v>20</v>
      </c>
      <c r="J1158" s="14">
        <f>equip.xml!K1162</f>
        <v>0</v>
      </c>
      <c r="K1158" s="14">
        <f>equip.xml!L1162</f>
        <v>27500</v>
      </c>
      <c r="L1158" s="14" t="str">
        <f>equip.xml!M1162</f>
        <v>108_1401_1401</v>
      </c>
      <c r="M1158" s="17" t="str">
        <f>equip.xml!Q1162</f>
        <v>equipment/2210.png</v>
      </c>
      <c r="N1158" s="16" t="str">
        <f>equip.xml!P1162</f>
        <v>10000_1002_50000,30000_30001_1,30000_30002_1,30000_30003_1</v>
      </c>
      <c r="O1158">
        <f>equip.xml!R1162</f>
        <v>0</v>
      </c>
    </row>
    <row r="1159" spans="1:15">
      <c r="A1159" s="14" t="str">
        <f>equip.xml!A1163</f>
        <v>30502061</v>
      </c>
      <c r="B1159" s="14">
        <f>equip.xml!B1163</f>
        <v>1</v>
      </c>
      <c r="C1159" s="14" t="str">
        <f>equip.xml!C1163</f>
        <v>符文箭筒</v>
      </c>
      <c r="D1159" s="14" t="str">
        <f>equip.xml!D1163</f>
        <v>副手武器</v>
      </c>
      <c r="E1159" s="14">
        <f>equip.xml!E1163</f>
        <v>6</v>
      </c>
      <c r="F1159" s="14">
        <f>equip.xml!F1163</f>
        <v>3</v>
      </c>
      <c r="G1159" s="14">
        <f>equip.xml!G1163</f>
        <v>50</v>
      </c>
      <c r="H1159" s="14" t="str">
        <f>equip.xml!H1163</f>
        <v>2,1002</v>
      </c>
      <c r="I1159" s="14">
        <f>equip.xml!J1163</f>
        <v>20</v>
      </c>
      <c r="J1159" s="14">
        <f>equip.xml!K1163</f>
        <v>0</v>
      </c>
      <c r="K1159" s="14">
        <f>equip.xml!L1163</f>
        <v>30000</v>
      </c>
      <c r="L1159" s="14" t="str">
        <f>equip.xml!M1163</f>
        <v>108_1633_1633</v>
      </c>
      <c r="M1159" s="17" t="str">
        <f>equip.xml!Q1163</f>
        <v>equipment/2212.png</v>
      </c>
      <c r="N1159" s="16" t="str">
        <f>equip.xml!P1163</f>
        <v>10000_1002_50000,30000_30001_1,30000_30002_1,30000_30003_1</v>
      </c>
      <c r="O1159">
        <f>equip.xml!R1163</f>
        <v>0</v>
      </c>
    </row>
    <row r="1160" spans="1:15">
      <c r="A1160" s="14" t="str">
        <f>equip.xml!A1164</f>
        <v>30503050</v>
      </c>
      <c r="B1160" s="14">
        <f>equip.xml!B1164</f>
        <v>1</v>
      </c>
      <c r="C1160" s="14" t="str">
        <f>equip.xml!C1164</f>
        <v>虚灵法杖</v>
      </c>
      <c r="D1160" s="14" t="str">
        <f>equip.xml!D1164</f>
        <v>主手武器</v>
      </c>
      <c r="E1160" s="14">
        <f>equip.xml!E1164</f>
        <v>5</v>
      </c>
      <c r="F1160" s="14">
        <f>equip.xml!F1164</f>
        <v>3</v>
      </c>
      <c r="G1160" s="14">
        <f>equip.xml!G1164</f>
        <v>50</v>
      </c>
      <c r="H1160" s="14" t="str">
        <f>equip.xml!H1164</f>
        <v>3,1003</v>
      </c>
      <c r="I1160" s="14">
        <f>equip.xml!J1164</f>
        <v>20</v>
      </c>
      <c r="J1160" s="14">
        <f>equip.xml!K1164</f>
        <v>0</v>
      </c>
      <c r="K1160" s="14">
        <f>equip.xml!L1164</f>
        <v>27500</v>
      </c>
      <c r="L1160" s="14" t="str">
        <f>equip.xml!M1164</f>
        <v>103_1097_1097,104_2194_2194</v>
      </c>
      <c r="M1160" s="17" t="str">
        <f>equip.xml!Q1164</f>
        <v>equipment/1319.png</v>
      </c>
      <c r="N1160" s="16" t="str">
        <f>equip.xml!P1164</f>
        <v>10000_1002_50000,30000_30001_1,30000_30002_1,30000_30003_1</v>
      </c>
      <c r="O1160">
        <f>equip.xml!R1164</f>
        <v>0</v>
      </c>
    </row>
    <row r="1161" spans="1:15">
      <c r="A1161" s="14" t="str">
        <f>equip.xml!A1165</f>
        <v>30503051</v>
      </c>
      <c r="B1161" s="14">
        <f>equip.xml!B1165</f>
        <v>1</v>
      </c>
      <c r="C1161" s="14" t="str">
        <f>equip.xml!C1165</f>
        <v>恒光巨杖</v>
      </c>
      <c r="D1161" s="14" t="str">
        <f>equip.xml!D1165</f>
        <v>主手武器</v>
      </c>
      <c r="E1161" s="14">
        <f>equip.xml!E1165</f>
        <v>5</v>
      </c>
      <c r="F1161" s="14">
        <f>equip.xml!F1165</f>
        <v>3</v>
      </c>
      <c r="G1161" s="14">
        <f>equip.xml!G1165</f>
        <v>50</v>
      </c>
      <c r="H1161" s="14" t="str">
        <f>equip.xml!H1165</f>
        <v>3,1003</v>
      </c>
      <c r="I1161" s="14">
        <f>equip.xml!J1165</f>
        <v>20</v>
      </c>
      <c r="J1161" s="14">
        <f>equip.xml!K1165</f>
        <v>0</v>
      </c>
      <c r="K1161" s="14">
        <f>equip.xml!L1165</f>
        <v>30000</v>
      </c>
      <c r="L1161" s="14" t="str">
        <f>equip.xml!M1165</f>
        <v>103_1222_1222,104_2444_2444</v>
      </c>
      <c r="M1161" s="17" t="str">
        <f>equip.xml!Q1165</f>
        <v>equipment/1320.png</v>
      </c>
      <c r="N1161" s="16" t="str">
        <f>equip.xml!P1165</f>
        <v>10000_1002_50000,30000_30001_1,30000_30002_1,30000_30003_1</v>
      </c>
      <c r="O1161">
        <f>equip.xml!R1165</f>
        <v>0</v>
      </c>
    </row>
    <row r="1162" spans="1:15">
      <c r="A1162" s="14" t="str">
        <f>equip.xml!A1166</f>
        <v>30503060</v>
      </c>
      <c r="B1162" s="14">
        <f>equip.xml!B1166</f>
        <v>1</v>
      </c>
      <c r="C1162" s="14" t="str">
        <f>equip.xml!C1166</f>
        <v>幻术之书</v>
      </c>
      <c r="D1162" s="14" t="str">
        <f>equip.xml!D1166</f>
        <v>副手武器</v>
      </c>
      <c r="E1162" s="14">
        <f>equip.xml!E1166</f>
        <v>6</v>
      </c>
      <c r="F1162" s="14">
        <f>equip.xml!F1166</f>
        <v>3</v>
      </c>
      <c r="G1162" s="14">
        <f>equip.xml!G1166</f>
        <v>50</v>
      </c>
      <c r="H1162" s="14" t="str">
        <f>equip.xml!H1166</f>
        <v>3,1003</v>
      </c>
      <c r="I1162" s="14">
        <f>equip.xml!J1166</f>
        <v>20</v>
      </c>
      <c r="J1162" s="14">
        <f>equip.xml!K1166</f>
        <v>0</v>
      </c>
      <c r="K1162" s="14">
        <f>equip.xml!L1166</f>
        <v>27500</v>
      </c>
      <c r="L1162" s="14" t="str">
        <f>equip.xml!M1166</f>
        <v>102_1440_1440</v>
      </c>
      <c r="M1162" s="17" t="str">
        <f>equip.xml!Q1166</f>
        <v>equipment/2311.png</v>
      </c>
      <c r="N1162" s="16" t="str">
        <f>equip.xml!P1166</f>
        <v>10000_1002_50000,30000_30001_1,30000_30002_1,30000_30003_1</v>
      </c>
      <c r="O1162">
        <f>equip.xml!R1166</f>
        <v>0</v>
      </c>
    </row>
    <row r="1163" spans="1:15">
      <c r="A1163" s="14" t="str">
        <f>equip.xml!A1167</f>
        <v>30503061</v>
      </c>
      <c r="B1163" s="14">
        <f>equip.xml!B1167</f>
        <v>1</v>
      </c>
      <c r="C1163" s="14" t="str">
        <f>equip.xml!C1167</f>
        <v>护咒之书</v>
      </c>
      <c r="D1163" s="14" t="str">
        <f>equip.xml!D1167</f>
        <v>副手武器</v>
      </c>
      <c r="E1163" s="14">
        <f>equip.xml!E1167</f>
        <v>6</v>
      </c>
      <c r="F1163" s="14">
        <f>equip.xml!F1167</f>
        <v>3</v>
      </c>
      <c r="G1163" s="14">
        <f>equip.xml!G1167</f>
        <v>50</v>
      </c>
      <c r="H1163" s="14" t="str">
        <f>equip.xml!H1167</f>
        <v>3,1003</v>
      </c>
      <c r="I1163" s="14">
        <f>equip.xml!J1167</f>
        <v>20</v>
      </c>
      <c r="J1163" s="14">
        <f>equip.xml!K1167</f>
        <v>0</v>
      </c>
      <c r="K1163" s="14">
        <f>equip.xml!L1167</f>
        <v>30000</v>
      </c>
      <c r="L1163" s="14" t="str">
        <f>equip.xml!M1167</f>
        <v>102_1633_1633</v>
      </c>
      <c r="M1163" s="17" t="str">
        <f>equip.xml!Q1167</f>
        <v>equipment/2312.png</v>
      </c>
      <c r="N1163" s="16" t="str">
        <f>equip.xml!P1167</f>
        <v>10000_1002_50000,30000_30001_1,30000_30002_1,30000_30003_1</v>
      </c>
      <c r="O1163">
        <f>equip.xml!R1167</f>
        <v>0</v>
      </c>
    </row>
    <row r="1164" spans="1:15">
      <c r="A1164" s="14" t="str">
        <f>equip.xml!A1168</f>
        <v>30500040</v>
      </c>
      <c r="B1164" s="14">
        <f>equip.xml!B1168</f>
        <v>1</v>
      </c>
      <c r="C1164" s="14" t="str">
        <f>equip.xml!C1168</f>
        <v>皇家护胸</v>
      </c>
      <c r="D1164" s="14" t="str">
        <f>equip.xml!D1168</f>
        <v>胸甲</v>
      </c>
      <c r="E1164" s="14">
        <f>equip.xml!E1168</f>
        <v>4</v>
      </c>
      <c r="F1164" s="14">
        <f>equip.xml!F1168</f>
        <v>3</v>
      </c>
      <c r="G1164" s="14">
        <f>equip.xml!G1168</f>
        <v>50</v>
      </c>
      <c r="H1164" s="14">
        <f>equip.xml!H1168</f>
        <v>0</v>
      </c>
      <c r="I1164" s="14">
        <f>equip.xml!J1168</f>
        <v>20</v>
      </c>
      <c r="J1164" s="14">
        <f>equip.xml!K1168</f>
        <v>0</v>
      </c>
      <c r="K1164" s="14">
        <f>equip.xml!L1168</f>
        <v>27500</v>
      </c>
      <c r="L1164" s="14" t="str">
        <f>equip.xml!M1168</f>
        <v>105_780_780</v>
      </c>
      <c r="M1164" s="17" t="str">
        <f>equip.xml!Q1168</f>
        <v>equipment/5003.png</v>
      </c>
      <c r="N1164" s="16" t="str">
        <f>equip.xml!P1168</f>
        <v>10000_1002_50000,30000_30001_1,30000_30002_1,30000_30003_1</v>
      </c>
      <c r="O1164">
        <f>equip.xml!R1168</f>
        <v>0</v>
      </c>
    </row>
    <row r="1165" spans="1:15">
      <c r="A1165" s="14" t="str">
        <f>equip.xml!A1169</f>
        <v>30500041</v>
      </c>
      <c r="B1165" s="14">
        <f>equip.xml!B1169</f>
        <v>0</v>
      </c>
      <c r="C1165" s="14" t="str">
        <f>equip.xml!C1169</f>
        <v>新兵外套</v>
      </c>
      <c r="D1165" s="14" t="str">
        <f>equip.xml!D1169</f>
        <v>胸甲</v>
      </c>
      <c r="E1165" s="14">
        <f>equip.xml!E1169</f>
        <v>4</v>
      </c>
      <c r="F1165" s="14">
        <f>equip.xml!F1169</f>
        <v>3</v>
      </c>
      <c r="G1165" s="14">
        <f>equip.xml!G1169</f>
        <v>50</v>
      </c>
      <c r="H1165" s="14">
        <f>equip.xml!H1169</f>
        <v>0</v>
      </c>
      <c r="I1165" s="14">
        <f>equip.xml!J1169</f>
        <v>20</v>
      </c>
      <c r="J1165" s="14">
        <f>equip.xml!K1169</f>
        <v>0</v>
      </c>
      <c r="K1165" s="14">
        <f>equip.xml!L1169</f>
        <v>30000</v>
      </c>
      <c r="L1165" s="14" t="str">
        <f>equip.xml!M1169</f>
        <v>105_929_929</v>
      </c>
      <c r="M1165" s="17" t="str">
        <f>equip.xml!Q1169</f>
        <v>equipment/5001.png</v>
      </c>
      <c r="N1165" s="16" t="str">
        <f>equip.xml!P1169</f>
        <v>10000_1002_50000,30000_30001_1,30000_30002_1,30000_30003_1</v>
      </c>
      <c r="O1165">
        <f>equip.xml!R1169</f>
        <v>0</v>
      </c>
    </row>
    <row r="1166" spans="1:15">
      <c r="A1166" s="14" t="str">
        <f>equip.xml!A1170</f>
        <v>30500070</v>
      </c>
      <c r="B1166" s="14">
        <f>equip.xml!B1170</f>
        <v>1</v>
      </c>
      <c r="C1166" s="14" t="str">
        <f>equip.xml!C1170</f>
        <v>凯旋腿甲</v>
      </c>
      <c r="D1166" s="14" t="str">
        <f>equip.xml!D1170</f>
        <v>护腿</v>
      </c>
      <c r="E1166" s="14">
        <f>equip.xml!E1170</f>
        <v>7</v>
      </c>
      <c r="F1166" s="14">
        <f>equip.xml!F1170</f>
        <v>3</v>
      </c>
      <c r="G1166" s="14">
        <f>equip.xml!G1170</f>
        <v>50</v>
      </c>
      <c r="H1166" s="14">
        <f>equip.xml!H1170</f>
        <v>0</v>
      </c>
      <c r="I1166" s="14">
        <f>equip.xml!J1170</f>
        <v>20</v>
      </c>
      <c r="J1166" s="14">
        <f>equip.xml!K1170</f>
        <v>0</v>
      </c>
      <c r="K1166" s="14">
        <f>equip.xml!L1170</f>
        <v>27500</v>
      </c>
      <c r="L1166" s="14" t="str">
        <f>equip.xml!M1170</f>
        <v>105_628_628</v>
      </c>
      <c r="M1166" s="17" t="str">
        <f>equip.xml!Q1170</f>
        <v>equipment/7012.png</v>
      </c>
      <c r="N1166" s="16" t="str">
        <f>equip.xml!P1170</f>
        <v>10000_1002_50000,30000_30001_1,30000_30002_1,30000_30003_1</v>
      </c>
      <c r="O1166">
        <f>equip.xml!R1170</f>
        <v>0</v>
      </c>
    </row>
    <row r="1167" spans="1:15">
      <c r="A1167" s="14" t="str">
        <f>equip.xml!A1171</f>
        <v>30500071</v>
      </c>
      <c r="B1167" s="14">
        <f>equip.xml!B1171</f>
        <v>0</v>
      </c>
      <c r="C1167" s="14" t="str">
        <f>equip.xml!C1171</f>
        <v>学徒短裤</v>
      </c>
      <c r="D1167" s="14" t="str">
        <f>equip.xml!D1171</f>
        <v>护腿</v>
      </c>
      <c r="E1167" s="14">
        <f>equip.xml!E1171</f>
        <v>7</v>
      </c>
      <c r="F1167" s="14">
        <f>equip.xml!F1171</f>
        <v>3</v>
      </c>
      <c r="G1167" s="14">
        <f>equip.xml!G1171</f>
        <v>50</v>
      </c>
      <c r="H1167" s="14">
        <f>equip.xml!H1171</f>
        <v>0</v>
      </c>
      <c r="I1167" s="14">
        <f>equip.xml!J1171</f>
        <v>20</v>
      </c>
      <c r="J1167" s="14">
        <f>equip.xml!K1171</f>
        <v>0</v>
      </c>
      <c r="K1167" s="14">
        <f>equip.xml!L1171</f>
        <v>30000</v>
      </c>
      <c r="L1167" s="14" t="str">
        <f>equip.xml!M1171</f>
        <v>105_689_689</v>
      </c>
      <c r="M1167" s="17" t="str">
        <f>equip.xml!Q1171</f>
        <v>equipment/7001.png</v>
      </c>
      <c r="N1167" s="16" t="str">
        <f>equip.xml!P1171</f>
        <v>10000_1002_50000,30000_30001_1,30000_30002_1,30000_30003_1</v>
      </c>
      <c r="O1167">
        <f>equip.xml!R1171</f>
        <v>0</v>
      </c>
    </row>
    <row r="1168" spans="1:15">
      <c r="A1168" s="14" t="str">
        <f>equip.xml!A1172</f>
        <v>30550010</v>
      </c>
      <c r="B1168" s="14">
        <f>equip.xml!B1172</f>
        <v>1</v>
      </c>
      <c r="C1168" s="14" t="str">
        <f>equip.xml!C1172</f>
        <v>银月头盔</v>
      </c>
      <c r="D1168" s="14" t="str">
        <f>equip.xml!D1172</f>
        <v>头盔</v>
      </c>
      <c r="E1168" s="14">
        <f>equip.xml!E1172</f>
        <v>1</v>
      </c>
      <c r="F1168" s="14">
        <f>equip.xml!F1172</f>
        <v>3</v>
      </c>
      <c r="G1168" s="14">
        <f>equip.xml!G1172</f>
        <v>55</v>
      </c>
      <c r="H1168" s="14">
        <f>equip.xml!H1172</f>
        <v>0</v>
      </c>
      <c r="I1168" s="14">
        <f>equip.xml!J1172</f>
        <v>20</v>
      </c>
      <c r="J1168" s="14">
        <f>equip.xml!K1172</f>
        <v>0</v>
      </c>
      <c r="K1168" s="14">
        <f>equip.xml!L1172</f>
        <v>30000</v>
      </c>
      <c r="L1168" s="14" t="str">
        <f>equip.xml!M1172</f>
        <v>106_1291_1291</v>
      </c>
      <c r="M1168" s="17" t="str">
        <f>equip.xml!Q1172</f>
        <v>equipment/3009.png</v>
      </c>
      <c r="N1168" s="16" t="str">
        <f>equip.xml!P1172</f>
        <v>10000_1002_55000,30000_30001_1,30000_30002_1,30000_30003_1</v>
      </c>
      <c r="O1168">
        <f>equip.xml!R1172</f>
        <v>0</v>
      </c>
    </row>
    <row r="1169" spans="1:15">
      <c r="A1169" s="14" t="str">
        <f>equip.xml!A1173</f>
        <v>30550020</v>
      </c>
      <c r="B1169" s="14">
        <f>equip.xml!B1173</f>
        <v>1</v>
      </c>
      <c r="C1169" s="14" t="str">
        <f>equip.xml!C1173</f>
        <v>镇魂之戒</v>
      </c>
      <c r="D1169" s="14" t="str">
        <f>equip.xml!D1173</f>
        <v>戒指</v>
      </c>
      <c r="E1169" s="14">
        <f>equip.xml!E1173</f>
        <v>2</v>
      </c>
      <c r="F1169" s="14">
        <f>equip.xml!F1173</f>
        <v>3</v>
      </c>
      <c r="G1169" s="14">
        <f>equip.xml!G1173</f>
        <v>55</v>
      </c>
      <c r="H1169" s="14">
        <f>equip.xml!H1173</f>
        <v>0</v>
      </c>
      <c r="I1169" s="14">
        <f>equip.xml!J1173</f>
        <v>20</v>
      </c>
      <c r="J1169" s="14">
        <f>equip.xml!K1173</f>
        <v>0</v>
      </c>
      <c r="K1169" s="14">
        <f>equip.xml!L1173</f>
        <v>30000</v>
      </c>
      <c r="L1169" s="14" t="str">
        <f>equip.xml!M1173</f>
        <v>102_1080_1080</v>
      </c>
      <c r="M1169" s="17" t="str">
        <f>equip.xml!Q1173</f>
        <v>equipment/14009.png</v>
      </c>
      <c r="N1169" s="16" t="str">
        <f>equip.xml!P1173</f>
        <v>10000_1002_55000,30000_30001_1,30000_30002_1,30000_30003_1</v>
      </c>
      <c r="O1169">
        <f>equip.xml!R1173</f>
        <v>0</v>
      </c>
    </row>
    <row r="1170" spans="1:15">
      <c r="A1170" s="14" t="str">
        <f>equip.xml!A1174</f>
        <v>30550030</v>
      </c>
      <c r="B1170" s="14">
        <f>equip.xml!B1174</f>
        <v>1</v>
      </c>
      <c r="C1170" s="14" t="str">
        <f>equip.xml!C1174</f>
        <v>魔鳞腰带</v>
      </c>
      <c r="D1170" s="14" t="str">
        <f>equip.xml!D1174</f>
        <v>腰带</v>
      </c>
      <c r="E1170" s="14">
        <f>equip.xml!E1174</f>
        <v>3</v>
      </c>
      <c r="F1170" s="14">
        <f>equip.xml!F1174</f>
        <v>3</v>
      </c>
      <c r="G1170" s="14">
        <f>equip.xml!G1174</f>
        <v>55</v>
      </c>
      <c r="H1170" s="14">
        <f>equip.xml!H1174</f>
        <v>0</v>
      </c>
      <c r="I1170" s="14">
        <f>equip.xml!J1174</f>
        <v>20</v>
      </c>
      <c r="J1170" s="14">
        <f>equip.xml!K1174</f>
        <v>0</v>
      </c>
      <c r="K1170" s="14">
        <f>equip.xml!L1174</f>
        <v>30000</v>
      </c>
      <c r="L1170" s="14" t="str">
        <f>equip.xml!M1174</f>
        <v>101_12800_12800</v>
      </c>
      <c r="M1170" s="17" t="str">
        <f>equip.xml!Q1174</f>
        <v>equipment/6004.png</v>
      </c>
      <c r="N1170" s="16" t="str">
        <f>equip.xml!P1174</f>
        <v>10000_1002_55000,30000_30001_1,30000_30002_1,30000_30003_1</v>
      </c>
      <c r="O1170">
        <f>equip.xml!R1174</f>
        <v>0</v>
      </c>
    </row>
    <row r="1171" spans="1:15">
      <c r="A1171" s="14" t="str">
        <f>equip.xml!A1175</f>
        <v>30550080</v>
      </c>
      <c r="B1171" s="14">
        <f>equip.xml!B1175</f>
        <v>1</v>
      </c>
      <c r="C1171" s="14" t="str">
        <f>equip.xml!C1175</f>
        <v>天行者之靴</v>
      </c>
      <c r="D1171" s="14" t="str">
        <f>equip.xml!D1175</f>
        <v>鞋子</v>
      </c>
      <c r="E1171" s="14">
        <f>equip.xml!E1175</f>
        <v>8</v>
      </c>
      <c r="F1171" s="14">
        <f>equip.xml!F1175</f>
        <v>3</v>
      </c>
      <c r="G1171" s="14">
        <f>equip.xml!G1175</f>
        <v>55</v>
      </c>
      <c r="H1171" s="14">
        <f>equip.xml!H1175</f>
        <v>0</v>
      </c>
      <c r="I1171" s="14">
        <f>equip.xml!J1175</f>
        <v>20</v>
      </c>
      <c r="J1171" s="14">
        <f>equip.xml!K1175</f>
        <v>0</v>
      </c>
      <c r="K1171" s="14">
        <f>equip.xml!L1175</f>
        <v>30000</v>
      </c>
      <c r="L1171" s="14" t="str">
        <f>equip.xml!M1175</f>
        <v>110_219_219</v>
      </c>
      <c r="M1171" s="17" t="str">
        <f>equip.xml!Q1175</f>
        <v>equipment/8009.png</v>
      </c>
      <c r="N1171" s="16" t="str">
        <f>equip.xml!P1175</f>
        <v>10000_1002_55000,30000_30001_1,30000_30002_1,30000_30003_1</v>
      </c>
      <c r="O1171">
        <f>equip.xml!R1175</f>
        <v>0</v>
      </c>
    </row>
    <row r="1172" spans="1:15">
      <c r="A1172" s="14" t="str">
        <f>equip.xml!A1176</f>
        <v>30550090</v>
      </c>
      <c r="B1172" s="14">
        <f>equip.xml!B1176</f>
        <v>0</v>
      </c>
      <c r="C1172" s="14" t="str">
        <f>equip.xml!C1176</f>
        <v>轻布手套</v>
      </c>
      <c r="D1172" s="14" t="str">
        <f>equip.xml!D1176</f>
        <v>手套</v>
      </c>
      <c r="E1172" s="14">
        <f>equip.xml!E1176</f>
        <v>9</v>
      </c>
      <c r="F1172" s="14">
        <f>equip.xml!F1176</f>
        <v>3</v>
      </c>
      <c r="G1172" s="14">
        <f>equip.xml!G1176</f>
        <v>55</v>
      </c>
      <c r="H1172" s="14">
        <f>equip.xml!H1176</f>
        <v>0</v>
      </c>
      <c r="I1172" s="14">
        <f>equip.xml!J1176</f>
        <v>20</v>
      </c>
      <c r="J1172" s="14">
        <f>equip.xml!K1176</f>
        <v>0</v>
      </c>
      <c r="K1172" s="14">
        <f>equip.xml!L1176</f>
        <v>30000</v>
      </c>
      <c r="L1172" s="14" t="str">
        <f>equip.xml!M1176</f>
        <v>108_1726_1726</v>
      </c>
      <c r="M1172" s="17" t="str">
        <f>equip.xml!Q1176</f>
        <v>equipment/10006.png</v>
      </c>
      <c r="N1172" s="16" t="str">
        <f>equip.xml!P1176</f>
        <v>10000_1002_55000,30000_30001_1,30000_30002_1,30000_30003_1</v>
      </c>
      <c r="O1172">
        <f>equip.xml!R1176</f>
        <v>0</v>
      </c>
    </row>
    <row r="1173" spans="1:15">
      <c r="A1173" s="14" t="str">
        <f>equip.xml!A1177</f>
        <v>30550100</v>
      </c>
      <c r="B1173" s="14">
        <f>equip.xml!B1177</f>
        <v>1</v>
      </c>
      <c r="C1173" s="14" t="str">
        <f>equip.xml!C1177</f>
        <v>遗忘石坠</v>
      </c>
      <c r="D1173" s="14" t="str">
        <f>equip.xml!D1177</f>
        <v>项链</v>
      </c>
      <c r="E1173" s="14">
        <f>equip.xml!E1177</f>
        <v>10</v>
      </c>
      <c r="F1173" s="14">
        <f>equip.xml!F1177</f>
        <v>3</v>
      </c>
      <c r="G1173" s="14">
        <f>equip.xml!G1177</f>
        <v>55</v>
      </c>
      <c r="H1173" s="14">
        <f>equip.xml!H1177</f>
        <v>0</v>
      </c>
      <c r="I1173" s="14">
        <f>equip.xml!J1177</f>
        <v>20</v>
      </c>
      <c r="J1173" s="14">
        <f>equip.xml!K1177</f>
        <v>0</v>
      </c>
      <c r="K1173" s="14">
        <f>equip.xml!L1177</f>
        <v>30000</v>
      </c>
      <c r="L1173" s="14" t="str">
        <f>equip.xml!M1177</f>
        <v>107_1291_1291</v>
      </c>
      <c r="M1173" s="17" t="str">
        <f>equip.xml!Q1177</f>
        <v>equipment/12009.png</v>
      </c>
      <c r="N1173" s="16" t="str">
        <f>equip.xml!P1177</f>
        <v>10000_1002_55000,30000_30001_1,30000_30002_1,30000_30003_1</v>
      </c>
      <c r="O1173">
        <f>equip.xml!R1177</f>
        <v>0</v>
      </c>
    </row>
    <row r="1174" spans="1:15">
      <c r="A1174" s="14" t="str">
        <f>equip.xml!A1178</f>
        <v>30551050</v>
      </c>
      <c r="B1174" s="14">
        <f>equip.xml!B1178</f>
        <v>1</v>
      </c>
      <c r="C1174" s="14" t="str">
        <f>equip.xml!C1178</f>
        <v>噬魂符剑</v>
      </c>
      <c r="D1174" s="14" t="str">
        <f>equip.xml!D1178</f>
        <v>主手武器</v>
      </c>
      <c r="E1174" s="14">
        <f>equip.xml!E1178</f>
        <v>5</v>
      </c>
      <c r="F1174" s="14">
        <f>equip.xml!F1178</f>
        <v>3</v>
      </c>
      <c r="G1174" s="14">
        <f>equip.xml!G1178</f>
        <v>55</v>
      </c>
      <c r="H1174" s="14" t="str">
        <f>equip.xml!H1178</f>
        <v>1,1001</v>
      </c>
      <c r="I1174" s="14">
        <f>equip.xml!J1178</f>
        <v>20</v>
      </c>
      <c r="J1174" s="14">
        <f>equip.xml!K1178</f>
        <v>0</v>
      </c>
      <c r="K1174" s="14">
        <f>equip.xml!L1178</f>
        <v>30000</v>
      </c>
      <c r="L1174" s="14" t="str">
        <f>equip.xml!M1178</f>
        <v>103_1409_1409,104_2818_2818</v>
      </c>
      <c r="M1174" s="17" t="str">
        <f>equip.xml!Q1178</f>
        <v>equipment/1121.png</v>
      </c>
      <c r="N1174" s="16" t="str">
        <f>equip.xml!P1178</f>
        <v>10000_1002_55000,30000_30001_1,30000_30002_1,30000_30003_1</v>
      </c>
      <c r="O1174">
        <f>equip.xml!R1178</f>
        <v>0</v>
      </c>
    </row>
    <row r="1175" spans="1:15">
      <c r="A1175" s="14" t="str">
        <f>equip.xml!A1179</f>
        <v>30551051</v>
      </c>
      <c r="B1175" s="14">
        <f>equip.xml!B1179</f>
        <v>0</v>
      </c>
      <c r="C1175" s="14" t="str">
        <f>equip.xml!C1179</f>
        <v>军刀</v>
      </c>
      <c r="D1175" s="14" t="str">
        <f>equip.xml!D1179</f>
        <v>主手武器</v>
      </c>
      <c r="E1175" s="14">
        <f>equip.xml!E1179</f>
        <v>5</v>
      </c>
      <c r="F1175" s="14">
        <f>equip.xml!F1179</f>
        <v>3</v>
      </c>
      <c r="G1175" s="14">
        <f>equip.xml!G1179</f>
        <v>55</v>
      </c>
      <c r="H1175" s="14" t="str">
        <f>equip.xml!H1179</f>
        <v>1,1001</v>
      </c>
      <c r="I1175" s="14">
        <f>equip.xml!J1179</f>
        <v>20</v>
      </c>
      <c r="J1175" s="14">
        <f>equip.xml!K1179</f>
        <v>0</v>
      </c>
      <c r="K1175" s="14">
        <f>equip.xml!L1179</f>
        <v>32500</v>
      </c>
      <c r="L1175" s="14" t="str">
        <f>equip.xml!M1179</f>
        <v>103_1648_1648,104_3296_3296</v>
      </c>
      <c r="M1175" s="17" t="str">
        <f>equip.xml!Q1179</f>
        <v>equipment/1101.png</v>
      </c>
      <c r="N1175" s="16" t="str">
        <f>equip.xml!P1179</f>
        <v>10000_1002_55000,30000_30001_1,30000_30002_1,30000_30003_1</v>
      </c>
      <c r="O1175">
        <f>equip.xml!R1179</f>
        <v>0</v>
      </c>
    </row>
    <row r="1176" spans="1:15">
      <c r="A1176" s="14" t="str">
        <f>equip.xml!A1180</f>
        <v>30551060</v>
      </c>
      <c r="B1176" s="14">
        <f>equip.xml!B1180</f>
        <v>1</v>
      </c>
      <c r="C1176" s="14" t="str">
        <f>equip.xml!C1180</f>
        <v>反射壁垒</v>
      </c>
      <c r="D1176" s="14" t="str">
        <f>equip.xml!D1180</f>
        <v>副手武器</v>
      </c>
      <c r="E1176" s="14">
        <f>equip.xml!E1180</f>
        <v>6</v>
      </c>
      <c r="F1176" s="14">
        <f>equip.xml!F1180</f>
        <v>3</v>
      </c>
      <c r="G1176" s="14">
        <f>equip.xml!G1180</f>
        <v>55</v>
      </c>
      <c r="H1176" s="14" t="str">
        <f>equip.xml!H1180</f>
        <v>1,1001</v>
      </c>
      <c r="I1176" s="14">
        <f>equip.xml!J1180</f>
        <v>20</v>
      </c>
      <c r="J1176" s="14">
        <f>equip.xml!K1180</f>
        <v>0</v>
      </c>
      <c r="K1176" s="14">
        <f>equip.xml!L1180</f>
        <v>30000</v>
      </c>
      <c r="L1176" s="14" t="str">
        <f>equip.xml!M1180</f>
        <v>105_1981_1981</v>
      </c>
      <c r="M1176" s="17" t="str">
        <f>equip.xml!Q1180</f>
        <v>equipment/2113.png</v>
      </c>
      <c r="N1176" s="16" t="str">
        <f>equip.xml!P1180</f>
        <v>10000_1002_55000,30000_30001_1,30000_30002_1,30000_30003_1</v>
      </c>
      <c r="O1176">
        <f>equip.xml!R1180</f>
        <v>0</v>
      </c>
    </row>
    <row r="1177" spans="1:15">
      <c r="A1177" s="14" t="str">
        <f>equip.xml!A1181</f>
        <v>30551061</v>
      </c>
      <c r="B1177" s="14">
        <f>equip.xml!B1181</f>
        <v>1</v>
      </c>
      <c r="C1177" s="14" t="str">
        <f>equip.xml!C1181</f>
        <v>巨龙之盾</v>
      </c>
      <c r="D1177" s="14" t="str">
        <f>equip.xml!D1181</f>
        <v>副手武器</v>
      </c>
      <c r="E1177" s="14">
        <f>equip.xml!E1181</f>
        <v>6</v>
      </c>
      <c r="F1177" s="14">
        <f>equip.xml!F1181</f>
        <v>3</v>
      </c>
      <c r="G1177" s="14">
        <f>equip.xml!G1181</f>
        <v>55</v>
      </c>
      <c r="H1177" s="14" t="str">
        <f>equip.xml!H1181</f>
        <v>1,1001</v>
      </c>
      <c r="I1177" s="14">
        <f>equip.xml!J1181</f>
        <v>20</v>
      </c>
      <c r="J1177" s="14">
        <f>equip.xml!K1181</f>
        <v>0</v>
      </c>
      <c r="K1177" s="14">
        <f>equip.xml!L1181</f>
        <v>32500</v>
      </c>
      <c r="L1177" s="14" t="str">
        <f>equip.xml!M1181</f>
        <v>105_2195_2195</v>
      </c>
      <c r="M1177" s="17" t="str">
        <f>equip.xml!Q1181</f>
        <v>equipment/2114.png</v>
      </c>
      <c r="N1177" s="16" t="str">
        <f>equip.xml!P1181</f>
        <v>10000_1002_55000,30000_30001_1,30000_30002_1,30000_30003_1</v>
      </c>
      <c r="O1177">
        <f>equip.xml!R1181</f>
        <v>0</v>
      </c>
    </row>
    <row r="1178" spans="1:15">
      <c r="A1178" s="14" t="str">
        <f>equip.xml!A1182</f>
        <v>30552050</v>
      </c>
      <c r="B1178" s="14">
        <f>equip.xml!B1182</f>
        <v>1</v>
      </c>
      <c r="C1178" s="14" t="str">
        <f>equip.xml!C1182</f>
        <v>魂击长弓</v>
      </c>
      <c r="D1178" s="14" t="str">
        <f>equip.xml!D1182</f>
        <v>主手武器</v>
      </c>
      <c r="E1178" s="14">
        <f>equip.xml!E1182</f>
        <v>5</v>
      </c>
      <c r="F1178" s="14">
        <f>equip.xml!F1182</f>
        <v>3</v>
      </c>
      <c r="G1178" s="14">
        <f>equip.xml!G1182</f>
        <v>55</v>
      </c>
      <c r="H1178" s="14" t="str">
        <f>equip.xml!H1182</f>
        <v>2,1002</v>
      </c>
      <c r="I1178" s="14">
        <f>equip.xml!J1182</f>
        <v>20</v>
      </c>
      <c r="J1178" s="14">
        <f>equip.xml!K1182</f>
        <v>0</v>
      </c>
      <c r="K1178" s="14">
        <f>equip.xml!L1182</f>
        <v>30000</v>
      </c>
      <c r="L1178" s="14" t="str">
        <f>equip.xml!M1182</f>
        <v>103_1409_1409,104_2818_2818</v>
      </c>
      <c r="M1178" s="17" t="str">
        <f>equip.xml!Q1182</f>
        <v>equipment/1219.png</v>
      </c>
      <c r="N1178" s="16" t="str">
        <f>equip.xml!P1182</f>
        <v>10000_1002_55000,30000_30001_1,30000_30002_1,30000_30003_1</v>
      </c>
      <c r="O1178">
        <f>equip.xml!R1182</f>
        <v>0</v>
      </c>
    </row>
    <row r="1179" spans="1:15">
      <c r="A1179" s="14" t="str">
        <f>equip.xml!A1183</f>
        <v>30552051</v>
      </c>
      <c r="B1179" s="14">
        <f>equip.xml!B1183</f>
        <v>0</v>
      </c>
      <c r="C1179" s="14" t="str">
        <f>equip.xml!C1183</f>
        <v>棘木弓</v>
      </c>
      <c r="D1179" s="14" t="str">
        <f>equip.xml!D1183</f>
        <v>主手武器</v>
      </c>
      <c r="E1179" s="14">
        <f>equip.xml!E1183</f>
        <v>5</v>
      </c>
      <c r="F1179" s="14">
        <f>equip.xml!F1183</f>
        <v>3</v>
      </c>
      <c r="G1179" s="14">
        <f>equip.xml!G1183</f>
        <v>55</v>
      </c>
      <c r="H1179" s="14" t="str">
        <f>equip.xml!H1183</f>
        <v>2,1002</v>
      </c>
      <c r="I1179" s="14">
        <f>equip.xml!J1183</f>
        <v>20</v>
      </c>
      <c r="J1179" s="14">
        <f>equip.xml!K1183</f>
        <v>0</v>
      </c>
      <c r="K1179" s="14">
        <f>equip.xml!L1183</f>
        <v>32500</v>
      </c>
      <c r="L1179" s="14" t="str">
        <f>equip.xml!M1183</f>
        <v>103_1648_1648,104_3296_3296</v>
      </c>
      <c r="M1179" s="17" t="str">
        <f>equip.xml!Q1183</f>
        <v>equipment/1201.png</v>
      </c>
      <c r="N1179" s="16" t="str">
        <f>equip.xml!P1183</f>
        <v>10000_1002_55000,30000_30001_1,30000_30002_1,30000_30003_1</v>
      </c>
      <c r="O1179">
        <f>equip.xml!R1183</f>
        <v>0</v>
      </c>
    </row>
    <row r="1180" spans="1:15">
      <c r="A1180" s="14" t="str">
        <f>equip.xml!A1184</f>
        <v>30552060</v>
      </c>
      <c r="B1180" s="14">
        <f>equip.xml!B1184</f>
        <v>1</v>
      </c>
      <c r="C1180" s="14" t="str">
        <f>equip.xml!C1184</f>
        <v>银矢箭筒</v>
      </c>
      <c r="D1180" s="14" t="str">
        <f>equip.xml!D1184</f>
        <v>副手武器</v>
      </c>
      <c r="E1180" s="14">
        <f>equip.xml!E1184</f>
        <v>6</v>
      </c>
      <c r="F1180" s="14">
        <f>equip.xml!F1184</f>
        <v>3</v>
      </c>
      <c r="G1180" s="14">
        <f>equip.xml!G1184</f>
        <v>55</v>
      </c>
      <c r="H1180" s="14" t="str">
        <f>equip.xml!H1184</f>
        <v>2,1002</v>
      </c>
      <c r="I1180" s="14">
        <f>equip.xml!J1184</f>
        <v>20</v>
      </c>
      <c r="J1180" s="14">
        <f>equip.xml!K1184</f>
        <v>0</v>
      </c>
      <c r="K1180" s="14">
        <f>equip.xml!L1184</f>
        <v>30000</v>
      </c>
      <c r="L1180" s="14" t="str">
        <f>equip.xml!M1184</f>
        <v>108_1981_1981</v>
      </c>
      <c r="M1180" s="17" t="str">
        <f>equip.xml!Q1184</f>
        <v>equipment/2213.png</v>
      </c>
      <c r="N1180" s="16" t="str">
        <f>equip.xml!P1184</f>
        <v>10000_1002_55000,30000_30001_1,30000_30002_1,30000_30003_1</v>
      </c>
      <c r="O1180">
        <f>equip.xml!R1184</f>
        <v>0</v>
      </c>
    </row>
    <row r="1181" spans="1:15">
      <c r="A1181" s="14" t="str">
        <f>equip.xml!A1185</f>
        <v>30552061</v>
      </c>
      <c r="B1181" s="14">
        <f>equip.xml!B1185</f>
        <v>1</v>
      </c>
      <c r="C1181" s="14" t="str">
        <f>equip.xml!C1185</f>
        <v>日怒箭筒</v>
      </c>
      <c r="D1181" s="14" t="str">
        <f>equip.xml!D1185</f>
        <v>副手武器</v>
      </c>
      <c r="E1181" s="14">
        <f>equip.xml!E1185</f>
        <v>6</v>
      </c>
      <c r="F1181" s="14">
        <f>equip.xml!F1185</f>
        <v>3</v>
      </c>
      <c r="G1181" s="14">
        <f>equip.xml!G1185</f>
        <v>55</v>
      </c>
      <c r="H1181" s="14" t="str">
        <f>equip.xml!H1185</f>
        <v>2,1002</v>
      </c>
      <c r="I1181" s="14">
        <f>equip.xml!J1185</f>
        <v>20</v>
      </c>
      <c r="J1181" s="14">
        <f>equip.xml!K1185</f>
        <v>0</v>
      </c>
      <c r="K1181" s="14">
        <f>equip.xml!L1185</f>
        <v>32500</v>
      </c>
      <c r="L1181" s="14" t="str">
        <f>equip.xml!M1185</f>
        <v>108_2195_2195</v>
      </c>
      <c r="M1181" s="17" t="str">
        <f>equip.xml!Q1185</f>
        <v>equipment/2214.png</v>
      </c>
      <c r="N1181" s="16" t="str">
        <f>equip.xml!P1185</f>
        <v>10000_1002_55000,30000_30001_1,30000_30002_1,30000_30003_1</v>
      </c>
      <c r="O1181">
        <f>equip.xml!R1185</f>
        <v>0</v>
      </c>
    </row>
    <row r="1182" spans="1:15">
      <c r="A1182" s="14" t="str">
        <f>equip.xml!A1186</f>
        <v>30553050</v>
      </c>
      <c r="B1182" s="14">
        <f>equip.xml!B1186</f>
        <v>1</v>
      </c>
      <c r="C1182" s="14" t="str">
        <f>equip.xml!C1186</f>
        <v>寒霜之怒</v>
      </c>
      <c r="D1182" s="14" t="str">
        <f>equip.xml!D1186</f>
        <v>主手武器</v>
      </c>
      <c r="E1182" s="14">
        <f>equip.xml!E1186</f>
        <v>5</v>
      </c>
      <c r="F1182" s="14">
        <f>equip.xml!F1186</f>
        <v>3</v>
      </c>
      <c r="G1182" s="14">
        <f>equip.xml!G1186</f>
        <v>55</v>
      </c>
      <c r="H1182" s="14" t="str">
        <f>equip.xml!H1186</f>
        <v>3,1003</v>
      </c>
      <c r="I1182" s="14">
        <f>equip.xml!J1186</f>
        <v>20</v>
      </c>
      <c r="J1182" s="14">
        <f>equip.xml!K1186</f>
        <v>0</v>
      </c>
      <c r="K1182" s="14">
        <f>equip.xml!L1186</f>
        <v>30000</v>
      </c>
      <c r="L1182" s="14" t="str">
        <f>equip.xml!M1186</f>
        <v>103_1409_1409,104_2818_2818</v>
      </c>
      <c r="M1182" s="17" t="str">
        <f>equip.xml!Q1186</f>
        <v>equipment/1321.png</v>
      </c>
      <c r="N1182" s="16" t="str">
        <f>equip.xml!P1186</f>
        <v>10000_1002_55000,30000_30001_1,30000_30002_1,30000_30003_1</v>
      </c>
      <c r="O1182">
        <f>equip.xml!R1186</f>
        <v>0</v>
      </c>
    </row>
    <row r="1183" spans="1:15">
      <c r="A1183" s="14" t="str">
        <f>equip.xml!A1187</f>
        <v>30553051</v>
      </c>
      <c r="B1183" s="14">
        <f>equip.xml!B1187</f>
        <v>0</v>
      </c>
      <c r="C1183" s="14" t="str">
        <f>equip.xml!C1187</f>
        <v>学徒法杖</v>
      </c>
      <c r="D1183" s="14" t="str">
        <f>equip.xml!D1187</f>
        <v>主手武器</v>
      </c>
      <c r="E1183" s="14">
        <f>equip.xml!E1187</f>
        <v>5</v>
      </c>
      <c r="F1183" s="14">
        <f>equip.xml!F1187</f>
        <v>3</v>
      </c>
      <c r="G1183" s="14">
        <f>equip.xml!G1187</f>
        <v>55</v>
      </c>
      <c r="H1183" s="14" t="str">
        <f>equip.xml!H1187</f>
        <v>3,1003</v>
      </c>
      <c r="I1183" s="14">
        <f>equip.xml!J1187</f>
        <v>20</v>
      </c>
      <c r="J1183" s="14">
        <f>equip.xml!K1187</f>
        <v>0</v>
      </c>
      <c r="K1183" s="14">
        <f>equip.xml!L1187</f>
        <v>32500</v>
      </c>
      <c r="L1183" s="14" t="str">
        <f>equip.xml!M1187</f>
        <v>103_1648_1648,104_3296_3296</v>
      </c>
      <c r="M1183" s="17" t="str">
        <f>equip.xml!Q1187</f>
        <v>equipment/1301.png</v>
      </c>
      <c r="N1183" s="16" t="str">
        <f>equip.xml!P1187</f>
        <v>10000_1002_55000,30000_30001_1,30000_30002_1,30000_30003_1</v>
      </c>
      <c r="O1183">
        <f>equip.xml!R1187</f>
        <v>0</v>
      </c>
    </row>
    <row r="1184" spans="1:15">
      <c r="A1184" s="14" t="str">
        <f>equip.xml!A1188</f>
        <v>30553060</v>
      </c>
      <c r="B1184" s="14">
        <f>equip.xml!B1188</f>
        <v>1</v>
      </c>
      <c r="C1184" s="14" t="str">
        <f>equip.xml!C1188</f>
        <v>遗忘魔典</v>
      </c>
      <c r="D1184" s="14" t="str">
        <f>equip.xml!D1188</f>
        <v>副手武器</v>
      </c>
      <c r="E1184" s="14">
        <f>equip.xml!E1188</f>
        <v>6</v>
      </c>
      <c r="F1184" s="14">
        <f>equip.xml!F1188</f>
        <v>3</v>
      </c>
      <c r="G1184" s="14">
        <f>equip.xml!G1188</f>
        <v>55</v>
      </c>
      <c r="H1184" s="14" t="str">
        <f>equip.xml!H1188</f>
        <v>3,1003</v>
      </c>
      <c r="I1184" s="14">
        <f>equip.xml!J1188</f>
        <v>20</v>
      </c>
      <c r="J1184" s="14">
        <f>equip.xml!K1188</f>
        <v>0</v>
      </c>
      <c r="K1184" s="14">
        <f>equip.xml!L1188</f>
        <v>30000</v>
      </c>
      <c r="L1184" s="14" t="str">
        <f>equip.xml!M1188</f>
        <v>102_1780_1780</v>
      </c>
      <c r="M1184" s="17" t="str">
        <f>equip.xml!Q1188</f>
        <v>equipment/2313.png</v>
      </c>
      <c r="N1184" s="16" t="str">
        <f>equip.xml!P1188</f>
        <v>10000_1002_55000,30000_30001_1,30000_30002_1,30000_30003_1</v>
      </c>
      <c r="O1184">
        <f>equip.xml!R1188</f>
        <v>0</v>
      </c>
    </row>
    <row r="1185" spans="1:15">
      <c r="A1185" s="14" t="str">
        <f>equip.xml!A1189</f>
        <v>30553061</v>
      </c>
      <c r="B1185" s="14">
        <f>equip.xml!B1189</f>
        <v>1</v>
      </c>
      <c r="C1185" s="14" t="str">
        <f>equip.xml!C1189</f>
        <v>龙语入门</v>
      </c>
      <c r="D1185" s="14" t="str">
        <f>equip.xml!D1189</f>
        <v>副手武器</v>
      </c>
      <c r="E1185" s="14">
        <f>equip.xml!E1189</f>
        <v>6</v>
      </c>
      <c r="F1185" s="14">
        <f>equip.xml!F1189</f>
        <v>3</v>
      </c>
      <c r="G1185" s="14">
        <f>equip.xml!G1189</f>
        <v>55</v>
      </c>
      <c r="H1185" s="14" t="str">
        <f>equip.xml!H1189</f>
        <v>3,1003</v>
      </c>
      <c r="I1185" s="14">
        <f>equip.xml!J1189</f>
        <v>20</v>
      </c>
      <c r="J1185" s="14">
        <f>equip.xml!K1189</f>
        <v>0</v>
      </c>
      <c r="K1185" s="14">
        <f>equip.xml!L1189</f>
        <v>32500</v>
      </c>
      <c r="L1185" s="14" t="str">
        <f>equip.xml!M1189</f>
        <v>102_1972_1972</v>
      </c>
      <c r="M1185" s="17" t="str">
        <f>equip.xml!Q1189</f>
        <v>equipment/2316.png</v>
      </c>
      <c r="N1185" s="16" t="str">
        <f>equip.xml!P1189</f>
        <v>10000_1002_55000,30000_30001_1,30000_30002_1,30000_30003_1</v>
      </c>
      <c r="O1185">
        <f>equip.xml!R1189</f>
        <v>0</v>
      </c>
    </row>
    <row r="1186" spans="1:15">
      <c r="A1186" s="14" t="str">
        <f>equip.xml!A1190</f>
        <v>30550040</v>
      </c>
      <c r="B1186" s="14">
        <f>equip.xml!B1190</f>
        <v>1</v>
      </c>
      <c r="C1186" s="14" t="str">
        <f>equip.xml!C1190</f>
        <v>血卫胸甲</v>
      </c>
      <c r="D1186" s="14" t="str">
        <f>equip.xml!D1190</f>
        <v>胸甲</v>
      </c>
      <c r="E1186" s="14">
        <f>equip.xml!E1190</f>
        <v>4</v>
      </c>
      <c r="F1186" s="14">
        <f>equip.xml!F1190</f>
        <v>3</v>
      </c>
      <c r="G1186" s="14">
        <f>equip.xml!G1190</f>
        <v>55</v>
      </c>
      <c r="H1186" s="14">
        <f>equip.xml!H1190</f>
        <v>0</v>
      </c>
      <c r="I1186" s="14">
        <f>equip.xml!J1190</f>
        <v>20</v>
      </c>
      <c r="J1186" s="14">
        <f>equip.xml!K1190</f>
        <v>0</v>
      </c>
      <c r="K1186" s="14">
        <f>equip.xml!L1190</f>
        <v>30000</v>
      </c>
      <c r="L1186" s="14" t="str">
        <f>equip.xml!M1190</f>
        <v>105_1153_1153</v>
      </c>
      <c r="M1186" s="17" t="str">
        <f>equip.xml!Q1190</f>
        <v>equipment/5015.png</v>
      </c>
      <c r="N1186" s="16" t="str">
        <f>equip.xml!P1190</f>
        <v>10000_1002_55000,30000_30001_1,30000_30002_1,30000_30003_1</v>
      </c>
      <c r="O1186">
        <f>equip.xml!R1190</f>
        <v>0</v>
      </c>
    </row>
    <row r="1187" spans="1:15">
      <c r="A1187" s="14" t="str">
        <f>equip.xml!A1191</f>
        <v>30550041</v>
      </c>
      <c r="B1187" s="14">
        <f>equip.xml!B1191</f>
        <v>0</v>
      </c>
      <c r="C1187" s="14" t="str">
        <f>equip.xml!C1191</f>
        <v>新兵外套</v>
      </c>
      <c r="D1187" s="14" t="str">
        <f>equip.xml!D1191</f>
        <v>胸甲</v>
      </c>
      <c r="E1187" s="14">
        <f>equip.xml!E1191</f>
        <v>4</v>
      </c>
      <c r="F1187" s="14">
        <f>equip.xml!F1191</f>
        <v>3</v>
      </c>
      <c r="G1187" s="14">
        <f>equip.xml!G1191</f>
        <v>55</v>
      </c>
      <c r="H1187" s="14">
        <f>equip.xml!H1191</f>
        <v>0</v>
      </c>
      <c r="I1187" s="14">
        <f>equip.xml!J1191</f>
        <v>20</v>
      </c>
      <c r="J1187" s="14">
        <f>equip.xml!K1191</f>
        <v>0</v>
      </c>
      <c r="K1187" s="14">
        <f>equip.xml!L1191</f>
        <v>32500</v>
      </c>
      <c r="L1187" s="14" t="str">
        <f>equip.xml!M1191</f>
        <v>105_1243_1243</v>
      </c>
      <c r="M1187" s="17" t="str">
        <f>equip.xml!Q1191</f>
        <v>equipment/5001.png</v>
      </c>
      <c r="N1187" s="16" t="str">
        <f>equip.xml!P1191</f>
        <v>10000_1002_55000,30000_30001_1,30000_30002_1,30000_30003_1</v>
      </c>
      <c r="O1187">
        <f>equip.xml!R1191</f>
        <v>0</v>
      </c>
    </row>
    <row r="1188" spans="1:15">
      <c r="A1188" s="14" t="str">
        <f>equip.xml!A1192</f>
        <v>30550070</v>
      </c>
      <c r="B1188" s="14">
        <f>equip.xml!B1192</f>
        <v>1</v>
      </c>
      <c r="C1188" s="14" t="str">
        <f>equip.xml!C1192</f>
        <v>征服者护腿</v>
      </c>
      <c r="D1188" s="14" t="str">
        <f>equip.xml!D1192</f>
        <v>护腿</v>
      </c>
      <c r="E1188" s="14">
        <f>equip.xml!E1192</f>
        <v>7</v>
      </c>
      <c r="F1188" s="14">
        <f>equip.xml!F1192</f>
        <v>3</v>
      </c>
      <c r="G1188" s="14">
        <f>equip.xml!G1192</f>
        <v>55</v>
      </c>
      <c r="H1188" s="14">
        <f>equip.xml!H1192</f>
        <v>0</v>
      </c>
      <c r="I1188" s="14">
        <f>equip.xml!J1192</f>
        <v>20</v>
      </c>
      <c r="J1188" s="14">
        <f>equip.xml!K1192</f>
        <v>0</v>
      </c>
      <c r="K1188" s="14">
        <f>equip.xml!L1192</f>
        <v>30000</v>
      </c>
      <c r="L1188" s="14" t="str">
        <f>equip.xml!M1192</f>
        <v>105_780_780</v>
      </c>
      <c r="M1188" s="17" t="str">
        <f>equip.xml!Q1192</f>
        <v>equipment/7013.png</v>
      </c>
      <c r="N1188" s="16" t="str">
        <f>equip.xml!P1192</f>
        <v>10000_1002_55000,30000_30001_1,30000_30002_1,30000_30003_1</v>
      </c>
      <c r="O1188">
        <f>equip.xml!R1192</f>
        <v>0</v>
      </c>
    </row>
    <row r="1189" spans="1:15">
      <c r="A1189" s="14" t="str">
        <f>equip.xml!A1193</f>
        <v>30550071</v>
      </c>
      <c r="B1189" s="14">
        <f>equip.xml!B1193</f>
        <v>0</v>
      </c>
      <c r="C1189" s="14" t="str">
        <f>equip.xml!C1193</f>
        <v>学徒短裤</v>
      </c>
      <c r="D1189" s="14" t="str">
        <f>equip.xml!D1193</f>
        <v>护腿</v>
      </c>
      <c r="E1189" s="14">
        <f>equip.xml!E1193</f>
        <v>7</v>
      </c>
      <c r="F1189" s="14">
        <f>equip.xml!F1193</f>
        <v>3</v>
      </c>
      <c r="G1189" s="14">
        <f>equip.xml!G1193</f>
        <v>55</v>
      </c>
      <c r="H1189" s="14">
        <f>equip.xml!H1193</f>
        <v>0</v>
      </c>
      <c r="I1189" s="14">
        <f>equip.xml!J1193</f>
        <v>20</v>
      </c>
      <c r="J1189" s="14">
        <f>equip.xml!K1193</f>
        <v>0</v>
      </c>
      <c r="K1189" s="14">
        <f>equip.xml!L1193</f>
        <v>32500</v>
      </c>
      <c r="L1189" s="14" t="str">
        <f>equip.xml!M1193</f>
        <v>105_929_929</v>
      </c>
      <c r="M1189" s="17" t="str">
        <f>equip.xml!Q1193</f>
        <v>equipment/7001.png</v>
      </c>
      <c r="N1189" s="16" t="str">
        <f>equip.xml!P1193</f>
        <v>10000_1002_55000,30000_30001_1,30000_30002_1,30000_30003_1</v>
      </c>
      <c r="O1189">
        <f>equip.xml!R1193</f>
        <v>0</v>
      </c>
    </row>
    <row r="1190" spans="1:15">
      <c r="A1190" s="14" t="str">
        <f>equip.xml!A1194</f>
        <v>30600010</v>
      </c>
      <c r="B1190" s="14">
        <f>equip.xml!B1194</f>
        <v>1</v>
      </c>
      <c r="C1190" s="14" t="str">
        <f>equip.xml!C1194</f>
        <v>英勇战盔</v>
      </c>
      <c r="D1190" s="14" t="str">
        <f>equip.xml!D1194</f>
        <v>头盔</v>
      </c>
      <c r="E1190" s="14">
        <f>equip.xml!E1194</f>
        <v>1</v>
      </c>
      <c r="F1190" s="14">
        <f>equip.xml!F1194</f>
        <v>3</v>
      </c>
      <c r="G1190" s="14">
        <f>equip.xml!G1194</f>
        <v>60</v>
      </c>
      <c r="H1190" s="14">
        <f>equip.xml!H1194</f>
        <v>0</v>
      </c>
      <c r="I1190" s="14">
        <f>equip.xml!J1194</f>
        <v>20</v>
      </c>
      <c r="J1190" s="14">
        <f>equip.xml!K1194</f>
        <v>0</v>
      </c>
      <c r="K1190" s="14">
        <f>equip.xml!L1194</f>
        <v>32500</v>
      </c>
      <c r="L1190" s="14" t="str">
        <f>equip.xml!M1194</f>
        <v>106_1628_1628</v>
      </c>
      <c r="M1190" s="17" t="str">
        <f>equip.xml!Q1194</f>
        <v>equipment/3010.png</v>
      </c>
      <c r="N1190" s="16" t="str">
        <f>equip.xml!P1194</f>
        <v>10000_1002_60000,30000_30001_1,30000_30002_1,30000_30003_1</v>
      </c>
      <c r="O1190">
        <f>equip.xml!R1194</f>
        <v>0</v>
      </c>
    </row>
    <row r="1191" spans="1:15">
      <c r="A1191" s="14" t="str">
        <f>equip.xml!A1195</f>
        <v>30600020</v>
      </c>
      <c r="B1191" s="14">
        <f>equip.xml!B1195</f>
        <v>1</v>
      </c>
      <c r="C1191" s="14" t="str">
        <f>equip.xml!C1195</f>
        <v>星宇指环</v>
      </c>
      <c r="D1191" s="14" t="str">
        <f>equip.xml!D1195</f>
        <v>戒指</v>
      </c>
      <c r="E1191" s="14">
        <f>equip.xml!E1195</f>
        <v>2</v>
      </c>
      <c r="F1191" s="14">
        <f>equip.xml!F1195</f>
        <v>3</v>
      </c>
      <c r="G1191" s="14">
        <f>equip.xml!G1195</f>
        <v>60</v>
      </c>
      <c r="H1191" s="14">
        <f>equip.xml!H1195</f>
        <v>0</v>
      </c>
      <c r="I1191" s="14">
        <f>equip.xml!J1195</f>
        <v>20</v>
      </c>
      <c r="J1191" s="14">
        <f>equip.xml!K1195</f>
        <v>0</v>
      </c>
      <c r="K1191" s="14">
        <f>equip.xml!L1195</f>
        <v>32500</v>
      </c>
      <c r="L1191" s="14" t="str">
        <f>equip.xml!M1195</f>
        <v>102_1260_1260</v>
      </c>
      <c r="M1191" s="17" t="str">
        <f>equip.xml!Q1195</f>
        <v>equipment/14010.png</v>
      </c>
      <c r="N1191" s="16" t="str">
        <f>equip.xml!P1195</f>
        <v>10000_1002_60000,30000_30001_1,30000_30002_1,30000_30003_1</v>
      </c>
      <c r="O1191">
        <f>equip.xml!R1195</f>
        <v>0</v>
      </c>
    </row>
    <row r="1192" spans="1:15">
      <c r="A1192" s="14" t="str">
        <f>equip.xml!A1196</f>
        <v>30600030</v>
      </c>
      <c r="B1192" s="14">
        <f>equip.xml!B1196</f>
        <v>1</v>
      </c>
      <c r="C1192" s="14" t="str">
        <f>equip.xml!C1196</f>
        <v>远征腰带</v>
      </c>
      <c r="D1192" s="14" t="str">
        <f>equip.xml!D1196</f>
        <v>腰带</v>
      </c>
      <c r="E1192" s="14">
        <f>equip.xml!E1196</f>
        <v>3</v>
      </c>
      <c r="F1192" s="14">
        <f>equip.xml!F1196</f>
        <v>3</v>
      </c>
      <c r="G1192" s="14">
        <f>equip.xml!G1196</f>
        <v>60</v>
      </c>
      <c r="H1192" s="14">
        <f>equip.xml!H1196</f>
        <v>0</v>
      </c>
      <c r="I1192" s="14">
        <f>equip.xml!J1196</f>
        <v>20</v>
      </c>
      <c r="J1192" s="14">
        <f>equip.xml!K1196</f>
        <v>0</v>
      </c>
      <c r="K1192" s="14">
        <f>equip.xml!L1196</f>
        <v>32500</v>
      </c>
      <c r="L1192" s="14" t="str">
        <f>equip.xml!M1196</f>
        <v>101_13920_13920</v>
      </c>
      <c r="M1192" s="17" t="str">
        <f>equip.xml!Q1196</f>
        <v>equipment/6010.png</v>
      </c>
      <c r="N1192" s="16" t="str">
        <f>equip.xml!P1196</f>
        <v>10000_1002_60000,30000_30001_1,30000_30002_1,30000_30003_1</v>
      </c>
      <c r="O1192">
        <f>equip.xml!R1196</f>
        <v>0</v>
      </c>
    </row>
    <row r="1193" spans="1:15">
      <c r="A1193" s="14" t="str">
        <f>equip.xml!A1197</f>
        <v>30600080</v>
      </c>
      <c r="B1193" s="14">
        <f>equip.xml!B1197</f>
        <v>1</v>
      </c>
      <c r="C1193" s="14" t="str">
        <f>equip.xml!C1197</f>
        <v>风暴长靴</v>
      </c>
      <c r="D1193" s="14" t="str">
        <f>equip.xml!D1197</f>
        <v>鞋子</v>
      </c>
      <c r="E1193" s="14">
        <f>equip.xml!E1197</f>
        <v>8</v>
      </c>
      <c r="F1193" s="14">
        <f>equip.xml!F1197</f>
        <v>3</v>
      </c>
      <c r="G1193" s="14">
        <f>equip.xml!G1197</f>
        <v>60</v>
      </c>
      <c r="H1193" s="14">
        <f>equip.xml!H1197</f>
        <v>0</v>
      </c>
      <c r="I1193" s="14">
        <f>equip.xml!J1197</f>
        <v>20</v>
      </c>
      <c r="J1193" s="14">
        <f>equip.xml!K1197</f>
        <v>0</v>
      </c>
      <c r="K1193" s="14">
        <f>equip.xml!L1197</f>
        <v>32500</v>
      </c>
      <c r="L1193" s="14" t="str">
        <f>equip.xml!M1197</f>
        <v>110_271_271</v>
      </c>
      <c r="M1193" s="17" t="str">
        <f>equip.xml!Q1197</f>
        <v>equipment/8010.png</v>
      </c>
      <c r="N1193" s="16" t="str">
        <f>equip.xml!P1197</f>
        <v>10000_1002_60000,30000_30001_1,30000_30002_1,30000_30003_1</v>
      </c>
      <c r="O1193">
        <f>equip.xml!R1197</f>
        <v>0</v>
      </c>
    </row>
    <row r="1194" spans="1:15">
      <c r="A1194" s="14" t="str">
        <f>equip.xml!A1198</f>
        <v>30600090</v>
      </c>
      <c r="B1194" s="14">
        <f>equip.xml!B1198</f>
        <v>1</v>
      </c>
      <c r="C1194" s="14" t="str">
        <f>equip.xml!C1198</f>
        <v>远征军护手</v>
      </c>
      <c r="D1194" s="14" t="str">
        <f>equip.xml!D1198</f>
        <v>手套</v>
      </c>
      <c r="E1194" s="14">
        <f>equip.xml!E1198</f>
        <v>9</v>
      </c>
      <c r="F1194" s="14">
        <f>equip.xml!F1198</f>
        <v>3</v>
      </c>
      <c r="G1194" s="14">
        <f>equip.xml!G1198</f>
        <v>60</v>
      </c>
      <c r="H1194" s="14">
        <f>equip.xml!H1198</f>
        <v>0</v>
      </c>
      <c r="I1194" s="14">
        <f>equip.xml!J1198</f>
        <v>20</v>
      </c>
      <c r="J1194" s="14">
        <f>equip.xml!K1198</f>
        <v>0</v>
      </c>
      <c r="K1194" s="14">
        <f>equip.xml!L1198</f>
        <v>32500</v>
      </c>
      <c r="L1194" s="14" t="str">
        <f>equip.xml!M1198</f>
        <v>108_2300_2300</v>
      </c>
      <c r="M1194" s="17" t="str">
        <f>equip.xml!Q1198</f>
        <v>equipment/10010.png</v>
      </c>
      <c r="N1194" s="16" t="str">
        <f>equip.xml!P1198</f>
        <v>10000_1002_60000,30000_30001_1,30000_30002_1,30000_30003_1</v>
      </c>
      <c r="O1194">
        <f>equip.xml!R1198</f>
        <v>0</v>
      </c>
    </row>
    <row r="1195" spans="1:15">
      <c r="A1195" s="14" t="str">
        <f>equip.xml!A1199</f>
        <v>30600100</v>
      </c>
      <c r="B1195" s="14">
        <f>equip.xml!B1199</f>
        <v>1</v>
      </c>
      <c r="C1195" s="14" t="str">
        <f>equip.xml!C1199</f>
        <v>悔恨之链</v>
      </c>
      <c r="D1195" s="14" t="str">
        <f>equip.xml!D1199</f>
        <v>项链</v>
      </c>
      <c r="E1195" s="14">
        <f>equip.xml!E1199</f>
        <v>10</v>
      </c>
      <c r="F1195" s="14">
        <f>equip.xml!F1199</f>
        <v>3</v>
      </c>
      <c r="G1195" s="14">
        <f>equip.xml!G1199</f>
        <v>60</v>
      </c>
      <c r="H1195" s="14">
        <f>equip.xml!H1199</f>
        <v>0</v>
      </c>
      <c r="I1195" s="14">
        <f>equip.xml!J1199</f>
        <v>20</v>
      </c>
      <c r="J1195" s="14">
        <f>equip.xml!K1199</f>
        <v>0</v>
      </c>
      <c r="K1195" s="14">
        <f>equip.xml!L1199</f>
        <v>32500</v>
      </c>
      <c r="L1195" s="14" t="str">
        <f>equip.xml!M1199</f>
        <v>107_1628_1628</v>
      </c>
      <c r="M1195" s="17" t="str">
        <f>equip.xml!Q1199</f>
        <v>equipment/12010.png</v>
      </c>
      <c r="N1195" s="16" t="str">
        <f>equip.xml!P1199</f>
        <v>10000_1002_60000,30000_30001_1,30000_30002_1,30000_30003_1</v>
      </c>
      <c r="O1195">
        <f>equip.xml!R1199</f>
        <v>0</v>
      </c>
    </row>
    <row r="1196" spans="1:15">
      <c r="A1196" s="14" t="str">
        <f>equip.xml!A1200</f>
        <v>30601050</v>
      </c>
      <c r="B1196" s="14">
        <f>equip.xml!B1200</f>
        <v>1</v>
      </c>
      <c r="C1196" s="14" t="str">
        <f>equip.xml!C1200</f>
        <v>毁灭之刃</v>
      </c>
      <c r="D1196" s="14" t="str">
        <f>equip.xml!D1200</f>
        <v>主手武器</v>
      </c>
      <c r="E1196" s="14">
        <f>equip.xml!E1200</f>
        <v>5</v>
      </c>
      <c r="F1196" s="14">
        <f>equip.xml!F1200</f>
        <v>3</v>
      </c>
      <c r="G1196" s="14">
        <f>equip.xml!G1200</f>
        <v>60</v>
      </c>
      <c r="H1196" s="14" t="str">
        <f>equip.xml!H1200</f>
        <v>1,1001</v>
      </c>
      <c r="I1196" s="14">
        <f>equip.xml!J1200</f>
        <v>20</v>
      </c>
      <c r="J1196" s="14">
        <f>equip.xml!K1200</f>
        <v>0</v>
      </c>
      <c r="K1196" s="14">
        <f>equip.xml!L1200</f>
        <v>32500</v>
      </c>
      <c r="L1196" s="14" t="str">
        <f>equip.xml!M1200</f>
        <v>103_2007_2007,104_4014_4014</v>
      </c>
      <c r="M1196" s="17" t="str">
        <f>equip.xml!Q1200</f>
        <v>equipment/1118.png</v>
      </c>
      <c r="N1196" s="16" t="str">
        <f>equip.xml!P1200</f>
        <v>10000_1002_60000,30000_30001_1,30000_30002_1,30000_30003_1</v>
      </c>
      <c r="O1196">
        <f>equip.xml!R1200</f>
        <v>0</v>
      </c>
    </row>
    <row r="1197" spans="1:15">
      <c r="A1197" s="14" t="str">
        <f>equip.xml!A1201</f>
        <v>30601051</v>
      </c>
      <c r="B1197" s="14">
        <f>equip.xml!B1201</f>
        <v>1</v>
      </c>
      <c r="C1197" s="14" t="str">
        <f>equip.xml!C1201</f>
        <v>逐光巨剑</v>
      </c>
      <c r="D1197" s="14" t="str">
        <f>equip.xml!D1201</f>
        <v>主手武器</v>
      </c>
      <c r="E1197" s="14">
        <f>equip.xml!E1201</f>
        <v>5</v>
      </c>
      <c r="F1197" s="14">
        <f>equip.xml!F1201</f>
        <v>3</v>
      </c>
      <c r="G1197" s="14">
        <f>equip.xml!G1201</f>
        <v>60</v>
      </c>
      <c r="H1197" s="14" t="str">
        <f>equip.xml!H1201</f>
        <v>1,1001</v>
      </c>
      <c r="I1197" s="14">
        <f>equip.xml!J1201</f>
        <v>20</v>
      </c>
      <c r="J1197" s="14">
        <f>equip.xml!K1201</f>
        <v>0</v>
      </c>
      <c r="K1197" s="14">
        <f>equip.xml!L1201</f>
        <v>35000</v>
      </c>
      <c r="L1197" s="14" t="str">
        <f>equip.xml!M1201</f>
        <v>103_2252_2252,104_4504_4504</v>
      </c>
      <c r="M1197" s="17" t="str">
        <f>equip.xml!Q1201</f>
        <v>equipment/1122.png</v>
      </c>
      <c r="N1197" s="16" t="str">
        <f>equip.xml!P1201</f>
        <v>10000_1002_60000,30000_30001_1,30000_30002_1,30000_30003_1</v>
      </c>
      <c r="O1197">
        <f>equip.xml!R1201</f>
        <v>0</v>
      </c>
    </row>
    <row r="1198" spans="1:15">
      <c r="A1198" s="14" t="str">
        <f>equip.xml!A1202</f>
        <v>30601060</v>
      </c>
      <c r="B1198" s="14">
        <f>equip.xml!B1202</f>
        <v>1</v>
      </c>
      <c r="C1198" s="14" t="str">
        <f>equip.xml!C1202</f>
        <v>灵魂壁垒</v>
      </c>
      <c r="D1198" s="14" t="str">
        <f>equip.xml!D1202</f>
        <v>副手武器</v>
      </c>
      <c r="E1198" s="14">
        <f>equip.xml!E1202</f>
        <v>6</v>
      </c>
      <c r="F1198" s="14">
        <f>equip.xml!F1202</f>
        <v>3</v>
      </c>
      <c r="G1198" s="14">
        <f>equip.xml!G1202</f>
        <v>60</v>
      </c>
      <c r="H1198" s="14" t="str">
        <f>equip.xml!H1202</f>
        <v>1,1001</v>
      </c>
      <c r="I1198" s="14">
        <f>equip.xml!J1202</f>
        <v>20</v>
      </c>
      <c r="J1198" s="14">
        <f>equip.xml!K1202</f>
        <v>0</v>
      </c>
      <c r="K1198" s="14">
        <f>equip.xml!L1202</f>
        <v>32500</v>
      </c>
      <c r="L1198" s="14" t="str">
        <f>equip.xml!M1202</f>
        <v>105_2515_2515</v>
      </c>
      <c r="M1198" s="17" t="str">
        <f>equip.xml!Q1202</f>
        <v>equipment/2115.png</v>
      </c>
      <c r="N1198" s="16" t="str">
        <f>equip.xml!P1202</f>
        <v>10000_1002_60000,30000_30001_1,30000_30002_1,30000_30003_1</v>
      </c>
      <c r="O1198">
        <f>equip.xml!R1202</f>
        <v>0</v>
      </c>
    </row>
    <row r="1199" spans="1:15">
      <c r="A1199" s="14" t="str">
        <f>equip.xml!A1203</f>
        <v>30601061</v>
      </c>
      <c r="B1199" s="14">
        <f>equip.xml!B1203</f>
        <v>0</v>
      </c>
      <c r="C1199" s="14" t="str">
        <f>equip.xml!C1203</f>
        <v>尖头盾</v>
      </c>
      <c r="D1199" s="14" t="str">
        <f>equip.xml!D1203</f>
        <v>副手武器</v>
      </c>
      <c r="E1199" s="14">
        <f>equip.xml!E1203</f>
        <v>6</v>
      </c>
      <c r="F1199" s="14">
        <f>equip.xml!F1203</f>
        <v>3</v>
      </c>
      <c r="G1199" s="14">
        <f>equip.xml!G1203</f>
        <v>60</v>
      </c>
      <c r="H1199" s="14" t="str">
        <f>equip.xml!H1203</f>
        <v>1,1001</v>
      </c>
      <c r="I1199" s="14">
        <f>equip.xml!J1203</f>
        <v>20</v>
      </c>
      <c r="J1199" s="14">
        <f>equip.xml!K1203</f>
        <v>0</v>
      </c>
      <c r="K1199" s="14">
        <f>equip.xml!L1203</f>
        <v>35000</v>
      </c>
      <c r="L1199" s="14" t="str">
        <f>equip.xml!M1203</f>
        <v>105_2704_2704</v>
      </c>
      <c r="M1199" s="17" t="str">
        <f>equip.xml!Q1203</f>
        <v>equipment/2101.png</v>
      </c>
      <c r="N1199" s="16" t="str">
        <f>equip.xml!P1203</f>
        <v>10000_1002_60000,30000_30001_1,30000_30002_1,30000_30003_1</v>
      </c>
      <c r="O1199">
        <f>equip.xml!R1203</f>
        <v>0</v>
      </c>
    </row>
    <row r="1200" spans="1:15">
      <c r="A1200" s="14" t="str">
        <f>equip.xml!A1204</f>
        <v>30602050</v>
      </c>
      <c r="B1200" s="14">
        <f>equip.xml!B1204</f>
        <v>1</v>
      </c>
      <c r="C1200" s="14" t="str">
        <f>equip.xml!C1204</f>
        <v>暗之追猎者</v>
      </c>
      <c r="D1200" s="14" t="str">
        <f>equip.xml!D1204</f>
        <v>主手武器</v>
      </c>
      <c r="E1200" s="14">
        <f>equip.xml!E1204</f>
        <v>5</v>
      </c>
      <c r="F1200" s="14">
        <f>equip.xml!F1204</f>
        <v>3</v>
      </c>
      <c r="G1200" s="14">
        <f>equip.xml!G1204</f>
        <v>60</v>
      </c>
      <c r="H1200" s="14" t="str">
        <f>equip.xml!H1204</f>
        <v>2,1002</v>
      </c>
      <c r="I1200" s="14">
        <f>equip.xml!J1204</f>
        <v>20</v>
      </c>
      <c r="J1200" s="14">
        <f>equip.xml!K1204</f>
        <v>0</v>
      </c>
      <c r="K1200" s="14">
        <f>equip.xml!L1204</f>
        <v>32500</v>
      </c>
      <c r="L1200" s="14" t="str">
        <f>equip.xml!M1204</f>
        <v>103_2007_2007,104_4014_4014</v>
      </c>
      <c r="M1200" s="17" t="str">
        <f>equip.xml!Q1204</f>
        <v>equipment/1220.png</v>
      </c>
      <c r="N1200" s="16" t="str">
        <f>equip.xml!P1204</f>
        <v>10000_1002_60000,30000_30001_1,30000_30002_1,30000_30003_1</v>
      </c>
      <c r="O1200">
        <f>equip.xml!R1204</f>
        <v>0</v>
      </c>
    </row>
    <row r="1201" spans="1:15">
      <c r="A1201" s="14" t="str">
        <f>equip.xml!A1205</f>
        <v>30602051</v>
      </c>
      <c r="B1201" s="14">
        <f>equip.xml!B1205</f>
        <v>0</v>
      </c>
      <c r="C1201" s="14" t="str">
        <f>equip.xml!C1205</f>
        <v>棘木弓</v>
      </c>
      <c r="D1201" s="14" t="str">
        <f>equip.xml!D1205</f>
        <v>主手武器</v>
      </c>
      <c r="E1201" s="14">
        <f>equip.xml!E1205</f>
        <v>5</v>
      </c>
      <c r="F1201" s="14">
        <f>equip.xml!F1205</f>
        <v>3</v>
      </c>
      <c r="G1201" s="14">
        <f>equip.xml!G1205</f>
        <v>60</v>
      </c>
      <c r="H1201" s="14" t="str">
        <f>equip.xml!H1205</f>
        <v>2,1002</v>
      </c>
      <c r="I1201" s="14">
        <f>equip.xml!J1205</f>
        <v>20</v>
      </c>
      <c r="J1201" s="14">
        <f>equip.xml!K1205</f>
        <v>0</v>
      </c>
      <c r="K1201" s="14">
        <f>equip.xml!L1205</f>
        <v>35000</v>
      </c>
      <c r="L1201" s="14" t="str">
        <f>equip.xml!M1205</f>
        <v>103_2252_2252,104_4504_4504</v>
      </c>
      <c r="M1201" s="17" t="str">
        <f>equip.xml!Q1205</f>
        <v>equipment/1201.png</v>
      </c>
      <c r="N1201" s="16" t="str">
        <f>equip.xml!P1205</f>
        <v>10000_1002_60000,30000_30001_1,30000_30002_1,30000_30003_1</v>
      </c>
      <c r="O1201">
        <f>equip.xml!R1205</f>
        <v>0</v>
      </c>
    </row>
    <row r="1202" spans="1:15">
      <c r="A1202" s="14" t="str">
        <f>equip.xml!A1206</f>
        <v>30602060</v>
      </c>
      <c r="B1202" s="14">
        <f>equip.xml!B1206</f>
        <v>1</v>
      </c>
      <c r="C1202" s="14" t="str">
        <f>equip.xml!C1206</f>
        <v>猎星箭袋</v>
      </c>
      <c r="D1202" s="14" t="str">
        <f>equip.xml!D1206</f>
        <v>副手武器</v>
      </c>
      <c r="E1202" s="14">
        <f>equip.xml!E1206</f>
        <v>6</v>
      </c>
      <c r="F1202" s="14">
        <f>equip.xml!F1206</f>
        <v>3</v>
      </c>
      <c r="G1202" s="14">
        <f>equip.xml!G1206</f>
        <v>60</v>
      </c>
      <c r="H1202" s="14" t="str">
        <f>equip.xml!H1206</f>
        <v>2,1002</v>
      </c>
      <c r="I1202" s="14">
        <f>equip.xml!J1206</f>
        <v>20</v>
      </c>
      <c r="J1202" s="14">
        <f>equip.xml!K1206</f>
        <v>0</v>
      </c>
      <c r="K1202" s="14">
        <f>equip.xml!L1206</f>
        <v>32500</v>
      </c>
      <c r="L1202" s="14" t="str">
        <f>equip.xml!M1206</f>
        <v>108_2515_2515</v>
      </c>
      <c r="M1202" s="17" t="str">
        <f>equip.xml!Q1206</f>
        <v>equipment/2215.png</v>
      </c>
      <c r="N1202" s="16" t="str">
        <f>equip.xml!P1206</f>
        <v>10000_1002_60000,30000_30001_1,30000_30002_1,30000_30003_1</v>
      </c>
      <c r="O1202">
        <f>equip.xml!R1206</f>
        <v>0</v>
      </c>
    </row>
    <row r="1203" spans="1:15">
      <c r="A1203" s="14" t="str">
        <f>equip.xml!A1207</f>
        <v>30602061</v>
      </c>
      <c r="B1203" s="14">
        <f>equip.xml!B1207</f>
        <v>0</v>
      </c>
      <c r="C1203" s="14" t="str">
        <f>equip.xml!C1207</f>
        <v>箭筒</v>
      </c>
      <c r="D1203" s="14" t="str">
        <f>equip.xml!D1207</f>
        <v>副手武器</v>
      </c>
      <c r="E1203" s="14">
        <f>equip.xml!E1207</f>
        <v>6</v>
      </c>
      <c r="F1203" s="14">
        <f>equip.xml!F1207</f>
        <v>3</v>
      </c>
      <c r="G1203" s="14">
        <f>equip.xml!G1207</f>
        <v>60</v>
      </c>
      <c r="H1203" s="14" t="str">
        <f>equip.xml!H1207</f>
        <v>2,1002</v>
      </c>
      <c r="I1203" s="14">
        <f>equip.xml!J1207</f>
        <v>20</v>
      </c>
      <c r="J1203" s="14">
        <f>equip.xml!K1207</f>
        <v>0</v>
      </c>
      <c r="K1203" s="14">
        <f>equip.xml!L1207</f>
        <v>35000</v>
      </c>
      <c r="L1203" s="14" t="str">
        <f>equip.xml!M1207</f>
        <v>108_2704_2704</v>
      </c>
      <c r="M1203" s="17" t="str">
        <f>equip.xml!Q1207</f>
        <v>equipment/2201.png</v>
      </c>
      <c r="N1203" s="16" t="str">
        <f>equip.xml!P1207</f>
        <v>10000_1002_60000,30000_30001_1,30000_30002_1,30000_30003_1</v>
      </c>
      <c r="O1203">
        <f>equip.xml!R1207</f>
        <v>0</v>
      </c>
    </row>
    <row r="1204" spans="1:15">
      <c r="A1204" s="14" t="str">
        <f>equip.xml!A1208</f>
        <v>30603050</v>
      </c>
      <c r="B1204" s="14">
        <f>equip.xml!B1208</f>
        <v>1</v>
      </c>
      <c r="C1204" s="14" t="str">
        <f>equip.xml!C1208</f>
        <v>无尽回响之杖</v>
      </c>
      <c r="D1204" s="14" t="str">
        <f>equip.xml!D1208</f>
        <v>主手武器</v>
      </c>
      <c r="E1204" s="14">
        <f>equip.xml!E1208</f>
        <v>5</v>
      </c>
      <c r="F1204" s="14">
        <f>equip.xml!F1208</f>
        <v>3</v>
      </c>
      <c r="G1204" s="14">
        <f>equip.xml!G1208</f>
        <v>60</v>
      </c>
      <c r="H1204" s="14" t="str">
        <f>equip.xml!H1208</f>
        <v>3,1003</v>
      </c>
      <c r="I1204" s="14">
        <f>equip.xml!J1208</f>
        <v>20</v>
      </c>
      <c r="J1204" s="14">
        <f>equip.xml!K1208</f>
        <v>0</v>
      </c>
      <c r="K1204" s="14">
        <f>equip.xml!L1208</f>
        <v>32500</v>
      </c>
      <c r="L1204" s="14" t="str">
        <f>equip.xml!M1208</f>
        <v>103_2007_2007,104_4014_4014</v>
      </c>
      <c r="M1204" s="17" t="str">
        <f>equip.xml!Q1208</f>
        <v>equipment/1322.png</v>
      </c>
      <c r="N1204" s="16" t="str">
        <f>equip.xml!P1208</f>
        <v>10000_1002_60000,30000_30001_1,30000_30002_1,30000_30003_1</v>
      </c>
      <c r="O1204">
        <f>equip.xml!R1208</f>
        <v>0</v>
      </c>
    </row>
    <row r="1205" spans="1:15">
      <c r="A1205" s="14" t="str">
        <f>equip.xml!A1209</f>
        <v>30603051</v>
      </c>
      <c r="B1205" s="14">
        <f>equip.xml!B1209</f>
        <v>0</v>
      </c>
      <c r="C1205" s="14" t="str">
        <f>equip.xml!C1209</f>
        <v>日辉法杖</v>
      </c>
      <c r="D1205" s="14" t="str">
        <f>equip.xml!D1209</f>
        <v>主手武器</v>
      </c>
      <c r="E1205" s="14">
        <f>equip.xml!E1209</f>
        <v>5</v>
      </c>
      <c r="F1205" s="14">
        <f>equip.xml!F1209</f>
        <v>3</v>
      </c>
      <c r="G1205" s="14">
        <f>equip.xml!G1209</f>
        <v>60</v>
      </c>
      <c r="H1205" s="14" t="str">
        <f>equip.xml!H1209</f>
        <v>3,1003</v>
      </c>
      <c r="I1205" s="14">
        <f>equip.xml!J1209</f>
        <v>20</v>
      </c>
      <c r="J1205" s="14">
        <f>equip.xml!K1209</f>
        <v>0</v>
      </c>
      <c r="K1205" s="14">
        <f>equip.xml!L1209</f>
        <v>35000</v>
      </c>
      <c r="L1205" s="14" t="str">
        <f>equip.xml!M1209</f>
        <v>103_2252_2252,104_4504_4504</v>
      </c>
      <c r="M1205" s="17" t="str">
        <f>equip.xml!Q1209</f>
        <v>equipment/1301.png</v>
      </c>
      <c r="N1205" s="16" t="str">
        <f>equip.xml!P1209</f>
        <v>10000_1002_60000,30000_30001_1,30000_30002_1,30000_30003_1</v>
      </c>
      <c r="O1205">
        <f>equip.xml!R1209</f>
        <v>0</v>
      </c>
    </row>
    <row r="1206" spans="1:15">
      <c r="A1206" s="14" t="str">
        <f>equip.xml!A1210</f>
        <v>30603060</v>
      </c>
      <c r="B1206" s="14">
        <f>equip.xml!B1210</f>
        <v>1</v>
      </c>
      <c r="C1206" s="14" t="str">
        <f>equip.xml!C1210</f>
        <v>星图指南</v>
      </c>
      <c r="D1206" s="14" t="str">
        <f>equip.xml!D1210</f>
        <v>副手武器</v>
      </c>
      <c r="E1206" s="14">
        <f>equip.xml!E1210</f>
        <v>6</v>
      </c>
      <c r="F1206" s="14">
        <f>equip.xml!F1210</f>
        <v>3</v>
      </c>
      <c r="G1206" s="14">
        <f>equip.xml!G1210</f>
        <v>60</v>
      </c>
      <c r="H1206" s="14" t="str">
        <f>equip.xml!H1210</f>
        <v>3,1003</v>
      </c>
      <c r="I1206" s="14">
        <f>equip.xml!J1210</f>
        <v>20</v>
      </c>
      <c r="J1206" s="14">
        <f>equip.xml!K1210</f>
        <v>0</v>
      </c>
      <c r="K1206" s="14">
        <f>equip.xml!L1210</f>
        <v>32500</v>
      </c>
      <c r="L1206" s="14" t="str">
        <f>equip.xml!M1210</f>
        <v>102_2260_2260</v>
      </c>
      <c r="M1206" s="17" t="str">
        <f>equip.xml!Q1210</f>
        <v>equipment/2315.png</v>
      </c>
      <c r="N1206" s="16" t="str">
        <f>equip.xml!P1210</f>
        <v>10000_1002_60000,30000_30001_1,30000_30002_1,30000_30003_1</v>
      </c>
      <c r="O1206">
        <f>equip.xml!R1210</f>
        <v>0</v>
      </c>
    </row>
    <row r="1207" spans="1:15">
      <c r="A1207" s="14" t="str">
        <f>equip.xml!A1211</f>
        <v>30603061</v>
      </c>
      <c r="B1207" s="14">
        <f>equip.xml!B1211</f>
        <v>0</v>
      </c>
      <c r="C1207" s="14" t="str">
        <f>equip.xml!C1211</f>
        <v>法术指南</v>
      </c>
      <c r="D1207" s="14" t="str">
        <f>equip.xml!D1211</f>
        <v>副手武器</v>
      </c>
      <c r="E1207" s="14">
        <f>equip.xml!E1211</f>
        <v>6</v>
      </c>
      <c r="F1207" s="14">
        <f>equip.xml!F1211</f>
        <v>3</v>
      </c>
      <c r="G1207" s="14">
        <f>equip.xml!G1211</f>
        <v>60</v>
      </c>
      <c r="H1207" s="14" t="str">
        <f>equip.xml!H1211</f>
        <v>3,1003</v>
      </c>
      <c r="I1207" s="14">
        <f>equip.xml!J1211</f>
        <v>20</v>
      </c>
      <c r="J1207" s="14">
        <f>equip.xml!K1211</f>
        <v>0</v>
      </c>
      <c r="K1207" s="14">
        <f>equip.xml!L1211</f>
        <v>35000</v>
      </c>
      <c r="L1207" s="14" t="str">
        <f>equip.xml!M1211</f>
        <v>102_2704_2704</v>
      </c>
      <c r="M1207" s="17" t="str">
        <f>equip.xml!Q1211</f>
        <v>equipment/2301.png</v>
      </c>
      <c r="N1207" s="16" t="str">
        <f>equip.xml!P1211</f>
        <v>10000_1002_60000,30000_30001_1,30000_30002_1,30000_30003_1</v>
      </c>
      <c r="O1207">
        <f>equip.xml!R1211</f>
        <v>0</v>
      </c>
    </row>
    <row r="1208" spans="1:15">
      <c r="A1208" s="14" t="str">
        <f>equip.xml!A1212</f>
        <v>30600040</v>
      </c>
      <c r="B1208" s="14">
        <f>equip.xml!B1212</f>
        <v>1</v>
      </c>
      <c r="C1208" s="14" t="str">
        <f>equip.xml!C1212</f>
        <v>明光战甲</v>
      </c>
      <c r="D1208" s="14" t="str">
        <f>equip.xml!D1212</f>
        <v>胸甲</v>
      </c>
      <c r="E1208" s="14">
        <f>equip.xml!E1212</f>
        <v>4</v>
      </c>
      <c r="F1208" s="14">
        <f>equip.xml!F1212</f>
        <v>3</v>
      </c>
      <c r="G1208" s="14">
        <f>equip.xml!G1212</f>
        <v>60</v>
      </c>
      <c r="H1208" s="14">
        <f>equip.xml!H1212</f>
        <v>0</v>
      </c>
      <c r="I1208" s="14">
        <f>equip.xml!J1212</f>
        <v>20</v>
      </c>
      <c r="J1208" s="14">
        <f>equip.xml!K1212</f>
        <v>0</v>
      </c>
      <c r="K1208" s="14">
        <f>equip.xml!L1212</f>
        <v>32500</v>
      </c>
      <c r="L1208" s="14" t="str">
        <f>equip.xml!M1212</f>
        <v>105_1377_1377</v>
      </c>
      <c r="M1208" s="17" t="str">
        <f>equip.xml!Q1212</f>
        <v>equipment/5016.png</v>
      </c>
      <c r="N1208" s="16" t="str">
        <f>equip.xml!P1212</f>
        <v>10000_1002_60000,30000_30001_1,30000_30002_1,30000_30003_1</v>
      </c>
      <c r="O1208">
        <f>equip.xml!R1212</f>
        <v>0</v>
      </c>
    </row>
    <row r="1209" spans="1:15">
      <c r="A1209" s="14" t="str">
        <f>equip.xml!A1213</f>
        <v>30600041</v>
      </c>
      <c r="B1209" s="14">
        <f>equip.xml!B1213</f>
        <v>0</v>
      </c>
      <c r="C1209" s="14" t="str">
        <f>equip.xml!C1213</f>
        <v>龙骑战甲</v>
      </c>
      <c r="D1209" s="14" t="str">
        <f>equip.xml!D1213</f>
        <v>胸甲</v>
      </c>
      <c r="E1209" s="14">
        <f>equip.xml!E1213</f>
        <v>4</v>
      </c>
      <c r="F1209" s="14">
        <f>equip.xml!F1213</f>
        <v>3</v>
      </c>
      <c r="G1209" s="14">
        <f>equip.xml!G1213</f>
        <v>60</v>
      </c>
      <c r="H1209" s="14">
        <f>equip.xml!H1213</f>
        <v>0</v>
      </c>
      <c r="I1209" s="14">
        <f>equip.xml!J1213</f>
        <v>20</v>
      </c>
      <c r="J1209" s="14">
        <f>equip.xml!K1213</f>
        <v>0</v>
      </c>
      <c r="K1209" s="14">
        <f>equip.xml!L1213</f>
        <v>35000</v>
      </c>
      <c r="L1209" s="14" t="str">
        <f>equip.xml!M1213</f>
        <v>105_1477_1477</v>
      </c>
      <c r="M1209" s="17" t="str">
        <f>equip.xml!Q1213</f>
        <v>equipment/5001.png</v>
      </c>
      <c r="N1209" s="16" t="str">
        <f>equip.xml!P1213</f>
        <v>10000_1002_60000,30000_30001_1,30000_30002_1,30000_30003_1</v>
      </c>
      <c r="O1209">
        <f>equip.xml!R1213</f>
        <v>0</v>
      </c>
    </row>
    <row r="1210" spans="1:15">
      <c r="A1210" s="14" t="str">
        <f>equip.xml!A1214</f>
        <v>30600070</v>
      </c>
      <c r="B1210" s="14">
        <f>equip.xml!B1214</f>
        <v>1</v>
      </c>
      <c r="C1210" s="14" t="str">
        <f>equip.xml!C1214</f>
        <v>深渊护腿</v>
      </c>
      <c r="D1210" s="14" t="str">
        <f>equip.xml!D1214</f>
        <v>护腿</v>
      </c>
      <c r="E1210" s="14">
        <f>equip.xml!E1214</f>
        <v>7</v>
      </c>
      <c r="F1210" s="14">
        <f>equip.xml!F1214</f>
        <v>3</v>
      </c>
      <c r="G1210" s="14">
        <f>equip.xml!G1214</f>
        <v>60</v>
      </c>
      <c r="H1210" s="14">
        <f>equip.xml!H1214</f>
        <v>0</v>
      </c>
      <c r="I1210" s="14">
        <f>equip.xml!J1214</f>
        <v>20</v>
      </c>
      <c r="J1210" s="14">
        <f>equip.xml!K1214</f>
        <v>0</v>
      </c>
      <c r="K1210" s="14">
        <f>equip.xml!L1214</f>
        <v>32500</v>
      </c>
      <c r="L1210" s="14" t="str">
        <f>equip.xml!M1214</f>
        <v>105_1152_1152</v>
      </c>
      <c r="M1210" s="17" t="str">
        <f>equip.xml!Q1214</f>
        <v>equipment/7014.png</v>
      </c>
      <c r="N1210" s="16" t="str">
        <f>equip.xml!P1214</f>
        <v>10000_1002_60000,30000_30001_1,30000_30002_1,30000_30003_1</v>
      </c>
      <c r="O1210">
        <f>equip.xml!R1214</f>
        <v>0</v>
      </c>
    </row>
    <row r="1211" spans="1:15">
      <c r="A1211" s="14" t="str">
        <f>equip.xml!A1215</f>
        <v>30600071</v>
      </c>
      <c r="B1211" s="14">
        <f>equip.xml!B1215</f>
        <v>1</v>
      </c>
      <c r="C1211" s="14" t="str">
        <f>equip.xml!C1215</f>
        <v>光耀腿甲</v>
      </c>
      <c r="D1211" s="14" t="str">
        <f>equip.xml!D1215</f>
        <v>护腿</v>
      </c>
      <c r="E1211" s="14">
        <f>equip.xml!E1215</f>
        <v>7</v>
      </c>
      <c r="F1211" s="14">
        <f>equip.xml!F1215</f>
        <v>3</v>
      </c>
      <c r="G1211" s="14">
        <f>equip.xml!G1215</f>
        <v>60</v>
      </c>
      <c r="H1211" s="14">
        <f>equip.xml!H1215</f>
        <v>0</v>
      </c>
      <c r="I1211" s="14">
        <f>equip.xml!J1215</f>
        <v>20</v>
      </c>
      <c r="J1211" s="14">
        <f>equip.xml!K1215</f>
        <v>0</v>
      </c>
      <c r="K1211" s="14">
        <f>equip.xml!L1215</f>
        <v>35000</v>
      </c>
      <c r="L1211" s="14" t="str">
        <f>equip.xml!M1215</f>
        <v>105_1342_1342</v>
      </c>
      <c r="M1211" s="17" t="str">
        <f>equip.xml!Q1215</f>
        <v>equipment/7015.png</v>
      </c>
      <c r="N1211" s="16" t="str">
        <f>equip.xml!P1215</f>
        <v>10000_1002_60000,30000_30001_1,30000_30002_1,30000_30003_1</v>
      </c>
      <c r="O1211">
        <f>equip.xml!R1215</f>
        <v>0</v>
      </c>
    </row>
    <row r="1212" spans="1:15">
      <c r="A1212" s="14" t="str">
        <f>equip.xml!A1216</f>
        <v>30650010</v>
      </c>
      <c r="B1212" s="14">
        <f>equip.xml!B1216</f>
        <v>1</v>
      </c>
      <c r="C1212" s="14" t="str">
        <f>equip.xml!C1216</f>
        <v>虚空之冠</v>
      </c>
      <c r="D1212" s="14" t="str">
        <f>equip.xml!D1216</f>
        <v>头盔</v>
      </c>
      <c r="E1212" s="14">
        <f>equip.xml!E1216</f>
        <v>1</v>
      </c>
      <c r="F1212" s="14">
        <f>equip.xml!F1216</f>
        <v>3</v>
      </c>
      <c r="G1212" s="14">
        <f>equip.xml!G1216</f>
        <v>65</v>
      </c>
      <c r="H1212" s="14">
        <f>equip.xml!H1216</f>
        <v>0</v>
      </c>
      <c r="I1212" s="14">
        <f>equip.xml!J1216</f>
        <v>20</v>
      </c>
      <c r="J1212" s="14">
        <f>equip.xml!K1216</f>
        <v>0</v>
      </c>
      <c r="K1212" s="14">
        <f>equip.xml!L1216</f>
        <v>35000</v>
      </c>
      <c r="L1212" s="14" t="str">
        <f>equip.xml!M1216</f>
        <v>106_2015_2015</v>
      </c>
      <c r="M1212" s="17" t="str">
        <f>equip.xml!Q1216</f>
        <v>equipment/3011.png</v>
      </c>
      <c r="N1212" s="16" t="str">
        <f>equip.xml!P1216</f>
        <v>10000_1002_65000,30000_30001_1,30000_30002_1,30000_30003_1</v>
      </c>
      <c r="O1212">
        <f>equip.xml!R1216</f>
        <v>0</v>
      </c>
    </row>
    <row r="1213" spans="1:15">
      <c r="A1213" s="14" t="str">
        <f>equip.xml!A1217</f>
        <v>30650020</v>
      </c>
      <c r="B1213" s="14">
        <f>equip.xml!B1217</f>
        <v>1</v>
      </c>
      <c r="C1213" s="14" t="str">
        <f>equip.xml!C1217</f>
        <v>圣火指环</v>
      </c>
      <c r="D1213" s="14" t="str">
        <f>equip.xml!D1217</f>
        <v>戒指</v>
      </c>
      <c r="E1213" s="14">
        <f>equip.xml!E1217</f>
        <v>2</v>
      </c>
      <c r="F1213" s="14">
        <f>equip.xml!F1217</f>
        <v>3</v>
      </c>
      <c r="G1213" s="14">
        <f>equip.xml!G1217</f>
        <v>65</v>
      </c>
      <c r="H1213" s="14">
        <f>equip.xml!H1217</f>
        <v>0</v>
      </c>
      <c r="I1213" s="14">
        <f>equip.xml!J1217</f>
        <v>20</v>
      </c>
      <c r="J1213" s="14">
        <f>equip.xml!K1217</f>
        <v>0</v>
      </c>
      <c r="K1213" s="14">
        <f>equip.xml!L1217</f>
        <v>35000</v>
      </c>
      <c r="L1213" s="14" t="str">
        <f>equip.xml!M1217</f>
        <v>102_1470_1470</v>
      </c>
      <c r="M1213" s="17" t="str">
        <f>equip.xml!Q1217</f>
        <v>equipment/14011.png</v>
      </c>
      <c r="N1213" s="16" t="str">
        <f>equip.xml!P1217</f>
        <v>10000_1002_65000,30000_30001_1,30000_30002_1,30000_30003_1</v>
      </c>
      <c r="O1213">
        <f>equip.xml!R1217</f>
        <v>0</v>
      </c>
    </row>
    <row r="1214" spans="1:15">
      <c r="A1214" s="14" t="str">
        <f>equip.xml!A1218</f>
        <v>30650030</v>
      </c>
      <c r="B1214" s="14">
        <f>equip.xml!B1218</f>
        <v>1</v>
      </c>
      <c r="C1214" s="14" t="str">
        <f>equip.xml!C1218</f>
        <v>统御腰带</v>
      </c>
      <c r="D1214" s="14" t="str">
        <f>equip.xml!D1218</f>
        <v>腰带</v>
      </c>
      <c r="E1214" s="14">
        <f>equip.xml!E1218</f>
        <v>3</v>
      </c>
      <c r="F1214" s="14">
        <f>equip.xml!F1218</f>
        <v>3</v>
      </c>
      <c r="G1214" s="14">
        <f>equip.xml!G1218</f>
        <v>65</v>
      </c>
      <c r="H1214" s="14">
        <f>equip.xml!H1218</f>
        <v>0</v>
      </c>
      <c r="I1214" s="14">
        <f>equip.xml!J1218</f>
        <v>20</v>
      </c>
      <c r="J1214" s="14">
        <f>equip.xml!K1218</f>
        <v>0</v>
      </c>
      <c r="K1214" s="14">
        <f>equip.xml!L1218</f>
        <v>35000</v>
      </c>
      <c r="L1214" s="14" t="str">
        <f>equip.xml!M1218</f>
        <v>101_16900_16900</v>
      </c>
      <c r="M1214" s="17" t="str">
        <f>equip.xml!Q1218</f>
        <v>equipment/6011.png</v>
      </c>
      <c r="N1214" s="16" t="str">
        <f>equip.xml!P1218</f>
        <v>10000_1002_65000,30000_30001_1,30000_30002_1,30000_30003_1</v>
      </c>
      <c r="O1214">
        <f>equip.xml!R1218</f>
        <v>0</v>
      </c>
    </row>
    <row r="1215" spans="1:15">
      <c r="A1215" s="14" t="str">
        <f>equip.xml!A1219</f>
        <v>30650080</v>
      </c>
      <c r="B1215" s="14">
        <f>equip.xml!B1219</f>
        <v>1</v>
      </c>
      <c r="C1215" s="14" t="str">
        <f>equip.xml!C1219</f>
        <v>狱火战靴</v>
      </c>
      <c r="D1215" s="14" t="str">
        <f>equip.xml!D1219</f>
        <v>鞋子</v>
      </c>
      <c r="E1215" s="14">
        <f>equip.xml!E1219</f>
        <v>8</v>
      </c>
      <c r="F1215" s="14">
        <f>equip.xml!F1219</f>
        <v>3</v>
      </c>
      <c r="G1215" s="14">
        <f>equip.xml!G1219</f>
        <v>65</v>
      </c>
      <c r="H1215" s="14">
        <f>equip.xml!H1219</f>
        <v>0</v>
      </c>
      <c r="I1215" s="14">
        <f>equip.xml!J1219</f>
        <v>20</v>
      </c>
      <c r="J1215" s="14">
        <f>equip.xml!K1219</f>
        <v>0</v>
      </c>
      <c r="K1215" s="14">
        <f>equip.xml!L1219</f>
        <v>35000</v>
      </c>
      <c r="L1215" s="14" t="str">
        <f>equip.xml!M1219</f>
        <v>110_352_352</v>
      </c>
      <c r="M1215" s="17" t="str">
        <f>equip.xml!Q1219</f>
        <v>equipment/8011.png</v>
      </c>
      <c r="N1215" s="16" t="str">
        <f>equip.xml!P1219</f>
        <v>10000_1002_65000,30000_30001_1,30000_30002_1,30000_30003_1</v>
      </c>
      <c r="O1215">
        <f>equip.xml!R1219</f>
        <v>0</v>
      </c>
    </row>
    <row r="1216" spans="1:15">
      <c r="A1216" s="14" t="str">
        <f>equip.xml!A1220</f>
        <v>30650090</v>
      </c>
      <c r="B1216" s="14">
        <f>equip.xml!B1220</f>
        <v>1</v>
      </c>
      <c r="C1216" s="14" t="str">
        <f>equip.xml!C1220</f>
        <v>荣耀先驱护手</v>
      </c>
      <c r="D1216" s="14" t="str">
        <f>equip.xml!D1220</f>
        <v>手套</v>
      </c>
      <c r="E1216" s="14">
        <f>equip.xml!E1220</f>
        <v>9</v>
      </c>
      <c r="F1216" s="14">
        <f>equip.xml!F1220</f>
        <v>3</v>
      </c>
      <c r="G1216" s="14">
        <f>equip.xml!G1220</f>
        <v>65</v>
      </c>
      <c r="H1216" s="14">
        <f>equip.xml!H1220</f>
        <v>0</v>
      </c>
      <c r="I1216" s="14">
        <f>equip.xml!J1220</f>
        <v>20</v>
      </c>
      <c r="J1216" s="14">
        <f>equip.xml!K1220</f>
        <v>0</v>
      </c>
      <c r="K1216" s="14">
        <f>equip.xml!L1220</f>
        <v>35000</v>
      </c>
      <c r="L1216" s="14" t="str">
        <f>equip.xml!M1220</f>
        <v>108_3884_3884</v>
      </c>
      <c r="M1216" s="17" t="str">
        <f>equip.xml!Q1220</f>
        <v>equipment/10011.png</v>
      </c>
      <c r="N1216" s="16" t="str">
        <f>equip.xml!P1220</f>
        <v>10000_1002_65000,30000_30001_1,30000_30002_1,30000_30003_1</v>
      </c>
      <c r="O1216">
        <f>equip.xml!R1220</f>
        <v>0</v>
      </c>
    </row>
    <row r="1217" spans="1:15">
      <c r="A1217" s="14" t="str">
        <f>equip.xml!A1221</f>
        <v>30650100</v>
      </c>
      <c r="B1217" s="14">
        <f>equip.xml!B1221</f>
        <v>1</v>
      </c>
      <c r="C1217" s="14" t="str">
        <f>equip.xml!C1221</f>
        <v>救赎坠饰</v>
      </c>
      <c r="D1217" s="14" t="str">
        <f>equip.xml!D1221</f>
        <v>项链</v>
      </c>
      <c r="E1217" s="14">
        <f>equip.xml!E1221</f>
        <v>10</v>
      </c>
      <c r="F1217" s="14">
        <f>equip.xml!F1221</f>
        <v>3</v>
      </c>
      <c r="G1217" s="14">
        <f>equip.xml!G1221</f>
        <v>65</v>
      </c>
      <c r="H1217" s="14">
        <f>equip.xml!H1221</f>
        <v>0</v>
      </c>
      <c r="I1217" s="14">
        <f>equip.xml!J1221</f>
        <v>20</v>
      </c>
      <c r="J1217" s="14">
        <f>equip.xml!K1221</f>
        <v>0</v>
      </c>
      <c r="K1217" s="14">
        <f>equip.xml!L1221</f>
        <v>35000</v>
      </c>
      <c r="L1217" s="14" t="str">
        <f>equip.xml!M1221</f>
        <v>107_2015_2015</v>
      </c>
      <c r="M1217" s="17" t="str">
        <f>equip.xml!Q1221</f>
        <v>equipment/12011.png</v>
      </c>
      <c r="N1217" s="16" t="str">
        <f>equip.xml!P1221</f>
        <v>10000_1002_65000,30000_30001_1,30000_30002_1,30000_30003_1</v>
      </c>
      <c r="O1217">
        <f>equip.xml!R1221</f>
        <v>0</v>
      </c>
    </row>
    <row r="1218" spans="1:15">
      <c r="A1218" s="14" t="str">
        <f>equip.xml!A1222</f>
        <v>30651050</v>
      </c>
      <c r="B1218" s="14">
        <f>equip.xml!B1222</f>
        <v>1</v>
      </c>
      <c r="C1218" s="14" t="str">
        <f>equip.xml!C1222</f>
        <v>魂歌之刃</v>
      </c>
      <c r="D1218" s="14" t="str">
        <f>equip.xml!D1222</f>
        <v>主手武器</v>
      </c>
      <c r="E1218" s="14">
        <f>equip.xml!E1222</f>
        <v>5</v>
      </c>
      <c r="F1218" s="14">
        <f>equip.xml!F1222</f>
        <v>3</v>
      </c>
      <c r="G1218" s="14">
        <f>equip.xml!G1222</f>
        <v>65</v>
      </c>
      <c r="H1218" s="14" t="str">
        <f>equip.xml!H1222</f>
        <v>1,1001</v>
      </c>
      <c r="I1218" s="14">
        <f>equip.xml!J1222</f>
        <v>20</v>
      </c>
      <c r="J1218" s="14">
        <f>equip.xml!K1222</f>
        <v>0</v>
      </c>
      <c r="K1218" s="14">
        <f>equip.xml!L1222</f>
        <v>35000</v>
      </c>
      <c r="L1218" s="14" t="str">
        <f>equip.xml!M1222</f>
        <v>103_2619_2619,104_5238_5238</v>
      </c>
      <c r="M1218" s="17" t="str">
        <f>equip.xml!Q1222</f>
        <v>equipment/1123.png</v>
      </c>
      <c r="N1218" s="16" t="str">
        <f>equip.xml!P1222</f>
        <v>10000_1002_65000,30000_30001_1,30000_30002_1,30000_30003_1</v>
      </c>
      <c r="O1218">
        <f>equip.xml!R1222</f>
        <v>0</v>
      </c>
    </row>
    <row r="1219" spans="1:15">
      <c r="A1219" s="14" t="str">
        <f>equip.xml!A1223</f>
        <v>30651051</v>
      </c>
      <c r="B1219" s="14">
        <f>equip.xml!B1223</f>
        <v>0</v>
      </c>
      <c r="C1219" s="14" t="str">
        <f>equip.xml!C1223</f>
        <v>命运</v>
      </c>
      <c r="D1219" s="14" t="str">
        <f>equip.xml!D1223</f>
        <v>主手武器</v>
      </c>
      <c r="E1219" s="14">
        <f>equip.xml!E1223</f>
        <v>5</v>
      </c>
      <c r="F1219" s="14">
        <f>equip.xml!F1223</f>
        <v>3</v>
      </c>
      <c r="G1219" s="14">
        <f>equip.xml!G1223</f>
        <v>65</v>
      </c>
      <c r="H1219" s="14" t="str">
        <f>equip.xml!H1223</f>
        <v>1,1001</v>
      </c>
      <c r="I1219" s="14">
        <f>equip.xml!J1223</f>
        <v>20</v>
      </c>
      <c r="J1219" s="14">
        <f>equip.xml!K1223</f>
        <v>0</v>
      </c>
      <c r="K1219" s="14">
        <f>equip.xml!L1223</f>
        <v>37500</v>
      </c>
      <c r="L1219" s="14" t="str">
        <f>equip.xml!M1223</f>
        <v>103_2854_2854,104_5708_5708</v>
      </c>
      <c r="M1219" s="17" t="str">
        <f>equip.xml!Q1223</f>
        <v>equipment/1101.png</v>
      </c>
      <c r="N1219" s="16" t="str">
        <f>equip.xml!P1223</f>
        <v>10000_1002_65000,30000_30001_1,30000_30002_1,30000_30003_1</v>
      </c>
      <c r="O1219">
        <f>equip.xml!R1223</f>
        <v>0</v>
      </c>
    </row>
    <row r="1220" spans="1:15">
      <c r="A1220" s="14" t="str">
        <f>equip.xml!A1224</f>
        <v>30651060</v>
      </c>
      <c r="B1220" s="14">
        <f>equip.xml!B1224</f>
        <v>1</v>
      </c>
      <c r="C1220" s="14" t="str">
        <f>equip.xml!C1224</f>
        <v>日怒之盾</v>
      </c>
      <c r="D1220" s="14" t="str">
        <f>equip.xml!D1224</f>
        <v>副手武器</v>
      </c>
      <c r="E1220" s="14">
        <f>equip.xml!E1224</f>
        <v>6</v>
      </c>
      <c r="F1220" s="14">
        <f>equip.xml!F1224</f>
        <v>3</v>
      </c>
      <c r="G1220" s="14">
        <f>equip.xml!G1224</f>
        <v>65</v>
      </c>
      <c r="H1220" s="14" t="str">
        <f>equip.xml!H1224</f>
        <v>1,1001</v>
      </c>
      <c r="I1220" s="14">
        <f>equip.xml!J1224</f>
        <v>20</v>
      </c>
      <c r="J1220" s="14">
        <f>equip.xml!K1224</f>
        <v>0</v>
      </c>
      <c r="K1220" s="14">
        <f>equip.xml!L1224</f>
        <v>35000</v>
      </c>
      <c r="L1220" s="14" t="str">
        <f>equip.xml!M1224</f>
        <v>105_2988_2988</v>
      </c>
      <c r="M1220" s="17" t="str">
        <f>equip.xml!Q1224</f>
        <v>equipment/2116.png</v>
      </c>
      <c r="N1220" s="16" t="str">
        <f>equip.xml!P1224</f>
        <v>10000_1002_65000,30000_30001_1,30000_30002_1,30000_30003_1</v>
      </c>
      <c r="O1220">
        <f>equip.xml!R1224</f>
        <v>0</v>
      </c>
    </row>
    <row r="1221" spans="1:15">
      <c r="A1221" s="14" t="str">
        <f>equip.xml!A1225</f>
        <v>30651061</v>
      </c>
      <c r="B1221" s="14">
        <f>equip.xml!B1225</f>
        <v>0</v>
      </c>
      <c r="C1221" s="14" t="str">
        <f>equip.xml!C1225</f>
        <v>尖头盾</v>
      </c>
      <c r="D1221" s="14" t="str">
        <f>equip.xml!D1225</f>
        <v>副手武器</v>
      </c>
      <c r="E1221" s="14">
        <f>equip.xml!E1225</f>
        <v>6</v>
      </c>
      <c r="F1221" s="14">
        <f>equip.xml!F1225</f>
        <v>3</v>
      </c>
      <c r="G1221" s="14">
        <f>equip.xml!G1225</f>
        <v>65</v>
      </c>
      <c r="H1221" s="14" t="str">
        <f>equip.xml!H1225</f>
        <v>1,1001</v>
      </c>
      <c r="I1221" s="14">
        <f>equip.xml!J1225</f>
        <v>20</v>
      </c>
      <c r="J1221" s="14">
        <f>equip.xml!K1225</f>
        <v>0</v>
      </c>
      <c r="K1221" s="14">
        <f>equip.xml!L1225</f>
        <v>37500</v>
      </c>
      <c r="L1221" s="14" t="str">
        <f>equip.xml!M1225</f>
        <v>105_2988_2988</v>
      </c>
      <c r="M1221" s="17" t="str">
        <f>equip.xml!Q1225</f>
        <v>equipment/2101.png</v>
      </c>
      <c r="N1221" s="16" t="str">
        <f>equip.xml!P1225</f>
        <v>10000_1002_65000,30000_30001_1,30000_30002_1,30000_30003_1</v>
      </c>
      <c r="O1221">
        <f>equip.xml!R1225</f>
        <v>0</v>
      </c>
    </row>
    <row r="1222" spans="1:15">
      <c r="A1222" s="14" t="str">
        <f>equip.xml!A1226</f>
        <v>30652050</v>
      </c>
      <c r="B1222" s="14">
        <f>equip.xml!B1226</f>
        <v>1</v>
      </c>
      <c r="C1222" s="14" t="str">
        <f>equip.xml!C1226</f>
        <v>憎恨之击</v>
      </c>
      <c r="D1222" s="14" t="str">
        <f>equip.xml!D1226</f>
        <v>主手武器</v>
      </c>
      <c r="E1222" s="14">
        <f>equip.xml!E1226</f>
        <v>5</v>
      </c>
      <c r="F1222" s="14">
        <f>equip.xml!F1226</f>
        <v>3</v>
      </c>
      <c r="G1222" s="14">
        <f>equip.xml!G1226</f>
        <v>65</v>
      </c>
      <c r="H1222" s="14" t="str">
        <f>equip.xml!H1226</f>
        <v>2,1002</v>
      </c>
      <c r="I1222" s="14">
        <f>equip.xml!J1226</f>
        <v>20</v>
      </c>
      <c r="J1222" s="14">
        <f>equip.xml!K1226</f>
        <v>0</v>
      </c>
      <c r="K1222" s="14">
        <f>equip.xml!L1226</f>
        <v>35000</v>
      </c>
      <c r="L1222" s="14" t="str">
        <f>equip.xml!M1226</f>
        <v>103_2619_2619,104_5238_5238</v>
      </c>
      <c r="M1222" s="17" t="str">
        <f>equip.xml!Q1226</f>
        <v>equipment/1224.png</v>
      </c>
      <c r="N1222" s="16" t="str">
        <f>equip.xml!P1226</f>
        <v>10000_1002_65000,30000_30001_1,30000_30002_1,30000_30003_1</v>
      </c>
      <c r="O1222">
        <f>equip.xml!R1226</f>
        <v>0</v>
      </c>
    </row>
    <row r="1223" spans="1:15">
      <c r="A1223" s="14" t="str">
        <f>equip.xml!A1227</f>
        <v>30652051</v>
      </c>
      <c r="B1223" s="14">
        <f>equip.xml!B1227</f>
        <v>0</v>
      </c>
      <c r="C1223" s="14" t="str">
        <f>equip.xml!C1227</f>
        <v>日怒凰弓</v>
      </c>
      <c r="D1223" s="14" t="str">
        <f>equip.xml!D1227</f>
        <v>主手武器</v>
      </c>
      <c r="E1223" s="14">
        <f>equip.xml!E1227</f>
        <v>5</v>
      </c>
      <c r="F1223" s="14">
        <f>equip.xml!F1227</f>
        <v>3</v>
      </c>
      <c r="G1223" s="14">
        <f>equip.xml!G1227</f>
        <v>65</v>
      </c>
      <c r="H1223" s="14" t="str">
        <f>equip.xml!H1227</f>
        <v>2,1002</v>
      </c>
      <c r="I1223" s="14">
        <f>equip.xml!J1227</f>
        <v>20</v>
      </c>
      <c r="J1223" s="14">
        <f>equip.xml!K1227</f>
        <v>0</v>
      </c>
      <c r="K1223" s="14">
        <f>equip.xml!L1227</f>
        <v>37500</v>
      </c>
      <c r="L1223" s="14" t="str">
        <f>equip.xml!M1227</f>
        <v>103_2854_2854,104_5708_5708</v>
      </c>
      <c r="M1223" s="17" t="str">
        <f>equip.xml!Q1227</f>
        <v>equipment/1201.png</v>
      </c>
      <c r="N1223" s="16" t="str">
        <f>equip.xml!P1227</f>
        <v>10000_1002_65000,30000_30001_1,30000_30002_1,30000_30003_1</v>
      </c>
      <c r="O1223">
        <f>equip.xml!R1227</f>
        <v>0</v>
      </c>
    </row>
    <row r="1224" spans="1:15">
      <c r="A1224" s="14" t="str">
        <f>equip.xml!A1228</f>
        <v>30652060</v>
      </c>
      <c r="B1224" s="14">
        <f>equip.xml!B1228</f>
        <v>1</v>
      </c>
      <c r="C1224" s="14" t="str">
        <f>equip.xml!C1228</f>
        <v>追噬之矢</v>
      </c>
      <c r="D1224" s="14" t="str">
        <f>equip.xml!D1228</f>
        <v>副手武器</v>
      </c>
      <c r="E1224" s="14">
        <f>equip.xml!E1228</f>
        <v>6</v>
      </c>
      <c r="F1224" s="14">
        <f>equip.xml!F1228</f>
        <v>3</v>
      </c>
      <c r="G1224" s="14">
        <f>equip.xml!G1228</f>
        <v>65</v>
      </c>
      <c r="H1224" s="14" t="str">
        <f>equip.xml!H1228</f>
        <v>2,1002</v>
      </c>
      <c r="I1224" s="14">
        <f>equip.xml!J1228</f>
        <v>20</v>
      </c>
      <c r="J1224" s="14">
        <f>equip.xml!K1228</f>
        <v>0</v>
      </c>
      <c r="K1224" s="14">
        <f>equip.xml!L1228</f>
        <v>35000</v>
      </c>
      <c r="L1224" s="14" t="str">
        <f>equip.xml!M1228</f>
        <v>108_2988_2988</v>
      </c>
      <c r="M1224" s="17" t="str">
        <f>equip.xml!Q1228</f>
        <v>equipment/2216.png</v>
      </c>
      <c r="N1224" s="16" t="str">
        <f>equip.xml!P1228</f>
        <v>10000_1002_65000,30000_30001_1,30000_30002_1,30000_30003_1</v>
      </c>
      <c r="O1224">
        <f>equip.xml!R1228</f>
        <v>0</v>
      </c>
    </row>
    <row r="1225" spans="1:15">
      <c r="A1225" s="14" t="str">
        <f>equip.xml!A1229</f>
        <v>30652061</v>
      </c>
      <c r="B1225" s="14">
        <f>equip.xml!B1229</f>
        <v>0</v>
      </c>
      <c r="C1225" s="14" t="str">
        <f>equip.xml!C1229</f>
        <v>箭筒</v>
      </c>
      <c r="D1225" s="14" t="str">
        <f>equip.xml!D1229</f>
        <v>副手武器</v>
      </c>
      <c r="E1225" s="14">
        <f>equip.xml!E1229</f>
        <v>6</v>
      </c>
      <c r="F1225" s="14">
        <f>equip.xml!F1229</f>
        <v>3</v>
      </c>
      <c r="G1225" s="14">
        <f>equip.xml!G1229</f>
        <v>65</v>
      </c>
      <c r="H1225" s="14" t="str">
        <f>equip.xml!H1229</f>
        <v>2,1002</v>
      </c>
      <c r="I1225" s="14">
        <f>equip.xml!J1229</f>
        <v>20</v>
      </c>
      <c r="J1225" s="14">
        <f>equip.xml!K1229</f>
        <v>0</v>
      </c>
      <c r="K1225" s="14">
        <f>equip.xml!L1229</f>
        <v>37500</v>
      </c>
      <c r="L1225" s="14" t="str">
        <f>equip.xml!M1229</f>
        <v>108_2988_2988</v>
      </c>
      <c r="M1225" s="17" t="str">
        <f>equip.xml!Q1229</f>
        <v>equipment/2201.png</v>
      </c>
      <c r="N1225" s="16" t="str">
        <f>equip.xml!P1229</f>
        <v>10000_1002_65000,30000_30001_1,30000_30002_1,30000_30003_1</v>
      </c>
      <c r="O1225">
        <f>equip.xml!R1229</f>
        <v>0</v>
      </c>
    </row>
    <row r="1226" spans="1:15">
      <c r="A1226" s="14" t="str">
        <f>equip.xml!A1230</f>
        <v>30653050</v>
      </c>
      <c r="B1226" s="14">
        <f>equip.xml!B1230</f>
        <v>1</v>
      </c>
      <c r="C1226" s="14" t="str">
        <f>equip.xml!C1230</f>
        <v>时轮金杖</v>
      </c>
      <c r="D1226" s="14" t="str">
        <f>equip.xml!D1230</f>
        <v>主手武器</v>
      </c>
      <c r="E1226" s="14">
        <f>equip.xml!E1230</f>
        <v>5</v>
      </c>
      <c r="F1226" s="14">
        <f>equip.xml!F1230</f>
        <v>3</v>
      </c>
      <c r="G1226" s="14">
        <f>equip.xml!G1230</f>
        <v>65</v>
      </c>
      <c r="H1226" s="14" t="str">
        <f>equip.xml!H1230</f>
        <v>3,1003</v>
      </c>
      <c r="I1226" s="14">
        <f>equip.xml!J1230</f>
        <v>20</v>
      </c>
      <c r="J1226" s="14">
        <f>equip.xml!K1230</f>
        <v>0</v>
      </c>
      <c r="K1226" s="14">
        <f>equip.xml!L1230</f>
        <v>35000</v>
      </c>
      <c r="L1226" s="14" t="str">
        <f>equip.xml!M1230</f>
        <v>103_2619_2619,104_5238_5238</v>
      </c>
      <c r="M1226" s="17" t="str">
        <f>equip.xml!Q1230</f>
        <v>equipment/1323.png</v>
      </c>
      <c r="N1226" s="16" t="str">
        <f>equip.xml!P1230</f>
        <v>10000_1002_65000,30000_30001_1,30000_30002_1,30000_30003_1</v>
      </c>
      <c r="O1226">
        <f>equip.xml!R1230</f>
        <v>0</v>
      </c>
    </row>
    <row r="1227" spans="1:15">
      <c r="A1227" s="14" t="str">
        <f>equip.xml!A1231</f>
        <v>30653051</v>
      </c>
      <c r="B1227" s="14">
        <f>equip.xml!B1231</f>
        <v>0</v>
      </c>
      <c r="C1227" s="14" t="str">
        <f>equip.xml!C1231</f>
        <v>学徒法杖</v>
      </c>
      <c r="D1227" s="14" t="str">
        <f>equip.xml!D1231</f>
        <v>主手武器</v>
      </c>
      <c r="E1227" s="14">
        <f>equip.xml!E1231</f>
        <v>5</v>
      </c>
      <c r="F1227" s="14">
        <f>equip.xml!F1231</f>
        <v>3</v>
      </c>
      <c r="G1227" s="14">
        <f>equip.xml!G1231</f>
        <v>65</v>
      </c>
      <c r="H1227" s="14" t="str">
        <f>equip.xml!H1231</f>
        <v>3,1003</v>
      </c>
      <c r="I1227" s="14">
        <f>equip.xml!J1231</f>
        <v>20</v>
      </c>
      <c r="J1227" s="14">
        <f>equip.xml!K1231</f>
        <v>0</v>
      </c>
      <c r="K1227" s="14">
        <f>equip.xml!L1231</f>
        <v>37500</v>
      </c>
      <c r="L1227" s="14" t="str">
        <f>equip.xml!M1231</f>
        <v>103_2854_2854,104_5708_5708</v>
      </c>
      <c r="M1227" s="17" t="str">
        <f>equip.xml!Q1231</f>
        <v>equipment/1301.png</v>
      </c>
      <c r="N1227" s="16" t="str">
        <f>equip.xml!P1231</f>
        <v>10000_1002_65000,30000_30001_1,30000_30002_1,30000_30003_1</v>
      </c>
      <c r="O1227">
        <f>equip.xml!R1231</f>
        <v>0</v>
      </c>
    </row>
    <row r="1228" spans="1:15">
      <c r="A1228" s="14" t="str">
        <f>equip.xml!A1232</f>
        <v>30653060</v>
      </c>
      <c r="B1228" s="14">
        <f>equip.xml!B1232</f>
        <v>1</v>
      </c>
      <c r="C1228" s="14" t="str">
        <f>equip.xml!C1232</f>
        <v>龙语秘典</v>
      </c>
      <c r="D1228" s="14" t="str">
        <f>equip.xml!D1232</f>
        <v>副手武器</v>
      </c>
      <c r="E1228" s="14">
        <f>equip.xml!E1232</f>
        <v>6</v>
      </c>
      <c r="F1228" s="14">
        <f>equip.xml!F1232</f>
        <v>3</v>
      </c>
      <c r="G1228" s="14">
        <f>equip.xml!G1232</f>
        <v>65</v>
      </c>
      <c r="H1228" s="14" t="str">
        <f>equip.xml!H1232</f>
        <v>3,1003</v>
      </c>
      <c r="I1228" s="14">
        <f>equip.xml!J1232</f>
        <v>20</v>
      </c>
      <c r="J1228" s="14">
        <f>equip.xml!K1232</f>
        <v>0</v>
      </c>
      <c r="K1228" s="14">
        <f>equip.xml!L1232</f>
        <v>35000</v>
      </c>
      <c r="L1228" s="14" t="str">
        <f>equip.xml!M1232</f>
        <v>102_2620_2620</v>
      </c>
      <c r="M1228" s="17" t="str">
        <f>equip.xml!Q1232</f>
        <v>equipment/2317.png</v>
      </c>
      <c r="N1228" s="16" t="str">
        <f>equip.xml!P1232</f>
        <v>10000_1002_65000,30000_30001_1,30000_30002_1,30000_30003_1</v>
      </c>
      <c r="O1228">
        <f>equip.xml!R1232</f>
        <v>0</v>
      </c>
    </row>
    <row r="1229" spans="1:15">
      <c r="A1229" s="14" t="str">
        <f>equip.xml!A1233</f>
        <v>30653061</v>
      </c>
      <c r="B1229" s="14">
        <f>equip.xml!B1233</f>
        <v>0</v>
      </c>
      <c r="C1229" s="14" t="str">
        <f>equip.xml!C1233</f>
        <v>法术指南</v>
      </c>
      <c r="D1229" s="14" t="str">
        <f>equip.xml!D1233</f>
        <v>副手武器</v>
      </c>
      <c r="E1229" s="14">
        <f>equip.xml!E1233</f>
        <v>6</v>
      </c>
      <c r="F1229" s="14">
        <f>equip.xml!F1233</f>
        <v>3</v>
      </c>
      <c r="G1229" s="14">
        <f>equip.xml!G1233</f>
        <v>65</v>
      </c>
      <c r="H1229" s="14" t="str">
        <f>equip.xml!H1233</f>
        <v>3,1003</v>
      </c>
      <c r="I1229" s="14">
        <f>equip.xml!J1233</f>
        <v>20</v>
      </c>
      <c r="J1229" s="14">
        <f>equip.xml!K1233</f>
        <v>0</v>
      </c>
      <c r="K1229" s="14">
        <f>equip.xml!L1233</f>
        <v>37500</v>
      </c>
      <c r="L1229" s="14" t="str">
        <f>equip.xml!M1233</f>
        <v>102_2988_2988</v>
      </c>
      <c r="M1229" s="17" t="str">
        <f>equip.xml!Q1233</f>
        <v>equipment/2301.png</v>
      </c>
      <c r="N1229" s="16" t="str">
        <f>equip.xml!P1233</f>
        <v>10000_1002_65000,30000_30001_1,30000_30002_1,30000_30003_1</v>
      </c>
      <c r="O1229">
        <f>equip.xml!R1233</f>
        <v>0</v>
      </c>
    </row>
    <row r="1230" spans="1:15">
      <c r="A1230" s="14" t="str">
        <f>equip.xml!A1234</f>
        <v>30650040</v>
      </c>
      <c r="B1230" s="14">
        <f>equip.xml!B1234</f>
        <v>1</v>
      </c>
      <c r="C1230" s="14" t="str">
        <f>equip.xml!C1234</f>
        <v>末世胸铠</v>
      </c>
      <c r="D1230" s="14" t="str">
        <f>equip.xml!D1234</f>
        <v>胸甲</v>
      </c>
      <c r="E1230" s="14">
        <f>equip.xml!E1234</f>
        <v>4</v>
      </c>
      <c r="F1230" s="14">
        <f>equip.xml!F1234</f>
        <v>3</v>
      </c>
      <c r="G1230" s="14">
        <f>equip.xml!G1234</f>
        <v>65</v>
      </c>
      <c r="H1230" s="14">
        <f>equip.xml!H1234</f>
        <v>0</v>
      </c>
      <c r="I1230" s="14">
        <f>equip.xml!J1234</f>
        <v>20</v>
      </c>
      <c r="J1230" s="14">
        <f>equip.xml!K1234</f>
        <v>0</v>
      </c>
      <c r="K1230" s="14">
        <f>equip.xml!L1234</f>
        <v>35000</v>
      </c>
      <c r="L1230" s="14" t="str">
        <f>equip.xml!M1234</f>
        <v>105_1628_1628</v>
      </c>
      <c r="M1230" s="17" t="str">
        <f>equip.xml!Q1234</f>
        <v>equipment/5017.png</v>
      </c>
      <c r="N1230" s="16" t="str">
        <f>equip.xml!P1234</f>
        <v>10000_1002_65000,30000_30001_1,30000_30002_1,30000_30003_1</v>
      </c>
      <c r="O1230">
        <f>equip.xml!R1234</f>
        <v>0</v>
      </c>
    </row>
    <row r="1231" spans="1:15">
      <c r="A1231" s="14" t="str">
        <f>equip.xml!A1235</f>
        <v>30650041</v>
      </c>
      <c r="B1231" s="14">
        <f>equip.xml!B1235</f>
        <v>0</v>
      </c>
      <c r="C1231" s="14" t="str">
        <f>equip.xml!C1235</f>
        <v>新兵外套</v>
      </c>
      <c r="D1231" s="14" t="str">
        <f>equip.xml!D1235</f>
        <v>胸甲</v>
      </c>
      <c r="E1231" s="14">
        <f>equip.xml!E1235</f>
        <v>4</v>
      </c>
      <c r="F1231" s="14">
        <f>equip.xml!F1235</f>
        <v>3</v>
      </c>
      <c r="G1231" s="14">
        <f>equip.xml!G1235</f>
        <v>65</v>
      </c>
      <c r="H1231" s="14">
        <f>equip.xml!H1235</f>
        <v>0</v>
      </c>
      <c r="I1231" s="14">
        <f>equip.xml!J1235</f>
        <v>20</v>
      </c>
      <c r="J1231" s="14">
        <f>equip.xml!K1235</f>
        <v>0</v>
      </c>
      <c r="K1231" s="14">
        <f>equip.xml!L1235</f>
        <v>37500</v>
      </c>
      <c r="L1231" s="14" t="str">
        <f>equip.xml!M1235</f>
        <v>105_1628_1628</v>
      </c>
      <c r="M1231" s="17" t="str">
        <f>equip.xml!Q1235</f>
        <v>equipment/5001.png</v>
      </c>
      <c r="N1231" s="16" t="str">
        <f>equip.xml!P1235</f>
        <v>10000_1002_65000,30000_30001_1,30000_30002_1,30000_30003_1</v>
      </c>
      <c r="O1231">
        <f>equip.xml!R1235</f>
        <v>0</v>
      </c>
    </row>
    <row r="1232" spans="1:15">
      <c r="A1232" s="14" t="str">
        <f>equip.xml!A1236</f>
        <v>30650070</v>
      </c>
      <c r="B1232" s="14">
        <f>equip.xml!B1236</f>
        <v>1</v>
      </c>
      <c r="C1232" s="14" t="str">
        <f>equip.xml!C1236</f>
        <v>止战腿甲</v>
      </c>
      <c r="D1232" s="14" t="str">
        <f>equip.xml!D1236</f>
        <v>护腿</v>
      </c>
      <c r="E1232" s="14">
        <f>equip.xml!E1236</f>
        <v>7</v>
      </c>
      <c r="F1232" s="14">
        <f>equip.xml!F1236</f>
        <v>3</v>
      </c>
      <c r="G1232" s="14">
        <f>equip.xml!G1236</f>
        <v>65</v>
      </c>
      <c r="H1232" s="14">
        <f>equip.xml!H1236</f>
        <v>0</v>
      </c>
      <c r="I1232" s="14">
        <f>equip.xml!J1236</f>
        <v>20</v>
      </c>
      <c r="J1232" s="14">
        <f>equip.xml!K1236</f>
        <v>0</v>
      </c>
      <c r="K1232" s="14">
        <f>equip.xml!L1236</f>
        <v>35000</v>
      </c>
      <c r="L1232" s="14" t="str">
        <f>equip.xml!M1236</f>
        <v>105_1627_1627</v>
      </c>
      <c r="M1232" s="17" t="str">
        <f>equip.xml!Q1236</f>
        <v>equipment/7017.png</v>
      </c>
      <c r="N1232" s="16" t="str">
        <f>equip.xml!P1236</f>
        <v>10000_1002_65000,30000_30001_1,30000_30002_1,30000_30003_1</v>
      </c>
      <c r="O1232">
        <f>equip.xml!R1236</f>
        <v>0</v>
      </c>
    </row>
    <row r="1233" spans="1:15">
      <c r="A1233" s="14" t="str">
        <f>equip.xml!A1237</f>
        <v>30650071</v>
      </c>
      <c r="B1233" s="14">
        <f>equip.xml!B1237</f>
        <v>0</v>
      </c>
      <c r="C1233" s="14" t="str">
        <f>equip.xml!C1237</f>
        <v>学徒短裤</v>
      </c>
      <c r="D1233" s="14" t="str">
        <f>equip.xml!D1237</f>
        <v>护腿</v>
      </c>
      <c r="E1233" s="14">
        <f>equip.xml!E1237</f>
        <v>7</v>
      </c>
      <c r="F1233" s="14">
        <f>equip.xml!F1237</f>
        <v>3</v>
      </c>
      <c r="G1233" s="14">
        <f>equip.xml!G1237</f>
        <v>65</v>
      </c>
      <c r="H1233" s="14">
        <f>equip.xml!H1237</f>
        <v>0</v>
      </c>
      <c r="I1233" s="14">
        <f>equip.xml!J1237</f>
        <v>20</v>
      </c>
      <c r="J1233" s="14">
        <f>equip.xml!K1237</f>
        <v>0</v>
      </c>
      <c r="K1233" s="14">
        <f>equip.xml!L1237</f>
        <v>37500</v>
      </c>
      <c r="L1233" s="14" t="str">
        <f>equip.xml!M1237</f>
        <v>105_1627_1627</v>
      </c>
      <c r="M1233" s="17" t="str">
        <f>equip.xml!Q1237</f>
        <v>equipment/7001.png</v>
      </c>
      <c r="N1233" s="16" t="str">
        <f>equip.xml!P1237</f>
        <v>10000_1002_65000,30000_30001_1,30000_30002_1,30000_30003_1</v>
      </c>
      <c r="O1233">
        <f>equip.xml!R1237</f>
        <v>0</v>
      </c>
    </row>
    <row r="1234" spans="1:15">
      <c r="A1234" s="14" t="str">
        <f>equip.xml!A1238</f>
        <v>30700010</v>
      </c>
      <c r="B1234" s="14">
        <f>equip.xml!B1238</f>
        <v>1</v>
      </c>
      <c r="C1234" s="14" t="str">
        <f>equip.xml!C1238</f>
        <v>破碎之冠</v>
      </c>
      <c r="D1234" s="14" t="str">
        <f>equip.xml!D1238</f>
        <v>头盔</v>
      </c>
      <c r="E1234" s="14">
        <f>equip.xml!E1238</f>
        <v>1</v>
      </c>
      <c r="F1234" s="14">
        <f>equip.xml!F1238</f>
        <v>3</v>
      </c>
      <c r="G1234" s="14">
        <f>equip.xml!G1238</f>
        <v>70</v>
      </c>
      <c r="H1234" s="14">
        <f>equip.xml!H1238</f>
        <v>0</v>
      </c>
      <c r="I1234" s="14">
        <f>equip.xml!J1238</f>
        <v>20</v>
      </c>
      <c r="J1234" s="14">
        <f>equip.xml!K1238</f>
        <v>0</v>
      </c>
      <c r="K1234" s="14">
        <f>equip.xml!L1238</f>
        <v>37500</v>
      </c>
      <c r="L1234" s="14" t="str">
        <f>equip.xml!M1238</f>
        <v>106_2256_2256</v>
      </c>
      <c r="M1234" s="17" t="str">
        <f>equip.xml!Q1238</f>
        <v>equipment/3014.png</v>
      </c>
      <c r="N1234" s="16" t="str">
        <f>equip.xml!P1238</f>
        <v>10000_1002_70000,30000_30001_1,30000_30002_1,30000_30003_1</v>
      </c>
      <c r="O1234">
        <f>equip.xml!R1238</f>
        <v>0</v>
      </c>
    </row>
    <row r="1235" spans="1:15">
      <c r="A1235" s="14" t="str">
        <f>equip.xml!A1239</f>
        <v>30700020</v>
      </c>
      <c r="B1235" s="14">
        <f>equip.xml!B1239</f>
        <v>1</v>
      </c>
      <c r="C1235" s="14" t="str">
        <f>equip.xml!C1239</f>
        <v>灵谕之戒</v>
      </c>
      <c r="D1235" s="14" t="str">
        <f>equip.xml!D1239</f>
        <v>戒指</v>
      </c>
      <c r="E1235" s="14">
        <f>equip.xml!E1239</f>
        <v>2</v>
      </c>
      <c r="F1235" s="14">
        <f>equip.xml!F1239</f>
        <v>3</v>
      </c>
      <c r="G1235" s="14">
        <f>equip.xml!G1239</f>
        <v>70</v>
      </c>
      <c r="H1235" s="14">
        <f>equip.xml!H1239</f>
        <v>0</v>
      </c>
      <c r="I1235" s="14">
        <f>equip.xml!J1239</f>
        <v>20</v>
      </c>
      <c r="J1235" s="14">
        <f>equip.xml!K1239</f>
        <v>0</v>
      </c>
      <c r="K1235" s="14">
        <f>equip.xml!L1239</f>
        <v>37500</v>
      </c>
      <c r="L1235" s="14" t="str">
        <f>equip.xml!M1239</f>
        <v>102_1620_1620</v>
      </c>
      <c r="M1235" s="17" t="str">
        <f>equip.xml!Q1239</f>
        <v>equipment/14012.png</v>
      </c>
      <c r="N1235" s="16" t="str">
        <f>equip.xml!P1239</f>
        <v>10000_1002_70000,30000_30001_1,30000_30002_1,30000_30003_1</v>
      </c>
      <c r="O1235">
        <f>equip.xml!R1239</f>
        <v>0</v>
      </c>
    </row>
    <row r="1236" spans="1:15">
      <c r="A1236" s="14" t="str">
        <f>equip.xml!A1240</f>
        <v>30700030</v>
      </c>
      <c r="B1236" s="14">
        <f>equip.xml!B1240</f>
        <v>1</v>
      </c>
      <c r="C1236" s="14" t="str">
        <f>equip.xml!C1240</f>
        <v>怒涛腰带</v>
      </c>
      <c r="D1236" s="14" t="str">
        <f>equip.xml!D1240</f>
        <v>腰带</v>
      </c>
      <c r="E1236" s="14">
        <f>equip.xml!E1240</f>
        <v>3</v>
      </c>
      <c r="F1236" s="14">
        <f>equip.xml!F1240</f>
        <v>3</v>
      </c>
      <c r="G1236" s="14">
        <f>equip.xml!G1240</f>
        <v>70</v>
      </c>
      <c r="H1236" s="14">
        <f>equip.xml!H1240</f>
        <v>0</v>
      </c>
      <c r="I1236" s="14">
        <f>equip.xml!J1240</f>
        <v>20</v>
      </c>
      <c r="J1236" s="14">
        <f>equip.xml!K1240</f>
        <v>0</v>
      </c>
      <c r="K1236" s="14">
        <f>equip.xml!L1240</f>
        <v>37500</v>
      </c>
      <c r="L1236" s="14" t="str">
        <f>equip.xml!M1240</f>
        <v>101_19200_19200</v>
      </c>
      <c r="M1236" s="17" t="str">
        <f>equip.xml!Q1240</f>
        <v>equipment/6013.png</v>
      </c>
      <c r="N1236" s="16" t="str">
        <f>equip.xml!P1240</f>
        <v>10000_1002_70000,30000_30001_1,30000_30002_1,30000_30003_1</v>
      </c>
      <c r="O1236">
        <f>equip.xml!R1240</f>
        <v>0</v>
      </c>
    </row>
    <row r="1237" spans="1:15">
      <c r="A1237" s="14" t="str">
        <f>equip.xml!A1241</f>
        <v>30700080</v>
      </c>
      <c r="B1237" s="14">
        <f>equip.xml!B1241</f>
        <v>1</v>
      </c>
      <c r="C1237" s="14" t="str">
        <f>equip.xml!C1241</f>
        <v>无影轻靴</v>
      </c>
      <c r="D1237" s="14" t="str">
        <f>equip.xml!D1241</f>
        <v>鞋子</v>
      </c>
      <c r="E1237" s="14">
        <f>equip.xml!E1241</f>
        <v>8</v>
      </c>
      <c r="F1237" s="14">
        <f>equip.xml!F1241</f>
        <v>3</v>
      </c>
      <c r="G1237" s="14">
        <f>equip.xml!G1241</f>
        <v>70</v>
      </c>
      <c r="H1237" s="14">
        <f>equip.xml!H1241</f>
        <v>0</v>
      </c>
      <c r="I1237" s="14">
        <f>equip.xml!J1241</f>
        <v>20</v>
      </c>
      <c r="J1237" s="14">
        <f>equip.xml!K1241</f>
        <v>0</v>
      </c>
      <c r="K1237" s="14">
        <f>equip.xml!L1241</f>
        <v>37500</v>
      </c>
      <c r="L1237" s="14" t="str">
        <f>equip.xml!M1241</f>
        <v>110_442_442</v>
      </c>
      <c r="M1237" s="17" t="str">
        <f>equip.xml!Q1241</f>
        <v>equipment/8012.png</v>
      </c>
      <c r="N1237" s="16" t="str">
        <f>equip.xml!P1241</f>
        <v>10000_1002_70000,30000_30001_1,30000_30002_1,30000_30003_1</v>
      </c>
      <c r="O1237">
        <f>equip.xml!R1241</f>
        <v>0</v>
      </c>
    </row>
    <row r="1238" spans="1:15">
      <c r="A1238" s="14" t="str">
        <f>equip.xml!A1242</f>
        <v>30700090</v>
      </c>
      <c r="B1238" s="14">
        <f>equip.xml!B1242</f>
        <v>1</v>
      </c>
      <c r="C1238" s="14" t="str">
        <f>equip.xml!C1242</f>
        <v>裂隙之手</v>
      </c>
      <c r="D1238" s="14" t="str">
        <f>equip.xml!D1242</f>
        <v>手套</v>
      </c>
      <c r="E1238" s="14">
        <f>equip.xml!E1242</f>
        <v>9</v>
      </c>
      <c r="F1238" s="14">
        <f>equip.xml!F1242</f>
        <v>3</v>
      </c>
      <c r="G1238" s="14">
        <f>equip.xml!G1242</f>
        <v>70</v>
      </c>
      <c r="H1238" s="14">
        <f>equip.xml!H1242</f>
        <v>0</v>
      </c>
      <c r="I1238" s="14">
        <f>equip.xml!J1242</f>
        <v>20</v>
      </c>
      <c r="J1238" s="14">
        <f>equip.xml!K1242</f>
        <v>0</v>
      </c>
      <c r="K1238" s="14">
        <f>equip.xml!L1242</f>
        <v>37500</v>
      </c>
      <c r="L1238" s="14" t="str">
        <f>equip.xml!M1242</f>
        <v>108_4189_4189</v>
      </c>
      <c r="M1238" s="17" t="str">
        <f>equip.xml!Q1242</f>
        <v>equipment/10013.png</v>
      </c>
      <c r="N1238" s="16" t="str">
        <f>equip.xml!P1242</f>
        <v>10000_1002_70000,30000_30001_1,30000_30002_1,30000_30003_1</v>
      </c>
      <c r="O1238">
        <f>equip.xml!R1242</f>
        <v>0</v>
      </c>
    </row>
    <row r="1239" spans="1:15">
      <c r="A1239" s="14" t="str">
        <f>equip.xml!A1243</f>
        <v>30700100</v>
      </c>
      <c r="B1239" s="14">
        <f>equip.xml!B1243</f>
        <v>1</v>
      </c>
      <c r="C1239" s="14" t="str">
        <f>equip.xml!C1243</f>
        <v>岁月永恒护符</v>
      </c>
      <c r="D1239" s="14" t="str">
        <f>equip.xml!D1243</f>
        <v>项链</v>
      </c>
      <c r="E1239" s="14">
        <f>equip.xml!E1243</f>
        <v>10</v>
      </c>
      <c r="F1239" s="14">
        <f>equip.xml!F1243</f>
        <v>3</v>
      </c>
      <c r="G1239" s="14">
        <f>equip.xml!G1243</f>
        <v>70</v>
      </c>
      <c r="H1239" s="14">
        <f>equip.xml!H1243</f>
        <v>0</v>
      </c>
      <c r="I1239" s="14">
        <f>equip.xml!J1243</f>
        <v>20</v>
      </c>
      <c r="J1239" s="14">
        <f>equip.xml!K1243</f>
        <v>0</v>
      </c>
      <c r="K1239" s="14">
        <f>equip.xml!L1243</f>
        <v>37500</v>
      </c>
      <c r="L1239" s="14" t="str">
        <f>equip.xml!M1243</f>
        <v>107_2256_2256</v>
      </c>
      <c r="M1239" s="17" t="str">
        <f>equip.xml!Q1243</f>
        <v>equipment/12014.png</v>
      </c>
      <c r="N1239" s="16" t="str">
        <f>equip.xml!P1243</f>
        <v>10000_1002_70000,30000_30001_1,30000_30002_1,30000_30003_1</v>
      </c>
      <c r="O1239">
        <f>equip.xml!R1243</f>
        <v>0</v>
      </c>
    </row>
    <row r="1240" spans="1:15">
      <c r="A1240" s="14" t="str">
        <f>equip.xml!A1244</f>
        <v>30701050</v>
      </c>
      <c r="B1240" s="14">
        <f>equip.xml!B1244</f>
        <v>1</v>
      </c>
      <c r="C1240" s="14" t="str">
        <f>equip.xml!C1244</f>
        <v>命运</v>
      </c>
      <c r="D1240" s="14" t="str">
        <f>equip.xml!D1244</f>
        <v>主手武器</v>
      </c>
      <c r="E1240" s="14">
        <f>equip.xml!E1244</f>
        <v>5</v>
      </c>
      <c r="F1240" s="14">
        <f>equip.xml!F1244</f>
        <v>3</v>
      </c>
      <c r="G1240" s="14">
        <f>equip.xml!G1244</f>
        <v>70</v>
      </c>
      <c r="H1240" s="14" t="str">
        <f>equip.xml!H1244</f>
        <v>1,1001</v>
      </c>
      <c r="I1240" s="14">
        <f>equip.xml!J1244</f>
        <v>20</v>
      </c>
      <c r="J1240" s="14">
        <f>equip.xml!K1244</f>
        <v>0</v>
      </c>
      <c r="K1240" s="14">
        <f>equip.xml!L1244</f>
        <v>37500</v>
      </c>
      <c r="L1240" s="14" t="str">
        <f>equip.xml!M1244</f>
        <v>103_3269_3269,104_6538_6538</v>
      </c>
      <c r="M1240" s="17" t="str">
        <f>equip.xml!Q1244</f>
        <v>equipment/1124.png</v>
      </c>
      <c r="N1240" s="16" t="str">
        <f>equip.xml!P1244</f>
        <v>10000_1002_70000,30000_30001_1,30000_30002_1,30000_30003_1</v>
      </c>
      <c r="O1240">
        <f>equip.xml!R1244</f>
        <v>0</v>
      </c>
    </row>
    <row r="1241" spans="1:15">
      <c r="A1241" s="14" t="str">
        <f>equip.xml!A1245</f>
        <v>30701051</v>
      </c>
      <c r="B1241" s="14">
        <f>equip.xml!B1245</f>
        <v>0</v>
      </c>
      <c r="C1241" s="14" t="str">
        <f>equip.xml!C1245</f>
        <v>灰烬使者</v>
      </c>
      <c r="D1241" s="14" t="str">
        <f>equip.xml!D1245</f>
        <v>主手武器</v>
      </c>
      <c r="E1241" s="14">
        <f>equip.xml!E1245</f>
        <v>5</v>
      </c>
      <c r="F1241" s="14">
        <f>equip.xml!F1245</f>
        <v>3</v>
      </c>
      <c r="G1241" s="14">
        <f>equip.xml!G1245</f>
        <v>70</v>
      </c>
      <c r="H1241" s="14" t="str">
        <f>equip.xml!H1245</f>
        <v>1,1001</v>
      </c>
      <c r="I1241" s="14">
        <f>equip.xml!J1245</f>
        <v>20</v>
      </c>
      <c r="J1241" s="14">
        <f>equip.xml!K1245</f>
        <v>0</v>
      </c>
      <c r="K1241" s="14">
        <f>equip.xml!L1245</f>
        <v>40000</v>
      </c>
      <c r="L1241" s="14" t="str">
        <f>equip.xml!M1245</f>
        <v>103_3269_3269,104_6538_6538</v>
      </c>
      <c r="M1241" s="17" t="str">
        <f>equip.xml!Q1245</f>
        <v>equipment/1101.png</v>
      </c>
      <c r="N1241" s="16" t="str">
        <f>equip.xml!P1245</f>
        <v>10000_1002_70000,30000_30001_1,30000_30002_1,30000_30003_1</v>
      </c>
      <c r="O1241">
        <f>equip.xml!R1245</f>
        <v>0</v>
      </c>
    </row>
    <row r="1242" spans="1:15">
      <c r="A1242" s="14" t="str">
        <f>equip.xml!A1246</f>
        <v>30701060</v>
      </c>
      <c r="B1242" s="14">
        <f>equip.xml!B1246</f>
        <v>1</v>
      </c>
      <c r="C1242" s="14" t="str">
        <f>equip.xml!C1246</f>
        <v>永恒之盾</v>
      </c>
      <c r="D1242" s="14" t="str">
        <f>equip.xml!D1246</f>
        <v>副手武器</v>
      </c>
      <c r="E1242" s="14">
        <f>equip.xml!E1246</f>
        <v>6</v>
      </c>
      <c r="F1242" s="14">
        <f>equip.xml!F1246</f>
        <v>3</v>
      </c>
      <c r="G1242" s="14">
        <f>equip.xml!G1246</f>
        <v>70</v>
      </c>
      <c r="H1242" s="14" t="str">
        <f>equip.xml!H1246</f>
        <v>1,1001</v>
      </c>
      <c r="I1242" s="14">
        <f>equip.xml!J1246</f>
        <v>20</v>
      </c>
      <c r="J1242" s="14">
        <f>equip.xml!K1246</f>
        <v>0</v>
      </c>
      <c r="K1242" s="14">
        <f>equip.xml!L1246</f>
        <v>37500</v>
      </c>
      <c r="L1242" s="14" t="str">
        <f>equip.xml!M1246</f>
        <v>105_3522_3522</v>
      </c>
      <c r="M1242" s="17" t="str">
        <f>equip.xml!Q1246</f>
        <v>equipment/2118.png</v>
      </c>
      <c r="N1242" s="16" t="str">
        <f>equip.xml!P1246</f>
        <v>10000_1002_70000,30000_30001_1,30000_30002_1,30000_30003_1</v>
      </c>
      <c r="O1242">
        <f>equip.xml!R1246</f>
        <v>0</v>
      </c>
    </row>
    <row r="1243" spans="1:15">
      <c r="A1243" s="14" t="str">
        <f>equip.xml!A1247</f>
        <v>30701061</v>
      </c>
      <c r="B1243" s="14">
        <f>equip.xml!B1247</f>
        <v>0</v>
      </c>
      <c r="C1243" s="14" t="str">
        <f>equip.xml!C1247</f>
        <v>相位壁垒</v>
      </c>
      <c r="D1243" s="14" t="str">
        <f>equip.xml!D1247</f>
        <v>副手武器</v>
      </c>
      <c r="E1243" s="14">
        <f>equip.xml!E1247</f>
        <v>6</v>
      </c>
      <c r="F1243" s="14">
        <f>equip.xml!F1247</f>
        <v>3</v>
      </c>
      <c r="G1243" s="14">
        <f>equip.xml!G1247</f>
        <v>70</v>
      </c>
      <c r="H1243" s="14" t="str">
        <f>equip.xml!H1247</f>
        <v>1,1001</v>
      </c>
      <c r="I1243" s="14">
        <f>equip.xml!J1247</f>
        <v>20</v>
      </c>
      <c r="J1243" s="14">
        <f>equip.xml!K1247</f>
        <v>0</v>
      </c>
      <c r="K1243" s="14">
        <f>equip.xml!L1247</f>
        <v>40000</v>
      </c>
      <c r="L1243" s="14" t="str">
        <f>equip.xml!M1247</f>
        <v>105_3522_3522</v>
      </c>
      <c r="M1243" s="17" t="str">
        <f>equip.xml!Q1247</f>
        <v>equipment/2101.png</v>
      </c>
      <c r="N1243" s="16" t="str">
        <f>equip.xml!P1247</f>
        <v>10000_1002_70000,30000_30001_1,30000_30002_1,30000_30003_1</v>
      </c>
      <c r="O1243">
        <f>equip.xml!R1247</f>
        <v>0</v>
      </c>
    </row>
    <row r="1244" spans="1:15">
      <c r="A1244" s="14" t="str">
        <f>equip.xml!A1248</f>
        <v>30702050</v>
      </c>
      <c r="B1244" s="14">
        <f>equip.xml!B1248</f>
        <v>1</v>
      </c>
      <c r="C1244" s="14" t="str">
        <f>equip.xml!C1248</f>
        <v>日怒凰弓</v>
      </c>
      <c r="D1244" s="14" t="str">
        <f>equip.xml!D1248</f>
        <v>主手武器</v>
      </c>
      <c r="E1244" s="14">
        <f>equip.xml!E1248</f>
        <v>5</v>
      </c>
      <c r="F1244" s="14">
        <f>equip.xml!F1248</f>
        <v>3</v>
      </c>
      <c r="G1244" s="14">
        <f>equip.xml!G1248</f>
        <v>70</v>
      </c>
      <c r="H1244" s="14" t="str">
        <f>equip.xml!H1248</f>
        <v>2,1002</v>
      </c>
      <c r="I1244" s="14">
        <f>equip.xml!J1248</f>
        <v>20</v>
      </c>
      <c r="J1244" s="14">
        <f>equip.xml!K1248</f>
        <v>0</v>
      </c>
      <c r="K1244" s="14">
        <f>equip.xml!L1248</f>
        <v>37500</v>
      </c>
      <c r="L1244" s="14" t="str">
        <f>equip.xml!M1248</f>
        <v>103_3269_3269,104_6538_6538</v>
      </c>
      <c r="M1244" s="17" t="str">
        <f>equip.xml!Q1248</f>
        <v>equipment/1222.png</v>
      </c>
      <c r="N1244" s="16" t="str">
        <f>equip.xml!P1248</f>
        <v>10000_1002_70000,30000_30001_1,30000_30002_1,30000_30003_1</v>
      </c>
      <c r="O1244">
        <f>equip.xml!R1248</f>
        <v>0</v>
      </c>
    </row>
    <row r="1245" spans="1:15">
      <c r="A1245" s="14" t="str">
        <f>equip.xml!A1249</f>
        <v>30702051</v>
      </c>
      <c r="B1245" s="14">
        <f>equip.xml!B1249</f>
        <v>0</v>
      </c>
      <c r="C1245" s="14" t="str">
        <f>equip.xml!C1249</f>
        <v>群星之怒</v>
      </c>
      <c r="D1245" s="14" t="str">
        <f>equip.xml!D1249</f>
        <v>主手武器</v>
      </c>
      <c r="E1245" s="14">
        <f>equip.xml!E1249</f>
        <v>5</v>
      </c>
      <c r="F1245" s="14">
        <f>equip.xml!F1249</f>
        <v>3</v>
      </c>
      <c r="G1245" s="14">
        <f>equip.xml!G1249</f>
        <v>70</v>
      </c>
      <c r="H1245" s="14" t="str">
        <f>equip.xml!H1249</f>
        <v>2,1002</v>
      </c>
      <c r="I1245" s="14">
        <f>equip.xml!J1249</f>
        <v>20</v>
      </c>
      <c r="J1245" s="14">
        <f>equip.xml!K1249</f>
        <v>0</v>
      </c>
      <c r="K1245" s="14">
        <f>equip.xml!L1249</f>
        <v>40000</v>
      </c>
      <c r="L1245" s="14" t="str">
        <f>equip.xml!M1249</f>
        <v>103_3269_3269,104_6538_6538</v>
      </c>
      <c r="M1245" s="17" t="str">
        <f>equip.xml!Q1249</f>
        <v>equipment/1201.png</v>
      </c>
      <c r="N1245" s="16" t="str">
        <f>equip.xml!P1249</f>
        <v>10000_1002_70000,30000_30001_1,30000_30002_1,30000_30003_1</v>
      </c>
      <c r="O1245">
        <f>equip.xml!R1249</f>
        <v>0</v>
      </c>
    </row>
    <row r="1246" spans="1:15">
      <c r="A1246" s="14" t="str">
        <f>equip.xml!A1250</f>
        <v>30702060</v>
      </c>
      <c r="B1246" s="14">
        <f>equip.xml!B1250</f>
        <v>1</v>
      </c>
      <c r="C1246" s="14" t="str">
        <f>equip.xml!C1250</f>
        <v>逐日之矢</v>
      </c>
      <c r="D1246" s="14" t="str">
        <f>equip.xml!D1250</f>
        <v>副手武器</v>
      </c>
      <c r="E1246" s="14">
        <f>equip.xml!E1250</f>
        <v>6</v>
      </c>
      <c r="F1246" s="14">
        <f>equip.xml!F1250</f>
        <v>3</v>
      </c>
      <c r="G1246" s="14">
        <f>equip.xml!G1250</f>
        <v>70</v>
      </c>
      <c r="H1246" s="14" t="str">
        <f>equip.xml!H1250</f>
        <v>2,1002</v>
      </c>
      <c r="I1246" s="14">
        <f>equip.xml!J1250</f>
        <v>20</v>
      </c>
      <c r="J1246" s="14">
        <f>equip.xml!K1250</f>
        <v>0</v>
      </c>
      <c r="K1246" s="14">
        <f>equip.xml!L1250</f>
        <v>37500</v>
      </c>
      <c r="L1246" s="14" t="str">
        <f>equip.xml!M1250</f>
        <v>108_3522_3522</v>
      </c>
      <c r="M1246" s="17" t="str">
        <f>equip.xml!Q1250</f>
        <v>equipment/2218.png</v>
      </c>
      <c r="N1246" s="16" t="str">
        <f>equip.xml!P1250</f>
        <v>10000_1002_70000,30000_30001_1,30000_30002_1,30000_30003_1</v>
      </c>
      <c r="O1246">
        <f>equip.xml!R1250</f>
        <v>0</v>
      </c>
    </row>
    <row r="1247" spans="1:15">
      <c r="A1247" s="14" t="str">
        <f>equip.xml!A1251</f>
        <v>30702061</v>
      </c>
      <c r="B1247" s="14">
        <f>equip.xml!B1251</f>
        <v>0</v>
      </c>
      <c r="C1247" s="14" t="str">
        <f>equip.xml!C1251</f>
        <v>箭筒</v>
      </c>
      <c r="D1247" s="14" t="str">
        <f>equip.xml!D1251</f>
        <v>副手武器</v>
      </c>
      <c r="E1247" s="14">
        <f>equip.xml!E1251</f>
        <v>6</v>
      </c>
      <c r="F1247" s="14">
        <f>equip.xml!F1251</f>
        <v>3</v>
      </c>
      <c r="G1247" s="14">
        <f>equip.xml!G1251</f>
        <v>70</v>
      </c>
      <c r="H1247" s="14" t="str">
        <f>equip.xml!H1251</f>
        <v>2,1002</v>
      </c>
      <c r="I1247" s="14">
        <f>equip.xml!J1251</f>
        <v>20</v>
      </c>
      <c r="J1247" s="14">
        <f>equip.xml!K1251</f>
        <v>0</v>
      </c>
      <c r="K1247" s="14">
        <f>equip.xml!L1251</f>
        <v>40000</v>
      </c>
      <c r="L1247" s="14" t="str">
        <f>equip.xml!M1251</f>
        <v>108_3522_3522</v>
      </c>
      <c r="M1247" s="17" t="str">
        <f>equip.xml!Q1251</f>
        <v>equipment/2201.png</v>
      </c>
      <c r="N1247" s="16" t="str">
        <f>equip.xml!P1251</f>
        <v>10000_1002_70000,30000_30001_1,30000_30002_1,30000_30003_1</v>
      </c>
      <c r="O1247">
        <f>equip.xml!R1251</f>
        <v>0</v>
      </c>
    </row>
    <row r="1248" spans="1:15">
      <c r="A1248" s="14" t="str">
        <f>equip.xml!A1252</f>
        <v>30703050</v>
      </c>
      <c r="B1248" s="14">
        <f>equip.xml!B1252</f>
        <v>1</v>
      </c>
      <c r="C1248" s="14" t="str">
        <f>equip.xml!C1252</f>
        <v>瓦解法杖</v>
      </c>
      <c r="D1248" s="14" t="str">
        <f>equip.xml!D1252</f>
        <v>主手武器</v>
      </c>
      <c r="E1248" s="14">
        <f>equip.xml!E1252</f>
        <v>5</v>
      </c>
      <c r="F1248" s="14">
        <f>equip.xml!F1252</f>
        <v>3</v>
      </c>
      <c r="G1248" s="14">
        <f>equip.xml!G1252</f>
        <v>70</v>
      </c>
      <c r="H1248" s="14" t="str">
        <f>equip.xml!H1252</f>
        <v>3,1003</v>
      </c>
      <c r="I1248" s="14">
        <f>equip.xml!J1252</f>
        <v>20</v>
      </c>
      <c r="J1248" s="14">
        <f>equip.xml!K1252</f>
        <v>0</v>
      </c>
      <c r="K1248" s="14">
        <f>equip.xml!L1252</f>
        <v>37500</v>
      </c>
      <c r="L1248" s="14" t="str">
        <f>equip.xml!M1252</f>
        <v>103_3269_3269,104_6538_6538</v>
      </c>
      <c r="M1248" s="17" t="str">
        <f>equip.xml!Q1252</f>
        <v>equipment/1324.png</v>
      </c>
      <c r="N1248" s="16" t="str">
        <f>equip.xml!P1252</f>
        <v>10000_1002_70000,30000_30001_1,30000_30002_1,30000_30003_1</v>
      </c>
      <c r="O1248">
        <f>equip.xml!R1252</f>
        <v>0</v>
      </c>
    </row>
    <row r="1249" spans="1:15">
      <c r="A1249" s="14" t="str">
        <f>equip.xml!A1253</f>
        <v>30703051</v>
      </c>
      <c r="B1249" s="14">
        <f>equip.xml!B1253</f>
        <v>0</v>
      </c>
      <c r="C1249" s="14" t="str">
        <f>equip.xml!C1253</f>
        <v>守护者之杖</v>
      </c>
      <c r="D1249" s="14" t="str">
        <f>equip.xml!D1253</f>
        <v>主手武器</v>
      </c>
      <c r="E1249" s="14">
        <f>equip.xml!E1253</f>
        <v>5</v>
      </c>
      <c r="F1249" s="14">
        <f>equip.xml!F1253</f>
        <v>3</v>
      </c>
      <c r="G1249" s="14">
        <f>equip.xml!G1253</f>
        <v>70</v>
      </c>
      <c r="H1249" s="14" t="str">
        <f>equip.xml!H1253</f>
        <v>3,1003</v>
      </c>
      <c r="I1249" s="14">
        <f>equip.xml!J1253</f>
        <v>20</v>
      </c>
      <c r="J1249" s="14">
        <f>equip.xml!K1253</f>
        <v>0</v>
      </c>
      <c r="K1249" s="14">
        <f>equip.xml!L1253</f>
        <v>40000</v>
      </c>
      <c r="L1249" s="14" t="str">
        <f>equip.xml!M1253</f>
        <v>103_3269_3269,104_6538_6538</v>
      </c>
      <c r="M1249" s="17" t="str">
        <f>equip.xml!Q1253</f>
        <v>equipment/1301.png</v>
      </c>
      <c r="N1249" s="16" t="str">
        <f>equip.xml!P1253</f>
        <v>10000_1002_70000,30000_30001_1,30000_30002_1,30000_30003_1</v>
      </c>
      <c r="O1249">
        <f>equip.xml!R1253</f>
        <v>0</v>
      </c>
    </row>
    <row r="1250" spans="1:15">
      <c r="A1250" s="14" t="str">
        <f>equip.xml!A1254</f>
        <v>30703060</v>
      </c>
      <c r="B1250" s="14">
        <f>equip.xml!B1254</f>
        <v>1</v>
      </c>
      <c r="C1250" s="14" t="str">
        <f>equip.xml!C1254</f>
        <v>虚空魔典</v>
      </c>
      <c r="D1250" s="14" t="str">
        <f>equip.xml!D1254</f>
        <v>副手武器</v>
      </c>
      <c r="E1250" s="14">
        <f>equip.xml!E1254</f>
        <v>6</v>
      </c>
      <c r="F1250" s="14">
        <f>equip.xml!F1254</f>
        <v>3</v>
      </c>
      <c r="G1250" s="14">
        <f>equip.xml!G1254</f>
        <v>70</v>
      </c>
      <c r="H1250" s="14" t="str">
        <f>equip.xml!H1254</f>
        <v>3,1003</v>
      </c>
      <c r="I1250" s="14">
        <f>equip.xml!J1254</f>
        <v>20</v>
      </c>
      <c r="J1250" s="14">
        <f>equip.xml!K1254</f>
        <v>0</v>
      </c>
      <c r="K1250" s="14">
        <f>equip.xml!L1254</f>
        <v>37500</v>
      </c>
      <c r="L1250" s="14" t="str">
        <f>equip.xml!M1254</f>
        <v>102_3080_3080</v>
      </c>
      <c r="M1250" s="17" t="str">
        <f>equip.xml!Q1254</f>
        <v>equipment/2318.png</v>
      </c>
      <c r="N1250" s="16" t="str">
        <f>equip.xml!P1254</f>
        <v>10000_1002_70000,30000_30001_1,30000_30002_1,30000_30003_1</v>
      </c>
      <c r="O1250">
        <f>equip.xml!R1254</f>
        <v>0</v>
      </c>
    </row>
    <row r="1251" spans="1:15">
      <c r="A1251" s="14" t="str">
        <f>equip.xml!A1255</f>
        <v>30703061</v>
      </c>
      <c r="B1251" s="14">
        <f>equip.xml!B1255</f>
        <v>0</v>
      </c>
      <c r="C1251" s="14" t="str">
        <f>equip.xml!C1255</f>
        <v>星界之书</v>
      </c>
      <c r="D1251" s="14" t="str">
        <f>equip.xml!D1255</f>
        <v>副手武器</v>
      </c>
      <c r="E1251" s="14">
        <f>equip.xml!E1255</f>
        <v>6</v>
      </c>
      <c r="F1251" s="14">
        <f>equip.xml!F1255</f>
        <v>3</v>
      </c>
      <c r="G1251" s="14">
        <f>equip.xml!G1255</f>
        <v>70</v>
      </c>
      <c r="H1251" s="14" t="str">
        <f>equip.xml!H1255</f>
        <v>3,1003</v>
      </c>
      <c r="I1251" s="14">
        <f>equip.xml!J1255</f>
        <v>20</v>
      </c>
      <c r="J1251" s="14">
        <f>equip.xml!K1255</f>
        <v>0</v>
      </c>
      <c r="K1251" s="14">
        <f>equip.xml!L1255</f>
        <v>40000</v>
      </c>
      <c r="L1251" s="14" t="str">
        <f>equip.xml!M1255</f>
        <v>102_3080_3080</v>
      </c>
      <c r="M1251" s="17" t="str">
        <f>equip.xml!Q1255</f>
        <v>equipment/2301.png</v>
      </c>
      <c r="N1251" s="16" t="str">
        <f>equip.xml!P1255</f>
        <v>10000_1002_70000,30000_30001_1,30000_30002_1,30000_30003_1</v>
      </c>
      <c r="O1251">
        <f>equip.xml!R1255</f>
        <v>0</v>
      </c>
    </row>
    <row r="1252" spans="1:15">
      <c r="A1252" s="14" t="str">
        <f>equip.xml!A1256</f>
        <v>30700040</v>
      </c>
      <c r="B1252" s="14">
        <f>equip.xml!B1256</f>
        <v>1</v>
      </c>
      <c r="C1252" s="14" t="str">
        <f>equip.xml!C1256</f>
        <v>光铸胸甲</v>
      </c>
      <c r="D1252" s="14" t="str">
        <f>equip.xml!D1256</f>
        <v>胸甲</v>
      </c>
      <c r="E1252" s="14">
        <f>equip.xml!E1256</f>
        <v>4</v>
      </c>
      <c r="F1252" s="14">
        <f>equip.xml!F1256</f>
        <v>3</v>
      </c>
      <c r="G1252" s="14">
        <f>equip.xml!G1256</f>
        <v>70</v>
      </c>
      <c r="H1252" s="14">
        <f>equip.xml!H1256</f>
        <v>0</v>
      </c>
      <c r="I1252" s="14">
        <f>equip.xml!J1256</f>
        <v>20</v>
      </c>
      <c r="J1252" s="14">
        <f>equip.xml!K1256</f>
        <v>0</v>
      </c>
      <c r="K1252" s="14">
        <f>equip.xml!L1256</f>
        <v>37500</v>
      </c>
      <c r="L1252" s="14" t="str">
        <f>equip.xml!M1256</f>
        <v>105_1844_1844</v>
      </c>
      <c r="M1252" s="17" t="str">
        <f>equip.xml!Q1256</f>
        <v>equipment/5018.png</v>
      </c>
      <c r="N1252" s="16" t="str">
        <f>equip.xml!P1256</f>
        <v>10000_1002_70000,30000_30001_1,30000_30002_1,30000_30003_1</v>
      </c>
      <c r="O1252">
        <f>equip.xml!R1256</f>
        <v>0</v>
      </c>
    </row>
    <row r="1253" spans="1:15">
      <c r="A1253" s="14" t="str">
        <f>equip.xml!A1257</f>
        <v>30700041</v>
      </c>
      <c r="B1253" s="14">
        <f>equip.xml!B1257</f>
        <v>0</v>
      </c>
      <c r="C1253" s="14" t="str">
        <f>equip.xml!C1257</f>
        <v>碎界之铠</v>
      </c>
      <c r="D1253" s="14" t="str">
        <f>equip.xml!D1257</f>
        <v>胸甲</v>
      </c>
      <c r="E1253" s="14">
        <f>equip.xml!E1257</f>
        <v>4</v>
      </c>
      <c r="F1253" s="14">
        <f>equip.xml!F1257</f>
        <v>3</v>
      </c>
      <c r="G1253" s="14">
        <f>equip.xml!G1257</f>
        <v>70</v>
      </c>
      <c r="H1253" s="14">
        <f>equip.xml!H1257</f>
        <v>0</v>
      </c>
      <c r="I1253" s="14">
        <f>equip.xml!J1257</f>
        <v>20</v>
      </c>
      <c r="J1253" s="14">
        <f>equip.xml!K1257</f>
        <v>0</v>
      </c>
      <c r="K1253" s="14">
        <f>equip.xml!L1257</f>
        <v>40000</v>
      </c>
      <c r="L1253" s="14" t="str">
        <f>equip.xml!M1257</f>
        <v>105_0_0</v>
      </c>
      <c r="M1253" s="17" t="str">
        <f>equip.xml!Q1257</f>
        <v>equipment/5001.png</v>
      </c>
      <c r="N1253" s="16" t="str">
        <f>equip.xml!P1257</f>
        <v>10000_1002_70000,30000_30001_1,30000_30002_1,30000_30003_1</v>
      </c>
      <c r="O1253">
        <f>equip.xml!R1257</f>
        <v>0</v>
      </c>
    </row>
    <row r="1254" spans="1:15">
      <c r="A1254" s="14" t="str">
        <f>equip.xml!A1258</f>
        <v>30700070</v>
      </c>
      <c r="B1254" s="14">
        <f>equip.xml!B1258</f>
        <v>1</v>
      </c>
      <c r="C1254" s="14" t="str">
        <f>equip.xml!C1258</f>
        <v>虚灵护腿</v>
      </c>
      <c r="D1254" s="14" t="str">
        <f>equip.xml!D1258</f>
        <v>护腿</v>
      </c>
      <c r="E1254" s="14">
        <f>equip.xml!E1258</f>
        <v>7</v>
      </c>
      <c r="F1254" s="14">
        <f>equip.xml!F1258</f>
        <v>3</v>
      </c>
      <c r="G1254" s="14">
        <f>equip.xml!G1258</f>
        <v>70</v>
      </c>
      <c r="H1254" s="14">
        <f>equip.xml!H1258</f>
        <v>0</v>
      </c>
      <c r="I1254" s="14">
        <f>equip.xml!J1258</f>
        <v>20</v>
      </c>
      <c r="J1254" s="14">
        <f>equip.xml!K1258</f>
        <v>0</v>
      </c>
      <c r="K1254" s="14">
        <f>equip.xml!L1258</f>
        <v>37500</v>
      </c>
      <c r="L1254" s="14" t="str">
        <f>equip.xml!M1258</f>
        <v>105_1844_1844</v>
      </c>
      <c r="M1254" s="17" t="str">
        <f>equip.xml!Q1258</f>
        <v>equipment/7018.png</v>
      </c>
      <c r="N1254" s="16" t="str">
        <f>equip.xml!P1258</f>
        <v>10000_1002_70000,30000_30001_1,30000_30002_1,30000_30003_1</v>
      </c>
      <c r="O1254">
        <f>equip.xml!R1258</f>
        <v>0</v>
      </c>
    </row>
    <row r="1255" spans="1:15">
      <c r="A1255" s="14" t="str">
        <f>equip.xml!A1259</f>
        <v>30700071</v>
      </c>
      <c r="B1255" s="14">
        <f>equip.xml!B1259</f>
        <v>0</v>
      </c>
      <c r="C1255" s="14" t="str">
        <f>equip.xml!C1259</f>
        <v>不朽护腿</v>
      </c>
      <c r="D1255" s="14" t="str">
        <f>equip.xml!D1259</f>
        <v>护腿</v>
      </c>
      <c r="E1255" s="14">
        <f>equip.xml!E1259</f>
        <v>7</v>
      </c>
      <c r="F1255" s="14">
        <f>equip.xml!F1259</f>
        <v>3</v>
      </c>
      <c r="G1255" s="14">
        <f>equip.xml!G1259</f>
        <v>70</v>
      </c>
      <c r="H1255" s="14">
        <f>equip.xml!H1259</f>
        <v>0</v>
      </c>
      <c r="I1255" s="14">
        <f>equip.xml!J1259</f>
        <v>20</v>
      </c>
      <c r="J1255" s="14">
        <f>equip.xml!K1259</f>
        <v>0</v>
      </c>
      <c r="K1255" s="14">
        <f>equip.xml!L1259</f>
        <v>40000</v>
      </c>
      <c r="L1255" s="14" t="str">
        <f>equip.xml!M1259</f>
        <v>105_0_0</v>
      </c>
      <c r="M1255" s="17" t="str">
        <f>equip.xml!Q1259</f>
        <v>equipment/7001.png</v>
      </c>
      <c r="N1255" s="16" t="str">
        <f>equip.xml!P1259</f>
        <v>10000_1002_70000,30000_30001_1,30000_30002_1,30000_30003_1</v>
      </c>
      <c r="O1255">
        <f>equip.xml!R1259</f>
        <v>0</v>
      </c>
    </row>
    <row r="1256" spans="1:15">
      <c r="A1256" s="14">
        <f>equip.xml!A1260</f>
        <v>30750010</v>
      </c>
      <c r="B1256" s="14">
        <f>equip.xml!B1260</f>
        <v>1</v>
      </c>
      <c r="C1256" s="14" t="str">
        <f>equip.xml!C1260</f>
        <v>凛冬头盔</v>
      </c>
      <c r="D1256" s="14" t="str">
        <f>equip.xml!D1260</f>
        <v>头盔</v>
      </c>
      <c r="E1256" s="14">
        <f>equip.xml!E1260</f>
        <v>1</v>
      </c>
      <c r="F1256" s="14">
        <f>equip.xml!F1260</f>
        <v>3</v>
      </c>
      <c r="G1256" s="14">
        <f>equip.xml!G1260</f>
        <v>75</v>
      </c>
      <c r="H1256" s="14">
        <f>equip.xml!H1260</f>
        <v>0</v>
      </c>
      <c r="I1256" s="14">
        <f>equip.xml!J1260</f>
        <v>20</v>
      </c>
      <c r="J1256" s="14">
        <f>equip.xml!K1260</f>
        <v>0</v>
      </c>
      <c r="K1256" s="14">
        <f>equip.xml!L1260</f>
        <v>40000</v>
      </c>
      <c r="L1256" s="14" t="str">
        <f>equip.xml!M1260</f>
        <v>106_2633_2633</v>
      </c>
      <c r="M1256" s="17" t="str">
        <f>equip.xml!Q1260</f>
        <v>equipment/3013.png</v>
      </c>
      <c r="N1256" s="16" t="str">
        <f>equip.xml!P1260</f>
        <v>10000_1002_70000,30000_30001_1,30000_30002_1,30000_30003_1</v>
      </c>
      <c r="O1256">
        <f>equip.xml!R1260</f>
        <v>0</v>
      </c>
    </row>
    <row r="1257" spans="1:15">
      <c r="A1257" s="14">
        <f>equip.xml!A1261</f>
        <v>30750020</v>
      </c>
      <c r="B1257" s="14">
        <f>equip.xml!B1261</f>
        <v>1</v>
      </c>
      <c r="C1257" s="14" t="str">
        <f>equip.xml!C1261</f>
        <v>地脉之环</v>
      </c>
      <c r="D1257" s="14" t="str">
        <f>equip.xml!D1261</f>
        <v>戒指</v>
      </c>
      <c r="E1257" s="14">
        <f>equip.xml!E1261</f>
        <v>2</v>
      </c>
      <c r="F1257" s="14">
        <f>equip.xml!F1261</f>
        <v>3</v>
      </c>
      <c r="G1257" s="14">
        <f>equip.xml!G1261</f>
        <v>75</v>
      </c>
      <c r="H1257" s="14">
        <f>equip.xml!H1261</f>
        <v>0</v>
      </c>
      <c r="I1257" s="14">
        <f>equip.xml!J1261</f>
        <v>20</v>
      </c>
      <c r="J1257" s="14">
        <f>equip.xml!K1261</f>
        <v>0</v>
      </c>
      <c r="K1257" s="14">
        <f>equip.xml!L1261</f>
        <v>40000</v>
      </c>
      <c r="L1257" s="14" t="str">
        <f>equip.xml!M1261</f>
        <v>102_1760_1760</v>
      </c>
      <c r="M1257" s="17" t="str">
        <f>equip.xml!Q1261</f>
        <v>equipment/14013.png</v>
      </c>
      <c r="N1257" s="16" t="str">
        <f>equip.xml!P1261</f>
        <v>10000_1002_70000,30000_30001_1,30000_30002_1,30000_30003_1</v>
      </c>
      <c r="O1257">
        <f>equip.xml!R1261</f>
        <v>0</v>
      </c>
    </row>
    <row r="1258" spans="1:15">
      <c r="A1258" s="14">
        <f>equip.xml!A1262</f>
        <v>30750030</v>
      </c>
      <c r="B1258" s="14">
        <f>equip.xml!B1262</f>
        <v>1</v>
      </c>
      <c r="C1258" s="14" t="str">
        <f>equip.xml!C1262</f>
        <v>缚誓护腰</v>
      </c>
      <c r="D1258" s="14" t="str">
        <f>equip.xml!D1262</f>
        <v>腰带</v>
      </c>
      <c r="E1258" s="14">
        <f>equip.xml!E1262</f>
        <v>3</v>
      </c>
      <c r="F1258" s="14">
        <f>equip.xml!F1262</f>
        <v>3</v>
      </c>
      <c r="G1258" s="14">
        <f>equip.xml!G1262</f>
        <v>75</v>
      </c>
      <c r="H1258" s="14">
        <f>equip.xml!H1262</f>
        <v>0</v>
      </c>
      <c r="I1258" s="14">
        <f>equip.xml!J1262</f>
        <v>20</v>
      </c>
      <c r="J1258" s="14">
        <f>equip.xml!K1262</f>
        <v>0</v>
      </c>
      <c r="K1258" s="14">
        <f>equip.xml!L1262</f>
        <v>40000</v>
      </c>
      <c r="L1258" s="14" t="str">
        <f>equip.xml!M1262</f>
        <v>101_21600_21600</v>
      </c>
      <c r="M1258" s="17" t="str">
        <f>equip.xml!Q1262</f>
        <v>equipment/6014.png</v>
      </c>
      <c r="N1258" s="16" t="str">
        <f>equip.xml!P1262</f>
        <v>10000_1002_70000,30000_30001_1,30000_30002_1,30000_30003_1</v>
      </c>
      <c r="O1258">
        <f>equip.xml!R1262</f>
        <v>0</v>
      </c>
    </row>
    <row r="1259" spans="1:15">
      <c r="A1259" s="14">
        <f>equip.xml!A1263</f>
        <v>30750080</v>
      </c>
      <c r="B1259" s="14">
        <f>equip.xml!B1263</f>
        <v>1</v>
      </c>
      <c r="C1259" s="14" t="str">
        <f>equip.xml!C1263</f>
        <v>踏冰长靴</v>
      </c>
      <c r="D1259" s="14" t="str">
        <f>equip.xml!D1263</f>
        <v>鞋子</v>
      </c>
      <c r="E1259" s="14">
        <f>equip.xml!E1263</f>
        <v>8</v>
      </c>
      <c r="F1259" s="14">
        <f>equip.xml!F1263</f>
        <v>3</v>
      </c>
      <c r="G1259" s="14">
        <f>equip.xml!G1263</f>
        <v>75</v>
      </c>
      <c r="H1259" s="14">
        <f>equip.xml!H1263</f>
        <v>0</v>
      </c>
      <c r="I1259" s="14">
        <f>equip.xml!J1263</f>
        <v>20</v>
      </c>
      <c r="J1259" s="14">
        <f>equip.xml!K1263</f>
        <v>0</v>
      </c>
      <c r="K1259" s="14">
        <f>equip.xml!L1263</f>
        <v>40000</v>
      </c>
      <c r="L1259" s="14" t="str">
        <f>equip.xml!M1263</f>
        <v>110_515_515</v>
      </c>
      <c r="M1259" s="17" t="str">
        <f>equip.xml!Q1263</f>
        <v>equipment/8014.png</v>
      </c>
      <c r="N1259" s="16" t="str">
        <f>equip.xml!P1263</f>
        <v>10000_1002_70000,30000_30001_1,30000_30002_1,30000_30003_1</v>
      </c>
      <c r="O1259">
        <f>equip.xml!R1263</f>
        <v>0</v>
      </c>
    </row>
    <row r="1260" spans="1:15">
      <c r="A1260" s="14">
        <f>equip.xml!A1264</f>
        <v>30750090</v>
      </c>
      <c r="B1260" s="14">
        <f>equip.xml!B1264</f>
        <v>1</v>
      </c>
      <c r="C1260" s="14" t="str">
        <f>equip.xml!C1264</f>
        <v>薄霜护手</v>
      </c>
      <c r="D1260" s="14" t="str">
        <f>equip.xml!D1264</f>
        <v>手套</v>
      </c>
      <c r="E1260" s="14">
        <f>equip.xml!E1264</f>
        <v>9</v>
      </c>
      <c r="F1260" s="14">
        <f>equip.xml!F1264</f>
        <v>3</v>
      </c>
      <c r="G1260" s="14">
        <f>equip.xml!G1264</f>
        <v>75</v>
      </c>
      <c r="H1260" s="14">
        <f>equip.xml!H1264</f>
        <v>0</v>
      </c>
      <c r="I1260" s="14">
        <f>equip.xml!J1264</f>
        <v>20</v>
      </c>
      <c r="J1260" s="14">
        <f>equip.xml!K1264</f>
        <v>0</v>
      </c>
      <c r="K1260" s="14">
        <f>equip.xml!L1264</f>
        <v>40000</v>
      </c>
      <c r="L1260" s="14" t="str">
        <f>equip.xml!M1264</f>
        <v>108_4631_4631</v>
      </c>
      <c r="M1260" s="17" t="str">
        <f>equip.xml!Q1264</f>
        <v>equipment/10012.png</v>
      </c>
      <c r="N1260" s="16" t="str">
        <f>equip.xml!P1264</f>
        <v>10000_1002_70000,30000_30001_1,30000_30002_1,30000_30003_1</v>
      </c>
      <c r="O1260">
        <f>equip.xml!R1264</f>
        <v>0</v>
      </c>
    </row>
    <row r="1261" spans="1:15">
      <c r="A1261" s="14">
        <f>equip.xml!A1265</f>
        <v>30750100</v>
      </c>
      <c r="B1261" s="14">
        <f>equip.xml!B1265</f>
        <v>1</v>
      </c>
      <c r="C1261" s="14" t="str">
        <f>equip.xml!C1265</f>
        <v>极光挂坠</v>
      </c>
      <c r="D1261" s="14" t="str">
        <f>equip.xml!D1265</f>
        <v>项链</v>
      </c>
      <c r="E1261" s="14">
        <f>equip.xml!E1265</f>
        <v>10</v>
      </c>
      <c r="F1261" s="14">
        <f>equip.xml!F1265</f>
        <v>3</v>
      </c>
      <c r="G1261" s="14">
        <f>equip.xml!G1265</f>
        <v>75</v>
      </c>
      <c r="H1261" s="14">
        <f>equip.xml!H1265</f>
        <v>0</v>
      </c>
      <c r="I1261" s="14">
        <f>equip.xml!J1265</f>
        <v>20</v>
      </c>
      <c r="J1261" s="14">
        <f>equip.xml!K1265</f>
        <v>0</v>
      </c>
      <c r="K1261" s="14">
        <f>equip.xml!L1265</f>
        <v>40000</v>
      </c>
      <c r="L1261" s="14" t="str">
        <f>equip.xml!M1265</f>
        <v>107_2633_2633</v>
      </c>
      <c r="M1261" s="17" t="str">
        <f>equip.xml!Q1265</f>
        <v>equipment/12013.png</v>
      </c>
      <c r="N1261" s="16" t="str">
        <f>equip.xml!P1265</f>
        <v>10000_1002_70000,30000_30001_1,30000_30002_1,30000_30003_1</v>
      </c>
      <c r="O1261">
        <f>equip.xml!R1265</f>
        <v>0</v>
      </c>
    </row>
    <row r="1262" spans="1:15">
      <c r="A1262" s="14">
        <f>equip.xml!A1266</f>
        <v>30751050</v>
      </c>
      <c r="B1262" s="14">
        <f>equip.xml!B1266</f>
        <v>1</v>
      </c>
      <c r="C1262" s="14" t="str">
        <f>equip.xml!C1266</f>
        <v>凌风之刃</v>
      </c>
      <c r="D1262" s="14" t="str">
        <f>equip.xml!D1266</f>
        <v>主手武器</v>
      </c>
      <c r="E1262" s="14">
        <f>equip.xml!E1266</f>
        <v>5</v>
      </c>
      <c r="F1262" s="14">
        <f>equip.xml!F1266</f>
        <v>3</v>
      </c>
      <c r="G1262" s="14">
        <f>equip.xml!G1266</f>
        <v>75</v>
      </c>
      <c r="H1262" s="14" t="str">
        <f>equip.xml!H1266</f>
        <v>1,1001</v>
      </c>
      <c r="I1262" s="14">
        <f>equip.xml!J1266</f>
        <v>20</v>
      </c>
      <c r="J1262" s="14">
        <f>equip.xml!K1266</f>
        <v>0</v>
      </c>
      <c r="K1262" s="14">
        <f>equip.xml!L1266</f>
        <v>40000</v>
      </c>
      <c r="L1262" s="14" t="str">
        <f>equip.xml!M1266</f>
        <v>103_3811_3811,104_7622_7622</v>
      </c>
      <c r="M1262" s="17" t="str">
        <f>equip.xml!Q1266</f>
        <v>equipment/1126.png</v>
      </c>
      <c r="N1262" s="16" t="str">
        <f>equip.xml!P1266</f>
        <v>10000_1002_70000,30000_30001_1,30000_30002_1,30000_30003_1</v>
      </c>
      <c r="O1262">
        <f>equip.xml!R1266</f>
        <v>0</v>
      </c>
    </row>
    <row r="1263" spans="1:15">
      <c r="A1263" s="14">
        <f>equip.xml!A1267</f>
        <v>30751051</v>
      </c>
      <c r="B1263" s="14">
        <f>equip.xml!B1267</f>
        <v>1</v>
      </c>
      <c r="C1263" s="14" t="str">
        <f>equip.xml!C1267</f>
        <v>鸣醒之剑</v>
      </c>
      <c r="D1263" s="14" t="str">
        <f>equip.xml!D1267</f>
        <v>主手武器</v>
      </c>
      <c r="E1263" s="14">
        <f>equip.xml!E1267</f>
        <v>5</v>
      </c>
      <c r="F1263" s="14">
        <f>equip.xml!F1267</f>
        <v>3</v>
      </c>
      <c r="G1263" s="14">
        <f>equip.xml!G1267</f>
        <v>75</v>
      </c>
      <c r="H1263" s="14" t="str">
        <f>equip.xml!H1267</f>
        <v>1,1001</v>
      </c>
      <c r="I1263" s="14">
        <f>equip.xml!J1267</f>
        <v>20</v>
      </c>
      <c r="J1263" s="14">
        <f>equip.xml!K1267</f>
        <v>0</v>
      </c>
      <c r="K1263" s="14">
        <f>equip.xml!L1267</f>
        <v>42500</v>
      </c>
      <c r="L1263" s="14" t="str">
        <f>equip.xml!M1267</f>
        <v>103_4019_4019,104_8038_8038</v>
      </c>
      <c r="M1263" s="17" t="str">
        <f>equip.xml!Q1267</f>
        <v>equipment/1127.png</v>
      </c>
      <c r="N1263" s="16" t="str">
        <f>equip.xml!P1267</f>
        <v>10000_1002_70000,30000_30001_1,30000_30002_1,30000_30003_1</v>
      </c>
      <c r="O1263">
        <f>equip.xml!R1267</f>
        <v>0</v>
      </c>
    </row>
    <row r="1264" spans="1:15">
      <c r="A1264" s="14">
        <f>equip.xml!A1268</f>
        <v>30751060</v>
      </c>
      <c r="B1264" s="14">
        <f>equip.xml!B1268</f>
        <v>1</v>
      </c>
      <c r="C1264" s="14" t="str">
        <f>equip.xml!C1268</f>
        <v>凯旋护盾</v>
      </c>
      <c r="D1264" s="14" t="str">
        <f>equip.xml!D1268</f>
        <v>副手武器</v>
      </c>
      <c r="E1264" s="14">
        <f>equip.xml!E1268</f>
        <v>6</v>
      </c>
      <c r="F1264" s="14">
        <f>equip.xml!F1268</f>
        <v>3</v>
      </c>
      <c r="G1264" s="14">
        <f>equip.xml!G1268</f>
        <v>75</v>
      </c>
      <c r="H1264" s="14" t="str">
        <f>equip.xml!H1268</f>
        <v>1,1001</v>
      </c>
      <c r="I1264" s="14">
        <f>equip.xml!J1268</f>
        <v>20</v>
      </c>
      <c r="J1264" s="14">
        <f>equip.xml!K1268</f>
        <v>0</v>
      </c>
      <c r="K1264" s="14">
        <f>equip.xml!L1268</f>
        <v>40000</v>
      </c>
      <c r="L1264" s="14" t="str">
        <f>equip.xml!M1268</f>
        <v>105_3945_3945</v>
      </c>
      <c r="M1264" s="17" t="str">
        <f>equip.xml!Q1268</f>
        <v>equipment/2121.png</v>
      </c>
      <c r="N1264" s="16" t="str">
        <f>equip.xml!P1268</f>
        <v>10000_1002_70000,30000_30001_1,30000_30002_1,30000_30003_1</v>
      </c>
      <c r="O1264">
        <f>equip.xml!R1268</f>
        <v>0</v>
      </c>
    </row>
    <row r="1265" spans="1:15">
      <c r="A1265" s="14">
        <f>equip.xml!A1269</f>
        <v>30751061</v>
      </c>
      <c r="B1265" s="14">
        <f>equip.xml!B1269</f>
        <v>1</v>
      </c>
      <c r="C1265" s="14" t="str">
        <f>equip.xml!C1269</f>
        <v>集结护盾</v>
      </c>
      <c r="D1265" s="14" t="str">
        <f>equip.xml!D1269</f>
        <v>副手武器</v>
      </c>
      <c r="E1265" s="14">
        <f>equip.xml!E1269</f>
        <v>6</v>
      </c>
      <c r="F1265" s="14">
        <f>equip.xml!F1269</f>
        <v>3</v>
      </c>
      <c r="G1265" s="14">
        <f>equip.xml!G1269</f>
        <v>75</v>
      </c>
      <c r="H1265" s="14" t="str">
        <f>equip.xml!H1269</f>
        <v>1,1001</v>
      </c>
      <c r="I1265" s="14">
        <f>equip.xml!J1269</f>
        <v>20</v>
      </c>
      <c r="J1265" s="14">
        <f>equip.xml!K1269</f>
        <v>0</v>
      </c>
      <c r="K1265" s="14">
        <f>equip.xml!L1269</f>
        <v>42500</v>
      </c>
      <c r="L1265" s="14" t="str">
        <f>equip.xml!M1269</f>
        <v>105_4082_4082</v>
      </c>
      <c r="M1265" s="17" t="str">
        <f>equip.xml!Q1269</f>
        <v>equipment/2123.png</v>
      </c>
      <c r="N1265" s="16" t="str">
        <f>equip.xml!P1269</f>
        <v>10000_1002_70000,30000_30001_1,30000_30002_1,30000_30003_1</v>
      </c>
      <c r="O1265">
        <f>equip.xml!R1269</f>
        <v>0</v>
      </c>
    </row>
    <row r="1266" spans="1:15">
      <c r="A1266" s="14">
        <f>equip.xml!A1270</f>
        <v>30752050</v>
      </c>
      <c r="B1266" s="14">
        <f>equip.xml!B1270</f>
        <v>1</v>
      </c>
      <c r="C1266" s="14" t="str">
        <f>equip.xml!C1270</f>
        <v>嚎风之息</v>
      </c>
      <c r="D1266" s="14" t="str">
        <f>equip.xml!D1270</f>
        <v>主手武器</v>
      </c>
      <c r="E1266" s="14">
        <f>equip.xml!E1270</f>
        <v>5</v>
      </c>
      <c r="F1266" s="14">
        <f>equip.xml!F1270</f>
        <v>3</v>
      </c>
      <c r="G1266" s="14">
        <f>equip.xml!G1270</f>
        <v>75</v>
      </c>
      <c r="H1266" s="14" t="str">
        <f>equip.xml!H1270</f>
        <v>2,1002</v>
      </c>
      <c r="I1266" s="14">
        <f>equip.xml!J1270</f>
        <v>20</v>
      </c>
      <c r="J1266" s="14">
        <f>equip.xml!K1270</f>
        <v>0</v>
      </c>
      <c r="K1266" s="14">
        <f>equip.xml!L1270</f>
        <v>40000</v>
      </c>
      <c r="L1266" s="14" t="str">
        <f>equip.xml!M1270</f>
        <v>103_3811_3811,104_7622_7622</v>
      </c>
      <c r="M1266" s="17" t="str">
        <f>equip.xml!Q1270</f>
        <v>equipment/1225.png</v>
      </c>
      <c r="N1266" s="16" t="str">
        <f>equip.xml!P1270</f>
        <v>10000_1002_70000,30000_30001_1,30000_30002_1,30000_30003_1</v>
      </c>
      <c r="O1266">
        <f>equip.xml!R1270</f>
        <v>0</v>
      </c>
    </row>
    <row r="1267" spans="1:15">
      <c r="A1267" s="14">
        <f>equip.xml!A1271</f>
        <v>30752051</v>
      </c>
      <c r="B1267" s="14">
        <f>equip.xml!B1271</f>
        <v>1</v>
      </c>
      <c r="C1267" s="14" t="str">
        <f>equip.xml!C1271</f>
        <v>瞭天长弓</v>
      </c>
      <c r="D1267" s="14" t="str">
        <f>equip.xml!D1271</f>
        <v>主手武器</v>
      </c>
      <c r="E1267" s="14">
        <f>equip.xml!E1271</f>
        <v>5</v>
      </c>
      <c r="F1267" s="14">
        <f>equip.xml!F1271</f>
        <v>3</v>
      </c>
      <c r="G1267" s="14">
        <f>equip.xml!G1271</f>
        <v>75</v>
      </c>
      <c r="H1267" s="14" t="str">
        <f>equip.xml!H1271</f>
        <v>2,1002</v>
      </c>
      <c r="I1267" s="14">
        <f>equip.xml!J1271</f>
        <v>20</v>
      </c>
      <c r="J1267" s="14">
        <f>equip.xml!K1271</f>
        <v>0</v>
      </c>
      <c r="K1267" s="14">
        <f>equip.xml!L1271</f>
        <v>42500</v>
      </c>
      <c r="L1267" s="14" t="str">
        <f>equip.xml!M1271</f>
        <v>103_4019_4019,104_8038_8038</v>
      </c>
      <c r="M1267" s="17" t="str">
        <f>equip.xml!Q1271</f>
        <v>equipment/1226.png</v>
      </c>
      <c r="N1267" s="16" t="str">
        <f>equip.xml!P1271</f>
        <v>10000_1002_70000,30000_30001_1,30000_30002_1,30000_30003_1</v>
      </c>
      <c r="O1267">
        <f>equip.xml!R1271</f>
        <v>0</v>
      </c>
    </row>
    <row r="1268" spans="1:15">
      <c r="A1268" s="14">
        <f>equip.xml!A1272</f>
        <v>30752060</v>
      </c>
      <c r="B1268" s="14">
        <f>equip.xml!B1272</f>
        <v>1</v>
      </c>
      <c r="C1268" s="14" t="str">
        <f>equip.xml!C1272</f>
        <v>疾鹰箭袋</v>
      </c>
      <c r="D1268" s="14" t="str">
        <f>equip.xml!D1272</f>
        <v>副手武器</v>
      </c>
      <c r="E1268" s="14">
        <f>equip.xml!E1272</f>
        <v>6</v>
      </c>
      <c r="F1268" s="14">
        <f>equip.xml!F1272</f>
        <v>3</v>
      </c>
      <c r="G1268" s="14">
        <f>equip.xml!G1272</f>
        <v>75</v>
      </c>
      <c r="H1268" s="14" t="str">
        <f>equip.xml!H1272</f>
        <v>2,1002</v>
      </c>
      <c r="I1268" s="14">
        <f>equip.xml!J1272</f>
        <v>20</v>
      </c>
      <c r="J1268" s="14">
        <f>equip.xml!K1272</f>
        <v>0</v>
      </c>
      <c r="K1268" s="14">
        <f>equip.xml!L1272</f>
        <v>40000</v>
      </c>
      <c r="L1268" s="14" t="str">
        <f>equip.xml!M1272</f>
        <v>108_3945_3945</v>
      </c>
      <c r="M1268" s="17" t="str">
        <f>equip.xml!Q1272</f>
        <v>equipment/2219.png</v>
      </c>
      <c r="N1268" s="16" t="str">
        <f>equip.xml!P1272</f>
        <v>10000_1002_70000,30000_30001_1,30000_30002_1,30000_30003_1</v>
      </c>
      <c r="O1268">
        <f>equip.xml!R1272</f>
        <v>0</v>
      </c>
    </row>
    <row r="1269" spans="1:15">
      <c r="A1269" s="14">
        <f>equip.xml!A1273</f>
        <v>30752061</v>
      </c>
      <c r="B1269" s="14">
        <f>equip.xml!B1273</f>
        <v>1</v>
      </c>
      <c r="C1269" s="14" t="str">
        <f>equip.xml!C1273</f>
        <v>灵犀箭筒</v>
      </c>
      <c r="D1269" s="14" t="str">
        <f>equip.xml!D1273</f>
        <v>副手武器</v>
      </c>
      <c r="E1269" s="14">
        <f>equip.xml!E1273</f>
        <v>6</v>
      </c>
      <c r="F1269" s="14">
        <f>equip.xml!F1273</f>
        <v>3</v>
      </c>
      <c r="G1269" s="14">
        <f>equip.xml!G1273</f>
        <v>75</v>
      </c>
      <c r="H1269" s="14" t="str">
        <f>equip.xml!H1273</f>
        <v>2,1002</v>
      </c>
      <c r="I1269" s="14">
        <f>equip.xml!J1273</f>
        <v>20</v>
      </c>
      <c r="J1269" s="14">
        <f>equip.xml!K1273</f>
        <v>0</v>
      </c>
      <c r="K1269" s="14">
        <f>equip.xml!L1273</f>
        <v>42500</v>
      </c>
      <c r="L1269" s="14" t="str">
        <f>equip.xml!M1273</f>
        <v>108_4082_4082</v>
      </c>
      <c r="M1269" s="17" t="str">
        <f>equip.xml!Q1273</f>
        <v>equipment/2220.png</v>
      </c>
      <c r="N1269" s="16" t="str">
        <f>equip.xml!P1273</f>
        <v>10000_1002_70000,30000_30001_1,30000_30002_1,30000_30003_1</v>
      </c>
      <c r="O1269">
        <f>equip.xml!R1273</f>
        <v>0</v>
      </c>
    </row>
    <row r="1270" spans="1:15">
      <c r="A1270" s="14">
        <f>equip.xml!A1274</f>
        <v>30753050</v>
      </c>
      <c r="B1270" s="14">
        <f>equip.xml!B1274</f>
        <v>1</v>
      </c>
      <c r="C1270" s="14" t="str">
        <f>equip.xml!C1274</f>
        <v>唤海长杖</v>
      </c>
      <c r="D1270" s="14" t="str">
        <f>equip.xml!D1274</f>
        <v>主手武器</v>
      </c>
      <c r="E1270" s="14">
        <f>equip.xml!E1274</f>
        <v>5</v>
      </c>
      <c r="F1270" s="14">
        <f>equip.xml!F1274</f>
        <v>3</v>
      </c>
      <c r="G1270" s="14">
        <f>equip.xml!G1274</f>
        <v>75</v>
      </c>
      <c r="H1270" s="14" t="str">
        <f>equip.xml!H1274</f>
        <v>3,1003</v>
      </c>
      <c r="I1270" s="14">
        <f>equip.xml!J1274</f>
        <v>20</v>
      </c>
      <c r="J1270" s="14">
        <f>equip.xml!K1274</f>
        <v>0</v>
      </c>
      <c r="K1270" s="14">
        <f>equip.xml!L1274</f>
        <v>40000</v>
      </c>
      <c r="L1270" s="14" t="str">
        <f>equip.xml!M1274</f>
        <v>103_3811_3811,104_7622_7622</v>
      </c>
      <c r="M1270" s="17" t="str">
        <f>equip.xml!Q1274</f>
        <v>equipment/1326.png</v>
      </c>
      <c r="N1270" s="16" t="str">
        <f>equip.xml!P1274</f>
        <v>10000_1002_70000,30000_30001_1,30000_30002_1,30000_30003_1</v>
      </c>
      <c r="O1270">
        <f>equip.xml!R1274</f>
        <v>0</v>
      </c>
    </row>
    <row r="1271" spans="1:15">
      <c r="A1271" s="14">
        <f>equip.xml!A1275</f>
        <v>30753051</v>
      </c>
      <c r="B1271" s="14">
        <f>equip.xml!B1275</f>
        <v>1</v>
      </c>
      <c r="C1271" s="14" t="str">
        <f>equip.xml!C1275</f>
        <v>奥核之杖</v>
      </c>
      <c r="D1271" s="14" t="str">
        <f>equip.xml!D1275</f>
        <v>主手武器</v>
      </c>
      <c r="E1271" s="14">
        <f>equip.xml!E1275</f>
        <v>5</v>
      </c>
      <c r="F1271" s="14">
        <f>equip.xml!F1275</f>
        <v>3</v>
      </c>
      <c r="G1271" s="14">
        <f>equip.xml!G1275</f>
        <v>75</v>
      </c>
      <c r="H1271" s="14" t="str">
        <f>equip.xml!H1275</f>
        <v>3,1003</v>
      </c>
      <c r="I1271" s="14">
        <f>equip.xml!J1275</f>
        <v>20</v>
      </c>
      <c r="J1271" s="14">
        <f>equip.xml!K1275</f>
        <v>0</v>
      </c>
      <c r="K1271" s="14">
        <f>equip.xml!L1275</f>
        <v>42500</v>
      </c>
      <c r="L1271" s="14" t="str">
        <f>equip.xml!M1275</f>
        <v>103_4019_4019,104_8038_8038</v>
      </c>
      <c r="M1271" s="17" t="str">
        <f>equip.xml!Q1275</f>
        <v>equipment/1325.png</v>
      </c>
      <c r="N1271" s="16" t="str">
        <f>equip.xml!P1275</f>
        <v>10000_1002_70000,30000_30001_1,30000_30002_1,30000_30003_1</v>
      </c>
      <c r="O1271">
        <f>equip.xml!R1275</f>
        <v>0</v>
      </c>
    </row>
    <row r="1272" spans="1:15">
      <c r="A1272" s="14">
        <f>equip.xml!A1276</f>
        <v>30753060</v>
      </c>
      <c r="B1272" s="14">
        <f>equip.xml!B1276</f>
        <v>1</v>
      </c>
      <c r="C1272" s="14" t="str">
        <f>equip.xml!C1276</f>
        <v>尘封遗典</v>
      </c>
      <c r="D1272" s="14" t="str">
        <f>equip.xml!D1276</f>
        <v>副手武器</v>
      </c>
      <c r="E1272" s="14">
        <f>equip.xml!E1276</f>
        <v>6</v>
      </c>
      <c r="F1272" s="14">
        <f>equip.xml!F1276</f>
        <v>3</v>
      </c>
      <c r="G1272" s="14">
        <f>equip.xml!G1276</f>
        <v>75</v>
      </c>
      <c r="H1272" s="14" t="str">
        <f>equip.xml!H1276</f>
        <v>3,1003</v>
      </c>
      <c r="I1272" s="14">
        <f>equip.xml!J1276</f>
        <v>20</v>
      </c>
      <c r="J1272" s="14">
        <f>equip.xml!K1276</f>
        <v>0</v>
      </c>
      <c r="K1272" s="14">
        <f>equip.xml!L1276</f>
        <v>40000</v>
      </c>
      <c r="L1272" s="14" t="str">
        <f>equip.xml!M1276</f>
        <v>102_3350_3350</v>
      </c>
      <c r="M1272" s="17" t="str">
        <f>equip.xml!Q1276</f>
        <v>equipment/2319.png</v>
      </c>
      <c r="N1272" s="16" t="str">
        <f>equip.xml!P1276</f>
        <v>10000_1002_70000,30000_30001_1,30000_30002_1,30000_30003_1</v>
      </c>
      <c r="O1272">
        <f>equip.xml!R1276</f>
        <v>0</v>
      </c>
    </row>
    <row r="1273" spans="1:15">
      <c r="A1273" s="14">
        <f>equip.xml!A1277</f>
        <v>30753061</v>
      </c>
      <c r="B1273" s="14">
        <f>equip.xml!B1277</f>
        <v>1</v>
      </c>
      <c r="C1273" s="14" t="str">
        <f>equip.xml!C1277</f>
        <v>魔枢秘典</v>
      </c>
      <c r="D1273" s="14" t="str">
        <f>equip.xml!D1277</f>
        <v>副手武器</v>
      </c>
      <c r="E1273" s="14">
        <f>equip.xml!E1277</f>
        <v>6</v>
      </c>
      <c r="F1273" s="14">
        <f>equip.xml!F1277</f>
        <v>3</v>
      </c>
      <c r="G1273" s="14">
        <f>equip.xml!G1277</f>
        <v>75</v>
      </c>
      <c r="H1273" s="14" t="str">
        <f>equip.xml!H1277</f>
        <v>3,1003</v>
      </c>
      <c r="I1273" s="14">
        <f>equip.xml!J1277</f>
        <v>20</v>
      </c>
      <c r="J1273" s="14">
        <f>equip.xml!K1277</f>
        <v>0</v>
      </c>
      <c r="K1273" s="14">
        <f>equip.xml!L1277</f>
        <v>42500</v>
      </c>
      <c r="L1273" s="14" t="str">
        <f>equip.xml!M1277</f>
        <v>102_3450_3450</v>
      </c>
      <c r="M1273" s="17" t="str">
        <f>equip.xml!Q1277</f>
        <v>equipment/2321.png</v>
      </c>
      <c r="N1273" s="16" t="str">
        <f>equip.xml!P1277</f>
        <v>10000_1002_70000,30000_30001_1,30000_30002_1,30000_30003_1</v>
      </c>
      <c r="O1273">
        <f>equip.xml!R1277</f>
        <v>0</v>
      </c>
    </row>
    <row r="1274" spans="1:15">
      <c r="A1274" s="14">
        <f>equip.xml!A1278</f>
        <v>30750040</v>
      </c>
      <c r="B1274" s="14">
        <f>equip.xml!B1278</f>
        <v>1</v>
      </c>
      <c r="C1274" s="14" t="str">
        <f>equip.xml!C1278</f>
        <v>守望胸甲</v>
      </c>
      <c r="D1274" s="14" t="str">
        <f>equip.xml!D1278</f>
        <v>胸甲</v>
      </c>
      <c r="E1274" s="14">
        <f>equip.xml!E1278</f>
        <v>4</v>
      </c>
      <c r="F1274" s="14">
        <f>equip.xml!F1278</f>
        <v>3</v>
      </c>
      <c r="G1274" s="14">
        <f>equip.xml!G1278</f>
        <v>75</v>
      </c>
      <c r="H1274" s="14">
        <f>equip.xml!H1278</f>
        <v>0</v>
      </c>
      <c r="I1274" s="14">
        <f>equip.xml!J1278</f>
        <v>20</v>
      </c>
      <c r="J1274" s="14">
        <f>equip.xml!K1278</f>
        <v>0</v>
      </c>
      <c r="K1274" s="14">
        <f>equip.xml!L1278</f>
        <v>40000</v>
      </c>
      <c r="L1274" s="14" t="str">
        <f>equip.xml!M1278</f>
        <v>105_2195_2195</v>
      </c>
      <c r="M1274" s="17" t="str">
        <f>equip.xml!Q1278</f>
        <v>equipment/5019.png</v>
      </c>
      <c r="N1274" s="16" t="str">
        <f>equip.xml!P1278</f>
        <v>10000_1002_70000,30000_30001_1,30000_30002_1,30000_30003_1</v>
      </c>
      <c r="O1274">
        <f>equip.xml!R1278</f>
        <v>0</v>
      </c>
    </row>
    <row r="1275" spans="1:15">
      <c r="A1275" s="14">
        <f>equip.xml!A1279</f>
        <v>30750041</v>
      </c>
      <c r="B1275" s="14">
        <f>equip.xml!B1279</f>
        <v>1</v>
      </c>
      <c r="C1275" s="14" t="str">
        <f>equip.xml!C1279</f>
        <v>冥铸之铠</v>
      </c>
      <c r="D1275" s="14" t="str">
        <f>equip.xml!D1279</f>
        <v>胸甲</v>
      </c>
      <c r="E1275" s="14">
        <f>equip.xml!E1279</f>
        <v>4</v>
      </c>
      <c r="F1275" s="14">
        <f>equip.xml!F1279</f>
        <v>3</v>
      </c>
      <c r="G1275" s="14">
        <f>equip.xml!G1279</f>
        <v>75</v>
      </c>
      <c r="H1275" s="14">
        <f>equip.xml!H1279</f>
        <v>0</v>
      </c>
      <c r="I1275" s="14">
        <f>equip.xml!J1279</f>
        <v>20</v>
      </c>
      <c r="J1275" s="14">
        <f>equip.xml!K1279</f>
        <v>0</v>
      </c>
      <c r="K1275" s="14">
        <f>equip.xml!L1279</f>
        <v>42500</v>
      </c>
      <c r="L1275" s="14" t="str">
        <f>equip.xml!M1279</f>
        <v>105_2346_2346</v>
      </c>
      <c r="M1275" s="17" t="str">
        <f>equip.xml!Q1279</f>
        <v>equipment/5020.png</v>
      </c>
      <c r="N1275" s="16" t="str">
        <f>equip.xml!P1279</f>
        <v>10000_1002_70000,30000_30001_1,30000_30002_1,30000_30003_1</v>
      </c>
      <c r="O1275">
        <f>equip.xml!R1279</f>
        <v>0</v>
      </c>
    </row>
    <row r="1276" spans="1:15">
      <c r="A1276" s="14">
        <f>equip.xml!A1280</f>
        <v>30750070</v>
      </c>
      <c r="B1276" s="14">
        <f>equip.xml!B1280</f>
        <v>1</v>
      </c>
      <c r="C1276" s="14" t="str">
        <f>equip.xml!C1280</f>
        <v>怜悯护腿</v>
      </c>
      <c r="D1276" s="14" t="str">
        <f>equip.xml!D1280</f>
        <v>护腿</v>
      </c>
      <c r="E1276" s="14">
        <f>equip.xml!E1280</f>
        <v>7</v>
      </c>
      <c r="F1276" s="14">
        <f>equip.xml!F1280</f>
        <v>3</v>
      </c>
      <c r="G1276" s="14">
        <f>equip.xml!G1280</f>
        <v>75</v>
      </c>
      <c r="H1276" s="14">
        <f>equip.xml!H1280</f>
        <v>0</v>
      </c>
      <c r="I1276" s="14">
        <f>equip.xml!J1280</f>
        <v>20</v>
      </c>
      <c r="J1276" s="14">
        <f>equip.xml!K1280</f>
        <v>0</v>
      </c>
      <c r="K1276" s="14">
        <f>equip.xml!L1280</f>
        <v>40000</v>
      </c>
      <c r="L1276" s="14" t="str">
        <f>equip.xml!M1280</f>
        <v>105_2195_2195</v>
      </c>
      <c r="M1276" s="17" t="str">
        <f>equip.xml!Q1280</f>
        <v>equipment/7019.png</v>
      </c>
      <c r="N1276" s="16" t="str">
        <f>equip.xml!P1280</f>
        <v>10000_1002_70000,30000_30001_1,30000_30002_1,30000_30003_1</v>
      </c>
      <c r="O1276">
        <f>equip.xml!R1280</f>
        <v>0</v>
      </c>
    </row>
    <row r="1277" spans="1:15">
      <c r="A1277" s="14">
        <f>equip.xml!A1281</f>
        <v>30750071</v>
      </c>
      <c r="B1277" s="14">
        <f>equip.xml!B1281</f>
        <v>1</v>
      </c>
      <c r="C1277" s="14" t="str">
        <f>equip.xml!C1281</f>
        <v>魔痕护腿</v>
      </c>
      <c r="D1277" s="14" t="str">
        <f>equip.xml!D1281</f>
        <v>护腿</v>
      </c>
      <c r="E1277" s="14">
        <f>equip.xml!E1281</f>
        <v>7</v>
      </c>
      <c r="F1277" s="14">
        <f>equip.xml!F1281</f>
        <v>3</v>
      </c>
      <c r="G1277" s="14">
        <f>equip.xml!G1281</f>
        <v>75</v>
      </c>
      <c r="H1277" s="14">
        <f>equip.xml!H1281</f>
        <v>0</v>
      </c>
      <c r="I1277" s="14">
        <f>equip.xml!J1281</f>
        <v>20</v>
      </c>
      <c r="J1277" s="14">
        <f>equip.xml!K1281</f>
        <v>0</v>
      </c>
      <c r="K1277" s="14">
        <f>equip.xml!L1281</f>
        <v>42500</v>
      </c>
      <c r="L1277" s="14" t="str">
        <f>equip.xml!M1281</f>
        <v>105_2346_2346</v>
      </c>
      <c r="M1277" s="17" t="str">
        <f>equip.xml!Q1281</f>
        <v>equipment/7020.png</v>
      </c>
      <c r="N1277" s="16" t="str">
        <f>equip.xml!P1281</f>
        <v>10000_1002_70000,30000_30001_1,30000_30002_1,30000_30003_1</v>
      </c>
      <c r="O1277">
        <f>equip.xml!R1281</f>
        <v>0</v>
      </c>
    </row>
    <row r="1278" spans="1:15">
      <c r="A1278" s="14">
        <f>equip.xml!A1282</f>
        <v>30800010</v>
      </c>
      <c r="B1278" s="14">
        <f>equip.xml!B1282</f>
        <v>1</v>
      </c>
      <c r="C1278" s="14" t="str">
        <f>equip.xml!C1282</f>
        <v>浴火战盔</v>
      </c>
      <c r="D1278" s="14" t="str">
        <f>equip.xml!D1282</f>
        <v>头盔</v>
      </c>
      <c r="E1278" s="14">
        <f>equip.xml!E1282</f>
        <v>1</v>
      </c>
      <c r="F1278" s="14">
        <f>equip.xml!F1282</f>
        <v>3</v>
      </c>
      <c r="G1278" s="14">
        <f>equip.xml!G1282</f>
        <v>80</v>
      </c>
      <c r="H1278" s="14">
        <f>equip.xml!H1282</f>
        <v>0</v>
      </c>
      <c r="I1278" s="14">
        <f>equip.xml!J1282</f>
        <v>20</v>
      </c>
      <c r="J1278" s="14">
        <f>equip.xml!K1282</f>
        <v>0</v>
      </c>
      <c r="K1278" s="14">
        <f>equip.xml!L1282</f>
        <v>42500</v>
      </c>
      <c r="L1278" s="14" t="str">
        <f>equip.xml!M1282</f>
        <v>106_3066_3066</v>
      </c>
      <c r="M1278" s="17" t="str">
        <f>equip.xml!Q1282</f>
        <v>equipment/3015.png</v>
      </c>
      <c r="N1278" s="16" t="str">
        <f>equip.xml!P1282</f>
        <v>10000_1002_70000,30000_30001_1,30000_30002_1,30000_30003_1</v>
      </c>
      <c r="O1278">
        <f>equip.xml!R1282</f>
        <v>0</v>
      </c>
    </row>
    <row r="1279" spans="1:15">
      <c r="A1279" s="14">
        <f>equip.xml!A1283</f>
        <v>30800020</v>
      </c>
      <c r="B1279" s="14">
        <f>equip.xml!B1283</f>
        <v>1</v>
      </c>
      <c r="C1279" s="14" t="str">
        <f>equip.xml!C1283</f>
        <v>联合徽记</v>
      </c>
      <c r="D1279" s="14" t="str">
        <f>equip.xml!D1283</f>
        <v>戒指</v>
      </c>
      <c r="E1279" s="14">
        <f>equip.xml!E1283</f>
        <v>2</v>
      </c>
      <c r="F1279" s="14">
        <f>equip.xml!F1283</f>
        <v>3</v>
      </c>
      <c r="G1279" s="14">
        <f>equip.xml!G1283</f>
        <v>80</v>
      </c>
      <c r="H1279" s="14">
        <f>equip.xml!H1283</f>
        <v>0</v>
      </c>
      <c r="I1279" s="14">
        <f>equip.xml!J1283</f>
        <v>20</v>
      </c>
      <c r="J1279" s="14">
        <f>equip.xml!K1283</f>
        <v>0</v>
      </c>
      <c r="K1279" s="14">
        <f>equip.xml!L1283</f>
        <v>42500</v>
      </c>
      <c r="L1279" s="14" t="str">
        <f>equip.xml!M1283</f>
        <v>102_1900_1900</v>
      </c>
      <c r="M1279" s="17" t="str">
        <f>equip.xml!Q1283</f>
        <v>equipment/14014.png</v>
      </c>
      <c r="N1279" s="16" t="str">
        <f>equip.xml!P1283</f>
        <v>10000_1002_70000,30000_30001_1,30000_30002_1,30000_30003_1</v>
      </c>
      <c r="O1279">
        <f>equip.xml!R1283</f>
        <v>0</v>
      </c>
    </row>
    <row r="1280" spans="1:15">
      <c r="A1280" s="14">
        <f>equip.xml!A1284</f>
        <v>30800030</v>
      </c>
      <c r="B1280" s="14">
        <f>equip.xml!B1284</f>
        <v>1</v>
      </c>
      <c r="C1280" s="14" t="str">
        <f>equip.xml!C1284</f>
        <v>怒岩腰带</v>
      </c>
      <c r="D1280" s="14" t="str">
        <f>equip.xml!D1284</f>
        <v>腰带</v>
      </c>
      <c r="E1280" s="14">
        <f>equip.xml!E1284</f>
        <v>3</v>
      </c>
      <c r="F1280" s="14">
        <f>equip.xml!F1284</f>
        <v>3</v>
      </c>
      <c r="G1280" s="14">
        <f>equip.xml!G1284</f>
        <v>80</v>
      </c>
      <c r="H1280" s="14">
        <f>equip.xml!H1284</f>
        <v>0</v>
      </c>
      <c r="I1280" s="14">
        <f>equip.xml!J1284</f>
        <v>20</v>
      </c>
      <c r="J1280" s="14">
        <f>equip.xml!K1284</f>
        <v>0</v>
      </c>
      <c r="K1280" s="14">
        <f>equip.xml!L1284</f>
        <v>42500</v>
      </c>
      <c r="L1280" s="14" t="str">
        <f>equip.xml!M1284</f>
        <v>101_24080_24080</v>
      </c>
      <c r="M1280" s="17" t="str">
        <f>equip.xml!Q1284</f>
        <v>equipment/6015.png</v>
      </c>
      <c r="N1280" s="16" t="str">
        <f>equip.xml!P1284</f>
        <v>10000_1002_70000,30000_30001_1,30000_30002_1,30000_30003_1</v>
      </c>
      <c r="O1280">
        <f>equip.xml!R1284</f>
        <v>0</v>
      </c>
    </row>
    <row r="1281" spans="1:15">
      <c r="A1281" s="14">
        <f>equip.xml!A1285</f>
        <v>30800080</v>
      </c>
      <c r="B1281" s="14">
        <f>equip.xml!B1285</f>
        <v>1</v>
      </c>
      <c r="C1281" s="14" t="str">
        <f>equip.xml!C1285</f>
        <v>缚法之靴</v>
      </c>
      <c r="D1281" s="14" t="str">
        <f>equip.xml!D1285</f>
        <v>鞋子</v>
      </c>
      <c r="E1281" s="14">
        <f>equip.xml!E1285</f>
        <v>8</v>
      </c>
      <c r="F1281" s="14">
        <f>equip.xml!F1285</f>
        <v>3</v>
      </c>
      <c r="G1281" s="14">
        <f>equip.xml!G1285</f>
        <v>80</v>
      </c>
      <c r="H1281" s="14">
        <f>equip.xml!H1285</f>
        <v>0</v>
      </c>
      <c r="I1281" s="14">
        <f>equip.xml!J1285</f>
        <v>20</v>
      </c>
      <c r="J1281" s="14">
        <f>equip.xml!K1285</f>
        <v>0</v>
      </c>
      <c r="K1281" s="14">
        <f>equip.xml!L1285</f>
        <v>42500</v>
      </c>
      <c r="L1281" s="14" t="str">
        <f>equip.xml!M1285</f>
        <v>110_568_568</v>
      </c>
      <c r="M1281" s="17" t="str">
        <f>equip.xml!Q1285</f>
        <v>equipment/8015.png</v>
      </c>
      <c r="N1281" s="16" t="str">
        <f>equip.xml!P1285</f>
        <v>10000_1002_70000,30000_30001_1,30000_30002_1,30000_30003_1</v>
      </c>
      <c r="O1281">
        <f>equip.xml!R1285</f>
        <v>0</v>
      </c>
    </row>
    <row r="1282" spans="1:15">
      <c r="A1282" s="14">
        <f>equip.xml!A1286</f>
        <v>30800090</v>
      </c>
      <c r="B1282" s="14">
        <f>equip.xml!B1286</f>
        <v>1</v>
      </c>
      <c r="C1282" s="14" t="str">
        <f>equip.xml!C1286</f>
        <v>梦境护手</v>
      </c>
      <c r="D1282" s="14" t="str">
        <f>equip.xml!D1286</f>
        <v>手套</v>
      </c>
      <c r="E1282" s="14">
        <f>equip.xml!E1286</f>
        <v>9</v>
      </c>
      <c r="F1282" s="14">
        <f>equip.xml!F1286</f>
        <v>3</v>
      </c>
      <c r="G1282" s="14">
        <f>equip.xml!G1286</f>
        <v>80</v>
      </c>
      <c r="H1282" s="14">
        <f>equip.xml!H1286</f>
        <v>0</v>
      </c>
      <c r="I1282" s="14">
        <f>equip.xml!J1286</f>
        <v>20</v>
      </c>
      <c r="J1282" s="14">
        <f>equip.xml!K1286</f>
        <v>0</v>
      </c>
      <c r="K1282" s="14">
        <f>equip.xml!L1286</f>
        <v>42500</v>
      </c>
      <c r="L1282" s="14" t="str">
        <f>equip.xml!M1286</f>
        <v>108_5067_5067</v>
      </c>
      <c r="M1282" s="17" t="str">
        <f>equip.xml!Q1286</f>
        <v>equipment/10016.png</v>
      </c>
      <c r="N1282" s="16" t="str">
        <f>equip.xml!P1286</f>
        <v>10000_1002_70000,30000_30001_1,30000_30002_1,30000_30003_1</v>
      </c>
      <c r="O1282">
        <f>equip.xml!R1286</f>
        <v>0</v>
      </c>
    </row>
    <row r="1283" spans="1:15">
      <c r="A1283" s="14">
        <f>equip.xml!A1287</f>
        <v>30800100</v>
      </c>
      <c r="B1283" s="14">
        <f>equip.xml!B1287</f>
        <v>1</v>
      </c>
      <c r="C1283" s="14" t="str">
        <f>equip.xml!C1287</f>
        <v>亏蚀项链</v>
      </c>
      <c r="D1283" s="14" t="str">
        <f>equip.xml!D1287</f>
        <v>项链</v>
      </c>
      <c r="E1283" s="14">
        <f>equip.xml!E1287</f>
        <v>10</v>
      </c>
      <c r="F1283" s="14">
        <f>equip.xml!F1287</f>
        <v>3</v>
      </c>
      <c r="G1283" s="14">
        <f>equip.xml!G1287</f>
        <v>80</v>
      </c>
      <c r="H1283" s="14">
        <f>equip.xml!H1287</f>
        <v>0</v>
      </c>
      <c r="I1283" s="14">
        <f>equip.xml!J1287</f>
        <v>20</v>
      </c>
      <c r="J1283" s="14">
        <f>equip.xml!K1287</f>
        <v>0</v>
      </c>
      <c r="K1283" s="14">
        <f>equip.xml!L1287</f>
        <v>42500</v>
      </c>
      <c r="L1283" s="14" t="str">
        <f>equip.xml!M1287</f>
        <v>107_3066_3066</v>
      </c>
      <c r="M1283" s="17" t="str">
        <f>equip.xml!Q1287</f>
        <v>equipment/12015.png</v>
      </c>
      <c r="N1283" s="16" t="str">
        <f>equip.xml!P1287</f>
        <v>10000_1002_70000,30000_30001_1,30000_30002_1,30000_30003_1</v>
      </c>
      <c r="O1283">
        <f>equip.xml!R1287</f>
        <v>0</v>
      </c>
    </row>
    <row r="1284" spans="1:15">
      <c r="A1284" s="14">
        <f>equip.xml!A1288</f>
        <v>30801050</v>
      </c>
      <c r="B1284" s="14">
        <f>equip.xml!B1288</f>
        <v>1</v>
      </c>
      <c r="C1284" s="14" t="str">
        <f>equip.xml!C1288</f>
        <v>死寂之剑</v>
      </c>
      <c r="D1284" s="14" t="str">
        <f>equip.xml!D1288</f>
        <v>主手武器</v>
      </c>
      <c r="E1284" s="14">
        <f>equip.xml!E1288</f>
        <v>5</v>
      </c>
      <c r="F1284" s="14">
        <f>equip.xml!F1288</f>
        <v>3</v>
      </c>
      <c r="G1284" s="14">
        <f>equip.xml!G1288</f>
        <v>80</v>
      </c>
      <c r="H1284" s="14" t="str">
        <f>equip.xml!H1288</f>
        <v>1,1001</v>
      </c>
      <c r="I1284" s="14">
        <f>equip.xml!J1288</f>
        <v>20</v>
      </c>
      <c r="J1284" s="14">
        <f>equip.xml!K1288</f>
        <v>0</v>
      </c>
      <c r="K1284" s="14">
        <f>equip.xml!L1288</f>
        <v>42500</v>
      </c>
      <c r="L1284" s="14" t="str">
        <f>equip.xml!M1288</f>
        <v>103_4331_4331,104_8662_8662</v>
      </c>
      <c r="M1284" s="17" t="str">
        <f>equip.xml!Q1288</f>
        <v>equipment/1130.png</v>
      </c>
      <c r="N1284" s="16" t="str">
        <f>equip.xml!P1288</f>
        <v>10000_1002_70000,30000_30001_1,30000_30002_1,30000_30003_1</v>
      </c>
      <c r="O1284">
        <f>equip.xml!R1288</f>
        <v>0</v>
      </c>
    </row>
    <row r="1285" spans="1:15">
      <c r="A1285" s="14">
        <f>equip.xml!A1289</f>
        <v>30801051</v>
      </c>
      <c r="B1285" s="14">
        <f>equip.xml!B1289</f>
        <v>1</v>
      </c>
      <c r="C1285" s="14" t="str">
        <f>equip.xml!C1289</f>
        <v>千魂之刃</v>
      </c>
      <c r="D1285" s="14" t="str">
        <f>equip.xml!D1289</f>
        <v>主手武器</v>
      </c>
      <c r="E1285" s="14">
        <f>equip.xml!E1289</f>
        <v>5</v>
      </c>
      <c r="F1285" s="14">
        <f>equip.xml!F1289</f>
        <v>3</v>
      </c>
      <c r="G1285" s="14">
        <f>equip.xml!G1289</f>
        <v>80</v>
      </c>
      <c r="H1285" s="14" t="str">
        <f>equip.xml!H1289</f>
        <v>1,1001</v>
      </c>
      <c r="I1285" s="14">
        <f>equip.xml!J1289</f>
        <v>20</v>
      </c>
      <c r="J1285" s="14">
        <f>equip.xml!K1289</f>
        <v>0</v>
      </c>
      <c r="K1285" s="14">
        <f>equip.xml!L1289</f>
        <v>45000</v>
      </c>
      <c r="L1285" s="14" t="str">
        <f>equip.xml!M1289</f>
        <v>103_4552_4552,104_9105_9105</v>
      </c>
      <c r="M1285" s="17" t="str">
        <f>equip.xml!Q1289</f>
        <v>equipment/1125.png</v>
      </c>
      <c r="N1285" s="16" t="str">
        <f>equip.xml!P1289</f>
        <v>10000_1002_70000,30000_30001_1,30000_30002_1,30000_30003_1</v>
      </c>
      <c r="O1285">
        <f>equip.xml!R1289</f>
        <v>0</v>
      </c>
    </row>
    <row r="1286" spans="1:15">
      <c r="A1286" s="14">
        <f>equip.xml!A1290</f>
        <v>30801060</v>
      </c>
      <c r="B1286" s="14">
        <f>equip.xml!B1290</f>
        <v>1</v>
      </c>
      <c r="C1286" s="14" t="str">
        <f>equip.xml!C1290</f>
        <v>折戟之盾</v>
      </c>
      <c r="D1286" s="14" t="str">
        <f>equip.xml!D1290</f>
        <v>副手武器</v>
      </c>
      <c r="E1286" s="14">
        <f>equip.xml!E1290</f>
        <v>6</v>
      </c>
      <c r="F1286" s="14">
        <f>equip.xml!F1290</f>
        <v>3</v>
      </c>
      <c r="G1286" s="14">
        <f>equip.xml!G1290</f>
        <v>80</v>
      </c>
      <c r="H1286" s="14" t="str">
        <f>equip.xml!H1290</f>
        <v>1,1001</v>
      </c>
      <c r="I1286" s="14">
        <f>equip.xml!J1290</f>
        <v>20</v>
      </c>
      <c r="J1286" s="14">
        <f>equip.xml!K1290</f>
        <v>0</v>
      </c>
      <c r="K1286" s="14">
        <f>equip.xml!L1290</f>
        <v>42500</v>
      </c>
      <c r="L1286" s="14" t="str">
        <f>equip.xml!M1290</f>
        <v>105_4288_4288</v>
      </c>
      <c r="M1286" s="17" t="str">
        <f>equip.xml!Q1290</f>
        <v>equipment/2122.png</v>
      </c>
      <c r="N1286" s="16" t="str">
        <f>equip.xml!P1290</f>
        <v>10000_1002_70000,30000_30001_1,30000_30002_1,30000_30003_1</v>
      </c>
      <c r="O1286">
        <f>equip.xml!R1290</f>
        <v>0</v>
      </c>
    </row>
    <row r="1287" spans="1:15">
      <c r="A1287" s="14">
        <f>equip.xml!A1291</f>
        <v>30801061</v>
      </c>
      <c r="B1287" s="14">
        <f>equip.xml!B1291</f>
        <v>1</v>
      </c>
      <c r="C1287" s="14" t="str">
        <f>equip.xml!C1291</f>
        <v>古石壁垒</v>
      </c>
      <c r="D1287" s="14" t="str">
        <f>equip.xml!D1291</f>
        <v>副手武器</v>
      </c>
      <c r="E1287" s="14">
        <f>equip.xml!E1291</f>
        <v>6</v>
      </c>
      <c r="F1287" s="14">
        <f>equip.xml!F1291</f>
        <v>3</v>
      </c>
      <c r="G1287" s="14">
        <f>equip.xml!G1291</f>
        <v>80</v>
      </c>
      <c r="H1287" s="14" t="str">
        <f>equip.xml!H1291</f>
        <v>1,1001</v>
      </c>
      <c r="I1287" s="14">
        <f>equip.xml!J1291</f>
        <v>20</v>
      </c>
      <c r="J1287" s="14">
        <f>equip.xml!K1291</f>
        <v>0</v>
      </c>
      <c r="K1287" s="14">
        <f>equip.xml!L1291</f>
        <v>45000</v>
      </c>
      <c r="L1287" s="14" t="str">
        <f>equip.xml!M1291</f>
        <v>105_4419_4419</v>
      </c>
      <c r="M1287" s="17" t="str">
        <f>equip.xml!Q1291</f>
        <v>equipment/2120.png</v>
      </c>
      <c r="N1287" s="16" t="str">
        <f>equip.xml!P1291</f>
        <v>10000_1002_70000,30000_30001_1,30000_30002_1,30000_30003_1</v>
      </c>
      <c r="O1287">
        <f>equip.xml!R1291</f>
        <v>0</v>
      </c>
    </row>
    <row r="1288" spans="1:15">
      <c r="A1288" s="14">
        <f>equip.xml!A1292</f>
        <v>30802050</v>
      </c>
      <c r="B1288" s="14">
        <f>equip.xml!B1292</f>
        <v>1</v>
      </c>
      <c r="C1288" s="14" t="str">
        <f>equip.xml!C1292</f>
        <v>龙骨弯弓</v>
      </c>
      <c r="D1288" s="14" t="str">
        <f>equip.xml!D1292</f>
        <v>主手武器</v>
      </c>
      <c r="E1288" s="14">
        <f>equip.xml!E1292</f>
        <v>5</v>
      </c>
      <c r="F1288" s="14">
        <f>equip.xml!F1292</f>
        <v>3</v>
      </c>
      <c r="G1288" s="14">
        <f>equip.xml!G1292</f>
        <v>80</v>
      </c>
      <c r="H1288" s="14" t="str">
        <f>equip.xml!H1292</f>
        <v>2,1002</v>
      </c>
      <c r="I1288" s="14">
        <f>equip.xml!J1292</f>
        <v>20</v>
      </c>
      <c r="J1288" s="14">
        <f>equip.xml!K1292</f>
        <v>0</v>
      </c>
      <c r="K1288" s="14">
        <f>equip.xml!L1292</f>
        <v>42500</v>
      </c>
      <c r="L1288" s="14" t="str">
        <f>equip.xml!M1292</f>
        <v>103_4331_4331,104_8662_8662</v>
      </c>
      <c r="M1288" s="17" t="str">
        <f>equip.xml!Q1292</f>
        <v>equipment/1227.png</v>
      </c>
      <c r="N1288" s="16" t="str">
        <f>equip.xml!P1292</f>
        <v>10000_1002_70000,30000_30001_1,30000_30002_1,30000_30003_1</v>
      </c>
      <c r="O1288">
        <f>equip.xml!R1292</f>
        <v>0</v>
      </c>
    </row>
    <row r="1289" spans="1:15">
      <c r="A1289" s="14">
        <f>equip.xml!A1293</f>
        <v>30802051</v>
      </c>
      <c r="B1289" s="14">
        <f>equip.xml!B1293</f>
        <v>1</v>
      </c>
      <c r="C1289" s="14" t="str">
        <f>equip.xml!C1293</f>
        <v>川流长弓</v>
      </c>
      <c r="D1289" s="14" t="str">
        <f>equip.xml!D1293</f>
        <v>主手武器</v>
      </c>
      <c r="E1289" s="14">
        <f>equip.xml!E1293</f>
        <v>5</v>
      </c>
      <c r="F1289" s="14">
        <f>equip.xml!F1293</f>
        <v>3</v>
      </c>
      <c r="G1289" s="14">
        <f>equip.xml!G1293</f>
        <v>80</v>
      </c>
      <c r="H1289" s="14" t="str">
        <f>equip.xml!H1293</f>
        <v>2,1002</v>
      </c>
      <c r="I1289" s="14">
        <f>equip.xml!J1293</f>
        <v>20</v>
      </c>
      <c r="J1289" s="14">
        <f>equip.xml!K1293</f>
        <v>0</v>
      </c>
      <c r="K1289" s="14">
        <f>equip.xml!L1293</f>
        <v>45000</v>
      </c>
      <c r="L1289" s="14" t="str">
        <f>equip.xml!M1293</f>
        <v>103_4552_4552,104_9105_9105</v>
      </c>
      <c r="M1289" s="17" t="str">
        <f>equip.xml!Q1293</f>
        <v>equipment/1229.png</v>
      </c>
      <c r="N1289" s="16" t="str">
        <f>equip.xml!P1293</f>
        <v>10000_1002_70000,30000_30001_1,30000_30002_1,30000_30003_1</v>
      </c>
      <c r="O1289">
        <f>equip.xml!R1293</f>
        <v>0</v>
      </c>
    </row>
    <row r="1290" spans="1:15">
      <c r="A1290" s="14">
        <f>equip.xml!A1294</f>
        <v>30802060</v>
      </c>
      <c r="B1290" s="14">
        <f>equip.xml!B1294</f>
        <v>1</v>
      </c>
      <c r="C1290" s="14" t="str">
        <f>equip.xml!C1294</f>
        <v>荒原箭袋</v>
      </c>
      <c r="D1290" s="14" t="str">
        <f>equip.xml!D1294</f>
        <v>副手武器</v>
      </c>
      <c r="E1290" s="14">
        <f>equip.xml!E1294</f>
        <v>6</v>
      </c>
      <c r="F1290" s="14">
        <f>equip.xml!F1294</f>
        <v>3</v>
      </c>
      <c r="G1290" s="14">
        <f>equip.xml!G1294</f>
        <v>80</v>
      </c>
      <c r="H1290" s="14" t="str">
        <f>equip.xml!H1294</f>
        <v>2,1002</v>
      </c>
      <c r="I1290" s="14">
        <f>equip.xml!J1294</f>
        <v>20</v>
      </c>
      <c r="J1290" s="14">
        <f>equip.xml!K1294</f>
        <v>0</v>
      </c>
      <c r="K1290" s="14">
        <f>equip.xml!L1294</f>
        <v>42500</v>
      </c>
      <c r="L1290" s="14" t="str">
        <f>equip.xml!M1294</f>
        <v>108_4288_4288</v>
      </c>
      <c r="M1290" s="17" t="str">
        <f>equip.xml!Q1294</f>
        <v>equipment/2222.png</v>
      </c>
      <c r="N1290" s="16" t="str">
        <f>equip.xml!P1294</f>
        <v>10000_1002_70000,30000_30001_1,30000_30002_1,30000_30003_1</v>
      </c>
      <c r="O1290">
        <f>equip.xml!R1294</f>
        <v>0</v>
      </c>
    </row>
    <row r="1291" spans="1:15">
      <c r="A1291" s="14">
        <f>equip.xml!A1295</f>
        <v>30802061</v>
      </c>
      <c r="B1291" s="14">
        <f>equip.xml!B1295</f>
        <v>1</v>
      </c>
      <c r="C1291" s="14" t="str">
        <f>equip.xml!C1295</f>
        <v>追逝箭袋</v>
      </c>
      <c r="D1291" s="14" t="str">
        <f>equip.xml!D1295</f>
        <v>副手武器</v>
      </c>
      <c r="E1291" s="14">
        <f>equip.xml!E1295</f>
        <v>6</v>
      </c>
      <c r="F1291" s="14">
        <f>equip.xml!F1295</f>
        <v>3</v>
      </c>
      <c r="G1291" s="14">
        <f>equip.xml!G1295</f>
        <v>80</v>
      </c>
      <c r="H1291" s="14" t="str">
        <f>equip.xml!H1295</f>
        <v>2,1002</v>
      </c>
      <c r="I1291" s="14">
        <f>equip.xml!J1295</f>
        <v>20</v>
      </c>
      <c r="J1291" s="14">
        <f>equip.xml!K1295</f>
        <v>0</v>
      </c>
      <c r="K1291" s="14">
        <f>equip.xml!L1295</f>
        <v>45000</v>
      </c>
      <c r="L1291" s="14" t="str">
        <f>equip.xml!M1295</f>
        <v>108_4419_4419</v>
      </c>
      <c r="M1291" s="17" t="str">
        <f>equip.xml!Q1295</f>
        <v>equipment/2223.png</v>
      </c>
      <c r="N1291" s="16" t="str">
        <f>equip.xml!P1295</f>
        <v>10000_1002_70000,30000_30001_1,30000_30002_1,30000_30003_1</v>
      </c>
      <c r="O1291">
        <f>equip.xml!R1295</f>
        <v>0</v>
      </c>
    </row>
    <row r="1292" spans="1:15">
      <c r="A1292" s="14">
        <f>equip.xml!A1296</f>
        <v>30803050</v>
      </c>
      <c r="B1292" s="14">
        <f>equip.xml!B1296</f>
        <v>1</v>
      </c>
      <c r="C1292" s="14" t="str">
        <f>equip.xml!C1296</f>
        <v>显像符杖</v>
      </c>
      <c r="D1292" s="14" t="str">
        <f>equip.xml!D1296</f>
        <v>主手武器</v>
      </c>
      <c r="E1292" s="14">
        <f>equip.xml!E1296</f>
        <v>5</v>
      </c>
      <c r="F1292" s="14">
        <f>equip.xml!F1296</f>
        <v>3</v>
      </c>
      <c r="G1292" s="14">
        <f>equip.xml!G1296</f>
        <v>80</v>
      </c>
      <c r="H1292" s="14" t="str">
        <f>equip.xml!H1296</f>
        <v>3,1003</v>
      </c>
      <c r="I1292" s="14">
        <f>equip.xml!J1296</f>
        <v>20</v>
      </c>
      <c r="J1292" s="14">
        <f>equip.xml!K1296</f>
        <v>0</v>
      </c>
      <c r="K1292" s="14">
        <f>equip.xml!L1296</f>
        <v>42500</v>
      </c>
      <c r="L1292" s="14" t="str">
        <f>equip.xml!M1296</f>
        <v>103_4331_4331,104_8662_8662</v>
      </c>
      <c r="M1292" s="17" t="str">
        <f>equip.xml!Q1296</f>
        <v>equipment/1327.png</v>
      </c>
      <c r="N1292" s="16" t="str">
        <f>equip.xml!P1296</f>
        <v>10000_1002_70000,30000_30001_1,30000_30002_1,30000_30003_1</v>
      </c>
      <c r="O1292">
        <f>equip.xml!R1296</f>
        <v>0</v>
      </c>
    </row>
    <row r="1293" spans="1:15">
      <c r="A1293" s="14">
        <f>equip.xml!A1297</f>
        <v>30803051</v>
      </c>
      <c r="B1293" s="14">
        <f>equip.xml!B1297</f>
        <v>1</v>
      </c>
      <c r="C1293" s="14" t="str">
        <f>equip.xml!C1297</f>
        <v>幻灭之杖</v>
      </c>
      <c r="D1293" s="14" t="str">
        <f>equip.xml!D1297</f>
        <v>主手武器</v>
      </c>
      <c r="E1293" s="14">
        <f>equip.xml!E1297</f>
        <v>5</v>
      </c>
      <c r="F1293" s="14">
        <f>equip.xml!F1297</f>
        <v>3</v>
      </c>
      <c r="G1293" s="14">
        <f>equip.xml!G1297</f>
        <v>80</v>
      </c>
      <c r="H1293" s="14" t="str">
        <f>equip.xml!H1297</f>
        <v>3,1003</v>
      </c>
      <c r="I1293" s="14">
        <f>equip.xml!J1297</f>
        <v>20</v>
      </c>
      <c r="J1293" s="14">
        <f>equip.xml!K1297</f>
        <v>0</v>
      </c>
      <c r="K1293" s="14">
        <f>equip.xml!L1297</f>
        <v>45000</v>
      </c>
      <c r="L1293" s="14" t="str">
        <f>equip.xml!M1297</f>
        <v>103_4552_4552,104_9105_9105</v>
      </c>
      <c r="M1293" s="17" t="str">
        <f>equip.xml!Q1297</f>
        <v>equipment/1329.png</v>
      </c>
      <c r="N1293" s="16" t="str">
        <f>equip.xml!P1297</f>
        <v>10000_1002_70000,30000_30001_1,30000_30002_1,30000_30003_1</v>
      </c>
      <c r="O1293">
        <f>equip.xml!R1297</f>
        <v>0</v>
      </c>
    </row>
    <row r="1294" spans="1:15">
      <c r="A1294" s="14">
        <f>equip.xml!A1298</f>
        <v>30803060</v>
      </c>
      <c r="B1294" s="14">
        <f>equip.xml!B1298</f>
        <v>1</v>
      </c>
      <c r="C1294" s="14" t="str">
        <f>equip.xml!C1298</f>
        <v>王国古书</v>
      </c>
      <c r="D1294" s="14" t="str">
        <f>equip.xml!D1298</f>
        <v>副手武器</v>
      </c>
      <c r="E1294" s="14">
        <f>equip.xml!E1298</f>
        <v>6</v>
      </c>
      <c r="F1294" s="14">
        <f>equip.xml!F1298</f>
        <v>3</v>
      </c>
      <c r="G1294" s="14">
        <f>equip.xml!G1298</f>
        <v>80</v>
      </c>
      <c r="H1294" s="14" t="str">
        <f>equip.xml!H1298</f>
        <v>3,1003</v>
      </c>
      <c r="I1294" s="14">
        <f>equip.xml!J1298</f>
        <v>20</v>
      </c>
      <c r="J1294" s="14">
        <f>equip.xml!K1298</f>
        <v>0</v>
      </c>
      <c r="K1294" s="14">
        <f>equip.xml!L1298</f>
        <v>42500</v>
      </c>
      <c r="L1294" s="14" t="str">
        <f>equip.xml!M1298</f>
        <v>102_3610_3610</v>
      </c>
      <c r="M1294" s="17" t="str">
        <f>equip.xml!Q1298</f>
        <v>equipment/2320.png</v>
      </c>
      <c r="N1294" s="16" t="str">
        <f>equip.xml!P1298</f>
        <v>10000_1002_70000,30000_30001_1,30000_30002_1,30000_30003_1</v>
      </c>
      <c r="O1294">
        <f>equip.xml!R1298</f>
        <v>0</v>
      </c>
    </row>
    <row r="1295" spans="1:15">
      <c r="A1295" s="14">
        <f>equip.xml!A1299</f>
        <v>30803061</v>
      </c>
      <c r="B1295" s="14">
        <f>equip.xml!B1299</f>
        <v>1</v>
      </c>
      <c r="C1295" s="14" t="str">
        <f>equip.xml!C1299</f>
        <v>上古纪事</v>
      </c>
      <c r="D1295" s="14" t="str">
        <f>equip.xml!D1299</f>
        <v>副手武器</v>
      </c>
      <c r="E1295" s="14">
        <f>equip.xml!E1299</f>
        <v>6</v>
      </c>
      <c r="F1295" s="14">
        <f>equip.xml!F1299</f>
        <v>3</v>
      </c>
      <c r="G1295" s="14">
        <f>equip.xml!G1299</f>
        <v>80</v>
      </c>
      <c r="H1295" s="14" t="str">
        <f>equip.xml!H1299</f>
        <v>3,1003</v>
      </c>
      <c r="I1295" s="14">
        <f>equip.xml!J1299</f>
        <v>20</v>
      </c>
      <c r="J1295" s="14">
        <f>equip.xml!K1299</f>
        <v>0</v>
      </c>
      <c r="K1295" s="14">
        <f>equip.xml!L1299</f>
        <v>45000</v>
      </c>
      <c r="L1295" s="14" t="str">
        <f>equip.xml!M1299</f>
        <v>102_3680_3680</v>
      </c>
      <c r="M1295" s="17" t="str">
        <f>equip.xml!Q1299</f>
        <v>equipment/2322.png</v>
      </c>
      <c r="N1295" s="16" t="str">
        <f>equip.xml!P1299</f>
        <v>10000_1002_70000,30000_30001_1,30000_30002_1,30000_30003_1</v>
      </c>
      <c r="O1295">
        <f>equip.xml!R1299</f>
        <v>0</v>
      </c>
    </row>
    <row r="1296" spans="1:15">
      <c r="A1296" s="14">
        <f>equip.xml!A1300</f>
        <v>30800040</v>
      </c>
      <c r="B1296" s="14">
        <f>equip.xml!B1300</f>
        <v>1</v>
      </c>
      <c r="C1296" s="14" t="str">
        <f>equip.xml!C1300</f>
        <v>复仇战甲</v>
      </c>
      <c r="D1296" s="14" t="str">
        <f>equip.xml!D1300</f>
        <v>胸甲</v>
      </c>
      <c r="E1296" s="14">
        <f>equip.xml!E1300</f>
        <v>4</v>
      </c>
      <c r="F1296" s="14">
        <f>equip.xml!F1300</f>
        <v>3</v>
      </c>
      <c r="G1296" s="14">
        <f>equip.xml!G1300</f>
        <v>80</v>
      </c>
      <c r="H1296" s="14">
        <f>equip.xml!H1300</f>
        <v>0</v>
      </c>
      <c r="I1296" s="14">
        <f>equip.xml!J1300</f>
        <v>20</v>
      </c>
      <c r="J1296" s="14">
        <f>equip.xml!K1300</f>
        <v>0</v>
      </c>
      <c r="K1296" s="14">
        <f>equip.xml!L1300</f>
        <v>42500</v>
      </c>
      <c r="L1296" s="14" t="str">
        <f>equip.xml!M1300</f>
        <v>105_2573_2573</v>
      </c>
      <c r="M1296" s="17" t="str">
        <f>equip.xml!Q1300</f>
        <v>equipment/5021.png</v>
      </c>
      <c r="N1296" s="16" t="str">
        <f>equip.xml!P1300</f>
        <v>10000_1002_70000,30000_30001_1,30000_30002_1,30000_30003_1</v>
      </c>
      <c r="O1296">
        <f>equip.xml!R1300</f>
        <v>0</v>
      </c>
    </row>
    <row r="1297" spans="1:15">
      <c r="A1297" s="14">
        <f>equip.xml!A1301</f>
        <v>30800041</v>
      </c>
      <c r="B1297" s="14">
        <f>equip.xml!B1301</f>
        <v>1</v>
      </c>
      <c r="C1297" s="14" t="str">
        <f>equip.xml!C1301</f>
        <v>预兆胸甲</v>
      </c>
      <c r="D1297" s="14" t="str">
        <f>equip.xml!D1301</f>
        <v>胸甲</v>
      </c>
      <c r="E1297" s="14">
        <f>equip.xml!E1301</f>
        <v>4</v>
      </c>
      <c r="F1297" s="14">
        <f>equip.xml!F1301</f>
        <v>3</v>
      </c>
      <c r="G1297" s="14">
        <f>equip.xml!G1301</f>
        <v>80</v>
      </c>
      <c r="H1297" s="14">
        <f>equip.xml!H1301</f>
        <v>0</v>
      </c>
      <c r="I1297" s="14">
        <f>equip.xml!J1301</f>
        <v>20</v>
      </c>
      <c r="J1297" s="14">
        <f>equip.xml!K1301</f>
        <v>0</v>
      </c>
      <c r="K1297" s="14">
        <f>equip.xml!L1301</f>
        <v>45000</v>
      </c>
      <c r="L1297" s="14" t="str">
        <f>equip.xml!M1301</f>
        <v>105_2739_2739</v>
      </c>
      <c r="M1297" s="17" t="str">
        <f>equip.xml!Q1301</f>
        <v>equipment/5022.png</v>
      </c>
      <c r="N1297" s="16" t="str">
        <f>equip.xml!P1301</f>
        <v>10000_1002_70000,30000_30001_1,30000_30002_1,30000_30003_1</v>
      </c>
      <c r="O1297">
        <f>equip.xml!R1301</f>
        <v>0</v>
      </c>
    </row>
    <row r="1298" spans="1:15">
      <c r="A1298" s="14">
        <f>equip.xml!A1302</f>
        <v>30800070</v>
      </c>
      <c r="B1298" s="14">
        <f>equip.xml!B1302</f>
        <v>1</v>
      </c>
      <c r="C1298" s="14" t="str">
        <f>equip.xml!C1302</f>
        <v>迷失护腿</v>
      </c>
      <c r="D1298" s="14" t="str">
        <f>equip.xml!D1302</f>
        <v>护腿</v>
      </c>
      <c r="E1298" s="14">
        <f>equip.xml!E1302</f>
        <v>7</v>
      </c>
      <c r="F1298" s="14">
        <f>equip.xml!F1302</f>
        <v>3</v>
      </c>
      <c r="G1298" s="14">
        <f>equip.xml!G1302</f>
        <v>80</v>
      </c>
      <c r="H1298" s="14">
        <f>equip.xml!H1302</f>
        <v>0</v>
      </c>
      <c r="I1298" s="14">
        <f>equip.xml!J1302</f>
        <v>20</v>
      </c>
      <c r="J1298" s="14">
        <f>equip.xml!K1302</f>
        <v>0</v>
      </c>
      <c r="K1298" s="14">
        <f>equip.xml!L1302</f>
        <v>42500</v>
      </c>
      <c r="L1298" s="14" t="str">
        <f>equip.xml!M1302</f>
        <v>105_2573_2573</v>
      </c>
      <c r="M1298" s="17" t="str">
        <f>equip.xml!Q1302</f>
        <v>equipment/7022.png</v>
      </c>
      <c r="N1298" s="16" t="str">
        <f>equip.xml!P1302</f>
        <v>10000_1002_70000,30000_30001_1,30000_30002_1,30000_30003_1</v>
      </c>
      <c r="O1298">
        <f>equip.xml!R1302</f>
        <v>0</v>
      </c>
    </row>
    <row r="1299" spans="1:15">
      <c r="A1299" s="14">
        <f>equip.xml!A1303</f>
        <v>30800071</v>
      </c>
      <c r="B1299" s="14">
        <f>equip.xml!B1303</f>
        <v>1</v>
      </c>
      <c r="C1299" s="14" t="str">
        <f>equip.xml!C1303</f>
        <v>幽影腿甲</v>
      </c>
      <c r="D1299" s="14" t="str">
        <f>equip.xml!D1303</f>
        <v>护腿</v>
      </c>
      <c r="E1299" s="14">
        <f>equip.xml!E1303</f>
        <v>7</v>
      </c>
      <c r="F1299" s="14">
        <f>equip.xml!F1303</f>
        <v>3</v>
      </c>
      <c r="G1299" s="14">
        <f>equip.xml!G1303</f>
        <v>80</v>
      </c>
      <c r="H1299" s="14">
        <f>equip.xml!H1303</f>
        <v>0</v>
      </c>
      <c r="I1299" s="14">
        <f>equip.xml!J1303</f>
        <v>20</v>
      </c>
      <c r="J1299" s="14">
        <f>equip.xml!K1303</f>
        <v>0</v>
      </c>
      <c r="K1299" s="14">
        <f>equip.xml!L1303</f>
        <v>45000</v>
      </c>
      <c r="L1299" s="14" t="str">
        <f>equip.xml!M1303</f>
        <v>105_2739_2739</v>
      </c>
      <c r="M1299" s="17" t="str">
        <f>equip.xml!Q1303</f>
        <v>equipment/7021.png</v>
      </c>
      <c r="N1299" s="16" t="str">
        <f>equip.xml!P1303</f>
        <v>10000_1002_70000,30000_30001_1,30000_30002_1,30000_30003_1</v>
      </c>
      <c r="O1299">
        <f>equip.xml!R1303</f>
        <v>0</v>
      </c>
    </row>
    <row r="1300" spans="1:15">
      <c r="A1300" s="14">
        <f>equip.xml!A1304</f>
        <v>30850010</v>
      </c>
      <c r="B1300" s="14">
        <f>equip.xml!B1304</f>
        <v>1</v>
      </c>
      <c r="C1300" s="14" t="str">
        <f>equip.xml!C1304</f>
        <v>低语之冠</v>
      </c>
      <c r="D1300" s="14" t="str">
        <f>equip.xml!D1304</f>
        <v>头盔</v>
      </c>
      <c r="E1300" s="14">
        <f>equip.xml!E1304</f>
        <v>1</v>
      </c>
      <c r="F1300" s="14">
        <f>equip.xml!F1304</f>
        <v>3</v>
      </c>
      <c r="G1300" s="14">
        <f>equip.xml!G1304</f>
        <v>85</v>
      </c>
      <c r="H1300" s="14">
        <f>equip.xml!H1304</f>
        <v>0</v>
      </c>
      <c r="I1300" s="14">
        <f>equip.xml!J1304</f>
        <v>20</v>
      </c>
      <c r="J1300" s="14">
        <f>equip.xml!K1304</f>
        <v>0</v>
      </c>
      <c r="K1300" s="14">
        <f>equip.xml!L1304</f>
        <v>45000</v>
      </c>
      <c r="L1300" s="14" t="str">
        <f>equip.xml!M1304</f>
        <v>106_3672_3672</v>
      </c>
      <c r="M1300" s="17" t="str">
        <f>equip.xml!Q1304</f>
        <v>equipment/3012.png</v>
      </c>
      <c r="N1300" s="16" t="str">
        <f>equip.xml!P1304</f>
        <v>10000_1002_70000,30000_30001_1,30000_30002_1,30000_30003_1</v>
      </c>
      <c r="O1300">
        <f>equip.xml!R1304</f>
        <v>0</v>
      </c>
    </row>
    <row r="1301" spans="1:15">
      <c r="A1301" s="14">
        <f>equip.xml!A1305</f>
        <v>30850020</v>
      </c>
      <c r="B1301" s="14">
        <f>equip.xml!B1305</f>
        <v>1</v>
      </c>
      <c r="C1301" s="14" t="str">
        <f>equip.xml!C1305</f>
        <v>神迹指环</v>
      </c>
      <c r="D1301" s="14" t="str">
        <f>equip.xml!D1305</f>
        <v>戒指</v>
      </c>
      <c r="E1301" s="14">
        <f>equip.xml!E1305</f>
        <v>2</v>
      </c>
      <c r="F1301" s="14">
        <f>equip.xml!F1305</f>
        <v>3</v>
      </c>
      <c r="G1301" s="14">
        <f>equip.xml!G1305</f>
        <v>85</v>
      </c>
      <c r="H1301" s="14">
        <f>equip.xml!H1305</f>
        <v>0</v>
      </c>
      <c r="I1301" s="14">
        <f>equip.xml!J1305</f>
        <v>20</v>
      </c>
      <c r="J1301" s="14">
        <f>equip.xml!K1305</f>
        <v>0</v>
      </c>
      <c r="K1301" s="14">
        <f>equip.xml!L1305</f>
        <v>45000</v>
      </c>
      <c r="L1301" s="14" t="str">
        <f>equip.xml!M1305</f>
        <v>102_2020_2020</v>
      </c>
      <c r="M1301" s="17" t="str">
        <f>equip.xml!Q1305</f>
        <v>equipment/14016.png</v>
      </c>
      <c r="N1301" s="16" t="str">
        <f>equip.xml!P1305</f>
        <v>10000_1002_70000,30000_30001_1,30000_30002_1,30000_30003_1</v>
      </c>
      <c r="O1301">
        <f>equip.xml!R1305</f>
        <v>0</v>
      </c>
    </row>
    <row r="1302" spans="1:15">
      <c r="A1302" s="14">
        <f>equip.xml!A1306</f>
        <v>30850030</v>
      </c>
      <c r="B1302" s="14">
        <f>equip.xml!B1306</f>
        <v>1</v>
      </c>
      <c r="C1302" s="14" t="str">
        <f>equip.xml!C1306</f>
        <v>威严腰带</v>
      </c>
      <c r="D1302" s="14" t="str">
        <f>equip.xml!D1306</f>
        <v>腰带</v>
      </c>
      <c r="E1302" s="14">
        <f>equip.xml!E1306</f>
        <v>3</v>
      </c>
      <c r="F1302" s="14">
        <f>equip.xml!F1306</f>
        <v>3</v>
      </c>
      <c r="G1302" s="14">
        <f>equip.xml!G1306</f>
        <v>85</v>
      </c>
      <c r="H1302" s="14">
        <f>equip.xml!H1306</f>
        <v>0</v>
      </c>
      <c r="I1302" s="14">
        <f>equip.xml!J1306</f>
        <v>20</v>
      </c>
      <c r="J1302" s="14">
        <f>equip.xml!K1306</f>
        <v>0</v>
      </c>
      <c r="K1302" s="14">
        <f>equip.xml!L1306</f>
        <v>45000</v>
      </c>
      <c r="L1302" s="14" t="str">
        <f>equip.xml!M1306</f>
        <v>101_27040_27040</v>
      </c>
      <c r="M1302" s="17" t="str">
        <f>equip.xml!Q1306</f>
        <v>equipment/6017.png</v>
      </c>
      <c r="N1302" s="16" t="str">
        <f>equip.xml!P1306</f>
        <v>10000_1002_70000,30000_30001_1,30000_30002_1,30000_30003_1</v>
      </c>
      <c r="O1302">
        <f>equip.xml!R1306</f>
        <v>0</v>
      </c>
    </row>
    <row r="1303" spans="1:15">
      <c r="A1303" s="14">
        <f>equip.xml!A1307</f>
        <v>30850080</v>
      </c>
      <c r="B1303" s="14">
        <f>equip.xml!B1307</f>
        <v>1</v>
      </c>
      <c r="C1303" s="14" t="str">
        <f>equip.xml!C1307</f>
        <v>统治长靴</v>
      </c>
      <c r="D1303" s="14" t="str">
        <f>equip.xml!D1307</f>
        <v>鞋子</v>
      </c>
      <c r="E1303" s="14">
        <f>equip.xml!E1307</f>
        <v>8</v>
      </c>
      <c r="F1303" s="14">
        <f>equip.xml!F1307</f>
        <v>3</v>
      </c>
      <c r="G1303" s="14">
        <f>equip.xml!G1307</f>
        <v>85</v>
      </c>
      <c r="H1303" s="14">
        <f>equip.xml!H1307</f>
        <v>0</v>
      </c>
      <c r="I1303" s="14">
        <f>equip.xml!J1307</f>
        <v>20</v>
      </c>
      <c r="J1303" s="14">
        <f>equip.xml!K1307</f>
        <v>0</v>
      </c>
      <c r="K1303" s="14">
        <f>equip.xml!L1307</f>
        <v>45000</v>
      </c>
      <c r="L1303" s="14" t="str">
        <f>equip.xml!M1307</f>
        <v>110_661_661</v>
      </c>
      <c r="M1303" s="17" t="str">
        <f>equip.xml!Q1307</f>
        <v>equipment/8016.png</v>
      </c>
      <c r="N1303" s="16" t="str">
        <f>equip.xml!P1307</f>
        <v>10000_1002_70000,30000_30001_1,30000_30002_1,30000_30003_1</v>
      </c>
      <c r="O1303">
        <f>equip.xml!R1307</f>
        <v>0</v>
      </c>
    </row>
    <row r="1304" spans="1:15">
      <c r="A1304" s="14">
        <f>equip.xml!A1308</f>
        <v>30850090</v>
      </c>
      <c r="B1304" s="14">
        <f>equip.xml!B1308</f>
        <v>1</v>
      </c>
      <c r="C1304" s="14" t="str">
        <f>equip.xml!C1308</f>
        <v>誓烈手甲</v>
      </c>
      <c r="D1304" s="14" t="str">
        <f>equip.xml!D1308</f>
        <v>手套</v>
      </c>
      <c r="E1304" s="14">
        <f>equip.xml!E1308</f>
        <v>9</v>
      </c>
      <c r="F1304" s="14">
        <f>equip.xml!F1308</f>
        <v>3</v>
      </c>
      <c r="G1304" s="14">
        <f>equip.xml!G1308</f>
        <v>85</v>
      </c>
      <c r="H1304" s="14">
        <f>equip.xml!H1308</f>
        <v>0</v>
      </c>
      <c r="I1304" s="14">
        <f>equip.xml!J1308</f>
        <v>20</v>
      </c>
      <c r="J1304" s="14">
        <f>equip.xml!K1308</f>
        <v>0</v>
      </c>
      <c r="K1304" s="14">
        <f>equip.xml!L1308</f>
        <v>45000</v>
      </c>
      <c r="L1304" s="14" t="str">
        <f>equip.xml!M1308</f>
        <v>108_5495_5495</v>
      </c>
      <c r="M1304" s="17" t="str">
        <f>equip.xml!Q1308</f>
        <v>equipment/10014.png</v>
      </c>
      <c r="N1304" s="16" t="str">
        <f>equip.xml!P1308</f>
        <v>10000_1002_70000,30000_30001_1,30000_30002_1,30000_30003_1</v>
      </c>
      <c r="O1304">
        <f>equip.xml!R1308</f>
        <v>0</v>
      </c>
    </row>
    <row r="1305" spans="1:15">
      <c r="A1305" s="14">
        <f>equip.xml!A1309</f>
        <v>30850100</v>
      </c>
      <c r="B1305" s="14">
        <f>equip.xml!B1309</f>
        <v>1</v>
      </c>
      <c r="C1305" s="14" t="str">
        <f>equip.xml!C1309</f>
        <v>漂泊者之链</v>
      </c>
      <c r="D1305" s="14" t="str">
        <f>equip.xml!D1309</f>
        <v>项链</v>
      </c>
      <c r="E1305" s="14">
        <f>equip.xml!E1309</f>
        <v>10</v>
      </c>
      <c r="F1305" s="14">
        <f>equip.xml!F1309</f>
        <v>3</v>
      </c>
      <c r="G1305" s="14">
        <f>equip.xml!G1309</f>
        <v>85</v>
      </c>
      <c r="H1305" s="14">
        <f>equip.xml!H1309</f>
        <v>0</v>
      </c>
      <c r="I1305" s="14">
        <f>equip.xml!J1309</f>
        <v>20</v>
      </c>
      <c r="J1305" s="14">
        <f>equip.xml!K1309</f>
        <v>0</v>
      </c>
      <c r="K1305" s="14">
        <f>equip.xml!L1309</f>
        <v>45000</v>
      </c>
      <c r="L1305" s="14" t="str">
        <f>equip.xml!M1309</f>
        <v>107_3672_3672</v>
      </c>
      <c r="M1305" s="17" t="str">
        <f>equip.xml!Q1309</f>
        <v>equipment/12016.png</v>
      </c>
      <c r="N1305" s="16" t="str">
        <f>equip.xml!P1309</f>
        <v>10000_1002_70000,30000_30001_1,30000_30002_1,30000_30003_1</v>
      </c>
      <c r="O1305">
        <f>equip.xml!R1309</f>
        <v>0</v>
      </c>
    </row>
    <row r="1306" spans="1:15">
      <c r="A1306" s="14">
        <f>equip.xml!A1310</f>
        <v>30851050</v>
      </c>
      <c r="B1306" s="14">
        <f>equip.xml!B1310</f>
        <v>1</v>
      </c>
      <c r="C1306" s="14" t="str">
        <f>equip.xml!C1310</f>
        <v>谦逊之剑</v>
      </c>
      <c r="D1306" s="14" t="str">
        <f>equip.xml!D1310</f>
        <v>主手武器</v>
      </c>
      <c r="E1306" s="14">
        <f>equip.xml!E1310</f>
        <v>5</v>
      </c>
      <c r="F1306" s="14">
        <f>equip.xml!F1310</f>
        <v>3</v>
      </c>
      <c r="G1306" s="14">
        <f>equip.xml!G1310</f>
        <v>85</v>
      </c>
      <c r="H1306" s="14" t="str">
        <f>equip.xml!H1310</f>
        <v>1,1001</v>
      </c>
      <c r="I1306" s="14">
        <f>equip.xml!J1310</f>
        <v>20</v>
      </c>
      <c r="J1306" s="14">
        <f>equip.xml!K1310</f>
        <v>0</v>
      </c>
      <c r="K1306" s="14">
        <f>equip.xml!L1310</f>
        <v>45000</v>
      </c>
      <c r="L1306" s="14" t="str">
        <f>equip.xml!M1310</f>
        <v>103_4884_4884,104_9769_9769</v>
      </c>
      <c r="M1306" s="17" t="str">
        <f>equip.xml!Q1310</f>
        <v>equipment/1128.png</v>
      </c>
      <c r="N1306" s="16" t="str">
        <f>equip.xml!P1310</f>
        <v>10000_1002_70000,30000_30001_1,30000_30002_1,30000_30003_1</v>
      </c>
      <c r="O1306">
        <f>equip.xml!R1310</f>
        <v>0</v>
      </c>
    </row>
    <row r="1307" spans="1:15">
      <c r="A1307" s="14">
        <f>equip.xml!A1311</f>
        <v>30851051</v>
      </c>
      <c r="B1307" s="14">
        <f>equip.xml!B1311</f>
        <v>0</v>
      </c>
      <c r="C1307" s="14" t="str">
        <f>equip.xml!C1311</f>
        <v>破壁之刃</v>
      </c>
      <c r="D1307" s="14" t="str">
        <f>equip.xml!D1311</f>
        <v>主手武器</v>
      </c>
      <c r="E1307" s="14">
        <f>equip.xml!E1311</f>
        <v>5</v>
      </c>
      <c r="F1307" s="14">
        <f>equip.xml!F1311</f>
        <v>3</v>
      </c>
      <c r="G1307" s="14">
        <f>equip.xml!G1311</f>
        <v>85</v>
      </c>
      <c r="H1307" s="14" t="str">
        <f>equip.xml!H1311</f>
        <v>1,1001</v>
      </c>
      <c r="I1307" s="14">
        <f>equip.xml!J1311</f>
        <v>20</v>
      </c>
      <c r="J1307" s="14">
        <f>equip.xml!K1311</f>
        <v>0</v>
      </c>
      <c r="K1307" s="14">
        <f>equip.xml!L1311</f>
        <v>47500</v>
      </c>
      <c r="L1307" s="14" t="str">
        <f>equip.xml!M1311</f>
        <v>103_5119_5119,104_10238_10238</v>
      </c>
      <c r="M1307" s="17" t="str">
        <f>equip.xml!Q1311</f>
        <v>equipment/1129.png</v>
      </c>
      <c r="N1307" s="16" t="str">
        <f>equip.xml!P1311</f>
        <v>10000_1002_70000,30000_30001_1,30000_30002_1,30000_30003_1</v>
      </c>
      <c r="O1307">
        <f>equip.xml!R1311</f>
        <v>0</v>
      </c>
    </row>
    <row r="1308" spans="1:15">
      <c r="A1308" s="14">
        <f>equip.xml!A1312</f>
        <v>30851060</v>
      </c>
      <c r="B1308" s="14">
        <f>equip.xml!B1312</f>
        <v>1</v>
      </c>
      <c r="C1308" s="14" t="str">
        <f>equip.xml!C1312</f>
        <v>邪铁盾牌</v>
      </c>
      <c r="D1308" s="14" t="str">
        <f>equip.xml!D1312</f>
        <v>副手武器</v>
      </c>
      <c r="E1308" s="14">
        <f>equip.xml!E1312</f>
        <v>6</v>
      </c>
      <c r="F1308" s="14">
        <f>equip.xml!F1312</f>
        <v>3</v>
      </c>
      <c r="G1308" s="14">
        <f>equip.xml!G1312</f>
        <v>85</v>
      </c>
      <c r="H1308" s="14" t="str">
        <f>equip.xml!H1312</f>
        <v>1,1001</v>
      </c>
      <c r="I1308" s="14">
        <f>equip.xml!J1312</f>
        <v>20</v>
      </c>
      <c r="J1308" s="14">
        <f>equip.xml!K1312</f>
        <v>0</v>
      </c>
      <c r="K1308" s="14">
        <f>equip.xml!L1312</f>
        <v>45000</v>
      </c>
      <c r="L1308" s="14" t="str">
        <f>equip.xml!M1312</f>
        <v>105_4616_4616</v>
      </c>
      <c r="M1308" s="17" t="str">
        <f>equip.xml!Q1312</f>
        <v>equipment/2124.png</v>
      </c>
      <c r="N1308" s="16" t="str">
        <f>equip.xml!P1312</f>
        <v>10000_1002_70000,30000_30001_1,30000_30002_1,30000_30003_1</v>
      </c>
      <c r="O1308">
        <f>equip.xml!R1312</f>
        <v>0</v>
      </c>
    </row>
    <row r="1309" spans="1:15">
      <c r="A1309" s="14">
        <f>equip.xml!A1313</f>
        <v>30851061</v>
      </c>
      <c r="B1309" s="14">
        <f>equip.xml!B1313</f>
        <v>0</v>
      </c>
      <c r="C1309" s="14" t="str">
        <f>equip.xml!C1313</f>
        <v>埋骨之盾</v>
      </c>
      <c r="D1309" s="14" t="str">
        <f>equip.xml!D1313</f>
        <v>副手武器</v>
      </c>
      <c r="E1309" s="14">
        <f>equip.xml!E1313</f>
        <v>6</v>
      </c>
      <c r="F1309" s="14">
        <f>equip.xml!F1313</f>
        <v>3</v>
      </c>
      <c r="G1309" s="14">
        <f>equip.xml!G1313</f>
        <v>85</v>
      </c>
      <c r="H1309" s="14" t="str">
        <f>equip.xml!H1313</f>
        <v>1,1001</v>
      </c>
      <c r="I1309" s="14">
        <f>equip.xml!J1313</f>
        <v>20</v>
      </c>
      <c r="J1309" s="14">
        <f>equip.xml!K1313</f>
        <v>0</v>
      </c>
      <c r="K1309" s="14">
        <f>equip.xml!L1313</f>
        <v>47500</v>
      </c>
      <c r="L1309" s="14" t="str">
        <f>equip.xml!M1313</f>
        <v>105_4739_4739</v>
      </c>
      <c r="M1309" s="17" t="str">
        <f>equip.xml!Q1313</f>
        <v>equipment/2119.png</v>
      </c>
      <c r="N1309" s="16" t="str">
        <f>equip.xml!P1313</f>
        <v>10000_1002_70000,30000_30001_1,30000_30002_1,30000_30003_1</v>
      </c>
      <c r="O1309">
        <f>equip.xml!R1313</f>
        <v>0</v>
      </c>
    </row>
    <row r="1310" spans="1:15">
      <c r="A1310" s="14">
        <f>equip.xml!A1314</f>
        <v>30852050</v>
      </c>
      <c r="B1310" s="14">
        <f>equip.xml!B1314</f>
        <v>1</v>
      </c>
      <c r="C1310" s="14" t="str">
        <f>equip.xml!C1314</f>
        <v>悔恨长弓</v>
      </c>
      <c r="D1310" s="14" t="str">
        <f>equip.xml!D1314</f>
        <v>主手武器</v>
      </c>
      <c r="E1310" s="14">
        <f>equip.xml!E1314</f>
        <v>5</v>
      </c>
      <c r="F1310" s="14">
        <f>equip.xml!F1314</f>
        <v>3</v>
      </c>
      <c r="G1310" s="14">
        <f>equip.xml!G1314</f>
        <v>85</v>
      </c>
      <c r="H1310" s="14" t="str">
        <f>equip.xml!H1314</f>
        <v>2,1002</v>
      </c>
      <c r="I1310" s="14">
        <f>equip.xml!J1314</f>
        <v>20</v>
      </c>
      <c r="J1310" s="14">
        <f>equip.xml!K1314</f>
        <v>0</v>
      </c>
      <c r="K1310" s="14">
        <f>equip.xml!L1314</f>
        <v>45000</v>
      </c>
      <c r="L1310" s="14" t="str">
        <f>equip.xml!M1314</f>
        <v>103_4884_4884,104_9769_9769</v>
      </c>
      <c r="M1310" s="17" t="str">
        <f>equip.xml!Q1314</f>
        <v>equipment/1228.png</v>
      </c>
      <c r="N1310" s="16" t="str">
        <f>equip.xml!P1314</f>
        <v>10000_1002_70000,30000_30001_1,30000_30002_1,30000_30003_1</v>
      </c>
      <c r="O1310">
        <f>equip.xml!R1314</f>
        <v>0</v>
      </c>
    </row>
    <row r="1311" spans="1:15">
      <c r="A1311" s="14">
        <f>equip.xml!A1315</f>
        <v>30852051</v>
      </c>
      <c r="B1311" s="14">
        <f>equip.xml!B1315</f>
        <v>0</v>
      </c>
      <c r="C1311" s="14" t="str">
        <f>equip.xml!C1315</f>
        <v>祈圣之弓</v>
      </c>
      <c r="D1311" s="14" t="str">
        <f>equip.xml!D1315</f>
        <v>主手武器</v>
      </c>
      <c r="E1311" s="14">
        <f>equip.xml!E1315</f>
        <v>5</v>
      </c>
      <c r="F1311" s="14">
        <f>equip.xml!F1315</f>
        <v>3</v>
      </c>
      <c r="G1311" s="14">
        <f>equip.xml!G1315</f>
        <v>85</v>
      </c>
      <c r="H1311" s="14" t="str">
        <f>equip.xml!H1315</f>
        <v>2,1002</v>
      </c>
      <c r="I1311" s="14">
        <f>equip.xml!J1315</f>
        <v>20</v>
      </c>
      <c r="J1311" s="14">
        <f>equip.xml!K1315</f>
        <v>0</v>
      </c>
      <c r="K1311" s="14">
        <f>equip.xml!L1315</f>
        <v>47500</v>
      </c>
      <c r="L1311" s="14" t="str">
        <f>equip.xml!M1315</f>
        <v>103_5119_5119,104_10238_10238</v>
      </c>
      <c r="M1311" s="17" t="str">
        <f>equip.xml!Q1315</f>
        <v>equipment/1230.png</v>
      </c>
      <c r="N1311" s="16" t="str">
        <f>equip.xml!P1315</f>
        <v>10000_1002_70000,30000_30001_1,30000_30002_1,30000_30003_1</v>
      </c>
      <c r="O1311">
        <f>equip.xml!R1315</f>
        <v>0</v>
      </c>
    </row>
    <row r="1312" spans="1:15">
      <c r="A1312" s="14">
        <f>equip.xml!A1316</f>
        <v>30852060</v>
      </c>
      <c r="B1312" s="14">
        <f>equip.xml!B1316</f>
        <v>1</v>
      </c>
      <c r="C1312" s="14" t="str">
        <f>equip.xml!C1316</f>
        <v>悲鸣箭筒</v>
      </c>
      <c r="D1312" s="14" t="str">
        <f>equip.xml!D1316</f>
        <v>副手武器</v>
      </c>
      <c r="E1312" s="14">
        <f>equip.xml!E1316</f>
        <v>6</v>
      </c>
      <c r="F1312" s="14">
        <f>equip.xml!F1316</f>
        <v>3</v>
      </c>
      <c r="G1312" s="14">
        <f>equip.xml!G1316</f>
        <v>85</v>
      </c>
      <c r="H1312" s="14" t="str">
        <f>equip.xml!H1316</f>
        <v>2,1002</v>
      </c>
      <c r="I1312" s="14">
        <f>equip.xml!J1316</f>
        <v>20</v>
      </c>
      <c r="J1312" s="14">
        <f>equip.xml!K1316</f>
        <v>0</v>
      </c>
      <c r="K1312" s="14">
        <f>equip.xml!L1316</f>
        <v>45000</v>
      </c>
      <c r="L1312" s="14" t="str">
        <f>equip.xml!M1316</f>
        <v>108_4616_4616</v>
      </c>
      <c r="M1312" s="17" t="str">
        <f>equip.xml!Q1316</f>
        <v>equipment/2224.png</v>
      </c>
      <c r="N1312" s="16" t="str">
        <f>equip.xml!P1316</f>
        <v>10000_1002_70000,30000_30001_1,30000_30002_1,30000_30003_1</v>
      </c>
      <c r="O1312">
        <f>equip.xml!R1316</f>
        <v>0</v>
      </c>
    </row>
    <row r="1313" spans="1:15">
      <c r="A1313" s="14">
        <f>equip.xml!A1317</f>
        <v>30852061</v>
      </c>
      <c r="B1313" s="14">
        <f>equip.xml!B1317</f>
        <v>0</v>
      </c>
      <c r="C1313" s="14" t="str">
        <f>equip.xml!C1317</f>
        <v>咒逐箭筒</v>
      </c>
      <c r="D1313" s="14" t="str">
        <f>equip.xml!D1317</f>
        <v>副手武器</v>
      </c>
      <c r="E1313" s="14">
        <f>equip.xml!E1317</f>
        <v>6</v>
      </c>
      <c r="F1313" s="14">
        <f>equip.xml!F1317</f>
        <v>3</v>
      </c>
      <c r="G1313" s="14">
        <f>equip.xml!G1317</f>
        <v>85</v>
      </c>
      <c r="H1313" s="14" t="str">
        <f>equip.xml!H1317</f>
        <v>2,1002</v>
      </c>
      <c r="I1313" s="14">
        <f>equip.xml!J1317</f>
        <v>20</v>
      </c>
      <c r="J1313" s="14">
        <f>equip.xml!K1317</f>
        <v>0</v>
      </c>
      <c r="K1313" s="14">
        <f>equip.xml!L1317</f>
        <v>47500</v>
      </c>
      <c r="L1313" s="14" t="str">
        <f>equip.xml!M1317</f>
        <v>108_4739_4739</v>
      </c>
      <c r="M1313" s="17" t="str">
        <f>equip.xml!Q1317</f>
        <v>equipment/2221.png</v>
      </c>
      <c r="N1313" s="16" t="str">
        <f>equip.xml!P1317</f>
        <v>10000_1002_70000,30000_30001_1,30000_30002_1,30000_30003_1</v>
      </c>
      <c r="O1313">
        <f>equip.xml!R1317</f>
        <v>0</v>
      </c>
    </row>
    <row r="1314" spans="1:15">
      <c r="A1314" s="14">
        <f>equip.xml!A1318</f>
        <v>30853050</v>
      </c>
      <c r="B1314" s="14">
        <f>equip.xml!B1318</f>
        <v>1</v>
      </c>
      <c r="C1314" s="14" t="str">
        <f>equip.xml!C1318</f>
        <v>归还法杖</v>
      </c>
      <c r="D1314" s="14" t="str">
        <f>equip.xml!D1318</f>
        <v>主手武器</v>
      </c>
      <c r="E1314" s="14">
        <f>equip.xml!E1318</f>
        <v>5</v>
      </c>
      <c r="F1314" s="14">
        <f>equip.xml!F1318</f>
        <v>3</v>
      </c>
      <c r="G1314" s="14">
        <f>equip.xml!G1318</f>
        <v>85</v>
      </c>
      <c r="H1314" s="14" t="str">
        <f>equip.xml!H1318</f>
        <v>3,1003</v>
      </c>
      <c r="I1314" s="14">
        <f>equip.xml!J1318</f>
        <v>20</v>
      </c>
      <c r="J1314" s="14">
        <f>equip.xml!K1318</f>
        <v>0</v>
      </c>
      <c r="K1314" s="14">
        <f>equip.xml!L1318</f>
        <v>45000</v>
      </c>
      <c r="L1314" s="14" t="str">
        <f>equip.xml!M1318</f>
        <v>103_4884_4884,104_9769_9769</v>
      </c>
      <c r="M1314" s="17" t="str">
        <f>equip.xml!Q1318</f>
        <v>equipment/1329.png</v>
      </c>
      <c r="N1314" s="16" t="str">
        <f>equip.xml!P1318</f>
        <v>10000_1002_70000,30000_30001_1,30000_30002_1,30000_30003_1</v>
      </c>
      <c r="O1314">
        <f>equip.xml!R1318</f>
        <v>0</v>
      </c>
    </row>
    <row r="1315" spans="1:15">
      <c r="A1315" s="14">
        <f>equip.xml!A1319</f>
        <v>30853051</v>
      </c>
      <c r="B1315" s="14">
        <f>equip.xml!B1319</f>
        <v>0</v>
      </c>
      <c r="C1315" s="14" t="str">
        <f>equip.xml!C1319</f>
        <v>荒寂之杖</v>
      </c>
      <c r="D1315" s="14" t="str">
        <f>equip.xml!D1319</f>
        <v>主手武器</v>
      </c>
      <c r="E1315" s="14">
        <f>equip.xml!E1319</f>
        <v>5</v>
      </c>
      <c r="F1315" s="14">
        <f>equip.xml!F1319</f>
        <v>3</v>
      </c>
      <c r="G1315" s="14">
        <f>equip.xml!G1319</f>
        <v>85</v>
      </c>
      <c r="H1315" s="14" t="str">
        <f>equip.xml!H1319</f>
        <v>3,1003</v>
      </c>
      <c r="I1315" s="14">
        <f>equip.xml!J1319</f>
        <v>20</v>
      </c>
      <c r="J1315" s="14">
        <f>equip.xml!K1319</f>
        <v>0</v>
      </c>
      <c r="K1315" s="14">
        <f>equip.xml!L1319</f>
        <v>47500</v>
      </c>
      <c r="L1315" s="14" t="str">
        <f>equip.xml!M1319</f>
        <v>103_5119_5119,104_10238_10238</v>
      </c>
      <c r="M1315" s="17" t="str">
        <f>equip.xml!Q1319</f>
        <v>equipment/1331.png</v>
      </c>
      <c r="N1315" s="16" t="str">
        <f>equip.xml!P1319</f>
        <v>10000_1002_70000,30000_30001_1,30000_30002_1,30000_30003_1</v>
      </c>
      <c r="O1315">
        <f>equip.xml!R1319</f>
        <v>0</v>
      </c>
    </row>
    <row r="1316" spans="1:15">
      <c r="A1316" s="14">
        <f>equip.xml!A1320</f>
        <v>30853060</v>
      </c>
      <c r="B1316" s="14">
        <f>equip.xml!B1320</f>
        <v>1</v>
      </c>
      <c r="C1316" s="14" t="str">
        <f>equip.xml!C1320</f>
        <v>幻咒秘语</v>
      </c>
      <c r="D1316" s="14" t="str">
        <f>equip.xml!D1320</f>
        <v>副手武器</v>
      </c>
      <c r="E1316" s="14">
        <f>equip.xml!E1320</f>
        <v>6</v>
      </c>
      <c r="F1316" s="14">
        <f>equip.xml!F1320</f>
        <v>3</v>
      </c>
      <c r="G1316" s="14">
        <f>equip.xml!G1320</f>
        <v>85</v>
      </c>
      <c r="H1316" s="14" t="str">
        <f>equip.xml!H1320</f>
        <v>3,1003</v>
      </c>
      <c r="I1316" s="14">
        <f>equip.xml!J1320</f>
        <v>20</v>
      </c>
      <c r="J1316" s="14">
        <f>equip.xml!K1320</f>
        <v>0</v>
      </c>
      <c r="K1316" s="14">
        <f>equip.xml!L1320</f>
        <v>45000</v>
      </c>
      <c r="L1316" s="14" t="str">
        <f>equip.xml!M1320</f>
        <v>102_3790_3790</v>
      </c>
      <c r="M1316" s="17" t="str">
        <f>equip.xml!Q1320</f>
        <v>equipment/102301.png</v>
      </c>
      <c r="N1316" s="16" t="str">
        <f>equip.xml!P1320</f>
        <v>10000_1002_70000,30000_30001_1,30000_30002_1,30000_30003_1</v>
      </c>
      <c r="O1316">
        <f>equip.xml!R1320</f>
        <v>0</v>
      </c>
    </row>
    <row r="1317" spans="1:15">
      <c r="A1317" s="14">
        <f>equip.xml!A1321</f>
        <v>30853061</v>
      </c>
      <c r="B1317" s="14">
        <f>equip.xml!B1321</f>
        <v>0</v>
      </c>
      <c r="C1317" s="14" t="str">
        <f>equip.xml!C1321</f>
        <v>岁月之书</v>
      </c>
      <c r="D1317" s="14" t="str">
        <f>equip.xml!D1321</f>
        <v>副手武器</v>
      </c>
      <c r="E1317" s="14">
        <f>equip.xml!E1321</f>
        <v>6</v>
      </c>
      <c r="F1317" s="14">
        <f>equip.xml!F1321</f>
        <v>3</v>
      </c>
      <c r="G1317" s="14">
        <f>equip.xml!G1321</f>
        <v>85</v>
      </c>
      <c r="H1317" s="14" t="str">
        <f>equip.xml!H1321</f>
        <v>3,1003</v>
      </c>
      <c r="I1317" s="14">
        <f>equip.xml!J1321</f>
        <v>20</v>
      </c>
      <c r="J1317" s="14">
        <f>equip.xml!K1321</f>
        <v>0</v>
      </c>
      <c r="K1317" s="14">
        <f>equip.xml!L1321</f>
        <v>47500</v>
      </c>
      <c r="L1317" s="14" t="str">
        <f>equip.xml!M1321</f>
        <v>102_3890_3890</v>
      </c>
      <c r="M1317" s="17" t="str">
        <f>equip.xml!Q1321</f>
        <v>equipment/2323.png</v>
      </c>
      <c r="N1317" s="16" t="str">
        <f>equip.xml!P1321</f>
        <v>10000_1002_70000,30000_30001_1,30000_30002_1,30000_30003_1</v>
      </c>
      <c r="O1317">
        <f>equip.xml!R1321</f>
        <v>0</v>
      </c>
    </row>
    <row r="1318" spans="1:15">
      <c r="A1318" s="14">
        <f>equip.xml!A1322</f>
        <v>30850040</v>
      </c>
      <c r="B1318" s="14">
        <f>equip.xml!B1322</f>
        <v>1</v>
      </c>
      <c r="C1318" s="14" t="str">
        <f>equip.xml!C1322</f>
        <v>梦魇胸甲</v>
      </c>
      <c r="D1318" s="14" t="str">
        <f>equip.xml!D1322</f>
        <v>胸甲</v>
      </c>
      <c r="E1318" s="14">
        <f>equip.xml!E1322</f>
        <v>4</v>
      </c>
      <c r="F1318" s="14">
        <f>equip.xml!F1322</f>
        <v>3</v>
      </c>
      <c r="G1318" s="14">
        <f>equip.xml!G1322</f>
        <v>85</v>
      </c>
      <c r="H1318" s="14">
        <f>equip.xml!H1322</f>
        <v>0</v>
      </c>
      <c r="I1318" s="14">
        <f>equip.xml!J1322</f>
        <v>20</v>
      </c>
      <c r="J1318" s="14">
        <f>equip.xml!K1322</f>
        <v>0</v>
      </c>
      <c r="K1318" s="14">
        <f>equip.xml!L1322</f>
        <v>45000</v>
      </c>
      <c r="L1318" s="14" t="str">
        <f>equip.xml!M1322</f>
        <v>105_2989_2989</v>
      </c>
      <c r="M1318" s="17" t="str">
        <f>equip.xml!Q1322</f>
        <v>equipment/105001.png</v>
      </c>
      <c r="N1318" s="16" t="str">
        <f>equip.xml!P1322</f>
        <v>10000_1002_70000,30000_30001_1,30000_30002_1,30000_30003_1</v>
      </c>
      <c r="O1318">
        <f>equip.xml!R1322</f>
        <v>0</v>
      </c>
    </row>
    <row r="1319" spans="1:15">
      <c r="A1319" s="14">
        <f>equip.xml!A1323</f>
        <v>30850041</v>
      </c>
      <c r="B1319" s="14">
        <f>equip.xml!B1323</f>
        <v>0</v>
      </c>
      <c r="C1319" s="14" t="str">
        <f>equip.xml!C1323</f>
        <v>鬼域战铠</v>
      </c>
      <c r="D1319" s="14" t="str">
        <f>equip.xml!D1323</f>
        <v>胸甲</v>
      </c>
      <c r="E1319" s="14">
        <f>equip.xml!E1323</f>
        <v>4</v>
      </c>
      <c r="F1319" s="14">
        <f>equip.xml!F1323</f>
        <v>3</v>
      </c>
      <c r="G1319" s="14">
        <f>equip.xml!G1323</f>
        <v>85</v>
      </c>
      <c r="H1319" s="14">
        <f>equip.xml!H1323</f>
        <v>0</v>
      </c>
      <c r="I1319" s="14">
        <f>equip.xml!J1323</f>
        <v>20</v>
      </c>
      <c r="J1319" s="14">
        <f>equip.xml!K1323</f>
        <v>0</v>
      </c>
      <c r="K1319" s="14">
        <f>equip.xml!L1323</f>
        <v>47500</v>
      </c>
      <c r="L1319" s="14" t="str">
        <f>equip.xml!M1323</f>
        <v>105_3172_3172</v>
      </c>
      <c r="M1319" s="17" t="str">
        <f>equip.xml!Q1323</f>
        <v>equipment/5023.png</v>
      </c>
      <c r="N1319" s="16" t="str">
        <f>equip.xml!P1323</f>
        <v>10000_1002_70000,30000_30001_1,30000_30002_1,30000_30003_1</v>
      </c>
      <c r="O1319">
        <f>equip.xml!R1323</f>
        <v>0</v>
      </c>
    </row>
    <row r="1320" spans="1:15">
      <c r="A1320" s="14">
        <f>equip.xml!A1324</f>
        <v>30850070</v>
      </c>
      <c r="B1320" s="14">
        <f>equip.xml!B1324</f>
        <v>1</v>
      </c>
      <c r="C1320" s="14" t="str">
        <f>equip.xml!C1324</f>
        <v>逝亡护腿</v>
      </c>
      <c r="D1320" s="14" t="str">
        <f>equip.xml!D1324</f>
        <v>护腿</v>
      </c>
      <c r="E1320" s="14">
        <f>equip.xml!E1324</f>
        <v>7</v>
      </c>
      <c r="F1320" s="14">
        <f>equip.xml!F1324</f>
        <v>3</v>
      </c>
      <c r="G1320" s="14">
        <f>equip.xml!G1324</f>
        <v>85</v>
      </c>
      <c r="H1320" s="14">
        <f>equip.xml!H1324</f>
        <v>0</v>
      </c>
      <c r="I1320" s="14">
        <f>equip.xml!J1324</f>
        <v>20</v>
      </c>
      <c r="J1320" s="14">
        <f>equip.xml!K1324</f>
        <v>0</v>
      </c>
      <c r="K1320" s="14">
        <f>equip.xml!L1324</f>
        <v>45000</v>
      </c>
      <c r="L1320" s="14" t="str">
        <f>equip.xml!M1324</f>
        <v>105_2989_2989</v>
      </c>
      <c r="M1320" s="17" t="str">
        <f>equip.xml!Q1324</f>
        <v>equipment/7023.png</v>
      </c>
      <c r="N1320" s="16" t="str">
        <f>equip.xml!P1324</f>
        <v>10000_1002_70000,30000_30001_1,30000_30002_1,30000_30003_1</v>
      </c>
      <c r="O1320">
        <f>equip.xml!R1324</f>
        <v>0</v>
      </c>
    </row>
    <row r="1321" spans="1:15">
      <c r="A1321" s="14">
        <f>equip.xml!A1325</f>
        <v>30850071</v>
      </c>
      <c r="B1321" s="14">
        <f>equip.xml!B1325</f>
        <v>0</v>
      </c>
      <c r="C1321" s="14" t="str">
        <f>equip.xml!C1325</f>
        <v>泯灭护腿</v>
      </c>
      <c r="D1321" s="14" t="str">
        <f>equip.xml!D1325</f>
        <v>护腿</v>
      </c>
      <c r="E1321" s="14">
        <f>equip.xml!E1325</f>
        <v>7</v>
      </c>
      <c r="F1321" s="14">
        <f>equip.xml!F1325</f>
        <v>3</v>
      </c>
      <c r="G1321" s="14">
        <f>equip.xml!G1325</f>
        <v>85</v>
      </c>
      <c r="H1321" s="14">
        <f>equip.xml!H1325</f>
        <v>0</v>
      </c>
      <c r="I1321" s="14">
        <f>equip.xml!J1325</f>
        <v>20</v>
      </c>
      <c r="J1321" s="14">
        <f>equip.xml!K1325</f>
        <v>0</v>
      </c>
      <c r="K1321" s="14">
        <f>equip.xml!L1325</f>
        <v>47500</v>
      </c>
      <c r="L1321" s="14" t="str">
        <f>equip.xml!M1325</f>
        <v>105_3172_3172</v>
      </c>
      <c r="M1321" s="17" t="str">
        <f>equip.xml!Q1325</f>
        <v>equipment/107001.png</v>
      </c>
      <c r="N1321" s="16" t="str">
        <f>equip.xml!P1325</f>
        <v>10000_1002_70000,30000_30001_1,30000_30002_1,30000_30003_1</v>
      </c>
      <c r="O1321">
        <f>equip.xml!R1325</f>
        <v>0</v>
      </c>
    </row>
    <row r="1322" spans="1:15">
      <c r="A1322" s="14">
        <f>equip.xml!A1326</f>
        <v>30900010</v>
      </c>
      <c r="B1322" s="14">
        <f>equip.xml!B1326</f>
        <v>1</v>
      </c>
      <c r="C1322" s="14" t="str">
        <f>equip.xml!C1326</f>
        <v>风暴之冠</v>
      </c>
      <c r="D1322" s="14" t="str">
        <f>equip.xml!D1326</f>
        <v>头盔</v>
      </c>
      <c r="E1322" s="14">
        <f>equip.xml!E1326</f>
        <v>1</v>
      </c>
      <c r="F1322" s="14">
        <f>equip.xml!F1326</f>
        <v>3</v>
      </c>
      <c r="G1322" s="14">
        <f>equip.xml!G1326</f>
        <v>90</v>
      </c>
      <c r="H1322" s="14">
        <f>equip.xml!H1326</f>
        <v>0</v>
      </c>
      <c r="I1322" s="14">
        <f>equip.xml!J1326</f>
        <v>20</v>
      </c>
      <c r="J1322" s="14">
        <f>equip.xml!K1326</f>
        <v>0</v>
      </c>
      <c r="K1322" s="14">
        <f>equip.xml!L1326</f>
        <v>47500</v>
      </c>
      <c r="L1322" s="14" t="str">
        <f>equip.xml!M1326</f>
        <v>106_4428_4428</v>
      </c>
      <c r="M1322" s="17" t="str">
        <f>equip.xml!Q1326</f>
        <v>equipment/3017.png</v>
      </c>
      <c r="N1322" s="16" t="str">
        <f>equip.xml!P1326</f>
        <v>10000_1002_70000,30000_30001_1,30000_30002_1,30000_30003_1</v>
      </c>
      <c r="O1322">
        <f>equip.xml!R1326</f>
        <v>0</v>
      </c>
    </row>
    <row r="1323" spans="1:15">
      <c r="A1323" s="14">
        <f>equip.xml!A1327</f>
        <v>30900020</v>
      </c>
      <c r="B1323" s="14">
        <f>equip.xml!B1327</f>
        <v>1</v>
      </c>
      <c r="C1323" s="14" t="str">
        <f>equip.xml!C1327</f>
        <v>无尽智慧指环</v>
      </c>
      <c r="D1323" s="14" t="str">
        <f>equip.xml!D1327</f>
        <v>戒指</v>
      </c>
      <c r="E1323" s="14">
        <f>equip.xml!E1327</f>
        <v>2</v>
      </c>
      <c r="F1323" s="14">
        <f>equip.xml!F1327</f>
        <v>3</v>
      </c>
      <c r="G1323" s="14">
        <f>equip.xml!G1327</f>
        <v>90</v>
      </c>
      <c r="H1323" s="14">
        <f>equip.xml!H1327</f>
        <v>0</v>
      </c>
      <c r="I1323" s="14">
        <f>equip.xml!J1327</f>
        <v>20</v>
      </c>
      <c r="J1323" s="14">
        <f>equip.xml!K1327</f>
        <v>0</v>
      </c>
      <c r="K1323" s="14">
        <f>equip.xml!L1327</f>
        <v>47500</v>
      </c>
      <c r="L1323" s="14" t="str">
        <f>equip.xml!M1327</f>
        <v>102_2150_2150</v>
      </c>
      <c r="M1323" s="17" t="str">
        <f>equip.xml!Q1327</f>
        <v>equipment/14015.png</v>
      </c>
      <c r="N1323" s="16" t="str">
        <f>equip.xml!P1327</f>
        <v>10000_1002_70000,30000_30001_1,30000_30002_1,30000_30003_1</v>
      </c>
      <c r="O1323">
        <f>equip.xml!R1327</f>
        <v>0</v>
      </c>
    </row>
    <row r="1324" spans="1:15">
      <c r="A1324" s="14">
        <f>equip.xml!A1328</f>
        <v>30900030</v>
      </c>
      <c r="B1324" s="14">
        <f>equip.xml!B1328</f>
        <v>1</v>
      </c>
      <c r="C1324" s="14" t="str">
        <f>equip.xml!C1328</f>
        <v>丰饶腰带</v>
      </c>
      <c r="D1324" s="14" t="str">
        <f>equip.xml!D1328</f>
        <v>腰带</v>
      </c>
      <c r="E1324" s="14">
        <f>equip.xml!E1328</f>
        <v>3</v>
      </c>
      <c r="F1324" s="14">
        <f>equip.xml!F1328</f>
        <v>3</v>
      </c>
      <c r="G1324" s="14">
        <f>equip.xml!G1328</f>
        <v>90</v>
      </c>
      <c r="H1324" s="14">
        <f>equip.xml!H1328</f>
        <v>0</v>
      </c>
      <c r="I1324" s="14">
        <f>equip.xml!J1328</f>
        <v>20</v>
      </c>
      <c r="J1324" s="14">
        <f>equip.xml!K1328</f>
        <v>0</v>
      </c>
      <c r="K1324" s="14">
        <f>equip.xml!L1328</f>
        <v>47500</v>
      </c>
      <c r="L1324" s="14" t="str">
        <f>equip.xml!M1328</f>
        <v>101_29800_29800</v>
      </c>
      <c r="M1324" s="17" t="str">
        <f>equip.xml!Q1328</f>
        <v>equipment/6016.png</v>
      </c>
      <c r="N1324" s="16" t="str">
        <f>equip.xml!P1328</f>
        <v>10000_1002_70000,30000_30001_1,30000_30002_1,30000_30003_1</v>
      </c>
      <c r="O1324">
        <f>equip.xml!R1328</f>
        <v>0</v>
      </c>
    </row>
    <row r="1325" spans="1:15">
      <c r="A1325" s="14">
        <f>equip.xml!A1329</f>
        <v>30900080</v>
      </c>
      <c r="B1325" s="14">
        <f>equip.xml!B1329</f>
        <v>1</v>
      </c>
      <c r="C1325" s="14" t="str">
        <f>equip.xml!C1329</f>
        <v>秩序战靴</v>
      </c>
      <c r="D1325" s="14" t="str">
        <f>equip.xml!D1329</f>
        <v>鞋子</v>
      </c>
      <c r="E1325" s="14">
        <f>equip.xml!E1329</f>
        <v>8</v>
      </c>
      <c r="F1325" s="14">
        <f>equip.xml!F1329</f>
        <v>3</v>
      </c>
      <c r="G1325" s="14">
        <f>equip.xml!G1329</f>
        <v>90</v>
      </c>
      <c r="H1325" s="14">
        <f>equip.xml!H1329</f>
        <v>0</v>
      </c>
      <c r="I1325" s="14">
        <f>equip.xml!J1329</f>
        <v>20</v>
      </c>
      <c r="J1325" s="14">
        <f>equip.xml!K1329</f>
        <v>0</v>
      </c>
      <c r="K1325" s="14">
        <f>equip.xml!L1329</f>
        <v>47500</v>
      </c>
      <c r="L1325" s="14" t="str">
        <f>equip.xml!M1329</f>
        <v>110_715_715</v>
      </c>
      <c r="M1325" s="17" t="str">
        <f>equip.xml!Q1329</f>
        <v>equipment/8017.png</v>
      </c>
      <c r="N1325" s="16" t="str">
        <f>equip.xml!P1329</f>
        <v>10000_1002_70000,30000_30001_1,30000_30002_1,30000_30003_1</v>
      </c>
      <c r="O1325">
        <f>equip.xml!R1329</f>
        <v>0</v>
      </c>
    </row>
    <row r="1326" spans="1:15">
      <c r="A1326" s="14">
        <f>equip.xml!A1330</f>
        <v>30900090</v>
      </c>
      <c r="B1326" s="14">
        <f>equip.xml!B1330</f>
        <v>1</v>
      </c>
      <c r="C1326" s="14" t="str">
        <f>equip.xml!C1330</f>
        <v>超载护手</v>
      </c>
      <c r="D1326" s="14" t="str">
        <f>equip.xml!D1330</f>
        <v>手套</v>
      </c>
      <c r="E1326" s="14">
        <f>equip.xml!E1330</f>
        <v>9</v>
      </c>
      <c r="F1326" s="14">
        <f>equip.xml!F1330</f>
        <v>3</v>
      </c>
      <c r="G1326" s="14">
        <f>equip.xml!G1330</f>
        <v>90</v>
      </c>
      <c r="H1326" s="14">
        <f>equip.xml!H1330</f>
        <v>0</v>
      </c>
      <c r="I1326" s="14">
        <f>equip.xml!J1330</f>
        <v>20</v>
      </c>
      <c r="J1326" s="14">
        <f>equip.xml!K1330</f>
        <v>0</v>
      </c>
      <c r="K1326" s="14">
        <f>equip.xml!L1330</f>
        <v>47500</v>
      </c>
      <c r="L1326" s="14" t="str">
        <f>equip.xml!M1330</f>
        <v>108_6155_6155</v>
      </c>
      <c r="M1326" s="17" t="str">
        <f>equip.xml!Q1330</f>
        <v>equipment/10017.png</v>
      </c>
      <c r="N1326" s="16" t="str">
        <f>equip.xml!P1330</f>
        <v>10000_1002_70000,30000_30001_1,30000_30002_1,30000_30003_1</v>
      </c>
      <c r="O1326">
        <f>equip.xml!R1330</f>
        <v>0</v>
      </c>
    </row>
    <row r="1327" spans="1:15">
      <c r="A1327" s="14">
        <f>equip.xml!A1331</f>
        <v>30900100</v>
      </c>
      <c r="B1327" s="14">
        <f>equip.xml!B1331</f>
        <v>1</v>
      </c>
      <c r="C1327" s="14" t="str">
        <f>equip.xml!C1331</f>
        <v>寒霜之心</v>
      </c>
      <c r="D1327" s="14" t="str">
        <f>equip.xml!D1331</f>
        <v>项链</v>
      </c>
      <c r="E1327" s="14">
        <f>equip.xml!E1331</f>
        <v>10</v>
      </c>
      <c r="F1327" s="14">
        <f>equip.xml!F1331</f>
        <v>3</v>
      </c>
      <c r="G1327" s="14">
        <f>equip.xml!G1331</f>
        <v>90</v>
      </c>
      <c r="H1327" s="14">
        <f>equip.xml!H1331</f>
        <v>0</v>
      </c>
      <c r="I1327" s="14">
        <f>equip.xml!J1331</f>
        <v>20</v>
      </c>
      <c r="J1327" s="14">
        <f>equip.xml!K1331</f>
        <v>0</v>
      </c>
      <c r="K1327" s="14">
        <f>equip.xml!L1331</f>
        <v>47500</v>
      </c>
      <c r="L1327" s="14" t="str">
        <f>equip.xml!M1331</f>
        <v>107_4428_4428</v>
      </c>
      <c r="M1327" s="17" t="str">
        <f>equip.xml!Q1331</f>
        <v>equipment/12017.png</v>
      </c>
      <c r="N1327" s="16" t="str">
        <f>equip.xml!P1331</f>
        <v>10000_1002_70000,30000_30001_1,30000_30002_1,30000_30003_1</v>
      </c>
      <c r="O1327">
        <f>equip.xml!R1331</f>
        <v>0</v>
      </c>
    </row>
    <row r="1328" spans="1:15">
      <c r="A1328" s="14">
        <f>equip.xml!A1332</f>
        <v>30901050</v>
      </c>
      <c r="B1328" s="14">
        <f>equip.xml!B1332</f>
        <v>1</v>
      </c>
      <c r="C1328" s="14" t="str">
        <f>equip.xml!C1332</f>
        <v>湮灭之剑</v>
      </c>
      <c r="D1328" s="14" t="str">
        <f>equip.xml!D1332</f>
        <v>主手武器</v>
      </c>
      <c r="E1328" s="14">
        <f>equip.xml!E1332</f>
        <v>5</v>
      </c>
      <c r="F1328" s="14">
        <f>equip.xml!F1332</f>
        <v>3</v>
      </c>
      <c r="G1328" s="14">
        <f>equip.xml!G1332</f>
        <v>90</v>
      </c>
      <c r="H1328" s="14" t="str">
        <f>equip.xml!H1332</f>
        <v>1,1001</v>
      </c>
      <c r="I1328" s="14">
        <f>equip.xml!J1332</f>
        <v>20</v>
      </c>
      <c r="J1328" s="14">
        <f>equip.xml!K1332</f>
        <v>0</v>
      </c>
      <c r="K1328" s="14">
        <f>equip.xml!L1332</f>
        <v>47500</v>
      </c>
      <c r="L1328" s="14" t="str">
        <f>equip.xml!M1332</f>
        <v>103_5471_5471,104_10942_10942</v>
      </c>
      <c r="M1328" s="17" t="str">
        <f>equip.xml!Q1332</f>
        <v>equipment/101101.png</v>
      </c>
      <c r="N1328" s="16" t="str">
        <f>equip.xml!P1332</f>
        <v>10000_1002_70000,30000_30001_1,30000_30002_1,30000_30003_1</v>
      </c>
      <c r="O1328">
        <f>equip.xml!R1332</f>
        <v>0</v>
      </c>
    </row>
    <row r="1329" spans="1:15">
      <c r="A1329" s="14">
        <f>equip.xml!A1333</f>
        <v>30901051</v>
      </c>
      <c r="B1329" s="14">
        <f>equip.xml!B1333</f>
        <v>0</v>
      </c>
      <c r="C1329" s="14" t="str">
        <f>equip.xml!C1333</f>
        <v>封印之剑</v>
      </c>
      <c r="D1329" s="14" t="str">
        <f>equip.xml!D1333</f>
        <v>主手武器</v>
      </c>
      <c r="E1329" s="14">
        <f>equip.xml!E1333</f>
        <v>5</v>
      </c>
      <c r="F1329" s="14">
        <f>equip.xml!F1333</f>
        <v>3</v>
      </c>
      <c r="G1329" s="14">
        <f>equip.xml!G1333</f>
        <v>90</v>
      </c>
      <c r="H1329" s="14" t="str">
        <f>equip.xml!H1333</f>
        <v>1,1001</v>
      </c>
      <c r="I1329" s="14">
        <f>equip.xml!J1333</f>
        <v>20</v>
      </c>
      <c r="J1329" s="14">
        <f>equip.xml!K1333</f>
        <v>0</v>
      </c>
      <c r="K1329" s="14">
        <f>equip.xml!L1333</f>
        <v>50000</v>
      </c>
      <c r="L1329" s="14" t="str">
        <f>equip.xml!M1333</f>
        <v>103_5719_5719,104_11438_11438</v>
      </c>
      <c r="M1329" s="17" t="str">
        <f>equip.xml!Q1333</f>
        <v>equipment/1131.png</v>
      </c>
      <c r="N1329" s="16" t="str">
        <f>equip.xml!P1333</f>
        <v>10000_1002_70000,30000_30001_1,30000_30002_1,30000_30003_1</v>
      </c>
      <c r="O1329">
        <f>equip.xml!R1333</f>
        <v>0</v>
      </c>
    </row>
    <row r="1330" spans="1:15">
      <c r="A1330" s="14">
        <f>equip.xml!A1334</f>
        <v>30901060</v>
      </c>
      <c r="B1330" s="14">
        <f>equip.xml!B1334</f>
        <v>1</v>
      </c>
      <c r="C1330" s="14" t="str">
        <f>equip.xml!C1334</f>
        <v>灾祸之盾</v>
      </c>
      <c r="D1330" s="14" t="str">
        <f>equip.xml!D1334</f>
        <v>副手武器</v>
      </c>
      <c r="E1330" s="14">
        <f>equip.xml!E1334</f>
        <v>6</v>
      </c>
      <c r="F1330" s="14">
        <f>equip.xml!F1334</f>
        <v>3</v>
      </c>
      <c r="G1330" s="14">
        <f>equip.xml!G1334</f>
        <v>90</v>
      </c>
      <c r="H1330" s="14" t="str">
        <f>equip.xml!H1334</f>
        <v>1,1001</v>
      </c>
      <c r="I1330" s="14">
        <f>equip.xml!J1334</f>
        <v>20</v>
      </c>
      <c r="J1330" s="14">
        <f>equip.xml!K1334</f>
        <v>0</v>
      </c>
      <c r="K1330" s="14">
        <f>equip.xml!L1334</f>
        <v>47500</v>
      </c>
      <c r="L1330" s="14" t="str">
        <f>equip.xml!M1334</f>
        <v>105_4924_4924</v>
      </c>
      <c r="M1330" s="17" t="str">
        <f>equip.xml!Q1334</f>
        <v>equipment/2125.png</v>
      </c>
      <c r="N1330" s="16" t="str">
        <f>equip.xml!P1334</f>
        <v>10000_1002_70000,30000_30001_1,30000_30002_1,30000_30003_1</v>
      </c>
      <c r="O1330">
        <f>equip.xml!R1334</f>
        <v>0</v>
      </c>
    </row>
    <row r="1331" spans="1:15">
      <c r="A1331" s="14">
        <f>equip.xml!A1335</f>
        <v>30901061</v>
      </c>
      <c r="B1331" s="14">
        <f>equip.xml!B1335</f>
        <v>0</v>
      </c>
      <c r="C1331" s="14" t="str">
        <f>equip.xml!C1335</f>
        <v>堕神之盾</v>
      </c>
      <c r="D1331" s="14" t="str">
        <f>equip.xml!D1335</f>
        <v>副手武器</v>
      </c>
      <c r="E1331" s="14">
        <f>equip.xml!E1335</f>
        <v>6</v>
      </c>
      <c r="F1331" s="14">
        <f>equip.xml!F1335</f>
        <v>3</v>
      </c>
      <c r="G1331" s="14">
        <f>equip.xml!G1335</f>
        <v>90</v>
      </c>
      <c r="H1331" s="14" t="str">
        <f>equip.xml!H1335</f>
        <v>1,1001</v>
      </c>
      <c r="I1331" s="14">
        <f>equip.xml!J1335</f>
        <v>20</v>
      </c>
      <c r="J1331" s="14">
        <f>equip.xml!K1335</f>
        <v>0</v>
      </c>
      <c r="K1331" s="14">
        <f>equip.xml!L1335</f>
        <v>50000</v>
      </c>
      <c r="L1331" s="14" t="str">
        <f>equip.xml!M1335</f>
        <v>105_5147_5147</v>
      </c>
      <c r="M1331" s="17" t="str">
        <f>equip.xml!Q1335</f>
        <v>equipment/102101.png</v>
      </c>
      <c r="N1331" s="16" t="str">
        <f>equip.xml!P1335</f>
        <v>10000_1002_70000,30000_30001_1,30000_30002_1,30000_30003_1</v>
      </c>
      <c r="O1331">
        <f>equip.xml!R1335</f>
        <v>0</v>
      </c>
    </row>
    <row r="1332" spans="1:15">
      <c r="A1332" s="14">
        <f>equip.xml!A1336</f>
        <v>30902050</v>
      </c>
      <c r="B1332" s="14">
        <f>equip.xml!B1336</f>
        <v>1</v>
      </c>
      <c r="C1332" s="14" t="str">
        <f>equip.xml!C1336</f>
        <v>破晓之弓</v>
      </c>
      <c r="D1332" s="14" t="str">
        <f>equip.xml!D1336</f>
        <v>主手武器</v>
      </c>
      <c r="E1332" s="14">
        <f>equip.xml!E1336</f>
        <v>5</v>
      </c>
      <c r="F1332" s="14">
        <f>equip.xml!F1336</f>
        <v>3</v>
      </c>
      <c r="G1332" s="14">
        <f>equip.xml!G1336</f>
        <v>90</v>
      </c>
      <c r="H1332" s="14" t="str">
        <f>equip.xml!H1336</f>
        <v>2,1002</v>
      </c>
      <c r="I1332" s="14">
        <f>equip.xml!J1336</f>
        <v>20</v>
      </c>
      <c r="J1332" s="14">
        <f>equip.xml!K1336</f>
        <v>0</v>
      </c>
      <c r="K1332" s="14">
        <f>equip.xml!L1336</f>
        <v>47500</v>
      </c>
      <c r="L1332" s="14" t="str">
        <f>equip.xml!M1336</f>
        <v>103_5471_5471,104_10942_10942</v>
      </c>
      <c r="M1332" s="17" t="str">
        <f>equip.xml!Q1336</f>
        <v>equipment/1231.png</v>
      </c>
      <c r="N1332" s="16" t="str">
        <f>equip.xml!P1336</f>
        <v>10000_1002_70000,30000_30001_1,30000_30002_1,30000_30003_1</v>
      </c>
      <c r="O1332">
        <f>equip.xml!R1336</f>
        <v>0</v>
      </c>
    </row>
    <row r="1333" spans="1:15">
      <c r="A1333" s="14">
        <f>equip.xml!A1337</f>
        <v>30902051</v>
      </c>
      <c r="B1333" s="14">
        <f>equip.xml!B1337</f>
        <v>0</v>
      </c>
      <c r="C1333" s="14" t="str">
        <f>equip.xml!C1337</f>
        <v>彗星之击</v>
      </c>
      <c r="D1333" s="14" t="str">
        <f>equip.xml!D1337</f>
        <v>主手武器</v>
      </c>
      <c r="E1333" s="14">
        <f>equip.xml!E1337</f>
        <v>5</v>
      </c>
      <c r="F1333" s="14">
        <f>equip.xml!F1337</f>
        <v>3</v>
      </c>
      <c r="G1333" s="14">
        <f>equip.xml!G1337</f>
        <v>90</v>
      </c>
      <c r="H1333" s="14" t="str">
        <f>equip.xml!H1337</f>
        <v>2,1002</v>
      </c>
      <c r="I1333" s="14">
        <f>equip.xml!J1337</f>
        <v>20</v>
      </c>
      <c r="J1333" s="14">
        <f>equip.xml!K1337</f>
        <v>0</v>
      </c>
      <c r="K1333" s="14">
        <f>equip.xml!L1337</f>
        <v>50000</v>
      </c>
      <c r="L1333" s="14" t="str">
        <f>equip.xml!M1337</f>
        <v>103_5719_5719,104_11438_11438</v>
      </c>
      <c r="M1333" s="17" t="str">
        <f>equip.xml!Q1337</f>
        <v>equipment/101201.png</v>
      </c>
      <c r="N1333" s="16" t="str">
        <f>equip.xml!P1337</f>
        <v>10000_1002_70000,30000_30001_1,30000_30002_1,30000_30003_1</v>
      </c>
      <c r="O1333">
        <f>equip.xml!R1337</f>
        <v>0</v>
      </c>
    </row>
    <row r="1334" spans="1:15">
      <c r="A1334" s="14">
        <f>equip.xml!A1338</f>
        <v>30902060</v>
      </c>
      <c r="B1334" s="14">
        <f>equip.xml!B1338</f>
        <v>1</v>
      </c>
      <c r="C1334" s="14" t="str">
        <f>equip.xml!C1338</f>
        <v>灵痕箭袋</v>
      </c>
      <c r="D1334" s="14" t="str">
        <f>equip.xml!D1338</f>
        <v>副手武器</v>
      </c>
      <c r="E1334" s="14">
        <f>equip.xml!E1338</f>
        <v>6</v>
      </c>
      <c r="F1334" s="14">
        <f>equip.xml!F1338</f>
        <v>3</v>
      </c>
      <c r="G1334" s="14">
        <f>equip.xml!G1338</f>
        <v>90</v>
      </c>
      <c r="H1334" s="14" t="str">
        <f>equip.xml!H1338</f>
        <v>2,1002</v>
      </c>
      <c r="I1334" s="14">
        <f>equip.xml!J1338</f>
        <v>20</v>
      </c>
      <c r="J1334" s="14">
        <f>equip.xml!K1338</f>
        <v>0</v>
      </c>
      <c r="K1334" s="14">
        <f>equip.xml!L1338</f>
        <v>47500</v>
      </c>
      <c r="L1334" s="14" t="str">
        <f>equip.xml!M1338</f>
        <v>108_4924_4924</v>
      </c>
      <c r="M1334" s="17" t="str">
        <f>equip.xml!Q1338</f>
        <v>equipment/2225.png</v>
      </c>
      <c r="N1334" s="16" t="str">
        <f>equip.xml!P1338</f>
        <v>10000_1002_70000,30000_30001_1,30000_30002_1,30000_30003_1</v>
      </c>
      <c r="O1334">
        <f>equip.xml!R1338</f>
        <v>0</v>
      </c>
    </row>
    <row r="1335" spans="1:15">
      <c r="A1335" s="14">
        <f>equip.xml!A1339</f>
        <v>30902061</v>
      </c>
      <c r="B1335" s="14">
        <f>equip.xml!B1339</f>
        <v>0</v>
      </c>
      <c r="C1335" s="14" t="str">
        <f>equip.xml!C1339</f>
        <v>星坠箭筒</v>
      </c>
      <c r="D1335" s="14" t="str">
        <f>equip.xml!D1339</f>
        <v>副手武器</v>
      </c>
      <c r="E1335" s="14">
        <f>equip.xml!E1339</f>
        <v>6</v>
      </c>
      <c r="F1335" s="14">
        <f>equip.xml!F1339</f>
        <v>3</v>
      </c>
      <c r="G1335" s="14">
        <f>equip.xml!G1339</f>
        <v>90</v>
      </c>
      <c r="H1335" s="14" t="str">
        <f>equip.xml!H1339</f>
        <v>2,1002</v>
      </c>
      <c r="I1335" s="14">
        <f>equip.xml!J1339</f>
        <v>20</v>
      </c>
      <c r="J1335" s="14">
        <f>equip.xml!K1339</f>
        <v>0</v>
      </c>
      <c r="K1335" s="14">
        <f>equip.xml!L1339</f>
        <v>50000</v>
      </c>
      <c r="L1335" s="14" t="str">
        <f>equip.xml!M1339</f>
        <v>108_5147_5147</v>
      </c>
      <c r="M1335" s="17" t="str">
        <f>equip.xml!Q1339</f>
        <v>equipment/2217.png</v>
      </c>
      <c r="N1335" s="16" t="str">
        <f>equip.xml!P1339</f>
        <v>10000_1002_70000,30000_30001_1,30000_30002_1,30000_30003_1</v>
      </c>
      <c r="O1335">
        <f>equip.xml!R1339</f>
        <v>0</v>
      </c>
    </row>
    <row r="1336" spans="1:15">
      <c r="A1336" s="14">
        <f>equip.xml!A1340</f>
        <v>30903050</v>
      </c>
      <c r="B1336" s="14">
        <f>equip.xml!B1340</f>
        <v>1</v>
      </c>
      <c r="C1336" s="14" t="str">
        <f>equip.xml!C1340</f>
        <v>观察者之杖</v>
      </c>
      <c r="D1336" s="14" t="str">
        <f>equip.xml!D1340</f>
        <v>主手武器</v>
      </c>
      <c r="E1336" s="14">
        <f>equip.xml!E1340</f>
        <v>5</v>
      </c>
      <c r="F1336" s="14">
        <f>equip.xml!F1340</f>
        <v>3</v>
      </c>
      <c r="G1336" s="14">
        <f>equip.xml!G1340</f>
        <v>90</v>
      </c>
      <c r="H1336" s="14" t="str">
        <f>equip.xml!H1340</f>
        <v>3,1003</v>
      </c>
      <c r="I1336" s="14">
        <f>equip.xml!J1340</f>
        <v>20</v>
      </c>
      <c r="J1336" s="14">
        <f>equip.xml!K1340</f>
        <v>0</v>
      </c>
      <c r="K1336" s="14">
        <f>equip.xml!L1340</f>
        <v>47500</v>
      </c>
      <c r="L1336" s="14" t="str">
        <f>equip.xml!M1340</f>
        <v>103_5471_5471,104_10942_10942</v>
      </c>
      <c r="M1336" s="17" t="str">
        <f>equip.xml!Q1340</f>
        <v>equipment/1330.png</v>
      </c>
      <c r="N1336" s="16" t="str">
        <f>equip.xml!P1340</f>
        <v>10000_1002_70000,30000_30001_1,30000_30002_1,30000_30003_1</v>
      </c>
      <c r="O1336">
        <f>equip.xml!R1340</f>
        <v>0</v>
      </c>
    </row>
    <row r="1337" spans="1:15">
      <c r="A1337" s="14">
        <f>equip.xml!A1341</f>
        <v>30903051</v>
      </c>
      <c r="B1337" s="14">
        <f>equip.xml!B1341</f>
        <v>0</v>
      </c>
      <c r="C1337" s="14" t="str">
        <f>equip.xml!C1341</f>
        <v>星辰权杖</v>
      </c>
      <c r="D1337" s="14" t="str">
        <f>equip.xml!D1341</f>
        <v>主手武器</v>
      </c>
      <c r="E1337" s="14">
        <f>equip.xml!E1341</f>
        <v>5</v>
      </c>
      <c r="F1337" s="14">
        <f>equip.xml!F1341</f>
        <v>3</v>
      </c>
      <c r="G1337" s="14">
        <f>equip.xml!G1341</f>
        <v>90</v>
      </c>
      <c r="H1337" s="14" t="str">
        <f>equip.xml!H1341</f>
        <v>3,1003</v>
      </c>
      <c r="I1337" s="14">
        <f>equip.xml!J1341</f>
        <v>20</v>
      </c>
      <c r="J1337" s="14">
        <f>equip.xml!K1341</f>
        <v>0</v>
      </c>
      <c r="K1337" s="14">
        <f>equip.xml!L1341</f>
        <v>50000</v>
      </c>
      <c r="L1337" s="14" t="str">
        <f>equip.xml!M1341</f>
        <v>103_5719_5719,104_11438_11438</v>
      </c>
      <c r="M1337" s="17" t="str">
        <f>equip.xml!Q1341</f>
        <v>equipment/1328.png</v>
      </c>
      <c r="N1337" s="16" t="str">
        <f>equip.xml!P1341</f>
        <v>10000_1002_70000,30000_30001_1,30000_30002_1,30000_30003_1</v>
      </c>
      <c r="O1337">
        <f>equip.xml!R1341</f>
        <v>0</v>
      </c>
    </row>
    <row r="1338" spans="1:15">
      <c r="A1338" s="14">
        <f>equip.xml!A1342</f>
        <v>30903060</v>
      </c>
      <c r="B1338" s="14">
        <f>equip.xml!B1342</f>
        <v>1</v>
      </c>
      <c r="C1338" s="14" t="str">
        <f>equip.xml!C1342</f>
        <v>云河指南</v>
      </c>
      <c r="D1338" s="14" t="str">
        <f>equip.xml!D1342</f>
        <v>副手武器</v>
      </c>
      <c r="E1338" s="14">
        <f>equip.xml!E1342</f>
        <v>6</v>
      </c>
      <c r="F1338" s="14">
        <f>equip.xml!F1342</f>
        <v>3</v>
      </c>
      <c r="G1338" s="14">
        <f>equip.xml!G1342</f>
        <v>90</v>
      </c>
      <c r="H1338" s="14" t="str">
        <f>equip.xml!H1342</f>
        <v>3,1003</v>
      </c>
      <c r="I1338" s="14">
        <f>equip.xml!J1342</f>
        <v>20</v>
      </c>
      <c r="J1338" s="14">
        <f>equip.xml!K1342</f>
        <v>0</v>
      </c>
      <c r="K1338" s="14">
        <f>equip.xml!L1342</f>
        <v>47500</v>
      </c>
      <c r="L1338" s="14" t="str">
        <f>equip.xml!M1342</f>
        <v>102_4040_4040</v>
      </c>
      <c r="M1338" s="17" t="str">
        <f>equip.xml!Q1342</f>
        <v>equipment/2325.png</v>
      </c>
      <c r="N1338" s="16" t="str">
        <f>equip.xml!P1342</f>
        <v>10000_1002_70000,30000_30001_1,30000_30002_1,30000_30003_1</v>
      </c>
      <c r="O1338">
        <f>equip.xml!R1342</f>
        <v>0</v>
      </c>
    </row>
    <row r="1339" spans="1:15">
      <c r="A1339" s="14">
        <f>equip.xml!A1343</f>
        <v>30903061</v>
      </c>
      <c r="B1339" s="14">
        <f>equip.xml!B1343</f>
        <v>0</v>
      </c>
      <c r="C1339" s="14" t="str">
        <f>equip.xml!C1343</f>
        <v>星界之书</v>
      </c>
      <c r="D1339" s="14" t="str">
        <f>equip.xml!D1343</f>
        <v>副手武器</v>
      </c>
      <c r="E1339" s="14">
        <f>equip.xml!E1343</f>
        <v>6</v>
      </c>
      <c r="F1339" s="14">
        <f>equip.xml!F1343</f>
        <v>3</v>
      </c>
      <c r="G1339" s="14">
        <f>equip.xml!G1343</f>
        <v>90</v>
      </c>
      <c r="H1339" s="14" t="str">
        <f>equip.xml!H1343</f>
        <v>3,1003</v>
      </c>
      <c r="I1339" s="14">
        <f>equip.xml!J1343</f>
        <v>20</v>
      </c>
      <c r="J1339" s="14">
        <f>equip.xml!K1343</f>
        <v>0</v>
      </c>
      <c r="K1339" s="14">
        <f>equip.xml!L1343</f>
        <v>50000</v>
      </c>
      <c r="L1339" s="14" t="str">
        <f>equip.xml!M1343</f>
        <v>102_4140_4140</v>
      </c>
      <c r="M1339" s="17" t="str">
        <f>equip.xml!Q1343</f>
        <v>equipment/2324.png</v>
      </c>
      <c r="N1339" s="16" t="str">
        <f>equip.xml!P1343</f>
        <v>10000_1002_70000,30000_30001_1,30000_30002_1,30000_30003_1</v>
      </c>
      <c r="O1339">
        <f>equip.xml!R1343</f>
        <v>0</v>
      </c>
    </row>
    <row r="1340" spans="1:15">
      <c r="A1340" s="14">
        <f>equip.xml!A1344</f>
        <v>30900040</v>
      </c>
      <c r="B1340" s="14">
        <f>equip.xml!B1344</f>
        <v>1</v>
      </c>
      <c r="C1340" s="14" t="str">
        <f>equip.xml!C1344</f>
        <v>坚毅胸甲</v>
      </c>
      <c r="D1340" s="14" t="str">
        <f>equip.xml!D1344</f>
        <v>胸甲</v>
      </c>
      <c r="E1340" s="14">
        <f>equip.xml!E1344</f>
        <v>4</v>
      </c>
      <c r="F1340" s="14">
        <f>equip.xml!F1344</f>
        <v>3</v>
      </c>
      <c r="G1340" s="14">
        <f>equip.xml!G1344</f>
        <v>90</v>
      </c>
      <c r="H1340" s="14">
        <f>equip.xml!H1344</f>
        <v>0</v>
      </c>
      <c r="I1340" s="14">
        <f>equip.xml!J1344</f>
        <v>20</v>
      </c>
      <c r="J1340" s="14">
        <f>equip.xml!K1344</f>
        <v>0</v>
      </c>
      <c r="K1340" s="14">
        <f>equip.xml!L1344</f>
        <v>47500</v>
      </c>
      <c r="L1340" s="14" t="str">
        <f>equip.xml!M1344</f>
        <v>105_3447_3447</v>
      </c>
      <c r="M1340" s="17" t="str">
        <f>equip.xml!Q1344</f>
        <v>equipment/5024.png</v>
      </c>
      <c r="N1340" s="16" t="str">
        <f>equip.xml!P1344</f>
        <v>10000_1002_70000,30000_30001_1,30000_30002_1,30000_30003_1</v>
      </c>
      <c r="O1340">
        <f>equip.xml!R1344</f>
        <v>0</v>
      </c>
    </row>
    <row r="1341" spans="1:15">
      <c r="A1341" s="14">
        <f>equip.xml!A1345</f>
        <v>30900041</v>
      </c>
      <c r="B1341" s="14">
        <f>equip.xml!B1345</f>
        <v>0</v>
      </c>
      <c r="C1341" s="14" t="str">
        <f>equip.xml!C1345</f>
        <v>群山之拥</v>
      </c>
      <c r="D1341" s="14" t="str">
        <f>equip.xml!D1345</f>
        <v>胸甲</v>
      </c>
      <c r="E1341" s="14">
        <f>equip.xml!E1345</f>
        <v>4</v>
      </c>
      <c r="F1341" s="14">
        <f>equip.xml!F1345</f>
        <v>3</v>
      </c>
      <c r="G1341" s="14">
        <f>equip.xml!G1345</f>
        <v>90</v>
      </c>
      <c r="H1341" s="14">
        <f>equip.xml!H1345</f>
        <v>0</v>
      </c>
      <c r="I1341" s="14">
        <f>equip.xml!J1345</f>
        <v>20</v>
      </c>
      <c r="J1341" s="14">
        <f>equip.xml!K1345</f>
        <v>0</v>
      </c>
      <c r="K1341" s="14">
        <f>equip.xml!L1345</f>
        <v>50000</v>
      </c>
      <c r="L1341" s="14" t="str">
        <f>equip.xml!M1345</f>
        <v>105_3603_3603</v>
      </c>
      <c r="M1341" s="17" t="str">
        <f>equip.xml!Q1345</f>
        <v>equipment/5001.png</v>
      </c>
      <c r="N1341" s="16" t="str">
        <f>equip.xml!P1345</f>
        <v>10000_1002_70000,30000_30001_1,30000_30002_1,30000_30003_1</v>
      </c>
      <c r="O1341">
        <f>equip.xml!R1345</f>
        <v>0</v>
      </c>
    </row>
    <row r="1342" spans="1:15">
      <c r="A1342" s="14">
        <f>equip.xml!A1346</f>
        <v>30900070</v>
      </c>
      <c r="B1342" s="14">
        <f>equip.xml!B1346</f>
        <v>1</v>
      </c>
      <c r="C1342" s="14" t="str">
        <f>equip.xml!C1346</f>
        <v>复苏护腿</v>
      </c>
      <c r="D1342" s="14" t="str">
        <f>equip.xml!D1346</f>
        <v>护腿</v>
      </c>
      <c r="E1342" s="14">
        <f>equip.xml!E1346</f>
        <v>7</v>
      </c>
      <c r="F1342" s="14">
        <f>equip.xml!F1346</f>
        <v>3</v>
      </c>
      <c r="G1342" s="14">
        <f>equip.xml!G1346</f>
        <v>90</v>
      </c>
      <c r="H1342" s="14">
        <f>equip.xml!H1346</f>
        <v>0</v>
      </c>
      <c r="I1342" s="14">
        <f>equip.xml!J1346</f>
        <v>20</v>
      </c>
      <c r="J1342" s="14">
        <f>equip.xml!K1346</f>
        <v>0</v>
      </c>
      <c r="K1342" s="14">
        <f>equip.xml!L1346</f>
        <v>47500</v>
      </c>
      <c r="L1342" s="14" t="str">
        <f>equip.xml!M1346</f>
        <v>105_3447_3447</v>
      </c>
      <c r="M1342" s="17" t="str">
        <f>equip.xml!Q1346</f>
        <v>equipment/7016.png</v>
      </c>
      <c r="N1342" s="16" t="str">
        <f>equip.xml!P1346</f>
        <v>10000_1002_70000,30000_30001_1,30000_30002_1,30000_30003_1</v>
      </c>
      <c r="O1342">
        <f>equip.xml!R1346</f>
        <v>0</v>
      </c>
    </row>
    <row r="1343" spans="1:15">
      <c r="A1343" s="14">
        <f>equip.xml!A1347</f>
        <v>30900071</v>
      </c>
      <c r="B1343" s="14">
        <f>equip.xml!B1347</f>
        <v>0</v>
      </c>
      <c r="C1343" s="14" t="str">
        <f>equip.xml!C1347</f>
        <v>虔信腿甲</v>
      </c>
      <c r="D1343" s="14" t="str">
        <f>equip.xml!D1347</f>
        <v>护腿</v>
      </c>
      <c r="E1343" s="14">
        <f>equip.xml!E1347</f>
        <v>7</v>
      </c>
      <c r="F1343" s="14">
        <f>equip.xml!F1347</f>
        <v>3</v>
      </c>
      <c r="G1343" s="14">
        <f>equip.xml!G1347</f>
        <v>90</v>
      </c>
      <c r="H1343" s="14">
        <f>equip.xml!H1347</f>
        <v>0</v>
      </c>
      <c r="I1343" s="14">
        <f>equip.xml!J1347</f>
        <v>20</v>
      </c>
      <c r="J1343" s="14">
        <f>equip.xml!K1347</f>
        <v>0</v>
      </c>
      <c r="K1343" s="14">
        <f>equip.xml!L1347</f>
        <v>50000</v>
      </c>
      <c r="L1343" s="14" t="str">
        <f>equip.xml!M1347</f>
        <v>105_3603_3603</v>
      </c>
      <c r="M1343" s="17" t="str">
        <f>equip.xml!Q1347</f>
        <v>equipment/7001.png</v>
      </c>
      <c r="N1343" s="16" t="str">
        <f>equip.xml!P1347</f>
        <v>10000_1002_70000,30000_30001_1,30000_30002_1,30000_30003_1</v>
      </c>
      <c r="O1343">
        <f>equip.xml!R1347</f>
        <v>0</v>
      </c>
    </row>
    <row r="1344" spans="1:15">
      <c r="A1344" s="14">
        <f>equip.xml!A1348</f>
        <v>30950010</v>
      </c>
      <c r="B1344" s="14">
        <f>equip.xml!B1348</f>
        <v>1</v>
      </c>
      <c r="C1344" s="14" t="str">
        <f>equip.xml!C1348</f>
        <v>魂铸头盔</v>
      </c>
      <c r="D1344" s="14" t="str">
        <f>equip.xml!D1348</f>
        <v>头盔</v>
      </c>
      <c r="E1344" s="14">
        <f>equip.xml!E1348</f>
        <v>1</v>
      </c>
      <c r="F1344" s="14">
        <f>equip.xml!F1348</f>
        <v>3</v>
      </c>
      <c r="G1344" s="14">
        <f>equip.xml!G1348</f>
        <v>95</v>
      </c>
      <c r="H1344" s="14">
        <f>equip.xml!H1348</f>
        <v>0</v>
      </c>
      <c r="I1344" s="14">
        <f>equip.xml!J1348</f>
        <v>20</v>
      </c>
      <c r="J1344" s="14">
        <f>equip.xml!K1348</f>
        <v>0</v>
      </c>
      <c r="K1344" s="14">
        <f>equip.xml!L1348</f>
        <v>50000</v>
      </c>
      <c r="L1344" s="14" t="str">
        <f>equip.xml!M1348</f>
        <v>106_5346_5346</v>
      </c>
      <c r="M1344" s="17" t="str">
        <f>equip.xml!Q1348</f>
        <v>equipment/3001.png</v>
      </c>
      <c r="N1344" s="16" t="str">
        <f>equip.xml!P1348</f>
        <v>10000_1002_70000,30000_30001_1,30000_30002_1,30000_30003_1</v>
      </c>
      <c r="O1344">
        <f>equip.xml!R1348</f>
        <v>0</v>
      </c>
    </row>
    <row r="1345" spans="1:15">
      <c r="A1345" s="14">
        <f>equip.xml!A1349</f>
        <v>30950020</v>
      </c>
      <c r="B1345" s="14">
        <f>equip.xml!B1349</f>
        <v>1</v>
      </c>
      <c r="C1345" s="14" t="str">
        <f>equip.xml!C1349</f>
        <v>云霄之环</v>
      </c>
      <c r="D1345" s="14" t="str">
        <f>equip.xml!D1349</f>
        <v>戒指</v>
      </c>
      <c r="E1345" s="14">
        <f>equip.xml!E1349</f>
        <v>2</v>
      </c>
      <c r="F1345" s="14">
        <f>equip.xml!F1349</f>
        <v>3</v>
      </c>
      <c r="G1345" s="14">
        <f>equip.xml!G1349</f>
        <v>95</v>
      </c>
      <c r="H1345" s="14">
        <f>equip.xml!H1349</f>
        <v>0</v>
      </c>
      <c r="I1345" s="14">
        <f>equip.xml!J1349</f>
        <v>20</v>
      </c>
      <c r="J1345" s="14">
        <f>equip.xml!K1349</f>
        <v>0</v>
      </c>
      <c r="K1345" s="14">
        <f>equip.xml!L1349</f>
        <v>50000</v>
      </c>
      <c r="L1345" s="14" t="str">
        <f>equip.xml!M1349</f>
        <v>102_2240_2240</v>
      </c>
      <c r="M1345" s="17" t="str">
        <f>equip.xml!Q1349</f>
        <v>equipment/14001.png</v>
      </c>
      <c r="N1345" s="16" t="str">
        <f>equip.xml!P1349</f>
        <v>10000_1002_70000,30000_30001_1,30000_30002_1,30000_30003_1</v>
      </c>
      <c r="O1345">
        <f>equip.xml!R1349</f>
        <v>0</v>
      </c>
    </row>
    <row r="1346" spans="1:15">
      <c r="A1346" s="14">
        <f>equip.xml!A1350</f>
        <v>30950030</v>
      </c>
      <c r="B1346" s="14">
        <f>equip.xml!B1350</f>
        <v>1</v>
      </c>
      <c r="C1346" s="14" t="str">
        <f>equip.xml!C1350</f>
        <v>破天者腰带</v>
      </c>
      <c r="D1346" s="14" t="str">
        <f>equip.xml!D1350</f>
        <v>腰带</v>
      </c>
      <c r="E1346" s="14">
        <f>equip.xml!E1350</f>
        <v>3</v>
      </c>
      <c r="F1346" s="14">
        <f>equip.xml!F1350</f>
        <v>3</v>
      </c>
      <c r="G1346" s="14">
        <f>equip.xml!G1350</f>
        <v>95</v>
      </c>
      <c r="H1346" s="14">
        <f>equip.xml!H1350</f>
        <v>0</v>
      </c>
      <c r="I1346" s="14">
        <f>equip.xml!J1350</f>
        <v>20</v>
      </c>
      <c r="J1346" s="14">
        <f>equip.xml!K1350</f>
        <v>0</v>
      </c>
      <c r="K1346" s="14">
        <f>equip.xml!L1350</f>
        <v>50000</v>
      </c>
      <c r="L1346" s="14" t="str">
        <f>equip.xml!M1350</f>
        <v>101_32760_32760</v>
      </c>
      <c r="M1346" s="17" t="str">
        <f>equip.xml!Q1350</f>
        <v>equipment/6001.png</v>
      </c>
      <c r="N1346" s="16" t="str">
        <f>equip.xml!P1350</f>
        <v>10000_1002_70000,30000_30001_1,30000_30002_1,30000_30003_1</v>
      </c>
      <c r="O1346">
        <f>equip.xml!R1350</f>
        <v>0</v>
      </c>
    </row>
    <row r="1347" spans="1:15">
      <c r="A1347" s="14">
        <f>equip.xml!A1351</f>
        <v>30950080</v>
      </c>
      <c r="B1347" s="14">
        <f>equip.xml!B1351</f>
        <v>1</v>
      </c>
      <c r="C1347" s="14" t="str">
        <f>equip.xml!C1351</f>
        <v>圣洁怒火之靴</v>
      </c>
      <c r="D1347" s="14" t="str">
        <f>equip.xml!D1351</f>
        <v>鞋子</v>
      </c>
      <c r="E1347" s="14">
        <f>equip.xml!E1351</f>
        <v>8</v>
      </c>
      <c r="F1347" s="14">
        <f>equip.xml!F1351</f>
        <v>3</v>
      </c>
      <c r="G1347" s="14">
        <f>equip.xml!G1351</f>
        <v>95</v>
      </c>
      <c r="H1347" s="14">
        <f>equip.xml!H1351</f>
        <v>0</v>
      </c>
      <c r="I1347" s="14">
        <f>equip.xml!J1351</f>
        <v>20</v>
      </c>
      <c r="J1347" s="14">
        <f>equip.xml!K1351</f>
        <v>0</v>
      </c>
      <c r="K1347" s="14">
        <f>equip.xml!L1351</f>
        <v>50000</v>
      </c>
      <c r="L1347" s="14" t="str">
        <f>equip.xml!M1351</f>
        <v>110_786_786</v>
      </c>
      <c r="M1347" s="17" t="str">
        <f>equip.xml!Q1351</f>
        <v>equipment/8001.png</v>
      </c>
      <c r="N1347" s="16" t="str">
        <f>equip.xml!P1351</f>
        <v>10000_1002_70000,30000_30001_1,30000_30002_1,30000_30003_1</v>
      </c>
      <c r="O1347">
        <f>equip.xml!R1351</f>
        <v>0</v>
      </c>
    </row>
    <row r="1348" spans="1:15">
      <c r="A1348" s="14">
        <f>equip.xml!A1352</f>
        <v>30950090</v>
      </c>
      <c r="B1348" s="14">
        <f>equip.xml!B1352</f>
        <v>1</v>
      </c>
      <c r="C1348" s="14" t="str">
        <f>equip.xml!C1352</f>
        <v>破灭之手</v>
      </c>
      <c r="D1348" s="14" t="str">
        <f>equip.xml!D1352</f>
        <v>手套</v>
      </c>
      <c r="E1348" s="14">
        <f>equip.xml!E1352</f>
        <v>9</v>
      </c>
      <c r="F1348" s="14">
        <f>equip.xml!F1352</f>
        <v>3</v>
      </c>
      <c r="G1348" s="14">
        <f>equip.xml!G1352</f>
        <v>95</v>
      </c>
      <c r="H1348" s="14">
        <f>equip.xml!H1352</f>
        <v>0</v>
      </c>
      <c r="I1348" s="14">
        <f>equip.xml!J1352</f>
        <v>20</v>
      </c>
      <c r="J1348" s="14">
        <f>equip.xml!K1352</f>
        <v>0</v>
      </c>
      <c r="K1348" s="14">
        <f>equip.xml!L1352</f>
        <v>50000</v>
      </c>
      <c r="L1348" s="14" t="str">
        <f>equip.xml!M1352</f>
        <v>108_6853_6853</v>
      </c>
      <c r="M1348" s="17" t="str">
        <f>equip.xml!Q1352</f>
        <v>equipment/10001.png</v>
      </c>
      <c r="N1348" s="16" t="str">
        <f>equip.xml!P1352</f>
        <v>10000_1002_70000,30000_30001_1,30000_30002_1,30000_30003_1</v>
      </c>
      <c r="O1348">
        <f>equip.xml!R1352</f>
        <v>0</v>
      </c>
    </row>
    <row r="1349" spans="1:15">
      <c r="A1349" s="14">
        <f>equip.xml!A1353</f>
        <v>30950100</v>
      </c>
      <c r="B1349" s="14">
        <f>equip.xml!B1353</f>
        <v>1</v>
      </c>
      <c r="C1349" s="14" t="str">
        <f>equip.xml!C1353</f>
        <v>圣灵之佑</v>
      </c>
      <c r="D1349" s="14" t="str">
        <f>equip.xml!D1353</f>
        <v>项链</v>
      </c>
      <c r="E1349" s="14">
        <f>equip.xml!E1353</f>
        <v>10</v>
      </c>
      <c r="F1349" s="14">
        <f>equip.xml!F1353</f>
        <v>3</v>
      </c>
      <c r="G1349" s="14">
        <f>equip.xml!G1353</f>
        <v>95</v>
      </c>
      <c r="H1349" s="14">
        <f>equip.xml!H1353</f>
        <v>0</v>
      </c>
      <c r="I1349" s="14">
        <f>equip.xml!J1353</f>
        <v>20</v>
      </c>
      <c r="J1349" s="14">
        <f>equip.xml!K1353</f>
        <v>0</v>
      </c>
      <c r="K1349" s="14">
        <f>equip.xml!L1353</f>
        <v>50000</v>
      </c>
      <c r="L1349" s="14" t="str">
        <f>equip.xml!M1353</f>
        <v>107_5346_5346</v>
      </c>
      <c r="M1349" s="17" t="str">
        <f>equip.xml!Q1353</f>
        <v>equipment/12001.png</v>
      </c>
      <c r="N1349" s="16" t="str">
        <f>equip.xml!P1353</f>
        <v>10000_1002_70000,30000_30001_1,30000_30002_1,30000_30003_1</v>
      </c>
      <c r="O1349">
        <f>equip.xml!R1353</f>
        <v>0</v>
      </c>
    </row>
    <row r="1350" spans="1:15">
      <c r="A1350" s="14">
        <f>equip.xml!A1354</f>
        <v>30951050</v>
      </c>
      <c r="B1350" s="14">
        <f>equip.xml!B1354</f>
        <v>1</v>
      </c>
      <c r="C1350" s="14" t="str">
        <f>equip.xml!C1354</f>
        <v>云颠之剑</v>
      </c>
      <c r="D1350" s="14" t="str">
        <f>equip.xml!D1354</f>
        <v>主手武器</v>
      </c>
      <c r="E1350" s="14">
        <f>equip.xml!E1354</f>
        <v>5</v>
      </c>
      <c r="F1350" s="14">
        <f>equip.xml!F1354</f>
        <v>3</v>
      </c>
      <c r="G1350" s="14">
        <f>equip.xml!G1354</f>
        <v>95</v>
      </c>
      <c r="H1350" s="14" t="str">
        <f>equip.xml!H1354</f>
        <v>1,1001</v>
      </c>
      <c r="I1350" s="14">
        <f>equip.xml!J1354</f>
        <v>20</v>
      </c>
      <c r="J1350" s="14">
        <f>equip.xml!K1354</f>
        <v>0</v>
      </c>
      <c r="K1350" s="14">
        <f>equip.xml!L1354</f>
        <v>50000</v>
      </c>
      <c r="L1350" s="14" t="str">
        <f>equip.xml!M1354</f>
        <v>103_6091_6091,104_12182_12182</v>
      </c>
      <c r="M1350" s="17" t="str">
        <f>equip.xml!Q1354</f>
        <v>equipment/1124.png</v>
      </c>
      <c r="N1350" s="16" t="str">
        <f>equip.xml!P1354</f>
        <v>10000_1002_70000,30000_30001_1,30000_30002_1,30000_30003_1</v>
      </c>
      <c r="O1350">
        <f>equip.xml!R1354</f>
        <v>0</v>
      </c>
    </row>
    <row r="1351" spans="1:15">
      <c r="A1351" s="14">
        <f>equip.xml!A1355</f>
        <v>30951051</v>
      </c>
      <c r="B1351" s="14">
        <f>equip.xml!B1355</f>
        <v>0</v>
      </c>
      <c r="C1351" s="14" t="str">
        <f>equip.xml!C1355</f>
        <v>血色黎明</v>
      </c>
      <c r="D1351" s="14" t="str">
        <f>equip.xml!D1355</f>
        <v>主手武器</v>
      </c>
      <c r="E1351" s="14">
        <f>equip.xml!E1355</f>
        <v>5</v>
      </c>
      <c r="F1351" s="14">
        <f>equip.xml!F1355</f>
        <v>3</v>
      </c>
      <c r="G1351" s="14">
        <f>equip.xml!G1355</f>
        <v>95</v>
      </c>
      <c r="H1351" s="14" t="str">
        <f>equip.xml!H1355</f>
        <v>1,1001</v>
      </c>
      <c r="I1351" s="14">
        <f>equip.xml!J1355</f>
        <v>20</v>
      </c>
      <c r="J1351" s="14">
        <f>equip.xml!K1355</f>
        <v>0</v>
      </c>
      <c r="K1351" s="14">
        <f>equip.xml!L1355</f>
        <v>52500</v>
      </c>
      <c r="L1351" s="14" t="str">
        <f>equip.xml!M1355</f>
        <v>103_6352_6352,104_12705_12705</v>
      </c>
      <c r="M1351" s="17" t="str">
        <f>equip.xml!Q1355</f>
        <v>equipment/1101.png</v>
      </c>
      <c r="N1351" s="16" t="str">
        <f>equip.xml!P1355</f>
        <v>10000_1002_70000,30000_30001_1,30000_30002_1,30000_30003_1</v>
      </c>
      <c r="O1351">
        <f>equip.xml!R1355</f>
        <v>0</v>
      </c>
    </row>
    <row r="1352" spans="1:15">
      <c r="A1352" s="14">
        <f>equip.xml!A1356</f>
        <v>30951060</v>
      </c>
      <c r="B1352" s="14">
        <f>equip.xml!B1356</f>
        <v>1</v>
      </c>
      <c r="C1352" s="14" t="str">
        <f>equip.xml!C1356</f>
        <v>荣耀壁垒</v>
      </c>
      <c r="D1352" s="14" t="str">
        <f>equip.xml!D1356</f>
        <v>副手武器</v>
      </c>
      <c r="E1352" s="14">
        <f>equip.xml!E1356</f>
        <v>6</v>
      </c>
      <c r="F1352" s="14">
        <f>equip.xml!F1356</f>
        <v>3</v>
      </c>
      <c r="G1352" s="14">
        <f>equip.xml!G1356</f>
        <v>95</v>
      </c>
      <c r="H1352" s="14" t="str">
        <f>equip.xml!H1356</f>
        <v>1,1001</v>
      </c>
      <c r="I1352" s="14">
        <f>equip.xml!J1356</f>
        <v>20</v>
      </c>
      <c r="J1352" s="14">
        <f>equip.xml!K1356</f>
        <v>0</v>
      </c>
      <c r="K1352" s="14">
        <f>equip.xml!L1356</f>
        <v>50000</v>
      </c>
      <c r="L1352" s="14" t="str">
        <f>equip.xml!M1356</f>
        <v>105_5482_5482</v>
      </c>
      <c r="M1352" s="17" t="str">
        <f>equip.xml!Q1356</f>
        <v>equipment/2118.png</v>
      </c>
      <c r="N1352" s="16" t="str">
        <f>equip.xml!P1356</f>
        <v>10000_1002_70000,30000_30001_1,30000_30002_1,30000_30003_1</v>
      </c>
      <c r="O1352">
        <f>equip.xml!R1356</f>
        <v>0</v>
      </c>
    </row>
    <row r="1353" spans="1:15">
      <c r="A1353" s="14">
        <f>equip.xml!A1357</f>
        <v>30951061</v>
      </c>
      <c r="B1353" s="14">
        <f>equip.xml!B1357</f>
        <v>0</v>
      </c>
      <c r="C1353" s="14" t="str">
        <f>equip.xml!C1357</f>
        <v>曙光之盾</v>
      </c>
      <c r="D1353" s="14" t="str">
        <f>equip.xml!D1357</f>
        <v>副手武器</v>
      </c>
      <c r="E1353" s="14">
        <f>equip.xml!E1357</f>
        <v>6</v>
      </c>
      <c r="F1353" s="14">
        <f>equip.xml!F1357</f>
        <v>3</v>
      </c>
      <c r="G1353" s="14">
        <f>equip.xml!G1357</f>
        <v>95</v>
      </c>
      <c r="H1353" s="14" t="str">
        <f>equip.xml!H1357</f>
        <v>1,1001</v>
      </c>
      <c r="I1353" s="14">
        <f>equip.xml!J1357</f>
        <v>20</v>
      </c>
      <c r="J1353" s="14">
        <f>equip.xml!K1357</f>
        <v>0</v>
      </c>
      <c r="K1353" s="14">
        <f>equip.xml!L1357</f>
        <v>52500</v>
      </c>
      <c r="L1353" s="14" t="str">
        <f>equip.xml!M1357</f>
        <v>105_5717_5717</v>
      </c>
      <c r="M1353" s="17" t="str">
        <f>equip.xml!Q1357</f>
        <v>equipment/2101.png</v>
      </c>
      <c r="N1353" s="16" t="str">
        <f>equip.xml!P1357</f>
        <v>10000_1002_70000,30000_30001_1,30000_30002_1,30000_30003_1</v>
      </c>
      <c r="O1353">
        <f>equip.xml!R1357</f>
        <v>0</v>
      </c>
    </row>
    <row r="1354" spans="1:15">
      <c r="A1354" s="14">
        <f>equip.xml!A1358</f>
        <v>30952050</v>
      </c>
      <c r="B1354" s="14">
        <f>equip.xml!B1358</f>
        <v>1</v>
      </c>
      <c r="C1354" s="14" t="str">
        <f>equip.xml!C1358</f>
        <v>灵魂之弦</v>
      </c>
      <c r="D1354" s="14" t="str">
        <f>equip.xml!D1358</f>
        <v>主手武器</v>
      </c>
      <c r="E1354" s="14">
        <f>equip.xml!E1358</f>
        <v>5</v>
      </c>
      <c r="F1354" s="14">
        <f>equip.xml!F1358</f>
        <v>3</v>
      </c>
      <c r="G1354" s="14">
        <f>equip.xml!G1358</f>
        <v>95</v>
      </c>
      <c r="H1354" s="14" t="str">
        <f>equip.xml!H1358</f>
        <v>2,1002</v>
      </c>
      <c r="I1354" s="14">
        <f>equip.xml!J1358</f>
        <v>20</v>
      </c>
      <c r="J1354" s="14">
        <f>equip.xml!K1358</f>
        <v>0</v>
      </c>
      <c r="K1354" s="14">
        <f>equip.xml!L1358</f>
        <v>50000</v>
      </c>
      <c r="L1354" s="14" t="str">
        <f>equip.xml!M1358</f>
        <v>103_6091_6091,104_12182_12182</v>
      </c>
      <c r="M1354" s="17" t="str">
        <f>equip.xml!Q1358</f>
        <v>equipment/1222.png</v>
      </c>
      <c r="N1354" s="16" t="str">
        <f>equip.xml!P1358</f>
        <v>10000_1002_70000,30000_30001_1,30000_30002_1,30000_30003_1</v>
      </c>
      <c r="O1354">
        <f>equip.xml!R1358</f>
        <v>0</v>
      </c>
    </row>
    <row r="1355" spans="1:15">
      <c r="A1355" s="14">
        <f>equip.xml!A1359</f>
        <v>30952051</v>
      </c>
      <c r="B1355" s="14">
        <f>equip.xml!B1359</f>
        <v>0</v>
      </c>
      <c r="C1355" s="14" t="str">
        <f>equip.xml!C1359</f>
        <v>风暴凝视</v>
      </c>
      <c r="D1355" s="14" t="str">
        <f>equip.xml!D1359</f>
        <v>主手武器</v>
      </c>
      <c r="E1355" s="14">
        <f>equip.xml!E1359</f>
        <v>5</v>
      </c>
      <c r="F1355" s="14">
        <f>equip.xml!F1359</f>
        <v>3</v>
      </c>
      <c r="G1355" s="14">
        <f>equip.xml!G1359</f>
        <v>95</v>
      </c>
      <c r="H1355" s="14" t="str">
        <f>equip.xml!H1359</f>
        <v>2,1002</v>
      </c>
      <c r="I1355" s="14">
        <f>equip.xml!J1359</f>
        <v>20</v>
      </c>
      <c r="J1355" s="14">
        <f>equip.xml!K1359</f>
        <v>0</v>
      </c>
      <c r="K1355" s="14">
        <f>equip.xml!L1359</f>
        <v>52500</v>
      </c>
      <c r="L1355" s="14" t="str">
        <f>equip.xml!M1359</f>
        <v>103_6352_6352,104_12705_12705</v>
      </c>
      <c r="M1355" s="17" t="str">
        <f>equip.xml!Q1359</f>
        <v>equipment/1201.png</v>
      </c>
      <c r="N1355" s="16" t="str">
        <f>equip.xml!P1359</f>
        <v>10000_1002_70000,30000_30001_1,30000_30002_1,30000_30003_1</v>
      </c>
      <c r="O1355">
        <f>equip.xml!R1359</f>
        <v>0</v>
      </c>
    </row>
    <row r="1356" spans="1:15">
      <c r="A1356" s="14">
        <f>equip.xml!A1360</f>
        <v>30952060</v>
      </c>
      <c r="B1356" s="14">
        <f>equip.xml!B1360</f>
        <v>1</v>
      </c>
      <c r="C1356" s="14" t="str">
        <f>equip.xml!C1360</f>
        <v>魂织箭袋</v>
      </c>
      <c r="D1356" s="14" t="str">
        <f>equip.xml!D1360</f>
        <v>副手武器</v>
      </c>
      <c r="E1356" s="14">
        <f>equip.xml!E1360</f>
        <v>6</v>
      </c>
      <c r="F1356" s="14">
        <f>equip.xml!F1360</f>
        <v>3</v>
      </c>
      <c r="G1356" s="14">
        <f>equip.xml!G1360</f>
        <v>95</v>
      </c>
      <c r="H1356" s="14" t="str">
        <f>equip.xml!H1360</f>
        <v>2,1002</v>
      </c>
      <c r="I1356" s="14">
        <f>equip.xml!J1360</f>
        <v>20</v>
      </c>
      <c r="J1356" s="14">
        <f>equip.xml!K1360</f>
        <v>0</v>
      </c>
      <c r="K1356" s="14">
        <f>equip.xml!L1360</f>
        <v>50000</v>
      </c>
      <c r="L1356" s="14" t="str">
        <f>equip.xml!M1360</f>
        <v>108_5482_5482</v>
      </c>
      <c r="M1356" s="17" t="str">
        <f>equip.xml!Q1360</f>
        <v>equipment/2218.png</v>
      </c>
      <c r="N1356" s="16" t="str">
        <f>equip.xml!P1360</f>
        <v>10000_1002_70000,30000_30001_1,30000_30002_1,30000_30003_1</v>
      </c>
      <c r="O1356">
        <f>equip.xml!R1360</f>
        <v>0</v>
      </c>
    </row>
    <row r="1357" spans="1:15">
      <c r="A1357" s="14">
        <f>equip.xml!A1361</f>
        <v>30952061</v>
      </c>
      <c r="B1357" s="14">
        <f>equip.xml!B1361</f>
        <v>0</v>
      </c>
      <c r="C1357" s="14" t="str">
        <f>equip.xml!C1361</f>
        <v>闪电之矢</v>
      </c>
      <c r="D1357" s="14" t="str">
        <f>equip.xml!D1361</f>
        <v>副手武器</v>
      </c>
      <c r="E1357" s="14">
        <f>equip.xml!E1361</f>
        <v>6</v>
      </c>
      <c r="F1357" s="14">
        <f>equip.xml!F1361</f>
        <v>3</v>
      </c>
      <c r="G1357" s="14">
        <f>equip.xml!G1361</f>
        <v>95</v>
      </c>
      <c r="H1357" s="14" t="str">
        <f>equip.xml!H1361</f>
        <v>2,1002</v>
      </c>
      <c r="I1357" s="14">
        <f>equip.xml!J1361</f>
        <v>20</v>
      </c>
      <c r="J1357" s="14">
        <f>equip.xml!K1361</f>
        <v>0</v>
      </c>
      <c r="K1357" s="14">
        <f>equip.xml!L1361</f>
        <v>52500</v>
      </c>
      <c r="L1357" s="14" t="str">
        <f>equip.xml!M1361</f>
        <v>108_5717_5717</v>
      </c>
      <c r="M1357" s="17" t="str">
        <f>equip.xml!Q1361</f>
        <v>equipment/2201.png</v>
      </c>
      <c r="N1357" s="16" t="str">
        <f>equip.xml!P1361</f>
        <v>10000_1002_70000,30000_30001_1,30000_30002_1,30000_30003_1</v>
      </c>
      <c r="O1357">
        <f>equip.xml!R1361</f>
        <v>0</v>
      </c>
    </row>
    <row r="1358" spans="1:15">
      <c r="A1358" s="14">
        <f>equip.xml!A1362</f>
        <v>30953050</v>
      </c>
      <c r="B1358" s="14">
        <f>equip.xml!B1362</f>
        <v>1</v>
      </c>
      <c r="C1358" s="14" t="str">
        <f>equip.xml!C1362</f>
        <v>歼灭之杖</v>
      </c>
      <c r="D1358" s="14" t="str">
        <f>equip.xml!D1362</f>
        <v>主手武器</v>
      </c>
      <c r="E1358" s="14">
        <f>equip.xml!E1362</f>
        <v>5</v>
      </c>
      <c r="F1358" s="14">
        <f>equip.xml!F1362</f>
        <v>3</v>
      </c>
      <c r="G1358" s="14">
        <f>equip.xml!G1362</f>
        <v>95</v>
      </c>
      <c r="H1358" s="14" t="str">
        <f>equip.xml!H1362</f>
        <v>3,1003</v>
      </c>
      <c r="I1358" s="14">
        <f>equip.xml!J1362</f>
        <v>20</v>
      </c>
      <c r="J1358" s="14">
        <f>equip.xml!K1362</f>
        <v>0</v>
      </c>
      <c r="K1358" s="14">
        <f>equip.xml!L1362</f>
        <v>50000</v>
      </c>
      <c r="L1358" s="14" t="str">
        <f>equip.xml!M1362</f>
        <v>103_6091_6091,104_12182_12182</v>
      </c>
      <c r="M1358" s="17" t="str">
        <f>equip.xml!Q1362</f>
        <v>equipment/1324.png</v>
      </c>
      <c r="N1358" s="16" t="str">
        <f>equip.xml!P1362</f>
        <v>10000_1002_70000,30000_30001_1,30000_30002_1,30000_30003_1</v>
      </c>
      <c r="O1358">
        <f>equip.xml!R1362</f>
        <v>0</v>
      </c>
    </row>
    <row r="1359" spans="1:15">
      <c r="A1359" s="14">
        <f>equip.xml!A1363</f>
        <v>30953051</v>
      </c>
      <c r="B1359" s="14">
        <f>equip.xml!B1363</f>
        <v>0</v>
      </c>
      <c r="C1359" s="14" t="str">
        <f>equip.xml!C1363</f>
        <v>末日降临</v>
      </c>
      <c r="D1359" s="14" t="str">
        <f>equip.xml!D1363</f>
        <v>主手武器</v>
      </c>
      <c r="E1359" s="14">
        <f>equip.xml!E1363</f>
        <v>5</v>
      </c>
      <c r="F1359" s="14">
        <f>equip.xml!F1363</f>
        <v>3</v>
      </c>
      <c r="G1359" s="14">
        <f>equip.xml!G1363</f>
        <v>95</v>
      </c>
      <c r="H1359" s="14" t="str">
        <f>equip.xml!H1363</f>
        <v>3,1003</v>
      </c>
      <c r="I1359" s="14">
        <f>equip.xml!J1363</f>
        <v>20</v>
      </c>
      <c r="J1359" s="14">
        <f>equip.xml!K1363</f>
        <v>0</v>
      </c>
      <c r="K1359" s="14">
        <f>equip.xml!L1363</f>
        <v>52500</v>
      </c>
      <c r="L1359" s="14" t="str">
        <f>equip.xml!M1363</f>
        <v>103_6352_6352,104_12705_12705</v>
      </c>
      <c r="M1359" s="17" t="str">
        <f>equip.xml!Q1363</f>
        <v>equipment/1301.png</v>
      </c>
      <c r="N1359" s="16" t="str">
        <f>equip.xml!P1363</f>
        <v>10000_1002_70000,30000_30001_1,30000_30002_1,30000_30003_1</v>
      </c>
      <c r="O1359">
        <f>equip.xml!R1363</f>
        <v>0</v>
      </c>
    </row>
    <row r="1360" spans="1:15">
      <c r="A1360" s="14">
        <f>equip.xml!A1364</f>
        <v>30953060</v>
      </c>
      <c r="B1360" s="14">
        <f>equip.xml!B1364</f>
        <v>1</v>
      </c>
      <c r="C1360" s="14" t="str">
        <f>equip.xml!C1364</f>
        <v>聚能魔典</v>
      </c>
      <c r="D1360" s="14" t="str">
        <f>equip.xml!D1364</f>
        <v>副手武器</v>
      </c>
      <c r="E1360" s="14">
        <f>equip.xml!E1364</f>
        <v>6</v>
      </c>
      <c r="F1360" s="14">
        <f>equip.xml!F1364</f>
        <v>3</v>
      </c>
      <c r="G1360" s="14">
        <f>equip.xml!G1364</f>
        <v>95</v>
      </c>
      <c r="H1360" s="14" t="str">
        <f>equip.xml!H1364</f>
        <v>3,1003</v>
      </c>
      <c r="I1360" s="14">
        <f>equip.xml!J1364</f>
        <v>20</v>
      </c>
      <c r="J1360" s="14">
        <f>equip.xml!K1364</f>
        <v>0</v>
      </c>
      <c r="K1360" s="14">
        <f>equip.xml!L1364</f>
        <v>50000</v>
      </c>
      <c r="L1360" s="14" t="str">
        <f>equip.xml!M1364</f>
        <v>102_4280_4280</v>
      </c>
      <c r="M1360" s="17" t="str">
        <f>equip.xml!Q1364</f>
        <v>equipment/2318.png</v>
      </c>
      <c r="N1360" s="16" t="str">
        <f>equip.xml!P1364</f>
        <v>10000_1002_70000,30000_30001_1,30000_30002_1,30000_30003_1</v>
      </c>
      <c r="O1360">
        <f>equip.xml!R1364</f>
        <v>0</v>
      </c>
    </row>
    <row r="1361" spans="1:15">
      <c r="A1361" s="14">
        <f>equip.xml!A1365</f>
        <v>30953061</v>
      </c>
      <c r="B1361" s="14">
        <f>equip.xml!B1365</f>
        <v>0</v>
      </c>
      <c r="C1361" s="14" t="str">
        <f>equip.xml!C1365</f>
        <v>启示圣典</v>
      </c>
      <c r="D1361" s="14" t="str">
        <f>equip.xml!D1365</f>
        <v>副手武器</v>
      </c>
      <c r="E1361" s="14">
        <f>equip.xml!E1365</f>
        <v>6</v>
      </c>
      <c r="F1361" s="14">
        <f>equip.xml!F1365</f>
        <v>3</v>
      </c>
      <c r="G1361" s="14">
        <f>equip.xml!G1365</f>
        <v>95</v>
      </c>
      <c r="H1361" s="14" t="str">
        <f>equip.xml!H1365</f>
        <v>3,1003</v>
      </c>
      <c r="I1361" s="14">
        <f>equip.xml!J1365</f>
        <v>20</v>
      </c>
      <c r="J1361" s="14">
        <f>equip.xml!K1365</f>
        <v>0</v>
      </c>
      <c r="K1361" s="14">
        <f>equip.xml!L1365</f>
        <v>52500</v>
      </c>
      <c r="L1361" s="14" t="str">
        <f>equip.xml!M1365</f>
        <v>102_4390_4390</v>
      </c>
      <c r="M1361" s="17" t="str">
        <f>equip.xml!Q1365</f>
        <v>equipment/2301.png</v>
      </c>
      <c r="N1361" s="16" t="str">
        <f>equip.xml!P1365</f>
        <v>10000_1002_70000,30000_30001_1,30000_30002_1,30000_30003_1</v>
      </c>
      <c r="O1361">
        <f>equip.xml!R1365</f>
        <v>0</v>
      </c>
    </row>
    <row r="1362" spans="1:15">
      <c r="A1362" s="14">
        <f>equip.xml!A1366</f>
        <v>30950040</v>
      </c>
      <c r="B1362" s="14">
        <f>equip.xml!B1366</f>
        <v>1</v>
      </c>
      <c r="C1362" s="14" t="str">
        <f>equip.xml!C1366</f>
        <v>湮没胸甲</v>
      </c>
      <c r="D1362" s="14" t="str">
        <f>equip.xml!D1366</f>
        <v>胸甲</v>
      </c>
      <c r="E1362" s="14">
        <f>equip.xml!E1366</f>
        <v>4</v>
      </c>
      <c r="F1362" s="14">
        <f>equip.xml!F1366</f>
        <v>3</v>
      </c>
      <c r="G1362" s="14">
        <f>equip.xml!G1366</f>
        <v>95</v>
      </c>
      <c r="H1362" s="14">
        <f>equip.xml!H1366</f>
        <v>0</v>
      </c>
      <c r="I1362" s="14">
        <f>equip.xml!J1366</f>
        <v>20</v>
      </c>
      <c r="J1362" s="14">
        <f>equip.xml!K1366</f>
        <v>0</v>
      </c>
      <c r="K1362" s="14">
        <f>equip.xml!L1366</f>
        <v>50000</v>
      </c>
      <c r="L1362" s="14" t="str">
        <f>equip.xml!M1366</f>
        <v>105_3837_3837</v>
      </c>
      <c r="M1362" s="17" t="str">
        <f>equip.xml!Q1366</f>
        <v>equipment/5001.png</v>
      </c>
      <c r="N1362" s="16" t="str">
        <f>equip.xml!P1366</f>
        <v>10000_1002_70000,30000_30001_1,30000_30002_1,30000_30003_1</v>
      </c>
      <c r="O1362">
        <f>equip.xml!R1366</f>
        <v>0</v>
      </c>
    </row>
    <row r="1363" spans="1:15">
      <c r="A1363" s="14">
        <f>equip.xml!A1367</f>
        <v>30950041</v>
      </c>
      <c r="B1363" s="14">
        <f>equip.xml!B1367</f>
        <v>0</v>
      </c>
      <c r="C1363" s="14" t="str">
        <f>equip.xml!C1367</f>
        <v>诸王战铠</v>
      </c>
      <c r="D1363" s="14" t="str">
        <f>equip.xml!D1367</f>
        <v>胸甲</v>
      </c>
      <c r="E1363" s="14">
        <f>equip.xml!E1367</f>
        <v>4</v>
      </c>
      <c r="F1363" s="14">
        <f>equip.xml!F1367</f>
        <v>3</v>
      </c>
      <c r="G1363" s="14">
        <f>equip.xml!G1367</f>
        <v>95</v>
      </c>
      <c r="H1363" s="14">
        <f>equip.xml!H1367</f>
        <v>0</v>
      </c>
      <c r="I1363" s="14">
        <f>equip.xml!J1367</f>
        <v>20</v>
      </c>
      <c r="J1363" s="14">
        <f>equip.xml!K1367</f>
        <v>0</v>
      </c>
      <c r="K1363" s="14">
        <f>equip.xml!L1367</f>
        <v>52500</v>
      </c>
      <c r="L1363" s="14" t="str">
        <f>equip.xml!M1367</f>
        <v>105_4002_4002</v>
      </c>
      <c r="M1363" s="17" t="str">
        <f>equip.xml!Q1367</f>
        <v>equipment/5001.png</v>
      </c>
      <c r="N1363" s="16" t="str">
        <f>equip.xml!P1367</f>
        <v>10000_1002_70000,30000_30001_1,30000_30002_1,30000_30003_1</v>
      </c>
      <c r="O1363">
        <f>equip.xml!R1367</f>
        <v>0</v>
      </c>
    </row>
    <row r="1364" spans="1:15">
      <c r="A1364" s="14">
        <f>equip.xml!A1368</f>
        <v>30950070</v>
      </c>
      <c r="B1364" s="14">
        <f>equip.xml!B1368</f>
        <v>1</v>
      </c>
      <c r="C1364" s="14" t="str">
        <f>equip.xml!C1368</f>
        <v>魂卫护腿</v>
      </c>
      <c r="D1364" s="14" t="str">
        <f>equip.xml!D1368</f>
        <v>护腿</v>
      </c>
      <c r="E1364" s="14">
        <f>equip.xml!E1368</f>
        <v>7</v>
      </c>
      <c r="F1364" s="14">
        <f>equip.xml!F1368</f>
        <v>3</v>
      </c>
      <c r="G1364" s="14">
        <f>equip.xml!G1368</f>
        <v>95</v>
      </c>
      <c r="H1364" s="14">
        <f>equip.xml!H1368</f>
        <v>0</v>
      </c>
      <c r="I1364" s="14">
        <f>equip.xml!J1368</f>
        <v>20</v>
      </c>
      <c r="J1364" s="14">
        <f>equip.xml!K1368</f>
        <v>0</v>
      </c>
      <c r="K1364" s="14">
        <f>equip.xml!L1368</f>
        <v>50000</v>
      </c>
      <c r="L1364" s="14" t="str">
        <f>equip.xml!M1368</f>
        <v>105_3837_3837</v>
      </c>
      <c r="M1364" s="17" t="str">
        <f>equip.xml!Q1368</f>
        <v>equipment/7001.png</v>
      </c>
      <c r="N1364" s="16" t="str">
        <f>equip.xml!P1368</f>
        <v>10000_1002_70000,30000_30001_1,30000_30002_1,30000_30003_1</v>
      </c>
      <c r="O1364">
        <f>equip.xml!R1368</f>
        <v>0</v>
      </c>
    </row>
    <row r="1365" spans="1:15">
      <c r="A1365" s="14">
        <f>equip.xml!A1369</f>
        <v>30950071</v>
      </c>
      <c r="B1365" s="14">
        <f>equip.xml!B1369</f>
        <v>0</v>
      </c>
      <c r="C1365" s="14" t="str">
        <f>equip.xml!C1369</f>
        <v>不朽护腿</v>
      </c>
      <c r="D1365" s="14" t="str">
        <f>equip.xml!D1369</f>
        <v>护腿</v>
      </c>
      <c r="E1365" s="14">
        <f>equip.xml!E1369</f>
        <v>7</v>
      </c>
      <c r="F1365" s="14">
        <f>equip.xml!F1369</f>
        <v>3</v>
      </c>
      <c r="G1365" s="14">
        <f>equip.xml!G1369</f>
        <v>95</v>
      </c>
      <c r="H1365" s="14">
        <f>equip.xml!H1369</f>
        <v>0</v>
      </c>
      <c r="I1365" s="14">
        <f>equip.xml!J1369</f>
        <v>20</v>
      </c>
      <c r="J1365" s="14">
        <f>equip.xml!K1369</f>
        <v>0</v>
      </c>
      <c r="K1365" s="14">
        <f>equip.xml!L1369</f>
        <v>52500</v>
      </c>
      <c r="L1365" s="14" t="str">
        <f>equip.xml!M1369</f>
        <v>105_4002_4002</v>
      </c>
      <c r="M1365" s="17" t="str">
        <f>equip.xml!Q1369</f>
        <v>equipment/7001.png</v>
      </c>
      <c r="N1365" s="16" t="str">
        <f>equip.xml!P1369</f>
        <v>10000_1002_70000,30000_30001_1,30000_30002_1,30000_30003_1</v>
      </c>
      <c r="O1365">
        <f>equip.xml!R1369</f>
        <v>0</v>
      </c>
    </row>
    <row r="1366" spans="1:15">
      <c r="A1366" s="14">
        <f>equip.xml!A1370</f>
        <v>31000010</v>
      </c>
      <c r="B1366" s="14">
        <f>equip.xml!B1370</f>
        <v>0</v>
      </c>
      <c r="C1366" s="14" t="str">
        <f>equip.xml!C1370</f>
        <v>天灾统领</v>
      </c>
      <c r="D1366" s="14" t="str">
        <f>equip.xml!D1370</f>
        <v>头盔</v>
      </c>
      <c r="E1366" s="14">
        <f>equip.xml!E1370</f>
        <v>1</v>
      </c>
      <c r="F1366" s="14">
        <f>equip.xml!F1370</f>
        <v>3</v>
      </c>
      <c r="G1366" s="14">
        <f>equip.xml!G1370</f>
        <v>100</v>
      </c>
      <c r="H1366" s="14">
        <f>equip.xml!H1370</f>
        <v>0</v>
      </c>
      <c r="I1366" s="14">
        <f>equip.xml!J1370</f>
        <v>20</v>
      </c>
      <c r="J1366" s="14">
        <f>equip.xml!K1370</f>
        <v>0</v>
      </c>
      <c r="K1366" s="14">
        <f>equip.xml!L1370</f>
        <v>52500</v>
      </c>
      <c r="L1366" s="14" t="str">
        <f>equip.xml!M1370</f>
        <v>106_6460_6460</v>
      </c>
      <c r="M1366" s="17" t="str">
        <f>equip.xml!Q1370</f>
        <v>equipment/3001.png</v>
      </c>
      <c r="N1366" s="16" t="str">
        <f>equip.xml!P1370</f>
        <v>10000_1002_70000,30000_30001_1,30000_30002_1,30000_30003_1</v>
      </c>
      <c r="O1366">
        <f>equip.xml!R1370</f>
        <v>0</v>
      </c>
    </row>
    <row r="1367" spans="1:15">
      <c r="A1367" s="14">
        <f>equip.xml!A1371</f>
        <v>31000020</v>
      </c>
      <c r="B1367" s="14">
        <f>equip.xml!B1371</f>
        <v>0</v>
      </c>
      <c r="C1367" s="14" t="str">
        <f>equip.xml!C1371</f>
        <v>镇魂挽歌</v>
      </c>
      <c r="D1367" s="14" t="str">
        <f>equip.xml!D1371</f>
        <v>戒指</v>
      </c>
      <c r="E1367" s="14">
        <f>equip.xml!E1371</f>
        <v>2</v>
      </c>
      <c r="F1367" s="14">
        <f>equip.xml!F1371</f>
        <v>3</v>
      </c>
      <c r="G1367" s="14">
        <f>equip.xml!G1371</f>
        <v>100</v>
      </c>
      <c r="H1367" s="14">
        <f>equip.xml!H1371</f>
        <v>0</v>
      </c>
      <c r="I1367" s="14">
        <f>equip.xml!J1371</f>
        <v>20</v>
      </c>
      <c r="J1367" s="14">
        <f>equip.xml!K1371</f>
        <v>0</v>
      </c>
      <c r="K1367" s="14">
        <f>equip.xml!L1371</f>
        <v>52500</v>
      </c>
      <c r="L1367" s="14" t="str">
        <f>equip.xml!M1371</f>
        <v>102_2360_2360</v>
      </c>
      <c r="M1367" s="17" t="str">
        <f>equip.xml!Q1371</f>
        <v>equipment/14001.png</v>
      </c>
      <c r="N1367" s="16" t="str">
        <f>equip.xml!P1371</f>
        <v>10000_1002_70000,30000_30001_1,30000_30002_1,30000_30003_1</v>
      </c>
      <c r="O1367">
        <f>equip.xml!R1371</f>
        <v>0</v>
      </c>
    </row>
    <row r="1368" spans="1:15">
      <c r="A1368" s="14">
        <f>equip.xml!A1372</f>
        <v>31000030</v>
      </c>
      <c r="B1368" s="14">
        <f>equip.xml!B1372</f>
        <v>0</v>
      </c>
      <c r="C1368" s="14" t="str">
        <f>equip.xml!C1372</f>
        <v>雷霆护腰</v>
      </c>
      <c r="D1368" s="14" t="str">
        <f>equip.xml!D1372</f>
        <v>腰带</v>
      </c>
      <c r="E1368" s="14">
        <f>equip.xml!E1372</f>
        <v>3</v>
      </c>
      <c r="F1368" s="14">
        <f>equip.xml!F1372</f>
        <v>3</v>
      </c>
      <c r="G1368" s="14">
        <f>equip.xml!G1372</f>
        <v>100</v>
      </c>
      <c r="H1368" s="14">
        <f>equip.xml!H1372</f>
        <v>0</v>
      </c>
      <c r="I1368" s="14">
        <f>equip.xml!J1372</f>
        <v>20</v>
      </c>
      <c r="J1368" s="14">
        <f>equip.xml!K1372</f>
        <v>0</v>
      </c>
      <c r="K1368" s="14">
        <f>equip.xml!L1372</f>
        <v>52500</v>
      </c>
      <c r="L1368" s="14" t="str">
        <f>equip.xml!M1372</f>
        <v>101_36120_36120</v>
      </c>
      <c r="M1368" s="17" t="str">
        <f>equip.xml!Q1372</f>
        <v>equipment/6001.png</v>
      </c>
      <c r="N1368" s="16" t="str">
        <f>equip.xml!P1372</f>
        <v>10000_1002_70000,30000_30001_1,30000_30002_1,30000_30003_1</v>
      </c>
      <c r="O1368">
        <f>equip.xml!R1372</f>
        <v>0</v>
      </c>
    </row>
    <row r="1369" spans="1:15">
      <c r="A1369" s="14">
        <f>equip.xml!A1373</f>
        <v>31000080</v>
      </c>
      <c r="B1369" s="14">
        <f>equip.xml!B1373</f>
        <v>0</v>
      </c>
      <c r="C1369" s="14" t="str">
        <f>equip.xml!C1373</f>
        <v>星旅之靴</v>
      </c>
      <c r="D1369" s="14" t="str">
        <f>equip.xml!D1373</f>
        <v>鞋子</v>
      </c>
      <c r="E1369" s="14">
        <f>equip.xml!E1373</f>
        <v>8</v>
      </c>
      <c r="F1369" s="14">
        <f>equip.xml!F1373</f>
        <v>3</v>
      </c>
      <c r="G1369" s="14">
        <f>equip.xml!G1373</f>
        <v>100</v>
      </c>
      <c r="H1369" s="14">
        <f>equip.xml!H1373</f>
        <v>0</v>
      </c>
      <c r="I1369" s="14">
        <f>equip.xml!J1373</f>
        <v>20</v>
      </c>
      <c r="J1369" s="14">
        <f>equip.xml!K1373</f>
        <v>0</v>
      </c>
      <c r="K1369" s="14">
        <f>equip.xml!L1373</f>
        <v>52500</v>
      </c>
      <c r="L1369" s="14" t="str">
        <f>equip.xml!M1373</f>
        <v>110_871_871</v>
      </c>
      <c r="M1369" s="17" t="str">
        <f>equip.xml!Q1373</f>
        <v>equipment/8001.png</v>
      </c>
      <c r="N1369" s="16" t="str">
        <f>equip.xml!P1373</f>
        <v>10000_1002_70000,30000_30001_1,30000_30002_1,30000_30003_1</v>
      </c>
      <c r="O1369">
        <f>equip.xml!R1373</f>
        <v>0</v>
      </c>
    </row>
    <row r="1370" spans="1:15">
      <c r="A1370" s="14">
        <f>equip.xml!A1374</f>
        <v>31000090</v>
      </c>
      <c r="B1370" s="14">
        <f>equip.xml!B1374</f>
        <v>0</v>
      </c>
      <c r="C1370" s="14" t="str">
        <f>equip.xml!C1374</f>
        <v>泰坦之拳</v>
      </c>
      <c r="D1370" s="14" t="str">
        <f>equip.xml!D1374</f>
        <v>手套</v>
      </c>
      <c r="E1370" s="14">
        <f>equip.xml!E1374</f>
        <v>9</v>
      </c>
      <c r="F1370" s="14">
        <f>equip.xml!F1374</f>
        <v>3</v>
      </c>
      <c r="G1370" s="14">
        <f>equip.xml!G1374</f>
        <v>100</v>
      </c>
      <c r="H1370" s="14">
        <f>equip.xml!H1374</f>
        <v>0</v>
      </c>
      <c r="I1370" s="14">
        <f>equip.xml!J1374</f>
        <v>20</v>
      </c>
      <c r="J1370" s="14">
        <f>equip.xml!K1374</f>
        <v>0</v>
      </c>
      <c r="K1370" s="14">
        <f>equip.xml!L1374</f>
        <v>52500</v>
      </c>
      <c r="L1370" s="14" t="str">
        <f>equip.xml!M1374</f>
        <v>108_7588_7588</v>
      </c>
      <c r="M1370" s="17" t="str">
        <f>equip.xml!Q1374</f>
        <v>equipment/10001.png</v>
      </c>
      <c r="N1370" s="16" t="str">
        <f>equip.xml!P1374</f>
        <v>10000_1002_70000,30000_30001_1,30000_30002_1,30000_30003_1</v>
      </c>
      <c r="O1370">
        <f>equip.xml!R1374</f>
        <v>0</v>
      </c>
    </row>
    <row r="1371" spans="1:15">
      <c r="A1371" s="14">
        <f>equip.xml!A1375</f>
        <v>31000100</v>
      </c>
      <c r="B1371" s="14">
        <f>equip.xml!B1375</f>
        <v>0</v>
      </c>
      <c r="C1371" s="14" t="str">
        <f>equip.xml!C1375</f>
        <v>永志不渝</v>
      </c>
      <c r="D1371" s="14" t="str">
        <f>equip.xml!D1375</f>
        <v>项链</v>
      </c>
      <c r="E1371" s="14">
        <f>equip.xml!E1375</f>
        <v>10</v>
      </c>
      <c r="F1371" s="14">
        <f>equip.xml!F1375</f>
        <v>3</v>
      </c>
      <c r="G1371" s="14">
        <f>equip.xml!G1375</f>
        <v>100</v>
      </c>
      <c r="H1371" s="14">
        <f>equip.xml!H1375</f>
        <v>0</v>
      </c>
      <c r="I1371" s="14">
        <f>equip.xml!J1375</f>
        <v>20</v>
      </c>
      <c r="J1371" s="14">
        <f>equip.xml!K1375</f>
        <v>0</v>
      </c>
      <c r="K1371" s="14">
        <f>equip.xml!L1375</f>
        <v>52500</v>
      </c>
      <c r="L1371" s="14" t="str">
        <f>equip.xml!M1375</f>
        <v>107_6460_6460</v>
      </c>
      <c r="M1371" s="17" t="str">
        <f>equip.xml!Q1375</f>
        <v>equipment/12001.png</v>
      </c>
      <c r="N1371" s="16" t="str">
        <f>equip.xml!P1375</f>
        <v>10000_1002_70000,30000_30001_1,30000_30002_1,30000_30003_1</v>
      </c>
      <c r="O1371">
        <f>equip.xml!R1375</f>
        <v>0</v>
      </c>
    </row>
    <row r="1372" spans="1:15">
      <c r="A1372" s="14">
        <f>equip.xml!A1376</f>
        <v>31001050</v>
      </c>
      <c r="B1372" s="14">
        <f>equip.xml!B1376</f>
        <v>0</v>
      </c>
      <c r="C1372" s="14" t="str">
        <f>equip.xml!C1376</f>
        <v>毁天灭地</v>
      </c>
      <c r="D1372" s="14" t="str">
        <f>equip.xml!D1376</f>
        <v>主手武器</v>
      </c>
      <c r="E1372" s="14">
        <f>equip.xml!E1376</f>
        <v>5</v>
      </c>
      <c r="F1372" s="14">
        <f>equip.xml!F1376</f>
        <v>3</v>
      </c>
      <c r="G1372" s="14">
        <f>equip.xml!G1376</f>
        <v>100</v>
      </c>
      <c r="H1372" s="14" t="str">
        <f>equip.xml!H1376</f>
        <v>1,1001</v>
      </c>
      <c r="I1372" s="14">
        <f>equip.xml!J1376</f>
        <v>20</v>
      </c>
      <c r="J1372" s="14">
        <f>equip.xml!K1376</f>
        <v>0</v>
      </c>
      <c r="K1372" s="14">
        <f>equip.xml!L1376</f>
        <v>52500</v>
      </c>
      <c r="L1372" s="14" t="str">
        <f>equip.xml!M1376</f>
        <v>103_6744_6744,104_13489_13489</v>
      </c>
      <c r="M1372" s="17" t="str">
        <f>equip.xml!Q1376</f>
        <v>equipment/1124.png</v>
      </c>
      <c r="N1372" s="16" t="str">
        <f>equip.xml!P1376</f>
        <v>10000_1002_70000,30000_30001_1,30000_30002_1,30000_30003_1</v>
      </c>
      <c r="O1372">
        <f>equip.xml!R1376</f>
        <v>0</v>
      </c>
    </row>
    <row r="1373" spans="1:15">
      <c r="A1373" s="14">
        <f>equip.xml!A1377</f>
        <v>31001051</v>
      </c>
      <c r="B1373" s="14">
        <f>equip.xml!B1377</f>
        <v>0</v>
      </c>
      <c r="C1373" s="14" t="str">
        <f>equip.xml!C1377</f>
        <v>灰烬使者</v>
      </c>
      <c r="D1373" s="14" t="str">
        <f>equip.xml!D1377</f>
        <v>主手武器</v>
      </c>
      <c r="E1373" s="14">
        <f>equip.xml!E1377</f>
        <v>5</v>
      </c>
      <c r="F1373" s="14">
        <f>equip.xml!F1377</f>
        <v>3</v>
      </c>
      <c r="G1373" s="14">
        <f>equip.xml!G1377</f>
        <v>100</v>
      </c>
      <c r="H1373" s="14" t="str">
        <f>equip.xml!H1377</f>
        <v>1,1001</v>
      </c>
      <c r="I1373" s="14">
        <f>equip.xml!J1377</f>
        <v>20</v>
      </c>
      <c r="J1373" s="14">
        <f>equip.xml!K1377</f>
        <v>0</v>
      </c>
      <c r="K1373" s="14">
        <f>equip.xml!L1377</f>
        <v>55000</v>
      </c>
      <c r="L1373" s="14" t="str">
        <f>equip.xml!M1377</f>
        <v>103_0_0</v>
      </c>
      <c r="M1373" s="17" t="str">
        <f>equip.xml!Q1377</f>
        <v>equipment/1101.png</v>
      </c>
      <c r="N1373" s="16" t="str">
        <f>equip.xml!P1377</f>
        <v>10000_1002_70000,30000_30001_1,30000_30002_1,30000_30003_1</v>
      </c>
      <c r="O1373">
        <f>equip.xml!R1377</f>
        <v>0</v>
      </c>
    </row>
    <row r="1374" spans="1:15">
      <c r="A1374" s="14">
        <f>equip.xml!A1378</f>
        <v>31001060</v>
      </c>
      <c r="B1374" s="14">
        <f>equip.xml!B1378</f>
        <v>0</v>
      </c>
      <c r="C1374" s="14" t="str">
        <f>equip.xml!C1378</f>
        <v>叹息之墙</v>
      </c>
      <c r="D1374" s="14" t="str">
        <f>equip.xml!D1378</f>
        <v>副手武器</v>
      </c>
      <c r="E1374" s="14">
        <f>equip.xml!E1378</f>
        <v>6</v>
      </c>
      <c r="F1374" s="14">
        <f>equip.xml!F1378</f>
        <v>3</v>
      </c>
      <c r="G1374" s="14">
        <f>equip.xml!G1378</f>
        <v>100</v>
      </c>
      <c r="H1374" s="14" t="str">
        <f>equip.xml!H1378</f>
        <v>1,1001</v>
      </c>
      <c r="I1374" s="14">
        <f>equip.xml!J1378</f>
        <v>20</v>
      </c>
      <c r="J1374" s="14">
        <f>equip.xml!K1378</f>
        <v>0</v>
      </c>
      <c r="K1374" s="14">
        <f>equip.xml!L1378</f>
        <v>52500</v>
      </c>
      <c r="L1374" s="14" t="str">
        <f>equip.xml!M1378</f>
        <v>105_6070_6070</v>
      </c>
      <c r="M1374" s="17" t="str">
        <f>equip.xml!Q1378</f>
        <v>equipment/2118.png</v>
      </c>
      <c r="N1374" s="16" t="str">
        <f>equip.xml!P1378</f>
        <v>10000_1002_70000,30000_30001_1,30000_30002_1,30000_30003_1</v>
      </c>
      <c r="O1374">
        <f>equip.xml!R1378</f>
        <v>0</v>
      </c>
    </row>
    <row r="1375" spans="1:15">
      <c r="A1375" s="14">
        <f>equip.xml!A1379</f>
        <v>31001061</v>
      </c>
      <c r="B1375" s="14">
        <f>equip.xml!B1379</f>
        <v>0</v>
      </c>
      <c r="C1375" s="14" t="str">
        <f>equip.xml!C1379</f>
        <v>叹息之墙</v>
      </c>
      <c r="D1375" s="14" t="str">
        <f>equip.xml!D1379</f>
        <v>副手武器</v>
      </c>
      <c r="E1375" s="14">
        <f>equip.xml!E1379</f>
        <v>6</v>
      </c>
      <c r="F1375" s="14">
        <f>equip.xml!F1379</f>
        <v>3</v>
      </c>
      <c r="G1375" s="14">
        <f>equip.xml!G1379</f>
        <v>100</v>
      </c>
      <c r="H1375" s="14" t="str">
        <f>equip.xml!H1379</f>
        <v>1,1001</v>
      </c>
      <c r="I1375" s="14">
        <f>equip.xml!J1379</f>
        <v>20</v>
      </c>
      <c r="J1375" s="14">
        <f>equip.xml!K1379</f>
        <v>0</v>
      </c>
      <c r="K1375" s="14">
        <f>equip.xml!L1379</f>
        <v>55000</v>
      </c>
      <c r="L1375" s="14" t="str">
        <f>equip.xml!M1379</f>
        <v>105_0_0</v>
      </c>
      <c r="M1375" s="17" t="str">
        <f>equip.xml!Q1379</f>
        <v>equipment/2101.png</v>
      </c>
      <c r="N1375" s="16" t="str">
        <f>equip.xml!P1379</f>
        <v>10000_1002_70000,30000_30001_1,30000_30002_1,30000_30003_1</v>
      </c>
      <c r="O1375">
        <f>equip.xml!R1379</f>
        <v>0</v>
      </c>
    </row>
    <row r="1376" spans="1:15">
      <c r="A1376" s="14">
        <f>equip.xml!A1380</f>
        <v>31002050</v>
      </c>
      <c r="B1376" s="14">
        <f>equip.xml!B1380</f>
        <v>0</v>
      </c>
      <c r="C1376" s="14" t="str">
        <f>equip.xml!C1380</f>
        <v>苍穹怒火</v>
      </c>
      <c r="D1376" s="14" t="str">
        <f>equip.xml!D1380</f>
        <v>主手武器</v>
      </c>
      <c r="E1376" s="14">
        <f>equip.xml!E1380</f>
        <v>5</v>
      </c>
      <c r="F1376" s="14">
        <f>equip.xml!F1380</f>
        <v>3</v>
      </c>
      <c r="G1376" s="14">
        <f>equip.xml!G1380</f>
        <v>100</v>
      </c>
      <c r="H1376" s="14" t="str">
        <f>equip.xml!H1380</f>
        <v>2,1002</v>
      </c>
      <c r="I1376" s="14">
        <f>equip.xml!J1380</f>
        <v>20</v>
      </c>
      <c r="J1376" s="14">
        <f>equip.xml!K1380</f>
        <v>0</v>
      </c>
      <c r="K1376" s="14">
        <f>equip.xml!L1380</f>
        <v>52500</v>
      </c>
      <c r="L1376" s="14" t="str">
        <f>equip.xml!M1380</f>
        <v>103_6744_6744,104_13489_13489</v>
      </c>
      <c r="M1376" s="17" t="str">
        <f>equip.xml!Q1380</f>
        <v>equipment/1222.png</v>
      </c>
      <c r="N1376" s="16" t="str">
        <f>equip.xml!P1380</f>
        <v>10000_1002_70000,30000_30001_1,30000_30002_1,30000_30003_1</v>
      </c>
      <c r="O1376">
        <f>equip.xml!R1380</f>
        <v>0</v>
      </c>
    </row>
    <row r="1377" spans="1:15">
      <c r="A1377" s="14">
        <f>equip.xml!A1381</f>
        <v>31002051</v>
      </c>
      <c r="B1377" s="14">
        <f>equip.xml!B1381</f>
        <v>0</v>
      </c>
      <c r="C1377" s="14" t="str">
        <f>equip.xml!C1381</f>
        <v>群星之怒</v>
      </c>
      <c r="D1377" s="14" t="str">
        <f>equip.xml!D1381</f>
        <v>主手武器</v>
      </c>
      <c r="E1377" s="14">
        <f>equip.xml!E1381</f>
        <v>5</v>
      </c>
      <c r="F1377" s="14">
        <f>equip.xml!F1381</f>
        <v>3</v>
      </c>
      <c r="G1377" s="14">
        <f>equip.xml!G1381</f>
        <v>100</v>
      </c>
      <c r="H1377" s="14" t="str">
        <f>equip.xml!H1381</f>
        <v>2,1002</v>
      </c>
      <c r="I1377" s="14">
        <f>equip.xml!J1381</f>
        <v>20</v>
      </c>
      <c r="J1377" s="14">
        <f>equip.xml!K1381</f>
        <v>0</v>
      </c>
      <c r="K1377" s="14">
        <f>equip.xml!L1381</f>
        <v>55000</v>
      </c>
      <c r="L1377" s="14" t="str">
        <f>equip.xml!M1381</f>
        <v>103_0_0</v>
      </c>
      <c r="M1377" s="17" t="str">
        <f>equip.xml!Q1381</f>
        <v>equipment/1201.png</v>
      </c>
      <c r="N1377" s="16" t="str">
        <f>equip.xml!P1381</f>
        <v>10000_1002_70000,30000_30001_1,30000_30002_1,30000_30003_1</v>
      </c>
      <c r="O1377">
        <f>equip.xml!R1381</f>
        <v>0</v>
      </c>
    </row>
    <row r="1378" spans="1:15">
      <c r="A1378" s="14">
        <f>equip.xml!A1382</f>
        <v>31002060</v>
      </c>
      <c r="B1378" s="14">
        <f>equip.xml!B1382</f>
        <v>0</v>
      </c>
      <c r="C1378" s="14" t="str">
        <f>equip.xml!C1382</f>
        <v>天际之矢</v>
      </c>
      <c r="D1378" s="14" t="str">
        <f>equip.xml!D1382</f>
        <v>副手武器</v>
      </c>
      <c r="E1378" s="14">
        <f>equip.xml!E1382</f>
        <v>6</v>
      </c>
      <c r="F1378" s="14">
        <f>equip.xml!F1382</f>
        <v>3</v>
      </c>
      <c r="G1378" s="14">
        <f>equip.xml!G1382</f>
        <v>100</v>
      </c>
      <c r="H1378" s="14" t="str">
        <f>equip.xml!H1382</f>
        <v>2,1002</v>
      </c>
      <c r="I1378" s="14">
        <f>equip.xml!J1382</f>
        <v>20</v>
      </c>
      <c r="J1378" s="14">
        <f>equip.xml!K1382</f>
        <v>0</v>
      </c>
      <c r="K1378" s="14">
        <f>equip.xml!L1382</f>
        <v>52500</v>
      </c>
      <c r="L1378" s="14" t="str">
        <f>equip.xml!M1382</f>
        <v>108_6070_6070</v>
      </c>
      <c r="M1378" s="17" t="str">
        <f>equip.xml!Q1382</f>
        <v>equipment/2218.png</v>
      </c>
      <c r="N1378" s="16" t="str">
        <f>equip.xml!P1382</f>
        <v>10000_1002_70000,30000_30001_1,30000_30002_1,30000_30003_1</v>
      </c>
      <c r="O1378">
        <f>equip.xml!R1382</f>
        <v>0</v>
      </c>
    </row>
    <row r="1379" spans="1:15">
      <c r="A1379" s="14">
        <f>equip.xml!A1383</f>
        <v>31002061</v>
      </c>
      <c r="B1379" s="14">
        <f>equip.xml!B1383</f>
        <v>0</v>
      </c>
      <c r="C1379" s="14" t="str">
        <f>equip.xml!C1383</f>
        <v>天际之矢</v>
      </c>
      <c r="D1379" s="14" t="str">
        <f>equip.xml!D1383</f>
        <v>副手武器</v>
      </c>
      <c r="E1379" s="14">
        <f>equip.xml!E1383</f>
        <v>6</v>
      </c>
      <c r="F1379" s="14">
        <f>equip.xml!F1383</f>
        <v>3</v>
      </c>
      <c r="G1379" s="14">
        <f>equip.xml!G1383</f>
        <v>100</v>
      </c>
      <c r="H1379" s="14" t="str">
        <f>equip.xml!H1383</f>
        <v>2,1002</v>
      </c>
      <c r="I1379" s="14">
        <f>equip.xml!J1383</f>
        <v>20</v>
      </c>
      <c r="J1379" s="14">
        <f>equip.xml!K1383</f>
        <v>0</v>
      </c>
      <c r="K1379" s="14">
        <f>equip.xml!L1383</f>
        <v>55000</v>
      </c>
      <c r="L1379" s="14" t="str">
        <f>equip.xml!M1383</f>
        <v>108_0_0</v>
      </c>
      <c r="M1379" s="17" t="str">
        <f>equip.xml!Q1383</f>
        <v>equipment/2201.png</v>
      </c>
      <c r="N1379" s="16" t="str">
        <f>equip.xml!P1383</f>
        <v>10000_1002_70000,30000_30001_1,30000_30002_1,30000_30003_1</v>
      </c>
      <c r="O1379">
        <f>equip.xml!R1383</f>
        <v>0</v>
      </c>
    </row>
    <row r="1380" spans="1:15">
      <c r="A1380" s="14">
        <f>equip.xml!A1384</f>
        <v>31003050</v>
      </c>
      <c r="B1380" s="14">
        <f>equip.xml!B1384</f>
        <v>0</v>
      </c>
      <c r="C1380" s="14" t="str">
        <f>equip.xml!C1384</f>
        <v>混沌终幕</v>
      </c>
      <c r="D1380" s="14" t="str">
        <f>equip.xml!D1384</f>
        <v>主手武器</v>
      </c>
      <c r="E1380" s="14">
        <f>equip.xml!E1384</f>
        <v>5</v>
      </c>
      <c r="F1380" s="14">
        <f>equip.xml!F1384</f>
        <v>3</v>
      </c>
      <c r="G1380" s="14">
        <f>equip.xml!G1384</f>
        <v>100</v>
      </c>
      <c r="H1380" s="14" t="str">
        <f>equip.xml!H1384</f>
        <v>3,1003</v>
      </c>
      <c r="I1380" s="14">
        <f>equip.xml!J1384</f>
        <v>20</v>
      </c>
      <c r="J1380" s="14">
        <f>equip.xml!K1384</f>
        <v>0</v>
      </c>
      <c r="K1380" s="14">
        <f>equip.xml!L1384</f>
        <v>52500</v>
      </c>
      <c r="L1380" s="14" t="str">
        <f>equip.xml!M1384</f>
        <v>103_6744_6744,104_13489_13489</v>
      </c>
      <c r="M1380" s="17" t="str">
        <f>equip.xml!Q1384</f>
        <v>equipment/1324.png</v>
      </c>
      <c r="N1380" s="16" t="str">
        <f>equip.xml!P1384</f>
        <v>10000_1002_70000,30000_30001_1,30000_30002_1,30000_30003_1</v>
      </c>
      <c r="O1380">
        <f>equip.xml!R1384</f>
        <v>0</v>
      </c>
    </row>
    <row r="1381" spans="1:15">
      <c r="A1381" s="14">
        <f>equip.xml!A1385</f>
        <v>31003051</v>
      </c>
      <c r="B1381" s="14">
        <f>equip.xml!B1385</f>
        <v>0</v>
      </c>
      <c r="C1381" s="14" t="str">
        <f>equip.xml!C1385</f>
        <v>埃提耶什，守护者的传说之杖</v>
      </c>
      <c r="D1381" s="14" t="str">
        <f>equip.xml!D1385</f>
        <v>主手武器</v>
      </c>
      <c r="E1381" s="14">
        <f>equip.xml!E1385</f>
        <v>5</v>
      </c>
      <c r="F1381" s="14">
        <f>equip.xml!F1385</f>
        <v>3</v>
      </c>
      <c r="G1381" s="14">
        <f>equip.xml!G1385</f>
        <v>100</v>
      </c>
      <c r="H1381" s="14" t="str">
        <f>equip.xml!H1385</f>
        <v>3,1003</v>
      </c>
      <c r="I1381" s="14">
        <f>equip.xml!J1385</f>
        <v>20</v>
      </c>
      <c r="J1381" s="14">
        <f>equip.xml!K1385</f>
        <v>0</v>
      </c>
      <c r="K1381" s="14">
        <f>equip.xml!L1385</f>
        <v>55000</v>
      </c>
      <c r="L1381" s="14" t="str">
        <f>equip.xml!M1385</f>
        <v>103_0_0</v>
      </c>
      <c r="M1381" s="17" t="str">
        <f>equip.xml!Q1385</f>
        <v>equipment/1301.png</v>
      </c>
      <c r="N1381" s="16" t="str">
        <f>equip.xml!P1385</f>
        <v>10000_1002_70000,30000_30001_1,30000_30002_1,30000_30003_1</v>
      </c>
      <c r="O1381">
        <f>equip.xml!R1385</f>
        <v>0</v>
      </c>
    </row>
    <row r="1382" spans="1:15">
      <c r="A1382" s="14">
        <f>equip.xml!A1386</f>
        <v>31003060</v>
      </c>
      <c r="B1382" s="14">
        <f>equip.xml!B1386</f>
        <v>0</v>
      </c>
      <c r="C1382" s="14" t="str">
        <f>equip.xml!C1386</f>
        <v>决战之书</v>
      </c>
      <c r="D1382" s="14" t="str">
        <f>equip.xml!D1386</f>
        <v>副手武器</v>
      </c>
      <c r="E1382" s="14">
        <f>equip.xml!E1386</f>
        <v>6</v>
      </c>
      <c r="F1382" s="14">
        <f>equip.xml!F1386</f>
        <v>3</v>
      </c>
      <c r="G1382" s="14">
        <f>equip.xml!G1386</f>
        <v>100</v>
      </c>
      <c r="H1382" s="14" t="str">
        <f>equip.xml!H1386</f>
        <v>3,1003</v>
      </c>
      <c r="I1382" s="14">
        <f>equip.xml!J1386</f>
        <v>20</v>
      </c>
      <c r="J1382" s="14">
        <f>equip.xml!K1386</f>
        <v>0</v>
      </c>
      <c r="K1382" s="14">
        <f>equip.xml!L1386</f>
        <v>52500</v>
      </c>
      <c r="L1382" s="14" t="str">
        <f>equip.xml!M1386</f>
        <v>102_4560_4560</v>
      </c>
      <c r="M1382" s="17" t="str">
        <f>equip.xml!Q1386</f>
        <v>equipment/2318.png</v>
      </c>
      <c r="N1382" s="16" t="str">
        <f>equip.xml!P1386</f>
        <v>10000_1002_70000,30000_30001_1,30000_30002_1,30000_30003_1</v>
      </c>
      <c r="O1382">
        <f>equip.xml!R1386</f>
        <v>0</v>
      </c>
    </row>
    <row r="1383" spans="1:15">
      <c r="A1383" s="14">
        <f>equip.xml!A1387</f>
        <v>31003061</v>
      </c>
      <c r="B1383" s="14">
        <f>equip.xml!B1387</f>
        <v>0</v>
      </c>
      <c r="C1383" s="14" t="str">
        <f>equip.xml!C1387</f>
        <v>诸界流声</v>
      </c>
      <c r="D1383" s="14" t="str">
        <f>equip.xml!D1387</f>
        <v>副手武器</v>
      </c>
      <c r="E1383" s="14">
        <f>equip.xml!E1387</f>
        <v>6</v>
      </c>
      <c r="F1383" s="14">
        <f>equip.xml!F1387</f>
        <v>3</v>
      </c>
      <c r="G1383" s="14">
        <f>equip.xml!G1387</f>
        <v>100</v>
      </c>
      <c r="H1383" s="14" t="str">
        <f>equip.xml!H1387</f>
        <v>3,1003</v>
      </c>
      <c r="I1383" s="14">
        <f>equip.xml!J1387</f>
        <v>20</v>
      </c>
      <c r="J1383" s="14">
        <f>equip.xml!K1387</f>
        <v>0</v>
      </c>
      <c r="K1383" s="14">
        <f>equip.xml!L1387</f>
        <v>55000</v>
      </c>
      <c r="L1383" s="14" t="str">
        <f>equip.xml!M1387</f>
        <v>102_0_0</v>
      </c>
      <c r="M1383" s="17" t="str">
        <f>equip.xml!Q1387</f>
        <v>equipment/2301.png</v>
      </c>
      <c r="N1383" s="16" t="str">
        <f>equip.xml!P1387</f>
        <v>10000_1002_70000,30000_30001_1,30000_30002_1,30000_30003_1</v>
      </c>
      <c r="O1383">
        <f>equip.xml!R1387</f>
        <v>0</v>
      </c>
    </row>
    <row r="1384" spans="1:15">
      <c r="A1384" s="14">
        <f>equip.xml!A1388</f>
        <v>31000040</v>
      </c>
      <c r="B1384" s="14">
        <f>equip.xml!B1388</f>
        <v>0</v>
      </c>
      <c r="C1384" s="14" t="str">
        <f>equip.xml!C1388</f>
        <v>光明圣铠</v>
      </c>
      <c r="D1384" s="14" t="str">
        <f>equip.xml!D1388</f>
        <v>胸甲</v>
      </c>
      <c r="E1384" s="14">
        <f>equip.xml!E1388</f>
        <v>4</v>
      </c>
      <c r="F1384" s="14">
        <f>equip.xml!F1388</f>
        <v>3</v>
      </c>
      <c r="G1384" s="14">
        <f>equip.xml!G1388</f>
        <v>100</v>
      </c>
      <c r="H1384" s="14">
        <f>equip.xml!H1388</f>
        <v>0</v>
      </c>
      <c r="I1384" s="14">
        <f>equip.xml!J1388</f>
        <v>20</v>
      </c>
      <c r="J1384" s="14">
        <f>equip.xml!K1388</f>
        <v>0</v>
      </c>
      <c r="K1384" s="14">
        <f>equip.xml!L1388</f>
        <v>52500</v>
      </c>
      <c r="L1384" s="14" t="str">
        <f>equip.xml!M1388</f>
        <v>105_4249_4249</v>
      </c>
      <c r="M1384" s="17" t="str">
        <f>equip.xml!Q1388</f>
        <v>equipment/5001.png</v>
      </c>
      <c r="N1384" s="16" t="str">
        <f>equip.xml!P1388</f>
        <v>10000_1002_70000,30000_30001_1,30000_30002_1,30000_30003_1</v>
      </c>
      <c r="O1384">
        <f>equip.xml!R1388</f>
        <v>0</v>
      </c>
    </row>
    <row r="1385" spans="1:15">
      <c r="A1385" s="14">
        <f>equip.xml!A1389</f>
        <v>31000041</v>
      </c>
      <c r="B1385" s="14">
        <f>equip.xml!B1389</f>
        <v>0</v>
      </c>
      <c r="C1385" s="14" t="str">
        <f>equip.xml!C1389</f>
        <v>碎界之铠</v>
      </c>
      <c r="D1385" s="14" t="str">
        <f>equip.xml!D1389</f>
        <v>胸甲</v>
      </c>
      <c r="E1385" s="14">
        <f>equip.xml!E1389</f>
        <v>4</v>
      </c>
      <c r="F1385" s="14">
        <f>equip.xml!F1389</f>
        <v>3</v>
      </c>
      <c r="G1385" s="14">
        <f>equip.xml!G1389</f>
        <v>100</v>
      </c>
      <c r="H1385" s="14">
        <f>equip.xml!H1389</f>
        <v>0</v>
      </c>
      <c r="I1385" s="14">
        <f>equip.xml!J1389</f>
        <v>20</v>
      </c>
      <c r="J1385" s="14">
        <f>equip.xml!K1389</f>
        <v>0</v>
      </c>
      <c r="K1385" s="14">
        <f>equip.xml!L1389</f>
        <v>55000</v>
      </c>
      <c r="L1385" s="14" t="str">
        <f>equip.xml!M1389</f>
        <v>105_0_0</v>
      </c>
      <c r="M1385" s="17" t="str">
        <f>equip.xml!Q1389</f>
        <v>equipment/5001.png</v>
      </c>
      <c r="N1385" s="16" t="str">
        <f>equip.xml!P1389</f>
        <v>10000_1002_70000,30000_30001_1,30000_30002_1,30000_30003_1</v>
      </c>
      <c r="O1385">
        <f>equip.xml!R1389</f>
        <v>0</v>
      </c>
    </row>
    <row r="1386" spans="1:15">
      <c r="A1386" s="14">
        <f>equip.xml!A1390</f>
        <v>31000070</v>
      </c>
      <c r="B1386" s="14">
        <f>equip.xml!B1390</f>
        <v>0</v>
      </c>
      <c r="C1386" s="14" t="str">
        <f>equip.xml!C1390</f>
        <v>渡魂护腿</v>
      </c>
      <c r="D1386" s="14" t="str">
        <f>equip.xml!D1390</f>
        <v>护腿</v>
      </c>
      <c r="E1386" s="14">
        <f>equip.xml!E1390</f>
        <v>7</v>
      </c>
      <c r="F1386" s="14">
        <f>equip.xml!F1390</f>
        <v>3</v>
      </c>
      <c r="G1386" s="14">
        <f>equip.xml!G1390</f>
        <v>100</v>
      </c>
      <c r="H1386" s="14">
        <f>equip.xml!H1390</f>
        <v>0</v>
      </c>
      <c r="I1386" s="14">
        <f>equip.xml!J1390</f>
        <v>20</v>
      </c>
      <c r="J1386" s="14">
        <f>equip.xml!K1390</f>
        <v>0</v>
      </c>
      <c r="K1386" s="14">
        <f>equip.xml!L1390</f>
        <v>52500</v>
      </c>
      <c r="L1386" s="14" t="str">
        <f>equip.xml!M1390</f>
        <v>105_4249_4249</v>
      </c>
      <c r="M1386" s="17" t="str">
        <f>equip.xml!Q1390</f>
        <v>equipment/7001.png</v>
      </c>
      <c r="N1386" s="16" t="str">
        <f>equip.xml!P1390</f>
        <v>10000_1002_70000,30000_30001_1,30000_30002_1,30000_30003_1</v>
      </c>
      <c r="O1386">
        <f>equip.xml!R1390</f>
        <v>0</v>
      </c>
    </row>
    <row r="1387" spans="1:15">
      <c r="A1387" s="14">
        <f>equip.xml!A1391</f>
        <v>31000071</v>
      </c>
      <c r="B1387" s="14">
        <f>equip.xml!B1391</f>
        <v>0</v>
      </c>
      <c r="C1387" s="14" t="str">
        <f>equip.xml!C1391</f>
        <v>涅磐腿甲</v>
      </c>
      <c r="D1387" s="14" t="str">
        <f>equip.xml!D1391</f>
        <v>护腿</v>
      </c>
      <c r="E1387" s="14">
        <f>equip.xml!E1391</f>
        <v>7</v>
      </c>
      <c r="F1387" s="14">
        <f>equip.xml!F1391</f>
        <v>3</v>
      </c>
      <c r="G1387" s="14">
        <f>equip.xml!G1391</f>
        <v>100</v>
      </c>
      <c r="H1387" s="14">
        <f>equip.xml!H1391</f>
        <v>0</v>
      </c>
      <c r="I1387" s="14">
        <f>equip.xml!J1391</f>
        <v>20</v>
      </c>
      <c r="J1387" s="14">
        <f>equip.xml!K1391</f>
        <v>0</v>
      </c>
      <c r="K1387" s="14">
        <f>equip.xml!L1391</f>
        <v>55000</v>
      </c>
      <c r="L1387" s="14" t="str">
        <f>equip.xml!M1391</f>
        <v>105_0_0</v>
      </c>
      <c r="M1387" s="17" t="str">
        <f>equip.xml!Q1391</f>
        <v>equipment/7001.png</v>
      </c>
      <c r="N1387" s="16" t="str">
        <f>equip.xml!P1391</f>
        <v>10000_1002_70000,30000_30001_1,30000_30002_1,30000_30003_1</v>
      </c>
      <c r="O1387">
        <f>equip.xml!R1391</f>
        <v>0</v>
      </c>
    </row>
    <row r="1388" spans="1:15">
      <c r="A1388" s="14" t="str">
        <f>equip.xml!A1392</f>
        <v>40010010</v>
      </c>
      <c r="B1388" s="14">
        <f>equip.xml!B1392</f>
        <v>0</v>
      </c>
      <c r="C1388" s="14" t="str">
        <f>equip.xml!C1392</f>
        <v>纹饰帽</v>
      </c>
      <c r="D1388" s="14" t="str">
        <f>equip.xml!D1392</f>
        <v>头盔</v>
      </c>
      <c r="E1388" s="14">
        <f>equip.xml!E1392</f>
        <v>1</v>
      </c>
      <c r="F1388" s="14">
        <f>equip.xml!F1392</f>
        <v>4</v>
      </c>
      <c r="G1388" s="14">
        <f>equip.xml!G1392</f>
        <v>1</v>
      </c>
      <c r="H1388" s="14">
        <f>equip.xml!H1392</f>
        <v>0</v>
      </c>
      <c r="I1388" s="14">
        <f>equip.xml!J1392</f>
        <v>50</v>
      </c>
      <c r="J1388" s="14">
        <f>equip.xml!K1392</f>
        <v>500</v>
      </c>
      <c r="K1388" s="14">
        <f>equip.xml!L1392</f>
        <v>0</v>
      </c>
      <c r="L1388" s="14" t="str">
        <f>equip.xml!M1392</f>
        <v>106_0_0</v>
      </c>
      <c r="M1388" s="17" t="str">
        <f>equip.xml!Q1392</f>
        <v>equipment/3001.png</v>
      </c>
      <c r="N1388" s="16" t="str">
        <f>equip.xml!P1392</f>
        <v>10000_1002_1000,30000_30001_1,30000_30002_1,30000_30003_1</v>
      </c>
      <c r="O1388">
        <f>equip.xml!R1392</f>
        <v>0</v>
      </c>
    </row>
    <row r="1389" spans="1:15">
      <c r="A1389" s="14" t="str">
        <f>equip.xml!A1393</f>
        <v>40010020</v>
      </c>
      <c r="B1389" s="14">
        <f>equip.xml!B1393</f>
        <v>0</v>
      </c>
      <c r="C1389" s="14" t="str">
        <f>equip.xml!C1393</f>
        <v>金戒指</v>
      </c>
      <c r="D1389" s="14" t="str">
        <f>equip.xml!D1393</f>
        <v>戒指</v>
      </c>
      <c r="E1389" s="14">
        <f>equip.xml!E1393</f>
        <v>2</v>
      </c>
      <c r="F1389" s="14">
        <f>equip.xml!F1393</f>
        <v>4</v>
      </c>
      <c r="G1389" s="14">
        <f>equip.xml!G1393</f>
        <v>1</v>
      </c>
      <c r="H1389" s="14">
        <f>equip.xml!H1393</f>
        <v>0</v>
      </c>
      <c r="I1389" s="14">
        <f>equip.xml!J1393</f>
        <v>50</v>
      </c>
      <c r="J1389" s="14">
        <f>equip.xml!K1393</f>
        <v>500</v>
      </c>
      <c r="K1389" s="14">
        <f>equip.xml!L1393</f>
        <v>0</v>
      </c>
      <c r="L1389" s="14" t="str">
        <f>equip.xml!M1393</f>
        <v>102_20_20</v>
      </c>
      <c r="M1389" s="17" t="str">
        <f>equip.xml!Q1393</f>
        <v>equipment/14001.png</v>
      </c>
      <c r="N1389" s="16" t="str">
        <f>equip.xml!P1393</f>
        <v>10000_1002_1000,30000_30001_1,30000_30002_1,30000_30003_1</v>
      </c>
      <c r="O1389">
        <f>equip.xml!R1393</f>
        <v>0</v>
      </c>
    </row>
    <row r="1390" spans="1:15">
      <c r="A1390" s="14" t="str">
        <f>equip.xml!A1394</f>
        <v>40010030</v>
      </c>
      <c r="B1390" s="14">
        <f>equip.xml!B1394</f>
        <v>0</v>
      </c>
      <c r="C1390" s="14" t="str">
        <f>equip.xml!C1394</f>
        <v>兽皮腰带</v>
      </c>
      <c r="D1390" s="14" t="str">
        <f>equip.xml!D1394</f>
        <v>腰带</v>
      </c>
      <c r="E1390" s="14">
        <f>equip.xml!E1394</f>
        <v>3</v>
      </c>
      <c r="F1390" s="14">
        <f>equip.xml!F1394</f>
        <v>4</v>
      </c>
      <c r="G1390" s="14">
        <f>equip.xml!G1394</f>
        <v>1</v>
      </c>
      <c r="H1390" s="14">
        <f>equip.xml!H1394</f>
        <v>0</v>
      </c>
      <c r="I1390" s="14">
        <f>equip.xml!J1394</f>
        <v>50</v>
      </c>
      <c r="J1390" s="14">
        <f>equip.xml!K1394</f>
        <v>500</v>
      </c>
      <c r="K1390" s="14">
        <f>equip.xml!L1394</f>
        <v>0</v>
      </c>
      <c r="L1390" s="14" t="str">
        <f>equip.xml!M1394</f>
        <v>101_100_100</v>
      </c>
      <c r="M1390" s="17" t="str">
        <f>equip.xml!Q1394</f>
        <v>equipment/6001.png</v>
      </c>
      <c r="N1390" s="16" t="str">
        <f>equip.xml!P1394</f>
        <v>10000_1002_1000,30000_30001_1,30000_30002_1,30000_30003_1</v>
      </c>
      <c r="O1390">
        <f>equip.xml!R1394</f>
        <v>0</v>
      </c>
    </row>
    <row r="1391" spans="1:15">
      <c r="A1391" s="14" t="str">
        <f>equip.xml!A1395</f>
        <v>40010080</v>
      </c>
      <c r="B1391" s="14">
        <f>equip.xml!B1395</f>
        <v>1</v>
      </c>
      <c r="C1391" s="14" t="str">
        <f>equip.xml!C1395</f>
        <v>皮靴</v>
      </c>
      <c r="D1391" s="14" t="str">
        <f>equip.xml!D1395</f>
        <v>鞋子</v>
      </c>
      <c r="E1391" s="14">
        <f>equip.xml!E1395</f>
        <v>8</v>
      </c>
      <c r="F1391" s="14">
        <f>equip.xml!F1395</f>
        <v>4</v>
      </c>
      <c r="G1391" s="14">
        <f>equip.xml!G1395</f>
        <v>1</v>
      </c>
      <c r="H1391" s="14">
        <f>equip.xml!H1395</f>
        <v>0</v>
      </c>
      <c r="I1391" s="14">
        <f>equip.xml!J1395</f>
        <v>50</v>
      </c>
      <c r="J1391" s="14">
        <f>equip.xml!K1395</f>
        <v>500</v>
      </c>
      <c r="K1391" s="14">
        <f>equip.xml!L1395</f>
        <v>0</v>
      </c>
      <c r="L1391" s="14" t="str">
        <f>equip.xml!M1395</f>
        <v>110_4_4</v>
      </c>
      <c r="M1391" s="17" t="str">
        <f>equip.xml!Q1395</f>
        <v>equipment/8001.png</v>
      </c>
      <c r="N1391" s="16" t="str">
        <f>equip.xml!P1395</f>
        <v>10000_1002_1000,30000_30001_1,30000_30002_1,30000_30003_1</v>
      </c>
      <c r="O1391">
        <f>equip.xml!R1395</f>
        <v>0</v>
      </c>
    </row>
    <row r="1392" spans="1:15">
      <c r="A1392" s="14" t="str">
        <f>equip.xml!A1396</f>
        <v>40010090</v>
      </c>
      <c r="B1392" s="14">
        <f>equip.xml!B1396</f>
        <v>1</v>
      </c>
      <c r="C1392" s="14" t="str">
        <f>equip.xml!C1396</f>
        <v>轻布手套</v>
      </c>
      <c r="D1392" s="14" t="str">
        <f>equip.xml!D1396</f>
        <v>手套</v>
      </c>
      <c r="E1392" s="14">
        <f>equip.xml!E1396</f>
        <v>9</v>
      </c>
      <c r="F1392" s="14">
        <f>equip.xml!F1396</f>
        <v>4</v>
      </c>
      <c r="G1392" s="14">
        <f>equip.xml!G1396</f>
        <v>1</v>
      </c>
      <c r="H1392" s="14">
        <f>equip.xml!H1396</f>
        <v>0</v>
      </c>
      <c r="I1392" s="14">
        <f>equip.xml!J1396</f>
        <v>50</v>
      </c>
      <c r="J1392" s="14">
        <f>equip.xml!K1396</f>
        <v>500</v>
      </c>
      <c r="K1392" s="14">
        <f>equip.xml!L1396</f>
        <v>0</v>
      </c>
      <c r="L1392" s="14" t="str">
        <f>equip.xml!M1396</f>
        <v>108_9_9</v>
      </c>
      <c r="M1392" s="17" t="str">
        <f>equip.xml!Q1396</f>
        <v>equipment/10001.png</v>
      </c>
      <c r="N1392" s="16" t="str">
        <f>equip.xml!P1396</f>
        <v>10000_1002_1000,30000_30001_1,30000_30002_1,30000_30003_1</v>
      </c>
      <c r="O1392">
        <f>equip.xml!R1396</f>
        <v>0</v>
      </c>
    </row>
    <row r="1393" spans="1:15">
      <c r="A1393" s="14" t="str">
        <f>equip.xml!A1397</f>
        <v>40010100</v>
      </c>
      <c r="B1393" s="14">
        <f>equip.xml!B1397</f>
        <v>0</v>
      </c>
      <c r="C1393" s="14" t="str">
        <f>equip.xml!C1397</f>
        <v>贝壳项链</v>
      </c>
      <c r="D1393" s="14" t="str">
        <f>equip.xml!D1397</f>
        <v>项链</v>
      </c>
      <c r="E1393" s="14">
        <f>equip.xml!E1397</f>
        <v>10</v>
      </c>
      <c r="F1393" s="14">
        <f>equip.xml!F1397</f>
        <v>4</v>
      </c>
      <c r="G1393" s="14">
        <f>equip.xml!G1397</f>
        <v>1</v>
      </c>
      <c r="H1393" s="14">
        <f>equip.xml!H1397</f>
        <v>0</v>
      </c>
      <c r="I1393" s="14">
        <f>equip.xml!J1397</f>
        <v>50</v>
      </c>
      <c r="J1393" s="14">
        <f>equip.xml!K1397</f>
        <v>500</v>
      </c>
      <c r="K1393" s="14">
        <f>equip.xml!L1397</f>
        <v>0</v>
      </c>
      <c r="L1393" s="14" t="str">
        <f>equip.xml!M1397</f>
        <v>107_0_0</v>
      </c>
      <c r="M1393" s="17" t="str">
        <f>equip.xml!Q1397</f>
        <v>equipment/12001.png</v>
      </c>
      <c r="N1393" s="16" t="str">
        <f>equip.xml!P1397</f>
        <v>10000_1002_1000,30000_30001_1,30000_30002_1,30000_30003_1</v>
      </c>
      <c r="O1393">
        <f>equip.xml!R1397</f>
        <v>0</v>
      </c>
    </row>
    <row r="1394" spans="1:15">
      <c r="A1394" s="14" t="str">
        <f>equip.xml!A1398</f>
        <v>40011050</v>
      </c>
      <c r="B1394" s="14">
        <f>equip.xml!B1398</f>
        <v>1</v>
      </c>
      <c r="C1394" s="14" t="str">
        <f>equip.xml!C1398</f>
        <v>短剑</v>
      </c>
      <c r="D1394" s="14" t="str">
        <f>equip.xml!D1398</f>
        <v>主手武器</v>
      </c>
      <c r="E1394" s="14">
        <f>equip.xml!E1398</f>
        <v>5</v>
      </c>
      <c r="F1394" s="14">
        <f>equip.xml!F1398</f>
        <v>4</v>
      </c>
      <c r="G1394" s="14">
        <f>equip.xml!G1398</f>
        <v>1</v>
      </c>
      <c r="H1394" s="14" t="str">
        <f>equip.xml!H1398</f>
        <v>1,1001</v>
      </c>
      <c r="I1394" s="14">
        <f>equip.xml!J1398</f>
        <v>50</v>
      </c>
      <c r="J1394" s="14">
        <f>equip.xml!K1398</f>
        <v>500</v>
      </c>
      <c r="K1394" s="14">
        <f>equip.xml!L1398</f>
        <v>0</v>
      </c>
      <c r="L1394" s="14" t="str">
        <f>equip.xml!M1398</f>
        <v>103_2_2,104_6_6</v>
      </c>
      <c r="M1394" s="17" t="str">
        <f>equip.xml!Q1398</f>
        <v>equipment/1101.png</v>
      </c>
      <c r="N1394" s="16" t="str">
        <f>equip.xml!P1398</f>
        <v>10000_1002_1000,30000_30001_1,30000_30002_1,30000_30003_1</v>
      </c>
      <c r="O1394">
        <f>equip.xml!R1398</f>
        <v>0</v>
      </c>
    </row>
    <row r="1395" spans="1:15">
      <c r="A1395" s="14" t="str">
        <f>equip.xml!A1399</f>
        <v>40011051</v>
      </c>
      <c r="B1395" s="14">
        <f>equip.xml!B1399</f>
        <v>1</v>
      </c>
      <c r="C1395" s="14" t="str">
        <f>equip.xml!C1399</f>
        <v>军刀</v>
      </c>
      <c r="D1395" s="14" t="str">
        <f>equip.xml!D1399</f>
        <v>主手武器</v>
      </c>
      <c r="E1395" s="14">
        <f>equip.xml!E1399</f>
        <v>5</v>
      </c>
      <c r="F1395" s="14">
        <f>equip.xml!F1399</f>
        <v>4</v>
      </c>
      <c r="G1395" s="14">
        <f>equip.xml!G1399</f>
        <v>1</v>
      </c>
      <c r="H1395" s="14" t="str">
        <f>equip.xml!H1399</f>
        <v>1,1001</v>
      </c>
      <c r="I1395" s="14">
        <f>equip.xml!J1399</f>
        <v>50</v>
      </c>
      <c r="J1395" s="14">
        <f>equip.xml!K1399</f>
        <v>500</v>
      </c>
      <c r="K1395" s="14">
        <f>equip.xml!L1399</f>
        <v>0</v>
      </c>
      <c r="L1395" s="14" t="str">
        <f>equip.xml!M1399</f>
        <v>103_5_5,104_12_12</v>
      </c>
      <c r="M1395" s="17" t="str">
        <f>equip.xml!Q1399</f>
        <v>equipment/1102.png</v>
      </c>
      <c r="N1395" s="16" t="str">
        <f>equip.xml!P1399</f>
        <v>10000_1002_1000,30000_30001_1,30000_30002_1,30000_30003_1</v>
      </c>
      <c r="O1395">
        <f>equip.xml!R1399</f>
        <v>0</v>
      </c>
    </row>
    <row r="1396" spans="1:15">
      <c r="A1396" s="14" t="str">
        <f>equip.xml!A1400</f>
        <v>40011060</v>
      </c>
      <c r="B1396" s="14">
        <f>equip.xml!B1400</f>
        <v>1</v>
      </c>
      <c r="C1396" s="14" t="str">
        <f>equip.xml!C1400</f>
        <v>小圆盾</v>
      </c>
      <c r="D1396" s="14" t="str">
        <f>equip.xml!D1400</f>
        <v>副手武器</v>
      </c>
      <c r="E1396" s="14">
        <f>equip.xml!E1400</f>
        <v>6</v>
      </c>
      <c r="F1396" s="14">
        <f>equip.xml!F1400</f>
        <v>4</v>
      </c>
      <c r="G1396" s="14">
        <f>equip.xml!G1400</f>
        <v>1</v>
      </c>
      <c r="H1396" s="14" t="str">
        <f>equip.xml!H1400</f>
        <v>1,1001</v>
      </c>
      <c r="I1396" s="14">
        <f>equip.xml!J1400</f>
        <v>50</v>
      </c>
      <c r="J1396" s="14">
        <f>equip.xml!K1400</f>
        <v>500</v>
      </c>
      <c r="K1396" s="14">
        <f>equip.xml!L1400</f>
        <v>0</v>
      </c>
      <c r="L1396" s="14" t="str">
        <f>equip.xml!M1400</f>
        <v>105_4_4</v>
      </c>
      <c r="M1396" s="17" t="str">
        <f>equip.xml!Q1400</f>
        <v>equipment/2101.png</v>
      </c>
      <c r="N1396" s="16" t="str">
        <f>equip.xml!P1400</f>
        <v>10000_1002_1000,30000_30001_1,30000_30002_1,30000_30003_1</v>
      </c>
      <c r="O1396">
        <f>equip.xml!R1400</f>
        <v>0</v>
      </c>
    </row>
    <row r="1397" spans="1:15">
      <c r="A1397" s="14" t="str">
        <f>equip.xml!A1401</f>
        <v>40011061</v>
      </c>
      <c r="B1397" s="14">
        <f>equip.xml!B1401</f>
        <v>0</v>
      </c>
      <c r="C1397" s="14" t="str">
        <f>equip.xml!C1401</f>
        <v>尖头盾</v>
      </c>
      <c r="D1397" s="14" t="str">
        <f>equip.xml!D1401</f>
        <v>副手武器</v>
      </c>
      <c r="E1397" s="14">
        <f>equip.xml!E1401</f>
        <v>6</v>
      </c>
      <c r="F1397" s="14">
        <f>equip.xml!F1401</f>
        <v>4</v>
      </c>
      <c r="G1397" s="14">
        <f>equip.xml!G1401</f>
        <v>1</v>
      </c>
      <c r="H1397" s="14" t="str">
        <f>equip.xml!H1401</f>
        <v>1,1001</v>
      </c>
      <c r="I1397" s="14">
        <f>equip.xml!J1401</f>
        <v>50</v>
      </c>
      <c r="J1397" s="14">
        <f>equip.xml!K1401</f>
        <v>500</v>
      </c>
      <c r="K1397" s="14">
        <f>equip.xml!L1401</f>
        <v>0</v>
      </c>
      <c r="L1397" s="14" t="str">
        <f>equip.xml!M1401</f>
        <v>105_7_7</v>
      </c>
      <c r="M1397" s="17" t="str">
        <f>equip.xml!Q1401</f>
        <v>equipment/2101.png</v>
      </c>
      <c r="N1397" s="16" t="str">
        <f>equip.xml!P1401</f>
        <v>10000_1002_1000,30000_30001_1,30000_30002_1,30000_30003_1</v>
      </c>
      <c r="O1397">
        <f>equip.xml!R1401</f>
        <v>0</v>
      </c>
    </row>
    <row r="1398" spans="1:15">
      <c r="A1398" s="14" t="str">
        <f>equip.xml!A1402</f>
        <v>40012050</v>
      </c>
      <c r="B1398" s="14">
        <f>equip.xml!B1402</f>
        <v>1</v>
      </c>
      <c r="C1398" s="14" t="str">
        <f>equip.xml!C1402</f>
        <v>短弓</v>
      </c>
      <c r="D1398" s="14" t="str">
        <f>equip.xml!D1402</f>
        <v>主手武器</v>
      </c>
      <c r="E1398" s="14">
        <f>equip.xml!E1402</f>
        <v>5</v>
      </c>
      <c r="F1398" s="14">
        <f>equip.xml!F1402</f>
        <v>4</v>
      </c>
      <c r="G1398" s="14">
        <f>equip.xml!G1402</f>
        <v>1</v>
      </c>
      <c r="H1398" s="14" t="str">
        <f>equip.xml!H1402</f>
        <v>2,1002</v>
      </c>
      <c r="I1398" s="14">
        <f>equip.xml!J1402</f>
        <v>50</v>
      </c>
      <c r="J1398" s="14">
        <f>equip.xml!K1402</f>
        <v>500</v>
      </c>
      <c r="K1398" s="14">
        <f>equip.xml!L1402</f>
        <v>0</v>
      </c>
      <c r="L1398" s="14" t="str">
        <f>equip.xml!M1402</f>
        <v>103_2_2,104_6_6</v>
      </c>
      <c r="M1398" s="17" t="str">
        <f>equip.xml!Q1402</f>
        <v>equipment/1201.png</v>
      </c>
      <c r="N1398" s="16" t="str">
        <f>equip.xml!P1402</f>
        <v>10000_1002_1000,30000_30001_1,30000_30002_1,30000_30003_1</v>
      </c>
      <c r="O1398">
        <f>equip.xml!R1402</f>
        <v>0</v>
      </c>
    </row>
    <row r="1399" spans="1:15">
      <c r="A1399" s="14" t="str">
        <f>equip.xml!A1403</f>
        <v>40012051</v>
      </c>
      <c r="B1399" s="14">
        <f>equip.xml!B1403</f>
        <v>1</v>
      </c>
      <c r="C1399" s="14" t="str">
        <f>equip.xml!C1403</f>
        <v>棘木弓</v>
      </c>
      <c r="D1399" s="14" t="str">
        <f>equip.xml!D1403</f>
        <v>主手武器</v>
      </c>
      <c r="E1399" s="14">
        <f>equip.xml!E1403</f>
        <v>5</v>
      </c>
      <c r="F1399" s="14">
        <f>equip.xml!F1403</f>
        <v>4</v>
      </c>
      <c r="G1399" s="14">
        <f>equip.xml!G1403</f>
        <v>1</v>
      </c>
      <c r="H1399" s="14" t="str">
        <f>equip.xml!H1403</f>
        <v>2,1002</v>
      </c>
      <c r="I1399" s="14">
        <f>equip.xml!J1403</f>
        <v>50</v>
      </c>
      <c r="J1399" s="14">
        <f>equip.xml!K1403</f>
        <v>500</v>
      </c>
      <c r="K1399" s="14">
        <f>equip.xml!L1403</f>
        <v>0</v>
      </c>
      <c r="L1399" s="14" t="str">
        <f>equip.xml!M1403</f>
        <v>103_5_5,104_12_12</v>
      </c>
      <c r="M1399" s="17" t="str">
        <f>equip.xml!Q1403</f>
        <v>equipment/1202.png</v>
      </c>
      <c r="N1399" s="16" t="str">
        <f>equip.xml!P1403</f>
        <v>10000_1002_1000,30000_30001_1,30000_30002_1,30000_30003_1</v>
      </c>
      <c r="O1399">
        <f>equip.xml!R1403</f>
        <v>0</v>
      </c>
    </row>
    <row r="1400" spans="1:15">
      <c r="A1400" s="14" t="str">
        <f>equip.xml!A1404</f>
        <v>40012060</v>
      </c>
      <c r="B1400" s="14">
        <f>equip.xml!B1404</f>
        <v>1</v>
      </c>
      <c r="C1400" s="14" t="str">
        <f>equip.xml!C1404</f>
        <v>小箭筒</v>
      </c>
      <c r="D1400" s="14" t="str">
        <f>equip.xml!D1404</f>
        <v>副手武器</v>
      </c>
      <c r="E1400" s="14">
        <f>equip.xml!E1404</f>
        <v>6</v>
      </c>
      <c r="F1400" s="14">
        <f>equip.xml!F1404</f>
        <v>4</v>
      </c>
      <c r="G1400" s="14">
        <f>equip.xml!G1404</f>
        <v>1</v>
      </c>
      <c r="H1400" s="14" t="str">
        <f>equip.xml!H1404</f>
        <v>2,1002</v>
      </c>
      <c r="I1400" s="14">
        <f>equip.xml!J1404</f>
        <v>50</v>
      </c>
      <c r="J1400" s="14">
        <f>equip.xml!K1404</f>
        <v>500</v>
      </c>
      <c r="K1400" s="14">
        <f>equip.xml!L1404</f>
        <v>0</v>
      </c>
      <c r="L1400" s="14" t="str">
        <f>equip.xml!M1404</f>
        <v>108_4_4</v>
      </c>
      <c r="M1400" s="17" t="str">
        <f>equip.xml!Q1404</f>
        <v>equipment/2201.png</v>
      </c>
      <c r="N1400" s="16" t="str">
        <f>equip.xml!P1404</f>
        <v>10000_1002_1000,30000_30001_1,30000_30002_1,30000_30003_1</v>
      </c>
      <c r="O1400">
        <f>equip.xml!R1404</f>
        <v>0</v>
      </c>
    </row>
    <row r="1401" spans="1:15">
      <c r="A1401" s="14" t="str">
        <f>equip.xml!A1405</f>
        <v>40012061</v>
      </c>
      <c r="B1401" s="14">
        <f>equip.xml!B1405</f>
        <v>0</v>
      </c>
      <c r="C1401" s="14" t="str">
        <f>equip.xml!C1405</f>
        <v>箭筒</v>
      </c>
      <c r="D1401" s="14" t="str">
        <f>equip.xml!D1405</f>
        <v>副手武器</v>
      </c>
      <c r="E1401" s="14">
        <f>equip.xml!E1405</f>
        <v>6</v>
      </c>
      <c r="F1401" s="14">
        <f>equip.xml!F1405</f>
        <v>4</v>
      </c>
      <c r="G1401" s="14">
        <f>equip.xml!G1405</f>
        <v>1</v>
      </c>
      <c r="H1401" s="14" t="str">
        <f>equip.xml!H1405</f>
        <v>2,1002</v>
      </c>
      <c r="I1401" s="14">
        <f>equip.xml!J1405</f>
        <v>50</v>
      </c>
      <c r="J1401" s="14">
        <f>equip.xml!K1405</f>
        <v>500</v>
      </c>
      <c r="K1401" s="14">
        <f>equip.xml!L1405</f>
        <v>0</v>
      </c>
      <c r="L1401" s="14" t="str">
        <f>equip.xml!M1405</f>
        <v>108_7_7</v>
      </c>
      <c r="M1401" s="17" t="str">
        <f>equip.xml!Q1405</f>
        <v>equipment/2201.png</v>
      </c>
      <c r="N1401" s="16" t="str">
        <f>equip.xml!P1405</f>
        <v>10000_1002_1000,30000_30001_1,30000_30002_1,30000_30003_1</v>
      </c>
      <c r="O1401">
        <f>equip.xml!R1405</f>
        <v>0</v>
      </c>
    </row>
    <row r="1402" spans="1:15">
      <c r="A1402" s="14" t="str">
        <f>equip.xml!A1406</f>
        <v>40013050</v>
      </c>
      <c r="B1402" s="14">
        <f>equip.xml!B1406</f>
        <v>1</v>
      </c>
      <c r="C1402" s="14" t="str">
        <f>equip.xml!C1406</f>
        <v>训练用杖</v>
      </c>
      <c r="D1402" s="14" t="str">
        <f>equip.xml!D1406</f>
        <v>主手武器</v>
      </c>
      <c r="E1402" s="14">
        <f>equip.xml!E1406</f>
        <v>5</v>
      </c>
      <c r="F1402" s="14">
        <f>equip.xml!F1406</f>
        <v>4</v>
      </c>
      <c r="G1402" s="14">
        <f>equip.xml!G1406</f>
        <v>1</v>
      </c>
      <c r="H1402" s="14" t="str">
        <f>equip.xml!H1406</f>
        <v>3,1003</v>
      </c>
      <c r="I1402" s="14">
        <f>equip.xml!J1406</f>
        <v>50</v>
      </c>
      <c r="J1402" s="14">
        <f>equip.xml!K1406</f>
        <v>500</v>
      </c>
      <c r="K1402" s="14">
        <f>equip.xml!L1406</f>
        <v>0</v>
      </c>
      <c r="L1402" s="14" t="str">
        <f>equip.xml!M1406</f>
        <v>103_2_2,104_6_6</v>
      </c>
      <c r="M1402" s="17" t="str">
        <f>equip.xml!Q1406</f>
        <v>equipment/1301.png</v>
      </c>
      <c r="N1402" s="16" t="str">
        <f>equip.xml!P1406</f>
        <v>10000_1002_1000,30000_30001_1,30000_30002_1,30000_30003_1</v>
      </c>
      <c r="O1402">
        <f>equip.xml!R1406</f>
        <v>0</v>
      </c>
    </row>
    <row r="1403" spans="1:15">
      <c r="A1403" s="14" t="str">
        <f>equip.xml!A1407</f>
        <v>40013051</v>
      </c>
      <c r="B1403" s="14">
        <f>equip.xml!B1407</f>
        <v>1</v>
      </c>
      <c r="C1403" s="14" t="str">
        <f>equip.xml!C1407</f>
        <v>学徒法杖</v>
      </c>
      <c r="D1403" s="14" t="str">
        <f>equip.xml!D1407</f>
        <v>主手武器</v>
      </c>
      <c r="E1403" s="14">
        <f>equip.xml!E1407</f>
        <v>5</v>
      </c>
      <c r="F1403" s="14">
        <f>equip.xml!F1407</f>
        <v>4</v>
      </c>
      <c r="G1403" s="14">
        <f>equip.xml!G1407</f>
        <v>1</v>
      </c>
      <c r="H1403" s="14" t="str">
        <f>equip.xml!H1407</f>
        <v>3,1003</v>
      </c>
      <c r="I1403" s="14">
        <f>equip.xml!J1407</f>
        <v>50</v>
      </c>
      <c r="J1403" s="14">
        <f>equip.xml!K1407</f>
        <v>500</v>
      </c>
      <c r="K1403" s="14">
        <f>equip.xml!L1407</f>
        <v>0</v>
      </c>
      <c r="L1403" s="14" t="str">
        <f>equip.xml!M1407</f>
        <v>103_5_5,104_12_12</v>
      </c>
      <c r="M1403" s="17" t="str">
        <f>equip.xml!Q1407</f>
        <v>equipment/1302.png</v>
      </c>
      <c r="N1403" s="16" t="str">
        <f>equip.xml!P1407</f>
        <v>10000_1002_1000,30000_30001_1,30000_30002_1,30000_30003_1</v>
      </c>
      <c r="O1403">
        <f>equip.xml!R1407</f>
        <v>0</v>
      </c>
    </row>
    <row r="1404" spans="1:15">
      <c r="A1404" s="14" t="str">
        <f>equip.xml!A1408</f>
        <v>40013060</v>
      </c>
      <c r="B1404" s="14">
        <f>equip.xml!B1408</f>
        <v>1</v>
      </c>
      <c r="C1404" s="14" t="str">
        <f>equip.xml!C1408</f>
        <v>学徒手册</v>
      </c>
      <c r="D1404" s="14" t="str">
        <f>equip.xml!D1408</f>
        <v>副手武器</v>
      </c>
      <c r="E1404" s="14">
        <f>equip.xml!E1408</f>
        <v>6</v>
      </c>
      <c r="F1404" s="14">
        <f>equip.xml!F1408</f>
        <v>4</v>
      </c>
      <c r="G1404" s="14">
        <f>equip.xml!G1408</f>
        <v>1</v>
      </c>
      <c r="H1404" s="14" t="str">
        <f>equip.xml!H1408</f>
        <v>3,1003</v>
      </c>
      <c r="I1404" s="14">
        <f>equip.xml!J1408</f>
        <v>50</v>
      </c>
      <c r="J1404" s="14">
        <f>equip.xml!K1408</f>
        <v>500</v>
      </c>
      <c r="K1404" s="14">
        <f>equip.xml!L1408</f>
        <v>0</v>
      </c>
      <c r="L1404" s="14" t="str">
        <f>equip.xml!M1408</f>
        <v>102_30_30</v>
      </c>
      <c r="M1404" s="17" t="str">
        <f>equip.xml!Q1408</f>
        <v>equipment/2301.png</v>
      </c>
      <c r="N1404" s="16" t="str">
        <f>equip.xml!P1408</f>
        <v>10000_1002_1000,30000_30001_1,30000_30002_1,30000_30003_1</v>
      </c>
      <c r="O1404">
        <f>equip.xml!R1408</f>
        <v>0</v>
      </c>
    </row>
    <row r="1405" spans="1:15">
      <c r="A1405" s="14" t="str">
        <f>equip.xml!A1409</f>
        <v>40013061</v>
      </c>
      <c r="B1405" s="14">
        <f>equip.xml!B1409</f>
        <v>0</v>
      </c>
      <c r="C1405" s="14" t="str">
        <f>equip.xml!C1409</f>
        <v>法术指南</v>
      </c>
      <c r="D1405" s="14" t="str">
        <f>equip.xml!D1409</f>
        <v>副手武器</v>
      </c>
      <c r="E1405" s="14">
        <f>equip.xml!E1409</f>
        <v>6</v>
      </c>
      <c r="F1405" s="14">
        <f>equip.xml!F1409</f>
        <v>4</v>
      </c>
      <c r="G1405" s="14">
        <f>equip.xml!G1409</f>
        <v>1</v>
      </c>
      <c r="H1405" s="14" t="str">
        <f>equip.xml!H1409</f>
        <v>3,1003</v>
      </c>
      <c r="I1405" s="14">
        <f>equip.xml!J1409</f>
        <v>50</v>
      </c>
      <c r="J1405" s="14">
        <f>equip.xml!K1409</f>
        <v>500</v>
      </c>
      <c r="K1405" s="14">
        <f>equip.xml!L1409</f>
        <v>0</v>
      </c>
      <c r="L1405" s="14" t="str">
        <f>equip.xml!M1409</f>
        <v>102_7_7</v>
      </c>
      <c r="M1405" s="17" t="str">
        <f>equip.xml!Q1409</f>
        <v>equipment/2301.png</v>
      </c>
      <c r="N1405" s="16" t="str">
        <f>equip.xml!P1409</f>
        <v>10000_1002_1000,30000_30001_1,30000_30002_1,30000_30003_1</v>
      </c>
      <c r="O1405">
        <f>equip.xml!R1409</f>
        <v>0</v>
      </c>
    </row>
    <row r="1406" spans="1:15">
      <c r="A1406" s="14" t="str">
        <f>equip.xml!A1410</f>
        <v>40010040</v>
      </c>
      <c r="B1406" s="14">
        <f>equip.xml!B1410</f>
        <v>1</v>
      </c>
      <c r="C1406" s="14" t="str">
        <f>equip.xml!C1410</f>
        <v>新兵外套</v>
      </c>
      <c r="D1406" s="14" t="str">
        <f>equip.xml!D1410</f>
        <v>胸甲</v>
      </c>
      <c r="E1406" s="14">
        <f>equip.xml!E1410</f>
        <v>4</v>
      </c>
      <c r="F1406" s="14">
        <f>equip.xml!F1410</f>
        <v>4</v>
      </c>
      <c r="G1406" s="14">
        <f>equip.xml!G1410</f>
        <v>1</v>
      </c>
      <c r="H1406" s="14">
        <f>equip.xml!H1410</f>
        <v>0</v>
      </c>
      <c r="I1406" s="14">
        <f>equip.xml!J1410</f>
        <v>50</v>
      </c>
      <c r="J1406" s="14">
        <f>equip.xml!K1410</f>
        <v>500</v>
      </c>
      <c r="K1406" s="14">
        <f>equip.xml!L1410</f>
        <v>0</v>
      </c>
      <c r="L1406" s="14" t="str">
        <f>equip.xml!M1410</f>
        <v>105_3_3</v>
      </c>
      <c r="M1406" s="17" t="str">
        <f>equip.xml!Q1410</f>
        <v>equipment/5001.png</v>
      </c>
      <c r="N1406" s="16" t="str">
        <f>equip.xml!P1410</f>
        <v>10000_1002_1000,30000_30001_1,30000_30002_1,30000_30003_1</v>
      </c>
      <c r="O1406">
        <f>equip.xml!R1410</f>
        <v>0</v>
      </c>
    </row>
    <row r="1407" spans="1:15">
      <c r="A1407" s="14" t="str">
        <f>equip.xml!A1411</f>
        <v>40010041</v>
      </c>
      <c r="B1407" s="14">
        <f>equip.xml!B1411</f>
        <v>0</v>
      </c>
      <c r="C1407" s="14" t="str">
        <f>equip.xml!C1411</f>
        <v>新兵外套</v>
      </c>
      <c r="D1407" s="14" t="str">
        <f>equip.xml!D1411</f>
        <v>胸甲</v>
      </c>
      <c r="E1407" s="14">
        <f>equip.xml!E1411</f>
        <v>4</v>
      </c>
      <c r="F1407" s="14">
        <f>equip.xml!F1411</f>
        <v>4</v>
      </c>
      <c r="G1407" s="14">
        <f>equip.xml!G1411</f>
        <v>1</v>
      </c>
      <c r="H1407" s="14">
        <f>equip.xml!H1411</f>
        <v>0</v>
      </c>
      <c r="I1407" s="14">
        <f>equip.xml!J1411</f>
        <v>50</v>
      </c>
      <c r="J1407" s="14">
        <f>equip.xml!K1411</f>
        <v>500</v>
      </c>
      <c r="K1407" s="14">
        <f>equip.xml!L1411</f>
        <v>0</v>
      </c>
      <c r="L1407" s="14" t="str">
        <f>equip.xml!M1411</f>
        <v>105_5_5</v>
      </c>
      <c r="M1407" s="17" t="str">
        <f>equip.xml!Q1411</f>
        <v>equipment/5001.png</v>
      </c>
      <c r="N1407" s="16" t="str">
        <f>equip.xml!P1411</f>
        <v>10000_1002_1000,30000_30001_1,30000_30002_1,30000_30003_1</v>
      </c>
      <c r="O1407">
        <f>equip.xml!R1411</f>
        <v>0</v>
      </c>
    </row>
    <row r="1408" spans="1:15">
      <c r="A1408" s="14" t="str">
        <f>equip.xml!A1412</f>
        <v>40010070</v>
      </c>
      <c r="B1408" s="14">
        <f>equip.xml!B1412</f>
        <v>0</v>
      </c>
      <c r="C1408" s="14" t="str">
        <f>equip.xml!C1412</f>
        <v>皮甲短裤</v>
      </c>
      <c r="D1408" s="14" t="str">
        <f>equip.xml!D1412</f>
        <v>护腿</v>
      </c>
      <c r="E1408" s="14">
        <f>equip.xml!E1412</f>
        <v>7</v>
      </c>
      <c r="F1408" s="14">
        <f>equip.xml!F1412</f>
        <v>4</v>
      </c>
      <c r="G1408" s="14">
        <f>equip.xml!G1412</f>
        <v>1</v>
      </c>
      <c r="H1408" s="14">
        <f>equip.xml!H1412</f>
        <v>0</v>
      </c>
      <c r="I1408" s="14">
        <f>equip.xml!J1412</f>
        <v>50</v>
      </c>
      <c r="J1408" s="14">
        <f>equip.xml!K1412</f>
        <v>500</v>
      </c>
      <c r="K1408" s="14">
        <f>equip.xml!L1412</f>
        <v>0</v>
      </c>
      <c r="L1408" s="14" t="str">
        <f>equip.xml!M1412</f>
        <v>105_0_0</v>
      </c>
      <c r="M1408" s="17" t="str">
        <f>equip.xml!Q1412</f>
        <v>equipment/7001.png</v>
      </c>
      <c r="N1408" s="16" t="str">
        <f>equip.xml!P1412</f>
        <v>10000_1002_1000,30000_30001_1,30000_30002_1,30000_30003_1</v>
      </c>
      <c r="O1408">
        <f>equip.xml!R1412</f>
        <v>0</v>
      </c>
    </row>
    <row r="1409" spans="1:15">
      <c r="A1409" s="14" t="str">
        <f>equip.xml!A1413</f>
        <v>40010071</v>
      </c>
      <c r="B1409" s="14">
        <f>equip.xml!B1413</f>
        <v>0</v>
      </c>
      <c r="C1409" s="14" t="str">
        <f>equip.xml!C1413</f>
        <v>学徒短裤</v>
      </c>
      <c r="D1409" s="14" t="str">
        <f>equip.xml!D1413</f>
        <v>护腿</v>
      </c>
      <c r="E1409" s="14">
        <f>equip.xml!E1413</f>
        <v>7</v>
      </c>
      <c r="F1409" s="14">
        <f>equip.xml!F1413</f>
        <v>4</v>
      </c>
      <c r="G1409" s="14">
        <f>equip.xml!G1413</f>
        <v>1</v>
      </c>
      <c r="H1409" s="14">
        <f>equip.xml!H1413</f>
        <v>0</v>
      </c>
      <c r="I1409" s="14">
        <f>equip.xml!J1413</f>
        <v>50</v>
      </c>
      <c r="J1409" s="14">
        <f>equip.xml!K1413</f>
        <v>500</v>
      </c>
      <c r="K1409" s="14">
        <f>equip.xml!L1413</f>
        <v>0</v>
      </c>
      <c r="L1409" s="14" t="str">
        <f>equip.xml!M1413</f>
        <v>105_1_1</v>
      </c>
      <c r="M1409" s="17" t="str">
        <f>equip.xml!Q1413</f>
        <v>equipment/7001.png</v>
      </c>
      <c r="N1409" s="16" t="str">
        <f>equip.xml!P1413</f>
        <v>10000_1002_1000,30000_30001_1,30000_30002_1,30000_30003_1</v>
      </c>
      <c r="O1409">
        <f>equip.xml!R1413</f>
        <v>0</v>
      </c>
    </row>
    <row r="1410" spans="1:15">
      <c r="A1410" s="14" t="str">
        <f>equip.xml!A1414</f>
        <v>40050010</v>
      </c>
      <c r="B1410" s="14">
        <f>equip.xml!B1414</f>
        <v>1</v>
      </c>
      <c r="C1410" s="14" t="str">
        <f>equip.xml!C1414</f>
        <v>纹饰帽</v>
      </c>
      <c r="D1410" s="14" t="str">
        <f>equip.xml!D1414</f>
        <v>头盔</v>
      </c>
      <c r="E1410" s="14">
        <f>equip.xml!E1414</f>
        <v>1</v>
      </c>
      <c r="F1410" s="14">
        <f>equip.xml!F1414</f>
        <v>4</v>
      </c>
      <c r="G1410" s="14">
        <f>equip.xml!G1414</f>
        <v>5</v>
      </c>
      <c r="H1410" s="14">
        <f>equip.xml!H1414</f>
        <v>0</v>
      </c>
      <c r="I1410" s="14">
        <f>equip.xml!J1414</f>
        <v>50</v>
      </c>
      <c r="J1410" s="14">
        <f>equip.xml!K1414</f>
        <v>500</v>
      </c>
      <c r="K1410" s="14">
        <f>equip.xml!L1414</f>
        <v>0</v>
      </c>
      <c r="L1410" s="14" t="str">
        <f>equip.xml!M1414</f>
        <v>106_20_20</v>
      </c>
      <c r="M1410" s="17" t="str">
        <f>equip.xml!Q1414</f>
        <v>equipment/3001.png</v>
      </c>
      <c r="N1410" s="16" t="str">
        <f>equip.xml!P1414</f>
        <v>10000_1002_5000,30000_30001_1,30000_30002_1,30000_30003_1</v>
      </c>
      <c r="O1410">
        <f>equip.xml!R1414</f>
        <v>0</v>
      </c>
    </row>
    <row r="1411" spans="1:15">
      <c r="A1411" s="14" t="str">
        <f>equip.xml!A1415</f>
        <v>40050020</v>
      </c>
      <c r="B1411" s="14">
        <f>equip.xml!B1415</f>
        <v>1</v>
      </c>
      <c r="C1411" s="14" t="str">
        <f>equip.xml!C1415</f>
        <v>金戒指</v>
      </c>
      <c r="D1411" s="14" t="str">
        <f>equip.xml!D1415</f>
        <v>戒指</v>
      </c>
      <c r="E1411" s="14">
        <f>equip.xml!E1415</f>
        <v>2</v>
      </c>
      <c r="F1411" s="14">
        <f>equip.xml!F1415</f>
        <v>4</v>
      </c>
      <c r="G1411" s="14">
        <f>equip.xml!G1415</f>
        <v>5</v>
      </c>
      <c r="H1411" s="14">
        <f>equip.xml!H1415</f>
        <v>0</v>
      </c>
      <c r="I1411" s="14">
        <f>equip.xml!J1415</f>
        <v>50</v>
      </c>
      <c r="J1411" s="14">
        <f>equip.xml!K1415</f>
        <v>500</v>
      </c>
      <c r="K1411" s="14">
        <f>equip.xml!L1415</f>
        <v>0</v>
      </c>
      <c r="L1411" s="14" t="str">
        <f>equip.xml!M1415</f>
        <v>102_80_80</v>
      </c>
      <c r="M1411" s="17" t="str">
        <f>equip.xml!Q1415</f>
        <v>equipment/14001.png</v>
      </c>
      <c r="N1411" s="16" t="str">
        <f>equip.xml!P1415</f>
        <v>10000_1002_5000,30000_30001_1,30000_30002_1,30000_30003_1</v>
      </c>
      <c r="O1411">
        <f>equip.xml!R1415</f>
        <v>0</v>
      </c>
    </row>
    <row r="1412" spans="1:15">
      <c r="A1412" s="14" t="str">
        <f>equip.xml!A1416</f>
        <v>40050030</v>
      </c>
      <c r="B1412" s="14">
        <f>equip.xml!B1416</f>
        <v>1</v>
      </c>
      <c r="C1412" s="14" t="str">
        <f>equip.xml!C1416</f>
        <v>兽皮腰带</v>
      </c>
      <c r="D1412" s="14" t="str">
        <f>equip.xml!D1416</f>
        <v>腰带</v>
      </c>
      <c r="E1412" s="14">
        <f>equip.xml!E1416</f>
        <v>3</v>
      </c>
      <c r="F1412" s="14">
        <f>equip.xml!F1416</f>
        <v>4</v>
      </c>
      <c r="G1412" s="14">
        <f>equip.xml!G1416</f>
        <v>5</v>
      </c>
      <c r="H1412" s="14">
        <f>equip.xml!H1416</f>
        <v>0</v>
      </c>
      <c r="I1412" s="14">
        <f>equip.xml!J1416</f>
        <v>50</v>
      </c>
      <c r="J1412" s="14">
        <f>equip.xml!K1416</f>
        <v>500</v>
      </c>
      <c r="K1412" s="14">
        <f>equip.xml!L1416</f>
        <v>0</v>
      </c>
      <c r="L1412" s="14" t="str">
        <f>equip.xml!M1416</f>
        <v>101_100_100</v>
      </c>
      <c r="M1412" s="17" t="str">
        <f>equip.xml!Q1416</f>
        <v>equipment/6001.png</v>
      </c>
      <c r="N1412" s="16" t="str">
        <f>equip.xml!P1416</f>
        <v>10000_1002_5000,30000_30001_1,30000_30002_1,30000_30003_1</v>
      </c>
      <c r="O1412">
        <f>equip.xml!R1416</f>
        <v>0</v>
      </c>
    </row>
    <row r="1413" spans="1:15">
      <c r="A1413" s="14" t="str">
        <f>equip.xml!A1417</f>
        <v>40050080</v>
      </c>
      <c r="B1413" s="14">
        <f>equip.xml!B1417</f>
        <v>0</v>
      </c>
      <c r="C1413" s="14" t="str">
        <f>equip.xml!C1417</f>
        <v>皮靴</v>
      </c>
      <c r="D1413" s="14" t="str">
        <f>equip.xml!D1417</f>
        <v>鞋子</v>
      </c>
      <c r="E1413" s="14">
        <f>equip.xml!E1417</f>
        <v>8</v>
      </c>
      <c r="F1413" s="14">
        <f>equip.xml!F1417</f>
        <v>4</v>
      </c>
      <c r="G1413" s="14">
        <f>equip.xml!G1417</f>
        <v>5</v>
      </c>
      <c r="H1413" s="14">
        <f>equip.xml!H1417</f>
        <v>0</v>
      </c>
      <c r="I1413" s="14">
        <f>equip.xml!J1417</f>
        <v>50</v>
      </c>
      <c r="J1413" s="14">
        <f>equip.xml!K1417</f>
        <v>500</v>
      </c>
      <c r="K1413" s="14">
        <f>equip.xml!L1417</f>
        <v>0</v>
      </c>
      <c r="L1413" s="14" t="str">
        <f>equip.xml!M1417</f>
        <v>110_7_7</v>
      </c>
      <c r="M1413" s="17" t="str">
        <f>equip.xml!Q1417</f>
        <v>equipment/8001.png</v>
      </c>
      <c r="N1413" s="16" t="str">
        <f>equip.xml!P1417</f>
        <v>10000_1002_5000,30000_30001_1,30000_30002_1,30000_30003_1</v>
      </c>
      <c r="O1413">
        <f>equip.xml!R1417</f>
        <v>0</v>
      </c>
    </row>
    <row r="1414" spans="1:15">
      <c r="A1414" s="14" t="str">
        <f>equip.xml!A1418</f>
        <v>40050090</v>
      </c>
      <c r="B1414" s="14">
        <f>equip.xml!B1418</f>
        <v>0</v>
      </c>
      <c r="C1414" s="14" t="str">
        <f>equip.xml!C1418</f>
        <v>轻布手套</v>
      </c>
      <c r="D1414" s="14" t="str">
        <f>equip.xml!D1418</f>
        <v>手套</v>
      </c>
      <c r="E1414" s="14">
        <f>equip.xml!E1418</f>
        <v>9</v>
      </c>
      <c r="F1414" s="14">
        <f>equip.xml!F1418</f>
        <v>4</v>
      </c>
      <c r="G1414" s="14">
        <f>equip.xml!G1418</f>
        <v>5</v>
      </c>
      <c r="H1414" s="14">
        <f>equip.xml!H1418</f>
        <v>0</v>
      </c>
      <c r="I1414" s="14">
        <f>equip.xml!J1418</f>
        <v>50</v>
      </c>
      <c r="J1414" s="14">
        <f>equip.xml!K1418</f>
        <v>500</v>
      </c>
      <c r="K1414" s="14">
        <f>equip.xml!L1418</f>
        <v>0</v>
      </c>
      <c r="L1414" s="14" t="str">
        <f>equip.xml!M1418</f>
        <v>108_23_23</v>
      </c>
      <c r="M1414" s="17" t="str">
        <f>equip.xml!Q1418</f>
        <v>equipment/10001.png</v>
      </c>
      <c r="N1414" s="16" t="str">
        <f>equip.xml!P1418</f>
        <v>10000_1002_5000,30000_30001_1,30000_30002_1,30000_30003_1</v>
      </c>
      <c r="O1414">
        <f>equip.xml!R1418</f>
        <v>0</v>
      </c>
    </row>
    <row r="1415" spans="1:15">
      <c r="A1415" s="14" t="str">
        <f>equip.xml!A1419</f>
        <v>40050100</v>
      </c>
      <c r="B1415" s="14">
        <f>equip.xml!B1419</f>
        <v>1</v>
      </c>
      <c r="C1415" s="14" t="str">
        <f>equip.xml!C1419</f>
        <v>贝壳项链</v>
      </c>
      <c r="D1415" s="14" t="str">
        <f>equip.xml!D1419</f>
        <v>项链</v>
      </c>
      <c r="E1415" s="14">
        <f>equip.xml!E1419</f>
        <v>10</v>
      </c>
      <c r="F1415" s="14">
        <f>equip.xml!F1419</f>
        <v>4</v>
      </c>
      <c r="G1415" s="14">
        <f>equip.xml!G1419</f>
        <v>5</v>
      </c>
      <c r="H1415" s="14">
        <f>equip.xml!H1419</f>
        <v>0</v>
      </c>
      <c r="I1415" s="14">
        <f>equip.xml!J1419</f>
        <v>50</v>
      </c>
      <c r="J1415" s="14">
        <f>equip.xml!K1419</f>
        <v>500</v>
      </c>
      <c r="K1415" s="14">
        <f>equip.xml!L1419</f>
        <v>0</v>
      </c>
      <c r="L1415" s="14" t="str">
        <f>equip.xml!M1419</f>
        <v>107_20_20</v>
      </c>
      <c r="M1415" s="17" t="str">
        <f>equip.xml!Q1419</f>
        <v>equipment/12001.png</v>
      </c>
      <c r="N1415" s="16" t="str">
        <f>equip.xml!P1419</f>
        <v>10000_1002_5000,30000_30001_1,30000_30002_1,30000_30003_1</v>
      </c>
      <c r="O1415">
        <f>equip.xml!R1419</f>
        <v>0</v>
      </c>
    </row>
    <row r="1416" spans="1:15">
      <c r="A1416" s="14" t="str">
        <f>equip.xml!A1420</f>
        <v>40051050</v>
      </c>
      <c r="B1416" s="14">
        <f>equip.xml!B1420</f>
        <v>1</v>
      </c>
      <c r="C1416" s="14" t="str">
        <f>equip.xml!C1420</f>
        <v>长剑</v>
      </c>
      <c r="D1416" s="14" t="str">
        <f>equip.xml!D1420</f>
        <v>主手武器</v>
      </c>
      <c r="E1416" s="14">
        <f>equip.xml!E1420</f>
        <v>5</v>
      </c>
      <c r="F1416" s="14">
        <f>equip.xml!F1420</f>
        <v>4</v>
      </c>
      <c r="G1416" s="14">
        <f>equip.xml!G1420</f>
        <v>5</v>
      </c>
      <c r="H1416" s="14" t="str">
        <f>equip.xml!H1420</f>
        <v>1,1001</v>
      </c>
      <c r="I1416" s="14">
        <f>equip.xml!J1420</f>
        <v>50</v>
      </c>
      <c r="J1416" s="14">
        <f>equip.xml!K1420</f>
        <v>500</v>
      </c>
      <c r="K1416" s="14">
        <f>equip.xml!L1420</f>
        <v>0</v>
      </c>
      <c r="L1416" s="14" t="str">
        <f>equip.xml!M1420</f>
        <v>103_10_10,104_20_20</v>
      </c>
      <c r="M1416" s="17" t="str">
        <f>equip.xml!Q1420</f>
        <v>equipment/1103.png</v>
      </c>
      <c r="N1416" s="16" t="str">
        <f>equip.xml!P1420</f>
        <v>10000_1002_5000,30000_30001_1,30000_30002_1,30000_30003_1</v>
      </c>
      <c r="O1416">
        <f>equip.xml!R1420</f>
        <v>0</v>
      </c>
    </row>
    <row r="1417" spans="1:15">
      <c r="A1417" s="14" t="str">
        <f>equip.xml!A1421</f>
        <v>40051051</v>
      </c>
      <c r="B1417" s="14">
        <f>equip.xml!B1421</f>
        <v>1</v>
      </c>
      <c r="C1417" s="14" t="str">
        <f>equip.xml!C1421</f>
        <v>双刃剑</v>
      </c>
      <c r="D1417" s="14" t="str">
        <f>equip.xml!D1421</f>
        <v>主手武器</v>
      </c>
      <c r="E1417" s="14">
        <f>equip.xml!E1421</f>
        <v>5</v>
      </c>
      <c r="F1417" s="14">
        <f>equip.xml!F1421</f>
        <v>4</v>
      </c>
      <c r="G1417" s="14">
        <f>equip.xml!G1421</f>
        <v>5</v>
      </c>
      <c r="H1417" s="14" t="str">
        <f>equip.xml!H1421</f>
        <v>1,1001</v>
      </c>
      <c r="I1417" s="14">
        <f>equip.xml!J1421</f>
        <v>50</v>
      </c>
      <c r="J1417" s="14">
        <f>equip.xml!K1421</f>
        <v>500</v>
      </c>
      <c r="K1417" s="14">
        <f>equip.xml!L1421</f>
        <v>0</v>
      </c>
      <c r="L1417" s="14" t="str">
        <f>equip.xml!M1421</f>
        <v>103_18_18,104_38_38</v>
      </c>
      <c r="M1417" s="17" t="str">
        <f>equip.xml!Q1421</f>
        <v>equipment/1104.png</v>
      </c>
      <c r="N1417" s="16" t="str">
        <f>equip.xml!P1421</f>
        <v>10000_1002_5000,30000_30001_1,30000_30002_1,30000_30003_1</v>
      </c>
      <c r="O1417">
        <f>equip.xml!R1421</f>
        <v>0</v>
      </c>
    </row>
    <row r="1418" spans="1:15">
      <c r="A1418" s="14" t="str">
        <f>equip.xml!A1422</f>
        <v>40051060</v>
      </c>
      <c r="B1418" s="14">
        <f>equip.xml!B1422</f>
        <v>1</v>
      </c>
      <c r="C1418" s="14" t="str">
        <f>equip.xml!C1422</f>
        <v>尖头盾</v>
      </c>
      <c r="D1418" s="14" t="str">
        <f>equip.xml!D1422</f>
        <v>副手武器</v>
      </c>
      <c r="E1418" s="14">
        <f>equip.xml!E1422</f>
        <v>6</v>
      </c>
      <c r="F1418" s="14">
        <f>equip.xml!F1422</f>
        <v>4</v>
      </c>
      <c r="G1418" s="14">
        <f>equip.xml!G1422</f>
        <v>5</v>
      </c>
      <c r="H1418" s="14" t="str">
        <f>equip.xml!H1422</f>
        <v>1,1001</v>
      </c>
      <c r="I1418" s="14">
        <f>equip.xml!J1422</f>
        <v>50</v>
      </c>
      <c r="J1418" s="14">
        <f>equip.xml!K1422</f>
        <v>500</v>
      </c>
      <c r="K1418" s="14">
        <f>equip.xml!L1422</f>
        <v>0</v>
      </c>
      <c r="L1418" s="14" t="str">
        <f>equip.xml!M1422</f>
        <v>105_12_12</v>
      </c>
      <c r="M1418" s="17" t="str">
        <f>equip.xml!Q1422</f>
        <v>equipment/2102.png</v>
      </c>
      <c r="N1418" s="16" t="str">
        <f>equip.xml!P1422</f>
        <v>10000_1002_5000,30000_30001_1,30000_30002_1,30000_30003_1</v>
      </c>
      <c r="O1418">
        <f>equip.xml!R1422</f>
        <v>0</v>
      </c>
    </row>
    <row r="1419" spans="1:15">
      <c r="A1419" s="14" t="str">
        <f>equip.xml!A1423</f>
        <v>40051061</v>
      </c>
      <c r="B1419" s="14">
        <f>equip.xml!B1423</f>
        <v>0</v>
      </c>
      <c r="C1419" s="14" t="str">
        <f>equip.xml!C1423</f>
        <v>尖头盾</v>
      </c>
      <c r="D1419" s="14" t="str">
        <f>equip.xml!D1423</f>
        <v>副手武器</v>
      </c>
      <c r="E1419" s="14">
        <f>equip.xml!E1423</f>
        <v>6</v>
      </c>
      <c r="F1419" s="14">
        <f>equip.xml!F1423</f>
        <v>4</v>
      </c>
      <c r="G1419" s="14">
        <f>equip.xml!G1423</f>
        <v>5</v>
      </c>
      <c r="H1419" s="14" t="str">
        <f>equip.xml!H1423</f>
        <v>1,1001</v>
      </c>
      <c r="I1419" s="14">
        <f>equip.xml!J1423</f>
        <v>50</v>
      </c>
      <c r="J1419" s="14">
        <f>equip.xml!K1423</f>
        <v>500</v>
      </c>
      <c r="K1419" s="14">
        <f>equip.xml!L1423</f>
        <v>0</v>
      </c>
      <c r="L1419" s="14" t="str">
        <f>equip.xml!M1423</f>
        <v>105_19_19</v>
      </c>
      <c r="M1419" s="17" t="str">
        <f>equip.xml!Q1423</f>
        <v>equipment/2101.png</v>
      </c>
      <c r="N1419" s="16" t="str">
        <f>equip.xml!P1423</f>
        <v>10000_1002_5000,30000_30001_1,30000_30002_1,30000_30003_1</v>
      </c>
      <c r="O1419">
        <f>equip.xml!R1423</f>
        <v>0</v>
      </c>
    </row>
    <row r="1420" spans="1:15">
      <c r="A1420" s="14" t="str">
        <f>equip.xml!A1424</f>
        <v>40052050</v>
      </c>
      <c r="B1420" s="14">
        <f>equip.xml!B1424</f>
        <v>1</v>
      </c>
      <c r="C1420" s="14" t="str">
        <f>equip.xml!C1424</f>
        <v>硬弓</v>
      </c>
      <c r="D1420" s="14" t="str">
        <f>equip.xml!D1424</f>
        <v>主手武器</v>
      </c>
      <c r="E1420" s="14">
        <f>equip.xml!E1424</f>
        <v>5</v>
      </c>
      <c r="F1420" s="14">
        <f>equip.xml!F1424</f>
        <v>4</v>
      </c>
      <c r="G1420" s="14">
        <f>equip.xml!G1424</f>
        <v>5</v>
      </c>
      <c r="H1420" s="14" t="str">
        <f>equip.xml!H1424</f>
        <v>2,1002</v>
      </c>
      <c r="I1420" s="14">
        <f>equip.xml!J1424</f>
        <v>50</v>
      </c>
      <c r="J1420" s="14">
        <f>equip.xml!K1424</f>
        <v>500</v>
      </c>
      <c r="K1420" s="14">
        <f>equip.xml!L1424</f>
        <v>0</v>
      </c>
      <c r="L1420" s="14" t="str">
        <f>equip.xml!M1424</f>
        <v>103_10_10,104_20_20</v>
      </c>
      <c r="M1420" s="17" t="str">
        <f>equip.xml!Q1424</f>
        <v>equipment/1204.png</v>
      </c>
      <c r="N1420" s="16" t="str">
        <f>equip.xml!P1424</f>
        <v>10000_1002_5000,30000_30001_1,30000_30002_1,30000_30003_1</v>
      </c>
      <c r="O1420">
        <f>equip.xml!R1424</f>
        <v>0</v>
      </c>
    </row>
    <row r="1421" spans="1:15">
      <c r="A1421" s="14" t="str">
        <f>equip.xml!A1425</f>
        <v>40052051</v>
      </c>
      <c r="B1421" s="14">
        <f>equip.xml!B1425</f>
        <v>1</v>
      </c>
      <c r="C1421" s="14" t="str">
        <f>equip.xml!C1425</f>
        <v>反曲弓</v>
      </c>
      <c r="D1421" s="14" t="str">
        <f>equip.xml!D1425</f>
        <v>主手武器</v>
      </c>
      <c r="E1421" s="14">
        <f>equip.xml!E1425</f>
        <v>5</v>
      </c>
      <c r="F1421" s="14">
        <f>equip.xml!F1425</f>
        <v>4</v>
      </c>
      <c r="G1421" s="14">
        <f>equip.xml!G1425</f>
        <v>5</v>
      </c>
      <c r="H1421" s="14" t="str">
        <f>equip.xml!H1425</f>
        <v>2,1002</v>
      </c>
      <c r="I1421" s="14">
        <f>equip.xml!J1425</f>
        <v>50</v>
      </c>
      <c r="J1421" s="14">
        <f>equip.xml!K1425</f>
        <v>500</v>
      </c>
      <c r="K1421" s="14">
        <f>equip.xml!L1425</f>
        <v>0</v>
      </c>
      <c r="L1421" s="14" t="str">
        <f>equip.xml!M1425</f>
        <v>103_18_18,104_38_38</v>
      </c>
      <c r="M1421" s="17" t="str">
        <f>equip.xml!Q1425</f>
        <v>equipment/1203.png</v>
      </c>
      <c r="N1421" s="16" t="str">
        <f>equip.xml!P1425</f>
        <v>10000_1002_5000,30000_30001_1,30000_30002_1,30000_30003_1</v>
      </c>
      <c r="O1421">
        <f>equip.xml!R1425</f>
        <v>0</v>
      </c>
    </row>
    <row r="1422" spans="1:15">
      <c r="A1422" s="14" t="str">
        <f>equip.xml!A1426</f>
        <v>40052060</v>
      </c>
      <c r="B1422" s="14">
        <f>equip.xml!B1426</f>
        <v>1</v>
      </c>
      <c r="C1422" s="14" t="str">
        <f>equip.xml!C1426</f>
        <v>箭筒</v>
      </c>
      <c r="D1422" s="14" t="str">
        <f>equip.xml!D1426</f>
        <v>副手武器</v>
      </c>
      <c r="E1422" s="14">
        <f>equip.xml!E1426</f>
        <v>6</v>
      </c>
      <c r="F1422" s="14">
        <f>equip.xml!F1426</f>
        <v>4</v>
      </c>
      <c r="G1422" s="14">
        <f>equip.xml!G1426</f>
        <v>5</v>
      </c>
      <c r="H1422" s="14" t="str">
        <f>equip.xml!H1426</f>
        <v>2,1002</v>
      </c>
      <c r="I1422" s="14">
        <f>equip.xml!J1426</f>
        <v>50</v>
      </c>
      <c r="J1422" s="14">
        <f>equip.xml!K1426</f>
        <v>500</v>
      </c>
      <c r="K1422" s="14">
        <f>equip.xml!L1426</f>
        <v>0</v>
      </c>
      <c r="L1422" s="14" t="str">
        <f>equip.xml!M1426</f>
        <v>108_12_12</v>
      </c>
      <c r="M1422" s="17" t="str">
        <f>equip.xml!Q1426</f>
        <v>equipment/2202.png</v>
      </c>
      <c r="N1422" s="16" t="str">
        <f>equip.xml!P1426</f>
        <v>10000_1002_5000,30000_30001_1,30000_30002_1,30000_30003_1</v>
      </c>
      <c r="O1422">
        <f>equip.xml!R1426</f>
        <v>0</v>
      </c>
    </row>
    <row r="1423" spans="1:15">
      <c r="A1423" s="14" t="str">
        <f>equip.xml!A1427</f>
        <v>40052061</v>
      </c>
      <c r="B1423" s="14">
        <f>equip.xml!B1427</f>
        <v>0</v>
      </c>
      <c r="C1423" s="14" t="str">
        <f>equip.xml!C1427</f>
        <v>箭筒</v>
      </c>
      <c r="D1423" s="14" t="str">
        <f>equip.xml!D1427</f>
        <v>副手武器</v>
      </c>
      <c r="E1423" s="14">
        <f>equip.xml!E1427</f>
        <v>6</v>
      </c>
      <c r="F1423" s="14">
        <f>equip.xml!F1427</f>
        <v>4</v>
      </c>
      <c r="G1423" s="14">
        <f>equip.xml!G1427</f>
        <v>5</v>
      </c>
      <c r="H1423" s="14" t="str">
        <f>equip.xml!H1427</f>
        <v>2,1002</v>
      </c>
      <c r="I1423" s="14">
        <f>equip.xml!J1427</f>
        <v>50</v>
      </c>
      <c r="J1423" s="14">
        <f>equip.xml!K1427</f>
        <v>500</v>
      </c>
      <c r="K1423" s="14">
        <f>equip.xml!L1427</f>
        <v>0</v>
      </c>
      <c r="L1423" s="14" t="str">
        <f>equip.xml!M1427</f>
        <v>108_19_19</v>
      </c>
      <c r="M1423" s="17" t="str">
        <f>equip.xml!Q1427</f>
        <v>equipment/2201.png</v>
      </c>
      <c r="N1423" s="16" t="str">
        <f>equip.xml!P1427</f>
        <v>10000_1002_5000,30000_30001_1,30000_30002_1,30000_30003_1</v>
      </c>
      <c r="O1423">
        <f>equip.xml!R1427</f>
        <v>0</v>
      </c>
    </row>
    <row r="1424" spans="1:15">
      <c r="A1424" s="14" t="str">
        <f>equip.xml!A1428</f>
        <v>40053050</v>
      </c>
      <c r="B1424" s="14">
        <f>equip.xml!B1428</f>
        <v>1</v>
      </c>
      <c r="C1424" s="14" t="str">
        <f>equip.xml!C1428</f>
        <v>巫术之杖</v>
      </c>
      <c r="D1424" s="14" t="str">
        <f>equip.xml!D1428</f>
        <v>主手武器</v>
      </c>
      <c r="E1424" s="14">
        <f>equip.xml!E1428</f>
        <v>5</v>
      </c>
      <c r="F1424" s="14">
        <f>equip.xml!F1428</f>
        <v>4</v>
      </c>
      <c r="G1424" s="14">
        <f>equip.xml!G1428</f>
        <v>5</v>
      </c>
      <c r="H1424" s="14" t="str">
        <f>equip.xml!H1428</f>
        <v>3,1003</v>
      </c>
      <c r="I1424" s="14">
        <f>equip.xml!J1428</f>
        <v>50</v>
      </c>
      <c r="J1424" s="14">
        <f>equip.xml!K1428</f>
        <v>500</v>
      </c>
      <c r="K1424" s="14">
        <f>equip.xml!L1428</f>
        <v>0</v>
      </c>
      <c r="L1424" s="14" t="str">
        <f>equip.xml!M1428</f>
        <v>103_10_10,104_20_20</v>
      </c>
      <c r="M1424" s="17" t="str">
        <f>equip.xml!Q1428</f>
        <v>equipment/1303.png</v>
      </c>
      <c r="N1424" s="16" t="str">
        <f>equip.xml!P1428</f>
        <v>10000_1002_5000,30000_30001_1,30000_30002_1,30000_30003_1</v>
      </c>
      <c r="O1424">
        <f>equip.xml!R1428</f>
        <v>0</v>
      </c>
    </row>
    <row r="1425" spans="1:15">
      <c r="A1425" s="14" t="str">
        <f>equip.xml!A1429</f>
        <v>40053051</v>
      </c>
      <c r="B1425" s="14">
        <f>equip.xml!B1429</f>
        <v>1</v>
      </c>
      <c r="C1425" s="14" t="str">
        <f>equip.xml!C1429</f>
        <v>秘术法杖</v>
      </c>
      <c r="D1425" s="14" t="str">
        <f>equip.xml!D1429</f>
        <v>主手武器</v>
      </c>
      <c r="E1425" s="14">
        <f>equip.xml!E1429</f>
        <v>5</v>
      </c>
      <c r="F1425" s="14">
        <f>equip.xml!F1429</f>
        <v>4</v>
      </c>
      <c r="G1425" s="14">
        <f>equip.xml!G1429</f>
        <v>5</v>
      </c>
      <c r="H1425" s="14" t="str">
        <f>equip.xml!H1429</f>
        <v>3,1003</v>
      </c>
      <c r="I1425" s="14">
        <f>equip.xml!J1429</f>
        <v>50</v>
      </c>
      <c r="J1425" s="14">
        <f>equip.xml!K1429</f>
        <v>500</v>
      </c>
      <c r="K1425" s="14">
        <f>equip.xml!L1429</f>
        <v>0</v>
      </c>
      <c r="L1425" s="14" t="str">
        <f>equip.xml!M1429</f>
        <v>103_18_18,104_38_38</v>
      </c>
      <c r="M1425" s="17" t="str">
        <f>equip.xml!Q1429</f>
        <v>equipment/1304.png</v>
      </c>
      <c r="N1425" s="16" t="str">
        <f>equip.xml!P1429</f>
        <v>10000_1002_5000,30000_30001_1,30000_30002_1,30000_30003_1</v>
      </c>
      <c r="O1425">
        <f>equip.xml!R1429</f>
        <v>0</v>
      </c>
    </row>
    <row r="1426" spans="1:15">
      <c r="A1426" s="14" t="str">
        <f>equip.xml!A1430</f>
        <v>40053060</v>
      </c>
      <c r="B1426" s="14">
        <f>equip.xml!B1430</f>
        <v>1</v>
      </c>
      <c r="C1426" s="14" t="str">
        <f>equip.xml!C1430</f>
        <v>法术指南</v>
      </c>
      <c r="D1426" s="14" t="str">
        <f>equip.xml!D1430</f>
        <v>副手武器</v>
      </c>
      <c r="E1426" s="14">
        <f>equip.xml!E1430</f>
        <v>6</v>
      </c>
      <c r="F1426" s="14">
        <f>equip.xml!F1430</f>
        <v>4</v>
      </c>
      <c r="G1426" s="14">
        <f>equip.xml!G1430</f>
        <v>5</v>
      </c>
      <c r="H1426" s="14" t="str">
        <f>equip.xml!H1430</f>
        <v>3,1003</v>
      </c>
      <c r="I1426" s="14">
        <f>equip.xml!J1430</f>
        <v>50</v>
      </c>
      <c r="J1426" s="14">
        <f>equip.xml!K1430</f>
        <v>500</v>
      </c>
      <c r="K1426" s="14">
        <f>equip.xml!L1430</f>
        <v>0</v>
      </c>
      <c r="L1426" s="14" t="str">
        <f>equip.xml!M1430</f>
        <v>102_110_110</v>
      </c>
      <c r="M1426" s="17" t="str">
        <f>equip.xml!Q1430</f>
        <v>equipment/2302.png</v>
      </c>
      <c r="N1426" s="16" t="str">
        <f>equip.xml!P1430</f>
        <v>10000_1002_5000,30000_30001_1,30000_30002_1,30000_30003_1</v>
      </c>
      <c r="O1426">
        <f>equip.xml!R1430</f>
        <v>0</v>
      </c>
    </row>
    <row r="1427" spans="1:15">
      <c r="A1427" s="14" t="str">
        <f>equip.xml!A1431</f>
        <v>40053061</v>
      </c>
      <c r="B1427" s="14">
        <f>equip.xml!B1431</f>
        <v>0</v>
      </c>
      <c r="C1427" s="14" t="str">
        <f>equip.xml!C1431</f>
        <v>法术指南</v>
      </c>
      <c r="D1427" s="14" t="str">
        <f>equip.xml!D1431</f>
        <v>副手武器</v>
      </c>
      <c r="E1427" s="14">
        <f>equip.xml!E1431</f>
        <v>6</v>
      </c>
      <c r="F1427" s="14">
        <f>equip.xml!F1431</f>
        <v>4</v>
      </c>
      <c r="G1427" s="14">
        <f>equip.xml!G1431</f>
        <v>5</v>
      </c>
      <c r="H1427" s="14" t="str">
        <f>equip.xml!H1431</f>
        <v>3,1003</v>
      </c>
      <c r="I1427" s="14">
        <f>equip.xml!J1431</f>
        <v>50</v>
      </c>
      <c r="J1427" s="14">
        <f>equip.xml!K1431</f>
        <v>500</v>
      </c>
      <c r="K1427" s="14">
        <f>equip.xml!L1431</f>
        <v>0</v>
      </c>
      <c r="L1427" s="14" t="str">
        <f>equip.xml!M1431</f>
        <v>102_19_19</v>
      </c>
      <c r="M1427" s="17" t="str">
        <f>equip.xml!Q1431</f>
        <v>equipment/2301.png</v>
      </c>
      <c r="N1427" s="16" t="str">
        <f>equip.xml!P1431</f>
        <v>10000_1002_5000,30000_30001_1,30000_30002_1,30000_30003_1</v>
      </c>
      <c r="O1427">
        <f>equip.xml!R1431</f>
        <v>0</v>
      </c>
    </row>
    <row r="1428" spans="1:15">
      <c r="A1428" s="14" t="str">
        <f>equip.xml!A1432</f>
        <v>40050040</v>
      </c>
      <c r="B1428" s="14">
        <f>equip.xml!B1432</f>
        <v>1</v>
      </c>
      <c r="C1428" s="14" t="str">
        <f>equip.xml!C1432</f>
        <v>锁甲外套</v>
      </c>
      <c r="D1428" s="14" t="str">
        <f>equip.xml!D1432</f>
        <v>胸甲</v>
      </c>
      <c r="E1428" s="14">
        <f>equip.xml!E1432</f>
        <v>4</v>
      </c>
      <c r="F1428" s="14">
        <f>equip.xml!F1432</f>
        <v>4</v>
      </c>
      <c r="G1428" s="14">
        <f>equip.xml!G1432</f>
        <v>5</v>
      </c>
      <c r="H1428" s="14">
        <f>equip.xml!H1432</f>
        <v>0</v>
      </c>
      <c r="I1428" s="14">
        <f>equip.xml!J1432</f>
        <v>50</v>
      </c>
      <c r="J1428" s="14">
        <f>equip.xml!K1432</f>
        <v>500</v>
      </c>
      <c r="K1428" s="14">
        <f>equip.xml!L1432</f>
        <v>0</v>
      </c>
      <c r="L1428" s="14" t="str">
        <f>equip.xml!M1432</f>
        <v>105_9_9</v>
      </c>
      <c r="M1428" s="17" t="str">
        <f>equip.xml!Q1432</f>
        <v>equipment/5002.png</v>
      </c>
      <c r="N1428" s="16" t="str">
        <f>equip.xml!P1432</f>
        <v>10000_1002_5000,30000_30001_1,30000_30002_1,30000_30003_1</v>
      </c>
      <c r="O1428">
        <f>equip.xml!R1432</f>
        <v>0</v>
      </c>
    </row>
    <row r="1429" spans="1:15">
      <c r="A1429" s="14" t="str">
        <f>equip.xml!A1433</f>
        <v>40050041</v>
      </c>
      <c r="B1429" s="14">
        <f>equip.xml!B1433</f>
        <v>1</v>
      </c>
      <c r="C1429" s="14" t="str">
        <f>equip.xml!C1433</f>
        <v>战士胸甲</v>
      </c>
      <c r="D1429" s="14" t="str">
        <f>equip.xml!D1433</f>
        <v>胸甲</v>
      </c>
      <c r="E1429" s="14">
        <f>equip.xml!E1433</f>
        <v>4</v>
      </c>
      <c r="F1429" s="14">
        <f>equip.xml!F1433</f>
        <v>4</v>
      </c>
      <c r="G1429" s="14">
        <f>equip.xml!G1433</f>
        <v>5</v>
      </c>
      <c r="H1429" s="14">
        <f>equip.xml!H1433</f>
        <v>0</v>
      </c>
      <c r="I1429" s="14">
        <f>equip.xml!J1433</f>
        <v>50</v>
      </c>
      <c r="J1429" s="14">
        <f>equip.xml!K1433</f>
        <v>500</v>
      </c>
      <c r="K1429" s="14">
        <f>equip.xml!L1433</f>
        <v>0</v>
      </c>
      <c r="L1429" s="14" t="str">
        <f>equip.xml!M1433</f>
        <v>105_13_13</v>
      </c>
      <c r="M1429" s="17" t="str">
        <f>equip.xml!Q1433</f>
        <v>equipment/5003.png</v>
      </c>
      <c r="N1429" s="16" t="str">
        <f>equip.xml!P1433</f>
        <v>10000_1002_5000,30000_30001_1,30000_30002_1,30000_30003_1</v>
      </c>
      <c r="O1429">
        <f>equip.xml!R1433</f>
        <v>0</v>
      </c>
    </row>
    <row r="1430" spans="1:15">
      <c r="A1430" s="14" t="str">
        <f>equip.xml!A1434</f>
        <v>40050070</v>
      </c>
      <c r="B1430" s="14">
        <f>equip.xml!B1434</f>
        <v>1</v>
      </c>
      <c r="C1430" s="14" t="str">
        <f>equip.xml!C1434</f>
        <v>皮甲短裤</v>
      </c>
      <c r="D1430" s="14" t="str">
        <f>equip.xml!D1434</f>
        <v>护腿</v>
      </c>
      <c r="E1430" s="14">
        <f>equip.xml!E1434</f>
        <v>7</v>
      </c>
      <c r="F1430" s="14">
        <f>equip.xml!F1434</f>
        <v>4</v>
      </c>
      <c r="G1430" s="14">
        <f>equip.xml!G1434</f>
        <v>5</v>
      </c>
      <c r="H1430" s="14">
        <f>equip.xml!H1434</f>
        <v>0</v>
      </c>
      <c r="I1430" s="14">
        <f>equip.xml!J1434</f>
        <v>50</v>
      </c>
      <c r="J1430" s="14">
        <f>equip.xml!K1434</f>
        <v>500</v>
      </c>
      <c r="K1430" s="14">
        <f>equip.xml!L1434</f>
        <v>0</v>
      </c>
      <c r="L1430" s="14" t="str">
        <f>equip.xml!M1434</f>
        <v>105_3_3</v>
      </c>
      <c r="M1430" s="17" t="str">
        <f>equip.xml!Q1434</f>
        <v>equipment/7001.png</v>
      </c>
      <c r="N1430" s="16" t="str">
        <f>equip.xml!P1434</f>
        <v>10000_1002_5000,30000_30001_1,30000_30002_1,30000_30003_1</v>
      </c>
      <c r="O1430">
        <f>equip.xml!R1434</f>
        <v>0</v>
      </c>
    </row>
    <row r="1431" spans="1:15">
      <c r="A1431" s="14" t="str">
        <f>equip.xml!A1435</f>
        <v>40050071</v>
      </c>
      <c r="B1431" s="14">
        <f>equip.xml!B1435</f>
        <v>1</v>
      </c>
      <c r="C1431" s="14" t="str">
        <f>equip.xml!C1435</f>
        <v>学徒短裤</v>
      </c>
      <c r="D1431" s="14" t="str">
        <f>equip.xml!D1435</f>
        <v>护腿</v>
      </c>
      <c r="E1431" s="14">
        <f>equip.xml!E1435</f>
        <v>7</v>
      </c>
      <c r="F1431" s="14">
        <f>equip.xml!F1435</f>
        <v>4</v>
      </c>
      <c r="G1431" s="14">
        <f>equip.xml!G1435</f>
        <v>5</v>
      </c>
      <c r="H1431" s="14">
        <f>equip.xml!H1435</f>
        <v>0</v>
      </c>
      <c r="I1431" s="14">
        <f>equip.xml!J1435</f>
        <v>50</v>
      </c>
      <c r="J1431" s="14">
        <f>equip.xml!K1435</f>
        <v>500</v>
      </c>
      <c r="K1431" s="14">
        <f>equip.xml!L1435</f>
        <v>0</v>
      </c>
      <c r="L1431" s="14" t="str">
        <f>equip.xml!M1435</f>
        <v>105_10_10</v>
      </c>
      <c r="M1431" s="17" t="str">
        <f>equip.xml!Q1435</f>
        <v>equipment/7002.png</v>
      </c>
      <c r="N1431" s="16" t="str">
        <f>equip.xml!P1435</f>
        <v>10000_1002_5000,30000_30001_1,30000_30002_1,30000_30003_1</v>
      </c>
      <c r="O1431">
        <f>equip.xml!R1435</f>
        <v>0</v>
      </c>
    </row>
    <row r="1432" spans="1:15">
      <c r="A1432" s="14" t="str">
        <f>equip.xml!A1436</f>
        <v>40100010</v>
      </c>
      <c r="B1432" s="14">
        <f>equip.xml!B1436</f>
        <v>1</v>
      </c>
      <c r="C1432" s="14" t="str">
        <f>equip.xml!C1436</f>
        <v>轻便头盔</v>
      </c>
      <c r="D1432" s="14" t="str">
        <f>equip.xml!D1436</f>
        <v>头盔</v>
      </c>
      <c r="E1432" s="14">
        <f>equip.xml!E1436</f>
        <v>1</v>
      </c>
      <c r="F1432" s="14">
        <f>equip.xml!F1436</f>
        <v>4</v>
      </c>
      <c r="G1432" s="14">
        <f>equip.xml!G1436</f>
        <v>10</v>
      </c>
      <c r="H1432" s="14">
        <f>equip.xml!H1436</f>
        <v>0</v>
      </c>
      <c r="I1432" s="14">
        <f>equip.xml!J1436</f>
        <v>50</v>
      </c>
      <c r="J1432" s="14">
        <f>equip.xml!K1436</f>
        <v>500</v>
      </c>
      <c r="K1432" s="14">
        <f>equip.xml!L1436</f>
        <v>7500</v>
      </c>
      <c r="L1432" s="14" t="str">
        <f>equip.xml!M1436</f>
        <v>106_64_64</v>
      </c>
      <c r="M1432" s="17" t="str">
        <f>equip.xml!Q1436</f>
        <v>equipment/3002.png</v>
      </c>
      <c r="N1432" s="16" t="str">
        <f>equip.xml!P1436</f>
        <v>10000_1002_10000,30000_30001_1,30000_30002_1,30000_30003_1</v>
      </c>
      <c r="O1432">
        <f>equip.xml!R1436</f>
        <v>0</v>
      </c>
    </row>
    <row r="1433" spans="1:15">
      <c r="A1433" s="14" t="str">
        <f>equip.xml!A1437</f>
        <v>40100020</v>
      </c>
      <c r="B1433" s="14">
        <f>equip.xml!B1437</f>
        <v>1</v>
      </c>
      <c r="C1433" s="14" t="str">
        <f>equip.xml!C1437</f>
        <v>宝石戒指</v>
      </c>
      <c r="D1433" s="14" t="str">
        <f>equip.xml!D1437</f>
        <v>戒指</v>
      </c>
      <c r="E1433" s="14">
        <f>equip.xml!E1437</f>
        <v>2</v>
      </c>
      <c r="F1433" s="14">
        <f>equip.xml!F1437</f>
        <v>4</v>
      </c>
      <c r="G1433" s="14">
        <f>equip.xml!G1437</f>
        <v>10</v>
      </c>
      <c r="H1433" s="14">
        <f>equip.xml!H1437</f>
        <v>0</v>
      </c>
      <c r="I1433" s="14">
        <f>equip.xml!J1437</f>
        <v>50</v>
      </c>
      <c r="J1433" s="14">
        <f>equip.xml!K1437</f>
        <v>500</v>
      </c>
      <c r="K1433" s="14">
        <f>equip.xml!L1437</f>
        <v>7500</v>
      </c>
      <c r="L1433" s="14" t="str">
        <f>equip.xml!M1437</f>
        <v>102_150_150</v>
      </c>
      <c r="M1433" s="17" t="str">
        <f>equip.xml!Q1437</f>
        <v>equipment/14002.png</v>
      </c>
      <c r="N1433" s="16" t="str">
        <f>equip.xml!P1437</f>
        <v>10000_1002_10000,30000_30001_1,30000_30002_1,30000_30003_1</v>
      </c>
      <c r="O1433">
        <f>equip.xml!R1437</f>
        <v>0</v>
      </c>
    </row>
    <row r="1434" spans="1:15">
      <c r="A1434" s="14" t="str">
        <f>equip.xml!A1438</f>
        <v>40100030</v>
      </c>
      <c r="B1434" s="14">
        <f>equip.xml!B1438</f>
        <v>1</v>
      </c>
      <c r="C1434" s="14" t="str">
        <f>equip.xml!C1438</f>
        <v>坚硬皮带</v>
      </c>
      <c r="D1434" s="14" t="str">
        <f>equip.xml!D1438</f>
        <v>腰带</v>
      </c>
      <c r="E1434" s="14">
        <f>equip.xml!E1438</f>
        <v>3</v>
      </c>
      <c r="F1434" s="14">
        <f>equip.xml!F1438</f>
        <v>4</v>
      </c>
      <c r="G1434" s="14">
        <f>equip.xml!G1438</f>
        <v>10</v>
      </c>
      <c r="H1434" s="14">
        <f>equip.xml!H1438</f>
        <v>0</v>
      </c>
      <c r="I1434" s="14">
        <f>equip.xml!J1438</f>
        <v>50</v>
      </c>
      <c r="J1434" s="14">
        <f>equip.xml!K1438</f>
        <v>500</v>
      </c>
      <c r="K1434" s="14">
        <f>equip.xml!L1438</f>
        <v>7500</v>
      </c>
      <c r="L1434" s="14" t="str">
        <f>equip.xml!M1438</f>
        <v>101_480_480</v>
      </c>
      <c r="M1434" s="17" t="str">
        <f>equip.xml!Q1438</f>
        <v>equipment/6002.png</v>
      </c>
      <c r="N1434" s="16" t="str">
        <f>equip.xml!P1438</f>
        <v>10000_1002_10000,30000_30001_1,30000_30002_1,30000_30003_1</v>
      </c>
      <c r="O1434">
        <f>equip.xml!R1438</f>
        <v>0</v>
      </c>
    </row>
    <row r="1435" spans="1:15">
      <c r="A1435" s="14" t="str">
        <f>equip.xml!A1439</f>
        <v>40100080</v>
      </c>
      <c r="B1435" s="14">
        <f>equip.xml!B1439</f>
        <v>1</v>
      </c>
      <c r="C1435" s="14" t="str">
        <f>equip.xml!C1439</f>
        <v>软垫靴</v>
      </c>
      <c r="D1435" s="14" t="str">
        <f>equip.xml!D1439</f>
        <v>鞋子</v>
      </c>
      <c r="E1435" s="14">
        <f>equip.xml!E1439</f>
        <v>8</v>
      </c>
      <c r="F1435" s="14">
        <f>equip.xml!F1439</f>
        <v>4</v>
      </c>
      <c r="G1435" s="14">
        <f>equip.xml!G1439</f>
        <v>10</v>
      </c>
      <c r="H1435" s="14">
        <f>equip.xml!H1439</f>
        <v>0</v>
      </c>
      <c r="I1435" s="14">
        <f>equip.xml!J1439</f>
        <v>50</v>
      </c>
      <c r="J1435" s="14">
        <f>equip.xml!K1439</f>
        <v>500</v>
      </c>
      <c r="K1435" s="14">
        <f>equip.xml!L1439</f>
        <v>7500</v>
      </c>
      <c r="L1435" s="14" t="str">
        <f>equip.xml!M1439</f>
        <v>110_12_12</v>
      </c>
      <c r="M1435" s="17" t="str">
        <f>equip.xml!Q1439</f>
        <v>equipment/8002.png</v>
      </c>
      <c r="N1435" s="16" t="str">
        <f>equip.xml!P1439</f>
        <v>10000_1002_10000,30000_30001_1,30000_30002_1,30000_30003_1</v>
      </c>
      <c r="O1435">
        <f>equip.xml!R1439</f>
        <v>0</v>
      </c>
    </row>
    <row r="1436" spans="1:15">
      <c r="A1436" s="14" t="str">
        <f>equip.xml!A1440</f>
        <v>40100090</v>
      </c>
      <c r="B1436" s="14">
        <f>equip.xml!B1440</f>
        <v>1</v>
      </c>
      <c r="C1436" s="14" t="str">
        <f>equip.xml!C1440</f>
        <v>步兵护手</v>
      </c>
      <c r="D1436" s="14" t="str">
        <f>equip.xml!D1440</f>
        <v>手套</v>
      </c>
      <c r="E1436" s="14">
        <f>equip.xml!E1440</f>
        <v>9</v>
      </c>
      <c r="F1436" s="14">
        <f>equip.xml!F1440</f>
        <v>4</v>
      </c>
      <c r="G1436" s="14">
        <f>equip.xml!G1440</f>
        <v>10</v>
      </c>
      <c r="H1436" s="14">
        <f>equip.xml!H1440</f>
        <v>0</v>
      </c>
      <c r="I1436" s="14">
        <f>equip.xml!J1440</f>
        <v>50</v>
      </c>
      <c r="J1436" s="14">
        <f>equip.xml!K1440</f>
        <v>500</v>
      </c>
      <c r="K1436" s="14">
        <f>equip.xml!L1440</f>
        <v>7500</v>
      </c>
      <c r="L1436" s="14" t="str">
        <f>equip.xml!M1440</f>
        <v>108_43_43</v>
      </c>
      <c r="M1436" s="17" t="str">
        <f>equip.xml!Q1440</f>
        <v>equipment/10002.png</v>
      </c>
      <c r="N1436" s="16" t="str">
        <f>equip.xml!P1440</f>
        <v>10000_1002_10000,30000_30001_1,30000_30002_1,30000_30003_1</v>
      </c>
      <c r="O1436">
        <f>equip.xml!R1440</f>
        <v>0</v>
      </c>
    </row>
    <row r="1437" spans="1:15">
      <c r="A1437" s="14" t="str">
        <f>equip.xml!A1441</f>
        <v>40100100</v>
      </c>
      <c r="B1437" s="14">
        <f>equip.xml!B1441</f>
        <v>0</v>
      </c>
      <c r="C1437" s="14" t="str">
        <f>equip.xml!C1441</f>
        <v>贝壳项链</v>
      </c>
      <c r="D1437" s="14" t="str">
        <f>equip.xml!D1441</f>
        <v>项链</v>
      </c>
      <c r="E1437" s="14">
        <f>equip.xml!E1441</f>
        <v>10</v>
      </c>
      <c r="F1437" s="14">
        <f>equip.xml!F1441</f>
        <v>4</v>
      </c>
      <c r="G1437" s="14">
        <f>equip.xml!G1441</f>
        <v>10</v>
      </c>
      <c r="H1437" s="14">
        <f>equip.xml!H1441</f>
        <v>0</v>
      </c>
      <c r="I1437" s="14">
        <f>equip.xml!J1441</f>
        <v>50</v>
      </c>
      <c r="J1437" s="14">
        <f>equip.xml!K1441</f>
        <v>500</v>
      </c>
      <c r="K1437" s="14">
        <f>equip.xml!L1441</f>
        <v>7500</v>
      </c>
      <c r="L1437" s="14" t="str">
        <f>equip.xml!M1441</f>
        <v>107_20_20</v>
      </c>
      <c r="M1437" s="17" t="str">
        <f>equip.xml!Q1441</f>
        <v>equipment/12001.png</v>
      </c>
      <c r="N1437" s="16" t="str">
        <f>equip.xml!P1441</f>
        <v>10000_1002_10000,30000_30001_1,30000_30002_1,30000_30003_1</v>
      </c>
      <c r="O1437">
        <f>equip.xml!R1441</f>
        <v>0</v>
      </c>
    </row>
    <row r="1438" spans="1:15">
      <c r="A1438" s="14" t="str">
        <f>equip.xml!A1442</f>
        <v>40101050</v>
      </c>
      <c r="B1438" s="14">
        <f>equip.xml!B1442</f>
        <v>1</v>
      </c>
      <c r="C1438" s="14" t="str">
        <f>equip.xml!C1442</f>
        <v>护卫之刃</v>
      </c>
      <c r="D1438" s="14" t="str">
        <f>equip.xml!D1442</f>
        <v>主手武器</v>
      </c>
      <c r="E1438" s="14">
        <f>equip.xml!E1442</f>
        <v>5</v>
      </c>
      <c r="F1438" s="14">
        <f>equip.xml!F1442</f>
        <v>4</v>
      </c>
      <c r="G1438" s="14">
        <f>equip.xml!G1442</f>
        <v>10</v>
      </c>
      <c r="H1438" s="14" t="str">
        <f>equip.xml!H1442</f>
        <v>1,1001</v>
      </c>
      <c r="I1438" s="14">
        <f>equip.xml!J1442</f>
        <v>50</v>
      </c>
      <c r="J1438" s="14">
        <f>equip.xml!K1442</f>
        <v>500</v>
      </c>
      <c r="K1438" s="14">
        <f>equip.xml!L1442</f>
        <v>7500</v>
      </c>
      <c r="L1438" s="14" t="str">
        <f>equip.xml!M1442</f>
        <v>103_32_32,104_64_64</v>
      </c>
      <c r="M1438" s="17" t="str">
        <f>equip.xml!Q1442</f>
        <v>equipment/1105.png</v>
      </c>
      <c r="N1438" s="16" t="str">
        <f>equip.xml!P1442</f>
        <v>10000_1002_10000,30000_30001_1,30000_30002_1,30000_30003_1</v>
      </c>
      <c r="O1438">
        <f>equip.xml!R1442</f>
        <v>0</v>
      </c>
    </row>
    <row r="1439" spans="1:15">
      <c r="A1439" s="14" t="str">
        <f>equip.xml!A1443</f>
        <v>40101051</v>
      </c>
      <c r="B1439" s="14">
        <f>equip.xml!B1443</f>
        <v>1</v>
      </c>
      <c r="C1439" s="14" t="str">
        <f>equip.xml!C1443</f>
        <v>铜铸重剑</v>
      </c>
      <c r="D1439" s="14" t="str">
        <f>equip.xml!D1443</f>
        <v>主手武器</v>
      </c>
      <c r="E1439" s="14">
        <f>equip.xml!E1443</f>
        <v>5</v>
      </c>
      <c r="F1439" s="14">
        <f>equip.xml!F1443</f>
        <v>4</v>
      </c>
      <c r="G1439" s="14">
        <f>equip.xml!G1443</f>
        <v>10</v>
      </c>
      <c r="H1439" s="14" t="str">
        <f>equip.xml!H1443</f>
        <v>1,1001</v>
      </c>
      <c r="I1439" s="14">
        <f>equip.xml!J1443</f>
        <v>50</v>
      </c>
      <c r="J1439" s="14">
        <f>equip.xml!K1443</f>
        <v>500</v>
      </c>
      <c r="K1439" s="14">
        <f>equip.xml!L1443</f>
        <v>10000</v>
      </c>
      <c r="L1439" s="14" t="str">
        <f>equip.xml!M1443</f>
        <v>103_40_40,104_80_80</v>
      </c>
      <c r="M1439" s="17" t="str">
        <f>equip.xml!Q1443</f>
        <v>equipment/1106.png</v>
      </c>
      <c r="N1439" s="16" t="str">
        <f>equip.xml!P1443</f>
        <v>10000_1002_10000,30000_30001_1,30000_30002_1,30000_30003_1</v>
      </c>
      <c r="O1439">
        <f>equip.xml!R1443</f>
        <v>0</v>
      </c>
    </row>
    <row r="1440" spans="1:15">
      <c r="A1440" s="14" t="str">
        <f>equip.xml!A1444</f>
        <v>40101060</v>
      </c>
      <c r="B1440" s="14">
        <f>equip.xml!B1444</f>
        <v>1</v>
      </c>
      <c r="C1440" s="14" t="str">
        <f>equip.xml!C1444</f>
        <v>金属大盾</v>
      </c>
      <c r="D1440" s="14" t="str">
        <f>equip.xml!D1444</f>
        <v>副手武器</v>
      </c>
      <c r="E1440" s="14">
        <f>equip.xml!E1444</f>
        <v>6</v>
      </c>
      <c r="F1440" s="14">
        <f>equip.xml!F1444</f>
        <v>4</v>
      </c>
      <c r="G1440" s="14">
        <f>equip.xml!G1444</f>
        <v>10</v>
      </c>
      <c r="H1440" s="14" t="str">
        <f>equip.xml!H1444</f>
        <v>1,1001</v>
      </c>
      <c r="I1440" s="14">
        <f>equip.xml!J1444</f>
        <v>50</v>
      </c>
      <c r="J1440" s="14">
        <f>equip.xml!K1444</f>
        <v>500</v>
      </c>
      <c r="K1440" s="14">
        <f>equip.xml!L1444</f>
        <v>7500</v>
      </c>
      <c r="L1440" s="14" t="str">
        <f>equip.xml!M1444</f>
        <v>105_30_30</v>
      </c>
      <c r="M1440" s="17" t="str">
        <f>equip.xml!Q1444</f>
        <v>equipment/2103.png</v>
      </c>
      <c r="N1440" s="16" t="str">
        <f>equip.xml!P1444</f>
        <v>10000_1002_10000,30000_30001_1,30000_30002_1,30000_30003_1</v>
      </c>
      <c r="O1440">
        <f>equip.xml!R1444</f>
        <v>0</v>
      </c>
    </row>
    <row r="1441" spans="1:15">
      <c r="A1441" s="14" t="str">
        <f>equip.xml!A1445</f>
        <v>40101061</v>
      </c>
      <c r="B1441" s="14">
        <f>equip.xml!B1445</f>
        <v>0</v>
      </c>
      <c r="C1441" s="14" t="str">
        <f>equip.xml!C1445</f>
        <v>尖头盾</v>
      </c>
      <c r="D1441" s="14" t="str">
        <f>equip.xml!D1445</f>
        <v>副手武器</v>
      </c>
      <c r="E1441" s="14">
        <f>equip.xml!E1445</f>
        <v>6</v>
      </c>
      <c r="F1441" s="14">
        <f>equip.xml!F1445</f>
        <v>4</v>
      </c>
      <c r="G1441" s="14">
        <f>equip.xml!G1445</f>
        <v>10</v>
      </c>
      <c r="H1441" s="14" t="str">
        <f>equip.xml!H1445</f>
        <v>1,1001</v>
      </c>
      <c r="I1441" s="14">
        <f>equip.xml!J1445</f>
        <v>50</v>
      </c>
      <c r="J1441" s="14">
        <f>equip.xml!K1445</f>
        <v>500</v>
      </c>
      <c r="K1441" s="14">
        <f>equip.xml!L1445</f>
        <v>10000</v>
      </c>
      <c r="L1441" s="14" t="str">
        <f>equip.xml!M1445</f>
        <v>105_59_59</v>
      </c>
      <c r="M1441" s="17" t="str">
        <f>equip.xml!Q1445</f>
        <v>equipment/2101.png</v>
      </c>
      <c r="N1441" s="16" t="str">
        <f>equip.xml!P1445</f>
        <v>10000_1002_10000,30000_30001_1,30000_30002_1,30000_30003_1</v>
      </c>
      <c r="O1441">
        <f>equip.xml!R1445</f>
        <v>0</v>
      </c>
    </row>
    <row r="1442" spans="1:15">
      <c r="A1442" s="14" t="str">
        <f>equip.xml!A1446</f>
        <v>40102050</v>
      </c>
      <c r="B1442" s="14">
        <f>equip.xml!B1446</f>
        <v>1</v>
      </c>
      <c r="C1442" s="14" t="str">
        <f>equip.xml!C1446</f>
        <v>猎手强弓</v>
      </c>
      <c r="D1442" s="14" t="str">
        <f>equip.xml!D1446</f>
        <v>主手武器</v>
      </c>
      <c r="E1442" s="14">
        <f>equip.xml!E1446</f>
        <v>5</v>
      </c>
      <c r="F1442" s="14">
        <f>equip.xml!F1446</f>
        <v>4</v>
      </c>
      <c r="G1442" s="14">
        <f>equip.xml!G1446</f>
        <v>10</v>
      </c>
      <c r="H1442" s="14" t="str">
        <f>equip.xml!H1446</f>
        <v>2,1002</v>
      </c>
      <c r="I1442" s="14">
        <f>equip.xml!J1446</f>
        <v>50</v>
      </c>
      <c r="J1442" s="14">
        <f>equip.xml!K1446</f>
        <v>500</v>
      </c>
      <c r="K1442" s="14">
        <f>equip.xml!L1446</f>
        <v>7500</v>
      </c>
      <c r="L1442" s="14" t="str">
        <f>equip.xml!M1446</f>
        <v>103_32_32,104_64_64</v>
      </c>
      <c r="M1442" s="17" t="str">
        <f>equip.xml!Q1446</f>
        <v>equipment/1205.png</v>
      </c>
      <c r="N1442" s="16" t="str">
        <f>equip.xml!P1446</f>
        <v>10000_1002_10000,30000_30001_1,30000_30002_1,30000_30003_1</v>
      </c>
      <c r="O1442">
        <f>equip.xml!R1446</f>
        <v>0</v>
      </c>
    </row>
    <row r="1443" spans="1:15">
      <c r="A1443" s="14" t="str">
        <f>equip.xml!A1447</f>
        <v>40102051</v>
      </c>
      <c r="B1443" s="14">
        <f>equip.xml!B1447</f>
        <v>1</v>
      </c>
      <c r="C1443" s="14" t="str">
        <f>equip.xml!C1447</f>
        <v>灰木弓</v>
      </c>
      <c r="D1443" s="14" t="str">
        <f>equip.xml!D1447</f>
        <v>主手武器</v>
      </c>
      <c r="E1443" s="14">
        <f>equip.xml!E1447</f>
        <v>5</v>
      </c>
      <c r="F1443" s="14">
        <f>equip.xml!F1447</f>
        <v>4</v>
      </c>
      <c r="G1443" s="14">
        <f>equip.xml!G1447</f>
        <v>10</v>
      </c>
      <c r="H1443" s="14" t="str">
        <f>equip.xml!H1447</f>
        <v>2,1002</v>
      </c>
      <c r="I1443" s="14">
        <f>equip.xml!J1447</f>
        <v>50</v>
      </c>
      <c r="J1443" s="14">
        <f>equip.xml!K1447</f>
        <v>500</v>
      </c>
      <c r="K1443" s="14">
        <f>equip.xml!L1447</f>
        <v>10000</v>
      </c>
      <c r="L1443" s="14" t="str">
        <f>equip.xml!M1447</f>
        <v>103_40_40,104_80_80</v>
      </c>
      <c r="M1443" s="17" t="str">
        <f>equip.xml!Q1447</f>
        <v>equipment/1206.png</v>
      </c>
      <c r="N1443" s="16" t="str">
        <f>equip.xml!P1447</f>
        <v>10000_1002_10000,30000_30001_1,30000_30002_1,30000_30003_1</v>
      </c>
      <c r="O1443">
        <f>equip.xml!R1447</f>
        <v>0</v>
      </c>
    </row>
    <row r="1444" spans="1:15">
      <c r="A1444" s="14" t="str">
        <f>equip.xml!A1448</f>
        <v>40102060</v>
      </c>
      <c r="B1444" s="14">
        <f>equip.xml!B1448</f>
        <v>1</v>
      </c>
      <c r="C1444" s="14" t="str">
        <f>equip.xml!C1448</f>
        <v>帆布箭筒</v>
      </c>
      <c r="D1444" s="14" t="str">
        <f>equip.xml!D1448</f>
        <v>副手武器</v>
      </c>
      <c r="E1444" s="14">
        <f>equip.xml!E1448</f>
        <v>6</v>
      </c>
      <c r="F1444" s="14">
        <f>equip.xml!F1448</f>
        <v>4</v>
      </c>
      <c r="G1444" s="14">
        <f>equip.xml!G1448</f>
        <v>10</v>
      </c>
      <c r="H1444" s="14" t="str">
        <f>equip.xml!H1448</f>
        <v>2,1002</v>
      </c>
      <c r="I1444" s="14">
        <f>equip.xml!J1448</f>
        <v>50</v>
      </c>
      <c r="J1444" s="14">
        <f>equip.xml!K1448</f>
        <v>500</v>
      </c>
      <c r="K1444" s="14">
        <f>equip.xml!L1448</f>
        <v>7500</v>
      </c>
      <c r="L1444" s="14" t="str">
        <f>equip.xml!M1448</f>
        <v>108_30_30</v>
      </c>
      <c r="M1444" s="17" t="str">
        <f>equip.xml!Q1448</f>
        <v>equipment/2203.png</v>
      </c>
      <c r="N1444" s="16" t="str">
        <f>equip.xml!P1448</f>
        <v>10000_1002_10000,30000_30001_1,30000_30002_1,30000_30003_1</v>
      </c>
      <c r="O1444">
        <f>equip.xml!R1448</f>
        <v>0</v>
      </c>
    </row>
    <row r="1445" spans="1:15">
      <c r="A1445" s="14" t="str">
        <f>equip.xml!A1449</f>
        <v>40102061</v>
      </c>
      <c r="B1445" s="14">
        <f>equip.xml!B1449</f>
        <v>0</v>
      </c>
      <c r="C1445" s="14" t="str">
        <f>equip.xml!C1449</f>
        <v>箭筒</v>
      </c>
      <c r="D1445" s="14" t="str">
        <f>equip.xml!D1449</f>
        <v>副手武器</v>
      </c>
      <c r="E1445" s="14">
        <f>equip.xml!E1449</f>
        <v>6</v>
      </c>
      <c r="F1445" s="14">
        <f>equip.xml!F1449</f>
        <v>4</v>
      </c>
      <c r="G1445" s="14">
        <f>equip.xml!G1449</f>
        <v>10</v>
      </c>
      <c r="H1445" s="14" t="str">
        <f>equip.xml!H1449</f>
        <v>2,1002</v>
      </c>
      <c r="I1445" s="14">
        <f>equip.xml!J1449</f>
        <v>50</v>
      </c>
      <c r="J1445" s="14">
        <f>equip.xml!K1449</f>
        <v>500</v>
      </c>
      <c r="K1445" s="14">
        <f>equip.xml!L1449</f>
        <v>10000</v>
      </c>
      <c r="L1445" s="14" t="str">
        <f>equip.xml!M1449</f>
        <v>108_59_59</v>
      </c>
      <c r="M1445" s="17" t="str">
        <f>equip.xml!Q1449</f>
        <v>equipment/2201.png</v>
      </c>
      <c r="N1445" s="16" t="str">
        <f>equip.xml!P1449</f>
        <v>10000_1002_10000,30000_30001_1,30000_30002_1,30000_30003_1</v>
      </c>
      <c r="O1445">
        <f>equip.xml!R1449</f>
        <v>0</v>
      </c>
    </row>
    <row r="1446" spans="1:15">
      <c r="A1446" s="14" t="str">
        <f>equip.xml!A1450</f>
        <v>40103050</v>
      </c>
      <c r="B1446" s="14">
        <f>equip.xml!B1450</f>
        <v>1</v>
      </c>
      <c r="C1446" s="14" t="str">
        <f>equip.xml!C1450</f>
        <v>附魔银棒</v>
      </c>
      <c r="D1446" s="14" t="str">
        <f>equip.xml!D1450</f>
        <v>主手武器</v>
      </c>
      <c r="E1446" s="14">
        <f>equip.xml!E1450</f>
        <v>5</v>
      </c>
      <c r="F1446" s="14">
        <f>equip.xml!F1450</f>
        <v>4</v>
      </c>
      <c r="G1446" s="14">
        <f>equip.xml!G1450</f>
        <v>10</v>
      </c>
      <c r="H1446" s="14" t="str">
        <f>equip.xml!H1450</f>
        <v>3,1003</v>
      </c>
      <c r="I1446" s="14">
        <f>equip.xml!J1450</f>
        <v>50</v>
      </c>
      <c r="J1446" s="14">
        <f>equip.xml!K1450</f>
        <v>500</v>
      </c>
      <c r="K1446" s="14">
        <f>equip.xml!L1450</f>
        <v>7500</v>
      </c>
      <c r="L1446" s="14" t="str">
        <f>equip.xml!M1450</f>
        <v>103_32_32,104_64_64</v>
      </c>
      <c r="M1446" s="17" t="str">
        <f>equip.xml!Q1450</f>
        <v>equipment/1305.png</v>
      </c>
      <c r="N1446" s="16" t="str">
        <f>equip.xml!P1450</f>
        <v>10000_1002_10000,30000_30001_1,30000_30002_1,30000_30003_1</v>
      </c>
      <c r="O1446">
        <f>equip.xml!R1450</f>
        <v>0</v>
      </c>
    </row>
    <row r="1447" spans="1:15">
      <c r="A1447" s="14" t="str">
        <f>equip.xml!A1451</f>
        <v>40103051</v>
      </c>
      <c r="B1447" s="14">
        <f>equip.xml!B1451</f>
        <v>1</v>
      </c>
      <c r="C1447" s="14" t="str">
        <f>equip.xml!C1451</f>
        <v>魔导法杖</v>
      </c>
      <c r="D1447" s="14" t="str">
        <f>equip.xml!D1451</f>
        <v>主手武器</v>
      </c>
      <c r="E1447" s="14">
        <f>equip.xml!E1451</f>
        <v>5</v>
      </c>
      <c r="F1447" s="14">
        <f>equip.xml!F1451</f>
        <v>4</v>
      </c>
      <c r="G1447" s="14">
        <f>equip.xml!G1451</f>
        <v>10</v>
      </c>
      <c r="H1447" s="14" t="str">
        <f>equip.xml!H1451</f>
        <v>3,1003</v>
      </c>
      <c r="I1447" s="14">
        <f>equip.xml!J1451</f>
        <v>50</v>
      </c>
      <c r="J1447" s="14">
        <f>equip.xml!K1451</f>
        <v>500</v>
      </c>
      <c r="K1447" s="14">
        <f>equip.xml!L1451</f>
        <v>10000</v>
      </c>
      <c r="L1447" s="14" t="str">
        <f>equip.xml!M1451</f>
        <v>103_40_40,104_80_80</v>
      </c>
      <c r="M1447" s="17" t="str">
        <f>equip.xml!Q1451</f>
        <v>equipment/1306.png</v>
      </c>
      <c r="N1447" s="16" t="str">
        <f>equip.xml!P1451</f>
        <v>10000_1002_10000,30000_30001_1,30000_30002_1,30000_30003_1</v>
      </c>
      <c r="O1447">
        <f>equip.xml!R1451</f>
        <v>0</v>
      </c>
    </row>
    <row r="1448" spans="1:15">
      <c r="A1448" s="14" t="str">
        <f>equip.xml!A1452</f>
        <v>40103060</v>
      </c>
      <c r="B1448" s="14">
        <f>equip.xml!B1452</f>
        <v>1</v>
      </c>
      <c r="C1448" s="14" t="str">
        <f>equip.xml!C1452</f>
        <v>奥术典籍</v>
      </c>
      <c r="D1448" s="14" t="str">
        <f>equip.xml!D1452</f>
        <v>副手武器</v>
      </c>
      <c r="E1448" s="14">
        <f>equip.xml!E1452</f>
        <v>6</v>
      </c>
      <c r="F1448" s="14">
        <f>equip.xml!F1452</f>
        <v>4</v>
      </c>
      <c r="G1448" s="14">
        <f>equip.xml!G1452</f>
        <v>10</v>
      </c>
      <c r="H1448" s="14" t="str">
        <f>equip.xml!H1452</f>
        <v>3,1003</v>
      </c>
      <c r="I1448" s="14">
        <f>equip.xml!J1452</f>
        <v>50</v>
      </c>
      <c r="J1448" s="14">
        <f>equip.xml!K1452</f>
        <v>500</v>
      </c>
      <c r="K1448" s="14">
        <f>equip.xml!L1452</f>
        <v>7500</v>
      </c>
      <c r="L1448" s="14" t="str">
        <f>equip.xml!M1452</f>
        <v>102_240_240</v>
      </c>
      <c r="M1448" s="17" t="str">
        <f>equip.xml!Q1452</f>
        <v>equipment/2303.png</v>
      </c>
      <c r="N1448" s="16" t="str">
        <f>equip.xml!P1452</f>
        <v>10000_1002_10000,30000_30001_1,30000_30002_1,30000_30003_1</v>
      </c>
      <c r="O1448">
        <f>equip.xml!R1452</f>
        <v>0</v>
      </c>
    </row>
    <row r="1449" spans="1:15">
      <c r="A1449" s="14" t="str">
        <f>equip.xml!A1453</f>
        <v>40103061</v>
      </c>
      <c r="B1449" s="14">
        <f>equip.xml!B1453</f>
        <v>0</v>
      </c>
      <c r="C1449" s="14" t="str">
        <f>equip.xml!C1453</f>
        <v>法术指南</v>
      </c>
      <c r="D1449" s="14" t="str">
        <f>equip.xml!D1453</f>
        <v>副手武器</v>
      </c>
      <c r="E1449" s="14">
        <f>equip.xml!E1453</f>
        <v>6</v>
      </c>
      <c r="F1449" s="14">
        <f>equip.xml!F1453</f>
        <v>4</v>
      </c>
      <c r="G1449" s="14">
        <f>equip.xml!G1453</f>
        <v>10</v>
      </c>
      <c r="H1449" s="14" t="str">
        <f>equip.xml!H1453</f>
        <v>3,1003</v>
      </c>
      <c r="I1449" s="14">
        <f>equip.xml!J1453</f>
        <v>50</v>
      </c>
      <c r="J1449" s="14">
        <f>equip.xml!K1453</f>
        <v>500</v>
      </c>
      <c r="K1449" s="14">
        <f>equip.xml!L1453</f>
        <v>10000</v>
      </c>
      <c r="L1449" s="14" t="str">
        <f>equip.xml!M1453</f>
        <v>102_59_59</v>
      </c>
      <c r="M1449" s="17" t="str">
        <f>equip.xml!Q1453</f>
        <v>equipment/2301.png</v>
      </c>
      <c r="N1449" s="16" t="str">
        <f>equip.xml!P1453</f>
        <v>10000_1002_10000,30000_30001_1,30000_30002_1,30000_30003_1</v>
      </c>
      <c r="O1449">
        <f>equip.xml!R1453</f>
        <v>0</v>
      </c>
    </row>
    <row r="1450" spans="1:15">
      <c r="A1450" s="14" t="str">
        <f>equip.xml!A1454</f>
        <v>40100040</v>
      </c>
      <c r="B1450" s="14">
        <f>equip.xml!B1454</f>
        <v>1</v>
      </c>
      <c r="C1450" s="14" t="str">
        <f>equip.xml!C1454</f>
        <v>硬皮外套</v>
      </c>
      <c r="D1450" s="14" t="str">
        <f>equip.xml!D1454</f>
        <v>胸甲</v>
      </c>
      <c r="E1450" s="14">
        <f>equip.xml!E1454</f>
        <v>4</v>
      </c>
      <c r="F1450" s="14">
        <f>equip.xml!F1454</f>
        <v>4</v>
      </c>
      <c r="G1450" s="14">
        <f>equip.xml!G1454</f>
        <v>10</v>
      </c>
      <c r="H1450" s="14">
        <f>equip.xml!H1454</f>
        <v>0</v>
      </c>
      <c r="I1450" s="14">
        <f>equip.xml!J1454</f>
        <v>50</v>
      </c>
      <c r="J1450" s="14">
        <f>equip.xml!K1454</f>
        <v>500</v>
      </c>
      <c r="K1450" s="14">
        <f>equip.xml!L1454</f>
        <v>7500</v>
      </c>
      <c r="L1450" s="14" t="str">
        <f>equip.xml!M1454</f>
        <v>105_20_20</v>
      </c>
      <c r="M1450" s="17" t="str">
        <f>equip.xml!Q1454</f>
        <v>equipment/5003.png</v>
      </c>
      <c r="N1450" s="16" t="str">
        <f>equip.xml!P1454</f>
        <v>10000_1002_10000,30000_30001_1,30000_30002_1,30000_30003_1</v>
      </c>
      <c r="O1450">
        <f>equip.xml!R1454</f>
        <v>0</v>
      </c>
    </row>
    <row r="1451" spans="1:15">
      <c r="A1451" s="14" t="str">
        <f>equip.xml!A1455</f>
        <v>40100041</v>
      </c>
      <c r="B1451" s="14">
        <f>equip.xml!B1455</f>
        <v>0</v>
      </c>
      <c r="C1451" s="14" t="str">
        <f>equip.xml!C1455</f>
        <v>新兵外套</v>
      </c>
      <c r="D1451" s="14" t="str">
        <f>equip.xml!D1455</f>
        <v>胸甲</v>
      </c>
      <c r="E1451" s="14">
        <f>equip.xml!E1455</f>
        <v>4</v>
      </c>
      <c r="F1451" s="14">
        <f>equip.xml!F1455</f>
        <v>4</v>
      </c>
      <c r="G1451" s="14">
        <f>equip.xml!G1455</f>
        <v>10</v>
      </c>
      <c r="H1451" s="14">
        <f>equip.xml!H1455</f>
        <v>0</v>
      </c>
      <c r="I1451" s="14">
        <f>equip.xml!J1455</f>
        <v>50</v>
      </c>
      <c r="J1451" s="14">
        <f>equip.xml!K1455</f>
        <v>500</v>
      </c>
      <c r="K1451" s="14">
        <f>equip.xml!L1455</f>
        <v>10000</v>
      </c>
      <c r="L1451" s="14" t="str">
        <f>equip.xml!M1455</f>
        <v>105_28_28</v>
      </c>
      <c r="M1451" s="17" t="str">
        <f>equip.xml!Q1455</f>
        <v>equipment/5001.png</v>
      </c>
      <c r="N1451" s="16" t="str">
        <f>equip.xml!P1455</f>
        <v>10000_1002_10000,30000_30001_1,30000_30002_1,30000_30003_1</v>
      </c>
      <c r="O1451">
        <f>equip.xml!R1455</f>
        <v>0</v>
      </c>
    </row>
    <row r="1452" spans="1:15">
      <c r="A1452" s="14" t="str">
        <f>equip.xml!A1456</f>
        <v>40100070</v>
      </c>
      <c r="B1452" s="14">
        <f>equip.xml!B1456</f>
        <v>1</v>
      </c>
      <c r="C1452" s="14" t="str">
        <f>equip.xml!C1456</f>
        <v>护卫短裤</v>
      </c>
      <c r="D1452" s="14" t="str">
        <f>equip.xml!D1456</f>
        <v>护腿</v>
      </c>
      <c r="E1452" s="14">
        <f>equip.xml!E1456</f>
        <v>7</v>
      </c>
      <c r="F1452" s="14">
        <f>equip.xml!F1456</f>
        <v>4</v>
      </c>
      <c r="G1452" s="14">
        <f>equip.xml!G1456</f>
        <v>10</v>
      </c>
      <c r="H1452" s="14">
        <f>equip.xml!H1456</f>
        <v>0</v>
      </c>
      <c r="I1452" s="14">
        <f>equip.xml!J1456</f>
        <v>50</v>
      </c>
      <c r="J1452" s="14">
        <f>equip.xml!K1456</f>
        <v>500</v>
      </c>
      <c r="K1452" s="14">
        <f>equip.xml!L1456</f>
        <v>7500</v>
      </c>
      <c r="L1452" s="14" t="str">
        <f>equip.xml!M1456</f>
        <v>105_20_20</v>
      </c>
      <c r="M1452" s="17" t="str">
        <f>equip.xml!Q1456</f>
        <v>equipment/7003.png</v>
      </c>
      <c r="N1452" s="16" t="str">
        <f>equip.xml!P1456</f>
        <v>10000_1002_10000,30000_30001_1,30000_30002_1,30000_30003_1</v>
      </c>
      <c r="O1452">
        <f>equip.xml!R1456</f>
        <v>0</v>
      </c>
    </row>
    <row r="1453" spans="1:15">
      <c r="A1453" s="14" t="str">
        <f>equip.xml!A1457</f>
        <v>40100071</v>
      </c>
      <c r="B1453" s="14">
        <f>equip.xml!B1457</f>
        <v>0</v>
      </c>
      <c r="C1453" s="14" t="str">
        <f>equip.xml!C1457</f>
        <v>学徒短裤</v>
      </c>
      <c r="D1453" s="14" t="str">
        <f>equip.xml!D1457</f>
        <v>护腿</v>
      </c>
      <c r="E1453" s="14">
        <f>equip.xml!E1457</f>
        <v>7</v>
      </c>
      <c r="F1453" s="14">
        <f>equip.xml!F1457</f>
        <v>4</v>
      </c>
      <c r="G1453" s="14">
        <f>equip.xml!G1457</f>
        <v>10</v>
      </c>
      <c r="H1453" s="14">
        <f>equip.xml!H1457</f>
        <v>0</v>
      </c>
      <c r="I1453" s="14">
        <f>equip.xml!J1457</f>
        <v>50</v>
      </c>
      <c r="J1453" s="14">
        <f>equip.xml!K1457</f>
        <v>500</v>
      </c>
      <c r="K1453" s="14">
        <f>equip.xml!L1457</f>
        <v>10000</v>
      </c>
      <c r="L1453" s="14" t="str">
        <f>equip.xml!M1457</f>
        <v>105_28_28</v>
      </c>
      <c r="M1453" s="17" t="str">
        <f>equip.xml!Q1457</f>
        <v>equipment/7001.png</v>
      </c>
      <c r="N1453" s="16" t="str">
        <f>equip.xml!P1457</f>
        <v>10000_1002_10000,30000_30001_1,30000_30002_1,30000_30003_1</v>
      </c>
      <c r="O1453">
        <f>equip.xml!R1457</f>
        <v>0</v>
      </c>
    </row>
    <row r="1454" spans="1:15">
      <c r="A1454" s="14" t="str">
        <f>equip.xml!A1458</f>
        <v>40150010</v>
      </c>
      <c r="B1454" s="14">
        <f>equip.xml!B1458</f>
        <v>0</v>
      </c>
      <c r="C1454" s="14" t="str">
        <f>equip.xml!C1458</f>
        <v>纹饰帽</v>
      </c>
      <c r="D1454" s="14" t="str">
        <f>equip.xml!D1458</f>
        <v>头盔</v>
      </c>
      <c r="E1454" s="14">
        <f>equip.xml!E1458</f>
        <v>1</v>
      </c>
      <c r="F1454" s="14">
        <f>equip.xml!F1458</f>
        <v>4</v>
      </c>
      <c r="G1454" s="14">
        <f>equip.xml!G1458</f>
        <v>15</v>
      </c>
      <c r="H1454" s="14">
        <f>equip.xml!H1458</f>
        <v>0</v>
      </c>
      <c r="I1454" s="14">
        <f>equip.xml!J1458</f>
        <v>50</v>
      </c>
      <c r="J1454" s="14">
        <f>equip.xml!K1458</f>
        <v>500</v>
      </c>
      <c r="K1454" s="14">
        <f>equip.xml!L1458</f>
        <v>10000</v>
      </c>
      <c r="L1454" s="14" t="str">
        <f>equip.xml!M1458</f>
        <v>106_64_64</v>
      </c>
      <c r="M1454" s="17" t="str">
        <f>equip.xml!Q1458</f>
        <v>equipment/3001.png</v>
      </c>
      <c r="N1454" s="16" t="str">
        <f>equip.xml!P1458</f>
        <v>10000_1002_15000,30000_30001_1,30000_30002_1,30000_30003_1</v>
      </c>
      <c r="O1454">
        <f>equip.xml!R1458</f>
        <v>0</v>
      </c>
    </row>
    <row r="1455" spans="1:15">
      <c r="A1455" s="14" t="str">
        <f>equip.xml!A1459</f>
        <v>40150020</v>
      </c>
      <c r="B1455" s="14">
        <f>equip.xml!B1459</f>
        <v>0</v>
      </c>
      <c r="C1455" s="14" t="str">
        <f>equip.xml!C1459</f>
        <v>金戒指</v>
      </c>
      <c r="D1455" s="14" t="str">
        <f>equip.xml!D1459</f>
        <v>戒指</v>
      </c>
      <c r="E1455" s="14">
        <f>equip.xml!E1459</f>
        <v>2</v>
      </c>
      <c r="F1455" s="14">
        <f>equip.xml!F1459</f>
        <v>4</v>
      </c>
      <c r="G1455" s="14">
        <f>equip.xml!G1459</f>
        <v>15</v>
      </c>
      <c r="H1455" s="14">
        <f>equip.xml!H1459</f>
        <v>0</v>
      </c>
      <c r="I1455" s="14">
        <f>equip.xml!J1459</f>
        <v>50</v>
      </c>
      <c r="J1455" s="14">
        <f>equip.xml!K1459</f>
        <v>500</v>
      </c>
      <c r="K1455" s="14">
        <f>equip.xml!L1459</f>
        <v>10000</v>
      </c>
      <c r="L1455" s="14" t="str">
        <f>equip.xml!M1459</f>
        <v>102_185_185</v>
      </c>
      <c r="M1455" s="17" t="str">
        <f>equip.xml!Q1459</f>
        <v>equipment/14001.png</v>
      </c>
      <c r="N1455" s="16" t="str">
        <f>equip.xml!P1459</f>
        <v>10000_1002_15000,30000_30001_1,30000_30002_1,30000_30003_1</v>
      </c>
      <c r="O1455">
        <f>equip.xml!R1459</f>
        <v>0</v>
      </c>
    </row>
    <row r="1456" spans="1:15">
      <c r="A1456" s="14" t="str">
        <f>equip.xml!A1460</f>
        <v>40150030</v>
      </c>
      <c r="B1456" s="14">
        <f>equip.xml!B1460</f>
        <v>1</v>
      </c>
      <c r="C1456" s="14" t="str">
        <f>equip.xml!C1460</f>
        <v>铁锁腰带</v>
      </c>
      <c r="D1456" s="14" t="str">
        <f>equip.xml!D1460</f>
        <v>腰带</v>
      </c>
      <c r="E1456" s="14">
        <f>equip.xml!E1460</f>
        <v>3</v>
      </c>
      <c r="F1456" s="14">
        <f>equip.xml!F1460</f>
        <v>4</v>
      </c>
      <c r="G1456" s="14">
        <f>equip.xml!G1460</f>
        <v>15</v>
      </c>
      <c r="H1456" s="14">
        <f>equip.xml!H1460</f>
        <v>0</v>
      </c>
      <c r="I1456" s="14">
        <f>equip.xml!J1460</f>
        <v>50</v>
      </c>
      <c r="J1456" s="14">
        <f>equip.xml!K1460</f>
        <v>500</v>
      </c>
      <c r="K1456" s="14">
        <f>equip.xml!L1460</f>
        <v>10000</v>
      </c>
      <c r="L1456" s="14" t="str">
        <f>equip.xml!M1460</f>
        <v>101_1160_1160</v>
      </c>
      <c r="M1456" s="17" t="str">
        <f>equip.xml!Q1460</f>
        <v>equipment/6003.png</v>
      </c>
      <c r="N1456" s="16" t="str">
        <f>equip.xml!P1460</f>
        <v>10000_1002_15000,30000_30001_1,30000_30002_1,30000_30003_1</v>
      </c>
      <c r="O1456">
        <f>equip.xml!R1460</f>
        <v>0</v>
      </c>
    </row>
    <row r="1457" spans="1:15">
      <c r="A1457" s="14" t="str">
        <f>equip.xml!A1461</f>
        <v>40150080</v>
      </c>
      <c r="B1457" s="14">
        <f>equip.xml!B1461</f>
        <v>1</v>
      </c>
      <c r="C1457" s="14" t="str">
        <f>equip.xml!C1461</f>
        <v>链甲战靴</v>
      </c>
      <c r="D1457" s="14" t="str">
        <f>equip.xml!D1461</f>
        <v>鞋子</v>
      </c>
      <c r="E1457" s="14">
        <f>equip.xml!E1461</f>
        <v>8</v>
      </c>
      <c r="F1457" s="14">
        <f>equip.xml!F1461</f>
        <v>4</v>
      </c>
      <c r="G1457" s="14">
        <f>equip.xml!G1461</f>
        <v>15</v>
      </c>
      <c r="H1457" s="14">
        <f>equip.xml!H1461</f>
        <v>0</v>
      </c>
      <c r="I1457" s="14">
        <f>equip.xml!J1461</f>
        <v>50</v>
      </c>
      <c r="J1457" s="14">
        <f>equip.xml!K1461</f>
        <v>500</v>
      </c>
      <c r="K1457" s="14">
        <f>equip.xml!L1461</f>
        <v>10000</v>
      </c>
      <c r="L1457" s="14" t="str">
        <f>equip.xml!M1461</f>
        <v>110_27_27</v>
      </c>
      <c r="M1457" s="17" t="str">
        <f>equip.xml!Q1461</f>
        <v>equipment/8003.png</v>
      </c>
      <c r="N1457" s="16" t="str">
        <f>equip.xml!P1461</f>
        <v>10000_1002_15000,30000_30001_1,30000_30002_1,30000_30003_1</v>
      </c>
      <c r="O1457">
        <f>equip.xml!R1461</f>
        <v>0</v>
      </c>
    </row>
    <row r="1458" spans="1:15">
      <c r="A1458" s="14" t="str">
        <f>equip.xml!A1462</f>
        <v>40150090</v>
      </c>
      <c r="B1458" s="14">
        <f>equip.xml!B1462</f>
        <v>1</v>
      </c>
      <c r="C1458" s="14" t="str">
        <f>equip.xml!C1462</f>
        <v>战痕手套</v>
      </c>
      <c r="D1458" s="14" t="str">
        <f>equip.xml!D1462</f>
        <v>手套</v>
      </c>
      <c r="E1458" s="14">
        <f>equip.xml!E1462</f>
        <v>9</v>
      </c>
      <c r="F1458" s="14">
        <f>equip.xml!F1462</f>
        <v>4</v>
      </c>
      <c r="G1458" s="14">
        <f>equip.xml!G1462</f>
        <v>15</v>
      </c>
      <c r="H1458" s="14">
        <f>equip.xml!H1462</f>
        <v>0</v>
      </c>
      <c r="I1458" s="14">
        <f>equip.xml!J1462</f>
        <v>50</v>
      </c>
      <c r="J1458" s="14">
        <f>equip.xml!K1462</f>
        <v>500</v>
      </c>
      <c r="K1458" s="14">
        <f>equip.xml!L1462</f>
        <v>10000</v>
      </c>
      <c r="L1458" s="14" t="str">
        <f>equip.xml!M1462</f>
        <v>108_106_106</v>
      </c>
      <c r="M1458" s="17" t="str">
        <f>equip.xml!Q1462</f>
        <v>equipment/10003.png</v>
      </c>
      <c r="N1458" s="16" t="str">
        <f>equip.xml!P1462</f>
        <v>10000_1002_15000,30000_30001_1,30000_30002_1,30000_30003_1</v>
      </c>
      <c r="O1458">
        <f>equip.xml!R1462</f>
        <v>0</v>
      </c>
    </row>
    <row r="1459" spans="1:15">
      <c r="A1459" s="14" t="str">
        <f>equip.xml!A1463</f>
        <v>40150100</v>
      </c>
      <c r="B1459" s="14">
        <f>equip.xml!B1463</f>
        <v>1</v>
      </c>
      <c r="C1459" s="14" t="str">
        <f>equip.xml!C1463</f>
        <v>使者项链</v>
      </c>
      <c r="D1459" s="14" t="str">
        <f>equip.xml!D1463</f>
        <v>项链</v>
      </c>
      <c r="E1459" s="14">
        <f>equip.xml!E1463</f>
        <v>10</v>
      </c>
      <c r="F1459" s="14">
        <f>equip.xml!F1463</f>
        <v>4</v>
      </c>
      <c r="G1459" s="14">
        <f>equip.xml!G1463</f>
        <v>15</v>
      </c>
      <c r="H1459" s="14">
        <f>equip.xml!H1463</f>
        <v>0</v>
      </c>
      <c r="I1459" s="14">
        <f>equip.xml!J1463</f>
        <v>50</v>
      </c>
      <c r="J1459" s="14">
        <f>equip.xml!K1463</f>
        <v>500</v>
      </c>
      <c r="K1459" s="14">
        <f>equip.xml!L1463</f>
        <v>10000</v>
      </c>
      <c r="L1459" s="14" t="str">
        <f>equip.xml!M1463</f>
        <v>107_64_64</v>
      </c>
      <c r="M1459" s="17" t="str">
        <f>equip.xml!Q1463</f>
        <v>equipment/12002.png</v>
      </c>
      <c r="N1459" s="16" t="str">
        <f>equip.xml!P1463</f>
        <v>10000_1002_15000,30000_30001_1,30000_30002_1,30000_30003_1</v>
      </c>
      <c r="O1459">
        <f>equip.xml!R1463</f>
        <v>0</v>
      </c>
    </row>
    <row r="1460" spans="1:15">
      <c r="A1460" s="14" t="str">
        <f>equip.xml!A1464</f>
        <v>40151050</v>
      </c>
      <c r="B1460" s="14">
        <f>equip.xml!B1464</f>
        <v>1</v>
      </c>
      <c r="C1460" s="14" t="str">
        <f>equip.xml!C1464</f>
        <v>宽刃剑</v>
      </c>
      <c r="D1460" s="14" t="str">
        <f>equip.xml!D1464</f>
        <v>主手武器</v>
      </c>
      <c r="E1460" s="14">
        <f>equip.xml!E1464</f>
        <v>5</v>
      </c>
      <c r="F1460" s="14">
        <f>equip.xml!F1464</f>
        <v>4</v>
      </c>
      <c r="G1460" s="14">
        <f>equip.xml!G1464</f>
        <v>15</v>
      </c>
      <c r="H1460" s="14" t="str">
        <f>equip.xml!H1464</f>
        <v>1,1001</v>
      </c>
      <c r="I1460" s="14">
        <f>equip.xml!J1464</f>
        <v>50</v>
      </c>
      <c r="J1460" s="14">
        <f>equip.xml!K1464</f>
        <v>500</v>
      </c>
      <c r="K1460" s="14">
        <f>equip.xml!L1464</f>
        <v>10000</v>
      </c>
      <c r="L1460" s="14" t="str">
        <f>equip.xml!M1464</f>
        <v>103_52_52,104_104_104</v>
      </c>
      <c r="M1460" s="17" t="str">
        <f>equip.xml!Q1464</f>
        <v>equipment/1108.png</v>
      </c>
      <c r="N1460" s="16" t="str">
        <f>equip.xml!P1464</f>
        <v>10000_1002_15000,30000_30001_1,30000_30002_1,30000_30003_1</v>
      </c>
      <c r="O1460">
        <f>equip.xml!R1464</f>
        <v>0</v>
      </c>
    </row>
    <row r="1461" spans="1:15">
      <c r="A1461" s="14">
        <f>equip.xml!A1465</f>
        <v>40151051</v>
      </c>
      <c r="B1461" s="14">
        <f>equip.xml!B1465</f>
        <v>1</v>
      </c>
      <c r="C1461" s="14" t="str">
        <f>equip.xml!C1465</f>
        <v>游侠之刃</v>
      </c>
      <c r="D1461" s="14" t="str">
        <f>equip.xml!D1465</f>
        <v>主手武器</v>
      </c>
      <c r="E1461" s="14">
        <f>equip.xml!E1465</f>
        <v>5</v>
      </c>
      <c r="F1461" s="14">
        <f>equip.xml!F1465</f>
        <v>4</v>
      </c>
      <c r="G1461" s="14">
        <f>equip.xml!G1465</f>
        <v>15</v>
      </c>
      <c r="H1461" s="14" t="str">
        <f>equip.xml!H1465</f>
        <v>1,1001</v>
      </c>
      <c r="I1461" s="14">
        <f>equip.xml!J1465</f>
        <v>50</v>
      </c>
      <c r="J1461" s="14">
        <f>equip.xml!K1465</f>
        <v>500</v>
      </c>
      <c r="K1461" s="14">
        <f>equip.xml!L1465</f>
        <v>12500</v>
      </c>
      <c r="L1461" s="14" t="str">
        <f>equip.xml!M1465</f>
        <v>103_76_76,104_152_152</v>
      </c>
      <c r="M1461" s="17" t="str">
        <f>equip.xml!Q1465</f>
        <v>equipment/1107.png</v>
      </c>
      <c r="N1461" s="16" t="str">
        <f>equip.xml!P1465</f>
        <v>10000_1002_15000,30000_30001_1,30000_30002_1,30000_30003_1</v>
      </c>
      <c r="O1461">
        <f>equip.xml!R1465</f>
        <v>0</v>
      </c>
    </row>
    <row r="1462" spans="1:15">
      <c r="A1462" s="14" t="str">
        <f>equip.xml!A1466</f>
        <v>40151060</v>
      </c>
      <c r="B1462" s="14">
        <f>equip.xml!B1466</f>
        <v>1</v>
      </c>
      <c r="C1462" s="14" t="str">
        <f>equip.xml!C1466</f>
        <v>鸢盾</v>
      </c>
      <c r="D1462" s="14" t="str">
        <f>equip.xml!D1466</f>
        <v>副手武器</v>
      </c>
      <c r="E1462" s="14">
        <f>equip.xml!E1466</f>
        <v>6</v>
      </c>
      <c r="F1462" s="14">
        <f>equip.xml!F1466</f>
        <v>4</v>
      </c>
      <c r="G1462" s="14">
        <f>equip.xml!G1466</f>
        <v>15</v>
      </c>
      <c r="H1462" s="14" t="str">
        <f>equip.xml!H1466</f>
        <v>1,1001</v>
      </c>
      <c r="I1462" s="14">
        <f>equip.xml!J1466</f>
        <v>50</v>
      </c>
      <c r="J1462" s="14">
        <f>equip.xml!K1466</f>
        <v>500</v>
      </c>
      <c r="K1462" s="14">
        <f>equip.xml!L1466</f>
        <v>10000</v>
      </c>
      <c r="L1462" s="14" t="str">
        <f>equip.xml!M1466</f>
        <v>105_103_103</v>
      </c>
      <c r="M1462" s="17" t="str">
        <f>equip.xml!Q1466</f>
        <v>equipment/2105.png</v>
      </c>
      <c r="N1462" s="16" t="str">
        <f>equip.xml!P1466</f>
        <v>10000_1002_15000,30000_30001_1,30000_30002_1,30000_30003_1</v>
      </c>
      <c r="O1462">
        <f>equip.xml!R1466</f>
        <v>0</v>
      </c>
    </row>
    <row r="1463" spans="1:15">
      <c r="A1463" s="14" t="str">
        <f>equip.xml!A1467</f>
        <v>40151061</v>
      </c>
      <c r="B1463" s="14">
        <f>equip.xml!B1467</f>
        <v>0</v>
      </c>
      <c r="C1463" s="14" t="str">
        <f>equip.xml!C1467</f>
        <v>尖头盾</v>
      </c>
      <c r="D1463" s="14" t="str">
        <f>equip.xml!D1467</f>
        <v>副手武器</v>
      </c>
      <c r="E1463" s="14">
        <f>equip.xml!E1467</f>
        <v>6</v>
      </c>
      <c r="F1463" s="14">
        <f>equip.xml!F1467</f>
        <v>4</v>
      </c>
      <c r="G1463" s="14">
        <f>equip.xml!G1467</f>
        <v>15</v>
      </c>
      <c r="H1463" s="14" t="str">
        <f>equip.xml!H1467</f>
        <v>1,1001</v>
      </c>
      <c r="I1463" s="14">
        <f>equip.xml!J1467</f>
        <v>50</v>
      </c>
      <c r="J1463" s="14">
        <f>equip.xml!K1467</f>
        <v>500</v>
      </c>
      <c r="K1463" s="14">
        <f>equip.xml!L1467</f>
        <v>12500</v>
      </c>
      <c r="L1463" s="14" t="str">
        <f>equip.xml!M1467</f>
        <v>105_130_130</v>
      </c>
      <c r="M1463" s="17" t="str">
        <f>equip.xml!Q1467</f>
        <v>equipment/2101.png</v>
      </c>
      <c r="N1463" s="16" t="str">
        <f>equip.xml!P1467</f>
        <v>10000_1002_15000,30000_30001_1,30000_30002_1,30000_30003_1</v>
      </c>
      <c r="O1463">
        <f>equip.xml!R1467</f>
        <v>0</v>
      </c>
    </row>
    <row r="1464" spans="1:15">
      <c r="A1464" s="14" t="str">
        <f>equip.xml!A1468</f>
        <v>40152050</v>
      </c>
      <c r="B1464" s="14">
        <f>equip.xml!B1468</f>
        <v>1</v>
      </c>
      <c r="C1464" s="14" t="str">
        <f>equip.xml!C1468</f>
        <v>狩猎之弓</v>
      </c>
      <c r="D1464" s="14" t="str">
        <f>equip.xml!D1468</f>
        <v>主手武器</v>
      </c>
      <c r="E1464" s="14">
        <f>equip.xml!E1468</f>
        <v>5</v>
      </c>
      <c r="F1464" s="14">
        <f>equip.xml!F1468</f>
        <v>4</v>
      </c>
      <c r="G1464" s="14">
        <f>equip.xml!G1468</f>
        <v>15</v>
      </c>
      <c r="H1464" s="14" t="str">
        <f>equip.xml!H1468</f>
        <v>2,1002</v>
      </c>
      <c r="I1464" s="14">
        <f>equip.xml!J1468</f>
        <v>50</v>
      </c>
      <c r="J1464" s="14">
        <f>equip.xml!K1468</f>
        <v>500</v>
      </c>
      <c r="K1464" s="14">
        <f>equip.xml!L1468</f>
        <v>10000</v>
      </c>
      <c r="L1464" s="14" t="str">
        <f>equip.xml!M1468</f>
        <v>103_52_52,104_104_104</v>
      </c>
      <c r="M1464" s="17" t="str">
        <f>equip.xml!Q1468</f>
        <v>equipment/1207.png</v>
      </c>
      <c r="N1464" s="16" t="str">
        <f>equip.xml!P1468</f>
        <v>10000_1002_15000,30000_30001_1,30000_30002_1,30000_30003_1</v>
      </c>
      <c r="O1464">
        <f>equip.xml!R1468</f>
        <v>0</v>
      </c>
    </row>
    <row r="1465" spans="1:15">
      <c r="A1465" s="14">
        <f>equip.xml!A1469</f>
        <v>40152051</v>
      </c>
      <c r="B1465" s="14">
        <f>equip.xml!B1469</f>
        <v>1</v>
      </c>
      <c r="C1465" s="14" t="str">
        <f>equip.xml!C1469</f>
        <v>半人马长弓</v>
      </c>
      <c r="D1465" s="14" t="str">
        <f>equip.xml!D1469</f>
        <v>主手武器</v>
      </c>
      <c r="E1465" s="14">
        <f>equip.xml!E1469</f>
        <v>5</v>
      </c>
      <c r="F1465" s="14">
        <f>equip.xml!F1469</f>
        <v>4</v>
      </c>
      <c r="G1465" s="14">
        <f>equip.xml!G1469</f>
        <v>15</v>
      </c>
      <c r="H1465" s="14" t="str">
        <f>equip.xml!H1469</f>
        <v>2,1002</v>
      </c>
      <c r="I1465" s="14">
        <f>equip.xml!J1469</f>
        <v>50</v>
      </c>
      <c r="J1465" s="14">
        <f>equip.xml!K1469</f>
        <v>500</v>
      </c>
      <c r="K1465" s="14">
        <f>equip.xml!L1469</f>
        <v>12500</v>
      </c>
      <c r="L1465" s="14" t="str">
        <f>equip.xml!M1469</f>
        <v>103_76_76,104_152_152</v>
      </c>
      <c r="M1465" s="17" t="str">
        <f>equip.xml!Q1469</f>
        <v>equipment/1208.png</v>
      </c>
      <c r="N1465" s="16" t="str">
        <f>equip.xml!P1469</f>
        <v>10000_1002_15000,30000_30001_1,30000_30002_1,30000_30003_1</v>
      </c>
      <c r="O1465">
        <f>equip.xml!R1469</f>
        <v>0</v>
      </c>
    </row>
    <row r="1466" spans="1:15">
      <c r="A1466" s="14" t="str">
        <f>equip.xml!A1470</f>
        <v>40152060</v>
      </c>
      <c r="B1466" s="14">
        <f>equip.xml!B1470</f>
        <v>1</v>
      </c>
      <c r="C1466" s="14" t="str">
        <f>equip.xml!C1470</f>
        <v>皮革箭筒</v>
      </c>
      <c r="D1466" s="14" t="str">
        <f>equip.xml!D1470</f>
        <v>副手武器</v>
      </c>
      <c r="E1466" s="14">
        <f>equip.xml!E1470</f>
        <v>6</v>
      </c>
      <c r="F1466" s="14">
        <f>equip.xml!F1470</f>
        <v>4</v>
      </c>
      <c r="G1466" s="14">
        <f>equip.xml!G1470</f>
        <v>15</v>
      </c>
      <c r="H1466" s="14" t="str">
        <f>equip.xml!H1470</f>
        <v>2,1002</v>
      </c>
      <c r="I1466" s="14">
        <f>equip.xml!J1470</f>
        <v>50</v>
      </c>
      <c r="J1466" s="14">
        <f>equip.xml!K1470</f>
        <v>500</v>
      </c>
      <c r="K1466" s="14">
        <f>equip.xml!L1470</f>
        <v>10000</v>
      </c>
      <c r="L1466" s="14" t="str">
        <f>equip.xml!M1470</f>
        <v>108_103_103</v>
      </c>
      <c r="M1466" s="17" t="str">
        <f>equip.xml!Q1470</f>
        <v>equipment/2204.png</v>
      </c>
      <c r="N1466" s="16" t="str">
        <f>equip.xml!P1470</f>
        <v>10000_1002_15000,30000_30001_1,30000_30002_1,30000_30003_1</v>
      </c>
      <c r="O1466">
        <f>equip.xml!R1470</f>
        <v>0</v>
      </c>
    </row>
    <row r="1467" spans="1:15">
      <c r="A1467" s="14" t="str">
        <f>equip.xml!A1471</f>
        <v>40152061</v>
      </c>
      <c r="B1467" s="14">
        <f>equip.xml!B1471</f>
        <v>0</v>
      </c>
      <c r="C1467" s="14" t="str">
        <f>equip.xml!C1471</f>
        <v>箭筒</v>
      </c>
      <c r="D1467" s="14" t="str">
        <f>equip.xml!D1471</f>
        <v>副手武器</v>
      </c>
      <c r="E1467" s="14">
        <f>equip.xml!E1471</f>
        <v>6</v>
      </c>
      <c r="F1467" s="14">
        <f>equip.xml!F1471</f>
        <v>4</v>
      </c>
      <c r="G1467" s="14">
        <f>equip.xml!G1471</f>
        <v>15</v>
      </c>
      <c r="H1467" s="14" t="str">
        <f>equip.xml!H1471</f>
        <v>2,1002</v>
      </c>
      <c r="I1467" s="14">
        <f>equip.xml!J1471</f>
        <v>50</v>
      </c>
      <c r="J1467" s="14">
        <f>equip.xml!K1471</f>
        <v>500</v>
      </c>
      <c r="K1467" s="14">
        <f>equip.xml!L1471</f>
        <v>12500</v>
      </c>
      <c r="L1467" s="14" t="str">
        <f>equip.xml!M1471</f>
        <v>108_130_130</v>
      </c>
      <c r="M1467" s="17" t="str">
        <f>equip.xml!Q1471</f>
        <v>equipment/2201.png</v>
      </c>
      <c r="N1467" s="16" t="str">
        <f>equip.xml!P1471</f>
        <v>10000_1002_15000,30000_30001_1,30000_30002_1,30000_30003_1</v>
      </c>
      <c r="O1467">
        <f>equip.xml!R1471</f>
        <v>0</v>
      </c>
    </row>
    <row r="1468" spans="1:15">
      <c r="A1468" s="14" t="str">
        <f>equip.xml!A1472</f>
        <v>40153050</v>
      </c>
      <c r="B1468" s="14">
        <f>equip.xml!B1472</f>
        <v>1</v>
      </c>
      <c r="C1468" s="14" t="str">
        <f>equip.xml!C1472</f>
        <v>风灵法杖</v>
      </c>
      <c r="D1468" s="14" t="str">
        <f>equip.xml!D1472</f>
        <v>主手武器</v>
      </c>
      <c r="E1468" s="14">
        <f>equip.xml!E1472</f>
        <v>5</v>
      </c>
      <c r="F1468" s="14">
        <f>equip.xml!F1472</f>
        <v>4</v>
      </c>
      <c r="G1468" s="14">
        <f>equip.xml!G1472</f>
        <v>15</v>
      </c>
      <c r="H1468" s="14" t="str">
        <f>equip.xml!H1472</f>
        <v>3,1003</v>
      </c>
      <c r="I1468" s="14">
        <f>equip.xml!J1472</f>
        <v>50</v>
      </c>
      <c r="J1468" s="14">
        <f>equip.xml!K1472</f>
        <v>500</v>
      </c>
      <c r="K1468" s="14">
        <f>equip.xml!L1472</f>
        <v>10000</v>
      </c>
      <c r="L1468" s="14" t="str">
        <f>equip.xml!M1472</f>
        <v>103_52_52,104_104_104</v>
      </c>
      <c r="M1468" s="17" t="str">
        <f>equip.xml!Q1472</f>
        <v>equipment/1307.png</v>
      </c>
      <c r="N1468" s="16" t="str">
        <f>equip.xml!P1472</f>
        <v>10000_1002_15000,30000_30001_1,30000_30002_1,30000_30003_1</v>
      </c>
      <c r="O1468">
        <f>equip.xml!R1472</f>
        <v>0</v>
      </c>
    </row>
    <row r="1469" spans="1:15">
      <c r="A1469" s="14">
        <f>equip.xml!A1473</f>
        <v>40153051</v>
      </c>
      <c r="B1469" s="14">
        <f>equip.xml!B1473</f>
        <v>1</v>
      </c>
      <c r="C1469" s="14" t="str">
        <f>equip.xml!C1473</f>
        <v>禁锢之杖</v>
      </c>
      <c r="D1469" s="14" t="str">
        <f>equip.xml!D1473</f>
        <v>主手武器</v>
      </c>
      <c r="E1469" s="14">
        <f>equip.xml!E1473</f>
        <v>5</v>
      </c>
      <c r="F1469" s="14">
        <f>equip.xml!F1473</f>
        <v>4</v>
      </c>
      <c r="G1469" s="14">
        <f>equip.xml!G1473</f>
        <v>15</v>
      </c>
      <c r="H1469" s="14" t="str">
        <f>equip.xml!H1473</f>
        <v>3,1003</v>
      </c>
      <c r="I1469" s="14">
        <f>equip.xml!J1473</f>
        <v>50</v>
      </c>
      <c r="J1469" s="14">
        <f>equip.xml!K1473</f>
        <v>500</v>
      </c>
      <c r="K1469" s="14">
        <f>equip.xml!L1473</f>
        <v>12500</v>
      </c>
      <c r="L1469" s="14" t="str">
        <f>equip.xml!M1473</f>
        <v>103_76_76,104_152_152</v>
      </c>
      <c r="M1469" s="17" t="str">
        <f>equip.xml!Q1473</f>
        <v>equipment/1308.png</v>
      </c>
      <c r="N1469" s="16" t="str">
        <f>equip.xml!P1473</f>
        <v>10000_1002_15000,30000_30001_1,30000_30002_1,30000_30003_1</v>
      </c>
      <c r="O1469">
        <f>equip.xml!R1473</f>
        <v>0</v>
      </c>
    </row>
    <row r="1470" spans="1:15">
      <c r="A1470" s="14" t="str">
        <f>equip.xml!A1474</f>
        <v>40153060</v>
      </c>
      <c r="B1470" s="14">
        <f>equip.xml!B1474</f>
        <v>1</v>
      </c>
      <c r="C1470" s="14" t="str">
        <f>equip.xml!C1474</f>
        <v>秘法之书</v>
      </c>
      <c r="D1470" s="14" t="str">
        <f>equip.xml!D1474</f>
        <v>副手武器</v>
      </c>
      <c r="E1470" s="14">
        <f>equip.xml!E1474</f>
        <v>6</v>
      </c>
      <c r="F1470" s="14">
        <f>equip.xml!F1474</f>
        <v>4</v>
      </c>
      <c r="G1470" s="14">
        <f>equip.xml!G1474</f>
        <v>15</v>
      </c>
      <c r="H1470" s="14" t="str">
        <f>equip.xml!H1474</f>
        <v>3,1003</v>
      </c>
      <c r="I1470" s="14">
        <f>equip.xml!J1474</f>
        <v>50</v>
      </c>
      <c r="J1470" s="14">
        <f>equip.xml!K1474</f>
        <v>500</v>
      </c>
      <c r="K1470" s="14">
        <f>equip.xml!L1474</f>
        <v>10000</v>
      </c>
      <c r="L1470" s="14" t="str">
        <f>equip.xml!M1474</f>
        <v>102_420_420</v>
      </c>
      <c r="M1470" s="17" t="str">
        <f>equip.xml!Q1474</f>
        <v>equipment/2304.png</v>
      </c>
      <c r="N1470" s="16" t="str">
        <f>equip.xml!P1474</f>
        <v>10000_1002_15000,30000_30001_1,30000_30002_1,30000_30003_1</v>
      </c>
      <c r="O1470">
        <f>equip.xml!R1474</f>
        <v>0</v>
      </c>
    </row>
    <row r="1471" spans="1:15">
      <c r="A1471" s="14" t="str">
        <f>equip.xml!A1475</f>
        <v>40153061</v>
      </c>
      <c r="B1471" s="14">
        <f>equip.xml!B1475</f>
        <v>0</v>
      </c>
      <c r="C1471" s="14" t="str">
        <f>equip.xml!C1475</f>
        <v>法术指南</v>
      </c>
      <c r="D1471" s="14" t="str">
        <f>equip.xml!D1475</f>
        <v>副手武器</v>
      </c>
      <c r="E1471" s="14">
        <f>equip.xml!E1475</f>
        <v>6</v>
      </c>
      <c r="F1471" s="14">
        <f>equip.xml!F1475</f>
        <v>4</v>
      </c>
      <c r="G1471" s="14">
        <f>equip.xml!G1475</f>
        <v>15</v>
      </c>
      <c r="H1471" s="14" t="str">
        <f>equip.xml!H1475</f>
        <v>3,1003</v>
      </c>
      <c r="I1471" s="14">
        <f>equip.xml!J1475</f>
        <v>50</v>
      </c>
      <c r="J1471" s="14">
        <f>equip.xml!K1475</f>
        <v>500</v>
      </c>
      <c r="K1471" s="14">
        <f>equip.xml!L1475</f>
        <v>12500</v>
      </c>
      <c r="L1471" s="14" t="str">
        <f>equip.xml!M1475</f>
        <v>102_472_472</v>
      </c>
      <c r="M1471" s="17" t="str">
        <f>equip.xml!Q1475</f>
        <v>equipment/2301.png</v>
      </c>
      <c r="N1471" s="16" t="str">
        <f>equip.xml!P1475</f>
        <v>10000_1002_15000,30000_30001_1,30000_30002_1,30000_30003_1</v>
      </c>
      <c r="O1471">
        <f>equip.xml!R1475</f>
        <v>0</v>
      </c>
    </row>
    <row r="1472" spans="1:15">
      <c r="A1472" s="14" t="str">
        <f>equip.xml!A1476</f>
        <v>40150040</v>
      </c>
      <c r="B1472" s="14">
        <f>equip.xml!B1476</f>
        <v>1</v>
      </c>
      <c r="C1472" s="14" t="str">
        <f>equip.xml!C1476</f>
        <v>暗石胸甲</v>
      </c>
      <c r="D1472" s="14" t="str">
        <f>equip.xml!D1476</f>
        <v>胸甲</v>
      </c>
      <c r="E1472" s="14">
        <f>equip.xml!E1476</f>
        <v>4</v>
      </c>
      <c r="F1472" s="14">
        <f>equip.xml!F1476</f>
        <v>4</v>
      </c>
      <c r="G1472" s="14">
        <f>equip.xml!G1476</f>
        <v>15</v>
      </c>
      <c r="H1472" s="14">
        <f>equip.xml!H1476</f>
        <v>0</v>
      </c>
      <c r="I1472" s="14">
        <f>equip.xml!J1476</f>
        <v>50</v>
      </c>
      <c r="J1472" s="14">
        <f>equip.xml!K1476</f>
        <v>500</v>
      </c>
      <c r="K1472" s="14">
        <f>equip.xml!L1476</f>
        <v>10000</v>
      </c>
      <c r="L1472" s="14" t="str">
        <f>equip.xml!M1476</f>
        <v>105_39_39</v>
      </c>
      <c r="M1472" s="17" t="str">
        <f>equip.xml!Q1476</f>
        <v>equipment/5005.png</v>
      </c>
      <c r="N1472" s="16" t="str">
        <f>equip.xml!P1476</f>
        <v>10000_1002_15000,30000_30001_1,30000_30002_1,30000_30003_1</v>
      </c>
      <c r="O1472">
        <f>equip.xml!R1476</f>
        <v>0</v>
      </c>
    </row>
    <row r="1473" spans="1:15">
      <c r="A1473" s="14" t="str">
        <f>equip.xml!A1477</f>
        <v>40150041</v>
      </c>
      <c r="B1473" s="14">
        <f>equip.xml!B1477</f>
        <v>0</v>
      </c>
      <c r="C1473" s="14" t="str">
        <f>equip.xml!C1477</f>
        <v>新兵外套</v>
      </c>
      <c r="D1473" s="14" t="str">
        <f>equip.xml!D1477</f>
        <v>胸甲</v>
      </c>
      <c r="E1473" s="14">
        <f>equip.xml!E1477</f>
        <v>4</v>
      </c>
      <c r="F1473" s="14">
        <f>equip.xml!F1477</f>
        <v>4</v>
      </c>
      <c r="G1473" s="14">
        <f>equip.xml!G1477</f>
        <v>15</v>
      </c>
      <c r="H1473" s="14">
        <f>equip.xml!H1477</f>
        <v>0</v>
      </c>
      <c r="I1473" s="14">
        <f>equip.xml!J1477</f>
        <v>50</v>
      </c>
      <c r="J1473" s="14">
        <f>equip.xml!K1477</f>
        <v>500</v>
      </c>
      <c r="K1473" s="14">
        <f>equip.xml!L1477</f>
        <v>12500</v>
      </c>
      <c r="L1473" s="14" t="str">
        <f>equip.xml!M1477</f>
        <v>105_64_64</v>
      </c>
      <c r="M1473" s="17" t="str">
        <f>equip.xml!Q1477</f>
        <v>equipment/5001.png</v>
      </c>
      <c r="N1473" s="16" t="str">
        <f>equip.xml!P1477</f>
        <v>10000_1002_15000,30000_30001_1,30000_30002_1,30000_30003_1</v>
      </c>
      <c r="O1473">
        <f>equip.xml!R1477</f>
        <v>0</v>
      </c>
    </row>
    <row r="1474" spans="1:15">
      <c r="A1474" s="14" t="str">
        <f>equip.xml!A1478</f>
        <v>40150070</v>
      </c>
      <c r="B1474" s="14">
        <f>equip.xml!B1478</f>
        <v>1</v>
      </c>
      <c r="C1474" s="14" t="str">
        <f>equip.xml!C1478</f>
        <v>荒野马裤</v>
      </c>
      <c r="D1474" s="14" t="str">
        <f>equip.xml!D1478</f>
        <v>护腿</v>
      </c>
      <c r="E1474" s="14">
        <f>equip.xml!E1478</f>
        <v>7</v>
      </c>
      <c r="F1474" s="14">
        <f>equip.xml!F1478</f>
        <v>4</v>
      </c>
      <c r="G1474" s="14">
        <f>equip.xml!G1478</f>
        <v>15</v>
      </c>
      <c r="H1474" s="14">
        <f>equip.xml!H1478</f>
        <v>0</v>
      </c>
      <c r="I1474" s="14">
        <f>equip.xml!J1478</f>
        <v>50</v>
      </c>
      <c r="J1474" s="14">
        <f>equip.xml!K1478</f>
        <v>500</v>
      </c>
      <c r="K1474" s="14">
        <f>equip.xml!L1478</f>
        <v>10000</v>
      </c>
      <c r="L1474" s="14" t="str">
        <f>equip.xml!M1478</f>
        <v>105_39_39</v>
      </c>
      <c r="M1474" s="17" t="str">
        <f>equip.xml!Q1478</f>
        <v>equipment/7003.png</v>
      </c>
      <c r="N1474" s="16" t="str">
        <f>equip.xml!P1478</f>
        <v>10000_1002_15000,30000_30001_1,30000_30002_1,30000_30003_1</v>
      </c>
      <c r="O1474">
        <f>equip.xml!R1478</f>
        <v>0</v>
      </c>
    </row>
    <row r="1475" spans="1:15">
      <c r="A1475" s="14" t="str">
        <f>equip.xml!A1479</f>
        <v>40150071</v>
      </c>
      <c r="B1475" s="14">
        <f>equip.xml!B1479</f>
        <v>0</v>
      </c>
      <c r="C1475" s="14" t="str">
        <f>equip.xml!C1479</f>
        <v>学徒短裤</v>
      </c>
      <c r="D1475" s="14" t="str">
        <f>equip.xml!D1479</f>
        <v>护腿</v>
      </c>
      <c r="E1475" s="14">
        <f>equip.xml!E1479</f>
        <v>7</v>
      </c>
      <c r="F1475" s="14">
        <f>equip.xml!F1479</f>
        <v>4</v>
      </c>
      <c r="G1475" s="14">
        <f>equip.xml!G1479</f>
        <v>15</v>
      </c>
      <c r="H1475" s="14">
        <f>equip.xml!H1479</f>
        <v>0</v>
      </c>
      <c r="I1475" s="14">
        <f>equip.xml!J1479</f>
        <v>50</v>
      </c>
      <c r="J1475" s="14">
        <f>equip.xml!K1479</f>
        <v>500</v>
      </c>
      <c r="K1475" s="14">
        <f>equip.xml!L1479</f>
        <v>12500</v>
      </c>
      <c r="L1475" s="14" t="str">
        <f>equip.xml!M1479</f>
        <v>105_50_50</v>
      </c>
      <c r="M1475" s="17" t="str">
        <f>equip.xml!Q1479</f>
        <v>equipment/7001.png</v>
      </c>
      <c r="N1475" s="16" t="str">
        <f>equip.xml!P1479</f>
        <v>10000_1002_15000,30000_30001_1,30000_30002_1,30000_30003_1</v>
      </c>
      <c r="O1475">
        <f>equip.xml!R1479</f>
        <v>0</v>
      </c>
    </row>
    <row r="1476" spans="1:15">
      <c r="A1476" s="14" t="str">
        <f>equip.xml!A1480</f>
        <v>40200010</v>
      </c>
      <c r="B1476" s="14">
        <f>equip.xml!B1480</f>
        <v>1</v>
      </c>
      <c r="C1476" s="14" t="str">
        <f>equip.xml!C1480</f>
        <v>卫士头盔</v>
      </c>
      <c r="D1476" s="14" t="str">
        <f>equip.xml!D1480</f>
        <v>头盔</v>
      </c>
      <c r="E1476" s="14">
        <f>equip.xml!E1480</f>
        <v>1</v>
      </c>
      <c r="F1476" s="14">
        <f>equip.xml!F1480</f>
        <v>4</v>
      </c>
      <c r="G1476" s="14">
        <f>equip.xml!G1480</f>
        <v>20</v>
      </c>
      <c r="H1476" s="14">
        <f>equip.xml!H1480</f>
        <v>0</v>
      </c>
      <c r="I1476" s="14">
        <f>equip.xml!J1480</f>
        <v>50</v>
      </c>
      <c r="J1476" s="14">
        <f>equip.xml!K1480</f>
        <v>500</v>
      </c>
      <c r="K1476" s="14">
        <f>equip.xml!L1480</f>
        <v>12500</v>
      </c>
      <c r="L1476" s="14" t="str">
        <f>equip.xml!M1480</f>
        <v>106_136_136</v>
      </c>
      <c r="M1476" s="17" t="str">
        <f>equip.xml!Q1480</f>
        <v>equipment/3003.png</v>
      </c>
      <c r="N1476" s="16" t="str">
        <f>equip.xml!P1480</f>
        <v>10000_1002_20000,30000_30001_1,30000_30002_1,30000_30003_1</v>
      </c>
      <c r="O1476">
        <f>equip.xml!R1480</f>
        <v>0</v>
      </c>
    </row>
    <row r="1477" spans="1:15">
      <c r="A1477" s="14" t="str">
        <f>equip.xml!A1481</f>
        <v>40200020</v>
      </c>
      <c r="B1477" s="14">
        <f>equip.xml!B1481</f>
        <v>1</v>
      </c>
      <c r="C1477" s="14" t="str">
        <f>equip.xml!C1481</f>
        <v>石岩指环</v>
      </c>
      <c r="D1477" s="14" t="str">
        <f>equip.xml!D1481</f>
        <v>戒指</v>
      </c>
      <c r="E1477" s="14">
        <f>equip.xml!E1481</f>
        <v>2</v>
      </c>
      <c r="F1477" s="14">
        <f>equip.xml!F1481</f>
        <v>4</v>
      </c>
      <c r="G1477" s="14">
        <f>equip.xml!G1481</f>
        <v>20</v>
      </c>
      <c r="H1477" s="14">
        <f>equip.xml!H1481</f>
        <v>0</v>
      </c>
      <c r="I1477" s="14">
        <f>equip.xml!J1481</f>
        <v>50</v>
      </c>
      <c r="J1477" s="14">
        <f>equip.xml!K1481</f>
        <v>500</v>
      </c>
      <c r="K1477" s="14">
        <f>equip.xml!L1481</f>
        <v>12500</v>
      </c>
      <c r="L1477" s="14" t="str">
        <f>equip.xml!M1481</f>
        <v>102_240_240</v>
      </c>
      <c r="M1477" s="17" t="str">
        <f>equip.xml!Q1481</f>
        <v>equipment/14003.png</v>
      </c>
      <c r="N1477" s="16" t="str">
        <f>equip.xml!P1481</f>
        <v>10000_1002_20000,30000_30001_1,30000_30002_1,30000_30003_1</v>
      </c>
      <c r="O1477">
        <f>equip.xml!R1481</f>
        <v>0</v>
      </c>
    </row>
    <row r="1478" spans="1:15">
      <c r="A1478" s="14" t="str">
        <f>equip.xml!A1482</f>
        <v>40200030</v>
      </c>
      <c r="B1478" s="14">
        <f>equip.xml!B1482</f>
        <v>1</v>
      </c>
      <c r="C1478" s="14" t="str">
        <f>equip.xml!C1482</f>
        <v>勇者束带</v>
      </c>
      <c r="D1478" s="14" t="str">
        <f>equip.xml!D1482</f>
        <v>腰带</v>
      </c>
      <c r="E1478" s="14">
        <f>equip.xml!E1482</f>
        <v>3</v>
      </c>
      <c r="F1478" s="14">
        <f>equip.xml!F1482</f>
        <v>4</v>
      </c>
      <c r="G1478" s="14">
        <f>equip.xml!G1482</f>
        <v>20</v>
      </c>
      <c r="H1478" s="14">
        <f>equip.xml!H1482</f>
        <v>0</v>
      </c>
      <c r="I1478" s="14">
        <f>equip.xml!J1482</f>
        <v>50</v>
      </c>
      <c r="J1478" s="14">
        <f>equip.xml!K1482</f>
        <v>500</v>
      </c>
      <c r="K1478" s="14">
        <f>equip.xml!L1482</f>
        <v>12500</v>
      </c>
      <c r="L1478" s="14" t="str">
        <f>equip.xml!M1482</f>
        <v>101_2120_2120</v>
      </c>
      <c r="M1478" s="17" t="str">
        <f>equip.xml!Q1482</f>
        <v>equipment/6004.png</v>
      </c>
      <c r="N1478" s="16" t="str">
        <f>equip.xml!P1482</f>
        <v>10000_1002_20000,30000_30001_1,30000_30002_1,30000_30003_1</v>
      </c>
      <c r="O1478">
        <f>equip.xml!R1482</f>
        <v>0</v>
      </c>
    </row>
    <row r="1479" spans="1:15">
      <c r="A1479" s="14" t="str">
        <f>equip.xml!A1483</f>
        <v>40200080</v>
      </c>
      <c r="B1479" s="14">
        <f>equip.xml!B1483</f>
        <v>1</v>
      </c>
      <c r="C1479" s="14" t="str">
        <f>equip.xml!C1483</f>
        <v>冒险长靴</v>
      </c>
      <c r="D1479" s="14" t="str">
        <f>equip.xml!D1483</f>
        <v>鞋子</v>
      </c>
      <c r="E1479" s="14">
        <f>equip.xml!E1483</f>
        <v>8</v>
      </c>
      <c r="F1479" s="14">
        <f>equip.xml!F1483</f>
        <v>4</v>
      </c>
      <c r="G1479" s="14">
        <f>equip.xml!G1483</f>
        <v>20</v>
      </c>
      <c r="H1479" s="14">
        <f>equip.xml!H1483</f>
        <v>0</v>
      </c>
      <c r="I1479" s="14">
        <f>equip.xml!J1483</f>
        <v>50</v>
      </c>
      <c r="J1479" s="14">
        <f>equip.xml!K1483</f>
        <v>500</v>
      </c>
      <c r="K1479" s="14">
        <f>equip.xml!L1483</f>
        <v>12500</v>
      </c>
      <c r="L1479" s="14" t="str">
        <f>equip.xml!M1483</f>
        <v>110_32_32</v>
      </c>
      <c r="M1479" s="17" t="str">
        <f>equip.xml!Q1483</f>
        <v>equipment/8003.png</v>
      </c>
      <c r="N1479" s="16" t="str">
        <f>equip.xml!P1483</f>
        <v>10000_1002_20000,30000_30001_1,30000_30002_1,30000_30003_1</v>
      </c>
      <c r="O1479">
        <f>equip.xml!R1483</f>
        <v>0</v>
      </c>
    </row>
    <row r="1480" spans="1:15">
      <c r="A1480" s="14" t="str">
        <f>equip.xml!A1484</f>
        <v>40200090</v>
      </c>
      <c r="B1480" s="14">
        <f>equip.xml!B1484</f>
        <v>1</v>
      </c>
      <c r="C1480" s="14" t="str">
        <f>equip.xml!C1484</f>
        <v>工程手套</v>
      </c>
      <c r="D1480" s="14" t="str">
        <f>equip.xml!D1484</f>
        <v>手套</v>
      </c>
      <c r="E1480" s="14">
        <f>equip.xml!E1484</f>
        <v>9</v>
      </c>
      <c r="F1480" s="14">
        <f>equip.xml!F1484</f>
        <v>4</v>
      </c>
      <c r="G1480" s="14">
        <f>equip.xml!G1484</f>
        <v>20</v>
      </c>
      <c r="H1480" s="14">
        <f>equip.xml!H1484</f>
        <v>0</v>
      </c>
      <c r="I1480" s="14">
        <f>equip.xml!J1484</f>
        <v>50</v>
      </c>
      <c r="J1480" s="14">
        <f>equip.xml!K1484</f>
        <v>500</v>
      </c>
      <c r="K1480" s="14">
        <f>equip.xml!L1484</f>
        <v>12500</v>
      </c>
      <c r="L1480" s="14" t="str">
        <f>equip.xml!M1484</f>
        <v>108_211_211</v>
      </c>
      <c r="M1480" s="17" t="str">
        <f>equip.xml!Q1484</f>
        <v>equipment/10004.png</v>
      </c>
      <c r="N1480" s="16" t="str">
        <f>equip.xml!P1484</f>
        <v>10000_1002_20000,30000_30001_1,30000_30002_1,30000_30003_1</v>
      </c>
      <c r="O1480">
        <f>equip.xml!R1484</f>
        <v>0</v>
      </c>
    </row>
    <row r="1481" spans="1:15">
      <c r="A1481" s="14" t="str">
        <f>equip.xml!A1485</f>
        <v>40200100</v>
      </c>
      <c r="B1481" s="14">
        <f>equip.xml!B1485</f>
        <v>1</v>
      </c>
      <c r="C1481" s="14" t="str">
        <f>equip.xml!C1485</f>
        <v>翡翠项链</v>
      </c>
      <c r="D1481" s="14" t="str">
        <f>equip.xml!D1485</f>
        <v>项链</v>
      </c>
      <c r="E1481" s="14">
        <f>equip.xml!E1485</f>
        <v>10</v>
      </c>
      <c r="F1481" s="14">
        <f>equip.xml!F1485</f>
        <v>4</v>
      </c>
      <c r="G1481" s="14">
        <f>equip.xml!G1485</f>
        <v>20</v>
      </c>
      <c r="H1481" s="14">
        <f>equip.xml!H1485</f>
        <v>0</v>
      </c>
      <c r="I1481" s="14">
        <f>equip.xml!J1485</f>
        <v>50</v>
      </c>
      <c r="J1481" s="14">
        <f>equip.xml!K1485</f>
        <v>500</v>
      </c>
      <c r="K1481" s="14">
        <f>equip.xml!L1485</f>
        <v>12500</v>
      </c>
      <c r="L1481" s="14" t="str">
        <f>equip.xml!M1485</f>
        <v>107_136_136</v>
      </c>
      <c r="M1481" s="17" t="str">
        <f>equip.xml!Q1485</f>
        <v>equipment/12003.png</v>
      </c>
      <c r="N1481" s="16" t="str">
        <f>equip.xml!P1485</f>
        <v>10000_1002_20000,30000_30001_1,30000_30002_1,30000_30003_1</v>
      </c>
      <c r="O1481">
        <f>equip.xml!R1485</f>
        <v>0</v>
      </c>
    </row>
    <row r="1482" spans="1:15">
      <c r="A1482" s="14" t="str">
        <f>equip.xml!A1486</f>
        <v>40201050</v>
      </c>
      <c r="B1482" s="14">
        <f>equip.xml!B1486</f>
        <v>1</v>
      </c>
      <c r="C1482" s="14" t="str">
        <f>equip.xml!C1486</f>
        <v>勇者长剑</v>
      </c>
      <c r="D1482" s="14" t="str">
        <f>equip.xml!D1486</f>
        <v>主手武器</v>
      </c>
      <c r="E1482" s="14">
        <f>equip.xml!E1486</f>
        <v>5</v>
      </c>
      <c r="F1482" s="14">
        <f>equip.xml!F1486</f>
        <v>4</v>
      </c>
      <c r="G1482" s="14">
        <f>equip.xml!G1486</f>
        <v>20</v>
      </c>
      <c r="H1482" s="14" t="str">
        <f>equip.xml!H1486</f>
        <v>1,1001</v>
      </c>
      <c r="I1482" s="14">
        <f>equip.xml!J1486</f>
        <v>50</v>
      </c>
      <c r="J1482" s="14">
        <f>equip.xml!K1486</f>
        <v>500</v>
      </c>
      <c r="K1482" s="14">
        <f>equip.xml!L1486</f>
        <v>12500</v>
      </c>
      <c r="L1482" s="14" t="str">
        <f>equip.xml!M1486</f>
        <v>103_113_113,104_226_226</v>
      </c>
      <c r="M1482" s="17" t="str">
        <f>equip.xml!Q1486</f>
        <v>equipment/1109.png</v>
      </c>
      <c r="N1482" s="16" t="str">
        <f>equip.xml!P1486</f>
        <v>10000_1002_20000,30000_30001_1,30000_30002_1,30000_30003_1</v>
      </c>
      <c r="O1482">
        <f>equip.xml!R1486</f>
        <v>0</v>
      </c>
    </row>
    <row r="1483" spans="1:15">
      <c r="A1483" s="14" t="str">
        <f>equip.xml!A1487</f>
        <v>40201051</v>
      </c>
      <c r="B1483" s="14">
        <f>equip.xml!B1487</f>
        <v>0</v>
      </c>
      <c r="C1483" s="14" t="str">
        <f>equip.xml!C1487</f>
        <v>军刀</v>
      </c>
      <c r="D1483" s="14" t="str">
        <f>equip.xml!D1487</f>
        <v>主手武器</v>
      </c>
      <c r="E1483" s="14">
        <f>equip.xml!E1487</f>
        <v>5</v>
      </c>
      <c r="F1483" s="14">
        <f>equip.xml!F1487</f>
        <v>4</v>
      </c>
      <c r="G1483" s="14">
        <f>equip.xml!G1487</f>
        <v>20</v>
      </c>
      <c r="H1483" s="14" t="str">
        <f>equip.xml!H1487</f>
        <v>1,1001</v>
      </c>
      <c r="I1483" s="14">
        <f>equip.xml!J1487</f>
        <v>50</v>
      </c>
      <c r="J1483" s="14">
        <f>equip.xml!K1487</f>
        <v>500</v>
      </c>
      <c r="K1483" s="14">
        <f>equip.xml!L1487</f>
        <v>15000</v>
      </c>
      <c r="L1483" s="14" t="str">
        <f>equip.xml!M1487</f>
        <v>103_138_138,104_276_276</v>
      </c>
      <c r="M1483" s="17" t="str">
        <f>equip.xml!Q1487</f>
        <v>equipment/1101.png</v>
      </c>
      <c r="N1483" s="16" t="str">
        <f>equip.xml!P1487</f>
        <v>10000_1002_20000,30000_30001_1,30000_30002_1,30000_30003_1</v>
      </c>
      <c r="O1483">
        <f>equip.xml!R1487</f>
        <v>0</v>
      </c>
    </row>
    <row r="1484" spans="1:15">
      <c r="A1484" s="14" t="str">
        <f>equip.xml!A1488</f>
        <v>40201060</v>
      </c>
      <c r="B1484" s="14">
        <f>equip.xml!B1488</f>
        <v>1</v>
      </c>
      <c r="C1484" s="14" t="str">
        <f>equip.xml!C1488</f>
        <v>护卫之盾</v>
      </c>
      <c r="D1484" s="14" t="str">
        <f>equip.xml!D1488</f>
        <v>副手武器</v>
      </c>
      <c r="E1484" s="14">
        <f>equip.xml!E1488</f>
        <v>6</v>
      </c>
      <c r="F1484" s="14">
        <f>equip.xml!F1488</f>
        <v>4</v>
      </c>
      <c r="G1484" s="14">
        <f>equip.xml!G1488</f>
        <v>20</v>
      </c>
      <c r="H1484" s="14" t="str">
        <f>equip.xml!H1488</f>
        <v>1,1001</v>
      </c>
      <c r="I1484" s="14">
        <f>equip.xml!J1488</f>
        <v>50</v>
      </c>
      <c r="J1484" s="14">
        <f>equip.xml!K1488</f>
        <v>500</v>
      </c>
      <c r="K1484" s="14">
        <f>equip.xml!L1488</f>
        <v>12500</v>
      </c>
      <c r="L1484" s="14" t="str">
        <f>equip.xml!M1488</f>
        <v>105_171_171</v>
      </c>
      <c r="M1484" s="17" t="str">
        <f>equip.xml!Q1488</f>
        <v>equipment/2104.png</v>
      </c>
      <c r="N1484" s="16" t="str">
        <f>equip.xml!P1488</f>
        <v>10000_1002_20000,30000_30001_1,30000_30002_1,30000_30003_1</v>
      </c>
      <c r="O1484">
        <f>equip.xml!R1488</f>
        <v>0</v>
      </c>
    </row>
    <row r="1485" spans="1:15">
      <c r="A1485" s="14" t="str">
        <f>equip.xml!A1489</f>
        <v>40201061</v>
      </c>
      <c r="B1485" s="14">
        <f>equip.xml!B1489</f>
        <v>0</v>
      </c>
      <c r="C1485" s="14" t="str">
        <f>equip.xml!C1489</f>
        <v>尖头盾</v>
      </c>
      <c r="D1485" s="14" t="str">
        <f>equip.xml!D1489</f>
        <v>副手武器</v>
      </c>
      <c r="E1485" s="14">
        <f>equip.xml!E1489</f>
        <v>6</v>
      </c>
      <c r="F1485" s="14">
        <f>equip.xml!F1489</f>
        <v>4</v>
      </c>
      <c r="G1485" s="14">
        <f>equip.xml!G1489</f>
        <v>20</v>
      </c>
      <c r="H1485" s="14" t="str">
        <f>equip.xml!H1489</f>
        <v>1,1001</v>
      </c>
      <c r="I1485" s="14">
        <f>equip.xml!J1489</f>
        <v>50</v>
      </c>
      <c r="J1485" s="14">
        <f>equip.xml!K1489</f>
        <v>500</v>
      </c>
      <c r="K1485" s="14">
        <f>equip.xml!L1489</f>
        <v>15000</v>
      </c>
      <c r="L1485" s="14" t="str">
        <f>equip.xml!M1489</f>
        <v>105_205_205</v>
      </c>
      <c r="M1485" s="17" t="str">
        <f>equip.xml!Q1489</f>
        <v>equipment/2101.png</v>
      </c>
      <c r="N1485" s="16" t="str">
        <f>equip.xml!P1489</f>
        <v>10000_1002_20000,30000_30001_1,30000_30002_1,30000_30003_1</v>
      </c>
      <c r="O1485">
        <f>equip.xml!R1489</f>
        <v>0</v>
      </c>
    </row>
    <row r="1486" spans="1:15">
      <c r="A1486" s="14" t="str">
        <f>equip.xml!A1490</f>
        <v>40202050</v>
      </c>
      <c r="B1486" s="14">
        <f>equip.xml!B1490</f>
        <v>1</v>
      </c>
      <c r="C1486" s="14" t="str">
        <f>equip.xml!C1490</f>
        <v>护卫之弓</v>
      </c>
      <c r="D1486" s="14" t="str">
        <f>equip.xml!D1490</f>
        <v>主手武器</v>
      </c>
      <c r="E1486" s="14">
        <f>equip.xml!E1490</f>
        <v>5</v>
      </c>
      <c r="F1486" s="14">
        <f>equip.xml!F1490</f>
        <v>4</v>
      </c>
      <c r="G1486" s="14">
        <f>equip.xml!G1490</f>
        <v>20</v>
      </c>
      <c r="H1486" s="14" t="str">
        <f>equip.xml!H1490</f>
        <v>2,1002</v>
      </c>
      <c r="I1486" s="14">
        <f>equip.xml!J1490</f>
        <v>50</v>
      </c>
      <c r="J1486" s="14">
        <f>equip.xml!K1490</f>
        <v>500</v>
      </c>
      <c r="K1486" s="14">
        <f>equip.xml!L1490</f>
        <v>12500</v>
      </c>
      <c r="L1486" s="14" t="str">
        <f>equip.xml!M1490</f>
        <v>103_113_113,104_226_226</v>
      </c>
      <c r="M1486" s="17" t="str">
        <f>equip.xml!Q1490</f>
        <v>equipment/1209.png</v>
      </c>
      <c r="N1486" s="16" t="str">
        <f>equip.xml!P1490</f>
        <v>10000_1002_20000,30000_30001_1,30000_30002_1,30000_30003_1</v>
      </c>
      <c r="O1486">
        <f>equip.xml!R1490</f>
        <v>0</v>
      </c>
    </row>
    <row r="1487" spans="1:15">
      <c r="A1487" s="14" t="str">
        <f>equip.xml!A1491</f>
        <v>40202051</v>
      </c>
      <c r="B1487" s="14">
        <f>equip.xml!B1491</f>
        <v>0</v>
      </c>
      <c r="C1487" s="14" t="str">
        <f>equip.xml!C1491</f>
        <v>棘木弓</v>
      </c>
      <c r="D1487" s="14" t="str">
        <f>equip.xml!D1491</f>
        <v>主手武器</v>
      </c>
      <c r="E1487" s="14">
        <f>equip.xml!E1491</f>
        <v>5</v>
      </c>
      <c r="F1487" s="14">
        <f>equip.xml!F1491</f>
        <v>4</v>
      </c>
      <c r="G1487" s="14">
        <f>equip.xml!G1491</f>
        <v>20</v>
      </c>
      <c r="H1487" s="14" t="str">
        <f>equip.xml!H1491</f>
        <v>2,1002</v>
      </c>
      <c r="I1487" s="14">
        <f>equip.xml!J1491</f>
        <v>50</v>
      </c>
      <c r="J1487" s="14">
        <f>equip.xml!K1491</f>
        <v>500</v>
      </c>
      <c r="K1487" s="14">
        <f>equip.xml!L1491</f>
        <v>15000</v>
      </c>
      <c r="L1487" s="14" t="str">
        <f>equip.xml!M1491</f>
        <v>103_138_138,104_276_276</v>
      </c>
      <c r="M1487" s="17" t="str">
        <f>equip.xml!Q1491</f>
        <v>equipment/1201.png</v>
      </c>
      <c r="N1487" s="16" t="str">
        <f>equip.xml!P1491</f>
        <v>10000_1002_20000,30000_30001_1,30000_30002_1,30000_30003_1</v>
      </c>
      <c r="O1487">
        <f>equip.xml!R1491</f>
        <v>0</v>
      </c>
    </row>
    <row r="1488" spans="1:15">
      <c r="A1488" s="14" t="str">
        <f>equip.xml!A1492</f>
        <v>40202060</v>
      </c>
      <c r="B1488" s="14">
        <f>equip.xml!B1492</f>
        <v>1</v>
      </c>
      <c r="C1488" s="14" t="str">
        <f>equip.xml!C1492</f>
        <v>狩猎箭筒</v>
      </c>
      <c r="D1488" s="14" t="str">
        <f>equip.xml!D1492</f>
        <v>副手武器</v>
      </c>
      <c r="E1488" s="14">
        <f>equip.xml!E1492</f>
        <v>6</v>
      </c>
      <c r="F1488" s="14">
        <f>equip.xml!F1492</f>
        <v>4</v>
      </c>
      <c r="G1488" s="14">
        <f>equip.xml!G1492</f>
        <v>20</v>
      </c>
      <c r="H1488" s="14" t="str">
        <f>equip.xml!H1492</f>
        <v>2,1002</v>
      </c>
      <c r="I1488" s="14">
        <f>equip.xml!J1492</f>
        <v>50</v>
      </c>
      <c r="J1488" s="14">
        <f>equip.xml!K1492</f>
        <v>500</v>
      </c>
      <c r="K1488" s="14">
        <f>equip.xml!L1492</f>
        <v>12500</v>
      </c>
      <c r="L1488" s="14" t="str">
        <f>equip.xml!M1492</f>
        <v>108_171_171</v>
      </c>
      <c r="M1488" s="17" t="str">
        <f>equip.xml!Q1492</f>
        <v>equipment/2205.png</v>
      </c>
      <c r="N1488" s="16" t="str">
        <f>equip.xml!P1492</f>
        <v>10000_1002_20000,30000_30001_1,30000_30002_1,30000_30003_1</v>
      </c>
      <c r="O1488">
        <f>equip.xml!R1492</f>
        <v>0</v>
      </c>
    </row>
    <row r="1489" spans="1:15">
      <c r="A1489" s="14" t="str">
        <f>equip.xml!A1493</f>
        <v>40202061</v>
      </c>
      <c r="B1489" s="14">
        <f>equip.xml!B1493</f>
        <v>0</v>
      </c>
      <c r="C1489" s="14" t="str">
        <f>equip.xml!C1493</f>
        <v>箭筒</v>
      </c>
      <c r="D1489" s="14" t="str">
        <f>equip.xml!D1493</f>
        <v>副手武器</v>
      </c>
      <c r="E1489" s="14">
        <f>equip.xml!E1493</f>
        <v>6</v>
      </c>
      <c r="F1489" s="14">
        <f>equip.xml!F1493</f>
        <v>4</v>
      </c>
      <c r="G1489" s="14">
        <f>equip.xml!G1493</f>
        <v>20</v>
      </c>
      <c r="H1489" s="14" t="str">
        <f>equip.xml!H1493</f>
        <v>2,1002</v>
      </c>
      <c r="I1489" s="14">
        <f>equip.xml!J1493</f>
        <v>50</v>
      </c>
      <c r="J1489" s="14">
        <f>equip.xml!K1493</f>
        <v>500</v>
      </c>
      <c r="K1489" s="14">
        <f>equip.xml!L1493</f>
        <v>15000</v>
      </c>
      <c r="L1489" s="14" t="str">
        <f>equip.xml!M1493</f>
        <v>108_205_205</v>
      </c>
      <c r="M1489" s="17" t="str">
        <f>equip.xml!Q1493</f>
        <v>equipment/2201.png</v>
      </c>
      <c r="N1489" s="16" t="str">
        <f>equip.xml!P1493</f>
        <v>10000_1002_20000,30000_30001_1,30000_30002_1,30000_30003_1</v>
      </c>
      <c r="O1489">
        <f>equip.xml!R1493</f>
        <v>0</v>
      </c>
    </row>
    <row r="1490" spans="1:15">
      <c r="A1490" s="14" t="str">
        <f>equip.xml!A1494</f>
        <v>40203050</v>
      </c>
      <c r="B1490" s="14">
        <f>equip.xml!B1494</f>
        <v>1</v>
      </c>
      <c r="C1490" s="14" t="str">
        <f>equip.xml!C1494</f>
        <v>保护法杖</v>
      </c>
      <c r="D1490" s="14" t="str">
        <f>equip.xml!D1494</f>
        <v>主手武器</v>
      </c>
      <c r="E1490" s="14">
        <f>equip.xml!E1494</f>
        <v>5</v>
      </c>
      <c r="F1490" s="14">
        <f>equip.xml!F1494</f>
        <v>4</v>
      </c>
      <c r="G1490" s="14">
        <f>equip.xml!G1494</f>
        <v>20</v>
      </c>
      <c r="H1490" s="14" t="str">
        <f>equip.xml!H1494</f>
        <v>3,1003</v>
      </c>
      <c r="I1490" s="14">
        <f>equip.xml!J1494</f>
        <v>50</v>
      </c>
      <c r="J1490" s="14">
        <f>equip.xml!K1494</f>
        <v>500</v>
      </c>
      <c r="K1490" s="14">
        <f>equip.xml!L1494</f>
        <v>12500</v>
      </c>
      <c r="L1490" s="14" t="str">
        <f>equip.xml!M1494</f>
        <v>103_113_113,104_226_226</v>
      </c>
      <c r="M1490" s="17" t="str">
        <f>equip.xml!Q1494</f>
        <v>equipment/1309.png</v>
      </c>
      <c r="N1490" s="16" t="str">
        <f>equip.xml!P1494</f>
        <v>10000_1002_20000,30000_30001_1,30000_30002_1,30000_30003_1</v>
      </c>
      <c r="O1490">
        <f>equip.xml!R1494</f>
        <v>0</v>
      </c>
    </row>
    <row r="1491" spans="1:15">
      <c r="A1491" s="14" t="str">
        <f>equip.xml!A1495</f>
        <v>40203051</v>
      </c>
      <c r="B1491" s="14">
        <f>equip.xml!B1495</f>
        <v>1</v>
      </c>
      <c r="C1491" s="14" t="str">
        <f>equip.xml!C1495</f>
        <v>火石法杖</v>
      </c>
      <c r="D1491" s="14" t="str">
        <f>equip.xml!D1495</f>
        <v>主手武器</v>
      </c>
      <c r="E1491" s="14">
        <f>equip.xml!E1495</f>
        <v>5</v>
      </c>
      <c r="F1491" s="14">
        <f>equip.xml!F1495</f>
        <v>4</v>
      </c>
      <c r="G1491" s="14">
        <f>equip.xml!G1495</f>
        <v>20</v>
      </c>
      <c r="H1491" s="14" t="str">
        <f>equip.xml!H1495</f>
        <v>3,1003</v>
      </c>
      <c r="I1491" s="14">
        <f>equip.xml!J1495</f>
        <v>50</v>
      </c>
      <c r="J1491" s="14">
        <f>equip.xml!K1495</f>
        <v>500</v>
      </c>
      <c r="K1491" s="14">
        <f>equip.xml!L1495</f>
        <v>15000</v>
      </c>
      <c r="L1491" s="14" t="str">
        <f>equip.xml!M1495</f>
        <v>103_138_138,104_276_276</v>
      </c>
      <c r="M1491" s="17" t="str">
        <f>equip.xml!Q1495</f>
        <v>equipment/1310.png</v>
      </c>
      <c r="N1491" s="16" t="str">
        <f>equip.xml!P1495</f>
        <v>10000_1002_20000,30000_30001_1,30000_30002_1,30000_30003_1</v>
      </c>
      <c r="O1491">
        <f>equip.xml!R1495</f>
        <v>0</v>
      </c>
    </row>
    <row r="1492" spans="1:15">
      <c r="A1492" s="14" t="str">
        <f>equip.xml!A1496</f>
        <v>40203060</v>
      </c>
      <c r="B1492" s="14">
        <f>equip.xml!B1496</f>
        <v>1</v>
      </c>
      <c r="C1492" s="14" t="str">
        <f>equip.xml!C1496</f>
        <v>奥义之书</v>
      </c>
      <c r="D1492" s="14" t="str">
        <f>equip.xml!D1496</f>
        <v>副手武器</v>
      </c>
      <c r="E1492" s="14">
        <f>equip.xml!E1496</f>
        <v>6</v>
      </c>
      <c r="F1492" s="14">
        <f>equip.xml!F1496</f>
        <v>4</v>
      </c>
      <c r="G1492" s="14">
        <f>equip.xml!G1496</f>
        <v>20</v>
      </c>
      <c r="H1492" s="14" t="str">
        <f>equip.xml!H1496</f>
        <v>3,1003</v>
      </c>
      <c r="I1492" s="14">
        <f>equip.xml!J1496</f>
        <v>50</v>
      </c>
      <c r="J1492" s="14">
        <f>equip.xml!K1496</f>
        <v>500</v>
      </c>
      <c r="K1492" s="14">
        <f>equip.xml!L1496</f>
        <v>12500</v>
      </c>
      <c r="L1492" s="14" t="str">
        <f>equip.xml!M1496</f>
        <v>102_550_550</v>
      </c>
      <c r="M1492" s="17" t="str">
        <f>equip.xml!Q1496</f>
        <v>equipment/2305.png</v>
      </c>
      <c r="N1492" s="16" t="str">
        <f>equip.xml!P1496</f>
        <v>10000_1002_20000,30000_30001_1,30000_30002_1,30000_30003_1</v>
      </c>
      <c r="O1492">
        <f>equip.xml!R1496</f>
        <v>0</v>
      </c>
    </row>
    <row r="1493" spans="1:15">
      <c r="A1493" s="14" t="str">
        <f>equip.xml!A1497</f>
        <v>40203061</v>
      </c>
      <c r="B1493" s="14">
        <f>equip.xml!B1497</f>
        <v>0</v>
      </c>
      <c r="C1493" s="14" t="str">
        <f>equip.xml!C1497</f>
        <v>法术指南</v>
      </c>
      <c r="D1493" s="14" t="str">
        <f>equip.xml!D1497</f>
        <v>副手武器</v>
      </c>
      <c r="E1493" s="14">
        <f>equip.xml!E1497</f>
        <v>6</v>
      </c>
      <c r="F1493" s="14">
        <f>equip.xml!F1497</f>
        <v>4</v>
      </c>
      <c r="G1493" s="14">
        <f>equip.xml!G1497</f>
        <v>20</v>
      </c>
      <c r="H1493" s="14" t="str">
        <f>equip.xml!H1497</f>
        <v>3,1003</v>
      </c>
      <c r="I1493" s="14">
        <f>equip.xml!J1497</f>
        <v>50</v>
      </c>
      <c r="J1493" s="14">
        <f>equip.xml!K1497</f>
        <v>500</v>
      </c>
      <c r="K1493" s="14">
        <f>equip.xml!L1497</f>
        <v>15000</v>
      </c>
      <c r="L1493" s="14" t="str">
        <f>equip.xml!M1497</f>
        <v>102_606_606</v>
      </c>
      <c r="M1493" s="17" t="str">
        <f>equip.xml!Q1497</f>
        <v>equipment/2301.png</v>
      </c>
      <c r="N1493" s="16" t="str">
        <f>equip.xml!P1497</f>
        <v>10000_1002_20000,30000_30001_1,30000_30002_1,30000_30003_1</v>
      </c>
      <c r="O1493">
        <f>equip.xml!R1497</f>
        <v>0</v>
      </c>
    </row>
    <row r="1494" spans="1:15">
      <c r="A1494" s="14" t="str">
        <f>equip.xml!A1498</f>
        <v>40200040</v>
      </c>
      <c r="B1494" s="14">
        <f>equip.xml!B1498</f>
        <v>1</v>
      </c>
      <c r="C1494" s="14" t="str">
        <f>equip.xml!C1498</f>
        <v>卫兵胸甲</v>
      </c>
      <c r="D1494" s="14" t="str">
        <f>equip.xml!D1498</f>
        <v>胸甲</v>
      </c>
      <c r="E1494" s="14">
        <f>equip.xml!E1498</f>
        <v>4</v>
      </c>
      <c r="F1494" s="14">
        <f>equip.xml!F1498</f>
        <v>4</v>
      </c>
      <c r="G1494" s="14">
        <f>equip.xml!G1498</f>
        <v>20</v>
      </c>
      <c r="H1494" s="14">
        <f>equip.xml!H1498</f>
        <v>0</v>
      </c>
      <c r="I1494" s="14">
        <f>equip.xml!J1498</f>
        <v>50</v>
      </c>
      <c r="J1494" s="14">
        <f>equip.xml!K1498</f>
        <v>500</v>
      </c>
      <c r="K1494" s="14">
        <f>equip.xml!L1498</f>
        <v>12500</v>
      </c>
      <c r="L1494" s="14" t="str">
        <f>equip.xml!M1498</f>
        <v>105_102_102</v>
      </c>
      <c r="M1494" s="17" t="str">
        <f>equip.xml!Q1498</f>
        <v>equipment/5004.png</v>
      </c>
      <c r="N1494" s="16" t="str">
        <f>equip.xml!P1498</f>
        <v>10000_1002_20000,30000_30001_1,30000_30002_1,30000_30003_1</v>
      </c>
      <c r="O1494">
        <f>equip.xml!R1498</f>
        <v>0</v>
      </c>
    </row>
    <row r="1495" spans="1:15">
      <c r="A1495" s="14" t="str">
        <f>equip.xml!A1499</f>
        <v>40200041</v>
      </c>
      <c r="B1495" s="14">
        <f>equip.xml!B1499</f>
        <v>1</v>
      </c>
      <c r="C1495" s="14" t="str">
        <f>equip.xml!C1499</f>
        <v>银月护甲</v>
      </c>
      <c r="D1495" s="14" t="str">
        <f>equip.xml!D1499</f>
        <v>胸甲</v>
      </c>
      <c r="E1495" s="14">
        <f>equip.xml!E1499</f>
        <v>4</v>
      </c>
      <c r="F1495" s="14">
        <f>equip.xml!F1499</f>
        <v>4</v>
      </c>
      <c r="G1495" s="14">
        <f>equip.xml!G1499</f>
        <v>20</v>
      </c>
      <c r="H1495" s="14">
        <f>equip.xml!H1499</f>
        <v>0</v>
      </c>
      <c r="I1495" s="14">
        <f>equip.xml!J1499</f>
        <v>50</v>
      </c>
      <c r="J1495" s="14">
        <f>equip.xml!K1499</f>
        <v>500</v>
      </c>
      <c r="K1495" s="14">
        <f>equip.xml!L1499</f>
        <v>15000</v>
      </c>
      <c r="L1495" s="14" t="str">
        <f>equip.xml!M1499</f>
        <v>105_122_122</v>
      </c>
      <c r="M1495" s="17" t="str">
        <f>equip.xml!Q1499</f>
        <v>equipment/5006.png</v>
      </c>
      <c r="N1495" s="16" t="str">
        <f>equip.xml!P1499</f>
        <v>10000_1002_20000,30000_30001_1,30000_30002_1,30000_30003_1</v>
      </c>
      <c r="O1495">
        <f>equip.xml!R1499</f>
        <v>0</v>
      </c>
    </row>
    <row r="1496" spans="1:15">
      <c r="A1496" s="14" t="str">
        <f>equip.xml!A1500</f>
        <v>40200070</v>
      </c>
      <c r="B1496" s="14">
        <f>equip.xml!B1500</f>
        <v>1</v>
      </c>
      <c r="C1496" s="14" t="str">
        <f>equip.xml!C1500</f>
        <v>手工长裤</v>
      </c>
      <c r="D1496" s="14" t="str">
        <f>equip.xml!D1500</f>
        <v>护腿</v>
      </c>
      <c r="E1496" s="14">
        <f>equip.xml!E1500</f>
        <v>7</v>
      </c>
      <c r="F1496" s="14">
        <f>equip.xml!F1500</f>
        <v>4</v>
      </c>
      <c r="G1496" s="14">
        <f>equip.xml!G1500</f>
        <v>20</v>
      </c>
      <c r="H1496" s="14">
        <f>equip.xml!H1500</f>
        <v>0</v>
      </c>
      <c r="I1496" s="14">
        <f>equip.xml!J1500</f>
        <v>50</v>
      </c>
      <c r="J1496" s="14">
        <f>equip.xml!K1500</f>
        <v>500</v>
      </c>
      <c r="K1496" s="14">
        <f>equip.xml!L1500</f>
        <v>12500</v>
      </c>
      <c r="L1496" s="14" t="str">
        <f>equip.xml!M1500</f>
        <v>105_66_66</v>
      </c>
      <c r="M1496" s="17" t="str">
        <f>equip.xml!Q1500</f>
        <v>equipment/7005.png</v>
      </c>
      <c r="N1496" s="16" t="str">
        <f>equip.xml!P1500</f>
        <v>10000_1002_20000,30000_30001_1,30000_30002_1,30000_30003_1</v>
      </c>
      <c r="O1496">
        <f>equip.xml!R1500</f>
        <v>0</v>
      </c>
    </row>
    <row r="1497" spans="1:15">
      <c r="A1497" s="14" t="str">
        <f>equip.xml!A1501</f>
        <v>40200071</v>
      </c>
      <c r="B1497" s="14">
        <f>equip.xml!B1501</f>
        <v>1</v>
      </c>
      <c r="C1497" s="14" t="str">
        <f>equip.xml!C1501</f>
        <v>链甲护腿</v>
      </c>
      <c r="D1497" s="14" t="str">
        <f>equip.xml!D1501</f>
        <v>护腿</v>
      </c>
      <c r="E1497" s="14">
        <f>equip.xml!E1501</f>
        <v>7</v>
      </c>
      <c r="F1497" s="14">
        <f>equip.xml!F1501</f>
        <v>4</v>
      </c>
      <c r="G1497" s="14">
        <f>equip.xml!G1501</f>
        <v>20</v>
      </c>
      <c r="H1497" s="14">
        <f>equip.xml!H1501</f>
        <v>0</v>
      </c>
      <c r="I1497" s="14">
        <f>equip.xml!J1501</f>
        <v>50</v>
      </c>
      <c r="J1497" s="14">
        <f>equip.xml!K1501</f>
        <v>500</v>
      </c>
      <c r="K1497" s="14">
        <f>equip.xml!L1501</f>
        <v>15000</v>
      </c>
      <c r="L1497" s="14" t="str">
        <f>equip.xml!M1501</f>
        <v>105_81_81</v>
      </c>
      <c r="M1497" s="17" t="str">
        <f>equip.xml!Q1501</f>
        <v>equipment/7004.png</v>
      </c>
      <c r="N1497" s="16" t="str">
        <f>equip.xml!P1501</f>
        <v>10000_1002_20000,30000_30001_1,30000_30002_1,30000_30003_1</v>
      </c>
      <c r="O1497">
        <f>equip.xml!R1501</f>
        <v>0</v>
      </c>
    </row>
    <row r="1498" spans="1:15">
      <c r="A1498" s="14" t="str">
        <f>equip.xml!A1502</f>
        <v>40250010</v>
      </c>
      <c r="B1498" s="14">
        <f>equip.xml!B1502</f>
        <v>1</v>
      </c>
      <c r="C1498" s="14" t="str">
        <f>equip.xml!C1502</f>
        <v>盔帽</v>
      </c>
      <c r="D1498" s="14" t="str">
        <f>equip.xml!D1502</f>
        <v>头盔</v>
      </c>
      <c r="E1498" s="14">
        <f>equip.xml!E1502</f>
        <v>1</v>
      </c>
      <c r="F1498" s="14">
        <f>equip.xml!F1502</f>
        <v>4</v>
      </c>
      <c r="G1498" s="14">
        <f>equip.xml!G1502</f>
        <v>25</v>
      </c>
      <c r="H1498" s="14">
        <f>equip.xml!H1502</f>
        <v>0</v>
      </c>
      <c r="I1498" s="14">
        <f>equip.xml!J1502</f>
        <v>50</v>
      </c>
      <c r="J1498" s="14">
        <f>equip.xml!K1502</f>
        <v>500</v>
      </c>
      <c r="K1498" s="14">
        <f>equip.xml!L1502</f>
        <v>15000</v>
      </c>
      <c r="L1498" s="14" t="str">
        <f>equip.xml!M1502</f>
        <v>106_237_237</v>
      </c>
      <c r="M1498" s="17" t="str">
        <f>equip.xml!Q1502</f>
        <v>equipment/3005.png</v>
      </c>
      <c r="N1498" s="16" t="str">
        <f>equip.xml!P1502</f>
        <v>10000_1002_25000,30000_30001_1,30000_30002_1,30000_30003_1</v>
      </c>
      <c r="O1498">
        <f>equip.xml!R1502</f>
        <v>0</v>
      </c>
    </row>
    <row r="1499" spans="1:15">
      <c r="A1499" s="14" t="str">
        <f>equip.xml!A1503</f>
        <v>40250020</v>
      </c>
      <c r="B1499" s="14">
        <f>equip.xml!B1503</f>
        <v>1</v>
      </c>
      <c r="C1499" s="14" t="str">
        <f>equip.xml!C1503</f>
        <v>血岩戒指</v>
      </c>
      <c r="D1499" s="14" t="str">
        <f>equip.xml!D1503</f>
        <v>戒指</v>
      </c>
      <c r="E1499" s="14">
        <f>equip.xml!E1503</f>
        <v>2</v>
      </c>
      <c r="F1499" s="14">
        <f>equip.xml!F1503</f>
        <v>4</v>
      </c>
      <c r="G1499" s="14">
        <f>equip.xml!G1503</f>
        <v>25</v>
      </c>
      <c r="H1499" s="14">
        <f>equip.xml!H1503</f>
        <v>0</v>
      </c>
      <c r="I1499" s="14">
        <f>equip.xml!J1503</f>
        <v>50</v>
      </c>
      <c r="J1499" s="14">
        <f>equip.xml!K1503</f>
        <v>500</v>
      </c>
      <c r="K1499" s="14">
        <f>equip.xml!L1503</f>
        <v>15000</v>
      </c>
      <c r="L1499" s="14" t="str">
        <f>equip.xml!M1503</f>
        <v>102_330_330</v>
      </c>
      <c r="M1499" s="17" t="str">
        <f>equip.xml!Q1503</f>
        <v>equipment/14004.png</v>
      </c>
      <c r="N1499" s="16" t="str">
        <f>equip.xml!P1503</f>
        <v>10000_1002_25000,30000_30001_1,30000_30002_1,30000_30003_1</v>
      </c>
      <c r="O1499">
        <f>equip.xml!R1503</f>
        <v>0</v>
      </c>
    </row>
    <row r="1500" spans="1:15">
      <c r="A1500" s="14" t="str">
        <f>equip.xml!A1504</f>
        <v>40250030</v>
      </c>
      <c r="B1500" s="14">
        <f>equip.xml!B1504</f>
        <v>1</v>
      </c>
      <c r="C1500" s="14" t="str">
        <f>equip.xml!C1504</f>
        <v>前锋腰带</v>
      </c>
      <c r="D1500" s="14" t="str">
        <f>equip.xml!D1504</f>
        <v>腰带</v>
      </c>
      <c r="E1500" s="14">
        <f>equip.xml!E1504</f>
        <v>3</v>
      </c>
      <c r="F1500" s="14">
        <f>equip.xml!F1504</f>
        <v>4</v>
      </c>
      <c r="G1500" s="14">
        <f>equip.xml!G1504</f>
        <v>25</v>
      </c>
      <c r="H1500" s="14">
        <f>equip.xml!H1504</f>
        <v>0</v>
      </c>
      <c r="I1500" s="14">
        <f>equip.xml!J1504</f>
        <v>50</v>
      </c>
      <c r="J1500" s="14">
        <f>equip.xml!K1504</f>
        <v>500</v>
      </c>
      <c r="K1500" s="14">
        <f>equip.xml!L1504</f>
        <v>15000</v>
      </c>
      <c r="L1500" s="14" t="str">
        <f>equip.xml!M1504</f>
        <v>101_3360_3360</v>
      </c>
      <c r="M1500" s="17" t="str">
        <f>equip.xml!Q1504</f>
        <v>equipment/6005.png</v>
      </c>
      <c r="N1500" s="16" t="str">
        <f>equip.xml!P1504</f>
        <v>10000_1002_25000,30000_30001_1,30000_30002_1,30000_30003_1</v>
      </c>
      <c r="O1500">
        <f>equip.xml!R1504</f>
        <v>0</v>
      </c>
    </row>
    <row r="1501" spans="1:15">
      <c r="A1501" s="14" t="str">
        <f>equip.xml!A1505</f>
        <v>40250080</v>
      </c>
      <c r="B1501" s="14">
        <f>equip.xml!B1505</f>
        <v>1</v>
      </c>
      <c r="C1501" s="14" t="str">
        <f>equip.xml!C1505</f>
        <v>探寻者之靴</v>
      </c>
      <c r="D1501" s="14" t="str">
        <f>equip.xml!D1505</f>
        <v>鞋子</v>
      </c>
      <c r="E1501" s="14">
        <f>equip.xml!E1505</f>
        <v>8</v>
      </c>
      <c r="F1501" s="14">
        <f>equip.xml!F1505</f>
        <v>4</v>
      </c>
      <c r="G1501" s="14">
        <f>equip.xml!G1505</f>
        <v>25</v>
      </c>
      <c r="H1501" s="14">
        <f>equip.xml!H1505</f>
        <v>0</v>
      </c>
      <c r="I1501" s="14">
        <f>equip.xml!J1505</f>
        <v>50</v>
      </c>
      <c r="J1501" s="14">
        <f>equip.xml!K1505</f>
        <v>500</v>
      </c>
      <c r="K1501" s="14">
        <f>equip.xml!L1505</f>
        <v>15000</v>
      </c>
      <c r="L1501" s="14" t="str">
        <f>equip.xml!M1505</f>
        <v>110_40_40</v>
      </c>
      <c r="M1501" s="17" t="str">
        <f>equip.xml!Q1505</f>
        <v>equipment/8004.png</v>
      </c>
      <c r="N1501" s="16" t="str">
        <f>equip.xml!P1505</f>
        <v>10000_1002_25000,30000_30001_1,30000_30002_1,30000_30003_1</v>
      </c>
      <c r="O1501">
        <f>equip.xml!R1505</f>
        <v>0</v>
      </c>
    </row>
    <row r="1502" spans="1:15">
      <c r="A1502" s="14" t="str">
        <f>equip.xml!A1506</f>
        <v>40250090</v>
      </c>
      <c r="B1502" s="14">
        <f>equip.xml!B1506</f>
        <v>1</v>
      </c>
      <c r="C1502" s="14" t="str">
        <f>equip.xml!C1506</f>
        <v>轻型手套</v>
      </c>
      <c r="D1502" s="14" t="str">
        <f>equip.xml!D1506</f>
        <v>手套</v>
      </c>
      <c r="E1502" s="14">
        <f>equip.xml!E1506</f>
        <v>9</v>
      </c>
      <c r="F1502" s="14">
        <f>equip.xml!F1506</f>
        <v>4</v>
      </c>
      <c r="G1502" s="14">
        <f>equip.xml!G1506</f>
        <v>25</v>
      </c>
      <c r="H1502" s="14">
        <f>equip.xml!H1506</f>
        <v>0</v>
      </c>
      <c r="I1502" s="14">
        <f>equip.xml!J1506</f>
        <v>50</v>
      </c>
      <c r="J1502" s="14">
        <f>equip.xml!K1506</f>
        <v>500</v>
      </c>
      <c r="K1502" s="14">
        <f>equip.xml!L1506</f>
        <v>15000</v>
      </c>
      <c r="L1502" s="14" t="str">
        <f>equip.xml!M1506</f>
        <v>108_286_286</v>
      </c>
      <c r="M1502" s="17" t="str">
        <f>equip.xml!Q1506</f>
        <v>equipment/10003.png</v>
      </c>
      <c r="N1502" s="16" t="str">
        <f>equip.xml!P1506</f>
        <v>10000_1002_25000,30000_30001_1,30000_30002_1,30000_30003_1</v>
      </c>
      <c r="O1502">
        <f>equip.xml!R1506</f>
        <v>0</v>
      </c>
    </row>
    <row r="1503" spans="1:15">
      <c r="A1503" s="14" t="str">
        <f>equip.xml!A1507</f>
        <v>40250100</v>
      </c>
      <c r="B1503" s="14">
        <f>equip.xml!B1507</f>
        <v>1</v>
      </c>
      <c r="C1503" s="14" t="str">
        <f>equip.xml!C1507</f>
        <v>魔光项链</v>
      </c>
      <c r="D1503" s="14" t="str">
        <f>equip.xml!D1507</f>
        <v>项链</v>
      </c>
      <c r="E1503" s="14">
        <f>equip.xml!E1507</f>
        <v>10</v>
      </c>
      <c r="F1503" s="14">
        <f>equip.xml!F1507</f>
        <v>4</v>
      </c>
      <c r="G1503" s="14">
        <f>equip.xml!G1507</f>
        <v>25</v>
      </c>
      <c r="H1503" s="14">
        <f>equip.xml!H1507</f>
        <v>0</v>
      </c>
      <c r="I1503" s="14">
        <f>equip.xml!J1507</f>
        <v>50</v>
      </c>
      <c r="J1503" s="14">
        <f>equip.xml!K1507</f>
        <v>500</v>
      </c>
      <c r="K1503" s="14">
        <f>equip.xml!L1507</f>
        <v>15000</v>
      </c>
      <c r="L1503" s="14" t="str">
        <f>equip.xml!M1507</f>
        <v>107_237_237</v>
      </c>
      <c r="M1503" s="17" t="str">
        <f>equip.xml!Q1507</f>
        <v>equipment/12004.png</v>
      </c>
      <c r="N1503" s="16" t="str">
        <f>equip.xml!P1507</f>
        <v>10000_1002_25000,30000_30001_1,30000_30002_1,30000_30003_1</v>
      </c>
      <c r="O1503">
        <f>equip.xml!R1507</f>
        <v>0</v>
      </c>
    </row>
    <row r="1504" spans="1:15">
      <c r="A1504" s="14" t="str">
        <f>equip.xml!A1508</f>
        <v>40251050</v>
      </c>
      <c r="B1504" s="14">
        <f>equip.xml!B1508</f>
        <v>1</v>
      </c>
      <c r="C1504" s="14" t="str">
        <f>equip.xml!C1508</f>
        <v>血刃</v>
      </c>
      <c r="D1504" s="14" t="str">
        <f>equip.xml!D1508</f>
        <v>主手武器</v>
      </c>
      <c r="E1504" s="14">
        <f>equip.xml!E1508</f>
        <v>5</v>
      </c>
      <c r="F1504" s="14">
        <f>equip.xml!F1508</f>
        <v>4</v>
      </c>
      <c r="G1504" s="14">
        <f>equip.xml!G1508</f>
        <v>25</v>
      </c>
      <c r="H1504" s="14" t="str">
        <f>equip.xml!H1508</f>
        <v>1,1001</v>
      </c>
      <c r="I1504" s="14">
        <f>equip.xml!J1508</f>
        <v>50</v>
      </c>
      <c r="J1504" s="14">
        <f>equip.xml!K1508</f>
        <v>500</v>
      </c>
      <c r="K1504" s="14">
        <f>equip.xml!L1508</f>
        <v>15000</v>
      </c>
      <c r="L1504" s="14" t="str">
        <f>equip.xml!M1508</f>
        <v>103_177_177,104_354_354</v>
      </c>
      <c r="M1504" s="17" t="str">
        <f>equip.xml!Q1508</f>
        <v>equipment/1110.png</v>
      </c>
      <c r="N1504" s="16" t="str">
        <f>equip.xml!P1508</f>
        <v>10000_1002_25000,30000_30001_1,30000_30002_1,30000_30003_1</v>
      </c>
      <c r="O1504">
        <f>equip.xml!R1508</f>
        <v>0</v>
      </c>
    </row>
    <row r="1505" spans="1:15">
      <c r="A1505" s="14" t="str">
        <f>equip.xml!A1509</f>
        <v>40251051</v>
      </c>
      <c r="B1505" s="14">
        <f>equip.xml!B1509</f>
        <v>1</v>
      </c>
      <c r="C1505" s="14" t="str">
        <f>equip.xml!C1509</f>
        <v>游侠利刃</v>
      </c>
      <c r="D1505" s="14" t="str">
        <f>equip.xml!D1509</f>
        <v>主手武器</v>
      </c>
      <c r="E1505" s="14">
        <f>equip.xml!E1509</f>
        <v>5</v>
      </c>
      <c r="F1505" s="14">
        <f>equip.xml!F1509</f>
        <v>4</v>
      </c>
      <c r="G1505" s="14">
        <f>equip.xml!G1509</f>
        <v>25</v>
      </c>
      <c r="H1505" s="14" t="str">
        <f>equip.xml!H1509</f>
        <v>1,1001</v>
      </c>
      <c r="I1505" s="14">
        <f>equip.xml!J1509</f>
        <v>50</v>
      </c>
      <c r="J1505" s="14">
        <f>equip.xml!K1509</f>
        <v>500</v>
      </c>
      <c r="K1505" s="14">
        <f>equip.xml!L1509</f>
        <v>17500</v>
      </c>
      <c r="L1505" s="14" t="str">
        <f>equip.xml!M1509</f>
        <v>103_216_216,104_432_432</v>
      </c>
      <c r="M1505" s="17" t="str">
        <f>equip.xml!Q1509</f>
        <v>equipment/1111.png</v>
      </c>
      <c r="N1505" s="16" t="str">
        <f>equip.xml!P1509</f>
        <v>10000_1002_25000,30000_30001_1,30000_30002_1,30000_30003_1</v>
      </c>
      <c r="O1505">
        <f>equip.xml!R1509</f>
        <v>0</v>
      </c>
    </row>
    <row r="1506" spans="1:15">
      <c r="A1506" s="14" t="str">
        <f>equip.xml!A1510</f>
        <v>40251060</v>
      </c>
      <c r="B1506" s="14">
        <f>equip.xml!B1510</f>
        <v>1</v>
      </c>
      <c r="C1506" s="14" t="str">
        <f>equip.xml!C1510</f>
        <v>坚固重盾</v>
      </c>
      <c r="D1506" s="14" t="str">
        <f>equip.xml!D1510</f>
        <v>副手武器</v>
      </c>
      <c r="E1506" s="14">
        <f>equip.xml!E1510</f>
        <v>6</v>
      </c>
      <c r="F1506" s="14">
        <f>equip.xml!F1510</f>
        <v>4</v>
      </c>
      <c r="G1506" s="14">
        <f>equip.xml!G1510</f>
        <v>25</v>
      </c>
      <c r="H1506" s="14" t="str">
        <f>equip.xml!H1510</f>
        <v>1,1001</v>
      </c>
      <c r="I1506" s="14">
        <f>equip.xml!J1510</f>
        <v>50</v>
      </c>
      <c r="J1506" s="14">
        <f>equip.xml!K1510</f>
        <v>500</v>
      </c>
      <c r="K1506" s="14">
        <f>equip.xml!L1510</f>
        <v>15000</v>
      </c>
      <c r="L1506" s="14" t="str">
        <f>equip.xml!M1510</f>
        <v>105_256_256</v>
      </c>
      <c r="M1506" s="17" t="str">
        <f>equip.xml!Q1510</f>
        <v>equipment/2106.png</v>
      </c>
      <c r="N1506" s="16" t="str">
        <f>equip.xml!P1510</f>
        <v>10000_1002_25000,30000_30001_1,30000_30002_1,30000_30003_1</v>
      </c>
      <c r="O1506">
        <f>equip.xml!R1510</f>
        <v>0</v>
      </c>
    </row>
    <row r="1507" spans="1:15">
      <c r="A1507" s="14" t="str">
        <f>equip.xml!A1511</f>
        <v>40251061</v>
      </c>
      <c r="B1507" s="14">
        <f>equip.xml!B1511</f>
        <v>0</v>
      </c>
      <c r="C1507" s="14" t="str">
        <f>equip.xml!C1511</f>
        <v>尖头盾</v>
      </c>
      <c r="D1507" s="14" t="str">
        <f>equip.xml!D1511</f>
        <v>副手武器</v>
      </c>
      <c r="E1507" s="14">
        <f>equip.xml!E1511</f>
        <v>6</v>
      </c>
      <c r="F1507" s="14">
        <f>equip.xml!F1511</f>
        <v>4</v>
      </c>
      <c r="G1507" s="14">
        <f>equip.xml!G1511</f>
        <v>25</v>
      </c>
      <c r="H1507" s="14" t="str">
        <f>equip.xml!H1511</f>
        <v>1,1001</v>
      </c>
      <c r="I1507" s="14">
        <f>equip.xml!J1511</f>
        <v>50</v>
      </c>
      <c r="J1507" s="14">
        <f>equip.xml!K1511</f>
        <v>500</v>
      </c>
      <c r="K1507" s="14">
        <f>equip.xml!L1511</f>
        <v>17500</v>
      </c>
      <c r="L1507" s="14" t="str">
        <f>equip.xml!M1511</f>
        <v>105_301_301</v>
      </c>
      <c r="M1507" s="17" t="str">
        <f>equip.xml!Q1511</f>
        <v>equipment/2101.png</v>
      </c>
      <c r="N1507" s="16" t="str">
        <f>equip.xml!P1511</f>
        <v>10000_1002_25000,30000_30001_1,30000_30002_1,30000_30003_1</v>
      </c>
      <c r="O1507">
        <f>equip.xml!R1511</f>
        <v>0</v>
      </c>
    </row>
    <row r="1508" spans="1:15">
      <c r="A1508" s="14" t="str">
        <f>equip.xml!A1512</f>
        <v>40252050</v>
      </c>
      <c r="B1508" s="14">
        <f>equip.xml!B1512</f>
        <v>1</v>
      </c>
      <c r="C1508" s="14" t="str">
        <f>equip.xml!C1512</f>
        <v>精准之弓</v>
      </c>
      <c r="D1508" s="14" t="str">
        <f>equip.xml!D1512</f>
        <v>主手武器</v>
      </c>
      <c r="E1508" s="14">
        <f>equip.xml!E1512</f>
        <v>5</v>
      </c>
      <c r="F1508" s="14">
        <f>equip.xml!F1512</f>
        <v>4</v>
      </c>
      <c r="G1508" s="14">
        <f>equip.xml!G1512</f>
        <v>25</v>
      </c>
      <c r="H1508" s="14" t="str">
        <f>equip.xml!H1512</f>
        <v>2,1002</v>
      </c>
      <c r="I1508" s="14">
        <f>equip.xml!J1512</f>
        <v>50</v>
      </c>
      <c r="J1508" s="14">
        <f>equip.xml!K1512</f>
        <v>500</v>
      </c>
      <c r="K1508" s="14">
        <f>equip.xml!L1512</f>
        <v>15000</v>
      </c>
      <c r="L1508" s="14" t="str">
        <f>equip.xml!M1512</f>
        <v>103_177_177,104_354_354</v>
      </c>
      <c r="M1508" s="17" t="str">
        <f>equip.xml!Q1512</f>
        <v>equipment/1210.png</v>
      </c>
      <c r="N1508" s="16" t="str">
        <f>equip.xml!P1512</f>
        <v>10000_1002_25000,30000_30001_1,30000_30002_1,30000_30003_1</v>
      </c>
      <c r="O1508">
        <f>equip.xml!R1512</f>
        <v>0</v>
      </c>
    </row>
    <row r="1509" spans="1:15">
      <c r="A1509" s="14" t="str">
        <f>equip.xml!A1513</f>
        <v>40252051</v>
      </c>
      <c r="B1509" s="14">
        <f>equip.xml!B1513</f>
        <v>1</v>
      </c>
      <c r="C1509" s="14" t="str">
        <f>equip.xml!C1513</f>
        <v>行者弯弓</v>
      </c>
      <c r="D1509" s="14" t="str">
        <f>equip.xml!D1513</f>
        <v>主手武器</v>
      </c>
      <c r="E1509" s="14">
        <f>equip.xml!E1513</f>
        <v>5</v>
      </c>
      <c r="F1509" s="14">
        <f>equip.xml!F1513</f>
        <v>4</v>
      </c>
      <c r="G1509" s="14">
        <f>equip.xml!G1513</f>
        <v>25</v>
      </c>
      <c r="H1509" s="14" t="str">
        <f>equip.xml!H1513</f>
        <v>2,1002</v>
      </c>
      <c r="I1509" s="14">
        <f>equip.xml!J1513</f>
        <v>50</v>
      </c>
      <c r="J1509" s="14">
        <f>equip.xml!K1513</f>
        <v>500</v>
      </c>
      <c r="K1509" s="14">
        <f>equip.xml!L1513</f>
        <v>17500</v>
      </c>
      <c r="L1509" s="14" t="str">
        <f>equip.xml!M1513</f>
        <v>103_216_216,104_432_432</v>
      </c>
      <c r="M1509" s="17" t="str">
        <f>equip.xml!Q1513</f>
        <v>equipment/1215.png</v>
      </c>
      <c r="N1509" s="16" t="str">
        <f>equip.xml!P1513</f>
        <v>10000_1002_25000,30000_30001_1,30000_30002_1,30000_30003_1</v>
      </c>
      <c r="O1509">
        <f>equip.xml!R1513</f>
        <v>0</v>
      </c>
    </row>
    <row r="1510" spans="1:15">
      <c r="A1510" s="14" t="str">
        <f>equip.xml!A1514</f>
        <v>40252060</v>
      </c>
      <c r="B1510" s="14">
        <f>equip.xml!B1514</f>
        <v>1</v>
      </c>
      <c r="C1510" s="14" t="str">
        <f>equip.xml!C1514</f>
        <v>刺客箭筒</v>
      </c>
      <c r="D1510" s="14" t="str">
        <f>equip.xml!D1514</f>
        <v>副手武器</v>
      </c>
      <c r="E1510" s="14">
        <f>equip.xml!E1514</f>
        <v>6</v>
      </c>
      <c r="F1510" s="14">
        <f>equip.xml!F1514</f>
        <v>4</v>
      </c>
      <c r="G1510" s="14">
        <f>equip.xml!G1514</f>
        <v>25</v>
      </c>
      <c r="H1510" s="14" t="str">
        <f>equip.xml!H1514</f>
        <v>2,1002</v>
      </c>
      <c r="I1510" s="14">
        <f>equip.xml!J1514</f>
        <v>50</v>
      </c>
      <c r="J1510" s="14">
        <f>equip.xml!K1514</f>
        <v>500</v>
      </c>
      <c r="K1510" s="14">
        <f>equip.xml!L1514</f>
        <v>15000</v>
      </c>
      <c r="L1510" s="14" t="str">
        <f>equip.xml!M1514</f>
        <v>108_256_256</v>
      </c>
      <c r="M1510" s="17" t="str">
        <f>equip.xml!Q1514</f>
        <v>equipment/2206.png</v>
      </c>
      <c r="N1510" s="16" t="str">
        <f>equip.xml!P1514</f>
        <v>10000_1002_25000,30000_30001_1,30000_30002_1,30000_30003_1</v>
      </c>
      <c r="O1510">
        <f>equip.xml!R1514</f>
        <v>0</v>
      </c>
    </row>
    <row r="1511" spans="1:15">
      <c r="A1511" s="14" t="str">
        <f>equip.xml!A1515</f>
        <v>40252061</v>
      </c>
      <c r="B1511" s="14">
        <f>equip.xml!B1515</f>
        <v>0</v>
      </c>
      <c r="C1511" s="14" t="str">
        <f>equip.xml!C1515</f>
        <v>箭筒</v>
      </c>
      <c r="D1511" s="14" t="str">
        <f>equip.xml!D1515</f>
        <v>副手武器</v>
      </c>
      <c r="E1511" s="14">
        <f>equip.xml!E1515</f>
        <v>6</v>
      </c>
      <c r="F1511" s="14">
        <f>equip.xml!F1515</f>
        <v>4</v>
      </c>
      <c r="G1511" s="14">
        <f>equip.xml!G1515</f>
        <v>25</v>
      </c>
      <c r="H1511" s="14" t="str">
        <f>equip.xml!H1515</f>
        <v>2,1002</v>
      </c>
      <c r="I1511" s="14">
        <f>equip.xml!J1515</f>
        <v>50</v>
      </c>
      <c r="J1511" s="14">
        <f>equip.xml!K1515</f>
        <v>500</v>
      </c>
      <c r="K1511" s="14">
        <f>equip.xml!L1515</f>
        <v>17500</v>
      </c>
      <c r="L1511" s="14" t="str">
        <f>equip.xml!M1515</f>
        <v>108_301_301</v>
      </c>
      <c r="M1511" s="17" t="str">
        <f>equip.xml!Q1515</f>
        <v>equipment/2201.png</v>
      </c>
      <c r="N1511" s="16" t="str">
        <f>equip.xml!P1515</f>
        <v>10000_1002_25000,30000_30001_1,30000_30002_1,30000_30003_1</v>
      </c>
      <c r="O1511">
        <f>equip.xml!R1515</f>
        <v>0</v>
      </c>
    </row>
    <row r="1512" spans="1:15">
      <c r="A1512" s="14" t="str">
        <f>equip.xml!A1516</f>
        <v>40253050</v>
      </c>
      <c r="B1512" s="14">
        <f>equip.xml!B1516</f>
        <v>1</v>
      </c>
      <c r="C1512" s="14" t="str">
        <f>equip.xml!C1516</f>
        <v>预言法杖</v>
      </c>
      <c r="D1512" s="14" t="str">
        <f>equip.xml!D1516</f>
        <v>主手武器</v>
      </c>
      <c r="E1512" s="14">
        <f>equip.xml!E1516</f>
        <v>5</v>
      </c>
      <c r="F1512" s="14">
        <f>equip.xml!F1516</f>
        <v>4</v>
      </c>
      <c r="G1512" s="14">
        <f>equip.xml!G1516</f>
        <v>25</v>
      </c>
      <c r="H1512" s="14" t="str">
        <f>equip.xml!H1516</f>
        <v>3,1003</v>
      </c>
      <c r="I1512" s="14">
        <f>equip.xml!J1516</f>
        <v>50</v>
      </c>
      <c r="J1512" s="14">
        <f>equip.xml!K1516</f>
        <v>500</v>
      </c>
      <c r="K1512" s="14">
        <f>equip.xml!L1516</f>
        <v>15000</v>
      </c>
      <c r="L1512" s="14" t="str">
        <f>equip.xml!M1516</f>
        <v>103_177_177,104_354_354</v>
      </c>
      <c r="M1512" s="17" t="str">
        <f>equip.xml!Q1516</f>
        <v>equipment/1311.png</v>
      </c>
      <c r="N1512" s="16" t="str">
        <f>equip.xml!P1516</f>
        <v>10000_1002_25000,30000_30001_1,30000_30002_1,30000_30003_1</v>
      </c>
      <c r="O1512">
        <f>equip.xml!R1516</f>
        <v>0</v>
      </c>
    </row>
    <row r="1513" spans="1:15">
      <c r="A1513" s="14" t="str">
        <f>equip.xml!A1517</f>
        <v>40253051</v>
      </c>
      <c r="B1513" s="14">
        <f>equip.xml!B1517</f>
        <v>0</v>
      </c>
      <c r="C1513" s="14" t="str">
        <f>equip.xml!C1517</f>
        <v>荒骨法杖</v>
      </c>
      <c r="D1513" s="14" t="str">
        <f>equip.xml!D1517</f>
        <v>主手武器</v>
      </c>
      <c r="E1513" s="14">
        <f>equip.xml!E1517</f>
        <v>5</v>
      </c>
      <c r="F1513" s="14">
        <f>equip.xml!F1517</f>
        <v>4</v>
      </c>
      <c r="G1513" s="14">
        <f>equip.xml!G1517</f>
        <v>25</v>
      </c>
      <c r="H1513" s="14" t="str">
        <f>equip.xml!H1517</f>
        <v>3,1003</v>
      </c>
      <c r="I1513" s="14">
        <f>equip.xml!J1517</f>
        <v>50</v>
      </c>
      <c r="J1513" s="14">
        <f>equip.xml!K1517</f>
        <v>500</v>
      </c>
      <c r="K1513" s="14">
        <f>equip.xml!L1517</f>
        <v>17500</v>
      </c>
      <c r="L1513" s="14" t="str">
        <f>equip.xml!M1517</f>
        <v>103_216_216,104_432_432</v>
      </c>
      <c r="M1513" s="17" t="str">
        <f>equip.xml!Q1517</f>
        <v>equipment/1312.png</v>
      </c>
      <c r="N1513" s="16" t="str">
        <f>equip.xml!P1517</f>
        <v>10000_1002_25000,30000_30001_1,30000_30002_1,30000_30003_1</v>
      </c>
      <c r="O1513">
        <f>equip.xml!R1517</f>
        <v>0</v>
      </c>
    </row>
    <row r="1514" spans="1:15">
      <c r="A1514" s="14" t="str">
        <f>equip.xml!A1518</f>
        <v>40253060</v>
      </c>
      <c r="B1514" s="14">
        <f>equip.xml!B1518</f>
        <v>1</v>
      </c>
      <c r="C1514" s="14" t="str">
        <f>equip.xml!C1518</f>
        <v>魔法秘典</v>
      </c>
      <c r="D1514" s="14" t="str">
        <f>equip.xml!D1518</f>
        <v>副手武器</v>
      </c>
      <c r="E1514" s="14">
        <f>equip.xml!E1518</f>
        <v>6</v>
      </c>
      <c r="F1514" s="14">
        <f>equip.xml!F1518</f>
        <v>4</v>
      </c>
      <c r="G1514" s="14">
        <f>equip.xml!G1518</f>
        <v>25</v>
      </c>
      <c r="H1514" s="14" t="str">
        <f>equip.xml!H1518</f>
        <v>3,1003</v>
      </c>
      <c r="I1514" s="14">
        <f>equip.xml!J1518</f>
        <v>50</v>
      </c>
      <c r="J1514" s="14">
        <f>equip.xml!K1518</f>
        <v>500</v>
      </c>
      <c r="K1514" s="14">
        <f>equip.xml!L1518</f>
        <v>15000</v>
      </c>
      <c r="L1514" s="14" t="str">
        <f>equip.xml!M1518</f>
        <v>102_690_690</v>
      </c>
      <c r="M1514" s="17" t="str">
        <f>equip.xml!Q1518</f>
        <v>equipment/2306.png</v>
      </c>
      <c r="N1514" s="16" t="str">
        <f>equip.xml!P1518</f>
        <v>10000_1002_25000,30000_30001_1,30000_30002_1,30000_30003_1</v>
      </c>
      <c r="O1514">
        <f>equip.xml!R1518</f>
        <v>0</v>
      </c>
    </row>
    <row r="1515" spans="1:15">
      <c r="A1515" s="14" t="str">
        <f>equip.xml!A1519</f>
        <v>40253061</v>
      </c>
      <c r="B1515" s="14">
        <f>equip.xml!B1519</f>
        <v>0</v>
      </c>
      <c r="C1515" s="14" t="str">
        <f>equip.xml!C1519</f>
        <v>法术指南</v>
      </c>
      <c r="D1515" s="14" t="str">
        <f>equip.xml!D1519</f>
        <v>副手武器</v>
      </c>
      <c r="E1515" s="14">
        <f>equip.xml!E1519</f>
        <v>6</v>
      </c>
      <c r="F1515" s="14">
        <f>equip.xml!F1519</f>
        <v>4</v>
      </c>
      <c r="G1515" s="14">
        <f>equip.xml!G1519</f>
        <v>25</v>
      </c>
      <c r="H1515" s="14" t="str">
        <f>equip.xml!H1519</f>
        <v>3,1003</v>
      </c>
      <c r="I1515" s="14">
        <f>equip.xml!J1519</f>
        <v>50</v>
      </c>
      <c r="J1515" s="14">
        <f>equip.xml!K1519</f>
        <v>500</v>
      </c>
      <c r="K1515" s="14">
        <f>equip.xml!L1519</f>
        <v>17500</v>
      </c>
      <c r="L1515" s="14" t="str">
        <f>equip.xml!M1519</f>
        <v>102_301_301</v>
      </c>
      <c r="M1515" s="17" t="str">
        <f>equip.xml!Q1519</f>
        <v>equipment/2301.png</v>
      </c>
      <c r="N1515" s="16" t="str">
        <f>equip.xml!P1519</f>
        <v>10000_1002_25000,30000_30001_1,30000_30002_1,30000_30003_1</v>
      </c>
      <c r="O1515">
        <f>equip.xml!R1519</f>
        <v>0</v>
      </c>
    </row>
    <row r="1516" spans="1:15">
      <c r="A1516" s="14" t="str">
        <f>equip.xml!A1520</f>
        <v>40250040</v>
      </c>
      <c r="B1516" s="14">
        <f>equip.xml!B1520</f>
        <v>1</v>
      </c>
      <c r="C1516" s="14" t="str">
        <f>equip.xml!C1520</f>
        <v>烙铁胸甲</v>
      </c>
      <c r="D1516" s="14" t="str">
        <f>equip.xml!D1520</f>
        <v>胸甲</v>
      </c>
      <c r="E1516" s="14">
        <f>equip.xml!E1520</f>
        <v>4</v>
      </c>
      <c r="F1516" s="14">
        <f>equip.xml!F1520</f>
        <v>4</v>
      </c>
      <c r="G1516" s="14">
        <f>equip.xml!G1520</f>
        <v>25</v>
      </c>
      <c r="H1516" s="14">
        <f>equip.xml!H1520</f>
        <v>0</v>
      </c>
      <c r="I1516" s="14">
        <f>equip.xml!J1520</f>
        <v>50</v>
      </c>
      <c r="J1516" s="14">
        <f>equip.xml!K1520</f>
        <v>500</v>
      </c>
      <c r="K1516" s="14">
        <f>equip.xml!L1520</f>
        <v>15000</v>
      </c>
      <c r="L1516" s="14" t="str">
        <f>equip.xml!M1520</f>
        <v>105_153_153</v>
      </c>
      <c r="M1516" s="17" t="str">
        <f>equip.xml!Q1520</f>
        <v>equipment/5007.png</v>
      </c>
      <c r="N1516" s="16" t="str">
        <f>equip.xml!P1520</f>
        <v>10000_1002_25000,30000_30001_1,30000_30002_1,30000_30003_1</v>
      </c>
      <c r="O1516">
        <f>equip.xml!R1520</f>
        <v>0</v>
      </c>
    </row>
    <row r="1517" spans="1:15">
      <c r="A1517" s="14" t="str">
        <f>equip.xml!A1521</f>
        <v>40250041</v>
      </c>
      <c r="B1517" s="14">
        <f>equip.xml!B1521</f>
        <v>0</v>
      </c>
      <c r="C1517" s="14" t="str">
        <f>equip.xml!C1521</f>
        <v>新兵外套</v>
      </c>
      <c r="D1517" s="14" t="str">
        <f>equip.xml!D1521</f>
        <v>胸甲</v>
      </c>
      <c r="E1517" s="14">
        <f>equip.xml!E1521</f>
        <v>4</v>
      </c>
      <c r="F1517" s="14">
        <f>equip.xml!F1521</f>
        <v>4</v>
      </c>
      <c r="G1517" s="14">
        <f>equip.xml!G1521</f>
        <v>25</v>
      </c>
      <c r="H1517" s="14">
        <f>equip.xml!H1521</f>
        <v>0</v>
      </c>
      <c r="I1517" s="14">
        <f>equip.xml!J1521</f>
        <v>50</v>
      </c>
      <c r="J1517" s="14">
        <f>equip.xml!K1521</f>
        <v>500</v>
      </c>
      <c r="K1517" s="14">
        <f>equip.xml!L1521</f>
        <v>17500</v>
      </c>
      <c r="L1517" s="14" t="str">
        <f>equip.xml!M1521</f>
        <v>105_178_178</v>
      </c>
      <c r="M1517" s="17" t="str">
        <f>equip.xml!Q1521</f>
        <v>equipment/5001.png</v>
      </c>
      <c r="N1517" s="16" t="str">
        <f>equip.xml!P1521</f>
        <v>10000_1002_25000,30000_30001_1,30000_30002_1,30000_30003_1</v>
      </c>
      <c r="O1517">
        <f>equip.xml!R1521</f>
        <v>0</v>
      </c>
    </row>
    <row r="1518" spans="1:15">
      <c r="A1518" s="14" t="str">
        <f>equip.xml!A1522</f>
        <v>40250070</v>
      </c>
      <c r="B1518" s="14">
        <f>equip.xml!B1522</f>
        <v>1</v>
      </c>
      <c r="C1518" s="14" t="str">
        <f>equip.xml!C1522</f>
        <v>勇气腿甲</v>
      </c>
      <c r="D1518" s="14" t="str">
        <f>equip.xml!D1522</f>
        <v>护腿</v>
      </c>
      <c r="E1518" s="14">
        <f>equip.xml!E1522</f>
        <v>7</v>
      </c>
      <c r="F1518" s="14">
        <f>equip.xml!F1522</f>
        <v>4</v>
      </c>
      <c r="G1518" s="14">
        <f>equip.xml!G1522</f>
        <v>25</v>
      </c>
      <c r="H1518" s="14">
        <f>equip.xml!H1522</f>
        <v>0</v>
      </c>
      <c r="I1518" s="14">
        <f>equip.xml!J1522</f>
        <v>50</v>
      </c>
      <c r="J1518" s="14">
        <f>equip.xml!K1522</f>
        <v>500</v>
      </c>
      <c r="K1518" s="14">
        <f>equip.xml!L1522</f>
        <v>15000</v>
      </c>
      <c r="L1518" s="14" t="str">
        <f>equip.xml!M1522</f>
        <v>105_104_104</v>
      </c>
      <c r="M1518" s="17" t="str">
        <f>equip.xml!Q1522</f>
        <v>equipment/7006.png</v>
      </c>
      <c r="N1518" s="16" t="str">
        <f>equip.xml!P1522</f>
        <v>10000_1002_25000,30000_30001_1,30000_30002_1,30000_30003_1</v>
      </c>
      <c r="O1518">
        <f>equip.xml!R1522</f>
        <v>0</v>
      </c>
    </row>
    <row r="1519" spans="1:15">
      <c r="A1519" s="14" t="str">
        <f>equip.xml!A1523</f>
        <v>40250071</v>
      </c>
      <c r="B1519" s="14">
        <f>equip.xml!B1523</f>
        <v>0</v>
      </c>
      <c r="C1519" s="14" t="str">
        <f>equip.xml!C1523</f>
        <v>学徒短裤</v>
      </c>
      <c r="D1519" s="14" t="str">
        <f>equip.xml!D1523</f>
        <v>护腿</v>
      </c>
      <c r="E1519" s="14">
        <f>equip.xml!E1523</f>
        <v>7</v>
      </c>
      <c r="F1519" s="14">
        <f>equip.xml!F1523</f>
        <v>4</v>
      </c>
      <c r="G1519" s="14">
        <f>equip.xml!G1523</f>
        <v>25</v>
      </c>
      <c r="H1519" s="14">
        <f>equip.xml!H1523</f>
        <v>0</v>
      </c>
      <c r="I1519" s="14">
        <f>equip.xml!J1523</f>
        <v>50</v>
      </c>
      <c r="J1519" s="14">
        <f>equip.xml!K1523</f>
        <v>500</v>
      </c>
      <c r="K1519" s="14">
        <f>equip.xml!L1523</f>
        <v>17500</v>
      </c>
      <c r="L1519" s="14" t="str">
        <f>equip.xml!M1523</f>
        <v>105_149_149</v>
      </c>
      <c r="M1519" s="17" t="str">
        <f>equip.xml!Q1523</f>
        <v>equipment/7001.png</v>
      </c>
      <c r="N1519" s="16" t="str">
        <f>equip.xml!P1523</f>
        <v>10000_1002_25000,30000_30001_1,30000_30002_1,30000_30003_1</v>
      </c>
      <c r="O1519">
        <f>equip.xml!R1523</f>
        <v>0</v>
      </c>
    </row>
    <row r="1520" spans="1:15">
      <c r="A1520" s="14" t="str">
        <f>equip.xml!A1524</f>
        <v>40300010</v>
      </c>
      <c r="B1520" s="14">
        <f>equip.xml!B1524</f>
        <v>1</v>
      </c>
      <c r="C1520" s="14" t="str">
        <f>equip.xml!C1524</f>
        <v>双链罩帽</v>
      </c>
      <c r="D1520" s="14" t="str">
        <f>equip.xml!D1524</f>
        <v>头盔</v>
      </c>
      <c r="E1520" s="14">
        <f>equip.xml!E1524</f>
        <v>1</v>
      </c>
      <c r="F1520" s="14">
        <f>equip.xml!F1524</f>
        <v>4</v>
      </c>
      <c r="G1520" s="14">
        <f>equip.xml!G1524</f>
        <v>30</v>
      </c>
      <c r="H1520" s="14">
        <f>equip.xml!H1524</f>
        <v>0</v>
      </c>
      <c r="I1520" s="14">
        <f>equip.xml!J1524</f>
        <v>50</v>
      </c>
      <c r="J1520" s="14">
        <f>equip.xml!K1524</f>
        <v>500</v>
      </c>
      <c r="K1520" s="14">
        <f>equip.xml!L1524</f>
        <v>17500</v>
      </c>
      <c r="L1520" s="14" t="str">
        <f>equip.xml!M1524</f>
        <v>106_372_372</v>
      </c>
      <c r="M1520" s="17" t="str">
        <f>equip.xml!Q1524</f>
        <v>equipment/3004.png</v>
      </c>
      <c r="N1520" s="16" t="str">
        <f>equip.xml!P1524</f>
        <v>10000_1002_30000,30000_30001_1,30000_30002_1,30000_30003_1</v>
      </c>
      <c r="O1520">
        <f>equip.xml!R1524</f>
        <v>0</v>
      </c>
    </row>
    <row r="1521" spans="1:15">
      <c r="A1521" s="14" t="str">
        <f>equip.xml!A1525</f>
        <v>40300020</v>
      </c>
      <c r="B1521" s="14">
        <f>equip.xml!B1525</f>
        <v>1</v>
      </c>
      <c r="C1521" s="14" t="str">
        <f>equip.xml!C1525</f>
        <v>繁星之戒</v>
      </c>
      <c r="D1521" s="14" t="str">
        <f>equip.xml!D1525</f>
        <v>戒指</v>
      </c>
      <c r="E1521" s="14">
        <f>equip.xml!E1525</f>
        <v>2</v>
      </c>
      <c r="F1521" s="14">
        <f>equip.xml!F1525</f>
        <v>4</v>
      </c>
      <c r="G1521" s="14">
        <f>equip.xml!G1525</f>
        <v>30</v>
      </c>
      <c r="H1521" s="14">
        <f>equip.xml!H1525</f>
        <v>0</v>
      </c>
      <c r="I1521" s="14">
        <f>equip.xml!J1525</f>
        <v>50</v>
      </c>
      <c r="J1521" s="14">
        <f>equip.xml!K1525</f>
        <v>500</v>
      </c>
      <c r="K1521" s="14">
        <f>equip.xml!L1525</f>
        <v>17500</v>
      </c>
      <c r="L1521" s="14" t="str">
        <f>equip.xml!M1525</f>
        <v>102_460_460</v>
      </c>
      <c r="M1521" s="17" t="str">
        <f>equip.xml!Q1525</f>
        <v>equipment/14005.png</v>
      </c>
      <c r="N1521" s="16" t="str">
        <f>equip.xml!P1525</f>
        <v>10000_1002_30000,30000_30001_1,30000_30002_1,30000_30003_1</v>
      </c>
      <c r="O1521">
        <f>equip.xml!R1525</f>
        <v>0</v>
      </c>
    </row>
    <row r="1522" spans="1:15">
      <c r="A1522" s="14" t="str">
        <f>equip.xml!A1526</f>
        <v>40300030</v>
      </c>
      <c r="B1522" s="14">
        <f>equip.xml!B1526</f>
        <v>1</v>
      </c>
      <c r="C1522" s="14" t="str">
        <f>equip.xml!C1526</f>
        <v>秘银腰带</v>
      </c>
      <c r="D1522" s="14" t="str">
        <f>equip.xml!D1526</f>
        <v>腰带</v>
      </c>
      <c r="E1522" s="14">
        <f>equip.xml!E1526</f>
        <v>3</v>
      </c>
      <c r="F1522" s="14">
        <f>equip.xml!F1526</f>
        <v>4</v>
      </c>
      <c r="G1522" s="14">
        <f>equip.xml!G1526</f>
        <v>30</v>
      </c>
      <c r="H1522" s="14">
        <f>equip.xml!H1526</f>
        <v>0</v>
      </c>
      <c r="I1522" s="14">
        <f>equip.xml!J1526</f>
        <v>50</v>
      </c>
      <c r="J1522" s="14">
        <f>equip.xml!K1526</f>
        <v>500</v>
      </c>
      <c r="K1522" s="14">
        <f>equip.xml!L1526</f>
        <v>17500</v>
      </c>
      <c r="L1522" s="14" t="str">
        <f>equip.xml!M1526</f>
        <v>101_3920_3920</v>
      </c>
      <c r="M1522" s="17" t="str">
        <f>equip.xml!Q1526</f>
        <v>equipment/6002.png</v>
      </c>
      <c r="N1522" s="16" t="str">
        <f>equip.xml!P1526</f>
        <v>10000_1002_30000,30000_30001_1,30000_30002_1,30000_30003_1</v>
      </c>
      <c r="O1522">
        <f>equip.xml!R1526</f>
        <v>0</v>
      </c>
    </row>
    <row r="1523" spans="1:15">
      <c r="A1523" s="14" t="str">
        <f>equip.xml!A1527</f>
        <v>40300080</v>
      </c>
      <c r="B1523" s="14">
        <f>equip.xml!B1527</f>
        <v>1</v>
      </c>
      <c r="C1523" s="14" t="str">
        <f>equip.xml!C1527</f>
        <v>镶饰胫甲</v>
      </c>
      <c r="D1523" s="14" t="str">
        <f>equip.xml!D1527</f>
        <v>鞋子</v>
      </c>
      <c r="E1523" s="14">
        <f>equip.xml!E1527</f>
        <v>8</v>
      </c>
      <c r="F1523" s="14">
        <f>equip.xml!F1527</f>
        <v>4</v>
      </c>
      <c r="G1523" s="14">
        <f>equip.xml!G1527</f>
        <v>30</v>
      </c>
      <c r="H1523" s="14">
        <f>equip.xml!H1527</f>
        <v>0</v>
      </c>
      <c r="I1523" s="14">
        <f>equip.xml!J1527</f>
        <v>50</v>
      </c>
      <c r="J1523" s="14">
        <f>equip.xml!K1527</f>
        <v>500</v>
      </c>
      <c r="K1523" s="14">
        <f>equip.xml!L1527</f>
        <v>17500</v>
      </c>
      <c r="L1523" s="14" t="str">
        <f>equip.xml!M1527</f>
        <v>110_65_65</v>
      </c>
      <c r="M1523" s="17" t="str">
        <f>equip.xml!Q1527</f>
        <v>equipment/8005.png</v>
      </c>
      <c r="N1523" s="16" t="str">
        <f>equip.xml!P1527</f>
        <v>10000_1002_30000,30000_30001_1,30000_30002_1,30000_30003_1</v>
      </c>
      <c r="O1523">
        <f>equip.xml!R1527</f>
        <v>0</v>
      </c>
    </row>
    <row r="1524" spans="1:15">
      <c r="A1524" s="14" t="str">
        <f>equip.xml!A1528</f>
        <v>40300090</v>
      </c>
      <c r="B1524" s="14">
        <f>equip.xml!B1528</f>
        <v>1</v>
      </c>
      <c r="C1524" s="14" t="str">
        <f>equip.xml!C1528</f>
        <v>链甲手套</v>
      </c>
      <c r="D1524" s="14" t="str">
        <f>equip.xml!D1528</f>
        <v>手套</v>
      </c>
      <c r="E1524" s="14">
        <f>equip.xml!E1528</f>
        <v>9</v>
      </c>
      <c r="F1524" s="14">
        <f>equip.xml!F1528</f>
        <v>4</v>
      </c>
      <c r="G1524" s="14">
        <f>equip.xml!G1528</f>
        <v>30</v>
      </c>
      <c r="H1524" s="14">
        <f>equip.xml!H1528</f>
        <v>0</v>
      </c>
      <c r="I1524" s="14">
        <f>equip.xml!J1528</f>
        <v>50</v>
      </c>
      <c r="J1524" s="14">
        <f>equip.xml!K1528</f>
        <v>500</v>
      </c>
      <c r="K1524" s="14">
        <f>equip.xml!L1528</f>
        <v>17500</v>
      </c>
      <c r="L1524" s="14" t="str">
        <f>equip.xml!M1528</f>
        <v>108_367_367</v>
      </c>
      <c r="M1524" s="17" t="str">
        <f>equip.xml!Q1528</f>
        <v>equipment/10005.png</v>
      </c>
      <c r="N1524" s="16" t="str">
        <f>equip.xml!P1528</f>
        <v>10000_1002_30000,30000_30001_1,30000_30002_1,30000_30003_1</v>
      </c>
      <c r="O1524">
        <f>equip.xml!R1528</f>
        <v>0</v>
      </c>
    </row>
    <row r="1525" spans="1:15">
      <c r="A1525" s="14" t="str">
        <f>equip.xml!A1529</f>
        <v>40300100</v>
      </c>
      <c r="B1525" s="14">
        <f>equip.xml!B1529</f>
        <v>1</v>
      </c>
      <c r="C1525" s="14" t="str">
        <f>equip.xml!C1529</f>
        <v>虎眼石项链</v>
      </c>
      <c r="D1525" s="14" t="str">
        <f>equip.xml!D1529</f>
        <v>项链</v>
      </c>
      <c r="E1525" s="14">
        <f>equip.xml!E1529</f>
        <v>10</v>
      </c>
      <c r="F1525" s="14">
        <f>equip.xml!F1529</f>
        <v>4</v>
      </c>
      <c r="G1525" s="14">
        <f>equip.xml!G1529</f>
        <v>30</v>
      </c>
      <c r="H1525" s="14">
        <f>equip.xml!H1529</f>
        <v>0</v>
      </c>
      <c r="I1525" s="14">
        <f>equip.xml!J1529</f>
        <v>50</v>
      </c>
      <c r="J1525" s="14">
        <f>equip.xml!K1529</f>
        <v>500</v>
      </c>
      <c r="K1525" s="14">
        <f>equip.xml!L1529</f>
        <v>17500</v>
      </c>
      <c r="L1525" s="14" t="str">
        <f>equip.xml!M1529</f>
        <v>107_372_372</v>
      </c>
      <c r="M1525" s="17" t="str">
        <f>equip.xml!Q1529</f>
        <v>equipment/12005.png</v>
      </c>
      <c r="N1525" s="16" t="str">
        <f>equip.xml!P1529</f>
        <v>10000_1002_30000,30000_30001_1,30000_30002_1,30000_30003_1</v>
      </c>
      <c r="O1525">
        <f>equip.xml!R1529</f>
        <v>0</v>
      </c>
    </row>
    <row r="1526" spans="1:15">
      <c r="A1526" s="14" t="str">
        <f>equip.xml!A1530</f>
        <v>40301050</v>
      </c>
      <c r="B1526" s="14">
        <f>equip.xml!B1530</f>
        <v>1</v>
      </c>
      <c r="C1526" s="14" t="str">
        <f>equip.xml!C1530</f>
        <v>炽热长剑</v>
      </c>
      <c r="D1526" s="14" t="str">
        <f>equip.xml!D1530</f>
        <v>主手武器</v>
      </c>
      <c r="E1526" s="14">
        <f>equip.xml!E1530</f>
        <v>5</v>
      </c>
      <c r="F1526" s="14">
        <f>equip.xml!F1530</f>
        <v>4</v>
      </c>
      <c r="G1526" s="14">
        <f>equip.xml!G1530</f>
        <v>30</v>
      </c>
      <c r="H1526" s="14" t="str">
        <f>equip.xml!H1530</f>
        <v>1,1001</v>
      </c>
      <c r="I1526" s="14">
        <f>equip.xml!J1530</f>
        <v>50</v>
      </c>
      <c r="J1526" s="14">
        <f>equip.xml!K1530</f>
        <v>500</v>
      </c>
      <c r="K1526" s="14">
        <f>equip.xml!L1530</f>
        <v>17500</v>
      </c>
      <c r="L1526" s="14" t="str">
        <f>equip.xml!M1530</f>
        <v>103_275_275,104_550_550</v>
      </c>
      <c r="M1526" s="17" t="str">
        <f>equip.xml!Q1530</f>
        <v>equipment/1112.png</v>
      </c>
      <c r="N1526" s="16" t="str">
        <f>equip.xml!P1530</f>
        <v>10000_1002_30000,30000_30001_1,30000_30002_1,30000_30003_1</v>
      </c>
      <c r="O1526">
        <f>equip.xml!R1530</f>
        <v>0</v>
      </c>
    </row>
    <row r="1527" spans="1:15">
      <c r="A1527" s="14" t="str">
        <f>equip.xml!A1531</f>
        <v>40301051</v>
      </c>
      <c r="B1527" s="14">
        <f>equip.xml!B1531</f>
        <v>1</v>
      </c>
      <c r="C1527" s="14" t="str">
        <f>equip.xml!C1531</f>
        <v>贵族阔剑</v>
      </c>
      <c r="D1527" s="14" t="str">
        <f>equip.xml!D1531</f>
        <v>主手武器</v>
      </c>
      <c r="E1527" s="14">
        <f>equip.xml!E1531</f>
        <v>5</v>
      </c>
      <c r="F1527" s="14">
        <f>equip.xml!F1531</f>
        <v>4</v>
      </c>
      <c r="G1527" s="14">
        <f>equip.xml!G1531</f>
        <v>30</v>
      </c>
      <c r="H1527" s="14" t="str">
        <f>equip.xml!H1531</f>
        <v>1,1001</v>
      </c>
      <c r="I1527" s="14">
        <f>equip.xml!J1531</f>
        <v>50</v>
      </c>
      <c r="J1527" s="14">
        <f>equip.xml!K1531</f>
        <v>500</v>
      </c>
      <c r="K1527" s="14">
        <f>equip.xml!L1531</f>
        <v>20000</v>
      </c>
      <c r="L1527" s="14" t="str">
        <f>equip.xml!M1531</f>
        <v>103_342_342,104_684_684</v>
      </c>
      <c r="M1527" s="17" t="str">
        <f>equip.xml!Q1531</f>
        <v>equipment/1113.png</v>
      </c>
      <c r="N1527" s="16" t="str">
        <f>equip.xml!P1531</f>
        <v>10000_1002_30000,30000_30001_1,30000_30002_1,30000_30003_1</v>
      </c>
      <c r="O1527">
        <f>equip.xml!R1531</f>
        <v>0</v>
      </c>
    </row>
    <row r="1528" spans="1:15">
      <c r="A1528" s="14" t="str">
        <f>equip.xml!A1532</f>
        <v>40301060</v>
      </c>
      <c r="B1528" s="14">
        <f>equip.xml!B1532</f>
        <v>1</v>
      </c>
      <c r="C1528" s="14" t="str">
        <f>equip.xml!C1532</f>
        <v>耐久盾牌</v>
      </c>
      <c r="D1528" s="14" t="str">
        <f>equip.xml!D1532</f>
        <v>副手武器</v>
      </c>
      <c r="E1528" s="14">
        <f>equip.xml!E1532</f>
        <v>6</v>
      </c>
      <c r="F1528" s="14">
        <f>equip.xml!F1532</f>
        <v>4</v>
      </c>
      <c r="G1528" s="14">
        <f>equip.xml!G1532</f>
        <v>30</v>
      </c>
      <c r="H1528" s="14" t="str">
        <f>equip.xml!H1532</f>
        <v>1,1001</v>
      </c>
      <c r="I1528" s="14">
        <f>equip.xml!J1532</f>
        <v>50</v>
      </c>
      <c r="J1528" s="14">
        <f>equip.xml!K1532</f>
        <v>500</v>
      </c>
      <c r="K1528" s="14">
        <f>equip.xml!L1532</f>
        <v>17500</v>
      </c>
      <c r="L1528" s="14" t="str">
        <f>equip.xml!M1532</f>
        <v>105_368_368</v>
      </c>
      <c r="M1528" s="17" t="str">
        <f>equip.xml!Q1532</f>
        <v>equipment/2107.png</v>
      </c>
      <c r="N1528" s="16" t="str">
        <f>equip.xml!P1532</f>
        <v>10000_1002_30000,30000_30001_1,30000_30002_1,30000_30003_1</v>
      </c>
      <c r="O1528">
        <f>equip.xml!R1532</f>
        <v>0</v>
      </c>
    </row>
    <row r="1529" spans="1:15">
      <c r="A1529" s="14" t="str">
        <f>equip.xml!A1533</f>
        <v>40301061</v>
      </c>
      <c r="B1529" s="14">
        <f>equip.xml!B1533</f>
        <v>0</v>
      </c>
      <c r="C1529" s="14" t="str">
        <f>equip.xml!C1533</f>
        <v>盐石盾牌</v>
      </c>
      <c r="D1529" s="14" t="str">
        <f>equip.xml!D1533</f>
        <v>副手武器</v>
      </c>
      <c r="E1529" s="14">
        <f>equip.xml!E1533</f>
        <v>6</v>
      </c>
      <c r="F1529" s="14">
        <f>equip.xml!F1533</f>
        <v>4</v>
      </c>
      <c r="G1529" s="14">
        <f>equip.xml!G1533</f>
        <v>30</v>
      </c>
      <c r="H1529" s="14" t="str">
        <f>equip.xml!H1533</f>
        <v>1,1001</v>
      </c>
      <c r="I1529" s="14">
        <f>equip.xml!J1533</f>
        <v>50</v>
      </c>
      <c r="J1529" s="14">
        <f>equip.xml!K1533</f>
        <v>500</v>
      </c>
      <c r="K1529" s="14">
        <f>equip.xml!L1533</f>
        <v>20000</v>
      </c>
      <c r="L1529" s="14" t="str">
        <f>equip.xml!M1533</f>
        <v>105_491_491</v>
      </c>
      <c r="M1529" s="17" t="str">
        <f>equip.xml!Q1533</f>
        <v>equipment/2108.png</v>
      </c>
      <c r="N1529" s="16" t="str">
        <f>equip.xml!P1533</f>
        <v>10000_1002_30000,30000_30001_1,30000_30002_1,30000_30003_1</v>
      </c>
      <c r="O1529">
        <f>equip.xml!R1533</f>
        <v>0</v>
      </c>
    </row>
    <row r="1530" spans="1:15">
      <c r="A1530" s="14" t="str">
        <f>equip.xml!A1534</f>
        <v>40302050</v>
      </c>
      <c r="B1530" s="14">
        <f>equip.xml!B1534</f>
        <v>1</v>
      </c>
      <c r="C1530" s="14" t="str">
        <f>equip.xml!C1534</f>
        <v>红木长弓</v>
      </c>
      <c r="D1530" s="14" t="str">
        <f>equip.xml!D1534</f>
        <v>主手武器</v>
      </c>
      <c r="E1530" s="14">
        <f>equip.xml!E1534</f>
        <v>5</v>
      </c>
      <c r="F1530" s="14">
        <f>equip.xml!F1534</f>
        <v>4</v>
      </c>
      <c r="G1530" s="14">
        <f>equip.xml!G1534</f>
        <v>30</v>
      </c>
      <c r="H1530" s="14" t="str">
        <f>equip.xml!H1534</f>
        <v>2,1002</v>
      </c>
      <c r="I1530" s="14">
        <f>equip.xml!J1534</f>
        <v>50</v>
      </c>
      <c r="J1530" s="14">
        <f>equip.xml!K1534</f>
        <v>500</v>
      </c>
      <c r="K1530" s="14">
        <f>equip.xml!L1534</f>
        <v>17500</v>
      </c>
      <c r="L1530" s="14" t="str">
        <f>equip.xml!M1534</f>
        <v>103_275_275,104_550_550</v>
      </c>
      <c r="M1530" s="17" t="str">
        <f>equip.xml!Q1534</f>
        <v>equipment/1211.png</v>
      </c>
      <c r="N1530" s="16" t="str">
        <f>equip.xml!P1534</f>
        <v>10000_1002_30000,30000_30001_1,30000_30002_1,30000_30003_1</v>
      </c>
      <c r="O1530">
        <f>equip.xml!R1534</f>
        <v>0</v>
      </c>
    </row>
    <row r="1531" spans="1:15">
      <c r="A1531" s="14" t="str">
        <f>equip.xml!A1535</f>
        <v>40302051</v>
      </c>
      <c r="B1531" s="14">
        <f>equip.xml!B1535</f>
        <v>1</v>
      </c>
      <c r="C1531" s="14" t="str">
        <f>equip.xml!C1535</f>
        <v>灼热弓</v>
      </c>
      <c r="D1531" s="14" t="str">
        <f>equip.xml!D1535</f>
        <v>主手武器</v>
      </c>
      <c r="E1531" s="14">
        <f>equip.xml!E1535</f>
        <v>5</v>
      </c>
      <c r="F1531" s="14">
        <f>equip.xml!F1535</f>
        <v>4</v>
      </c>
      <c r="G1531" s="14">
        <f>equip.xml!G1535</f>
        <v>30</v>
      </c>
      <c r="H1531" s="14" t="str">
        <f>equip.xml!H1535</f>
        <v>2,1002</v>
      </c>
      <c r="I1531" s="14">
        <f>equip.xml!J1535</f>
        <v>50</v>
      </c>
      <c r="J1531" s="14">
        <f>equip.xml!K1535</f>
        <v>500</v>
      </c>
      <c r="K1531" s="14">
        <f>equip.xml!L1535</f>
        <v>20000</v>
      </c>
      <c r="L1531" s="14" t="str">
        <f>equip.xml!M1535</f>
        <v>103_342_342,104_684_684</v>
      </c>
      <c r="M1531" s="17" t="str">
        <f>equip.xml!Q1535</f>
        <v>equipment/1212.png</v>
      </c>
      <c r="N1531" s="16" t="str">
        <f>equip.xml!P1535</f>
        <v>10000_1002_30000,30000_30001_1,30000_30002_1,30000_30003_1</v>
      </c>
      <c r="O1531">
        <f>equip.xml!R1535</f>
        <v>0</v>
      </c>
    </row>
    <row r="1532" spans="1:15">
      <c r="A1532" s="14" t="str">
        <f>equip.xml!A1536</f>
        <v>40302060</v>
      </c>
      <c r="B1532" s="14">
        <f>equip.xml!B1536</f>
        <v>1</v>
      </c>
      <c r="C1532" s="14" t="str">
        <f>equip.xml!C1536</f>
        <v>倒刺箭筒</v>
      </c>
      <c r="D1532" s="14" t="str">
        <f>equip.xml!D1536</f>
        <v>副手武器</v>
      </c>
      <c r="E1532" s="14">
        <f>equip.xml!E1536</f>
        <v>6</v>
      </c>
      <c r="F1532" s="14">
        <f>equip.xml!F1536</f>
        <v>4</v>
      </c>
      <c r="G1532" s="14">
        <f>equip.xml!G1536</f>
        <v>30</v>
      </c>
      <c r="H1532" s="14" t="str">
        <f>equip.xml!H1536</f>
        <v>2,1002</v>
      </c>
      <c r="I1532" s="14">
        <f>equip.xml!J1536</f>
        <v>50</v>
      </c>
      <c r="J1532" s="14">
        <f>equip.xml!K1536</f>
        <v>500</v>
      </c>
      <c r="K1532" s="14">
        <f>equip.xml!L1536</f>
        <v>17500</v>
      </c>
      <c r="L1532" s="14" t="str">
        <f>equip.xml!M1536</f>
        <v>108_368_368</v>
      </c>
      <c r="M1532" s="17" t="str">
        <f>equip.xml!Q1536</f>
        <v>equipment/2207.png</v>
      </c>
      <c r="N1532" s="16" t="str">
        <f>equip.xml!P1536</f>
        <v>10000_1002_30000,30000_30001_1,30000_30002_1,30000_30003_1</v>
      </c>
      <c r="O1532">
        <f>equip.xml!R1536</f>
        <v>0</v>
      </c>
    </row>
    <row r="1533" spans="1:15">
      <c r="A1533" s="14" t="str">
        <f>equip.xml!A1537</f>
        <v>40302061</v>
      </c>
      <c r="B1533" s="14">
        <f>equip.xml!B1537</f>
        <v>0</v>
      </c>
      <c r="C1533" s="14" t="str">
        <f>equip.xml!C1537</f>
        <v>崇圣箭筒</v>
      </c>
      <c r="D1533" s="14" t="str">
        <f>equip.xml!D1537</f>
        <v>副手武器</v>
      </c>
      <c r="E1533" s="14">
        <f>equip.xml!E1537</f>
        <v>6</v>
      </c>
      <c r="F1533" s="14">
        <f>equip.xml!F1537</f>
        <v>4</v>
      </c>
      <c r="G1533" s="14">
        <f>equip.xml!G1537</f>
        <v>30</v>
      </c>
      <c r="H1533" s="14" t="str">
        <f>equip.xml!H1537</f>
        <v>2,1002</v>
      </c>
      <c r="I1533" s="14">
        <f>equip.xml!J1537</f>
        <v>50</v>
      </c>
      <c r="J1533" s="14">
        <f>equip.xml!K1537</f>
        <v>500</v>
      </c>
      <c r="K1533" s="14">
        <f>equip.xml!L1537</f>
        <v>20000</v>
      </c>
      <c r="L1533" s="14" t="str">
        <f>equip.xml!M1537</f>
        <v>108_491_491</v>
      </c>
      <c r="M1533" s="17" t="str">
        <f>equip.xml!Q1537</f>
        <v>equipment/2208.png</v>
      </c>
      <c r="N1533" s="16" t="str">
        <f>equip.xml!P1537</f>
        <v>10000_1002_30000,30000_30001_1,30000_30002_1,30000_30003_1</v>
      </c>
      <c r="O1533">
        <f>equip.xml!R1537</f>
        <v>0</v>
      </c>
    </row>
    <row r="1534" spans="1:15">
      <c r="A1534" s="14" t="str">
        <f>equip.xml!A1538</f>
        <v>40303050</v>
      </c>
      <c r="B1534" s="14">
        <f>equip.xml!B1538</f>
        <v>1</v>
      </c>
      <c r="C1534" s="14" t="str">
        <f>equip.xml!C1538</f>
        <v>荒骨法杖</v>
      </c>
      <c r="D1534" s="14" t="str">
        <f>equip.xml!D1538</f>
        <v>主手武器</v>
      </c>
      <c r="E1534" s="14">
        <f>equip.xml!E1538</f>
        <v>5</v>
      </c>
      <c r="F1534" s="14">
        <f>equip.xml!F1538</f>
        <v>4</v>
      </c>
      <c r="G1534" s="14">
        <f>equip.xml!G1538</f>
        <v>30</v>
      </c>
      <c r="H1534" s="14" t="str">
        <f>equip.xml!H1538</f>
        <v>3,1003</v>
      </c>
      <c r="I1534" s="14">
        <f>equip.xml!J1538</f>
        <v>50</v>
      </c>
      <c r="J1534" s="14">
        <f>equip.xml!K1538</f>
        <v>500</v>
      </c>
      <c r="K1534" s="14">
        <f>equip.xml!L1538</f>
        <v>17500</v>
      </c>
      <c r="L1534" s="14" t="str">
        <f>equip.xml!M1538</f>
        <v>103_275_275,104_550_550</v>
      </c>
      <c r="M1534" s="17" t="str">
        <f>equip.xml!Q1538</f>
        <v>equipment/1312.png</v>
      </c>
      <c r="N1534" s="16" t="str">
        <f>equip.xml!P1538</f>
        <v>10000_1002_30000,30000_30001_1,30000_30002_1,30000_30003_1</v>
      </c>
      <c r="O1534">
        <f>equip.xml!R1538</f>
        <v>0</v>
      </c>
    </row>
    <row r="1535" spans="1:15">
      <c r="A1535" s="14" t="str">
        <f>equip.xml!A1539</f>
        <v>40303051</v>
      </c>
      <c r="B1535" s="14">
        <f>equip.xml!B1539</f>
        <v>1</v>
      </c>
      <c r="C1535" s="14" t="str">
        <f>equip.xml!C1539</f>
        <v>新月法杖</v>
      </c>
      <c r="D1535" s="14" t="str">
        <f>equip.xml!D1539</f>
        <v>主手武器</v>
      </c>
      <c r="E1535" s="14">
        <f>equip.xml!E1539</f>
        <v>5</v>
      </c>
      <c r="F1535" s="14">
        <f>equip.xml!F1539</f>
        <v>4</v>
      </c>
      <c r="G1535" s="14">
        <f>equip.xml!G1539</f>
        <v>30</v>
      </c>
      <c r="H1535" s="14" t="str">
        <f>equip.xml!H1539</f>
        <v>3,1003</v>
      </c>
      <c r="I1535" s="14">
        <f>equip.xml!J1539</f>
        <v>50</v>
      </c>
      <c r="J1535" s="14">
        <f>equip.xml!K1539</f>
        <v>500</v>
      </c>
      <c r="K1535" s="14">
        <f>equip.xml!L1539</f>
        <v>20000</v>
      </c>
      <c r="L1535" s="14" t="str">
        <f>equip.xml!M1539</f>
        <v>103_342_342,104_684_684</v>
      </c>
      <c r="M1535" s="17" t="str">
        <f>equip.xml!Q1539</f>
        <v>equipment/1313.png</v>
      </c>
      <c r="N1535" s="16" t="str">
        <f>equip.xml!P1539</f>
        <v>10000_1002_30000,30000_30001_1,30000_30002_1,30000_30003_1</v>
      </c>
      <c r="O1535">
        <f>equip.xml!R1539</f>
        <v>0</v>
      </c>
    </row>
    <row r="1536" spans="1:15">
      <c r="A1536" s="14" t="str">
        <f>equip.xml!A1540</f>
        <v>40303060</v>
      </c>
      <c r="B1536" s="14">
        <f>equip.xml!B1540</f>
        <v>1</v>
      </c>
      <c r="C1536" s="14" t="str">
        <f>equip.xml!C1540</f>
        <v>神圣典籍</v>
      </c>
      <c r="D1536" s="14" t="str">
        <f>equip.xml!D1540</f>
        <v>副手武器</v>
      </c>
      <c r="E1536" s="14">
        <f>equip.xml!E1540</f>
        <v>6</v>
      </c>
      <c r="F1536" s="14">
        <f>equip.xml!F1540</f>
        <v>4</v>
      </c>
      <c r="G1536" s="14">
        <f>equip.xml!G1540</f>
        <v>30</v>
      </c>
      <c r="H1536" s="14" t="str">
        <f>equip.xml!H1540</f>
        <v>3,1003</v>
      </c>
      <c r="I1536" s="14">
        <f>equip.xml!J1540</f>
        <v>50</v>
      </c>
      <c r="J1536" s="14">
        <f>equip.xml!K1540</f>
        <v>500</v>
      </c>
      <c r="K1536" s="14">
        <f>equip.xml!L1540</f>
        <v>17500</v>
      </c>
      <c r="L1536" s="14" t="str">
        <f>equip.xml!M1540</f>
        <v>102_880_880</v>
      </c>
      <c r="M1536" s="17" t="str">
        <f>equip.xml!Q1540</f>
        <v>equipment/2307.png</v>
      </c>
      <c r="N1536" s="16" t="str">
        <f>equip.xml!P1540</f>
        <v>10000_1002_30000,30000_30001_1,30000_30002_1,30000_30003_1</v>
      </c>
      <c r="O1536">
        <f>equip.xml!R1540</f>
        <v>0</v>
      </c>
    </row>
    <row r="1537" spans="1:15">
      <c r="A1537" s="14" t="str">
        <f>equip.xml!A1541</f>
        <v>40303061</v>
      </c>
      <c r="B1537" s="14">
        <f>equip.xml!B1541</f>
        <v>0</v>
      </c>
      <c r="C1537" s="14" t="str">
        <f>equip.xml!C1541</f>
        <v>召唤之书</v>
      </c>
      <c r="D1537" s="14" t="str">
        <f>equip.xml!D1541</f>
        <v>副手武器</v>
      </c>
      <c r="E1537" s="14">
        <f>equip.xml!E1541</f>
        <v>6</v>
      </c>
      <c r="F1537" s="14">
        <f>equip.xml!F1541</f>
        <v>4</v>
      </c>
      <c r="G1537" s="14">
        <f>equip.xml!G1541</f>
        <v>30</v>
      </c>
      <c r="H1537" s="14" t="str">
        <f>equip.xml!H1541</f>
        <v>3,1003</v>
      </c>
      <c r="I1537" s="14">
        <f>equip.xml!J1541</f>
        <v>50</v>
      </c>
      <c r="J1537" s="14">
        <f>equip.xml!K1541</f>
        <v>500</v>
      </c>
      <c r="K1537" s="14">
        <f>equip.xml!L1541</f>
        <v>20000</v>
      </c>
      <c r="L1537" s="14" t="str">
        <f>equip.xml!M1541</f>
        <v>102_944_944</v>
      </c>
      <c r="M1537" s="17" t="str">
        <f>equip.xml!Q1541</f>
        <v>equipment/2308.png</v>
      </c>
      <c r="N1537" s="16" t="str">
        <f>equip.xml!P1541</f>
        <v>10000_1002_30000,30000_30001_1,30000_30002_1,30000_30003_1</v>
      </c>
      <c r="O1537">
        <f>equip.xml!R1541</f>
        <v>0</v>
      </c>
    </row>
    <row r="1538" spans="1:15">
      <c r="A1538" s="14" t="str">
        <f>equip.xml!A1542</f>
        <v>40300040</v>
      </c>
      <c r="B1538" s="14">
        <f>equip.xml!B1542</f>
        <v>1</v>
      </c>
      <c r="C1538" s="14" t="str">
        <f>equip.xml!C1542</f>
        <v>水滴胸铠</v>
      </c>
      <c r="D1538" s="14" t="str">
        <f>equip.xml!D1542</f>
        <v>胸甲</v>
      </c>
      <c r="E1538" s="14">
        <f>equip.xml!E1542</f>
        <v>4</v>
      </c>
      <c r="F1538" s="14">
        <f>equip.xml!F1542</f>
        <v>4</v>
      </c>
      <c r="G1538" s="14">
        <f>equip.xml!G1542</f>
        <v>30</v>
      </c>
      <c r="H1538" s="14">
        <f>equip.xml!H1542</f>
        <v>0</v>
      </c>
      <c r="I1538" s="14">
        <f>equip.xml!J1542</f>
        <v>50</v>
      </c>
      <c r="J1538" s="14">
        <f>equip.xml!K1542</f>
        <v>500</v>
      </c>
      <c r="K1538" s="14">
        <f>equip.xml!L1542</f>
        <v>17500</v>
      </c>
      <c r="L1538" s="14" t="str">
        <f>equip.xml!M1542</f>
        <v>105_216_216</v>
      </c>
      <c r="M1538" s="17" t="str">
        <f>equip.xml!Q1542</f>
        <v>equipment/5008.png</v>
      </c>
      <c r="N1538" s="16" t="str">
        <f>equip.xml!P1542</f>
        <v>10000_1002_30000,30000_30001_1,30000_30002_1,30000_30003_1</v>
      </c>
      <c r="O1538">
        <f>equip.xml!R1542</f>
        <v>0</v>
      </c>
    </row>
    <row r="1539" spans="1:15">
      <c r="A1539" s="14" t="str">
        <f>equip.xml!A1543</f>
        <v>40300041</v>
      </c>
      <c r="B1539" s="14">
        <f>equip.xml!B1543</f>
        <v>1</v>
      </c>
      <c r="C1539" s="14" t="str">
        <f>equip.xml!C1543</f>
        <v>防卫者外套</v>
      </c>
      <c r="D1539" s="14" t="str">
        <f>equip.xml!D1543</f>
        <v>胸甲</v>
      </c>
      <c r="E1539" s="14">
        <f>equip.xml!E1543</f>
        <v>4</v>
      </c>
      <c r="F1539" s="14">
        <f>equip.xml!F1543</f>
        <v>4</v>
      </c>
      <c r="G1539" s="14">
        <f>equip.xml!G1543</f>
        <v>30</v>
      </c>
      <c r="H1539" s="14">
        <f>equip.xml!H1543</f>
        <v>0</v>
      </c>
      <c r="I1539" s="14">
        <f>equip.xml!J1543</f>
        <v>50</v>
      </c>
      <c r="J1539" s="14">
        <f>equip.xml!K1543</f>
        <v>500</v>
      </c>
      <c r="K1539" s="14">
        <f>equip.xml!L1543</f>
        <v>20000</v>
      </c>
      <c r="L1539" s="14" t="str">
        <f>equip.xml!M1543</f>
        <v>105_247_247</v>
      </c>
      <c r="M1539" s="17" t="str">
        <f>equip.xml!Q1543</f>
        <v>equipment/5009.png</v>
      </c>
      <c r="N1539" s="16" t="str">
        <f>equip.xml!P1543</f>
        <v>10000_1002_30000,30000_30001_1,30000_30002_1,30000_30003_1</v>
      </c>
      <c r="O1539">
        <f>equip.xml!R1543</f>
        <v>0</v>
      </c>
    </row>
    <row r="1540" spans="1:15">
      <c r="A1540" s="14" t="str">
        <f>equip.xml!A1544</f>
        <v>40300070</v>
      </c>
      <c r="B1540" s="14">
        <f>equip.xml!B1544</f>
        <v>1</v>
      </c>
      <c r="C1540" s="14" t="str">
        <f>equip.xml!C1544</f>
        <v>游侠护腿</v>
      </c>
      <c r="D1540" s="14" t="str">
        <f>equip.xml!D1544</f>
        <v>护腿</v>
      </c>
      <c r="E1540" s="14">
        <f>equip.xml!E1544</f>
        <v>7</v>
      </c>
      <c r="F1540" s="14">
        <f>equip.xml!F1544</f>
        <v>4</v>
      </c>
      <c r="G1540" s="14">
        <f>equip.xml!G1544</f>
        <v>30</v>
      </c>
      <c r="H1540" s="14">
        <f>equip.xml!H1544</f>
        <v>0</v>
      </c>
      <c r="I1540" s="14">
        <f>equip.xml!J1544</f>
        <v>50</v>
      </c>
      <c r="J1540" s="14">
        <f>equip.xml!K1544</f>
        <v>500</v>
      </c>
      <c r="K1540" s="14">
        <f>equip.xml!L1544</f>
        <v>17500</v>
      </c>
      <c r="L1540" s="14" t="str">
        <f>equip.xml!M1544</f>
        <v>105_216_216</v>
      </c>
      <c r="M1540" s="17" t="str">
        <f>equip.xml!Q1544</f>
        <v>equipment/7007.png</v>
      </c>
      <c r="N1540" s="16" t="str">
        <f>equip.xml!P1544</f>
        <v>10000_1002_30000,30000_30001_1,30000_30002_1,30000_30003_1</v>
      </c>
      <c r="O1540">
        <f>equip.xml!R1544</f>
        <v>0</v>
      </c>
    </row>
    <row r="1541" spans="1:15">
      <c r="A1541" s="14" t="str">
        <f>equip.xml!A1545</f>
        <v>40300071</v>
      </c>
      <c r="B1541" s="14">
        <f>equip.xml!B1545</f>
        <v>1</v>
      </c>
      <c r="C1541" s="14" t="str">
        <f>equip.xml!C1545</f>
        <v>逐风护腿</v>
      </c>
      <c r="D1541" s="14" t="str">
        <f>equip.xml!D1545</f>
        <v>护腿</v>
      </c>
      <c r="E1541" s="14">
        <f>equip.xml!E1545</f>
        <v>7</v>
      </c>
      <c r="F1541" s="14">
        <f>equip.xml!F1545</f>
        <v>4</v>
      </c>
      <c r="G1541" s="14">
        <f>equip.xml!G1545</f>
        <v>30</v>
      </c>
      <c r="H1541" s="14">
        <f>equip.xml!H1545</f>
        <v>0</v>
      </c>
      <c r="I1541" s="14">
        <f>equip.xml!J1545</f>
        <v>50</v>
      </c>
      <c r="J1541" s="14">
        <f>equip.xml!K1545</f>
        <v>500</v>
      </c>
      <c r="K1541" s="14">
        <f>equip.xml!L1545</f>
        <v>20000</v>
      </c>
      <c r="L1541" s="14" t="str">
        <f>equip.xml!M1545</f>
        <v>105_247_247</v>
      </c>
      <c r="M1541" s="17" t="str">
        <f>equip.xml!Q1545</f>
        <v>equipment/7008.png</v>
      </c>
      <c r="N1541" s="16" t="str">
        <f>equip.xml!P1545</f>
        <v>10000_1002_30000,30000_30001_1,30000_30002_1,30000_30003_1</v>
      </c>
      <c r="O1541">
        <f>equip.xml!R1545</f>
        <v>0</v>
      </c>
    </row>
    <row r="1542" spans="1:15">
      <c r="A1542" s="14" t="str">
        <f>equip.xml!A1546</f>
        <v>40350010</v>
      </c>
      <c r="B1542" s="14">
        <f>equip.xml!B1546</f>
        <v>1</v>
      </c>
      <c r="C1542" s="14" t="str">
        <f>equip.xml!C1546</f>
        <v>镶带头盔</v>
      </c>
      <c r="D1542" s="14" t="str">
        <f>equip.xml!D1546</f>
        <v>头盔</v>
      </c>
      <c r="E1542" s="14">
        <f>equip.xml!E1546</f>
        <v>1</v>
      </c>
      <c r="F1542" s="14">
        <f>equip.xml!F1546</f>
        <v>4</v>
      </c>
      <c r="G1542" s="14">
        <f>equip.xml!G1546</f>
        <v>35</v>
      </c>
      <c r="H1542" s="14">
        <f>equip.xml!H1546</f>
        <v>0</v>
      </c>
      <c r="I1542" s="14">
        <f>equip.xml!J1546</f>
        <v>50</v>
      </c>
      <c r="J1542" s="14">
        <f>equip.xml!K1546</f>
        <v>500</v>
      </c>
      <c r="K1542" s="14">
        <f>equip.xml!L1546</f>
        <v>20000</v>
      </c>
      <c r="L1542" s="14" t="str">
        <f>equip.xml!M1546</f>
        <v>106_596_596</v>
      </c>
      <c r="M1542" s="17" t="str">
        <f>equip.xml!Q1546</f>
        <v>equipment/3006.png</v>
      </c>
      <c r="N1542" s="16" t="str">
        <f>equip.xml!P1546</f>
        <v>10000_1002_35000,30000_30001_1,30000_30002_1,30000_30003_1</v>
      </c>
      <c r="O1542">
        <f>equip.xml!R1546</f>
        <v>0</v>
      </c>
    </row>
    <row r="1543" spans="1:15">
      <c r="A1543" s="14" t="str">
        <f>equip.xml!A1547</f>
        <v>40350020</v>
      </c>
      <c r="B1543" s="14">
        <f>equip.xml!B1547</f>
        <v>1</v>
      </c>
      <c r="C1543" s="14" t="str">
        <f>equip.xml!C1547</f>
        <v>烈焰指环</v>
      </c>
      <c r="D1543" s="14" t="str">
        <f>equip.xml!D1547</f>
        <v>戒指</v>
      </c>
      <c r="E1543" s="14">
        <f>equip.xml!E1547</f>
        <v>2</v>
      </c>
      <c r="F1543" s="14">
        <f>equip.xml!F1547</f>
        <v>4</v>
      </c>
      <c r="G1543" s="14">
        <f>equip.xml!G1547</f>
        <v>35</v>
      </c>
      <c r="H1543" s="14">
        <f>equip.xml!H1547</f>
        <v>0</v>
      </c>
      <c r="I1543" s="14">
        <f>equip.xml!J1547</f>
        <v>50</v>
      </c>
      <c r="J1543" s="14">
        <f>equip.xml!K1547</f>
        <v>500</v>
      </c>
      <c r="K1543" s="14">
        <f>equip.xml!L1547</f>
        <v>20000</v>
      </c>
      <c r="L1543" s="14" t="str">
        <f>equip.xml!M1547</f>
        <v>102_590_590</v>
      </c>
      <c r="M1543" s="17" t="str">
        <f>equip.xml!Q1547</f>
        <v>equipment/14006.png</v>
      </c>
      <c r="N1543" s="16" t="str">
        <f>equip.xml!P1547</f>
        <v>10000_1002_35000,30000_30001_1,30000_30002_1,30000_30003_1</v>
      </c>
      <c r="O1543">
        <f>equip.xml!R1547</f>
        <v>0</v>
      </c>
    </row>
    <row r="1544" spans="1:15">
      <c r="A1544" s="14" t="str">
        <f>equip.xml!A1548</f>
        <v>40350030</v>
      </c>
      <c r="B1544" s="14">
        <f>equip.xml!B1548</f>
        <v>1</v>
      </c>
      <c r="C1544" s="14" t="str">
        <f>equip.xml!C1548</f>
        <v>斗士腰带</v>
      </c>
      <c r="D1544" s="14" t="str">
        <f>equip.xml!D1548</f>
        <v>腰带</v>
      </c>
      <c r="E1544" s="14">
        <f>equip.xml!E1548</f>
        <v>3</v>
      </c>
      <c r="F1544" s="14">
        <f>equip.xml!F1548</f>
        <v>4</v>
      </c>
      <c r="G1544" s="14">
        <f>equip.xml!G1548</f>
        <v>35</v>
      </c>
      <c r="H1544" s="14">
        <f>equip.xml!H1548</f>
        <v>0</v>
      </c>
      <c r="I1544" s="14">
        <f>equip.xml!J1548</f>
        <v>50</v>
      </c>
      <c r="J1544" s="14">
        <f>equip.xml!K1548</f>
        <v>500</v>
      </c>
      <c r="K1544" s="14">
        <f>equip.xml!L1548</f>
        <v>20000</v>
      </c>
      <c r="L1544" s="14" t="str">
        <f>equip.xml!M1548</f>
        <v>101_4900_4900</v>
      </c>
      <c r="M1544" s="17" t="str">
        <f>equip.xml!Q1548</f>
        <v>equipment/6006.png</v>
      </c>
      <c r="N1544" s="16" t="str">
        <f>equip.xml!P1548</f>
        <v>10000_1002_35000,30000_30001_1,30000_30002_1,30000_30003_1</v>
      </c>
      <c r="O1544">
        <f>equip.xml!R1548</f>
        <v>0</v>
      </c>
    </row>
    <row r="1545" spans="1:15">
      <c r="A1545" s="14" t="str">
        <f>equip.xml!A1549</f>
        <v>40350080</v>
      </c>
      <c r="B1545" s="14">
        <f>equip.xml!B1549</f>
        <v>1</v>
      </c>
      <c r="C1545" s="14" t="str">
        <f>equip.xml!C1549</f>
        <v>混乱之靴</v>
      </c>
      <c r="D1545" s="14" t="str">
        <f>equip.xml!D1549</f>
        <v>鞋子</v>
      </c>
      <c r="E1545" s="14">
        <f>equip.xml!E1549</f>
        <v>8</v>
      </c>
      <c r="F1545" s="14">
        <f>equip.xml!F1549</f>
        <v>4</v>
      </c>
      <c r="G1545" s="14">
        <f>equip.xml!G1549</f>
        <v>35</v>
      </c>
      <c r="H1545" s="14">
        <f>equip.xml!H1549</f>
        <v>0</v>
      </c>
      <c r="I1545" s="14">
        <f>equip.xml!J1549</f>
        <v>50</v>
      </c>
      <c r="J1545" s="14">
        <f>equip.xml!K1549</f>
        <v>500</v>
      </c>
      <c r="K1545" s="14">
        <f>equip.xml!L1549</f>
        <v>20000</v>
      </c>
      <c r="L1545" s="14" t="str">
        <f>equip.xml!M1549</f>
        <v>110_82_82</v>
      </c>
      <c r="M1545" s="17" t="str">
        <f>equip.xml!Q1549</f>
        <v>equipment/8006.png</v>
      </c>
      <c r="N1545" s="16" t="str">
        <f>equip.xml!P1549</f>
        <v>10000_1002_35000,30000_30001_1,30000_30002_1,30000_30003_1</v>
      </c>
      <c r="O1545">
        <f>equip.xml!R1549</f>
        <v>0</v>
      </c>
    </row>
    <row r="1546" spans="1:15">
      <c r="A1546" s="14" t="str">
        <f>equip.xml!A1550</f>
        <v>40350090</v>
      </c>
      <c r="B1546" s="14">
        <f>equip.xml!B1550</f>
        <v>1</v>
      </c>
      <c r="C1546" s="14" t="str">
        <f>equip.xml!C1550</f>
        <v>激励手甲</v>
      </c>
      <c r="D1546" s="14" t="str">
        <f>equip.xml!D1550</f>
        <v>手套</v>
      </c>
      <c r="E1546" s="14">
        <f>equip.xml!E1550</f>
        <v>9</v>
      </c>
      <c r="F1546" s="14">
        <f>equip.xml!F1550</f>
        <v>4</v>
      </c>
      <c r="G1546" s="14">
        <f>equip.xml!G1550</f>
        <v>35</v>
      </c>
      <c r="H1546" s="14">
        <f>equip.xml!H1550</f>
        <v>0</v>
      </c>
      <c r="I1546" s="14">
        <f>equip.xml!J1550</f>
        <v>50</v>
      </c>
      <c r="J1546" s="14">
        <f>equip.xml!K1550</f>
        <v>500</v>
      </c>
      <c r="K1546" s="14">
        <f>equip.xml!L1550</f>
        <v>20000</v>
      </c>
      <c r="L1546" s="14" t="str">
        <f>equip.xml!M1550</f>
        <v>108_588_588</v>
      </c>
      <c r="M1546" s="17" t="str">
        <f>equip.xml!Q1550</f>
        <v>equipment/10006.png</v>
      </c>
      <c r="N1546" s="16" t="str">
        <f>equip.xml!P1550</f>
        <v>10000_1002_35000,30000_30001_1,30000_30002_1,30000_30003_1</v>
      </c>
      <c r="O1546">
        <f>equip.xml!R1550</f>
        <v>0</v>
      </c>
    </row>
    <row r="1547" spans="1:15">
      <c r="A1547" s="14" t="str">
        <f>equip.xml!A1551</f>
        <v>40350100</v>
      </c>
      <c r="B1547" s="14">
        <f>equip.xml!B1551</f>
        <v>1</v>
      </c>
      <c r="C1547" s="14" t="str">
        <f>equip.xml!C1551</f>
        <v>苍蓝挂坠</v>
      </c>
      <c r="D1547" s="14" t="str">
        <f>equip.xml!D1551</f>
        <v>项链</v>
      </c>
      <c r="E1547" s="14">
        <f>equip.xml!E1551</f>
        <v>10</v>
      </c>
      <c r="F1547" s="14">
        <f>equip.xml!F1551</f>
        <v>4</v>
      </c>
      <c r="G1547" s="14">
        <f>equip.xml!G1551</f>
        <v>35</v>
      </c>
      <c r="H1547" s="14">
        <f>equip.xml!H1551</f>
        <v>0</v>
      </c>
      <c r="I1547" s="14">
        <f>equip.xml!J1551</f>
        <v>50</v>
      </c>
      <c r="J1547" s="14">
        <f>equip.xml!K1551</f>
        <v>500</v>
      </c>
      <c r="K1547" s="14">
        <f>equip.xml!L1551</f>
        <v>20000</v>
      </c>
      <c r="L1547" s="14" t="str">
        <f>equip.xml!M1551</f>
        <v>107_542_542</v>
      </c>
      <c r="M1547" s="17" t="str">
        <f>equip.xml!Q1551</f>
        <v>equipment/12006.png</v>
      </c>
      <c r="N1547" s="16" t="str">
        <f>equip.xml!P1551</f>
        <v>10000_1002_35000,30000_30001_1,30000_30002_1,30000_30003_1</v>
      </c>
      <c r="O1547">
        <f>equip.xml!R1551</f>
        <v>0</v>
      </c>
    </row>
    <row r="1548" spans="1:15">
      <c r="A1548" s="14" t="str">
        <f>equip.xml!A1552</f>
        <v>40351050</v>
      </c>
      <c r="B1548" s="14">
        <f>equip.xml!B1552</f>
        <v>1</v>
      </c>
      <c r="C1548" s="14" t="str">
        <f>equip.xml!C1552</f>
        <v>水晶剑</v>
      </c>
      <c r="D1548" s="14" t="str">
        <f>equip.xml!D1552</f>
        <v>主手武器</v>
      </c>
      <c r="E1548" s="14">
        <f>equip.xml!E1552</f>
        <v>5</v>
      </c>
      <c r="F1548" s="14">
        <f>equip.xml!F1552</f>
        <v>4</v>
      </c>
      <c r="G1548" s="14">
        <f>equip.xml!G1552</f>
        <v>35</v>
      </c>
      <c r="H1548" s="14" t="str">
        <f>equip.xml!H1552</f>
        <v>1,1001</v>
      </c>
      <c r="I1548" s="14">
        <f>equip.xml!J1552</f>
        <v>50</v>
      </c>
      <c r="J1548" s="14">
        <f>equip.xml!K1552</f>
        <v>500</v>
      </c>
      <c r="K1548" s="14">
        <f>equip.xml!L1552</f>
        <v>20000</v>
      </c>
      <c r="L1548" s="14" t="str">
        <f>equip.xml!M1552</f>
        <v>103_443_443,104_886_886</v>
      </c>
      <c r="M1548" s="17" t="str">
        <f>equip.xml!Q1552</f>
        <v>equipment/1114.png</v>
      </c>
      <c r="N1548" s="16" t="str">
        <f>equip.xml!P1552</f>
        <v>10000_1002_35000,30000_30001_1,30000_30002_1,30000_30003_1</v>
      </c>
      <c r="O1548">
        <f>equip.xml!R1552</f>
        <v>0</v>
      </c>
    </row>
    <row r="1549" spans="1:15">
      <c r="A1549" s="14" t="str">
        <f>equip.xml!A1553</f>
        <v>40351051</v>
      </c>
      <c r="B1549" s="14">
        <f>equip.xml!B1553</f>
        <v>0</v>
      </c>
      <c r="C1549" s="14" t="str">
        <f>equip.xml!C1553</f>
        <v>军刀</v>
      </c>
      <c r="D1549" s="14" t="str">
        <f>equip.xml!D1553</f>
        <v>主手武器</v>
      </c>
      <c r="E1549" s="14">
        <f>equip.xml!E1553</f>
        <v>5</v>
      </c>
      <c r="F1549" s="14">
        <f>equip.xml!F1553</f>
        <v>4</v>
      </c>
      <c r="G1549" s="14">
        <f>equip.xml!G1553</f>
        <v>35</v>
      </c>
      <c r="H1549" s="14" t="str">
        <f>equip.xml!H1553</f>
        <v>1,1001</v>
      </c>
      <c r="I1549" s="14">
        <f>equip.xml!J1553</f>
        <v>50</v>
      </c>
      <c r="J1549" s="14">
        <f>equip.xml!K1553</f>
        <v>500</v>
      </c>
      <c r="K1549" s="14">
        <f>equip.xml!L1553</f>
        <v>22500</v>
      </c>
      <c r="L1549" s="14" t="str">
        <f>equip.xml!M1553</f>
        <v>103_533_533,104_1066_1066</v>
      </c>
      <c r="M1549" s="17" t="str">
        <f>equip.xml!Q1553</f>
        <v>equipment/1101.png</v>
      </c>
      <c r="N1549" s="16" t="str">
        <f>equip.xml!P1553</f>
        <v>10000_1002_35000,30000_30001_1,30000_30002_1,30000_30003_1</v>
      </c>
      <c r="O1549">
        <f>equip.xml!R1553</f>
        <v>0</v>
      </c>
    </row>
    <row r="1550" spans="1:15">
      <c r="A1550" s="14" t="str">
        <f>equip.xml!A1554</f>
        <v>40351060</v>
      </c>
      <c r="B1550" s="14">
        <f>equip.xml!B1554</f>
        <v>1</v>
      </c>
      <c r="C1550" s="14" t="str">
        <f>equip.xml!C1554</f>
        <v>符记盾牌</v>
      </c>
      <c r="D1550" s="14" t="str">
        <f>equip.xml!D1554</f>
        <v>副手武器</v>
      </c>
      <c r="E1550" s="14">
        <f>equip.xml!E1554</f>
        <v>6</v>
      </c>
      <c r="F1550" s="14">
        <f>equip.xml!F1554</f>
        <v>4</v>
      </c>
      <c r="G1550" s="14">
        <f>equip.xml!G1554</f>
        <v>35</v>
      </c>
      <c r="H1550" s="14" t="str">
        <f>equip.xml!H1554</f>
        <v>1,1001</v>
      </c>
      <c r="I1550" s="14">
        <f>equip.xml!J1554</f>
        <v>50</v>
      </c>
      <c r="J1550" s="14">
        <f>equip.xml!K1554</f>
        <v>500</v>
      </c>
      <c r="K1550" s="14">
        <f>equip.xml!L1554</f>
        <v>20000</v>
      </c>
      <c r="L1550" s="14" t="str">
        <f>equip.xml!M1554</f>
        <v>105_676_676</v>
      </c>
      <c r="M1550" s="17" t="str">
        <f>equip.xml!Q1554</f>
        <v>equipment/2108.png</v>
      </c>
      <c r="N1550" s="16" t="str">
        <f>equip.xml!P1554</f>
        <v>10000_1002_35000,30000_30001_1,30000_30002_1,30000_30003_1</v>
      </c>
      <c r="O1550">
        <f>equip.xml!R1554</f>
        <v>0</v>
      </c>
    </row>
    <row r="1551" spans="1:15">
      <c r="A1551" s="14" t="str">
        <f>equip.xml!A1555</f>
        <v>40351061</v>
      </c>
      <c r="B1551" s="14">
        <f>equip.xml!B1555</f>
        <v>1</v>
      </c>
      <c r="C1551" s="14" t="str">
        <f>equip.xml!C1555</f>
        <v>秩序盾牌</v>
      </c>
      <c r="D1551" s="14" t="str">
        <f>equip.xml!D1555</f>
        <v>副手武器</v>
      </c>
      <c r="E1551" s="14">
        <f>equip.xml!E1555</f>
        <v>6</v>
      </c>
      <c r="F1551" s="14">
        <f>equip.xml!F1555</f>
        <v>4</v>
      </c>
      <c r="G1551" s="14">
        <f>equip.xml!G1555</f>
        <v>35</v>
      </c>
      <c r="H1551" s="14" t="str">
        <f>equip.xml!H1555</f>
        <v>1,1001</v>
      </c>
      <c r="I1551" s="14">
        <f>equip.xml!J1555</f>
        <v>50</v>
      </c>
      <c r="J1551" s="14">
        <f>equip.xml!K1555</f>
        <v>500</v>
      </c>
      <c r="K1551" s="14">
        <f>equip.xml!L1555</f>
        <v>22500</v>
      </c>
      <c r="L1551" s="14" t="str">
        <f>equip.xml!M1555</f>
        <v>105_758_758</v>
      </c>
      <c r="M1551" s="17" t="str">
        <f>equip.xml!Q1555</f>
        <v>equipment/2117.png</v>
      </c>
      <c r="N1551" s="16" t="str">
        <f>equip.xml!P1555</f>
        <v>10000_1002_35000,30000_30001_1,30000_30002_1,30000_30003_1</v>
      </c>
      <c r="O1551">
        <f>equip.xml!R1555</f>
        <v>0</v>
      </c>
    </row>
    <row r="1552" spans="1:15">
      <c r="A1552" s="14" t="str">
        <f>equip.xml!A1556</f>
        <v>40352050</v>
      </c>
      <c r="B1552" s="14">
        <f>equip.xml!B1556</f>
        <v>1</v>
      </c>
      <c r="C1552" s="14" t="str">
        <f>equip.xml!C1556</f>
        <v>风语者弯弓</v>
      </c>
      <c r="D1552" s="14" t="str">
        <f>equip.xml!D1556</f>
        <v>主手武器</v>
      </c>
      <c r="E1552" s="14">
        <f>equip.xml!E1556</f>
        <v>5</v>
      </c>
      <c r="F1552" s="14">
        <f>equip.xml!F1556</f>
        <v>4</v>
      </c>
      <c r="G1552" s="14">
        <f>equip.xml!G1556</f>
        <v>35</v>
      </c>
      <c r="H1552" s="14" t="str">
        <f>equip.xml!H1556</f>
        <v>2,1002</v>
      </c>
      <c r="I1552" s="14">
        <f>equip.xml!J1556</f>
        <v>50</v>
      </c>
      <c r="J1552" s="14">
        <f>equip.xml!K1556</f>
        <v>500</v>
      </c>
      <c r="K1552" s="14">
        <f>equip.xml!L1556</f>
        <v>20000</v>
      </c>
      <c r="L1552" s="14" t="str">
        <f>equip.xml!M1556</f>
        <v>103_443_443,104_886_886</v>
      </c>
      <c r="M1552" s="17" t="str">
        <f>equip.xml!Q1556</f>
        <v>equipment/1213.png</v>
      </c>
      <c r="N1552" s="16" t="str">
        <f>equip.xml!P1556</f>
        <v>10000_1002_35000,30000_30001_1,30000_30002_1,30000_30003_1</v>
      </c>
      <c r="O1552">
        <f>equip.xml!R1556</f>
        <v>0</v>
      </c>
    </row>
    <row r="1553" spans="1:15">
      <c r="A1553" s="14" t="str">
        <f>equip.xml!A1557</f>
        <v>40352051</v>
      </c>
      <c r="B1553" s="14">
        <f>equip.xml!B1557</f>
        <v>0</v>
      </c>
      <c r="C1553" s="14" t="str">
        <f>equip.xml!C1557</f>
        <v>棘木弓</v>
      </c>
      <c r="D1553" s="14" t="str">
        <f>equip.xml!D1557</f>
        <v>主手武器</v>
      </c>
      <c r="E1553" s="14">
        <f>equip.xml!E1557</f>
        <v>5</v>
      </c>
      <c r="F1553" s="14">
        <f>equip.xml!F1557</f>
        <v>4</v>
      </c>
      <c r="G1553" s="14">
        <f>equip.xml!G1557</f>
        <v>35</v>
      </c>
      <c r="H1553" s="14" t="str">
        <f>equip.xml!H1557</f>
        <v>2,1002</v>
      </c>
      <c r="I1553" s="14">
        <f>equip.xml!J1557</f>
        <v>50</v>
      </c>
      <c r="J1553" s="14">
        <f>equip.xml!K1557</f>
        <v>500</v>
      </c>
      <c r="K1553" s="14">
        <f>equip.xml!L1557</f>
        <v>22500</v>
      </c>
      <c r="L1553" s="14" t="str">
        <f>equip.xml!M1557</f>
        <v>103_533_533,104_1066_1066</v>
      </c>
      <c r="M1553" s="17" t="str">
        <f>equip.xml!Q1557</f>
        <v>equipment/1201.png</v>
      </c>
      <c r="N1553" s="16" t="str">
        <f>equip.xml!P1557</f>
        <v>10000_1002_35000,30000_30001_1,30000_30002_1,30000_30003_1</v>
      </c>
      <c r="O1553">
        <f>equip.xml!R1557</f>
        <v>0</v>
      </c>
    </row>
    <row r="1554" spans="1:15">
      <c r="A1554" s="14" t="str">
        <f>equip.xml!A1558</f>
        <v>40352060</v>
      </c>
      <c r="B1554" s="14">
        <f>equip.xml!B1558</f>
        <v>1</v>
      </c>
      <c r="C1554" s="14" t="str">
        <f>equip.xml!C1558</f>
        <v>游侠箭筒</v>
      </c>
      <c r="D1554" s="14" t="str">
        <f>equip.xml!D1558</f>
        <v>副手武器</v>
      </c>
      <c r="E1554" s="14">
        <f>equip.xml!E1558</f>
        <v>6</v>
      </c>
      <c r="F1554" s="14">
        <f>equip.xml!F1558</f>
        <v>4</v>
      </c>
      <c r="G1554" s="14">
        <f>equip.xml!G1558</f>
        <v>35</v>
      </c>
      <c r="H1554" s="14" t="str">
        <f>equip.xml!H1558</f>
        <v>2,1002</v>
      </c>
      <c r="I1554" s="14">
        <f>equip.xml!J1558</f>
        <v>50</v>
      </c>
      <c r="J1554" s="14">
        <f>equip.xml!K1558</f>
        <v>500</v>
      </c>
      <c r="K1554" s="14">
        <f>equip.xml!L1558</f>
        <v>20000</v>
      </c>
      <c r="L1554" s="14" t="str">
        <f>equip.xml!M1558</f>
        <v>108_676_676</v>
      </c>
      <c r="M1554" s="17" t="str">
        <f>equip.xml!Q1558</f>
        <v>equipment/2208.png</v>
      </c>
      <c r="N1554" s="16" t="str">
        <f>equip.xml!P1558</f>
        <v>10000_1002_35000,30000_30001_1,30000_30002_1,30000_30003_1</v>
      </c>
      <c r="O1554">
        <f>equip.xml!R1558</f>
        <v>0</v>
      </c>
    </row>
    <row r="1555" spans="1:15">
      <c r="A1555" s="14" t="str">
        <f>equip.xml!A1559</f>
        <v>40352061</v>
      </c>
      <c r="B1555" s="14">
        <f>equip.xml!B1559</f>
        <v>1</v>
      </c>
      <c r="C1555" s="14" t="str">
        <f>equip.xml!C1559</f>
        <v>风行者箭筒</v>
      </c>
      <c r="D1555" s="14" t="str">
        <f>equip.xml!D1559</f>
        <v>副手武器</v>
      </c>
      <c r="E1555" s="14">
        <f>equip.xml!E1559</f>
        <v>6</v>
      </c>
      <c r="F1555" s="14">
        <f>equip.xml!F1559</f>
        <v>4</v>
      </c>
      <c r="G1555" s="14">
        <f>equip.xml!G1559</f>
        <v>35</v>
      </c>
      <c r="H1555" s="14" t="str">
        <f>equip.xml!H1559</f>
        <v>2,1002</v>
      </c>
      <c r="I1555" s="14">
        <f>equip.xml!J1559</f>
        <v>50</v>
      </c>
      <c r="J1555" s="14">
        <f>equip.xml!K1559</f>
        <v>500</v>
      </c>
      <c r="K1555" s="14">
        <f>equip.xml!L1559</f>
        <v>22500</v>
      </c>
      <c r="L1555" s="14" t="str">
        <f>equip.xml!M1559</f>
        <v>108_758_758</v>
      </c>
      <c r="M1555" s="17" t="str">
        <f>equip.xml!Q1559</f>
        <v>equipment/2201.png</v>
      </c>
      <c r="N1555" s="16" t="str">
        <f>equip.xml!P1559</f>
        <v>10000_1002_35000,30000_30001_1,30000_30002_1,30000_30003_1</v>
      </c>
      <c r="O1555">
        <f>equip.xml!R1559</f>
        <v>0</v>
      </c>
    </row>
    <row r="1556" spans="1:15">
      <c r="A1556" s="14" t="str">
        <f>equip.xml!A1560</f>
        <v>40353050</v>
      </c>
      <c r="B1556" s="14">
        <f>equip.xml!B1560</f>
        <v>1</v>
      </c>
      <c r="C1556" s="14" t="str">
        <f>equip.xml!C1560</f>
        <v>聚能之杖</v>
      </c>
      <c r="D1556" s="14" t="str">
        <f>equip.xml!D1560</f>
        <v>主手武器</v>
      </c>
      <c r="E1556" s="14">
        <f>equip.xml!E1560</f>
        <v>5</v>
      </c>
      <c r="F1556" s="14">
        <f>equip.xml!F1560</f>
        <v>4</v>
      </c>
      <c r="G1556" s="14">
        <f>equip.xml!G1560</f>
        <v>35</v>
      </c>
      <c r="H1556" s="14" t="str">
        <f>equip.xml!H1560</f>
        <v>3,1003</v>
      </c>
      <c r="I1556" s="14">
        <f>equip.xml!J1560</f>
        <v>50</v>
      </c>
      <c r="J1556" s="14">
        <f>equip.xml!K1560</f>
        <v>500</v>
      </c>
      <c r="K1556" s="14">
        <f>equip.xml!L1560</f>
        <v>20000</v>
      </c>
      <c r="L1556" s="14" t="str">
        <f>equip.xml!M1560</f>
        <v>103_443_443,104_886_886</v>
      </c>
      <c r="M1556" s="17" t="str">
        <f>equip.xml!Q1560</f>
        <v>equipment/1314.png</v>
      </c>
      <c r="N1556" s="16" t="str">
        <f>equip.xml!P1560</f>
        <v>10000_1002_35000,30000_30001_1,30000_30002_1,30000_30003_1</v>
      </c>
      <c r="O1556">
        <f>equip.xml!R1560</f>
        <v>0</v>
      </c>
    </row>
    <row r="1557" spans="1:15">
      <c r="A1557" s="14" t="str">
        <f>equip.xml!A1561</f>
        <v>40353051</v>
      </c>
      <c r="B1557" s="14">
        <f>equip.xml!B1561</f>
        <v>0</v>
      </c>
      <c r="C1557" s="14" t="str">
        <f>equip.xml!C1561</f>
        <v>学徒法杖</v>
      </c>
      <c r="D1557" s="14" t="str">
        <f>equip.xml!D1561</f>
        <v>主手武器</v>
      </c>
      <c r="E1557" s="14">
        <f>equip.xml!E1561</f>
        <v>5</v>
      </c>
      <c r="F1557" s="14">
        <f>equip.xml!F1561</f>
        <v>4</v>
      </c>
      <c r="G1557" s="14">
        <f>equip.xml!G1561</f>
        <v>35</v>
      </c>
      <c r="H1557" s="14" t="str">
        <f>equip.xml!H1561</f>
        <v>3,1003</v>
      </c>
      <c r="I1557" s="14">
        <f>equip.xml!J1561</f>
        <v>50</v>
      </c>
      <c r="J1557" s="14">
        <f>equip.xml!K1561</f>
        <v>500</v>
      </c>
      <c r="K1557" s="14">
        <f>equip.xml!L1561</f>
        <v>22500</v>
      </c>
      <c r="L1557" s="14" t="str">
        <f>equip.xml!M1561</f>
        <v>103_533_533,104_1066_1066</v>
      </c>
      <c r="M1557" s="17" t="str">
        <f>equip.xml!Q1561</f>
        <v>equipment/1301.png</v>
      </c>
      <c r="N1557" s="16" t="str">
        <f>equip.xml!P1561</f>
        <v>10000_1002_35000,30000_30001_1,30000_30002_1,30000_30003_1</v>
      </c>
      <c r="O1557">
        <f>equip.xml!R1561</f>
        <v>0</v>
      </c>
    </row>
    <row r="1558" spans="1:15">
      <c r="A1558" s="14" t="str">
        <f>equip.xml!A1562</f>
        <v>40353060</v>
      </c>
      <c r="B1558" s="14">
        <f>equip.xml!B1562</f>
        <v>1</v>
      </c>
      <c r="C1558" s="14" t="str">
        <f>equip.xml!C1562</f>
        <v>召唤魔典</v>
      </c>
      <c r="D1558" s="14" t="str">
        <f>equip.xml!D1562</f>
        <v>副手武器</v>
      </c>
      <c r="E1558" s="14">
        <f>equip.xml!E1562</f>
        <v>6</v>
      </c>
      <c r="F1558" s="14">
        <f>equip.xml!F1562</f>
        <v>4</v>
      </c>
      <c r="G1558" s="14">
        <f>equip.xml!G1562</f>
        <v>35</v>
      </c>
      <c r="H1558" s="14" t="str">
        <f>equip.xml!H1562</f>
        <v>3,1003</v>
      </c>
      <c r="I1558" s="14">
        <f>equip.xml!J1562</f>
        <v>50</v>
      </c>
      <c r="J1558" s="14">
        <f>equip.xml!K1562</f>
        <v>500</v>
      </c>
      <c r="K1558" s="14">
        <f>equip.xml!L1562</f>
        <v>20000</v>
      </c>
      <c r="L1558" s="14" t="str">
        <f>equip.xml!M1562</f>
        <v>102_1040_1040</v>
      </c>
      <c r="M1558" s="17" t="str">
        <f>equip.xml!Q1562</f>
        <v>equipment/2308.png</v>
      </c>
      <c r="N1558" s="16" t="str">
        <f>equip.xml!P1562</f>
        <v>10000_1002_35000,30000_30001_1,30000_30002_1,30000_30003_1</v>
      </c>
      <c r="O1558">
        <f>equip.xml!R1562</f>
        <v>0</v>
      </c>
    </row>
    <row r="1559" spans="1:15">
      <c r="A1559" s="14" t="str">
        <f>equip.xml!A1563</f>
        <v>40353061</v>
      </c>
      <c r="B1559" s="14">
        <f>equip.xml!B1563</f>
        <v>1</v>
      </c>
      <c r="C1559" s="14" t="str">
        <f>equip.xml!C1563</f>
        <v>大法师之书</v>
      </c>
      <c r="D1559" s="14" t="str">
        <f>equip.xml!D1563</f>
        <v>副手武器</v>
      </c>
      <c r="E1559" s="14">
        <f>equip.xml!E1563</f>
        <v>6</v>
      </c>
      <c r="F1559" s="14">
        <f>equip.xml!F1563</f>
        <v>4</v>
      </c>
      <c r="G1559" s="14">
        <f>equip.xml!G1563</f>
        <v>35</v>
      </c>
      <c r="H1559" s="14" t="str">
        <f>equip.xml!H1563</f>
        <v>3,1003</v>
      </c>
      <c r="I1559" s="14">
        <f>equip.xml!J1563</f>
        <v>50</v>
      </c>
      <c r="J1559" s="14">
        <f>equip.xml!K1563</f>
        <v>500</v>
      </c>
      <c r="K1559" s="14">
        <f>equip.xml!L1563</f>
        <v>22500</v>
      </c>
      <c r="L1559" s="14" t="str">
        <f>equip.xml!M1563</f>
        <v>102_1120_1120</v>
      </c>
      <c r="M1559" s="17" t="str">
        <f>equip.xml!Q1563</f>
        <v>equipment/2314.png</v>
      </c>
      <c r="N1559" s="16" t="str">
        <f>equip.xml!P1563</f>
        <v>10000_1002_35000,30000_30001_1,30000_30002_1,30000_30003_1</v>
      </c>
      <c r="O1559">
        <f>equip.xml!R1563</f>
        <v>0</v>
      </c>
    </row>
    <row r="1560" spans="1:15">
      <c r="A1560" s="14" t="str">
        <f>equip.xml!A1564</f>
        <v>40350040</v>
      </c>
      <c r="B1560" s="14">
        <f>equip.xml!B1564</f>
        <v>1</v>
      </c>
      <c r="C1560" s="14" t="str">
        <f>equip.xml!C1564</f>
        <v>蛮兽胸甲</v>
      </c>
      <c r="D1560" s="14" t="str">
        <f>equip.xml!D1564</f>
        <v>胸甲</v>
      </c>
      <c r="E1560" s="14">
        <f>equip.xml!E1564</f>
        <v>4</v>
      </c>
      <c r="F1560" s="14">
        <f>equip.xml!F1564</f>
        <v>4</v>
      </c>
      <c r="G1560" s="14">
        <f>equip.xml!G1564</f>
        <v>35</v>
      </c>
      <c r="H1560" s="14">
        <f>equip.xml!H1564</f>
        <v>0</v>
      </c>
      <c r="I1560" s="14">
        <f>equip.xml!J1564</f>
        <v>50</v>
      </c>
      <c r="J1560" s="14">
        <f>equip.xml!K1564</f>
        <v>500</v>
      </c>
      <c r="K1560" s="14">
        <f>equip.xml!L1564</f>
        <v>20000</v>
      </c>
      <c r="L1560" s="14" t="str">
        <f>equip.xml!M1564</f>
        <v>105_293_293</v>
      </c>
      <c r="M1560" s="17" t="str">
        <f>equip.xml!Q1564</f>
        <v>equipment/5011.png</v>
      </c>
      <c r="N1560" s="16" t="str">
        <f>equip.xml!P1564</f>
        <v>10000_1002_35000,30000_30001_1,30000_30002_1,30000_30003_1</v>
      </c>
      <c r="O1560">
        <f>equip.xml!R1564</f>
        <v>0</v>
      </c>
    </row>
    <row r="1561" spans="1:15">
      <c r="A1561" s="14" t="str">
        <f>equip.xml!A1565</f>
        <v>40350041</v>
      </c>
      <c r="B1561" s="14">
        <f>equip.xml!B1565</f>
        <v>1</v>
      </c>
      <c r="C1561" s="14" t="str">
        <f>equip.xml!C1565</f>
        <v>魔鳞外衣</v>
      </c>
      <c r="D1561" s="14" t="str">
        <f>equip.xml!D1565</f>
        <v>胸甲</v>
      </c>
      <c r="E1561" s="14">
        <f>equip.xml!E1565</f>
        <v>4</v>
      </c>
      <c r="F1561" s="14">
        <f>equip.xml!F1565</f>
        <v>4</v>
      </c>
      <c r="G1561" s="14">
        <f>equip.xml!G1565</f>
        <v>35</v>
      </c>
      <c r="H1561" s="14">
        <f>equip.xml!H1565</f>
        <v>0</v>
      </c>
      <c r="I1561" s="14">
        <f>equip.xml!J1565</f>
        <v>50</v>
      </c>
      <c r="J1561" s="14">
        <f>equip.xml!K1565</f>
        <v>500</v>
      </c>
      <c r="K1561" s="14">
        <f>equip.xml!L1565</f>
        <v>22500</v>
      </c>
      <c r="L1561" s="14" t="str">
        <f>equip.xml!M1565</f>
        <v>105_375_375</v>
      </c>
      <c r="M1561" s="17" t="str">
        <f>equip.xml!Q1565</f>
        <v>equipment/5001.png</v>
      </c>
      <c r="N1561" s="16" t="str">
        <f>equip.xml!P1565</f>
        <v>10000_1002_35000,30000_30001_1,30000_30002_1,30000_30003_1</v>
      </c>
      <c r="O1561">
        <f>equip.xml!R1565</f>
        <v>0</v>
      </c>
    </row>
    <row r="1562" spans="1:15">
      <c r="A1562" s="14" t="str">
        <f>equip.xml!A1566</f>
        <v>40350070</v>
      </c>
      <c r="B1562" s="14">
        <f>equip.xml!B1566</f>
        <v>1</v>
      </c>
      <c r="C1562" s="14" t="str">
        <f>equip.xml!C1566</f>
        <v>残忍腿甲</v>
      </c>
      <c r="D1562" s="14" t="str">
        <f>equip.xml!D1566</f>
        <v>护腿</v>
      </c>
      <c r="E1562" s="14">
        <f>equip.xml!E1566</f>
        <v>7</v>
      </c>
      <c r="F1562" s="14">
        <f>equip.xml!F1566</f>
        <v>4</v>
      </c>
      <c r="G1562" s="14">
        <f>equip.xml!G1566</f>
        <v>35</v>
      </c>
      <c r="H1562" s="14">
        <f>equip.xml!H1566</f>
        <v>0</v>
      </c>
      <c r="I1562" s="14">
        <f>equip.xml!J1566</f>
        <v>50</v>
      </c>
      <c r="J1562" s="14">
        <f>equip.xml!K1566</f>
        <v>500</v>
      </c>
      <c r="K1562" s="14">
        <f>equip.xml!L1566</f>
        <v>20000</v>
      </c>
      <c r="L1562" s="14" t="str">
        <f>equip.xml!M1566</f>
        <v>105_293_293</v>
      </c>
      <c r="M1562" s="17" t="str">
        <f>equip.xml!Q1566</f>
        <v>equipment/7008.png</v>
      </c>
      <c r="N1562" s="16" t="str">
        <f>equip.xml!P1566</f>
        <v>10000_1002_35000,30000_30001_1,30000_30002_1,30000_30003_1</v>
      </c>
      <c r="O1562">
        <f>equip.xml!R1566</f>
        <v>0</v>
      </c>
    </row>
    <row r="1563" spans="1:15">
      <c r="A1563" s="14" t="str">
        <f>equip.xml!A1567</f>
        <v>40350071</v>
      </c>
      <c r="B1563" s="14">
        <f>equip.xml!B1567</f>
        <v>0</v>
      </c>
      <c r="C1563" s="14" t="str">
        <f>equip.xml!C1567</f>
        <v>学徒短裤</v>
      </c>
      <c r="D1563" s="14" t="str">
        <f>equip.xml!D1567</f>
        <v>护腿</v>
      </c>
      <c r="E1563" s="14">
        <f>equip.xml!E1567</f>
        <v>7</v>
      </c>
      <c r="F1563" s="14">
        <f>equip.xml!F1567</f>
        <v>4</v>
      </c>
      <c r="G1563" s="14">
        <f>equip.xml!G1567</f>
        <v>35</v>
      </c>
      <c r="H1563" s="14">
        <f>equip.xml!H1567</f>
        <v>0</v>
      </c>
      <c r="I1563" s="14">
        <f>equip.xml!J1567</f>
        <v>50</v>
      </c>
      <c r="J1563" s="14">
        <f>equip.xml!K1567</f>
        <v>500</v>
      </c>
      <c r="K1563" s="14">
        <f>equip.xml!L1567</f>
        <v>22500</v>
      </c>
      <c r="L1563" s="14" t="str">
        <f>equip.xml!M1567</f>
        <v>105_331_331</v>
      </c>
      <c r="M1563" s="17" t="str">
        <f>equip.xml!Q1567</f>
        <v>equipment/7001.png</v>
      </c>
      <c r="N1563" s="16" t="str">
        <f>equip.xml!P1567</f>
        <v>10000_1002_35000,30000_30001_1,30000_30002_1,30000_30003_1</v>
      </c>
      <c r="O1563">
        <f>equip.xml!R1567</f>
        <v>0</v>
      </c>
    </row>
    <row r="1564" spans="1:15">
      <c r="A1564" s="14" t="str">
        <f>equip.xml!A1568</f>
        <v>40400010</v>
      </c>
      <c r="B1564" s="14">
        <f>equip.xml!B1568</f>
        <v>1</v>
      </c>
      <c r="C1564" s="14" t="str">
        <f>equip.xml!C1568</f>
        <v>烈焰头罩</v>
      </c>
      <c r="D1564" s="14" t="str">
        <f>equip.xml!D1568</f>
        <v>头盔</v>
      </c>
      <c r="E1564" s="14">
        <f>equip.xml!E1568</f>
        <v>1</v>
      </c>
      <c r="F1564" s="14">
        <f>equip.xml!F1568</f>
        <v>4</v>
      </c>
      <c r="G1564" s="14">
        <f>equip.xml!G1568</f>
        <v>40</v>
      </c>
      <c r="H1564" s="14">
        <f>equip.xml!H1568</f>
        <v>0</v>
      </c>
      <c r="I1564" s="14">
        <f>equip.xml!J1568</f>
        <v>50</v>
      </c>
      <c r="J1564" s="14">
        <f>equip.xml!K1568</f>
        <v>500</v>
      </c>
      <c r="K1564" s="14">
        <f>equip.xml!L1568</f>
        <v>22500</v>
      </c>
      <c r="L1564" s="14" t="str">
        <f>equip.xml!M1568</f>
        <v>106_751_751</v>
      </c>
      <c r="M1564" s="17" t="str">
        <f>equip.xml!Q1568</f>
        <v>equipment/3007.png</v>
      </c>
      <c r="N1564" s="16" t="str">
        <f>equip.xml!P1568</f>
        <v>10000_1002_40000,30000_30001_1,30000_30002_1,30000_30003_1</v>
      </c>
      <c r="O1564">
        <f>equip.xml!R1568</f>
        <v>0</v>
      </c>
    </row>
    <row r="1565" spans="1:15">
      <c r="A1565" s="14" t="str">
        <f>equip.xml!A1569</f>
        <v>40400020</v>
      </c>
      <c r="B1565" s="14">
        <f>equip.xml!B1569</f>
        <v>1</v>
      </c>
      <c r="C1565" s="14" t="str">
        <f>equip.xml!C1569</f>
        <v>龙纹戒指</v>
      </c>
      <c r="D1565" s="14" t="str">
        <f>equip.xml!D1569</f>
        <v>戒指</v>
      </c>
      <c r="E1565" s="14">
        <f>equip.xml!E1569</f>
        <v>2</v>
      </c>
      <c r="F1565" s="14">
        <f>equip.xml!F1569</f>
        <v>4</v>
      </c>
      <c r="G1565" s="14">
        <f>equip.xml!G1569</f>
        <v>40</v>
      </c>
      <c r="H1565" s="14">
        <f>equip.xml!H1569</f>
        <v>0</v>
      </c>
      <c r="I1565" s="14">
        <f>equip.xml!J1569</f>
        <v>50</v>
      </c>
      <c r="J1565" s="14">
        <f>equip.xml!K1569</f>
        <v>500</v>
      </c>
      <c r="K1565" s="14">
        <f>equip.xml!L1569</f>
        <v>22500</v>
      </c>
      <c r="L1565" s="14" t="str">
        <f>equip.xml!M1569</f>
        <v>102_740_740</v>
      </c>
      <c r="M1565" s="17" t="str">
        <f>equip.xml!Q1569</f>
        <v>equipment/14007.png</v>
      </c>
      <c r="N1565" s="16" t="str">
        <f>equip.xml!P1569</f>
        <v>10000_1002_40000,30000_30001_1,30000_30002_1,30000_30003_1</v>
      </c>
      <c r="O1565">
        <f>equip.xml!R1569</f>
        <v>0</v>
      </c>
    </row>
    <row r="1566" spans="1:15">
      <c r="A1566" s="14" t="str">
        <f>equip.xml!A1570</f>
        <v>40400030</v>
      </c>
      <c r="B1566" s="14">
        <f>equip.xml!B1570</f>
        <v>1</v>
      </c>
      <c r="C1566" s="14" t="str">
        <f>equip.xml!C1570</f>
        <v>力量腰带</v>
      </c>
      <c r="D1566" s="14" t="str">
        <f>equip.xml!D1570</f>
        <v>腰带</v>
      </c>
      <c r="E1566" s="14">
        <f>equip.xml!E1570</f>
        <v>3</v>
      </c>
      <c r="F1566" s="14">
        <f>equip.xml!F1570</f>
        <v>4</v>
      </c>
      <c r="G1566" s="14">
        <f>equip.xml!G1570</f>
        <v>40</v>
      </c>
      <c r="H1566" s="14">
        <f>equip.xml!H1570</f>
        <v>0</v>
      </c>
      <c r="I1566" s="14">
        <f>equip.xml!J1570</f>
        <v>50</v>
      </c>
      <c r="J1566" s="14">
        <f>equip.xml!K1570</f>
        <v>500</v>
      </c>
      <c r="K1566" s="14">
        <f>equip.xml!L1570</f>
        <v>22500</v>
      </c>
      <c r="L1566" s="14" t="str">
        <f>equip.xml!M1570</f>
        <v>101_6720_6720</v>
      </c>
      <c r="M1566" s="17" t="str">
        <f>equip.xml!Q1570</f>
        <v>equipment/6007.png</v>
      </c>
      <c r="N1566" s="16" t="str">
        <f>equip.xml!P1570</f>
        <v>10000_1002_40000,30000_30001_1,30000_30002_1,30000_30003_1</v>
      </c>
      <c r="O1566">
        <f>equip.xml!R1570</f>
        <v>0</v>
      </c>
    </row>
    <row r="1567" spans="1:15">
      <c r="A1567" s="14" t="str">
        <f>equip.xml!A1571</f>
        <v>40400080</v>
      </c>
      <c r="B1567" s="14">
        <f>equip.xml!B1571</f>
        <v>1</v>
      </c>
      <c r="C1567" s="14" t="str">
        <f>equip.xml!C1571</f>
        <v>征战之靴</v>
      </c>
      <c r="D1567" s="14" t="str">
        <f>equip.xml!D1571</f>
        <v>鞋子</v>
      </c>
      <c r="E1567" s="14">
        <f>equip.xml!E1571</f>
        <v>8</v>
      </c>
      <c r="F1567" s="14">
        <f>equip.xml!F1571</f>
        <v>4</v>
      </c>
      <c r="G1567" s="14">
        <f>equip.xml!G1571</f>
        <v>40</v>
      </c>
      <c r="H1567" s="14">
        <f>equip.xml!H1571</f>
        <v>0</v>
      </c>
      <c r="I1567" s="14">
        <f>equip.xml!J1571</f>
        <v>50</v>
      </c>
      <c r="J1567" s="14">
        <f>equip.xml!K1571</f>
        <v>500</v>
      </c>
      <c r="K1567" s="14">
        <f>equip.xml!L1571</f>
        <v>22500</v>
      </c>
      <c r="L1567" s="14" t="str">
        <f>equip.xml!M1571</f>
        <v>110_108_108</v>
      </c>
      <c r="M1567" s="17" t="str">
        <f>equip.xml!Q1571</f>
        <v>equipment/8007.png</v>
      </c>
      <c r="N1567" s="16" t="str">
        <f>equip.xml!P1571</f>
        <v>10000_1002_40000,30000_30001_1,30000_30002_1,30000_30003_1</v>
      </c>
      <c r="O1567">
        <f>equip.xml!R1571</f>
        <v>0</v>
      </c>
    </row>
    <row r="1568" spans="1:15">
      <c r="A1568" s="14" t="str">
        <f>equip.xml!A1572</f>
        <v>40400090</v>
      </c>
      <c r="B1568" s="14">
        <f>equip.xml!B1572</f>
        <v>1</v>
      </c>
      <c r="C1568" s="14" t="str">
        <f>equip.xml!C1572</f>
        <v>重拳手套</v>
      </c>
      <c r="D1568" s="14" t="str">
        <f>equip.xml!D1572</f>
        <v>手套</v>
      </c>
      <c r="E1568" s="14">
        <f>equip.xml!E1572</f>
        <v>9</v>
      </c>
      <c r="F1568" s="14">
        <f>equip.xml!F1572</f>
        <v>4</v>
      </c>
      <c r="G1568" s="14">
        <f>equip.xml!G1572</f>
        <v>40</v>
      </c>
      <c r="H1568" s="14">
        <f>equip.xml!H1572</f>
        <v>0</v>
      </c>
      <c r="I1568" s="14">
        <f>equip.xml!J1572</f>
        <v>50</v>
      </c>
      <c r="J1568" s="14">
        <f>equip.xml!K1572</f>
        <v>500</v>
      </c>
      <c r="K1568" s="14">
        <f>equip.xml!L1572</f>
        <v>22500</v>
      </c>
      <c r="L1568" s="14" t="str">
        <f>equip.xml!M1572</f>
        <v>108_880_880</v>
      </c>
      <c r="M1568" s="17" t="str">
        <f>equip.xml!Q1572</f>
        <v>equipment/10007.png</v>
      </c>
      <c r="N1568" s="16" t="str">
        <f>equip.xml!P1572</f>
        <v>10000_1002_40000,30000_30001_1,30000_30002_1,30000_30003_1</v>
      </c>
      <c r="O1568">
        <f>equip.xml!R1572</f>
        <v>0</v>
      </c>
    </row>
    <row r="1569" spans="1:15">
      <c r="A1569" s="14" t="str">
        <f>equip.xml!A1573</f>
        <v>40400100</v>
      </c>
      <c r="B1569" s="14">
        <f>equip.xml!B1573</f>
        <v>1</v>
      </c>
      <c r="C1569" s="14" t="str">
        <f>equip.xml!C1573</f>
        <v>迅捷项链</v>
      </c>
      <c r="D1569" s="14" t="str">
        <f>equip.xml!D1573</f>
        <v>项链</v>
      </c>
      <c r="E1569" s="14">
        <f>equip.xml!E1573</f>
        <v>10</v>
      </c>
      <c r="F1569" s="14">
        <f>equip.xml!F1573</f>
        <v>4</v>
      </c>
      <c r="G1569" s="14">
        <f>equip.xml!G1573</f>
        <v>40</v>
      </c>
      <c r="H1569" s="14">
        <f>equip.xml!H1573</f>
        <v>0</v>
      </c>
      <c r="I1569" s="14">
        <f>equip.xml!J1573</f>
        <v>50</v>
      </c>
      <c r="J1569" s="14">
        <f>equip.xml!K1573</f>
        <v>500</v>
      </c>
      <c r="K1569" s="14">
        <f>equip.xml!L1573</f>
        <v>22500</v>
      </c>
      <c r="L1569" s="14" t="str">
        <f>equip.xml!M1573</f>
        <v>107_542_542</v>
      </c>
      <c r="M1569" s="17" t="str">
        <f>equip.xml!Q1573</f>
        <v>equipment/12012.png</v>
      </c>
      <c r="N1569" s="16" t="str">
        <f>equip.xml!P1573</f>
        <v>10000_1002_40000,30000_30001_1,30000_30002_1,30000_30003_1</v>
      </c>
      <c r="O1569">
        <f>equip.xml!R1573</f>
        <v>0</v>
      </c>
    </row>
    <row r="1570" spans="1:15">
      <c r="A1570" s="14" t="str">
        <f>equip.xml!A1574</f>
        <v>40401050</v>
      </c>
      <c r="B1570" s="14">
        <f>equip.xml!B1574</f>
        <v>1</v>
      </c>
      <c r="C1570" s="14" t="str">
        <f>equip.xml!C1574</f>
        <v>魔铁巨剑</v>
      </c>
      <c r="D1570" s="14" t="str">
        <f>equip.xml!D1574</f>
        <v>主手武器</v>
      </c>
      <c r="E1570" s="14">
        <f>equip.xml!E1574</f>
        <v>5</v>
      </c>
      <c r="F1570" s="14">
        <f>equip.xml!F1574</f>
        <v>4</v>
      </c>
      <c r="G1570" s="14">
        <f>equip.xml!G1574</f>
        <v>40</v>
      </c>
      <c r="H1570" s="14" t="str">
        <f>equip.xml!H1574</f>
        <v>1,1001</v>
      </c>
      <c r="I1570" s="14">
        <f>equip.xml!J1574</f>
        <v>50</v>
      </c>
      <c r="J1570" s="14">
        <f>equip.xml!K1574</f>
        <v>500</v>
      </c>
      <c r="K1570" s="14">
        <f>equip.xml!L1574</f>
        <v>22500</v>
      </c>
      <c r="L1570" s="14" t="str">
        <f>equip.xml!M1574</f>
        <v>103_670_670,104_1340_1340</v>
      </c>
      <c r="M1570" s="17" t="str">
        <f>equip.xml!Q1574</f>
        <v>equipment/1115.png</v>
      </c>
      <c r="N1570" s="16" t="str">
        <f>equip.xml!P1574</f>
        <v>10000_1002_40000,30000_30001_1,30000_30002_1,30000_30003_1</v>
      </c>
      <c r="O1570">
        <f>equip.xml!R1574</f>
        <v>0</v>
      </c>
    </row>
    <row r="1571" spans="1:15">
      <c r="A1571" s="14" t="str">
        <f>equip.xml!A1575</f>
        <v>40401051</v>
      </c>
      <c r="B1571" s="14">
        <f>equip.xml!B1575</f>
        <v>1</v>
      </c>
      <c r="C1571" s="14" t="str">
        <f>equip.xml!C1575</f>
        <v>破咒之刃</v>
      </c>
      <c r="D1571" s="14" t="str">
        <f>equip.xml!D1575</f>
        <v>主手武器</v>
      </c>
      <c r="E1571" s="14">
        <f>equip.xml!E1575</f>
        <v>5</v>
      </c>
      <c r="F1571" s="14">
        <f>equip.xml!F1575</f>
        <v>4</v>
      </c>
      <c r="G1571" s="14">
        <f>equip.xml!G1575</f>
        <v>40</v>
      </c>
      <c r="H1571" s="14" t="str">
        <f>equip.xml!H1575</f>
        <v>1,1001</v>
      </c>
      <c r="I1571" s="14">
        <f>equip.xml!J1575</f>
        <v>50</v>
      </c>
      <c r="J1571" s="14">
        <f>equip.xml!K1575</f>
        <v>500</v>
      </c>
      <c r="K1571" s="14">
        <f>equip.xml!L1575</f>
        <v>25000</v>
      </c>
      <c r="L1571" s="14" t="str">
        <f>equip.xml!M1575</f>
        <v>103_743_743,104_1486_1486</v>
      </c>
      <c r="M1571" s="17" t="str">
        <f>equip.xml!Q1575</f>
        <v>equipment/1116.png</v>
      </c>
      <c r="N1571" s="16" t="str">
        <f>equip.xml!P1575</f>
        <v>10000_1002_40000,30000_30001_1,30000_30002_1,30000_30003_1</v>
      </c>
      <c r="O1571">
        <f>equip.xml!R1575</f>
        <v>0</v>
      </c>
    </row>
    <row r="1572" spans="1:15">
      <c r="A1572" s="14" t="str">
        <f>equip.xml!A1576</f>
        <v>40401060</v>
      </c>
      <c r="B1572" s="14">
        <f>equip.xml!B1576</f>
        <v>1</v>
      </c>
      <c r="C1572" s="14" t="str">
        <f>equip.xml!C1576</f>
        <v>洛阿巨盾</v>
      </c>
      <c r="D1572" s="14" t="str">
        <f>equip.xml!D1576</f>
        <v>副手武器</v>
      </c>
      <c r="E1572" s="14">
        <f>equip.xml!E1576</f>
        <v>6</v>
      </c>
      <c r="F1572" s="14">
        <f>equip.xml!F1576</f>
        <v>4</v>
      </c>
      <c r="G1572" s="14">
        <f>equip.xml!G1576</f>
        <v>40</v>
      </c>
      <c r="H1572" s="14" t="str">
        <f>equip.xml!H1576</f>
        <v>1,1001</v>
      </c>
      <c r="I1572" s="14">
        <f>equip.xml!J1576</f>
        <v>50</v>
      </c>
      <c r="J1572" s="14">
        <f>equip.xml!K1576</f>
        <v>500</v>
      </c>
      <c r="K1572" s="14">
        <f>equip.xml!L1576</f>
        <v>22500</v>
      </c>
      <c r="L1572" s="14" t="str">
        <f>equip.xml!M1576</f>
        <v>105_880_880</v>
      </c>
      <c r="M1572" s="17" t="str">
        <f>equip.xml!Q1576</f>
        <v>equipment/2109.png</v>
      </c>
      <c r="N1572" s="16" t="str">
        <f>equip.xml!P1576</f>
        <v>10000_1002_40000,30000_30001_1,30000_30002_1,30000_30003_1</v>
      </c>
      <c r="O1572">
        <f>equip.xml!R1576</f>
        <v>0</v>
      </c>
    </row>
    <row r="1573" spans="1:15">
      <c r="A1573" s="14" t="str">
        <f>equip.xml!A1577</f>
        <v>40401061</v>
      </c>
      <c r="B1573" s="14">
        <f>equip.xml!B1577</f>
        <v>0</v>
      </c>
      <c r="C1573" s="14" t="str">
        <f>equip.xml!C1577</f>
        <v>尖头盾</v>
      </c>
      <c r="D1573" s="14" t="str">
        <f>equip.xml!D1577</f>
        <v>副手武器</v>
      </c>
      <c r="E1573" s="14">
        <f>equip.xml!E1577</f>
        <v>6</v>
      </c>
      <c r="F1573" s="14">
        <f>equip.xml!F1577</f>
        <v>4</v>
      </c>
      <c r="G1573" s="14">
        <f>equip.xml!G1577</f>
        <v>40</v>
      </c>
      <c r="H1573" s="14" t="str">
        <f>equip.xml!H1577</f>
        <v>1,1001</v>
      </c>
      <c r="I1573" s="14">
        <f>equip.xml!J1577</f>
        <v>50</v>
      </c>
      <c r="J1573" s="14">
        <f>equip.xml!K1577</f>
        <v>500</v>
      </c>
      <c r="K1573" s="14">
        <f>equip.xml!L1577</f>
        <v>25000</v>
      </c>
      <c r="L1573" s="14" t="str">
        <f>equip.xml!M1577</f>
        <v>105_1029_1029</v>
      </c>
      <c r="M1573" s="17" t="str">
        <f>equip.xml!Q1577</f>
        <v>equipment/2101.png</v>
      </c>
      <c r="N1573" s="16" t="str">
        <f>equip.xml!P1577</f>
        <v>10000_1002_40000,30000_30001_1,30000_30002_1,30000_30003_1</v>
      </c>
      <c r="O1573">
        <f>equip.xml!R1577</f>
        <v>0</v>
      </c>
    </row>
    <row r="1574" spans="1:15">
      <c r="A1574" s="14" t="str">
        <f>equip.xml!A1578</f>
        <v>40402050</v>
      </c>
      <c r="B1574" s="14">
        <f>equip.xml!B1578</f>
        <v>1</v>
      </c>
      <c r="C1574" s="14" t="str">
        <f>equip.xml!C1578</f>
        <v>强击之弓</v>
      </c>
      <c r="D1574" s="14" t="str">
        <f>equip.xml!D1578</f>
        <v>主手武器</v>
      </c>
      <c r="E1574" s="14">
        <f>equip.xml!E1578</f>
        <v>5</v>
      </c>
      <c r="F1574" s="14">
        <f>equip.xml!F1578</f>
        <v>4</v>
      </c>
      <c r="G1574" s="14">
        <f>equip.xml!G1578</f>
        <v>40</v>
      </c>
      <c r="H1574" s="14" t="str">
        <f>equip.xml!H1578</f>
        <v>2,1002</v>
      </c>
      <c r="I1574" s="14">
        <f>equip.xml!J1578</f>
        <v>50</v>
      </c>
      <c r="J1574" s="14">
        <f>equip.xml!K1578</f>
        <v>500</v>
      </c>
      <c r="K1574" s="14">
        <f>equip.xml!L1578</f>
        <v>22500</v>
      </c>
      <c r="L1574" s="14" t="str">
        <f>equip.xml!M1578</f>
        <v>103_670_670,104_1340_1340</v>
      </c>
      <c r="M1574" s="17" t="str">
        <f>equip.xml!Q1578</f>
        <v>equipment/1216.png</v>
      </c>
      <c r="N1574" s="16" t="str">
        <f>equip.xml!P1578</f>
        <v>10000_1002_40000,30000_30001_1,30000_30002_1,30000_30003_1</v>
      </c>
      <c r="O1574">
        <f>equip.xml!R1578</f>
        <v>0</v>
      </c>
    </row>
    <row r="1575" spans="1:15">
      <c r="A1575" s="14" t="str">
        <f>equip.xml!A1579</f>
        <v>40402051</v>
      </c>
      <c r="B1575" s="14">
        <f>equip.xml!B1579</f>
        <v>1</v>
      </c>
      <c r="C1575" s="14" t="str">
        <f>equip.xml!C1579</f>
        <v>羽月长弓</v>
      </c>
      <c r="D1575" s="14" t="str">
        <f>equip.xml!D1579</f>
        <v>主手武器</v>
      </c>
      <c r="E1575" s="14">
        <f>equip.xml!E1579</f>
        <v>5</v>
      </c>
      <c r="F1575" s="14">
        <f>equip.xml!F1579</f>
        <v>4</v>
      </c>
      <c r="G1575" s="14">
        <f>equip.xml!G1579</f>
        <v>40</v>
      </c>
      <c r="H1575" s="14" t="str">
        <f>equip.xml!H1579</f>
        <v>2,1002</v>
      </c>
      <c r="I1575" s="14">
        <f>equip.xml!J1579</f>
        <v>50</v>
      </c>
      <c r="J1575" s="14">
        <f>equip.xml!K1579</f>
        <v>500</v>
      </c>
      <c r="K1575" s="14">
        <f>equip.xml!L1579</f>
        <v>25000</v>
      </c>
      <c r="L1575" s="14" t="str">
        <f>equip.xml!M1579</f>
        <v>103_743_743,104_1486_1486</v>
      </c>
      <c r="M1575" s="17" t="str">
        <f>equip.xml!Q1579</f>
        <v>equipment/1214.png</v>
      </c>
      <c r="N1575" s="16" t="str">
        <f>equip.xml!P1579</f>
        <v>10000_1002_40000,30000_30001_1,30000_30002_1,30000_30003_1</v>
      </c>
      <c r="O1575">
        <f>equip.xml!R1579</f>
        <v>0</v>
      </c>
    </row>
    <row r="1576" spans="1:15">
      <c r="A1576" s="14" t="str">
        <f>equip.xml!A1580</f>
        <v>40402060</v>
      </c>
      <c r="B1576" s="14">
        <f>equip.xml!B1580</f>
        <v>1</v>
      </c>
      <c r="C1576" s="14" t="str">
        <f>equip.xml!C1580</f>
        <v>风怒箭筒</v>
      </c>
      <c r="D1576" s="14" t="str">
        <f>equip.xml!D1580</f>
        <v>副手武器</v>
      </c>
      <c r="E1576" s="14">
        <f>equip.xml!E1580</f>
        <v>6</v>
      </c>
      <c r="F1576" s="14">
        <f>equip.xml!F1580</f>
        <v>4</v>
      </c>
      <c r="G1576" s="14">
        <f>equip.xml!G1580</f>
        <v>40</v>
      </c>
      <c r="H1576" s="14" t="str">
        <f>equip.xml!H1580</f>
        <v>2,1002</v>
      </c>
      <c r="I1576" s="14">
        <f>equip.xml!J1580</f>
        <v>50</v>
      </c>
      <c r="J1576" s="14">
        <f>equip.xml!K1580</f>
        <v>500</v>
      </c>
      <c r="K1576" s="14">
        <f>equip.xml!L1580</f>
        <v>22500</v>
      </c>
      <c r="L1576" s="14" t="str">
        <f>equip.xml!M1580</f>
        <v>108_880_880</v>
      </c>
      <c r="M1576" s="17" t="str">
        <f>equip.xml!Q1580</f>
        <v>equipment/2209.png</v>
      </c>
      <c r="N1576" s="16" t="str">
        <f>equip.xml!P1580</f>
        <v>10000_1002_40000,30000_30001_1,30000_30002_1,30000_30003_1</v>
      </c>
      <c r="O1576">
        <f>equip.xml!R1580</f>
        <v>0</v>
      </c>
    </row>
    <row r="1577" spans="1:15">
      <c r="A1577" s="14" t="str">
        <f>equip.xml!A1581</f>
        <v>40402061</v>
      </c>
      <c r="B1577" s="14">
        <f>equip.xml!B1581</f>
        <v>0</v>
      </c>
      <c r="C1577" s="14" t="str">
        <f>equip.xml!C1581</f>
        <v>箭筒</v>
      </c>
      <c r="D1577" s="14" t="str">
        <f>equip.xml!D1581</f>
        <v>副手武器</v>
      </c>
      <c r="E1577" s="14">
        <f>equip.xml!E1581</f>
        <v>6</v>
      </c>
      <c r="F1577" s="14">
        <f>equip.xml!F1581</f>
        <v>4</v>
      </c>
      <c r="G1577" s="14">
        <f>equip.xml!G1581</f>
        <v>40</v>
      </c>
      <c r="H1577" s="14" t="str">
        <f>equip.xml!H1581</f>
        <v>2,1002</v>
      </c>
      <c r="I1577" s="14">
        <f>equip.xml!J1581</f>
        <v>50</v>
      </c>
      <c r="J1577" s="14">
        <f>equip.xml!K1581</f>
        <v>500</v>
      </c>
      <c r="K1577" s="14">
        <f>equip.xml!L1581</f>
        <v>25000</v>
      </c>
      <c r="L1577" s="14" t="str">
        <f>equip.xml!M1581</f>
        <v>108_1029_1029</v>
      </c>
      <c r="M1577" s="17" t="str">
        <f>equip.xml!Q1581</f>
        <v>equipment/2201.png</v>
      </c>
      <c r="N1577" s="16" t="str">
        <f>equip.xml!P1581</f>
        <v>10000_1002_40000,30000_30001_1,30000_30002_1,30000_30003_1</v>
      </c>
      <c r="O1577">
        <f>equip.xml!R1581</f>
        <v>0</v>
      </c>
    </row>
    <row r="1578" spans="1:15">
      <c r="A1578" s="14" t="str">
        <f>equip.xml!A1582</f>
        <v>40403050</v>
      </c>
      <c r="B1578" s="14">
        <f>equip.xml!B1582</f>
        <v>1</v>
      </c>
      <c r="C1578" s="14" t="str">
        <f>equip.xml!C1582</f>
        <v>符文魔杖</v>
      </c>
      <c r="D1578" s="14" t="str">
        <f>equip.xml!D1582</f>
        <v>主手武器</v>
      </c>
      <c r="E1578" s="14">
        <f>equip.xml!E1582</f>
        <v>5</v>
      </c>
      <c r="F1578" s="14">
        <f>equip.xml!F1582</f>
        <v>4</v>
      </c>
      <c r="G1578" s="14">
        <f>equip.xml!G1582</f>
        <v>40</v>
      </c>
      <c r="H1578" s="14" t="str">
        <f>equip.xml!H1582</f>
        <v>3,1003</v>
      </c>
      <c r="I1578" s="14">
        <f>equip.xml!J1582</f>
        <v>50</v>
      </c>
      <c r="J1578" s="14">
        <f>equip.xml!K1582</f>
        <v>500</v>
      </c>
      <c r="K1578" s="14">
        <f>equip.xml!L1582</f>
        <v>22500</v>
      </c>
      <c r="L1578" s="14" t="str">
        <f>equip.xml!M1582</f>
        <v>103_670_670,104_1340_1340</v>
      </c>
      <c r="M1578" s="17" t="str">
        <f>equip.xml!Q1582</f>
        <v>equipment/1317.png</v>
      </c>
      <c r="N1578" s="16" t="str">
        <f>equip.xml!P1582</f>
        <v>10000_1002_40000,30000_30001_1,30000_30002_1,30000_30003_1</v>
      </c>
      <c r="O1578">
        <f>equip.xml!R1582</f>
        <v>0</v>
      </c>
    </row>
    <row r="1579" spans="1:15">
      <c r="A1579" s="14" t="str">
        <f>equip.xml!A1583</f>
        <v>40403051</v>
      </c>
      <c r="B1579" s="14">
        <f>equip.xml!B1583</f>
        <v>1</v>
      </c>
      <c r="C1579" s="14" t="str">
        <f>equip.xml!C1583</f>
        <v>真理之杖</v>
      </c>
      <c r="D1579" s="14" t="str">
        <f>equip.xml!D1583</f>
        <v>主手武器</v>
      </c>
      <c r="E1579" s="14">
        <f>equip.xml!E1583</f>
        <v>5</v>
      </c>
      <c r="F1579" s="14">
        <f>equip.xml!F1583</f>
        <v>4</v>
      </c>
      <c r="G1579" s="14">
        <f>equip.xml!G1583</f>
        <v>40</v>
      </c>
      <c r="H1579" s="14" t="str">
        <f>equip.xml!H1583</f>
        <v>3,1003</v>
      </c>
      <c r="I1579" s="14">
        <f>equip.xml!J1583</f>
        <v>50</v>
      </c>
      <c r="J1579" s="14">
        <f>equip.xml!K1583</f>
        <v>500</v>
      </c>
      <c r="K1579" s="14">
        <f>equip.xml!L1583</f>
        <v>25000</v>
      </c>
      <c r="L1579" s="14" t="str">
        <f>equip.xml!M1583</f>
        <v>103_743_743,104_1486_1486</v>
      </c>
      <c r="M1579" s="17" t="str">
        <f>equip.xml!Q1583</f>
        <v>equipment/1315.png</v>
      </c>
      <c r="N1579" s="16" t="str">
        <f>equip.xml!P1583</f>
        <v>10000_1002_40000,30000_30001_1,30000_30002_1,30000_30003_1</v>
      </c>
      <c r="O1579">
        <f>equip.xml!R1583</f>
        <v>0</v>
      </c>
    </row>
    <row r="1580" spans="1:15">
      <c r="A1580" s="14" t="str">
        <f>equip.xml!A1584</f>
        <v>40403060</v>
      </c>
      <c r="B1580" s="14">
        <f>equip.xml!B1584</f>
        <v>1</v>
      </c>
      <c r="C1580" s="14" t="str">
        <f>equip.xml!C1584</f>
        <v>附魔秘典</v>
      </c>
      <c r="D1580" s="14" t="str">
        <f>equip.xml!D1584</f>
        <v>副手武器</v>
      </c>
      <c r="E1580" s="14">
        <f>equip.xml!E1584</f>
        <v>6</v>
      </c>
      <c r="F1580" s="14">
        <f>equip.xml!F1584</f>
        <v>4</v>
      </c>
      <c r="G1580" s="14">
        <f>equip.xml!G1584</f>
        <v>40</v>
      </c>
      <c r="H1580" s="14" t="str">
        <f>equip.xml!H1584</f>
        <v>3,1003</v>
      </c>
      <c r="I1580" s="14">
        <f>equip.xml!J1584</f>
        <v>50</v>
      </c>
      <c r="J1580" s="14">
        <f>equip.xml!K1584</f>
        <v>500</v>
      </c>
      <c r="K1580" s="14">
        <f>equip.xml!L1584</f>
        <v>22500</v>
      </c>
      <c r="L1580" s="14" t="str">
        <f>equip.xml!M1584</f>
        <v>102_1240_1240</v>
      </c>
      <c r="M1580" s="17" t="str">
        <f>equip.xml!Q1584</f>
        <v>equipment/2309.png</v>
      </c>
      <c r="N1580" s="16" t="str">
        <f>equip.xml!P1584</f>
        <v>10000_1002_40000,30000_30001_1,30000_30002_1,30000_30003_1</v>
      </c>
      <c r="O1580">
        <f>equip.xml!R1584</f>
        <v>0</v>
      </c>
    </row>
    <row r="1581" spans="1:15">
      <c r="A1581" s="14" t="str">
        <f>equip.xml!A1585</f>
        <v>40403061</v>
      </c>
      <c r="B1581" s="14">
        <f>equip.xml!B1585</f>
        <v>0</v>
      </c>
      <c r="C1581" s="14" t="str">
        <f>equip.xml!C1585</f>
        <v>法术指南</v>
      </c>
      <c r="D1581" s="14" t="str">
        <f>equip.xml!D1585</f>
        <v>副手武器</v>
      </c>
      <c r="E1581" s="14">
        <f>equip.xml!E1585</f>
        <v>6</v>
      </c>
      <c r="F1581" s="14">
        <f>equip.xml!F1585</f>
        <v>4</v>
      </c>
      <c r="G1581" s="14">
        <f>equip.xml!G1585</f>
        <v>40</v>
      </c>
      <c r="H1581" s="14" t="str">
        <f>equip.xml!H1585</f>
        <v>3,1003</v>
      </c>
      <c r="I1581" s="14">
        <f>equip.xml!J1585</f>
        <v>50</v>
      </c>
      <c r="J1581" s="14">
        <f>equip.xml!K1585</f>
        <v>500</v>
      </c>
      <c r="K1581" s="14">
        <f>equip.xml!L1585</f>
        <v>25000</v>
      </c>
      <c r="L1581" s="14" t="str">
        <f>equip.xml!M1585</f>
        <v>102_1029_1029</v>
      </c>
      <c r="M1581" s="17" t="str">
        <f>equip.xml!Q1585</f>
        <v>equipment/2301.png</v>
      </c>
      <c r="N1581" s="16" t="str">
        <f>equip.xml!P1585</f>
        <v>10000_1002_40000,30000_30001_1,30000_30002_1,30000_30003_1</v>
      </c>
      <c r="O1581">
        <f>equip.xml!R1585</f>
        <v>0</v>
      </c>
    </row>
    <row r="1582" spans="1:15">
      <c r="A1582" s="14" t="str">
        <f>equip.xml!A1586</f>
        <v>40400040</v>
      </c>
      <c r="B1582" s="14">
        <f>equip.xml!B1586</f>
        <v>1</v>
      </c>
      <c r="C1582" s="14" t="str">
        <f>equip.xml!C1586</f>
        <v>瑟银护甲</v>
      </c>
      <c r="D1582" s="14" t="str">
        <f>equip.xml!D1586</f>
        <v>胸甲</v>
      </c>
      <c r="E1582" s="14">
        <f>equip.xml!E1586</f>
        <v>4</v>
      </c>
      <c r="F1582" s="14">
        <f>equip.xml!F1586</f>
        <v>4</v>
      </c>
      <c r="G1582" s="14">
        <f>equip.xml!G1586</f>
        <v>40</v>
      </c>
      <c r="H1582" s="14">
        <f>equip.xml!H1586</f>
        <v>0</v>
      </c>
      <c r="I1582" s="14">
        <f>equip.xml!J1586</f>
        <v>50</v>
      </c>
      <c r="J1582" s="14">
        <f>equip.xml!K1586</f>
        <v>500</v>
      </c>
      <c r="K1582" s="14">
        <f>equip.xml!L1586</f>
        <v>22500</v>
      </c>
      <c r="L1582" s="14" t="str">
        <f>equip.xml!M1586</f>
        <v>105_497_497</v>
      </c>
      <c r="M1582" s="17" t="str">
        <f>equip.xml!Q1586</f>
        <v>equipment/5012.png</v>
      </c>
      <c r="N1582" s="16" t="str">
        <f>equip.xml!P1586</f>
        <v>10000_1002_40000,30000_30001_1,30000_30002_1,30000_30003_1</v>
      </c>
      <c r="O1582">
        <f>equip.xml!R1586</f>
        <v>0</v>
      </c>
    </row>
    <row r="1583" spans="1:15">
      <c r="A1583" s="14" t="str">
        <f>equip.xml!A1587</f>
        <v>40400041</v>
      </c>
      <c r="B1583" s="14">
        <f>equip.xml!B1587</f>
        <v>0</v>
      </c>
      <c r="C1583" s="14" t="str">
        <f>equip.xml!C1587</f>
        <v>新兵外套</v>
      </c>
      <c r="D1583" s="14" t="str">
        <f>equip.xml!D1587</f>
        <v>胸甲</v>
      </c>
      <c r="E1583" s="14">
        <f>equip.xml!E1587</f>
        <v>4</v>
      </c>
      <c r="F1583" s="14">
        <f>equip.xml!F1587</f>
        <v>4</v>
      </c>
      <c r="G1583" s="14">
        <f>equip.xml!G1587</f>
        <v>40</v>
      </c>
      <c r="H1583" s="14">
        <f>equip.xml!H1587</f>
        <v>0</v>
      </c>
      <c r="I1583" s="14">
        <f>equip.xml!J1587</f>
        <v>50</v>
      </c>
      <c r="J1583" s="14">
        <f>equip.xml!K1587</f>
        <v>500</v>
      </c>
      <c r="K1583" s="14">
        <f>equip.xml!L1587</f>
        <v>25000</v>
      </c>
      <c r="L1583" s="14" t="str">
        <f>equip.xml!M1587</f>
        <v>105_549_549</v>
      </c>
      <c r="M1583" s="17" t="str">
        <f>equip.xml!Q1587</f>
        <v>equipment/5001.png</v>
      </c>
      <c r="N1583" s="16" t="str">
        <f>equip.xml!P1587</f>
        <v>10000_1002_40000,30000_30001_1,30000_30002_1,30000_30003_1</v>
      </c>
      <c r="O1583">
        <f>equip.xml!R1587</f>
        <v>0</v>
      </c>
    </row>
    <row r="1584" spans="1:15">
      <c r="A1584" s="14" t="str">
        <f>equip.xml!A1588</f>
        <v>40400070</v>
      </c>
      <c r="B1584" s="14">
        <f>equip.xml!B1588</f>
        <v>1</v>
      </c>
      <c r="C1584" s="14" t="str">
        <f>equip.xml!C1588</f>
        <v>巨熊护腿</v>
      </c>
      <c r="D1584" s="14" t="str">
        <f>equip.xml!D1588</f>
        <v>护腿</v>
      </c>
      <c r="E1584" s="14">
        <f>equip.xml!E1588</f>
        <v>7</v>
      </c>
      <c r="F1584" s="14">
        <f>equip.xml!F1588</f>
        <v>4</v>
      </c>
      <c r="G1584" s="14">
        <f>equip.xml!G1588</f>
        <v>40</v>
      </c>
      <c r="H1584" s="14">
        <f>equip.xml!H1588</f>
        <v>0</v>
      </c>
      <c r="I1584" s="14">
        <f>equip.xml!J1588</f>
        <v>50</v>
      </c>
      <c r="J1584" s="14">
        <f>equip.xml!K1588</f>
        <v>500</v>
      </c>
      <c r="K1584" s="14">
        <f>equip.xml!L1588</f>
        <v>22500</v>
      </c>
      <c r="L1584" s="14" t="str">
        <f>equip.xml!M1588</f>
        <v>105_387_387</v>
      </c>
      <c r="M1584" s="17" t="str">
        <f>equip.xml!Q1588</f>
        <v>equipment/7009.png</v>
      </c>
      <c r="N1584" s="16" t="str">
        <f>equip.xml!P1588</f>
        <v>10000_1002_40000,30000_30001_1,30000_30002_1,30000_30003_1</v>
      </c>
      <c r="O1584">
        <f>equip.xml!R1588</f>
        <v>0</v>
      </c>
    </row>
    <row r="1585" spans="1:15">
      <c r="A1585" s="14" t="str">
        <f>equip.xml!A1589</f>
        <v>40400071</v>
      </c>
      <c r="B1585" s="14">
        <f>equip.xml!B1589</f>
        <v>0</v>
      </c>
      <c r="C1585" s="14" t="str">
        <f>equip.xml!C1589</f>
        <v>学徒短裤</v>
      </c>
      <c r="D1585" s="14" t="str">
        <f>equip.xml!D1589</f>
        <v>护腿</v>
      </c>
      <c r="E1585" s="14">
        <f>equip.xml!E1589</f>
        <v>7</v>
      </c>
      <c r="F1585" s="14">
        <f>equip.xml!F1589</f>
        <v>4</v>
      </c>
      <c r="G1585" s="14">
        <f>equip.xml!G1589</f>
        <v>40</v>
      </c>
      <c r="H1585" s="14">
        <f>equip.xml!H1589</f>
        <v>0</v>
      </c>
      <c r="I1585" s="14">
        <f>equip.xml!J1589</f>
        <v>50</v>
      </c>
      <c r="J1585" s="14">
        <f>equip.xml!K1589</f>
        <v>500</v>
      </c>
      <c r="K1585" s="14">
        <f>equip.xml!L1589</f>
        <v>25000</v>
      </c>
      <c r="L1585" s="14" t="str">
        <f>equip.xml!M1589</f>
        <v>105_431_431</v>
      </c>
      <c r="M1585" s="17" t="str">
        <f>equip.xml!Q1589</f>
        <v>equipment/7001.png</v>
      </c>
      <c r="N1585" s="16" t="str">
        <f>equip.xml!P1589</f>
        <v>10000_1002_40000,30000_30001_1,30000_30002_1,30000_30003_1</v>
      </c>
      <c r="O1585">
        <f>equip.xml!R1589</f>
        <v>0</v>
      </c>
    </row>
    <row r="1586" spans="1:15">
      <c r="A1586" s="14" t="str">
        <f>equip.xml!A1590</f>
        <v>40450010</v>
      </c>
      <c r="B1586" s="14">
        <f>equip.xml!B1590</f>
        <v>1</v>
      </c>
      <c r="C1586" s="14" t="str">
        <f>equip.xml!C1590</f>
        <v>战争头盔</v>
      </c>
      <c r="D1586" s="14" t="str">
        <f>equip.xml!D1590</f>
        <v>头盔</v>
      </c>
      <c r="E1586" s="14">
        <f>equip.xml!E1590</f>
        <v>1</v>
      </c>
      <c r="F1586" s="14">
        <f>equip.xml!F1590</f>
        <v>4</v>
      </c>
      <c r="G1586" s="14">
        <f>equip.xml!G1590</f>
        <v>45</v>
      </c>
      <c r="H1586" s="14">
        <f>equip.xml!H1590</f>
        <v>0</v>
      </c>
      <c r="I1586" s="14">
        <f>equip.xml!J1590</f>
        <v>50</v>
      </c>
      <c r="J1586" s="14">
        <f>equip.xml!K1590</f>
        <v>500</v>
      </c>
      <c r="K1586" s="14">
        <f>equip.xml!L1590</f>
        <v>25000</v>
      </c>
      <c r="L1586" s="14" t="str">
        <f>equip.xml!M1590</f>
        <v>106_751_751</v>
      </c>
      <c r="M1586" s="17" t="str">
        <f>equip.xml!Q1590</f>
        <v>equipment/3003.png</v>
      </c>
      <c r="N1586" s="16" t="str">
        <f>equip.xml!P1590</f>
        <v>10000_1002_45000,30000_30001_1,30000_30002_1,30000_30003_1</v>
      </c>
      <c r="O1586">
        <f>equip.xml!R1590</f>
        <v>0</v>
      </c>
    </row>
    <row r="1587" spans="1:15">
      <c r="A1587" s="14" t="str">
        <f>equip.xml!A1591</f>
        <v>40450020</v>
      </c>
      <c r="B1587" s="14">
        <f>equip.xml!B1591</f>
        <v>1</v>
      </c>
      <c r="C1587" s="14" t="str">
        <f>equip.xml!C1591</f>
        <v>洞察指环</v>
      </c>
      <c r="D1587" s="14" t="str">
        <f>equip.xml!D1591</f>
        <v>戒指</v>
      </c>
      <c r="E1587" s="14">
        <f>equip.xml!E1591</f>
        <v>2</v>
      </c>
      <c r="F1587" s="14">
        <f>equip.xml!F1591</f>
        <v>4</v>
      </c>
      <c r="G1587" s="14">
        <f>equip.xml!G1591</f>
        <v>45</v>
      </c>
      <c r="H1587" s="14">
        <f>equip.xml!H1591</f>
        <v>0</v>
      </c>
      <c r="I1587" s="14">
        <f>equip.xml!J1591</f>
        <v>50</v>
      </c>
      <c r="J1587" s="14">
        <f>equip.xml!K1591</f>
        <v>500</v>
      </c>
      <c r="K1587" s="14">
        <f>equip.xml!L1591</f>
        <v>25000</v>
      </c>
      <c r="L1587" s="14" t="str">
        <f>equip.xml!M1591</f>
        <v>102_740_740</v>
      </c>
      <c r="M1587" s="17" t="str">
        <f>equip.xml!Q1591</f>
        <v>equipment/14001.png</v>
      </c>
      <c r="N1587" s="16" t="str">
        <f>equip.xml!P1591</f>
        <v>10000_1002_45000,30000_30001_1,30000_30002_1,30000_30003_1</v>
      </c>
      <c r="O1587">
        <f>equip.xml!R1591</f>
        <v>0</v>
      </c>
    </row>
    <row r="1588" spans="1:15">
      <c r="A1588" s="14" t="str">
        <f>equip.xml!A1592</f>
        <v>40450030</v>
      </c>
      <c r="B1588" s="14">
        <f>equip.xml!B1592</f>
        <v>1</v>
      </c>
      <c r="C1588" s="14" t="str">
        <f>equip.xml!C1592</f>
        <v>督军腰带</v>
      </c>
      <c r="D1588" s="14" t="str">
        <f>equip.xml!D1592</f>
        <v>腰带</v>
      </c>
      <c r="E1588" s="14">
        <f>equip.xml!E1592</f>
        <v>3</v>
      </c>
      <c r="F1588" s="14">
        <f>equip.xml!F1592</f>
        <v>4</v>
      </c>
      <c r="G1588" s="14">
        <f>equip.xml!G1592</f>
        <v>45</v>
      </c>
      <c r="H1588" s="14">
        <f>equip.xml!H1592</f>
        <v>0</v>
      </c>
      <c r="I1588" s="14">
        <f>equip.xml!J1592</f>
        <v>50</v>
      </c>
      <c r="J1588" s="14">
        <f>equip.xml!K1592</f>
        <v>500</v>
      </c>
      <c r="K1588" s="14">
        <f>equip.xml!L1592</f>
        <v>25000</v>
      </c>
      <c r="L1588" s="14" t="str">
        <f>equip.xml!M1592</f>
        <v>101_8840_8840</v>
      </c>
      <c r="M1588" s="17" t="str">
        <f>equip.xml!Q1592</f>
        <v>equipment/6008.png</v>
      </c>
      <c r="N1588" s="16" t="str">
        <f>equip.xml!P1592</f>
        <v>10000_1002_45000,30000_30001_1,30000_30002_1,30000_30003_1</v>
      </c>
      <c r="O1588">
        <f>equip.xml!R1592</f>
        <v>0</v>
      </c>
    </row>
    <row r="1589" spans="1:15">
      <c r="A1589" s="14" t="str">
        <f>equip.xml!A1593</f>
        <v>40450080</v>
      </c>
      <c r="B1589" s="14">
        <f>equip.xml!B1593</f>
        <v>1</v>
      </c>
      <c r="C1589" s="14" t="str">
        <f>equip.xml!C1593</f>
        <v>浩劫长靴</v>
      </c>
      <c r="D1589" s="14" t="str">
        <f>equip.xml!D1593</f>
        <v>鞋子</v>
      </c>
      <c r="E1589" s="14">
        <f>equip.xml!E1593</f>
        <v>8</v>
      </c>
      <c r="F1589" s="14">
        <f>equip.xml!F1593</f>
        <v>4</v>
      </c>
      <c r="G1589" s="14">
        <f>equip.xml!G1593</f>
        <v>45</v>
      </c>
      <c r="H1589" s="14">
        <f>equip.xml!H1593</f>
        <v>0</v>
      </c>
      <c r="I1589" s="14">
        <f>equip.xml!J1593</f>
        <v>50</v>
      </c>
      <c r="J1589" s="14">
        <f>equip.xml!K1593</f>
        <v>500</v>
      </c>
      <c r="K1589" s="14">
        <f>equip.xml!L1593</f>
        <v>25000</v>
      </c>
      <c r="L1589" s="14" t="str">
        <f>equip.xml!M1593</f>
        <v>110_137_137</v>
      </c>
      <c r="M1589" s="17" t="str">
        <f>equip.xml!Q1593</f>
        <v>equipment/8008.png</v>
      </c>
      <c r="N1589" s="16" t="str">
        <f>equip.xml!P1593</f>
        <v>10000_1002_45000,30000_30001_1,30000_30002_1,30000_30003_1</v>
      </c>
      <c r="O1589">
        <f>equip.xml!R1593</f>
        <v>0</v>
      </c>
    </row>
    <row r="1590" spans="1:15">
      <c r="A1590" s="14" t="str">
        <f>equip.xml!A1594</f>
        <v>40450090</v>
      </c>
      <c r="B1590" s="14">
        <f>equip.xml!B1594</f>
        <v>1</v>
      </c>
      <c r="C1590" s="14" t="str">
        <f>equip.xml!C1594</f>
        <v>愤怒护手</v>
      </c>
      <c r="D1590" s="14" t="str">
        <f>equip.xml!D1594</f>
        <v>手套</v>
      </c>
      <c r="E1590" s="14">
        <f>equip.xml!E1594</f>
        <v>9</v>
      </c>
      <c r="F1590" s="14">
        <f>equip.xml!F1594</f>
        <v>4</v>
      </c>
      <c r="G1590" s="14">
        <f>equip.xml!G1594</f>
        <v>45</v>
      </c>
      <c r="H1590" s="14">
        <f>equip.xml!H1594</f>
        <v>0</v>
      </c>
      <c r="I1590" s="14">
        <f>equip.xml!J1594</f>
        <v>50</v>
      </c>
      <c r="J1590" s="14">
        <f>equip.xml!K1594</f>
        <v>500</v>
      </c>
      <c r="K1590" s="14">
        <f>equip.xml!L1594</f>
        <v>25000</v>
      </c>
      <c r="L1590" s="14" t="str">
        <f>equip.xml!M1594</f>
        <v>108_1255_1255</v>
      </c>
      <c r="M1590" s="17" t="str">
        <f>equip.xml!Q1594</f>
        <v>equipment/10008.png</v>
      </c>
      <c r="N1590" s="16" t="str">
        <f>equip.xml!P1594</f>
        <v>10000_1002_45000,30000_30001_1,30000_30002_1,30000_30003_1</v>
      </c>
      <c r="O1590">
        <f>equip.xml!R1594</f>
        <v>0</v>
      </c>
    </row>
    <row r="1591" spans="1:15">
      <c r="A1591" s="14" t="str">
        <f>equip.xml!A1595</f>
        <v>40450100</v>
      </c>
      <c r="B1591" s="14">
        <f>equip.xml!B1595</f>
        <v>1</v>
      </c>
      <c r="C1591" s="14" t="str">
        <f>equip.xml!C1595</f>
        <v>新月项链</v>
      </c>
      <c r="D1591" s="14" t="str">
        <f>equip.xml!D1595</f>
        <v>项链</v>
      </c>
      <c r="E1591" s="14">
        <f>equip.xml!E1595</f>
        <v>10</v>
      </c>
      <c r="F1591" s="14">
        <f>equip.xml!F1595</f>
        <v>4</v>
      </c>
      <c r="G1591" s="14">
        <f>equip.xml!G1595</f>
        <v>45</v>
      </c>
      <c r="H1591" s="14">
        <f>equip.xml!H1595</f>
        <v>0</v>
      </c>
      <c r="I1591" s="14">
        <f>equip.xml!J1595</f>
        <v>50</v>
      </c>
      <c r="J1591" s="14">
        <f>equip.xml!K1595</f>
        <v>500</v>
      </c>
      <c r="K1591" s="14">
        <f>equip.xml!L1595</f>
        <v>25000</v>
      </c>
      <c r="L1591" s="14" t="str">
        <f>equip.xml!M1595</f>
        <v>107_751_751</v>
      </c>
      <c r="M1591" s="17" t="str">
        <f>equip.xml!Q1595</f>
        <v>equipment/12007.png</v>
      </c>
      <c r="N1591" s="16" t="str">
        <f>equip.xml!P1595</f>
        <v>10000_1002_45000,30000_30001_1,30000_30002_1,30000_30003_1</v>
      </c>
      <c r="O1591">
        <f>equip.xml!R1595</f>
        <v>0</v>
      </c>
    </row>
    <row r="1592" spans="1:15">
      <c r="A1592" s="14" t="str">
        <f>equip.xml!A1596</f>
        <v>40451050</v>
      </c>
      <c r="B1592" s="14">
        <f>equip.xml!B1596</f>
        <v>1</v>
      </c>
      <c r="C1592" s="14" t="str">
        <f>equip.xml!C1596</f>
        <v>龙纹之刃</v>
      </c>
      <c r="D1592" s="14" t="str">
        <f>equip.xml!D1596</f>
        <v>主手武器</v>
      </c>
      <c r="E1592" s="14">
        <f>equip.xml!E1596</f>
        <v>5</v>
      </c>
      <c r="F1592" s="14">
        <f>equip.xml!F1596</f>
        <v>4</v>
      </c>
      <c r="G1592" s="14">
        <f>equip.xml!G1596</f>
        <v>45</v>
      </c>
      <c r="H1592" s="14" t="str">
        <f>equip.xml!H1596</f>
        <v>1,1001</v>
      </c>
      <c r="I1592" s="14">
        <f>equip.xml!J1596</f>
        <v>50</v>
      </c>
      <c r="J1592" s="14">
        <f>equip.xml!K1596</f>
        <v>500</v>
      </c>
      <c r="K1592" s="14">
        <f>equip.xml!L1596</f>
        <v>25000</v>
      </c>
      <c r="L1592" s="14" t="str">
        <f>equip.xml!M1596</f>
        <v>103_854_854,104_1708_1708</v>
      </c>
      <c r="M1592" s="17" t="str">
        <f>equip.xml!Q1596</f>
        <v>equipment/1117.png</v>
      </c>
      <c r="N1592" s="16" t="str">
        <f>equip.xml!P1596</f>
        <v>10000_1002_45000,30000_30001_1,30000_30002_1,30000_30003_1</v>
      </c>
      <c r="O1592">
        <f>equip.xml!R1596</f>
        <v>0</v>
      </c>
    </row>
    <row r="1593" spans="1:15">
      <c r="A1593" s="14" t="str">
        <f>equip.xml!A1597</f>
        <v>40451051</v>
      </c>
      <c r="B1593" s="14">
        <f>equip.xml!B1597</f>
        <v>0</v>
      </c>
      <c r="C1593" s="14" t="str">
        <f>equip.xml!C1597</f>
        <v>军刀</v>
      </c>
      <c r="D1593" s="14" t="str">
        <f>equip.xml!D1597</f>
        <v>主手武器</v>
      </c>
      <c r="E1593" s="14">
        <f>equip.xml!E1597</f>
        <v>5</v>
      </c>
      <c r="F1593" s="14">
        <f>equip.xml!F1597</f>
        <v>4</v>
      </c>
      <c r="G1593" s="14">
        <f>equip.xml!G1597</f>
        <v>45</v>
      </c>
      <c r="H1593" s="14" t="str">
        <f>equip.xml!H1597</f>
        <v>1,1001</v>
      </c>
      <c r="I1593" s="14">
        <f>equip.xml!J1597</f>
        <v>50</v>
      </c>
      <c r="J1593" s="14">
        <f>equip.xml!K1597</f>
        <v>500</v>
      </c>
      <c r="K1593" s="14">
        <f>equip.xml!L1597</f>
        <v>27500</v>
      </c>
      <c r="L1593" s="14" t="str">
        <f>equip.xml!M1597</f>
        <v>103_951_951,104_1902_1902</v>
      </c>
      <c r="M1593" s="17" t="str">
        <f>equip.xml!Q1597</f>
        <v>equipment/1101.png</v>
      </c>
      <c r="N1593" s="16" t="str">
        <f>equip.xml!P1597</f>
        <v>10000_1002_45000,30000_30001_1,30000_30002_1,30000_30003_1</v>
      </c>
      <c r="O1593">
        <f>equip.xml!R1597</f>
        <v>0</v>
      </c>
    </row>
    <row r="1594" spans="1:15">
      <c r="A1594" s="14" t="str">
        <f>equip.xml!A1598</f>
        <v>40451060</v>
      </c>
      <c r="B1594" s="14">
        <f>equip.xml!B1598</f>
        <v>1</v>
      </c>
      <c r="C1594" s="14" t="str">
        <f>equip.xml!C1598</f>
        <v>正义壁垒</v>
      </c>
      <c r="D1594" s="14" t="str">
        <f>equip.xml!D1598</f>
        <v>副手武器</v>
      </c>
      <c r="E1594" s="14">
        <f>equip.xml!E1598</f>
        <v>6</v>
      </c>
      <c r="F1594" s="14">
        <f>equip.xml!F1598</f>
        <v>4</v>
      </c>
      <c r="G1594" s="14">
        <f>equip.xml!G1598</f>
        <v>45</v>
      </c>
      <c r="H1594" s="14" t="str">
        <f>equip.xml!H1598</f>
        <v>1,1001</v>
      </c>
      <c r="I1594" s="14">
        <f>equip.xml!J1598</f>
        <v>50</v>
      </c>
      <c r="J1594" s="14">
        <f>equip.xml!K1598</f>
        <v>500</v>
      </c>
      <c r="K1594" s="14">
        <f>equip.xml!L1598</f>
        <v>25000</v>
      </c>
      <c r="L1594" s="14" t="str">
        <f>equip.xml!M1598</f>
        <v>105_1253_1253</v>
      </c>
      <c r="M1594" s="17" t="str">
        <f>equip.xml!Q1598</f>
        <v>equipment/2110.png</v>
      </c>
      <c r="N1594" s="16" t="str">
        <f>equip.xml!P1598</f>
        <v>10000_1002_45000,30000_30001_1,30000_30002_1,30000_30003_1</v>
      </c>
      <c r="O1594">
        <f>equip.xml!R1598</f>
        <v>0</v>
      </c>
    </row>
    <row r="1595" spans="1:15">
      <c r="A1595" s="14" t="str">
        <f>equip.xml!A1599</f>
        <v>40451061</v>
      </c>
      <c r="B1595" s="14">
        <f>equip.xml!B1599</f>
        <v>0</v>
      </c>
      <c r="C1595" s="14" t="str">
        <f>equip.xml!C1599</f>
        <v>尖头盾</v>
      </c>
      <c r="D1595" s="14" t="str">
        <f>equip.xml!D1599</f>
        <v>副手武器</v>
      </c>
      <c r="E1595" s="14">
        <f>equip.xml!E1599</f>
        <v>6</v>
      </c>
      <c r="F1595" s="14">
        <f>equip.xml!F1599</f>
        <v>4</v>
      </c>
      <c r="G1595" s="14">
        <f>equip.xml!G1599</f>
        <v>45</v>
      </c>
      <c r="H1595" s="14" t="str">
        <f>equip.xml!H1599</f>
        <v>1,1001</v>
      </c>
      <c r="I1595" s="14">
        <f>equip.xml!J1599</f>
        <v>50</v>
      </c>
      <c r="J1595" s="14">
        <f>equip.xml!K1599</f>
        <v>500</v>
      </c>
      <c r="K1595" s="14">
        <f>equip.xml!L1599</f>
        <v>27500</v>
      </c>
      <c r="L1595" s="14" t="str">
        <f>equip.xml!M1599</f>
        <v>105_1312_1312</v>
      </c>
      <c r="M1595" s="17" t="str">
        <f>equip.xml!Q1599</f>
        <v>equipment/2101.png</v>
      </c>
      <c r="N1595" s="16" t="str">
        <f>equip.xml!P1599</f>
        <v>10000_1002_45000,30000_30001_1,30000_30002_1,30000_30003_1</v>
      </c>
      <c r="O1595">
        <f>equip.xml!R1599</f>
        <v>0</v>
      </c>
    </row>
    <row r="1596" spans="1:15">
      <c r="A1596" s="14" t="str">
        <f>equip.xml!A1600</f>
        <v>40452050</v>
      </c>
      <c r="B1596" s="14">
        <f>equip.xml!B1600</f>
        <v>1</v>
      </c>
      <c r="C1596" s="14" t="str">
        <f>equip.xml!C1600</f>
        <v>霜语长弓</v>
      </c>
      <c r="D1596" s="14" t="str">
        <f>equip.xml!D1600</f>
        <v>主手武器</v>
      </c>
      <c r="E1596" s="14">
        <f>equip.xml!E1600</f>
        <v>5</v>
      </c>
      <c r="F1596" s="14">
        <f>equip.xml!F1600</f>
        <v>4</v>
      </c>
      <c r="G1596" s="14">
        <f>equip.xml!G1600</f>
        <v>45</v>
      </c>
      <c r="H1596" s="14" t="str">
        <f>equip.xml!H1600</f>
        <v>2,1002</v>
      </c>
      <c r="I1596" s="14">
        <f>equip.xml!J1600</f>
        <v>50</v>
      </c>
      <c r="J1596" s="14">
        <f>equip.xml!K1600</f>
        <v>500</v>
      </c>
      <c r="K1596" s="14">
        <f>equip.xml!L1600</f>
        <v>25000</v>
      </c>
      <c r="L1596" s="14" t="str">
        <f>equip.xml!M1600</f>
        <v>103_854_854,104_1708_1708</v>
      </c>
      <c r="M1596" s="17" t="str">
        <f>equip.xml!Q1600</f>
        <v>equipment/1217.png</v>
      </c>
      <c r="N1596" s="16" t="str">
        <f>equip.xml!P1600</f>
        <v>10000_1002_45000,30000_30001_1,30000_30002_1,30000_30003_1</v>
      </c>
      <c r="O1596">
        <f>equip.xml!R1600</f>
        <v>0</v>
      </c>
    </row>
    <row r="1597" spans="1:15">
      <c r="A1597" s="14" t="str">
        <f>equip.xml!A1601</f>
        <v>40452051</v>
      </c>
      <c r="B1597" s="14">
        <f>equip.xml!B1601</f>
        <v>0</v>
      </c>
      <c r="C1597" s="14" t="str">
        <f>equip.xml!C1601</f>
        <v>棘木弓</v>
      </c>
      <c r="D1597" s="14" t="str">
        <f>equip.xml!D1601</f>
        <v>主手武器</v>
      </c>
      <c r="E1597" s="14">
        <f>equip.xml!E1601</f>
        <v>5</v>
      </c>
      <c r="F1597" s="14">
        <f>equip.xml!F1601</f>
        <v>4</v>
      </c>
      <c r="G1597" s="14">
        <f>equip.xml!G1601</f>
        <v>45</v>
      </c>
      <c r="H1597" s="14" t="str">
        <f>equip.xml!H1601</f>
        <v>2,1002</v>
      </c>
      <c r="I1597" s="14">
        <f>equip.xml!J1601</f>
        <v>50</v>
      </c>
      <c r="J1597" s="14">
        <f>equip.xml!K1601</f>
        <v>500</v>
      </c>
      <c r="K1597" s="14">
        <f>equip.xml!L1601</f>
        <v>27500</v>
      </c>
      <c r="L1597" s="14" t="str">
        <f>equip.xml!M1601</f>
        <v>103_951_951,104_1902_1902</v>
      </c>
      <c r="M1597" s="17" t="str">
        <f>equip.xml!Q1601</f>
        <v>equipment/1201.png</v>
      </c>
      <c r="N1597" s="16" t="str">
        <f>equip.xml!P1601</f>
        <v>10000_1002_45000,30000_30001_1,30000_30002_1,30000_30003_1</v>
      </c>
      <c r="O1597">
        <f>equip.xml!R1601</f>
        <v>0</v>
      </c>
    </row>
    <row r="1598" spans="1:15">
      <c r="A1598" s="14" t="str">
        <f>equip.xml!A1602</f>
        <v>40452060</v>
      </c>
      <c r="B1598" s="14">
        <f>equip.xml!B1602</f>
        <v>1</v>
      </c>
      <c r="C1598" s="14" t="str">
        <f>equip.xml!C1602</f>
        <v>月沐箭筒</v>
      </c>
      <c r="D1598" s="14" t="str">
        <f>equip.xml!D1602</f>
        <v>副手武器</v>
      </c>
      <c r="E1598" s="14">
        <f>equip.xml!E1602</f>
        <v>6</v>
      </c>
      <c r="F1598" s="14">
        <f>equip.xml!F1602</f>
        <v>4</v>
      </c>
      <c r="G1598" s="14">
        <f>equip.xml!G1602</f>
        <v>45</v>
      </c>
      <c r="H1598" s="14" t="str">
        <f>equip.xml!H1602</f>
        <v>2,1002</v>
      </c>
      <c r="I1598" s="14">
        <f>equip.xml!J1602</f>
        <v>50</v>
      </c>
      <c r="J1598" s="14">
        <f>equip.xml!K1602</f>
        <v>500</v>
      </c>
      <c r="K1598" s="14">
        <f>equip.xml!L1602</f>
        <v>25000</v>
      </c>
      <c r="L1598" s="14" t="str">
        <f>equip.xml!M1602</f>
        <v>108_1253_1253</v>
      </c>
      <c r="M1598" s="17" t="str">
        <f>equip.xml!Q1602</f>
        <v>equipment/2211.png</v>
      </c>
      <c r="N1598" s="16" t="str">
        <f>equip.xml!P1602</f>
        <v>10000_1002_45000,30000_30001_1,30000_30002_1,30000_30003_1</v>
      </c>
      <c r="O1598">
        <f>equip.xml!R1602</f>
        <v>0</v>
      </c>
    </row>
    <row r="1599" spans="1:15">
      <c r="A1599" s="14" t="str">
        <f>equip.xml!A1603</f>
        <v>40452061</v>
      </c>
      <c r="B1599" s="14">
        <f>equip.xml!B1603</f>
        <v>0</v>
      </c>
      <c r="C1599" s="14" t="str">
        <f>equip.xml!C1603</f>
        <v>箭筒</v>
      </c>
      <c r="D1599" s="14" t="str">
        <f>equip.xml!D1603</f>
        <v>副手武器</v>
      </c>
      <c r="E1599" s="14">
        <f>equip.xml!E1603</f>
        <v>6</v>
      </c>
      <c r="F1599" s="14">
        <f>equip.xml!F1603</f>
        <v>4</v>
      </c>
      <c r="G1599" s="14">
        <f>equip.xml!G1603</f>
        <v>45</v>
      </c>
      <c r="H1599" s="14" t="str">
        <f>equip.xml!H1603</f>
        <v>2,1002</v>
      </c>
      <c r="I1599" s="14">
        <f>equip.xml!J1603</f>
        <v>50</v>
      </c>
      <c r="J1599" s="14">
        <f>equip.xml!K1603</f>
        <v>500</v>
      </c>
      <c r="K1599" s="14">
        <f>equip.xml!L1603</f>
        <v>27500</v>
      </c>
      <c r="L1599" s="14" t="str">
        <f>equip.xml!M1603</f>
        <v>108_1312_1312</v>
      </c>
      <c r="M1599" s="17" t="str">
        <f>equip.xml!Q1603</f>
        <v>equipment/2201.png</v>
      </c>
      <c r="N1599" s="16" t="str">
        <f>equip.xml!P1603</f>
        <v>10000_1002_45000,30000_30001_1,30000_30002_1,30000_30003_1</v>
      </c>
      <c r="O1599">
        <f>equip.xml!R1603</f>
        <v>0</v>
      </c>
    </row>
    <row r="1600" spans="1:15">
      <c r="A1600" s="14" t="str">
        <f>equip.xml!A1604</f>
        <v>40453050</v>
      </c>
      <c r="B1600" s="14">
        <f>equip.xml!B1604</f>
        <v>1</v>
      </c>
      <c r="C1600" s="14" t="str">
        <f>equip.xml!C1604</f>
        <v>皇权之杖</v>
      </c>
      <c r="D1600" s="14" t="str">
        <f>equip.xml!D1604</f>
        <v>主手武器</v>
      </c>
      <c r="E1600" s="14">
        <f>equip.xml!E1604</f>
        <v>5</v>
      </c>
      <c r="F1600" s="14">
        <f>equip.xml!F1604</f>
        <v>4</v>
      </c>
      <c r="G1600" s="14">
        <f>equip.xml!G1604</f>
        <v>45</v>
      </c>
      <c r="H1600" s="14" t="str">
        <f>equip.xml!H1604</f>
        <v>3,1003</v>
      </c>
      <c r="I1600" s="14">
        <f>equip.xml!J1604</f>
        <v>50</v>
      </c>
      <c r="J1600" s="14">
        <f>equip.xml!K1604</f>
        <v>500</v>
      </c>
      <c r="K1600" s="14">
        <f>equip.xml!L1604</f>
        <v>25000</v>
      </c>
      <c r="L1600" s="14" t="str">
        <f>equip.xml!M1604</f>
        <v>103_854_854,104_1708_1708</v>
      </c>
      <c r="M1600" s="17" t="str">
        <f>equip.xml!Q1604</f>
        <v>equipment/1316.png</v>
      </c>
      <c r="N1600" s="16" t="str">
        <f>equip.xml!P1604</f>
        <v>10000_1002_45000,30000_30001_1,30000_30002_1,30000_30003_1</v>
      </c>
      <c r="O1600">
        <f>equip.xml!R1604</f>
        <v>0</v>
      </c>
    </row>
    <row r="1601" spans="1:15">
      <c r="A1601" s="14" t="str">
        <f>equip.xml!A1605</f>
        <v>40453051</v>
      </c>
      <c r="B1601" s="14">
        <f>equip.xml!B1605</f>
        <v>1</v>
      </c>
      <c r="C1601" s="14" t="str">
        <f>equip.xml!C1605</f>
        <v>圣晶权杖</v>
      </c>
      <c r="D1601" s="14" t="str">
        <f>equip.xml!D1605</f>
        <v>主手武器</v>
      </c>
      <c r="E1601" s="14">
        <f>equip.xml!E1605</f>
        <v>5</v>
      </c>
      <c r="F1601" s="14">
        <f>equip.xml!F1605</f>
        <v>4</v>
      </c>
      <c r="G1601" s="14">
        <f>equip.xml!G1605</f>
        <v>45</v>
      </c>
      <c r="H1601" s="14" t="str">
        <f>equip.xml!H1605</f>
        <v>3,1003</v>
      </c>
      <c r="I1601" s="14">
        <f>equip.xml!J1605</f>
        <v>50</v>
      </c>
      <c r="J1601" s="14">
        <f>equip.xml!K1605</f>
        <v>500</v>
      </c>
      <c r="K1601" s="14">
        <f>equip.xml!L1605</f>
        <v>27500</v>
      </c>
      <c r="L1601" s="14" t="str">
        <f>equip.xml!M1605</f>
        <v>103_951_951,104_1902_1902</v>
      </c>
      <c r="M1601" s="17" t="str">
        <f>equip.xml!Q1605</f>
        <v>equipment/1318.png</v>
      </c>
      <c r="N1601" s="16" t="str">
        <f>equip.xml!P1605</f>
        <v>10000_1002_45000,30000_30001_1,30000_30002_1,30000_30003_1</v>
      </c>
      <c r="O1601">
        <f>equip.xml!R1605</f>
        <v>0</v>
      </c>
    </row>
    <row r="1602" spans="1:15">
      <c r="A1602" s="14" t="str">
        <f>equip.xml!A1606</f>
        <v>40453060</v>
      </c>
      <c r="B1602" s="14">
        <f>equip.xml!B1606</f>
        <v>1</v>
      </c>
      <c r="C1602" s="14" t="str">
        <f>equip.xml!C1606</f>
        <v>占卜魔典</v>
      </c>
      <c r="D1602" s="14" t="str">
        <f>equip.xml!D1606</f>
        <v>副手武器</v>
      </c>
      <c r="E1602" s="14">
        <f>equip.xml!E1606</f>
        <v>6</v>
      </c>
      <c r="F1602" s="14">
        <f>equip.xml!F1606</f>
        <v>4</v>
      </c>
      <c r="G1602" s="14">
        <f>equip.xml!G1606</f>
        <v>45</v>
      </c>
      <c r="H1602" s="14" t="str">
        <f>equip.xml!H1606</f>
        <v>3,1003</v>
      </c>
      <c r="I1602" s="14">
        <f>equip.xml!J1606</f>
        <v>50</v>
      </c>
      <c r="J1602" s="14">
        <f>equip.xml!K1606</f>
        <v>500</v>
      </c>
      <c r="K1602" s="14">
        <f>equip.xml!L1606</f>
        <v>25000</v>
      </c>
      <c r="L1602" s="14" t="str">
        <f>equip.xml!M1606</f>
        <v>102_1320_1320</v>
      </c>
      <c r="M1602" s="17" t="str">
        <f>equip.xml!Q1606</f>
        <v>equipment/2310.png</v>
      </c>
      <c r="N1602" s="16" t="str">
        <f>equip.xml!P1606</f>
        <v>10000_1002_45000,30000_30001_1,30000_30002_1,30000_30003_1</v>
      </c>
      <c r="O1602">
        <f>equip.xml!R1606</f>
        <v>0</v>
      </c>
    </row>
    <row r="1603" spans="1:15">
      <c r="A1603" s="14" t="str">
        <f>equip.xml!A1607</f>
        <v>40453061</v>
      </c>
      <c r="B1603" s="14">
        <f>equip.xml!B1607</f>
        <v>0</v>
      </c>
      <c r="C1603" s="14" t="str">
        <f>equip.xml!C1607</f>
        <v>法术指南</v>
      </c>
      <c r="D1603" s="14" t="str">
        <f>equip.xml!D1607</f>
        <v>副手武器</v>
      </c>
      <c r="E1603" s="14">
        <f>equip.xml!E1607</f>
        <v>6</v>
      </c>
      <c r="F1603" s="14">
        <f>equip.xml!F1607</f>
        <v>4</v>
      </c>
      <c r="G1603" s="14">
        <f>equip.xml!G1607</f>
        <v>45</v>
      </c>
      <c r="H1603" s="14" t="str">
        <f>equip.xml!H1607</f>
        <v>3,1003</v>
      </c>
      <c r="I1603" s="14">
        <f>equip.xml!J1607</f>
        <v>50</v>
      </c>
      <c r="J1603" s="14">
        <f>equip.xml!K1607</f>
        <v>500</v>
      </c>
      <c r="K1603" s="14">
        <f>equip.xml!L1607</f>
        <v>27500</v>
      </c>
      <c r="L1603" s="14" t="str">
        <f>equip.xml!M1607</f>
        <v>102_1312_1312</v>
      </c>
      <c r="M1603" s="17" t="str">
        <f>equip.xml!Q1607</f>
        <v>equipment/2301.png</v>
      </c>
      <c r="N1603" s="16" t="str">
        <f>equip.xml!P1607</f>
        <v>10000_1002_45000,30000_30001_1,30000_30002_1,30000_30003_1</v>
      </c>
      <c r="O1603">
        <f>equip.xml!R1607</f>
        <v>0</v>
      </c>
    </row>
    <row r="1604" spans="1:15">
      <c r="A1604" s="14" t="str">
        <f>equip.xml!A1608</f>
        <v>40450040</v>
      </c>
      <c r="B1604" s="14">
        <f>equip.xml!B1608</f>
        <v>1</v>
      </c>
      <c r="C1604" s="14" t="str">
        <f>equip.xml!C1608</f>
        <v>执政官胸甲</v>
      </c>
      <c r="D1604" s="14" t="str">
        <f>equip.xml!D1608</f>
        <v>胸甲</v>
      </c>
      <c r="E1604" s="14">
        <f>equip.xml!E1608</f>
        <v>4</v>
      </c>
      <c r="F1604" s="14">
        <f>equip.xml!F1608</f>
        <v>4</v>
      </c>
      <c r="G1604" s="14">
        <f>equip.xml!G1608</f>
        <v>45</v>
      </c>
      <c r="H1604" s="14">
        <f>equip.xml!H1608</f>
        <v>0</v>
      </c>
      <c r="I1604" s="14">
        <f>equip.xml!J1608</f>
        <v>50</v>
      </c>
      <c r="J1604" s="14">
        <f>equip.xml!K1608</f>
        <v>500</v>
      </c>
      <c r="K1604" s="14">
        <f>equip.xml!L1608</f>
        <v>25000</v>
      </c>
      <c r="L1604" s="14" t="str">
        <f>equip.xml!M1608</f>
        <v>105_628_628</v>
      </c>
      <c r="M1604" s="17" t="str">
        <f>equip.xml!Q1608</f>
        <v>equipment/5013.png</v>
      </c>
      <c r="N1604" s="16" t="str">
        <f>equip.xml!P1608</f>
        <v>10000_1002_45000,30000_30001_1,30000_30002_1,30000_30003_1</v>
      </c>
      <c r="O1604">
        <f>equip.xml!R1608</f>
        <v>0</v>
      </c>
    </row>
    <row r="1605" spans="1:15">
      <c r="A1605" s="14" t="str">
        <f>equip.xml!A1609</f>
        <v>40450041</v>
      </c>
      <c r="B1605" s="14">
        <f>equip.xml!B1609</f>
        <v>1</v>
      </c>
      <c r="C1605" s="14" t="str">
        <f>equip.xml!C1609</f>
        <v>军团胸甲</v>
      </c>
      <c r="D1605" s="14" t="str">
        <f>equip.xml!D1609</f>
        <v>胸甲</v>
      </c>
      <c r="E1605" s="14">
        <f>equip.xml!E1609</f>
        <v>4</v>
      </c>
      <c r="F1605" s="14">
        <f>equip.xml!F1609</f>
        <v>4</v>
      </c>
      <c r="G1605" s="14">
        <f>equip.xml!G1609</f>
        <v>45</v>
      </c>
      <c r="H1605" s="14">
        <f>equip.xml!H1609</f>
        <v>0</v>
      </c>
      <c r="I1605" s="14">
        <f>equip.xml!J1609</f>
        <v>50</v>
      </c>
      <c r="J1605" s="14">
        <f>equip.xml!K1609</f>
        <v>500</v>
      </c>
      <c r="K1605" s="14">
        <f>equip.xml!L1609</f>
        <v>27500</v>
      </c>
      <c r="L1605" s="14" t="str">
        <f>equip.xml!M1609</f>
        <v>105_689_689</v>
      </c>
      <c r="M1605" s="17" t="str">
        <f>equip.xml!Q1609</f>
        <v>equipment/5014.png</v>
      </c>
      <c r="N1605" s="16" t="str">
        <f>equip.xml!P1609</f>
        <v>10000_1002_45000,30000_30001_1,30000_30002_1,30000_30003_1</v>
      </c>
      <c r="O1605">
        <f>equip.xml!R1609</f>
        <v>0</v>
      </c>
    </row>
    <row r="1606" spans="1:15">
      <c r="A1606" s="14" t="str">
        <f>equip.xml!A1610</f>
        <v>40450070</v>
      </c>
      <c r="B1606" s="14">
        <f>equip.xml!B1610</f>
        <v>1</v>
      </c>
      <c r="C1606" s="14" t="str">
        <f>equip.xml!C1610</f>
        <v>冰铸腿铠</v>
      </c>
      <c r="D1606" s="14" t="str">
        <f>equip.xml!D1610</f>
        <v>护腿</v>
      </c>
      <c r="E1606" s="14">
        <f>equip.xml!E1610</f>
        <v>7</v>
      </c>
      <c r="F1606" s="14">
        <f>equip.xml!F1610</f>
        <v>4</v>
      </c>
      <c r="G1606" s="14">
        <f>equip.xml!G1610</f>
        <v>45</v>
      </c>
      <c r="H1606" s="14">
        <f>equip.xml!H1610</f>
        <v>0</v>
      </c>
      <c r="I1606" s="14">
        <f>equip.xml!J1610</f>
        <v>50</v>
      </c>
      <c r="J1606" s="14">
        <f>equip.xml!K1610</f>
        <v>500</v>
      </c>
      <c r="K1606" s="14">
        <f>equip.xml!L1610</f>
        <v>25000</v>
      </c>
      <c r="L1606" s="14" t="str">
        <f>equip.xml!M1610</f>
        <v>105_497_497</v>
      </c>
      <c r="M1606" s="17" t="str">
        <f>equip.xml!Q1610</f>
        <v>equipment/7011.png</v>
      </c>
      <c r="N1606" s="16" t="str">
        <f>equip.xml!P1610</f>
        <v>10000_1002_45000,30000_30001_1,30000_30002_1,30000_30003_1</v>
      </c>
      <c r="O1606">
        <f>equip.xml!R1610</f>
        <v>0</v>
      </c>
    </row>
    <row r="1607" spans="1:15">
      <c r="A1607" s="14" t="str">
        <f>equip.xml!A1611</f>
        <v>40450071</v>
      </c>
      <c r="B1607" s="14">
        <f>equip.xml!B1611</f>
        <v>1</v>
      </c>
      <c r="C1607" s="14" t="str">
        <f>equip.xml!C1611</f>
        <v>织灵护腿</v>
      </c>
      <c r="D1607" s="14" t="str">
        <f>equip.xml!D1611</f>
        <v>护腿</v>
      </c>
      <c r="E1607" s="14">
        <f>equip.xml!E1611</f>
        <v>7</v>
      </c>
      <c r="F1607" s="14">
        <f>equip.xml!F1611</f>
        <v>4</v>
      </c>
      <c r="G1607" s="14">
        <f>equip.xml!G1611</f>
        <v>45</v>
      </c>
      <c r="H1607" s="14">
        <f>equip.xml!H1611</f>
        <v>0</v>
      </c>
      <c r="I1607" s="14">
        <f>equip.xml!J1611</f>
        <v>50</v>
      </c>
      <c r="J1607" s="14">
        <f>equip.xml!K1611</f>
        <v>500</v>
      </c>
      <c r="K1607" s="14">
        <f>equip.xml!L1611</f>
        <v>27500</v>
      </c>
      <c r="L1607" s="14" t="str">
        <f>equip.xml!M1611</f>
        <v>105_549_549</v>
      </c>
      <c r="M1607" s="17" t="str">
        <f>equip.xml!Q1611</f>
        <v>equipment/7010.png</v>
      </c>
      <c r="N1607" s="16" t="str">
        <f>equip.xml!P1611</f>
        <v>10000_1002_45000,30000_30001_1,30000_30002_1,30000_30003_1</v>
      </c>
      <c r="O1607">
        <f>equip.xml!R1611</f>
        <v>0</v>
      </c>
    </row>
    <row r="1608" spans="1:15">
      <c r="A1608" s="14" t="str">
        <f>equip.xml!A1612</f>
        <v>40500010</v>
      </c>
      <c r="B1608" s="14">
        <f>equip.xml!B1612</f>
        <v>1</v>
      </c>
      <c r="C1608" s="14" t="str">
        <f>equip.xml!C1612</f>
        <v>战痕头盔</v>
      </c>
      <c r="D1608" s="14" t="str">
        <f>equip.xml!D1612</f>
        <v>头盔</v>
      </c>
      <c r="E1608" s="14">
        <f>equip.xml!E1612</f>
        <v>1</v>
      </c>
      <c r="F1608" s="14">
        <f>equip.xml!F1612</f>
        <v>4</v>
      </c>
      <c r="G1608" s="14">
        <f>equip.xml!G1612</f>
        <v>50</v>
      </c>
      <c r="H1608" s="14">
        <f>equip.xml!H1612</f>
        <v>0</v>
      </c>
      <c r="I1608" s="14">
        <f>equip.xml!J1612</f>
        <v>50</v>
      </c>
      <c r="J1608" s="14">
        <f>equip.xml!K1612</f>
        <v>500</v>
      </c>
      <c r="K1608" s="14">
        <f>equip.xml!L1612</f>
        <v>27500</v>
      </c>
      <c r="L1608" s="14" t="str">
        <f>equip.xml!M1612</f>
        <v>106_1000_1000</v>
      </c>
      <c r="M1608" s="17" t="str">
        <f>equip.xml!Q1612</f>
        <v>equipment/3008.png</v>
      </c>
      <c r="N1608" s="16" t="str">
        <f>equip.xml!P1612</f>
        <v>10000_1002_50000,30000_30001_1,30000_30002_1,30000_30003_1</v>
      </c>
      <c r="O1608">
        <f>equip.xml!R1612</f>
        <v>0</v>
      </c>
    </row>
    <row r="1609" spans="1:15">
      <c r="A1609" s="14" t="str">
        <f>equip.xml!A1613</f>
        <v>40500020</v>
      </c>
      <c r="B1609" s="14">
        <f>equip.xml!B1613</f>
        <v>1</v>
      </c>
      <c r="C1609" s="14" t="str">
        <f>equip.xml!C1613</f>
        <v>灵风之戒</v>
      </c>
      <c r="D1609" s="14" t="str">
        <f>equip.xml!D1613</f>
        <v>戒指</v>
      </c>
      <c r="E1609" s="14">
        <f>equip.xml!E1613</f>
        <v>2</v>
      </c>
      <c r="F1609" s="14">
        <f>equip.xml!F1613</f>
        <v>4</v>
      </c>
      <c r="G1609" s="14">
        <f>equip.xml!G1613</f>
        <v>50</v>
      </c>
      <c r="H1609" s="14">
        <f>equip.xml!H1613</f>
        <v>0</v>
      </c>
      <c r="I1609" s="14">
        <f>equip.xml!J1613</f>
        <v>50</v>
      </c>
      <c r="J1609" s="14">
        <f>equip.xml!K1613</f>
        <v>500</v>
      </c>
      <c r="K1609" s="14">
        <f>equip.xml!L1613</f>
        <v>27500</v>
      </c>
      <c r="L1609" s="14" t="str">
        <f>equip.xml!M1613</f>
        <v>102_975_975</v>
      </c>
      <c r="M1609" s="17" t="str">
        <f>equip.xml!Q1613</f>
        <v>equipment/14008.png</v>
      </c>
      <c r="N1609" s="16" t="str">
        <f>equip.xml!P1613</f>
        <v>10000_1002_50000,30000_30001_1,30000_30002_1,30000_30003_1</v>
      </c>
      <c r="O1609">
        <f>equip.xml!R1613</f>
        <v>0</v>
      </c>
    </row>
    <row r="1610" spans="1:15">
      <c r="A1610" s="14" t="str">
        <f>equip.xml!A1614</f>
        <v>40500030</v>
      </c>
      <c r="B1610" s="14">
        <f>equip.xml!B1614</f>
        <v>1</v>
      </c>
      <c r="C1610" s="14" t="str">
        <f>equip.xml!C1614</f>
        <v>生命腰带</v>
      </c>
      <c r="D1610" s="14" t="str">
        <f>equip.xml!D1614</f>
        <v>腰带</v>
      </c>
      <c r="E1610" s="14">
        <f>equip.xml!E1614</f>
        <v>3</v>
      </c>
      <c r="F1610" s="14">
        <f>equip.xml!F1614</f>
        <v>4</v>
      </c>
      <c r="G1610" s="14">
        <f>equip.xml!G1614</f>
        <v>50</v>
      </c>
      <c r="H1610" s="14">
        <f>equip.xml!H1614</f>
        <v>0</v>
      </c>
      <c r="I1610" s="14">
        <f>equip.xml!J1614</f>
        <v>50</v>
      </c>
      <c r="J1610" s="14">
        <f>equip.xml!K1614</f>
        <v>500</v>
      </c>
      <c r="K1610" s="14">
        <f>equip.xml!L1614</f>
        <v>27500</v>
      </c>
      <c r="L1610" s="14" t="str">
        <f>equip.xml!M1614</f>
        <v>101_11560_11560</v>
      </c>
      <c r="M1610" s="17" t="str">
        <f>equip.xml!Q1614</f>
        <v>equipment/6009.png</v>
      </c>
      <c r="N1610" s="16" t="str">
        <f>equip.xml!P1614</f>
        <v>10000_1002_50000,30000_30001_1,30000_30002_1,30000_30003_1</v>
      </c>
      <c r="O1610">
        <f>equip.xml!R1614</f>
        <v>0</v>
      </c>
    </row>
    <row r="1611" spans="1:15">
      <c r="A1611" s="14" t="str">
        <f>equip.xml!A1615</f>
        <v>40500080</v>
      </c>
      <c r="B1611" s="14">
        <f>equip.xml!B1615</f>
        <v>1</v>
      </c>
      <c r="C1611" s="14" t="str">
        <f>equip.xml!C1615</f>
        <v>龙鳞护胫</v>
      </c>
      <c r="D1611" s="14" t="str">
        <f>equip.xml!D1615</f>
        <v>鞋子</v>
      </c>
      <c r="E1611" s="14">
        <f>equip.xml!E1615</f>
        <v>8</v>
      </c>
      <c r="F1611" s="14">
        <f>equip.xml!F1615</f>
        <v>4</v>
      </c>
      <c r="G1611" s="14">
        <f>equip.xml!G1615</f>
        <v>50</v>
      </c>
      <c r="H1611" s="14">
        <f>equip.xml!H1615</f>
        <v>0</v>
      </c>
      <c r="I1611" s="14">
        <f>equip.xml!J1615</f>
        <v>50</v>
      </c>
      <c r="J1611" s="14">
        <f>equip.xml!K1615</f>
        <v>500</v>
      </c>
      <c r="K1611" s="14">
        <f>equip.xml!L1615</f>
        <v>27500</v>
      </c>
      <c r="L1611" s="14" t="str">
        <f>equip.xml!M1615</f>
        <v>110_172_172</v>
      </c>
      <c r="M1611" s="17" t="str">
        <f>equip.xml!Q1615</f>
        <v>equipment/8004.png</v>
      </c>
      <c r="N1611" s="16" t="str">
        <f>equip.xml!P1615</f>
        <v>10000_1002_50000,30000_30001_1,30000_30002_1,30000_30003_1</v>
      </c>
      <c r="O1611">
        <f>equip.xml!R1615</f>
        <v>0</v>
      </c>
    </row>
    <row r="1612" spans="1:15">
      <c r="A1612" s="14" t="str">
        <f>equip.xml!A1616</f>
        <v>40500090</v>
      </c>
      <c r="B1612" s="14">
        <f>equip.xml!B1616</f>
        <v>1</v>
      </c>
      <c r="C1612" s="14" t="str">
        <f>equip.xml!C1616</f>
        <v>血拳手套</v>
      </c>
      <c r="D1612" s="14" t="str">
        <f>equip.xml!D1616</f>
        <v>手套</v>
      </c>
      <c r="E1612" s="14">
        <f>equip.xml!E1616</f>
        <v>9</v>
      </c>
      <c r="F1612" s="14">
        <f>equip.xml!F1616</f>
        <v>4</v>
      </c>
      <c r="G1612" s="14">
        <f>equip.xml!G1616</f>
        <v>50</v>
      </c>
      <c r="H1612" s="14">
        <f>equip.xml!H1616</f>
        <v>0</v>
      </c>
      <c r="I1612" s="14">
        <f>equip.xml!J1616</f>
        <v>50</v>
      </c>
      <c r="J1612" s="14">
        <f>equip.xml!K1616</f>
        <v>500</v>
      </c>
      <c r="K1612" s="14">
        <f>equip.xml!L1616</f>
        <v>27500</v>
      </c>
      <c r="L1612" s="14" t="str">
        <f>equip.xml!M1616</f>
        <v>108_1726_1726</v>
      </c>
      <c r="M1612" s="17" t="str">
        <f>equip.xml!Q1616</f>
        <v>equipment/10009.png</v>
      </c>
      <c r="N1612" s="16" t="str">
        <f>equip.xml!P1616</f>
        <v>10000_1002_50000,30000_30001_1,30000_30002_1,30000_30003_1</v>
      </c>
      <c r="O1612">
        <f>equip.xml!R1616</f>
        <v>0</v>
      </c>
    </row>
    <row r="1613" spans="1:15">
      <c r="A1613" s="14" t="str">
        <f>equip.xml!A1617</f>
        <v>40500100</v>
      </c>
      <c r="B1613" s="14">
        <f>equip.xml!B1617</f>
        <v>1</v>
      </c>
      <c r="C1613" s="14" t="str">
        <f>equip.xml!C1617</f>
        <v>誓言护坠</v>
      </c>
      <c r="D1613" s="14" t="str">
        <f>equip.xml!D1617</f>
        <v>项链</v>
      </c>
      <c r="E1613" s="14">
        <f>equip.xml!E1617</f>
        <v>10</v>
      </c>
      <c r="F1613" s="14">
        <f>equip.xml!F1617</f>
        <v>4</v>
      </c>
      <c r="G1613" s="14">
        <f>equip.xml!G1617</f>
        <v>50</v>
      </c>
      <c r="H1613" s="14">
        <f>equip.xml!H1617</f>
        <v>0</v>
      </c>
      <c r="I1613" s="14">
        <f>equip.xml!J1617</f>
        <v>50</v>
      </c>
      <c r="J1613" s="14">
        <f>equip.xml!K1617</f>
        <v>500</v>
      </c>
      <c r="K1613" s="14">
        <f>equip.xml!L1617</f>
        <v>27500</v>
      </c>
      <c r="L1613" s="14" t="str">
        <f>equip.xml!M1617</f>
        <v>107_1000_1000</v>
      </c>
      <c r="M1613" s="17" t="str">
        <f>equip.xml!Q1617</f>
        <v>equipment/12008.png</v>
      </c>
      <c r="N1613" s="16" t="str">
        <f>equip.xml!P1617</f>
        <v>10000_1002_50000,30000_30001_1,30000_30002_1,30000_30003_1</v>
      </c>
      <c r="O1613">
        <f>equip.xml!R1617</f>
        <v>0</v>
      </c>
    </row>
    <row r="1614" spans="1:15">
      <c r="A1614" s="14" t="str">
        <f>equip.xml!A1618</f>
        <v>40501050</v>
      </c>
      <c r="B1614" s="14">
        <f>equip.xml!B1618</f>
        <v>1</v>
      </c>
      <c r="C1614" s="14" t="str">
        <f>equip.xml!C1618</f>
        <v>黎明之刃</v>
      </c>
      <c r="D1614" s="14" t="str">
        <f>equip.xml!D1618</f>
        <v>主手武器</v>
      </c>
      <c r="E1614" s="14">
        <f>equip.xml!E1618</f>
        <v>5</v>
      </c>
      <c r="F1614" s="14">
        <f>equip.xml!F1618</f>
        <v>4</v>
      </c>
      <c r="G1614" s="14">
        <f>equip.xml!G1618</f>
        <v>50</v>
      </c>
      <c r="H1614" s="14" t="str">
        <f>equip.xml!H1618</f>
        <v>1,1001</v>
      </c>
      <c r="I1614" s="14">
        <f>equip.xml!J1618</f>
        <v>50</v>
      </c>
      <c r="J1614" s="14">
        <f>equip.xml!K1618</f>
        <v>500</v>
      </c>
      <c r="K1614" s="14">
        <f>equip.xml!L1618</f>
        <v>27500</v>
      </c>
      <c r="L1614" s="14" t="str">
        <f>equip.xml!M1618</f>
        <v>103_1097_1097,104_2194_2194</v>
      </c>
      <c r="M1614" s="17" t="str">
        <f>equip.xml!Q1618</f>
        <v>equipment/1119.png</v>
      </c>
      <c r="N1614" s="16" t="str">
        <f>equip.xml!P1618</f>
        <v>10000_1002_50000,30000_30001_1,30000_30002_1,30000_30003_1</v>
      </c>
      <c r="O1614">
        <f>equip.xml!R1618</f>
        <v>0</v>
      </c>
    </row>
    <row r="1615" spans="1:15">
      <c r="A1615" s="14" t="str">
        <f>equip.xml!A1619</f>
        <v>40501051</v>
      </c>
      <c r="B1615" s="14">
        <f>equip.xml!B1619</f>
        <v>1</v>
      </c>
      <c r="C1615" s="14" t="str">
        <f>equip.xml!C1619</f>
        <v>放逐者之刃</v>
      </c>
      <c r="D1615" s="14" t="str">
        <f>equip.xml!D1619</f>
        <v>主手武器</v>
      </c>
      <c r="E1615" s="14">
        <f>equip.xml!E1619</f>
        <v>5</v>
      </c>
      <c r="F1615" s="14">
        <f>equip.xml!F1619</f>
        <v>4</v>
      </c>
      <c r="G1615" s="14">
        <f>equip.xml!G1619</f>
        <v>50</v>
      </c>
      <c r="H1615" s="14" t="str">
        <f>equip.xml!H1619</f>
        <v>1,1001</v>
      </c>
      <c r="I1615" s="14">
        <f>equip.xml!J1619</f>
        <v>50</v>
      </c>
      <c r="J1615" s="14">
        <f>equip.xml!K1619</f>
        <v>500</v>
      </c>
      <c r="K1615" s="14">
        <f>equip.xml!L1619</f>
        <v>30000</v>
      </c>
      <c r="L1615" s="14" t="str">
        <f>equip.xml!M1619</f>
        <v>103_1222_1222,104_2444_2444</v>
      </c>
      <c r="M1615" s="17" t="str">
        <f>equip.xml!Q1619</f>
        <v>equipment/1120.png</v>
      </c>
      <c r="N1615" s="16" t="str">
        <f>equip.xml!P1619</f>
        <v>10000_1002_50000,30000_30001_1,30000_30002_1,30000_30003_1</v>
      </c>
      <c r="O1615">
        <f>equip.xml!R1619</f>
        <v>0</v>
      </c>
    </row>
    <row r="1616" spans="1:15">
      <c r="A1616" s="14" t="str">
        <f>equip.xml!A1620</f>
        <v>40501060</v>
      </c>
      <c r="B1616" s="14">
        <f>equip.xml!B1620</f>
        <v>1</v>
      </c>
      <c r="C1616" s="14" t="str">
        <f>equip.xml!C1620</f>
        <v>魂祭之盾</v>
      </c>
      <c r="D1616" s="14" t="str">
        <f>equip.xml!D1620</f>
        <v>副手武器</v>
      </c>
      <c r="E1616" s="14">
        <f>equip.xml!E1620</f>
        <v>6</v>
      </c>
      <c r="F1616" s="14">
        <f>equip.xml!F1620</f>
        <v>4</v>
      </c>
      <c r="G1616" s="14">
        <f>equip.xml!G1620</f>
        <v>50</v>
      </c>
      <c r="H1616" s="14" t="str">
        <f>equip.xml!H1620</f>
        <v>1,1001</v>
      </c>
      <c r="I1616" s="14">
        <f>equip.xml!J1620</f>
        <v>50</v>
      </c>
      <c r="J1616" s="14">
        <f>equip.xml!K1620</f>
        <v>500</v>
      </c>
      <c r="K1616" s="14">
        <f>equip.xml!L1620</f>
        <v>27500</v>
      </c>
      <c r="L1616" s="14" t="str">
        <f>equip.xml!M1620</f>
        <v>105_1401_1401</v>
      </c>
      <c r="M1616" s="17" t="str">
        <f>equip.xml!Q1620</f>
        <v>equipment/2111.png</v>
      </c>
      <c r="N1616" s="16" t="str">
        <f>equip.xml!P1620</f>
        <v>10000_1002_50000,30000_30001_1,30000_30002_1,30000_30003_1</v>
      </c>
      <c r="O1616">
        <f>equip.xml!R1620</f>
        <v>0</v>
      </c>
    </row>
    <row r="1617" spans="1:15">
      <c r="A1617" s="14" t="str">
        <f>equip.xml!A1621</f>
        <v>40501061</v>
      </c>
      <c r="B1617" s="14">
        <f>equip.xml!B1621</f>
        <v>1</v>
      </c>
      <c r="C1617" s="14" t="str">
        <f>equip.xml!C1621</f>
        <v>氪金大盾</v>
      </c>
      <c r="D1617" s="14" t="str">
        <f>equip.xml!D1621</f>
        <v>副手武器</v>
      </c>
      <c r="E1617" s="14">
        <f>equip.xml!E1621</f>
        <v>6</v>
      </c>
      <c r="F1617" s="14">
        <f>equip.xml!F1621</f>
        <v>4</v>
      </c>
      <c r="G1617" s="14">
        <f>equip.xml!G1621</f>
        <v>50</v>
      </c>
      <c r="H1617" s="14" t="str">
        <f>equip.xml!H1621</f>
        <v>1,1001</v>
      </c>
      <c r="I1617" s="14">
        <f>equip.xml!J1621</f>
        <v>50</v>
      </c>
      <c r="J1617" s="14">
        <f>equip.xml!K1621</f>
        <v>500</v>
      </c>
      <c r="K1617" s="14">
        <f>equip.xml!L1621</f>
        <v>30000</v>
      </c>
      <c r="L1617" s="14" t="str">
        <f>equip.xml!M1621</f>
        <v>105_1633_1633</v>
      </c>
      <c r="M1617" s="17" t="str">
        <f>equip.xml!Q1621</f>
        <v>equipment/2112.png</v>
      </c>
      <c r="N1617" s="16" t="str">
        <f>equip.xml!P1621</f>
        <v>10000_1002_50000,30000_30001_1,30000_30002_1,30000_30003_1</v>
      </c>
      <c r="O1617">
        <f>equip.xml!R1621</f>
        <v>0</v>
      </c>
    </row>
    <row r="1618" spans="1:15">
      <c r="A1618" s="14" t="str">
        <f>equip.xml!A1622</f>
        <v>40502050</v>
      </c>
      <c r="B1618" s="14">
        <f>equip.xml!B1622</f>
        <v>1</v>
      </c>
      <c r="C1618" s="14" t="str">
        <f>equip.xml!C1622</f>
        <v>觅心者长弓</v>
      </c>
      <c r="D1618" s="14" t="str">
        <f>equip.xml!D1622</f>
        <v>主手武器</v>
      </c>
      <c r="E1618" s="14">
        <f>equip.xml!E1622</f>
        <v>5</v>
      </c>
      <c r="F1618" s="14">
        <f>equip.xml!F1622</f>
        <v>4</v>
      </c>
      <c r="G1618" s="14">
        <f>equip.xml!G1622</f>
        <v>50</v>
      </c>
      <c r="H1618" s="14" t="str">
        <f>equip.xml!H1622</f>
        <v>2,1002</v>
      </c>
      <c r="I1618" s="14">
        <f>equip.xml!J1622</f>
        <v>50</v>
      </c>
      <c r="J1618" s="14">
        <f>equip.xml!K1622</f>
        <v>500</v>
      </c>
      <c r="K1618" s="14">
        <f>equip.xml!L1622</f>
        <v>27500</v>
      </c>
      <c r="L1618" s="14" t="str">
        <f>equip.xml!M1622</f>
        <v>103_1097_1097,104_2194_2194</v>
      </c>
      <c r="M1618" s="17" t="str">
        <f>equip.xml!Q1622</f>
        <v>equipment/1218.png</v>
      </c>
      <c r="N1618" s="16" t="str">
        <f>equip.xml!P1622</f>
        <v>10000_1002_50000,30000_30001_1,30000_30002_1,30000_30003_1</v>
      </c>
      <c r="O1618">
        <f>equip.xml!R1622</f>
        <v>0</v>
      </c>
    </row>
    <row r="1619" spans="1:15">
      <c r="A1619" s="14" t="str">
        <f>equip.xml!A1623</f>
        <v>40502051</v>
      </c>
      <c r="B1619" s="14">
        <f>equip.xml!B1623</f>
        <v>1</v>
      </c>
      <c r="C1619" s="14" t="str">
        <f>equip.xml!C1623</f>
        <v>阳炎之弓</v>
      </c>
      <c r="D1619" s="14" t="str">
        <f>equip.xml!D1623</f>
        <v>主手武器</v>
      </c>
      <c r="E1619" s="14">
        <f>equip.xml!E1623</f>
        <v>5</v>
      </c>
      <c r="F1619" s="14">
        <f>equip.xml!F1623</f>
        <v>4</v>
      </c>
      <c r="G1619" s="14">
        <f>equip.xml!G1623</f>
        <v>50</v>
      </c>
      <c r="H1619" s="14" t="str">
        <f>equip.xml!H1623</f>
        <v>2,1002</v>
      </c>
      <c r="I1619" s="14">
        <f>equip.xml!J1623</f>
        <v>50</v>
      </c>
      <c r="J1619" s="14">
        <f>equip.xml!K1623</f>
        <v>500</v>
      </c>
      <c r="K1619" s="14">
        <f>equip.xml!L1623</f>
        <v>30000</v>
      </c>
      <c r="L1619" s="14" t="str">
        <f>equip.xml!M1623</f>
        <v>103_1222_1222,104_2444_2444</v>
      </c>
      <c r="M1619" s="17" t="str">
        <f>equip.xml!Q1623</f>
        <v>equipment/1221.png</v>
      </c>
      <c r="N1619" s="16" t="str">
        <f>equip.xml!P1623</f>
        <v>10000_1002_50000,30000_30001_1,30000_30002_1,30000_30003_1</v>
      </c>
      <c r="O1619">
        <f>equip.xml!R1623</f>
        <v>0</v>
      </c>
    </row>
    <row r="1620" spans="1:15">
      <c r="A1620" s="14" t="str">
        <f>equip.xml!A1624</f>
        <v>40502060</v>
      </c>
      <c r="B1620" s="14">
        <f>equip.xml!B1624</f>
        <v>1</v>
      </c>
      <c r="C1620" s="14" t="str">
        <f>equip.xml!C1624</f>
        <v>黑骨箭袋</v>
      </c>
      <c r="D1620" s="14" t="str">
        <f>equip.xml!D1624</f>
        <v>副手武器</v>
      </c>
      <c r="E1620" s="14">
        <f>equip.xml!E1624</f>
        <v>6</v>
      </c>
      <c r="F1620" s="14">
        <f>equip.xml!F1624</f>
        <v>4</v>
      </c>
      <c r="G1620" s="14">
        <f>equip.xml!G1624</f>
        <v>50</v>
      </c>
      <c r="H1620" s="14" t="str">
        <f>equip.xml!H1624</f>
        <v>2,1002</v>
      </c>
      <c r="I1620" s="14">
        <f>equip.xml!J1624</f>
        <v>50</v>
      </c>
      <c r="J1620" s="14">
        <f>equip.xml!K1624</f>
        <v>500</v>
      </c>
      <c r="K1620" s="14">
        <f>equip.xml!L1624</f>
        <v>27500</v>
      </c>
      <c r="L1620" s="14" t="str">
        <f>equip.xml!M1624</f>
        <v>108_1401_1401</v>
      </c>
      <c r="M1620" s="17" t="str">
        <f>equip.xml!Q1624</f>
        <v>equipment/2210.png</v>
      </c>
      <c r="N1620" s="16" t="str">
        <f>equip.xml!P1624</f>
        <v>10000_1002_50000,30000_30001_1,30000_30002_1,30000_30003_1</v>
      </c>
      <c r="O1620">
        <f>equip.xml!R1624</f>
        <v>0</v>
      </c>
    </row>
    <row r="1621" spans="1:15">
      <c r="A1621" s="14" t="str">
        <f>equip.xml!A1625</f>
        <v>40502061</v>
      </c>
      <c r="B1621" s="14">
        <f>equip.xml!B1625</f>
        <v>1</v>
      </c>
      <c r="C1621" s="14" t="str">
        <f>equip.xml!C1625</f>
        <v>符文箭筒</v>
      </c>
      <c r="D1621" s="14" t="str">
        <f>equip.xml!D1625</f>
        <v>副手武器</v>
      </c>
      <c r="E1621" s="14">
        <f>equip.xml!E1625</f>
        <v>6</v>
      </c>
      <c r="F1621" s="14">
        <f>equip.xml!F1625</f>
        <v>4</v>
      </c>
      <c r="G1621" s="14">
        <f>equip.xml!G1625</f>
        <v>50</v>
      </c>
      <c r="H1621" s="14" t="str">
        <f>equip.xml!H1625</f>
        <v>2,1002</v>
      </c>
      <c r="I1621" s="14">
        <f>equip.xml!J1625</f>
        <v>50</v>
      </c>
      <c r="J1621" s="14">
        <f>equip.xml!K1625</f>
        <v>500</v>
      </c>
      <c r="K1621" s="14">
        <f>equip.xml!L1625</f>
        <v>30000</v>
      </c>
      <c r="L1621" s="14" t="str">
        <f>equip.xml!M1625</f>
        <v>108_1633_1633</v>
      </c>
      <c r="M1621" s="17" t="str">
        <f>equip.xml!Q1625</f>
        <v>equipment/2212.png</v>
      </c>
      <c r="N1621" s="16" t="str">
        <f>equip.xml!P1625</f>
        <v>10000_1002_50000,30000_30001_1,30000_30002_1,30000_30003_1</v>
      </c>
      <c r="O1621">
        <f>equip.xml!R1625</f>
        <v>0</v>
      </c>
    </row>
    <row r="1622" spans="1:15">
      <c r="A1622" s="14" t="str">
        <f>equip.xml!A1626</f>
        <v>40503050</v>
      </c>
      <c r="B1622" s="14">
        <f>equip.xml!B1626</f>
        <v>1</v>
      </c>
      <c r="C1622" s="14" t="str">
        <f>equip.xml!C1626</f>
        <v>虚灵法杖</v>
      </c>
      <c r="D1622" s="14" t="str">
        <f>equip.xml!D1626</f>
        <v>主手武器</v>
      </c>
      <c r="E1622" s="14">
        <f>equip.xml!E1626</f>
        <v>5</v>
      </c>
      <c r="F1622" s="14">
        <f>equip.xml!F1626</f>
        <v>4</v>
      </c>
      <c r="G1622" s="14">
        <f>equip.xml!G1626</f>
        <v>50</v>
      </c>
      <c r="H1622" s="14" t="str">
        <f>equip.xml!H1626</f>
        <v>3,1003</v>
      </c>
      <c r="I1622" s="14">
        <f>equip.xml!J1626</f>
        <v>50</v>
      </c>
      <c r="J1622" s="14">
        <f>equip.xml!K1626</f>
        <v>500</v>
      </c>
      <c r="K1622" s="14">
        <f>equip.xml!L1626</f>
        <v>27500</v>
      </c>
      <c r="L1622" s="14" t="str">
        <f>equip.xml!M1626</f>
        <v>103_1097_1097,104_2194_2194</v>
      </c>
      <c r="M1622" s="17" t="str">
        <f>equip.xml!Q1626</f>
        <v>equipment/1319.png</v>
      </c>
      <c r="N1622" s="16" t="str">
        <f>equip.xml!P1626</f>
        <v>10000_1002_50000,30000_30001_1,30000_30002_1,30000_30003_1</v>
      </c>
      <c r="O1622">
        <f>equip.xml!R1626</f>
        <v>0</v>
      </c>
    </row>
    <row r="1623" spans="1:15">
      <c r="A1623" s="14" t="str">
        <f>equip.xml!A1627</f>
        <v>40503051</v>
      </c>
      <c r="B1623" s="14">
        <f>equip.xml!B1627</f>
        <v>1</v>
      </c>
      <c r="C1623" s="14" t="str">
        <f>equip.xml!C1627</f>
        <v>恒光巨杖</v>
      </c>
      <c r="D1623" s="14" t="str">
        <f>equip.xml!D1627</f>
        <v>主手武器</v>
      </c>
      <c r="E1623" s="14">
        <f>equip.xml!E1627</f>
        <v>5</v>
      </c>
      <c r="F1623" s="14">
        <f>equip.xml!F1627</f>
        <v>4</v>
      </c>
      <c r="G1623" s="14">
        <f>equip.xml!G1627</f>
        <v>50</v>
      </c>
      <c r="H1623" s="14" t="str">
        <f>equip.xml!H1627</f>
        <v>3,1003</v>
      </c>
      <c r="I1623" s="14">
        <f>equip.xml!J1627</f>
        <v>50</v>
      </c>
      <c r="J1623" s="14">
        <f>equip.xml!K1627</f>
        <v>500</v>
      </c>
      <c r="K1623" s="14">
        <f>equip.xml!L1627</f>
        <v>30000</v>
      </c>
      <c r="L1623" s="14" t="str">
        <f>equip.xml!M1627</f>
        <v>103_1222_1222,104_2444_2444</v>
      </c>
      <c r="M1623" s="17" t="str">
        <f>equip.xml!Q1627</f>
        <v>equipment/1320.png</v>
      </c>
      <c r="N1623" s="16" t="str">
        <f>equip.xml!P1627</f>
        <v>10000_1002_50000,30000_30001_1,30000_30002_1,30000_30003_1</v>
      </c>
      <c r="O1623">
        <f>equip.xml!R1627</f>
        <v>0</v>
      </c>
    </row>
    <row r="1624" spans="1:15">
      <c r="A1624" s="14" t="str">
        <f>equip.xml!A1628</f>
        <v>40503060</v>
      </c>
      <c r="B1624" s="14">
        <f>equip.xml!B1628</f>
        <v>1</v>
      </c>
      <c r="C1624" s="14" t="str">
        <f>equip.xml!C1628</f>
        <v>幻术之书</v>
      </c>
      <c r="D1624" s="14" t="str">
        <f>equip.xml!D1628</f>
        <v>副手武器</v>
      </c>
      <c r="E1624" s="14">
        <f>equip.xml!E1628</f>
        <v>6</v>
      </c>
      <c r="F1624" s="14">
        <f>equip.xml!F1628</f>
        <v>4</v>
      </c>
      <c r="G1624" s="14">
        <f>equip.xml!G1628</f>
        <v>50</v>
      </c>
      <c r="H1624" s="14" t="str">
        <f>equip.xml!H1628</f>
        <v>3,1003</v>
      </c>
      <c r="I1624" s="14">
        <f>equip.xml!J1628</f>
        <v>50</v>
      </c>
      <c r="J1624" s="14">
        <f>equip.xml!K1628</f>
        <v>500</v>
      </c>
      <c r="K1624" s="14">
        <f>equip.xml!L1628</f>
        <v>27500</v>
      </c>
      <c r="L1624" s="14" t="str">
        <f>equip.xml!M1628</f>
        <v>102_1440_1440</v>
      </c>
      <c r="M1624" s="17" t="str">
        <f>equip.xml!Q1628</f>
        <v>equipment/2311.png</v>
      </c>
      <c r="N1624" s="16" t="str">
        <f>equip.xml!P1628</f>
        <v>10000_1002_50000,30000_30001_1,30000_30002_1,30000_30003_1</v>
      </c>
      <c r="O1624">
        <f>equip.xml!R1628</f>
        <v>0</v>
      </c>
    </row>
    <row r="1625" spans="1:15">
      <c r="A1625" s="14" t="str">
        <f>equip.xml!A1629</f>
        <v>40503061</v>
      </c>
      <c r="B1625" s="14">
        <f>equip.xml!B1629</f>
        <v>1</v>
      </c>
      <c r="C1625" s="14" t="str">
        <f>equip.xml!C1629</f>
        <v>护咒之书</v>
      </c>
      <c r="D1625" s="14" t="str">
        <f>equip.xml!D1629</f>
        <v>副手武器</v>
      </c>
      <c r="E1625" s="14">
        <f>equip.xml!E1629</f>
        <v>6</v>
      </c>
      <c r="F1625" s="14">
        <f>equip.xml!F1629</f>
        <v>4</v>
      </c>
      <c r="G1625" s="14">
        <f>equip.xml!G1629</f>
        <v>50</v>
      </c>
      <c r="H1625" s="14" t="str">
        <f>equip.xml!H1629</f>
        <v>3,1003</v>
      </c>
      <c r="I1625" s="14">
        <f>equip.xml!J1629</f>
        <v>50</v>
      </c>
      <c r="J1625" s="14">
        <f>equip.xml!K1629</f>
        <v>500</v>
      </c>
      <c r="K1625" s="14">
        <f>equip.xml!L1629</f>
        <v>30000</v>
      </c>
      <c r="L1625" s="14" t="str">
        <f>equip.xml!M1629</f>
        <v>102_1633_1633</v>
      </c>
      <c r="M1625" s="17" t="str">
        <f>equip.xml!Q1629</f>
        <v>equipment/2312.png</v>
      </c>
      <c r="N1625" s="16" t="str">
        <f>equip.xml!P1629</f>
        <v>10000_1002_50000,30000_30001_1,30000_30002_1,30000_30003_1</v>
      </c>
      <c r="O1625">
        <f>equip.xml!R1629</f>
        <v>0</v>
      </c>
    </row>
    <row r="1626" spans="1:15">
      <c r="A1626" s="14" t="str">
        <f>equip.xml!A1630</f>
        <v>40500040</v>
      </c>
      <c r="B1626" s="14">
        <f>equip.xml!B1630</f>
        <v>1</v>
      </c>
      <c r="C1626" s="14" t="str">
        <f>equip.xml!C1630</f>
        <v>皇家护胸</v>
      </c>
      <c r="D1626" s="14" t="str">
        <f>equip.xml!D1630</f>
        <v>胸甲</v>
      </c>
      <c r="E1626" s="14">
        <f>equip.xml!E1630</f>
        <v>4</v>
      </c>
      <c r="F1626" s="14">
        <f>equip.xml!F1630</f>
        <v>4</v>
      </c>
      <c r="G1626" s="14">
        <f>equip.xml!G1630</f>
        <v>50</v>
      </c>
      <c r="H1626" s="14">
        <f>equip.xml!H1630</f>
        <v>0</v>
      </c>
      <c r="I1626" s="14">
        <f>equip.xml!J1630</f>
        <v>50</v>
      </c>
      <c r="J1626" s="14">
        <f>equip.xml!K1630</f>
        <v>500</v>
      </c>
      <c r="K1626" s="14">
        <f>equip.xml!L1630</f>
        <v>27500</v>
      </c>
      <c r="L1626" s="14" t="str">
        <f>equip.xml!M1630</f>
        <v>105_780_780</v>
      </c>
      <c r="M1626" s="17" t="str">
        <f>equip.xml!Q1630</f>
        <v>equipment/5003.png</v>
      </c>
      <c r="N1626" s="16" t="str">
        <f>equip.xml!P1630</f>
        <v>10000_1002_50000,30000_30001_1,30000_30002_1,30000_30003_1</v>
      </c>
      <c r="O1626">
        <f>equip.xml!R1630</f>
        <v>0</v>
      </c>
    </row>
    <row r="1627" spans="1:15">
      <c r="A1627" s="14" t="str">
        <f>equip.xml!A1631</f>
        <v>40500041</v>
      </c>
      <c r="B1627" s="14">
        <f>equip.xml!B1631</f>
        <v>0</v>
      </c>
      <c r="C1627" s="14" t="str">
        <f>equip.xml!C1631</f>
        <v>新兵外套</v>
      </c>
      <c r="D1627" s="14" t="str">
        <f>equip.xml!D1631</f>
        <v>胸甲</v>
      </c>
      <c r="E1627" s="14">
        <f>equip.xml!E1631</f>
        <v>4</v>
      </c>
      <c r="F1627" s="14">
        <f>equip.xml!F1631</f>
        <v>4</v>
      </c>
      <c r="G1627" s="14">
        <f>equip.xml!G1631</f>
        <v>50</v>
      </c>
      <c r="H1627" s="14">
        <f>equip.xml!H1631</f>
        <v>0</v>
      </c>
      <c r="I1627" s="14">
        <f>equip.xml!J1631</f>
        <v>50</v>
      </c>
      <c r="J1627" s="14">
        <f>equip.xml!K1631</f>
        <v>500</v>
      </c>
      <c r="K1627" s="14">
        <f>equip.xml!L1631</f>
        <v>30000</v>
      </c>
      <c r="L1627" s="14" t="str">
        <f>equip.xml!M1631</f>
        <v>105_929_929</v>
      </c>
      <c r="M1627" s="17" t="str">
        <f>equip.xml!Q1631</f>
        <v>equipment/5001.png</v>
      </c>
      <c r="N1627" s="16" t="str">
        <f>equip.xml!P1631</f>
        <v>10000_1002_50000,30000_30001_1,30000_30002_1,30000_30003_1</v>
      </c>
      <c r="O1627">
        <f>equip.xml!R1631</f>
        <v>0</v>
      </c>
    </row>
    <row r="1628" spans="1:15">
      <c r="A1628" s="14" t="str">
        <f>equip.xml!A1632</f>
        <v>40500070</v>
      </c>
      <c r="B1628" s="14">
        <f>equip.xml!B1632</f>
        <v>1</v>
      </c>
      <c r="C1628" s="14" t="str">
        <f>equip.xml!C1632</f>
        <v>凯旋腿甲</v>
      </c>
      <c r="D1628" s="14" t="str">
        <f>equip.xml!D1632</f>
        <v>护腿</v>
      </c>
      <c r="E1628" s="14">
        <f>equip.xml!E1632</f>
        <v>7</v>
      </c>
      <c r="F1628" s="14">
        <f>equip.xml!F1632</f>
        <v>4</v>
      </c>
      <c r="G1628" s="14">
        <f>equip.xml!G1632</f>
        <v>50</v>
      </c>
      <c r="H1628" s="14">
        <f>equip.xml!H1632</f>
        <v>0</v>
      </c>
      <c r="I1628" s="14">
        <f>equip.xml!J1632</f>
        <v>50</v>
      </c>
      <c r="J1628" s="14">
        <f>equip.xml!K1632</f>
        <v>500</v>
      </c>
      <c r="K1628" s="14">
        <f>equip.xml!L1632</f>
        <v>27500</v>
      </c>
      <c r="L1628" s="14" t="str">
        <f>equip.xml!M1632</f>
        <v>105_628_628</v>
      </c>
      <c r="M1628" s="17" t="str">
        <f>equip.xml!Q1632</f>
        <v>equipment/7012.png</v>
      </c>
      <c r="N1628" s="16" t="str">
        <f>equip.xml!P1632</f>
        <v>10000_1002_50000,30000_30001_1,30000_30002_1,30000_30003_1</v>
      </c>
      <c r="O1628">
        <f>equip.xml!R1632</f>
        <v>0</v>
      </c>
    </row>
    <row r="1629" spans="1:15">
      <c r="A1629" s="14" t="str">
        <f>equip.xml!A1633</f>
        <v>40500071</v>
      </c>
      <c r="B1629" s="14">
        <f>equip.xml!B1633</f>
        <v>0</v>
      </c>
      <c r="C1629" s="14" t="str">
        <f>equip.xml!C1633</f>
        <v>学徒短裤</v>
      </c>
      <c r="D1629" s="14" t="str">
        <f>equip.xml!D1633</f>
        <v>护腿</v>
      </c>
      <c r="E1629" s="14">
        <f>equip.xml!E1633</f>
        <v>7</v>
      </c>
      <c r="F1629" s="14">
        <f>equip.xml!F1633</f>
        <v>4</v>
      </c>
      <c r="G1629" s="14">
        <f>equip.xml!G1633</f>
        <v>50</v>
      </c>
      <c r="H1629" s="14">
        <f>equip.xml!H1633</f>
        <v>0</v>
      </c>
      <c r="I1629" s="14">
        <f>equip.xml!J1633</f>
        <v>50</v>
      </c>
      <c r="J1629" s="14">
        <f>equip.xml!K1633</f>
        <v>500</v>
      </c>
      <c r="K1629" s="14">
        <f>equip.xml!L1633</f>
        <v>30000</v>
      </c>
      <c r="L1629" s="14" t="str">
        <f>equip.xml!M1633</f>
        <v>105_689_689</v>
      </c>
      <c r="M1629" s="17" t="str">
        <f>equip.xml!Q1633</f>
        <v>equipment/7001.png</v>
      </c>
      <c r="N1629" s="16" t="str">
        <f>equip.xml!P1633</f>
        <v>10000_1002_50000,30000_30001_1,30000_30002_1,30000_30003_1</v>
      </c>
      <c r="O1629">
        <f>equip.xml!R1633</f>
        <v>0</v>
      </c>
    </row>
    <row r="1630" spans="1:15">
      <c r="A1630" s="14" t="str">
        <f>equip.xml!A1634</f>
        <v>40550010</v>
      </c>
      <c r="B1630" s="14">
        <f>equip.xml!B1634</f>
        <v>1</v>
      </c>
      <c r="C1630" s="14" t="str">
        <f>equip.xml!C1634</f>
        <v>银月头盔</v>
      </c>
      <c r="D1630" s="14" t="str">
        <f>equip.xml!D1634</f>
        <v>头盔</v>
      </c>
      <c r="E1630" s="14">
        <f>equip.xml!E1634</f>
        <v>1</v>
      </c>
      <c r="F1630" s="14">
        <f>equip.xml!F1634</f>
        <v>4</v>
      </c>
      <c r="G1630" s="14">
        <f>equip.xml!G1634</f>
        <v>55</v>
      </c>
      <c r="H1630" s="14">
        <f>equip.xml!H1634</f>
        <v>0</v>
      </c>
      <c r="I1630" s="14">
        <f>equip.xml!J1634</f>
        <v>50</v>
      </c>
      <c r="J1630" s="14">
        <f>equip.xml!K1634</f>
        <v>500</v>
      </c>
      <c r="K1630" s="14">
        <f>equip.xml!L1634</f>
        <v>30000</v>
      </c>
      <c r="L1630" s="14" t="str">
        <f>equip.xml!M1634</f>
        <v>106_1291_1291</v>
      </c>
      <c r="M1630" s="17" t="str">
        <f>equip.xml!Q1634</f>
        <v>equipment/3009.png</v>
      </c>
      <c r="N1630" s="16" t="str">
        <f>equip.xml!P1634</f>
        <v>10000_1002_55000,30000_30001_1,30000_30002_1,30000_30003_1</v>
      </c>
      <c r="O1630">
        <f>equip.xml!R1634</f>
        <v>0</v>
      </c>
    </row>
    <row r="1631" spans="1:15">
      <c r="A1631" s="14" t="str">
        <f>equip.xml!A1635</f>
        <v>40550020</v>
      </c>
      <c r="B1631" s="14">
        <f>equip.xml!B1635</f>
        <v>1</v>
      </c>
      <c r="C1631" s="14" t="str">
        <f>equip.xml!C1635</f>
        <v>镇魂之戒</v>
      </c>
      <c r="D1631" s="14" t="str">
        <f>equip.xml!D1635</f>
        <v>戒指</v>
      </c>
      <c r="E1631" s="14">
        <f>equip.xml!E1635</f>
        <v>2</v>
      </c>
      <c r="F1631" s="14">
        <f>equip.xml!F1635</f>
        <v>4</v>
      </c>
      <c r="G1631" s="14">
        <f>equip.xml!G1635</f>
        <v>55</v>
      </c>
      <c r="H1631" s="14">
        <f>equip.xml!H1635</f>
        <v>0</v>
      </c>
      <c r="I1631" s="14">
        <f>equip.xml!J1635</f>
        <v>50</v>
      </c>
      <c r="J1631" s="14">
        <f>equip.xml!K1635</f>
        <v>500</v>
      </c>
      <c r="K1631" s="14">
        <f>equip.xml!L1635</f>
        <v>30000</v>
      </c>
      <c r="L1631" s="14" t="str">
        <f>equip.xml!M1635</f>
        <v>102_1080_1080</v>
      </c>
      <c r="M1631" s="17" t="str">
        <f>equip.xml!Q1635</f>
        <v>equipment/14009.png</v>
      </c>
      <c r="N1631" s="16" t="str">
        <f>equip.xml!P1635</f>
        <v>10000_1002_55000,30000_30001_1,30000_30002_1,30000_30003_1</v>
      </c>
      <c r="O1631">
        <f>equip.xml!R1635</f>
        <v>0</v>
      </c>
    </row>
    <row r="1632" spans="1:15">
      <c r="A1632" s="14" t="str">
        <f>equip.xml!A1636</f>
        <v>40550030</v>
      </c>
      <c r="B1632" s="14">
        <f>equip.xml!B1636</f>
        <v>1</v>
      </c>
      <c r="C1632" s="14" t="str">
        <f>equip.xml!C1636</f>
        <v>魔鳞腰带</v>
      </c>
      <c r="D1632" s="14" t="str">
        <f>equip.xml!D1636</f>
        <v>腰带</v>
      </c>
      <c r="E1632" s="14">
        <f>equip.xml!E1636</f>
        <v>3</v>
      </c>
      <c r="F1632" s="14">
        <f>equip.xml!F1636</f>
        <v>4</v>
      </c>
      <c r="G1632" s="14">
        <f>equip.xml!G1636</f>
        <v>55</v>
      </c>
      <c r="H1632" s="14">
        <f>equip.xml!H1636</f>
        <v>0</v>
      </c>
      <c r="I1632" s="14">
        <f>equip.xml!J1636</f>
        <v>50</v>
      </c>
      <c r="J1632" s="14">
        <f>equip.xml!K1636</f>
        <v>500</v>
      </c>
      <c r="K1632" s="14">
        <f>equip.xml!L1636</f>
        <v>30000</v>
      </c>
      <c r="L1632" s="14" t="str">
        <f>equip.xml!M1636</f>
        <v>101_12800_12800</v>
      </c>
      <c r="M1632" s="17" t="str">
        <f>equip.xml!Q1636</f>
        <v>equipment/6004.png</v>
      </c>
      <c r="N1632" s="16" t="str">
        <f>equip.xml!P1636</f>
        <v>10000_1002_55000,30000_30001_1,30000_30002_1,30000_30003_1</v>
      </c>
      <c r="O1632">
        <f>equip.xml!R1636</f>
        <v>0</v>
      </c>
    </row>
    <row r="1633" spans="1:15">
      <c r="A1633" s="14" t="str">
        <f>equip.xml!A1637</f>
        <v>40550080</v>
      </c>
      <c r="B1633" s="14">
        <f>equip.xml!B1637</f>
        <v>1</v>
      </c>
      <c r="C1633" s="14" t="str">
        <f>equip.xml!C1637</f>
        <v>天行者之靴</v>
      </c>
      <c r="D1633" s="14" t="str">
        <f>equip.xml!D1637</f>
        <v>鞋子</v>
      </c>
      <c r="E1633" s="14">
        <f>equip.xml!E1637</f>
        <v>8</v>
      </c>
      <c r="F1633" s="14">
        <f>equip.xml!F1637</f>
        <v>4</v>
      </c>
      <c r="G1633" s="14">
        <f>equip.xml!G1637</f>
        <v>55</v>
      </c>
      <c r="H1633" s="14">
        <f>equip.xml!H1637</f>
        <v>0</v>
      </c>
      <c r="I1633" s="14">
        <f>equip.xml!J1637</f>
        <v>50</v>
      </c>
      <c r="J1633" s="14">
        <f>equip.xml!K1637</f>
        <v>500</v>
      </c>
      <c r="K1633" s="14">
        <f>equip.xml!L1637</f>
        <v>30000</v>
      </c>
      <c r="L1633" s="14" t="str">
        <f>equip.xml!M1637</f>
        <v>110_219_219</v>
      </c>
      <c r="M1633" s="17" t="str">
        <f>equip.xml!Q1637</f>
        <v>equipment/8009.png</v>
      </c>
      <c r="N1633" s="16" t="str">
        <f>equip.xml!P1637</f>
        <v>10000_1002_55000,30000_30001_1,30000_30002_1,30000_30003_1</v>
      </c>
      <c r="O1633">
        <f>equip.xml!R1637</f>
        <v>0</v>
      </c>
    </row>
    <row r="1634" spans="1:15">
      <c r="A1634" s="14" t="str">
        <f>equip.xml!A1638</f>
        <v>40550090</v>
      </c>
      <c r="B1634" s="14">
        <f>equip.xml!B1638</f>
        <v>0</v>
      </c>
      <c r="C1634" s="14" t="str">
        <f>equip.xml!C1638</f>
        <v>轻布手套</v>
      </c>
      <c r="D1634" s="14" t="str">
        <f>equip.xml!D1638</f>
        <v>手套</v>
      </c>
      <c r="E1634" s="14">
        <f>equip.xml!E1638</f>
        <v>9</v>
      </c>
      <c r="F1634" s="14">
        <f>equip.xml!F1638</f>
        <v>4</v>
      </c>
      <c r="G1634" s="14">
        <f>equip.xml!G1638</f>
        <v>55</v>
      </c>
      <c r="H1634" s="14">
        <f>equip.xml!H1638</f>
        <v>0</v>
      </c>
      <c r="I1634" s="14">
        <f>equip.xml!J1638</f>
        <v>50</v>
      </c>
      <c r="J1634" s="14">
        <f>equip.xml!K1638</f>
        <v>500</v>
      </c>
      <c r="K1634" s="14">
        <f>equip.xml!L1638</f>
        <v>30000</v>
      </c>
      <c r="L1634" s="14" t="str">
        <f>equip.xml!M1638</f>
        <v>108_1726_1726</v>
      </c>
      <c r="M1634" s="17" t="str">
        <f>equip.xml!Q1638</f>
        <v>equipment/10006.png</v>
      </c>
      <c r="N1634" s="16" t="str">
        <f>equip.xml!P1638</f>
        <v>10000_1002_55000,30000_30001_1,30000_30002_1,30000_30003_1</v>
      </c>
      <c r="O1634">
        <f>equip.xml!R1638</f>
        <v>0</v>
      </c>
    </row>
    <row r="1635" spans="1:15">
      <c r="A1635" s="14" t="str">
        <f>equip.xml!A1639</f>
        <v>40550100</v>
      </c>
      <c r="B1635" s="14">
        <f>equip.xml!B1639</f>
        <v>1</v>
      </c>
      <c r="C1635" s="14" t="str">
        <f>equip.xml!C1639</f>
        <v>遗忘石坠</v>
      </c>
      <c r="D1635" s="14" t="str">
        <f>equip.xml!D1639</f>
        <v>项链</v>
      </c>
      <c r="E1635" s="14">
        <f>equip.xml!E1639</f>
        <v>10</v>
      </c>
      <c r="F1635" s="14">
        <f>equip.xml!F1639</f>
        <v>4</v>
      </c>
      <c r="G1635" s="14">
        <f>equip.xml!G1639</f>
        <v>55</v>
      </c>
      <c r="H1635" s="14">
        <f>equip.xml!H1639</f>
        <v>0</v>
      </c>
      <c r="I1635" s="14">
        <f>equip.xml!J1639</f>
        <v>50</v>
      </c>
      <c r="J1635" s="14">
        <f>equip.xml!K1639</f>
        <v>500</v>
      </c>
      <c r="K1635" s="14">
        <f>equip.xml!L1639</f>
        <v>30000</v>
      </c>
      <c r="L1635" s="14" t="str">
        <f>equip.xml!M1639</f>
        <v>107_1291_1291</v>
      </c>
      <c r="M1635" s="17" t="str">
        <f>equip.xml!Q1639</f>
        <v>equipment/12009.png</v>
      </c>
      <c r="N1635" s="16" t="str">
        <f>equip.xml!P1639</f>
        <v>10000_1002_55000,30000_30001_1,30000_30002_1,30000_30003_1</v>
      </c>
      <c r="O1635">
        <f>equip.xml!R1639</f>
        <v>0</v>
      </c>
    </row>
    <row r="1636" spans="1:15">
      <c r="A1636" s="14" t="str">
        <f>equip.xml!A1640</f>
        <v>40551050</v>
      </c>
      <c r="B1636" s="14">
        <f>equip.xml!B1640</f>
        <v>1</v>
      </c>
      <c r="C1636" s="14" t="str">
        <f>equip.xml!C1640</f>
        <v>噬魂符剑</v>
      </c>
      <c r="D1636" s="14" t="str">
        <f>equip.xml!D1640</f>
        <v>主手武器</v>
      </c>
      <c r="E1636" s="14">
        <f>equip.xml!E1640</f>
        <v>5</v>
      </c>
      <c r="F1636" s="14">
        <f>equip.xml!F1640</f>
        <v>4</v>
      </c>
      <c r="G1636" s="14">
        <f>equip.xml!G1640</f>
        <v>55</v>
      </c>
      <c r="H1636" s="14" t="str">
        <f>equip.xml!H1640</f>
        <v>1,1001</v>
      </c>
      <c r="I1636" s="14">
        <f>equip.xml!J1640</f>
        <v>50</v>
      </c>
      <c r="J1636" s="14">
        <f>equip.xml!K1640</f>
        <v>500</v>
      </c>
      <c r="K1636" s="14">
        <f>equip.xml!L1640</f>
        <v>30000</v>
      </c>
      <c r="L1636" s="14" t="str">
        <f>equip.xml!M1640</f>
        <v>103_1409_1409,104_2818_2818</v>
      </c>
      <c r="M1636" s="17" t="str">
        <f>equip.xml!Q1640</f>
        <v>equipment/1121.png</v>
      </c>
      <c r="N1636" s="16" t="str">
        <f>equip.xml!P1640</f>
        <v>10000_1002_55000,30000_30001_1,30000_30002_1,30000_30003_1</v>
      </c>
      <c r="O1636">
        <f>equip.xml!R1640</f>
        <v>0</v>
      </c>
    </row>
    <row r="1637" spans="1:15">
      <c r="A1637" s="14" t="str">
        <f>equip.xml!A1641</f>
        <v>40551051</v>
      </c>
      <c r="B1637" s="14">
        <f>equip.xml!B1641</f>
        <v>0</v>
      </c>
      <c r="C1637" s="14" t="str">
        <f>equip.xml!C1641</f>
        <v>军刀</v>
      </c>
      <c r="D1637" s="14" t="str">
        <f>equip.xml!D1641</f>
        <v>主手武器</v>
      </c>
      <c r="E1637" s="14">
        <f>equip.xml!E1641</f>
        <v>5</v>
      </c>
      <c r="F1637" s="14">
        <f>equip.xml!F1641</f>
        <v>4</v>
      </c>
      <c r="G1637" s="14">
        <f>equip.xml!G1641</f>
        <v>55</v>
      </c>
      <c r="H1637" s="14" t="str">
        <f>equip.xml!H1641</f>
        <v>1,1001</v>
      </c>
      <c r="I1637" s="14">
        <f>equip.xml!J1641</f>
        <v>50</v>
      </c>
      <c r="J1637" s="14">
        <f>equip.xml!K1641</f>
        <v>500</v>
      </c>
      <c r="K1637" s="14">
        <f>equip.xml!L1641</f>
        <v>32500</v>
      </c>
      <c r="L1637" s="14" t="str">
        <f>equip.xml!M1641</f>
        <v>103_1648_1648,104_3296_3296</v>
      </c>
      <c r="M1637" s="17" t="str">
        <f>equip.xml!Q1641</f>
        <v>equipment/1101.png</v>
      </c>
      <c r="N1637" s="16" t="str">
        <f>equip.xml!P1641</f>
        <v>10000_1002_55000,30000_30001_1,30000_30002_1,30000_30003_1</v>
      </c>
      <c r="O1637">
        <f>equip.xml!R1641</f>
        <v>0</v>
      </c>
    </row>
    <row r="1638" spans="1:15">
      <c r="A1638" s="14" t="str">
        <f>equip.xml!A1642</f>
        <v>40551060</v>
      </c>
      <c r="B1638" s="14">
        <f>equip.xml!B1642</f>
        <v>1</v>
      </c>
      <c r="C1638" s="14" t="str">
        <f>equip.xml!C1642</f>
        <v>反射壁垒</v>
      </c>
      <c r="D1638" s="14" t="str">
        <f>equip.xml!D1642</f>
        <v>副手武器</v>
      </c>
      <c r="E1638" s="14">
        <f>equip.xml!E1642</f>
        <v>6</v>
      </c>
      <c r="F1638" s="14">
        <f>equip.xml!F1642</f>
        <v>4</v>
      </c>
      <c r="G1638" s="14">
        <f>equip.xml!G1642</f>
        <v>55</v>
      </c>
      <c r="H1638" s="14" t="str">
        <f>equip.xml!H1642</f>
        <v>1,1001</v>
      </c>
      <c r="I1638" s="14">
        <f>equip.xml!J1642</f>
        <v>50</v>
      </c>
      <c r="J1638" s="14">
        <f>equip.xml!K1642</f>
        <v>500</v>
      </c>
      <c r="K1638" s="14">
        <f>equip.xml!L1642</f>
        <v>30000</v>
      </c>
      <c r="L1638" s="14" t="str">
        <f>equip.xml!M1642</f>
        <v>105_1981_1981</v>
      </c>
      <c r="M1638" s="17" t="str">
        <f>equip.xml!Q1642</f>
        <v>equipment/2113.png</v>
      </c>
      <c r="N1638" s="16" t="str">
        <f>equip.xml!P1642</f>
        <v>10000_1002_55000,30000_30001_1,30000_30002_1,30000_30003_1</v>
      </c>
      <c r="O1638">
        <f>equip.xml!R1642</f>
        <v>0</v>
      </c>
    </row>
    <row r="1639" spans="1:15">
      <c r="A1639" s="14" t="str">
        <f>equip.xml!A1643</f>
        <v>40551061</v>
      </c>
      <c r="B1639" s="14">
        <f>equip.xml!B1643</f>
        <v>1</v>
      </c>
      <c r="C1639" s="14" t="str">
        <f>equip.xml!C1643</f>
        <v>巨龙之盾</v>
      </c>
      <c r="D1639" s="14" t="str">
        <f>equip.xml!D1643</f>
        <v>副手武器</v>
      </c>
      <c r="E1639" s="14">
        <f>equip.xml!E1643</f>
        <v>6</v>
      </c>
      <c r="F1639" s="14">
        <f>equip.xml!F1643</f>
        <v>4</v>
      </c>
      <c r="G1639" s="14">
        <f>equip.xml!G1643</f>
        <v>55</v>
      </c>
      <c r="H1639" s="14" t="str">
        <f>equip.xml!H1643</f>
        <v>1,1001</v>
      </c>
      <c r="I1639" s="14">
        <f>equip.xml!J1643</f>
        <v>50</v>
      </c>
      <c r="J1639" s="14">
        <f>equip.xml!K1643</f>
        <v>500</v>
      </c>
      <c r="K1639" s="14">
        <f>equip.xml!L1643</f>
        <v>32500</v>
      </c>
      <c r="L1639" s="14" t="str">
        <f>equip.xml!M1643</f>
        <v>105_2195_2195</v>
      </c>
      <c r="M1639" s="17" t="str">
        <f>equip.xml!Q1643</f>
        <v>equipment/2114.png</v>
      </c>
      <c r="N1639" s="16" t="str">
        <f>equip.xml!P1643</f>
        <v>10000_1002_55000,30000_30001_1,30000_30002_1,30000_30003_1</v>
      </c>
      <c r="O1639">
        <f>equip.xml!R1643</f>
        <v>0</v>
      </c>
    </row>
    <row r="1640" spans="1:15">
      <c r="A1640" s="14" t="str">
        <f>equip.xml!A1644</f>
        <v>40552050</v>
      </c>
      <c r="B1640" s="14">
        <f>equip.xml!B1644</f>
        <v>1</v>
      </c>
      <c r="C1640" s="14" t="str">
        <f>equip.xml!C1644</f>
        <v>魂击长弓</v>
      </c>
      <c r="D1640" s="14" t="str">
        <f>equip.xml!D1644</f>
        <v>主手武器</v>
      </c>
      <c r="E1640" s="14">
        <f>equip.xml!E1644</f>
        <v>5</v>
      </c>
      <c r="F1640" s="14">
        <f>equip.xml!F1644</f>
        <v>4</v>
      </c>
      <c r="G1640" s="14">
        <f>equip.xml!G1644</f>
        <v>55</v>
      </c>
      <c r="H1640" s="14" t="str">
        <f>equip.xml!H1644</f>
        <v>2,1002</v>
      </c>
      <c r="I1640" s="14">
        <f>equip.xml!J1644</f>
        <v>50</v>
      </c>
      <c r="J1640" s="14">
        <f>equip.xml!K1644</f>
        <v>500</v>
      </c>
      <c r="K1640" s="14">
        <f>equip.xml!L1644</f>
        <v>30000</v>
      </c>
      <c r="L1640" s="14" t="str">
        <f>equip.xml!M1644</f>
        <v>103_1409_1409,104_2818_2818</v>
      </c>
      <c r="M1640" s="17" t="str">
        <f>equip.xml!Q1644</f>
        <v>equipment/1219.png</v>
      </c>
      <c r="N1640" s="16" t="str">
        <f>equip.xml!P1644</f>
        <v>10000_1002_55000,30000_30001_1,30000_30002_1,30000_30003_1</v>
      </c>
      <c r="O1640">
        <f>equip.xml!R1644</f>
        <v>0</v>
      </c>
    </row>
    <row r="1641" spans="1:15">
      <c r="A1641" s="14" t="str">
        <f>equip.xml!A1645</f>
        <v>40552051</v>
      </c>
      <c r="B1641" s="14">
        <f>equip.xml!B1645</f>
        <v>0</v>
      </c>
      <c r="C1641" s="14" t="str">
        <f>equip.xml!C1645</f>
        <v>棘木弓</v>
      </c>
      <c r="D1641" s="14" t="str">
        <f>equip.xml!D1645</f>
        <v>主手武器</v>
      </c>
      <c r="E1641" s="14">
        <f>equip.xml!E1645</f>
        <v>5</v>
      </c>
      <c r="F1641" s="14">
        <f>equip.xml!F1645</f>
        <v>4</v>
      </c>
      <c r="G1641" s="14">
        <f>equip.xml!G1645</f>
        <v>55</v>
      </c>
      <c r="H1641" s="14" t="str">
        <f>equip.xml!H1645</f>
        <v>2,1002</v>
      </c>
      <c r="I1641" s="14">
        <f>equip.xml!J1645</f>
        <v>50</v>
      </c>
      <c r="J1641" s="14">
        <f>equip.xml!K1645</f>
        <v>500</v>
      </c>
      <c r="K1641" s="14">
        <f>equip.xml!L1645</f>
        <v>32500</v>
      </c>
      <c r="L1641" s="14" t="str">
        <f>equip.xml!M1645</f>
        <v>103_1648_1648,104_3296_3296</v>
      </c>
      <c r="M1641" s="17" t="str">
        <f>equip.xml!Q1645</f>
        <v>equipment/1201.png</v>
      </c>
      <c r="N1641" s="16" t="str">
        <f>equip.xml!P1645</f>
        <v>10000_1002_55000,30000_30001_1,30000_30002_1,30000_30003_1</v>
      </c>
      <c r="O1641">
        <f>equip.xml!R1645</f>
        <v>0</v>
      </c>
    </row>
    <row r="1642" spans="1:15">
      <c r="A1642" s="14" t="str">
        <f>equip.xml!A1646</f>
        <v>40552060</v>
      </c>
      <c r="B1642" s="14">
        <f>equip.xml!B1646</f>
        <v>1</v>
      </c>
      <c r="C1642" s="14" t="str">
        <f>equip.xml!C1646</f>
        <v>银矢箭筒</v>
      </c>
      <c r="D1642" s="14" t="str">
        <f>equip.xml!D1646</f>
        <v>副手武器</v>
      </c>
      <c r="E1642" s="14">
        <f>equip.xml!E1646</f>
        <v>6</v>
      </c>
      <c r="F1642" s="14">
        <f>equip.xml!F1646</f>
        <v>4</v>
      </c>
      <c r="G1642" s="14">
        <f>equip.xml!G1646</f>
        <v>55</v>
      </c>
      <c r="H1642" s="14" t="str">
        <f>equip.xml!H1646</f>
        <v>2,1002</v>
      </c>
      <c r="I1642" s="14">
        <f>equip.xml!J1646</f>
        <v>50</v>
      </c>
      <c r="J1642" s="14">
        <f>equip.xml!K1646</f>
        <v>500</v>
      </c>
      <c r="K1642" s="14">
        <f>equip.xml!L1646</f>
        <v>30000</v>
      </c>
      <c r="L1642" s="14" t="str">
        <f>equip.xml!M1646</f>
        <v>108_1981_1981</v>
      </c>
      <c r="M1642" s="17" t="str">
        <f>equip.xml!Q1646</f>
        <v>equipment/2213.png</v>
      </c>
      <c r="N1642" s="16" t="str">
        <f>equip.xml!P1646</f>
        <v>10000_1002_55000,30000_30001_1,30000_30002_1,30000_30003_1</v>
      </c>
      <c r="O1642">
        <f>equip.xml!R1646</f>
        <v>0</v>
      </c>
    </row>
    <row r="1643" spans="1:15">
      <c r="A1643" s="14" t="str">
        <f>equip.xml!A1647</f>
        <v>40552061</v>
      </c>
      <c r="B1643" s="14">
        <f>equip.xml!B1647</f>
        <v>1</v>
      </c>
      <c r="C1643" s="14" t="str">
        <f>equip.xml!C1647</f>
        <v>日怒箭筒</v>
      </c>
      <c r="D1643" s="14" t="str">
        <f>equip.xml!D1647</f>
        <v>副手武器</v>
      </c>
      <c r="E1643" s="14">
        <f>equip.xml!E1647</f>
        <v>6</v>
      </c>
      <c r="F1643" s="14">
        <f>equip.xml!F1647</f>
        <v>4</v>
      </c>
      <c r="G1643" s="14">
        <f>equip.xml!G1647</f>
        <v>55</v>
      </c>
      <c r="H1643" s="14" t="str">
        <f>equip.xml!H1647</f>
        <v>2,1002</v>
      </c>
      <c r="I1643" s="14">
        <f>equip.xml!J1647</f>
        <v>50</v>
      </c>
      <c r="J1643" s="14">
        <f>equip.xml!K1647</f>
        <v>500</v>
      </c>
      <c r="K1643" s="14">
        <f>equip.xml!L1647</f>
        <v>32500</v>
      </c>
      <c r="L1643" s="14" t="str">
        <f>equip.xml!M1647</f>
        <v>108_2195_2195</v>
      </c>
      <c r="M1643" s="17" t="str">
        <f>equip.xml!Q1647</f>
        <v>equipment/2214.png</v>
      </c>
      <c r="N1643" s="16" t="str">
        <f>equip.xml!P1647</f>
        <v>10000_1002_55000,30000_30001_1,30000_30002_1,30000_30003_1</v>
      </c>
      <c r="O1643">
        <f>equip.xml!R1647</f>
        <v>0</v>
      </c>
    </row>
    <row r="1644" spans="1:15">
      <c r="A1644" s="14" t="str">
        <f>equip.xml!A1648</f>
        <v>40553050</v>
      </c>
      <c r="B1644" s="14">
        <f>equip.xml!B1648</f>
        <v>1</v>
      </c>
      <c r="C1644" s="14" t="str">
        <f>equip.xml!C1648</f>
        <v>寒霜之怒</v>
      </c>
      <c r="D1644" s="14" t="str">
        <f>equip.xml!D1648</f>
        <v>主手武器</v>
      </c>
      <c r="E1644" s="14">
        <f>equip.xml!E1648</f>
        <v>5</v>
      </c>
      <c r="F1644" s="14">
        <f>equip.xml!F1648</f>
        <v>4</v>
      </c>
      <c r="G1644" s="14">
        <f>equip.xml!G1648</f>
        <v>55</v>
      </c>
      <c r="H1644" s="14" t="str">
        <f>equip.xml!H1648</f>
        <v>3,1003</v>
      </c>
      <c r="I1644" s="14">
        <f>equip.xml!J1648</f>
        <v>50</v>
      </c>
      <c r="J1644" s="14">
        <f>equip.xml!K1648</f>
        <v>500</v>
      </c>
      <c r="K1644" s="14">
        <f>equip.xml!L1648</f>
        <v>30000</v>
      </c>
      <c r="L1644" s="14" t="str">
        <f>equip.xml!M1648</f>
        <v>103_1409_1409,104_2818_2818</v>
      </c>
      <c r="M1644" s="17" t="str">
        <f>equip.xml!Q1648</f>
        <v>equipment/1321.png</v>
      </c>
      <c r="N1644" s="16" t="str">
        <f>equip.xml!P1648</f>
        <v>10000_1002_55000,30000_30001_1,30000_30002_1,30000_30003_1</v>
      </c>
      <c r="O1644">
        <f>equip.xml!R1648</f>
        <v>0</v>
      </c>
    </row>
    <row r="1645" spans="1:15">
      <c r="A1645" s="14" t="str">
        <f>equip.xml!A1649</f>
        <v>40553051</v>
      </c>
      <c r="B1645" s="14">
        <f>equip.xml!B1649</f>
        <v>0</v>
      </c>
      <c r="C1645" s="14" t="str">
        <f>equip.xml!C1649</f>
        <v>学徒法杖</v>
      </c>
      <c r="D1645" s="14" t="str">
        <f>equip.xml!D1649</f>
        <v>主手武器</v>
      </c>
      <c r="E1645" s="14">
        <f>equip.xml!E1649</f>
        <v>5</v>
      </c>
      <c r="F1645" s="14">
        <f>equip.xml!F1649</f>
        <v>4</v>
      </c>
      <c r="G1645" s="14">
        <f>equip.xml!G1649</f>
        <v>55</v>
      </c>
      <c r="H1645" s="14" t="str">
        <f>equip.xml!H1649</f>
        <v>3,1003</v>
      </c>
      <c r="I1645" s="14">
        <f>equip.xml!J1649</f>
        <v>50</v>
      </c>
      <c r="J1645" s="14">
        <f>equip.xml!K1649</f>
        <v>500</v>
      </c>
      <c r="K1645" s="14">
        <f>equip.xml!L1649</f>
        <v>32500</v>
      </c>
      <c r="L1645" s="14" t="str">
        <f>equip.xml!M1649</f>
        <v>103_1648_1648,104_3296_3296</v>
      </c>
      <c r="M1645" s="17" t="str">
        <f>equip.xml!Q1649</f>
        <v>equipment/1301.png</v>
      </c>
      <c r="N1645" s="16" t="str">
        <f>equip.xml!P1649</f>
        <v>10000_1002_55000,30000_30001_1,30000_30002_1,30000_30003_1</v>
      </c>
      <c r="O1645">
        <f>equip.xml!R1649</f>
        <v>0</v>
      </c>
    </row>
    <row r="1646" spans="1:15">
      <c r="A1646" s="14" t="str">
        <f>equip.xml!A1650</f>
        <v>40553060</v>
      </c>
      <c r="B1646" s="14">
        <f>equip.xml!B1650</f>
        <v>1</v>
      </c>
      <c r="C1646" s="14" t="str">
        <f>equip.xml!C1650</f>
        <v>遗忘魔典</v>
      </c>
      <c r="D1646" s="14" t="str">
        <f>equip.xml!D1650</f>
        <v>副手武器</v>
      </c>
      <c r="E1646" s="14">
        <f>equip.xml!E1650</f>
        <v>6</v>
      </c>
      <c r="F1646" s="14">
        <f>equip.xml!F1650</f>
        <v>4</v>
      </c>
      <c r="G1646" s="14">
        <f>equip.xml!G1650</f>
        <v>55</v>
      </c>
      <c r="H1646" s="14" t="str">
        <f>equip.xml!H1650</f>
        <v>3,1003</v>
      </c>
      <c r="I1646" s="14">
        <f>equip.xml!J1650</f>
        <v>50</v>
      </c>
      <c r="J1646" s="14">
        <f>equip.xml!K1650</f>
        <v>500</v>
      </c>
      <c r="K1646" s="14">
        <f>equip.xml!L1650</f>
        <v>30000</v>
      </c>
      <c r="L1646" s="14" t="str">
        <f>equip.xml!M1650</f>
        <v>102_1780_1780</v>
      </c>
      <c r="M1646" s="17" t="str">
        <f>equip.xml!Q1650</f>
        <v>equipment/2313.png</v>
      </c>
      <c r="N1646" s="16" t="str">
        <f>equip.xml!P1650</f>
        <v>10000_1002_55000,30000_30001_1,30000_30002_1,30000_30003_1</v>
      </c>
      <c r="O1646">
        <f>equip.xml!R1650</f>
        <v>0</v>
      </c>
    </row>
    <row r="1647" spans="1:15">
      <c r="A1647" s="14" t="str">
        <f>equip.xml!A1651</f>
        <v>40553061</v>
      </c>
      <c r="B1647" s="14">
        <f>equip.xml!B1651</f>
        <v>1</v>
      </c>
      <c r="C1647" s="14" t="str">
        <f>equip.xml!C1651</f>
        <v>龙语入门</v>
      </c>
      <c r="D1647" s="14" t="str">
        <f>equip.xml!D1651</f>
        <v>副手武器</v>
      </c>
      <c r="E1647" s="14">
        <f>equip.xml!E1651</f>
        <v>6</v>
      </c>
      <c r="F1647" s="14">
        <f>equip.xml!F1651</f>
        <v>4</v>
      </c>
      <c r="G1647" s="14">
        <f>equip.xml!G1651</f>
        <v>55</v>
      </c>
      <c r="H1647" s="14" t="str">
        <f>equip.xml!H1651</f>
        <v>3,1003</v>
      </c>
      <c r="I1647" s="14">
        <f>equip.xml!J1651</f>
        <v>50</v>
      </c>
      <c r="J1647" s="14">
        <f>equip.xml!K1651</f>
        <v>500</v>
      </c>
      <c r="K1647" s="14">
        <f>equip.xml!L1651</f>
        <v>32500</v>
      </c>
      <c r="L1647" s="14" t="str">
        <f>equip.xml!M1651</f>
        <v>102_1972_1972</v>
      </c>
      <c r="M1647" s="17" t="str">
        <f>equip.xml!Q1651</f>
        <v>equipment/2316.png</v>
      </c>
      <c r="N1647" s="16" t="str">
        <f>equip.xml!P1651</f>
        <v>10000_1002_55000,30000_30001_1,30000_30002_1,30000_30003_1</v>
      </c>
      <c r="O1647">
        <f>equip.xml!R1651</f>
        <v>0</v>
      </c>
    </row>
    <row r="1648" spans="1:15">
      <c r="A1648" s="14" t="str">
        <f>equip.xml!A1652</f>
        <v>40550040</v>
      </c>
      <c r="B1648" s="14">
        <f>equip.xml!B1652</f>
        <v>1</v>
      </c>
      <c r="C1648" s="14" t="str">
        <f>equip.xml!C1652</f>
        <v>血卫胸甲</v>
      </c>
      <c r="D1648" s="14" t="str">
        <f>equip.xml!D1652</f>
        <v>胸甲</v>
      </c>
      <c r="E1648" s="14">
        <f>equip.xml!E1652</f>
        <v>4</v>
      </c>
      <c r="F1648" s="14">
        <f>equip.xml!F1652</f>
        <v>4</v>
      </c>
      <c r="G1648" s="14">
        <f>equip.xml!G1652</f>
        <v>55</v>
      </c>
      <c r="H1648" s="14">
        <f>equip.xml!H1652</f>
        <v>0</v>
      </c>
      <c r="I1648" s="14">
        <f>equip.xml!J1652</f>
        <v>50</v>
      </c>
      <c r="J1648" s="14">
        <f>equip.xml!K1652</f>
        <v>500</v>
      </c>
      <c r="K1648" s="14">
        <f>equip.xml!L1652</f>
        <v>30000</v>
      </c>
      <c r="L1648" s="14" t="str">
        <f>equip.xml!M1652</f>
        <v>105_1153_1153</v>
      </c>
      <c r="M1648" s="17" t="str">
        <f>equip.xml!Q1652</f>
        <v>equipment/5015.png</v>
      </c>
      <c r="N1648" s="16" t="str">
        <f>equip.xml!P1652</f>
        <v>10000_1002_55000,30000_30001_1,30000_30002_1,30000_30003_1</v>
      </c>
      <c r="O1648">
        <f>equip.xml!R1652</f>
        <v>0</v>
      </c>
    </row>
    <row r="1649" spans="1:15">
      <c r="A1649" s="14" t="str">
        <f>equip.xml!A1653</f>
        <v>40550041</v>
      </c>
      <c r="B1649" s="14">
        <f>equip.xml!B1653</f>
        <v>0</v>
      </c>
      <c r="C1649" s="14" t="str">
        <f>equip.xml!C1653</f>
        <v>新兵外套</v>
      </c>
      <c r="D1649" s="14" t="str">
        <f>equip.xml!D1653</f>
        <v>胸甲</v>
      </c>
      <c r="E1649" s="14">
        <f>equip.xml!E1653</f>
        <v>4</v>
      </c>
      <c r="F1649" s="14">
        <f>equip.xml!F1653</f>
        <v>4</v>
      </c>
      <c r="G1649" s="14">
        <f>equip.xml!G1653</f>
        <v>55</v>
      </c>
      <c r="H1649" s="14">
        <f>equip.xml!H1653</f>
        <v>0</v>
      </c>
      <c r="I1649" s="14">
        <f>equip.xml!J1653</f>
        <v>50</v>
      </c>
      <c r="J1649" s="14">
        <f>equip.xml!K1653</f>
        <v>500</v>
      </c>
      <c r="K1649" s="14">
        <f>equip.xml!L1653</f>
        <v>32500</v>
      </c>
      <c r="L1649" s="14" t="str">
        <f>equip.xml!M1653</f>
        <v>105_1243_1243</v>
      </c>
      <c r="M1649" s="17" t="str">
        <f>equip.xml!Q1653</f>
        <v>equipment/5001.png</v>
      </c>
      <c r="N1649" s="16" t="str">
        <f>equip.xml!P1653</f>
        <v>10000_1002_55000,30000_30001_1,30000_30002_1,30000_30003_1</v>
      </c>
      <c r="O1649">
        <f>equip.xml!R1653</f>
        <v>0</v>
      </c>
    </row>
    <row r="1650" spans="1:15">
      <c r="A1650" s="14" t="str">
        <f>equip.xml!A1654</f>
        <v>40550070</v>
      </c>
      <c r="B1650" s="14">
        <f>equip.xml!B1654</f>
        <v>1</v>
      </c>
      <c r="C1650" s="14" t="str">
        <f>equip.xml!C1654</f>
        <v>征服者护腿</v>
      </c>
      <c r="D1650" s="14" t="str">
        <f>equip.xml!D1654</f>
        <v>护腿</v>
      </c>
      <c r="E1650" s="14">
        <f>equip.xml!E1654</f>
        <v>7</v>
      </c>
      <c r="F1650" s="14">
        <f>equip.xml!F1654</f>
        <v>4</v>
      </c>
      <c r="G1650" s="14">
        <f>equip.xml!G1654</f>
        <v>55</v>
      </c>
      <c r="H1650" s="14">
        <f>equip.xml!H1654</f>
        <v>0</v>
      </c>
      <c r="I1650" s="14">
        <f>equip.xml!J1654</f>
        <v>50</v>
      </c>
      <c r="J1650" s="14">
        <f>equip.xml!K1654</f>
        <v>500</v>
      </c>
      <c r="K1650" s="14">
        <f>equip.xml!L1654</f>
        <v>30000</v>
      </c>
      <c r="L1650" s="14" t="str">
        <f>equip.xml!M1654</f>
        <v>105_780_780</v>
      </c>
      <c r="M1650" s="17" t="str">
        <f>equip.xml!Q1654</f>
        <v>equipment/7013.png</v>
      </c>
      <c r="N1650" s="16" t="str">
        <f>equip.xml!P1654</f>
        <v>10000_1002_55000,30000_30001_1,30000_30002_1,30000_30003_1</v>
      </c>
      <c r="O1650">
        <f>equip.xml!R1654</f>
        <v>0</v>
      </c>
    </row>
    <row r="1651" spans="1:15">
      <c r="A1651" s="14" t="str">
        <f>equip.xml!A1655</f>
        <v>40550071</v>
      </c>
      <c r="B1651" s="14">
        <f>equip.xml!B1655</f>
        <v>0</v>
      </c>
      <c r="C1651" s="14" t="str">
        <f>equip.xml!C1655</f>
        <v>学徒短裤</v>
      </c>
      <c r="D1651" s="14" t="str">
        <f>equip.xml!D1655</f>
        <v>护腿</v>
      </c>
      <c r="E1651" s="14">
        <f>equip.xml!E1655</f>
        <v>7</v>
      </c>
      <c r="F1651" s="14">
        <f>equip.xml!F1655</f>
        <v>4</v>
      </c>
      <c r="G1651" s="14">
        <f>equip.xml!G1655</f>
        <v>55</v>
      </c>
      <c r="H1651" s="14">
        <f>equip.xml!H1655</f>
        <v>0</v>
      </c>
      <c r="I1651" s="14">
        <f>equip.xml!J1655</f>
        <v>50</v>
      </c>
      <c r="J1651" s="14">
        <f>equip.xml!K1655</f>
        <v>500</v>
      </c>
      <c r="K1651" s="14">
        <f>equip.xml!L1655</f>
        <v>32500</v>
      </c>
      <c r="L1651" s="14" t="str">
        <f>equip.xml!M1655</f>
        <v>105_929_929</v>
      </c>
      <c r="M1651" s="17" t="str">
        <f>equip.xml!Q1655</f>
        <v>equipment/7001.png</v>
      </c>
      <c r="N1651" s="16" t="str">
        <f>equip.xml!P1655</f>
        <v>10000_1002_55000,30000_30001_1,30000_30002_1,30000_30003_1</v>
      </c>
      <c r="O1651">
        <f>equip.xml!R1655</f>
        <v>0</v>
      </c>
    </row>
    <row r="1652" spans="1:15">
      <c r="A1652" s="14" t="str">
        <f>equip.xml!A1656</f>
        <v>40600010</v>
      </c>
      <c r="B1652" s="14">
        <f>equip.xml!B1656</f>
        <v>1</v>
      </c>
      <c r="C1652" s="14" t="str">
        <f>equip.xml!C1656</f>
        <v>英勇战盔</v>
      </c>
      <c r="D1652" s="14" t="str">
        <f>equip.xml!D1656</f>
        <v>头盔</v>
      </c>
      <c r="E1652" s="14">
        <f>equip.xml!E1656</f>
        <v>1</v>
      </c>
      <c r="F1652" s="14">
        <f>equip.xml!F1656</f>
        <v>4</v>
      </c>
      <c r="G1652" s="14">
        <f>equip.xml!G1656</f>
        <v>60</v>
      </c>
      <c r="H1652" s="14">
        <f>equip.xml!H1656</f>
        <v>0</v>
      </c>
      <c r="I1652" s="14">
        <f>equip.xml!J1656</f>
        <v>50</v>
      </c>
      <c r="J1652" s="14">
        <f>equip.xml!K1656</f>
        <v>500</v>
      </c>
      <c r="K1652" s="14">
        <f>equip.xml!L1656</f>
        <v>32500</v>
      </c>
      <c r="L1652" s="14" t="str">
        <f>equip.xml!M1656</f>
        <v>106_1628_1628</v>
      </c>
      <c r="M1652" s="17" t="str">
        <f>equip.xml!Q1656</f>
        <v>equipment/3010.png</v>
      </c>
      <c r="N1652" s="16" t="str">
        <f>equip.xml!P1656</f>
        <v>10000_1002_60000,30000_30001_1,30000_30002_1,30000_30003_1</v>
      </c>
      <c r="O1652">
        <f>equip.xml!R1656</f>
        <v>0</v>
      </c>
    </row>
    <row r="1653" spans="1:15">
      <c r="A1653" s="14" t="str">
        <f>equip.xml!A1657</f>
        <v>40600020</v>
      </c>
      <c r="B1653" s="14">
        <f>equip.xml!B1657</f>
        <v>1</v>
      </c>
      <c r="C1653" s="14" t="str">
        <f>equip.xml!C1657</f>
        <v>星宇指环</v>
      </c>
      <c r="D1653" s="14" t="str">
        <f>equip.xml!D1657</f>
        <v>戒指</v>
      </c>
      <c r="E1653" s="14">
        <f>equip.xml!E1657</f>
        <v>2</v>
      </c>
      <c r="F1653" s="14">
        <f>equip.xml!F1657</f>
        <v>4</v>
      </c>
      <c r="G1653" s="14">
        <f>equip.xml!G1657</f>
        <v>60</v>
      </c>
      <c r="H1653" s="14">
        <f>equip.xml!H1657</f>
        <v>0</v>
      </c>
      <c r="I1653" s="14">
        <f>equip.xml!J1657</f>
        <v>50</v>
      </c>
      <c r="J1653" s="14">
        <f>equip.xml!K1657</f>
        <v>500</v>
      </c>
      <c r="K1653" s="14">
        <f>equip.xml!L1657</f>
        <v>32500</v>
      </c>
      <c r="L1653" s="14" t="str">
        <f>equip.xml!M1657</f>
        <v>102_1260_1260</v>
      </c>
      <c r="M1653" s="17" t="str">
        <f>equip.xml!Q1657</f>
        <v>equipment/14010.png</v>
      </c>
      <c r="N1653" s="16" t="str">
        <f>equip.xml!P1657</f>
        <v>10000_1002_60000,30000_30001_1,30000_30002_1,30000_30003_1</v>
      </c>
      <c r="O1653">
        <f>equip.xml!R1657</f>
        <v>0</v>
      </c>
    </row>
    <row r="1654" spans="1:15">
      <c r="A1654" s="14" t="str">
        <f>equip.xml!A1658</f>
        <v>40600030</v>
      </c>
      <c r="B1654" s="14">
        <f>equip.xml!B1658</f>
        <v>1</v>
      </c>
      <c r="C1654" s="14" t="str">
        <f>equip.xml!C1658</f>
        <v>远征腰带</v>
      </c>
      <c r="D1654" s="14" t="str">
        <f>equip.xml!D1658</f>
        <v>腰带</v>
      </c>
      <c r="E1654" s="14">
        <f>equip.xml!E1658</f>
        <v>3</v>
      </c>
      <c r="F1654" s="14">
        <f>equip.xml!F1658</f>
        <v>4</v>
      </c>
      <c r="G1654" s="14">
        <f>equip.xml!G1658</f>
        <v>60</v>
      </c>
      <c r="H1654" s="14">
        <f>equip.xml!H1658</f>
        <v>0</v>
      </c>
      <c r="I1654" s="14">
        <f>equip.xml!J1658</f>
        <v>50</v>
      </c>
      <c r="J1654" s="14">
        <f>equip.xml!K1658</f>
        <v>500</v>
      </c>
      <c r="K1654" s="14">
        <f>equip.xml!L1658</f>
        <v>32500</v>
      </c>
      <c r="L1654" s="14" t="str">
        <f>equip.xml!M1658</f>
        <v>101_13920_13920</v>
      </c>
      <c r="M1654" s="17" t="str">
        <f>equip.xml!Q1658</f>
        <v>equipment/6010.png</v>
      </c>
      <c r="N1654" s="16" t="str">
        <f>equip.xml!P1658</f>
        <v>10000_1002_60000,30000_30001_1,30000_30002_1,30000_30003_1</v>
      </c>
      <c r="O1654">
        <f>equip.xml!R1658</f>
        <v>0</v>
      </c>
    </row>
    <row r="1655" spans="1:15">
      <c r="A1655" s="14" t="str">
        <f>equip.xml!A1659</f>
        <v>40600080</v>
      </c>
      <c r="B1655" s="14">
        <f>equip.xml!B1659</f>
        <v>1</v>
      </c>
      <c r="C1655" s="14" t="str">
        <f>equip.xml!C1659</f>
        <v>风暴长靴</v>
      </c>
      <c r="D1655" s="14" t="str">
        <f>equip.xml!D1659</f>
        <v>鞋子</v>
      </c>
      <c r="E1655" s="14">
        <f>equip.xml!E1659</f>
        <v>8</v>
      </c>
      <c r="F1655" s="14">
        <f>equip.xml!F1659</f>
        <v>4</v>
      </c>
      <c r="G1655" s="14">
        <f>equip.xml!G1659</f>
        <v>60</v>
      </c>
      <c r="H1655" s="14">
        <f>equip.xml!H1659</f>
        <v>0</v>
      </c>
      <c r="I1655" s="14">
        <f>equip.xml!J1659</f>
        <v>50</v>
      </c>
      <c r="J1655" s="14">
        <f>equip.xml!K1659</f>
        <v>500</v>
      </c>
      <c r="K1655" s="14">
        <f>equip.xml!L1659</f>
        <v>32500</v>
      </c>
      <c r="L1655" s="14" t="str">
        <f>equip.xml!M1659</f>
        <v>110_271_271</v>
      </c>
      <c r="M1655" s="17" t="str">
        <f>equip.xml!Q1659</f>
        <v>equipment/8010.png</v>
      </c>
      <c r="N1655" s="16" t="str">
        <f>equip.xml!P1659</f>
        <v>10000_1002_60000,30000_30001_1,30000_30002_1,30000_30003_1</v>
      </c>
      <c r="O1655">
        <f>equip.xml!R1659</f>
        <v>0</v>
      </c>
    </row>
    <row r="1656" spans="1:15">
      <c r="A1656" s="14" t="str">
        <f>equip.xml!A1660</f>
        <v>40600090</v>
      </c>
      <c r="B1656" s="14">
        <f>equip.xml!B1660</f>
        <v>1</v>
      </c>
      <c r="C1656" s="14" t="str">
        <f>equip.xml!C1660</f>
        <v>远征军护手</v>
      </c>
      <c r="D1656" s="14" t="str">
        <f>equip.xml!D1660</f>
        <v>手套</v>
      </c>
      <c r="E1656" s="14">
        <f>equip.xml!E1660</f>
        <v>9</v>
      </c>
      <c r="F1656" s="14">
        <f>equip.xml!F1660</f>
        <v>4</v>
      </c>
      <c r="G1656" s="14">
        <f>equip.xml!G1660</f>
        <v>60</v>
      </c>
      <c r="H1656" s="14">
        <f>equip.xml!H1660</f>
        <v>0</v>
      </c>
      <c r="I1656" s="14">
        <f>equip.xml!J1660</f>
        <v>50</v>
      </c>
      <c r="J1656" s="14">
        <f>equip.xml!K1660</f>
        <v>500</v>
      </c>
      <c r="K1656" s="14">
        <f>equip.xml!L1660</f>
        <v>32500</v>
      </c>
      <c r="L1656" s="14" t="str">
        <f>equip.xml!M1660</f>
        <v>108_2300_2300</v>
      </c>
      <c r="M1656" s="17" t="str">
        <f>equip.xml!Q1660</f>
        <v>equipment/10010.png</v>
      </c>
      <c r="N1656" s="16" t="str">
        <f>equip.xml!P1660</f>
        <v>10000_1002_60000,30000_30001_1,30000_30002_1,30000_30003_1</v>
      </c>
      <c r="O1656">
        <f>equip.xml!R1660</f>
        <v>0</v>
      </c>
    </row>
    <row r="1657" spans="1:15">
      <c r="A1657" s="14" t="str">
        <f>equip.xml!A1661</f>
        <v>40600100</v>
      </c>
      <c r="B1657" s="14">
        <f>equip.xml!B1661</f>
        <v>1</v>
      </c>
      <c r="C1657" s="14" t="str">
        <f>equip.xml!C1661</f>
        <v>悔恨之链</v>
      </c>
      <c r="D1657" s="14" t="str">
        <f>equip.xml!D1661</f>
        <v>项链</v>
      </c>
      <c r="E1657" s="14">
        <f>equip.xml!E1661</f>
        <v>10</v>
      </c>
      <c r="F1657" s="14">
        <f>equip.xml!F1661</f>
        <v>4</v>
      </c>
      <c r="G1657" s="14">
        <f>equip.xml!G1661</f>
        <v>60</v>
      </c>
      <c r="H1657" s="14">
        <f>equip.xml!H1661</f>
        <v>0</v>
      </c>
      <c r="I1657" s="14">
        <f>equip.xml!J1661</f>
        <v>50</v>
      </c>
      <c r="J1657" s="14">
        <f>equip.xml!K1661</f>
        <v>500</v>
      </c>
      <c r="K1657" s="14">
        <f>equip.xml!L1661</f>
        <v>32500</v>
      </c>
      <c r="L1657" s="14" t="str">
        <f>equip.xml!M1661</f>
        <v>107_1628_1628</v>
      </c>
      <c r="M1657" s="17" t="str">
        <f>equip.xml!Q1661</f>
        <v>equipment/12010.png</v>
      </c>
      <c r="N1657" s="16" t="str">
        <f>equip.xml!P1661</f>
        <v>10000_1002_60000,30000_30001_1,30000_30002_1,30000_30003_1</v>
      </c>
      <c r="O1657">
        <f>equip.xml!R1661</f>
        <v>0</v>
      </c>
    </row>
    <row r="1658" spans="1:15">
      <c r="A1658" s="14" t="str">
        <f>equip.xml!A1662</f>
        <v>40601050</v>
      </c>
      <c r="B1658" s="14">
        <f>equip.xml!B1662</f>
        <v>1</v>
      </c>
      <c r="C1658" s="14" t="str">
        <f>equip.xml!C1662</f>
        <v>毁灭之刃</v>
      </c>
      <c r="D1658" s="14" t="str">
        <f>equip.xml!D1662</f>
        <v>主手武器</v>
      </c>
      <c r="E1658" s="14">
        <f>equip.xml!E1662</f>
        <v>5</v>
      </c>
      <c r="F1658" s="14">
        <f>equip.xml!F1662</f>
        <v>4</v>
      </c>
      <c r="G1658" s="14">
        <f>equip.xml!G1662</f>
        <v>60</v>
      </c>
      <c r="H1658" s="14" t="str">
        <f>equip.xml!H1662</f>
        <v>1,1001</v>
      </c>
      <c r="I1658" s="14">
        <f>equip.xml!J1662</f>
        <v>50</v>
      </c>
      <c r="J1658" s="14">
        <f>equip.xml!K1662</f>
        <v>500</v>
      </c>
      <c r="K1658" s="14">
        <f>equip.xml!L1662</f>
        <v>32500</v>
      </c>
      <c r="L1658" s="14" t="str">
        <f>equip.xml!M1662</f>
        <v>103_2007_2007,104_4014_4014</v>
      </c>
      <c r="M1658" s="17" t="str">
        <f>equip.xml!Q1662</f>
        <v>equipment/1118.png</v>
      </c>
      <c r="N1658" s="16" t="str">
        <f>equip.xml!P1662</f>
        <v>10000_1002_60000,30000_30001_1,30000_30002_1,30000_30003_1</v>
      </c>
      <c r="O1658">
        <f>equip.xml!R1662</f>
        <v>0</v>
      </c>
    </row>
    <row r="1659" spans="1:15">
      <c r="A1659" s="14" t="str">
        <f>equip.xml!A1663</f>
        <v>40601051</v>
      </c>
      <c r="B1659" s="14">
        <f>equip.xml!B1663</f>
        <v>1</v>
      </c>
      <c r="C1659" s="14" t="str">
        <f>equip.xml!C1663</f>
        <v>逐光巨剑</v>
      </c>
      <c r="D1659" s="14" t="str">
        <f>equip.xml!D1663</f>
        <v>主手武器</v>
      </c>
      <c r="E1659" s="14">
        <f>equip.xml!E1663</f>
        <v>5</v>
      </c>
      <c r="F1659" s="14">
        <f>equip.xml!F1663</f>
        <v>4</v>
      </c>
      <c r="G1659" s="14">
        <f>equip.xml!G1663</f>
        <v>60</v>
      </c>
      <c r="H1659" s="14" t="str">
        <f>equip.xml!H1663</f>
        <v>1,1001</v>
      </c>
      <c r="I1659" s="14">
        <f>equip.xml!J1663</f>
        <v>50</v>
      </c>
      <c r="J1659" s="14">
        <f>equip.xml!K1663</f>
        <v>500</v>
      </c>
      <c r="K1659" s="14">
        <f>equip.xml!L1663</f>
        <v>35000</v>
      </c>
      <c r="L1659" s="14" t="str">
        <f>equip.xml!M1663</f>
        <v>103_2252_2252,104_4504_4504</v>
      </c>
      <c r="M1659" s="17" t="str">
        <f>equip.xml!Q1663</f>
        <v>equipment/1122.png</v>
      </c>
      <c r="N1659" s="16" t="str">
        <f>equip.xml!P1663</f>
        <v>10000_1002_60000,30000_30001_1,30000_30002_1,30000_30003_1</v>
      </c>
      <c r="O1659">
        <f>equip.xml!R1663</f>
        <v>0</v>
      </c>
    </row>
    <row r="1660" spans="1:15">
      <c r="A1660" s="14" t="str">
        <f>equip.xml!A1664</f>
        <v>40601060</v>
      </c>
      <c r="B1660" s="14">
        <f>equip.xml!B1664</f>
        <v>1</v>
      </c>
      <c r="C1660" s="14" t="str">
        <f>equip.xml!C1664</f>
        <v>灵魂壁垒</v>
      </c>
      <c r="D1660" s="14" t="str">
        <f>equip.xml!D1664</f>
        <v>副手武器</v>
      </c>
      <c r="E1660" s="14">
        <f>equip.xml!E1664</f>
        <v>6</v>
      </c>
      <c r="F1660" s="14">
        <f>equip.xml!F1664</f>
        <v>4</v>
      </c>
      <c r="G1660" s="14">
        <f>equip.xml!G1664</f>
        <v>60</v>
      </c>
      <c r="H1660" s="14" t="str">
        <f>equip.xml!H1664</f>
        <v>1,1001</v>
      </c>
      <c r="I1660" s="14">
        <f>equip.xml!J1664</f>
        <v>50</v>
      </c>
      <c r="J1660" s="14">
        <f>equip.xml!K1664</f>
        <v>500</v>
      </c>
      <c r="K1660" s="14">
        <f>equip.xml!L1664</f>
        <v>32500</v>
      </c>
      <c r="L1660" s="14" t="str">
        <f>equip.xml!M1664</f>
        <v>105_2515_2515</v>
      </c>
      <c r="M1660" s="17" t="str">
        <f>equip.xml!Q1664</f>
        <v>equipment/2115.png</v>
      </c>
      <c r="N1660" s="16" t="str">
        <f>equip.xml!P1664</f>
        <v>10000_1002_60000,30000_30001_1,30000_30002_1,30000_30003_1</v>
      </c>
      <c r="O1660">
        <f>equip.xml!R1664</f>
        <v>0</v>
      </c>
    </row>
    <row r="1661" spans="1:15">
      <c r="A1661" s="14" t="str">
        <f>equip.xml!A1665</f>
        <v>40601061</v>
      </c>
      <c r="B1661" s="14">
        <f>equip.xml!B1665</f>
        <v>0</v>
      </c>
      <c r="C1661" s="14" t="str">
        <f>equip.xml!C1665</f>
        <v>尖头盾</v>
      </c>
      <c r="D1661" s="14" t="str">
        <f>equip.xml!D1665</f>
        <v>副手武器</v>
      </c>
      <c r="E1661" s="14">
        <f>equip.xml!E1665</f>
        <v>6</v>
      </c>
      <c r="F1661" s="14">
        <f>equip.xml!F1665</f>
        <v>4</v>
      </c>
      <c r="G1661" s="14">
        <f>equip.xml!G1665</f>
        <v>60</v>
      </c>
      <c r="H1661" s="14" t="str">
        <f>equip.xml!H1665</f>
        <v>1,1001</v>
      </c>
      <c r="I1661" s="14">
        <f>equip.xml!J1665</f>
        <v>50</v>
      </c>
      <c r="J1661" s="14">
        <f>equip.xml!K1665</f>
        <v>500</v>
      </c>
      <c r="K1661" s="14">
        <f>equip.xml!L1665</f>
        <v>35000</v>
      </c>
      <c r="L1661" s="14" t="str">
        <f>equip.xml!M1665</f>
        <v>105_2704_2704</v>
      </c>
      <c r="M1661" s="17" t="str">
        <f>equip.xml!Q1665</f>
        <v>equipment/2101.png</v>
      </c>
      <c r="N1661" s="16" t="str">
        <f>equip.xml!P1665</f>
        <v>10000_1002_60000,30000_30001_1,30000_30002_1,30000_30003_1</v>
      </c>
      <c r="O1661">
        <f>equip.xml!R1665</f>
        <v>0</v>
      </c>
    </row>
    <row r="1662" spans="1:15">
      <c r="A1662" s="14" t="str">
        <f>equip.xml!A1666</f>
        <v>40602050</v>
      </c>
      <c r="B1662" s="14">
        <f>equip.xml!B1666</f>
        <v>1</v>
      </c>
      <c r="C1662" s="14" t="str">
        <f>equip.xml!C1666</f>
        <v>暗之追猎者</v>
      </c>
      <c r="D1662" s="14" t="str">
        <f>equip.xml!D1666</f>
        <v>主手武器</v>
      </c>
      <c r="E1662" s="14">
        <f>equip.xml!E1666</f>
        <v>5</v>
      </c>
      <c r="F1662" s="14">
        <f>equip.xml!F1666</f>
        <v>4</v>
      </c>
      <c r="G1662" s="14">
        <f>equip.xml!G1666</f>
        <v>60</v>
      </c>
      <c r="H1662" s="14" t="str">
        <f>equip.xml!H1666</f>
        <v>2,1002</v>
      </c>
      <c r="I1662" s="14">
        <f>equip.xml!J1666</f>
        <v>50</v>
      </c>
      <c r="J1662" s="14">
        <f>equip.xml!K1666</f>
        <v>500</v>
      </c>
      <c r="K1662" s="14">
        <f>equip.xml!L1666</f>
        <v>32500</v>
      </c>
      <c r="L1662" s="14" t="str">
        <f>equip.xml!M1666</f>
        <v>103_2007_2007,104_4014_4014</v>
      </c>
      <c r="M1662" s="17" t="str">
        <f>equip.xml!Q1666</f>
        <v>equipment/1220.png</v>
      </c>
      <c r="N1662" s="16" t="str">
        <f>equip.xml!P1666</f>
        <v>10000_1002_60000,30000_30001_1,30000_30002_1,30000_30003_1</v>
      </c>
      <c r="O1662">
        <f>equip.xml!R1666</f>
        <v>0</v>
      </c>
    </row>
    <row r="1663" spans="1:15">
      <c r="A1663" s="14" t="str">
        <f>equip.xml!A1667</f>
        <v>40602051</v>
      </c>
      <c r="B1663" s="14">
        <f>equip.xml!B1667</f>
        <v>0</v>
      </c>
      <c r="C1663" s="14" t="str">
        <f>equip.xml!C1667</f>
        <v>棘木弓</v>
      </c>
      <c r="D1663" s="14" t="str">
        <f>equip.xml!D1667</f>
        <v>主手武器</v>
      </c>
      <c r="E1663" s="14">
        <f>equip.xml!E1667</f>
        <v>5</v>
      </c>
      <c r="F1663" s="14">
        <f>equip.xml!F1667</f>
        <v>4</v>
      </c>
      <c r="G1663" s="14">
        <f>equip.xml!G1667</f>
        <v>60</v>
      </c>
      <c r="H1663" s="14" t="str">
        <f>equip.xml!H1667</f>
        <v>2,1002</v>
      </c>
      <c r="I1663" s="14">
        <f>equip.xml!J1667</f>
        <v>50</v>
      </c>
      <c r="J1663" s="14">
        <f>equip.xml!K1667</f>
        <v>500</v>
      </c>
      <c r="K1663" s="14">
        <f>equip.xml!L1667</f>
        <v>35000</v>
      </c>
      <c r="L1663" s="14" t="str">
        <f>equip.xml!M1667</f>
        <v>103_2252_2252,104_4504_4504</v>
      </c>
      <c r="M1663" s="17" t="str">
        <f>equip.xml!Q1667</f>
        <v>equipment/1201.png</v>
      </c>
      <c r="N1663" s="16" t="str">
        <f>equip.xml!P1667</f>
        <v>10000_1002_60000,30000_30001_1,30000_30002_1,30000_30003_1</v>
      </c>
      <c r="O1663">
        <f>equip.xml!R1667</f>
        <v>0</v>
      </c>
    </row>
    <row r="1664" spans="1:15">
      <c r="A1664" s="14" t="str">
        <f>equip.xml!A1668</f>
        <v>40602060</v>
      </c>
      <c r="B1664" s="14">
        <f>equip.xml!B1668</f>
        <v>1</v>
      </c>
      <c r="C1664" s="14" t="str">
        <f>equip.xml!C1668</f>
        <v>猎星箭袋</v>
      </c>
      <c r="D1664" s="14" t="str">
        <f>equip.xml!D1668</f>
        <v>副手武器</v>
      </c>
      <c r="E1664" s="14">
        <f>equip.xml!E1668</f>
        <v>6</v>
      </c>
      <c r="F1664" s="14">
        <f>equip.xml!F1668</f>
        <v>4</v>
      </c>
      <c r="G1664" s="14">
        <f>equip.xml!G1668</f>
        <v>60</v>
      </c>
      <c r="H1664" s="14" t="str">
        <f>equip.xml!H1668</f>
        <v>2,1002</v>
      </c>
      <c r="I1664" s="14">
        <f>equip.xml!J1668</f>
        <v>50</v>
      </c>
      <c r="J1664" s="14">
        <f>equip.xml!K1668</f>
        <v>500</v>
      </c>
      <c r="K1664" s="14">
        <f>equip.xml!L1668</f>
        <v>32500</v>
      </c>
      <c r="L1664" s="14" t="str">
        <f>equip.xml!M1668</f>
        <v>108_2515_2515</v>
      </c>
      <c r="M1664" s="17" t="str">
        <f>equip.xml!Q1668</f>
        <v>equipment/2215.png</v>
      </c>
      <c r="N1664" s="16" t="str">
        <f>equip.xml!P1668</f>
        <v>10000_1002_60000,30000_30001_1,30000_30002_1,30000_30003_1</v>
      </c>
      <c r="O1664">
        <f>equip.xml!R1668</f>
        <v>0</v>
      </c>
    </row>
    <row r="1665" spans="1:15">
      <c r="A1665" s="14" t="str">
        <f>equip.xml!A1669</f>
        <v>40602061</v>
      </c>
      <c r="B1665" s="14">
        <f>equip.xml!B1669</f>
        <v>0</v>
      </c>
      <c r="C1665" s="14" t="str">
        <f>equip.xml!C1669</f>
        <v>箭筒</v>
      </c>
      <c r="D1665" s="14" t="str">
        <f>equip.xml!D1669</f>
        <v>副手武器</v>
      </c>
      <c r="E1665" s="14">
        <f>equip.xml!E1669</f>
        <v>6</v>
      </c>
      <c r="F1665" s="14">
        <f>equip.xml!F1669</f>
        <v>4</v>
      </c>
      <c r="G1665" s="14">
        <f>equip.xml!G1669</f>
        <v>60</v>
      </c>
      <c r="H1665" s="14" t="str">
        <f>equip.xml!H1669</f>
        <v>2,1002</v>
      </c>
      <c r="I1665" s="14">
        <f>equip.xml!J1669</f>
        <v>50</v>
      </c>
      <c r="J1665" s="14">
        <f>equip.xml!K1669</f>
        <v>500</v>
      </c>
      <c r="K1665" s="14">
        <f>equip.xml!L1669</f>
        <v>35000</v>
      </c>
      <c r="L1665" s="14" t="str">
        <f>equip.xml!M1669</f>
        <v>108_2704_2704</v>
      </c>
      <c r="M1665" s="17" t="str">
        <f>equip.xml!Q1669</f>
        <v>equipment/2201.png</v>
      </c>
      <c r="N1665" s="16" t="str">
        <f>equip.xml!P1669</f>
        <v>10000_1002_60000,30000_30001_1,30000_30002_1,30000_30003_1</v>
      </c>
      <c r="O1665">
        <f>equip.xml!R1669</f>
        <v>0</v>
      </c>
    </row>
    <row r="1666" spans="1:15">
      <c r="A1666" s="14" t="str">
        <f>equip.xml!A1670</f>
        <v>40603050</v>
      </c>
      <c r="B1666" s="14">
        <f>equip.xml!B1670</f>
        <v>1</v>
      </c>
      <c r="C1666" s="14" t="str">
        <f>equip.xml!C1670</f>
        <v>无尽回响之杖</v>
      </c>
      <c r="D1666" s="14" t="str">
        <f>equip.xml!D1670</f>
        <v>主手武器</v>
      </c>
      <c r="E1666" s="14">
        <f>equip.xml!E1670</f>
        <v>5</v>
      </c>
      <c r="F1666" s="14">
        <f>equip.xml!F1670</f>
        <v>4</v>
      </c>
      <c r="G1666" s="14">
        <f>equip.xml!G1670</f>
        <v>60</v>
      </c>
      <c r="H1666" s="14" t="str">
        <f>equip.xml!H1670</f>
        <v>3,1003</v>
      </c>
      <c r="I1666" s="14">
        <f>equip.xml!J1670</f>
        <v>50</v>
      </c>
      <c r="J1666" s="14">
        <f>equip.xml!K1670</f>
        <v>500</v>
      </c>
      <c r="K1666" s="14">
        <f>equip.xml!L1670</f>
        <v>32500</v>
      </c>
      <c r="L1666" s="14" t="str">
        <f>equip.xml!M1670</f>
        <v>103_2007_2007,104_4014_4014</v>
      </c>
      <c r="M1666" s="17" t="str">
        <f>equip.xml!Q1670</f>
        <v>equipment/1322.png</v>
      </c>
      <c r="N1666" s="16" t="str">
        <f>equip.xml!P1670</f>
        <v>10000_1002_60000,30000_30001_1,30000_30002_1,30000_30003_1</v>
      </c>
      <c r="O1666">
        <f>equip.xml!R1670</f>
        <v>0</v>
      </c>
    </row>
    <row r="1667" spans="1:15">
      <c r="A1667" s="14" t="str">
        <f>equip.xml!A1671</f>
        <v>40603051</v>
      </c>
      <c r="B1667" s="14">
        <f>equip.xml!B1671</f>
        <v>0</v>
      </c>
      <c r="C1667" s="14" t="str">
        <f>equip.xml!C1671</f>
        <v>日辉法杖</v>
      </c>
      <c r="D1667" s="14" t="str">
        <f>equip.xml!D1671</f>
        <v>主手武器</v>
      </c>
      <c r="E1667" s="14">
        <f>equip.xml!E1671</f>
        <v>5</v>
      </c>
      <c r="F1667" s="14">
        <f>equip.xml!F1671</f>
        <v>4</v>
      </c>
      <c r="G1667" s="14">
        <f>equip.xml!G1671</f>
        <v>60</v>
      </c>
      <c r="H1667" s="14" t="str">
        <f>equip.xml!H1671</f>
        <v>3,1003</v>
      </c>
      <c r="I1667" s="14">
        <f>equip.xml!J1671</f>
        <v>50</v>
      </c>
      <c r="J1667" s="14">
        <f>equip.xml!K1671</f>
        <v>500</v>
      </c>
      <c r="K1667" s="14">
        <f>equip.xml!L1671</f>
        <v>35000</v>
      </c>
      <c r="L1667" s="14" t="str">
        <f>equip.xml!M1671</f>
        <v>103_2252_2252,104_4504_4504</v>
      </c>
      <c r="M1667" s="17" t="str">
        <f>equip.xml!Q1671</f>
        <v>equipment/1301.png</v>
      </c>
      <c r="N1667" s="16" t="str">
        <f>equip.xml!P1671</f>
        <v>10000_1002_60000,30000_30001_1,30000_30002_1,30000_30003_1</v>
      </c>
      <c r="O1667">
        <f>equip.xml!R1671</f>
        <v>0</v>
      </c>
    </row>
    <row r="1668" spans="1:15">
      <c r="A1668" s="14" t="str">
        <f>equip.xml!A1672</f>
        <v>40603060</v>
      </c>
      <c r="B1668" s="14">
        <f>equip.xml!B1672</f>
        <v>1</v>
      </c>
      <c r="C1668" s="14" t="str">
        <f>equip.xml!C1672</f>
        <v>星图指南</v>
      </c>
      <c r="D1668" s="14" t="str">
        <f>equip.xml!D1672</f>
        <v>副手武器</v>
      </c>
      <c r="E1668" s="14">
        <f>equip.xml!E1672</f>
        <v>6</v>
      </c>
      <c r="F1668" s="14">
        <f>equip.xml!F1672</f>
        <v>4</v>
      </c>
      <c r="G1668" s="14">
        <f>equip.xml!G1672</f>
        <v>60</v>
      </c>
      <c r="H1668" s="14" t="str">
        <f>equip.xml!H1672</f>
        <v>3,1003</v>
      </c>
      <c r="I1668" s="14">
        <f>equip.xml!J1672</f>
        <v>50</v>
      </c>
      <c r="J1668" s="14">
        <f>equip.xml!K1672</f>
        <v>500</v>
      </c>
      <c r="K1668" s="14">
        <f>equip.xml!L1672</f>
        <v>32500</v>
      </c>
      <c r="L1668" s="14" t="str">
        <f>equip.xml!M1672</f>
        <v>102_2260_2260</v>
      </c>
      <c r="M1668" s="17" t="str">
        <f>equip.xml!Q1672</f>
        <v>equipment/2315.png</v>
      </c>
      <c r="N1668" s="16" t="str">
        <f>equip.xml!P1672</f>
        <v>10000_1002_60000,30000_30001_1,30000_30002_1,30000_30003_1</v>
      </c>
      <c r="O1668">
        <f>equip.xml!R1672</f>
        <v>0</v>
      </c>
    </row>
    <row r="1669" spans="1:15">
      <c r="A1669" s="14" t="str">
        <f>equip.xml!A1673</f>
        <v>40603061</v>
      </c>
      <c r="B1669" s="14">
        <f>equip.xml!B1673</f>
        <v>0</v>
      </c>
      <c r="C1669" s="14" t="str">
        <f>equip.xml!C1673</f>
        <v>法术指南</v>
      </c>
      <c r="D1669" s="14" t="str">
        <f>equip.xml!D1673</f>
        <v>副手武器</v>
      </c>
      <c r="E1669" s="14">
        <f>equip.xml!E1673</f>
        <v>6</v>
      </c>
      <c r="F1669" s="14">
        <f>equip.xml!F1673</f>
        <v>4</v>
      </c>
      <c r="G1669" s="14">
        <f>equip.xml!G1673</f>
        <v>60</v>
      </c>
      <c r="H1669" s="14" t="str">
        <f>equip.xml!H1673</f>
        <v>3,1003</v>
      </c>
      <c r="I1669" s="14">
        <f>equip.xml!J1673</f>
        <v>50</v>
      </c>
      <c r="J1669" s="14">
        <f>equip.xml!K1673</f>
        <v>500</v>
      </c>
      <c r="K1669" s="14">
        <f>equip.xml!L1673</f>
        <v>35000</v>
      </c>
      <c r="L1669" s="14" t="str">
        <f>equip.xml!M1673</f>
        <v>102_2704_2704</v>
      </c>
      <c r="M1669" s="17" t="str">
        <f>equip.xml!Q1673</f>
        <v>equipment/2301.png</v>
      </c>
      <c r="N1669" s="16" t="str">
        <f>equip.xml!P1673</f>
        <v>10000_1002_60000,30000_30001_1,30000_30002_1,30000_30003_1</v>
      </c>
      <c r="O1669">
        <f>equip.xml!R1673</f>
        <v>0</v>
      </c>
    </row>
    <row r="1670" spans="1:15">
      <c r="A1670" s="14" t="str">
        <f>equip.xml!A1674</f>
        <v>40600040</v>
      </c>
      <c r="B1670" s="14">
        <f>equip.xml!B1674</f>
        <v>1</v>
      </c>
      <c r="C1670" s="14" t="str">
        <f>equip.xml!C1674</f>
        <v>明光战甲</v>
      </c>
      <c r="D1670" s="14" t="str">
        <f>equip.xml!D1674</f>
        <v>胸甲</v>
      </c>
      <c r="E1670" s="14">
        <f>equip.xml!E1674</f>
        <v>4</v>
      </c>
      <c r="F1670" s="14">
        <f>equip.xml!F1674</f>
        <v>4</v>
      </c>
      <c r="G1670" s="14">
        <f>equip.xml!G1674</f>
        <v>60</v>
      </c>
      <c r="H1670" s="14">
        <f>equip.xml!H1674</f>
        <v>0</v>
      </c>
      <c r="I1670" s="14">
        <f>equip.xml!J1674</f>
        <v>50</v>
      </c>
      <c r="J1670" s="14">
        <f>equip.xml!K1674</f>
        <v>500</v>
      </c>
      <c r="K1670" s="14">
        <f>equip.xml!L1674</f>
        <v>32500</v>
      </c>
      <c r="L1670" s="14" t="str">
        <f>equip.xml!M1674</f>
        <v>105_1377_1377</v>
      </c>
      <c r="M1670" s="17" t="str">
        <f>equip.xml!Q1674</f>
        <v>equipment/5016.png</v>
      </c>
      <c r="N1670" s="16" t="str">
        <f>equip.xml!P1674</f>
        <v>10000_1002_60000,30000_30001_1,30000_30002_1,30000_30003_1</v>
      </c>
      <c r="O1670">
        <f>equip.xml!R1674</f>
        <v>0</v>
      </c>
    </row>
    <row r="1671" spans="1:15">
      <c r="A1671" s="14" t="str">
        <f>equip.xml!A1675</f>
        <v>40600041</v>
      </c>
      <c r="B1671" s="14">
        <f>equip.xml!B1675</f>
        <v>0</v>
      </c>
      <c r="C1671" s="14" t="str">
        <f>equip.xml!C1675</f>
        <v>龙骑战甲</v>
      </c>
      <c r="D1671" s="14" t="str">
        <f>equip.xml!D1675</f>
        <v>胸甲</v>
      </c>
      <c r="E1671" s="14">
        <f>equip.xml!E1675</f>
        <v>4</v>
      </c>
      <c r="F1671" s="14">
        <f>equip.xml!F1675</f>
        <v>4</v>
      </c>
      <c r="G1671" s="14">
        <f>equip.xml!G1675</f>
        <v>60</v>
      </c>
      <c r="H1671" s="14">
        <f>equip.xml!H1675</f>
        <v>0</v>
      </c>
      <c r="I1671" s="14">
        <f>equip.xml!J1675</f>
        <v>50</v>
      </c>
      <c r="J1671" s="14">
        <f>equip.xml!K1675</f>
        <v>500</v>
      </c>
      <c r="K1671" s="14">
        <f>equip.xml!L1675</f>
        <v>35000</v>
      </c>
      <c r="L1671" s="14" t="str">
        <f>equip.xml!M1675</f>
        <v>105_1477_1477</v>
      </c>
      <c r="M1671" s="17" t="str">
        <f>equip.xml!Q1675</f>
        <v>equipment/5001.png</v>
      </c>
      <c r="N1671" s="16" t="str">
        <f>equip.xml!P1675</f>
        <v>10000_1002_60000,30000_30001_1,30000_30002_1,30000_30003_1</v>
      </c>
      <c r="O1671">
        <f>equip.xml!R1675</f>
        <v>0</v>
      </c>
    </row>
    <row r="1672" spans="1:15">
      <c r="A1672" s="14" t="str">
        <f>equip.xml!A1676</f>
        <v>40600070</v>
      </c>
      <c r="B1672" s="14">
        <f>equip.xml!B1676</f>
        <v>1</v>
      </c>
      <c r="C1672" s="14" t="str">
        <f>equip.xml!C1676</f>
        <v>深渊护腿</v>
      </c>
      <c r="D1672" s="14" t="str">
        <f>equip.xml!D1676</f>
        <v>护腿</v>
      </c>
      <c r="E1672" s="14">
        <f>equip.xml!E1676</f>
        <v>7</v>
      </c>
      <c r="F1672" s="14">
        <f>equip.xml!F1676</f>
        <v>4</v>
      </c>
      <c r="G1672" s="14">
        <f>equip.xml!G1676</f>
        <v>60</v>
      </c>
      <c r="H1672" s="14">
        <f>equip.xml!H1676</f>
        <v>0</v>
      </c>
      <c r="I1672" s="14">
        <f>equip.xml!J1676</f>
        <v>50</v>
      </c>
      <c r="J1672" s="14">
        <f>equip.xml!K1676</f>
        <v>500</v>
      </c>
      <c r="K1672" s="14">
        <f>equip.xml!L1676</f>
        <v>32500</v>
      </c>
      <c r="L1672" s="14" t="str">
        <f>equip.xml!M1676</f>
        <v>105_1152_1152</v>
      </c>
      <c r="M1672" s="17" t="str">
        <f>equip.xml!Q1676</f>
        <v>equipment/7014.png</v>
      </c>
      <c r="N1672" s="16" t="str">
        <f>equip.xml!P1676</f>
        <v>10000_1002_60000,30000_30001_1,30000_30002_1,30000_30003_1</v>
      </c>
      <c r="O1672">
        <f>equip.xml!R1676</f>
        <v>0</v>
      </c>
    </row>
    <row r="1673" spans="1:15">
      <c r="A1673" s="14" t="str">
        <f>equip.xml!A1677</f>
        <v>40600071</v>
      </c>
      <c r="B1673" s="14">
        <f>equip.xml!B1677</f>
        <v>1</v>
      </c>
      <c r="C1673" s="14" t="str">
        <f>equip.xml!C1677</f>
        <v>光耀腿甲</v>
      </c>
      <c r="D1673" s="14" t="str">
        <f>equip.xml!D1677</f>
        <v>护腿</v>
      </c>
      <c r="E1673" s="14">
        <f>equip.xml!E1677</f>
        <v>7</v>
      </c>
      <c r="F1673" s="14">
        <f>equip.xml!F1677</f>
        <v>4</v>
      </c>
      <c r="G1673" s="14">
        <f>equip.xml!G1677</f>
        <v>60</v>
      </c>
      <c r="H1673" s="14">
        <f>equip.xml!H1677</f>
        <v>0</v>
      </c>
      <c r="I1673" s="14">
        <f>equip.xml!J1677</f>
        <v>50</v>
      </c>
      <c r="J1673" s="14">
        <f>equip.xml!K1677</f>
        <v>500</v>
      </c>
      <c r="K1673" s="14">
        <f>equip.xml!L1677</f>
        <v>35000</v>
      </c>
      <c r="L1673" s="14" t="str">
        <f>equip.xml!M1677</f>
        <v>105_1342_1342</v>
      </c>
      <c r="M1673" s="17" t="str">
        <f>equip.xml!Q1677</f>
        <v>equipment/7015.png</v>
      </c>
      <c r="N1673" s="16" t="str">
        <f>equip.xml!P1677</f>
        <v>10000_1002_60000,30000_30001_1,30000_30002_1,30000_30003_1</v>
      </c>
      <c r="O1673">
        <f>equip.xml!R1677</f>
        <v>0</v>
      </c>
    </row>
    <row r="1674" spans="1:15">
      <c r="A1674" s="14" t="str">
        <f>equip.xml!A1678</f>
        <v>40650010</v>
      </c>
      <c r="B1674" s="14">
        <f>equip.xml!B1678</f>
        <v>1</v>
      </c>
      <c r="C1674" s="14" t="str">
        <f>equip.xml!C1678</f>
        <v>虚空之冠</v>
      </c>
      <c r="D1674" s="14" t="str">
        <f>equip.xml!D1678</f>
        <v>头盔</v>
      </c>
      <c r="E1674" s="14">
        <f>equip.xml!E1678</f>
        <v>1</v>
      </c>
      <c r="F1674" s="14">
        <f>equip.xml!F1678</f>
        <v>4</v>
      </c>
      <c r="G1674" s="14">
        <f>equip.xml!G1678</f>
        <v>65</v>
      </c>
      <c r="H1674" s="14">
        <f>equip.xml!H1678</f>
        <v>0</v>
      </c>
      <c r="I1674" s="14">
        <f>equip.xml!J1678</f>
        <v>50</v>
      </c>
      <c r="J1674" s="14">
        <f>equip.xml!K1678</f>
        <v>500</v>
      </c>
      <c r="K1674" s="14">
        <f>equip.xml!L1678</f>
        <v>35000</v>
      </c>
      <c r="L1674" s="14" t="str">
        <f>equip.xml!M1678</f>
        <v>106_2015_2015</v>
      </c>
      <c r="M1674" s="17" t="str">
        <f>equip.xml!Q1678</f>
        <v>equipment/3011.png</v>
      </c>
      <c r="N1674" s="16" t="str">
        <f>equip.xml!P1678</f>
        <v>10000_1002_65000,30000_30001_1,30000_30002_1,30000_30003_1</v>
      </c>
      <c r="O1674">
        <f>equip.xml!R1678</f>
        <v>0</v>
      </c>
    </row>
    <row r="1675" spans="1:15">
      <c r="A1675" s="14" t="str">
        <f>equip.xml!A1679</f>
        <v>40650020</v>
      </c>
      <c r="B1675" s="14">
        <f>equip.xml!B1679</f>
        <v>1</v>
      </c>
      <c r="C1675" s="14" t="str">
        <f>equip.xml!C1679</f>
        <v>圣火指环</v>
      </c>
      <c r="D1675" s="14" t="str">
        <f>equip.xml!D1679</f>
        <v>戒指</v>
      </c>
      <c r="E1675" s="14">
        <f>equip.xml!E1679</f>
        <v>2</v>
      </c>
      <c r="F1675" s="14">
        <f>equip.xml!F1679</f>
        <v>4</v>
      </c>
      <c r="G1675" s="14">
        <f>equip.xml!G1679</f>
        <v>65</v>
      </c>
      <c r="H1675" s="14">
        <f>equip.xml!H1679</f>
        <v>0</v>
      </c>
      <c r="I1675" s="14">
        <f>equip.xml!J1679</f>
        <v>50</v>
      </c>
      <c r="J1675" s="14">
        <f>equip.xml!K1679</f>
        <v>500</v>
      </c>
      <c r="K1675" s="14">
        <f>equip.xml!L1679</f>
        <v>35000</v>
      </c>
      <c r="L1675" s="14" t="str">
        <f>equip.xml!M1679</f>
        <v>102_1470_1470</v>
      </c>
      <c r="M1675" s="17" t="str">
        <f>equip.xml!Q1679</f>
        <v>equipment/14011.png</v>
      </c>
      <c r="N1675" s="16" t="str">
        <f>equip.xml!P1679</f>
        <v>10000_1002_65000,30000_30001_1,30000_30002_1,30000_30003_1</v>
      </c>
      <c r="O1675">
        <f>equip.xml!R1679</f>
        <v>0</v>
      </c>
    </row>
    <row r="1676" spans="1:15">
      <c r="A1676" s="14" t="str">
        <f>equip.xml!A1680</f>
        <v>40650030</v>
      </c>
      <c r="B1676" s="14">
        <f>equip.xml!B1680</f>
        <v>1</v>
      </c>
      <c r="C1676" s="14" t="str">
        <f>equip.xml!C1680</f>
        <v>统御腰带</v>
      </c>
      <c r="D1676" s="14" t="str">
        <f>equip.xml!D1680</f>
        <v>腰带</v>
      </c>
      <c r="E1676" s="14">
        <f>equip.xml!E1680</f>
        <v>3</v>
      </c>
      <c r="F1676" s="14">
        <f>equip.xml!F1680</f>
        <v>4</v>
      </c>
      <c r="G1676" s="14">
        <f>equip.xml!G1680</f>
        <v>65</v>
      </c>
      <c r="H1676" s="14">
        <f>equip.xml!H1680</f>
        <v>0</v>
      </c>
      <c r="I1676" s="14">
        <f>equip.xml!J1680</f>
        <v>50</v>
      </c>
      <c r="J1676" s="14">
        <f>equip.xml!K1680</f>
        <v>500</v>
      </c>
      <c r="K1676" s="14">
        <f>equip.xml!L1680</f>
        <v>35000</v>
      </c>
      <c r="L1676" s="14" t="str">
        <f>equip.xml!M1680</f>
        <v>101_16900_16900</v>
      </c>
      <c r="M1676" s="17" t="str">
        <f>equip.xml!Q1680</f>
        <v>equipment/6011.png</v>
      </c>
      <c r="N1676" s="16" t="str">
        <f>equip.xml!P1680</f>
        <v>10000_1002_65000,30000_30001_1,30000_30002_1,30000_30003_1</v>
      </c>
      <c r="O1676">
        <f>equip.xml!R1680</f>
        <v>0</v>
      </c>
    </row>
    <row r="1677" spans="1:15">
      <c r="A1677" s="14" t="str">
        <f>equip.xml!A1681</f>
        <v>40650080</v>
      </c>
      <c r="B1677" s="14">
        <f>equip.xml!B1681</f>
        <v>1</v>
      </c>
      <c r="C1677" s="14" t="str">
        <f>equip.xml!C1681</f>
        <v>狱火战靴</v>
      </c>
      <c r="D1677" s="14" t="str">
        <f>equip.xml!D1681</f>
        <v>鞋子</v>
      </c>
      <c r="E1677" s="14">
        <f>equip.xml!E1681</f>
        <v>8</v>
      </c>
      <c r="F1677" s="14">
        <f>equip.xml!F1681</f>
        <v>4</v>
      </c>
      <c r="G1677" s="14">
        <f>equip.xml!G1681</f>
        <v>65</v>
      </c>
      <c r="H1677" s="14">
        <f>equip.xml!H1681</f>
        <v>0</v>
      </c>
      <c r="I1677" s="14">
        <f>equip.xml!J1681</f>
        <v>50</v>
      </c>
      <c r="J1677" s="14">
        <f>equip.xml!K1681</f>
        <v>500</v>
      </c>
      <c r="K1677" s="14">
        <f>equip.xml!L1681</f>
        <v>35000</v>
      </c>
      <c r="L1677" s="14" t="str">
        <f>equip.xml!M1681</f>
        <v>110_352_352</v>
      </c>
      <c r="M1677" s="17" t="str">
        <f>equip.xml!Q1681</f>
        <v>equipment/8011.png</v>
      </c>
      <c r="N1677" s="16" t="str">
        <f>equip.xml!P1681</f>
        <v>10000_1002_65000,30000_30001_1,30000_30002_1,30000_30003_1</v>
      </c>
      <c r="O1677">
        <f>equip.xml!R1681</f>
        <v>0</v>
      </c>
    </row>
    <row r="1678" spans="1:15">
      <c r="A1678" s="14" t="str">
        <f>equip.xml!A1682</f>
        <v>40650090</v>
      </c>
      <c r="B1678" s="14">
        <f>equip.xml!B1682</f>
        <v>1</v>
      </c>
      <c r="C1678" s="14" t="str">
        <f>equip.xml!C1682</f>
        <v>荣耀先驱护手</v>
      </c>
      <c r="D1678" s="14" t="str">
        <f>equip.xml!D1682</f>
        <v>手套</v>
      </c>
      <c r="E1678" s="14">
        <f>equip.xml!E1682</f>
        <v>9</v>
      </c>
      <c r="F1678" s="14">
        <f>equip.xml!F1682</f>
        <v>4</v>
      </c>
      <c r="G1678" s="14">
        <f>equip.xml!G1682</f>
        <v>65</v>
      </c>
      <c r="H1678" s="14">
        <f>equip.xml!H1682</f>
        <v>0</v>
      </c>
      <c r="I1678" s="14">
        <f>equip.xml!J1682</f>
        <v>50</v>
      </c>
      <c r="J1678" s="14">
        <f>equip.xml!K1682</f>
        <v>500</v>
      </c>
      <c r="K1678" s="14">
        <f>equip.xml!L1682</f>
        <v>35000</v>
      </c>
      <c r="L1678" s="14" t="str">
        <f>equip.xml!M1682</f>
        <v>108_3884_3884</v>
      </c>
      <c r="M1678" s="17" t="str">
        <f>equip.xml!Q1682</f>
        <v>equipment/10011.png</v>
      </c>
      <c r="N1678" s="16" t="str">
        <f>equip.xml!P1682</f>
        <v>10000_1002_65000,30000_30001_1,30000_30002_1,30000_30003_1</v>
      </c>
      <c r="O1678">
        <f>equip.xml!R1682</f>
        <v>0</v>
      </c>
    </row>
    <row r="1679" spans="1:15">
      <c r="A1679" s="14" t="str">
        <f>equip.xml!A1683</f>
        <v>40650100</v>
      </c>
      <c r="B1679" s="14">
        <f>equip.xml!B1683</f>
        <v>1</v>
      </c>
      <c r="C1679" s="14" t="str">
        <f>equip.xml!C1683</f>
        <v>救赎坠饰</v>
      </c>
      <c r="D1679" s="14" t="str">
        <f>equip.xml!D1683</f>
        <v>项链</v>
      </c>
      <c r="E1679" s="14">
        <f>equip.xml!E1683</f>
        <v>10</v>
      </c>
      <c r="F1679" s="14">
        <f>equip.xml!F1683</f>
        <v>4</v>
      </c>
      <c r="G1679" s="14">
        <f>equip.xml!G1683</f>
        <v>65</v>
      </c>
      <c r="H1679" s="14">
        <f>equip.xml!H1683</f>
        <v>0</v>
      </c>
      <c r="I1679" s="14">
        <f>equip.xml!J1683</f>
        <v>50</v>
      </c>
      <c r="J1679" s="14">
        <f>equip.xml!K1683</f>
        <v>500</v>
      </c>
      <c r="K1679" s="14">
        <f>equip.xml!L1683</f>
        <v>35000</v>
      </c>
      <c r="L1679" s="14" t="str">
        <f>equip.xml!M1683</f>
        <v>107_2015_2015</v>
      </c>
      <c r="M1679" s="17" t="str">
        <f>equip.xml!Q1683</f>
        <v>equipment/12011.png</v>
      </c>
      <c r="N1679" s="16" t="str">
        <f>equip.xml!P1683</f>
        <v>10000_1002_65000,30000_30001_1,30000_30002_1,30000_30003_1</v>
      </c>
      <c r="O1679">
        <f>equip.xml!R1683</f>
        <v>0</v>
      </c>
    </row>
    <row r="1680" spans="1:15">
      <c r="A1680" s="14" t="str">
        <f>equip.xml!A1684</f>
        <v>40651050</v>
      </c>
      <c r="B1680" s="14">
        <f>equip.xml!B1684</f>
        <v>1</v>
      </c>
      <c r="C1680" s="14" t="str">
        <f>equip.xml!C1684</f>
        <v>魂歌之刃</v>
      </c>
      <c r="D1680" s="14" t="str">
        <f>equip.xml!D1684</f>
        <v>主手武器</v>
      </c>
      <c r="E1680" s="14">
        <f>equip.xml!E1684</f>
        <v>5</v>
      </c>
      <c r="F1680" s="14">
        <f>equip.xml!F1684</f>
        <v>4</v>
      </c>
      <c r="G1680" s="14">
        <f>equip.xml!G1684</f>
        <v>65</v>
      </c>
      <c r="H1680" s="14" t="str">
        <f>equip.xml!H1684</f>
        <v>1,1001</v>
      </c>
      <c r="I1680" s="14">
        <f>equip.xml!J1684</f>
        <v>50</v>
      </c>
      <c r="J1680" s="14">
        <f>equip.xml!K1684</f>
        <v>500</v>
      </c>
      <c r="K1680" s="14">
        <f>equip.xml!L1684</f>
        <v>35000</v>
      </c>
      <c r="L1680" s="14" t="str">
        <f>equip.xml!M1684</f>
        <v>103_2619_2619,104_5238_5238</v>
      </c>
      <c r="M1680" s="17" t="str">
        <f>equip.xml!Q1684</f>
        <v>equipment/1123.png</v>
      </c>
      <c r="N1680" s="16" t="str">
        <f>equip.xml!P1684</f>
        <v>10000_1002_65000,30000_30001_1,30000_30002_1,30000_30003_1</v>
      </c>
      <c r="O1680">
        <f>equip.xml!R1684</f>
        <v>0</v>
      </c>
    </row>
    <row r="1681" spans="1:15">
      <c r="A1681" s="14" t="str">
        <f>equip.xml!A1685</f>
        <v>40651051</v>
      </c>
      <c r="B1681" s="14">
        <f>equip.xml!B1685</f>
        <v>0</v>
      </c>
      <c r="C1681" s="14" t="str">
        <f>equip.xml!C1685</f>
        <v>命运</v>
      </c>
      <c r="D1681" s="14" t="str">
        <f>equip.xml!D1685</f>
        <v>主手武器</v>
      </c>
      <c r="E1681" s="14">
        <f>equip.xml!E1685</f>
        <v>5</v>
      </c>
      <c r="F1681" s="14">
        <f>equip.xml!F1685</f>
        <v>4</v>
      </c>
      <c r="G1681" s="14">
        <f>equip.xml!G1685</f>
        <v>65</v>
      </c>
      <c r="H1681" s="14" t="str">
        <f>equip.xml!H1685</f>
        <v>1,1001</v>
      </c>
      <c r="I1681" s="14">
        <f>equip.xml!J1685</f>
        <v>50</v>
      </c>
      <c r="J1681" s="14">
        <f>equip.xml!K1685</f>
        <v>500</v>
      </c>
      <c r="K1681" s="14">
        <f>equip.xml!L1685</f>
        <v>37500</v>
      </c>
      <c r="L1681" s="14" t="str">
        <f>equip.xml!M1685</f>
        <v>103_2854_2854,104_5708_5708</v>
      </c>
      <c r="M1681" s="17" t="str">
        <f>equip.xml!Q1685</f>
        <v>equipment/1101.png</v>
      </c>
      <c r="N1681" s="16" t="str">
        <f>equip.xml!P1685</f>
        <v>10000_1002_65000,30000_30001_1,30000_30002_1,30000_30003_1</v>
      </c>
      <c r="O1681">
        <f>equip.xml!R1685</f>
        <v>0</v>
      </c>
    </row>
    <row r="1682" spans="1:15">
      <c r="A1682" s="14" t="str">
        <f>equip.xml!A1686</f>
        <v>40651060</v>
      </c>
      <c r="B1682" s="14">
        <f>equip.xml!B1686</f>
        <v>1</v>
      </c>
      <c r="C1682" s="14" t="str">
        <f>equip.xml!C1686</f>
        <v>日怒之盾</v>
      </c>
      <c r="D1682" s="14" t="str">
        <f>equip.xml!D1686</f>
        <v>副手武器</v>
      </c>
      <c r="E1682" s="14">
        <f>equip.xml!E1686</f>
        <v>6</v>
      </c>
      <c r="F1682" s="14">
        <f>equip.xml!F1686</f>
        <v>4</v>
      </c>
      <c r="G1682" s="14">
        <f>equip.xml!G1686</f>
        <v>65</v>
      </c>
      <c r="H1682" s="14" t="str">
        <f>equip.xml!H1686</f>
        <v>1,1001</v>
      </c>
      <c r="I1682" s="14">
        <f>equip.xml!J1686</f>
        <v>50</v>
      </c>
      <c r="J1682" s="14">
        <f>equip.xml!K1686</f>
        <v>500</v>
      </c>
      <c r="K1682" s="14">
        <f>equip.xml!L1686</f>
        <v>35000</v>
      </c>
      <c r="L1682" s="14" t="str">
        <f>equip.xml!M1686</f>
        <v>105_2988_2988</v>
      </c>
      <c r="M1682" s="17" t="str">
        <f>equip.xml!Q1686</f>
        <v>equipment/2116.png</v>
      </c>
      <c r="N1682" s="16" t="str">
        <f>equip.xml!P1686</f>
        <v>10000_1002_65000,30000_30001_1,30000_30002_1,30000_30003_1</v>
      </c>
      <c r="O1682">
        <f>equip.xml!R1686</f>
        <v>0</v>
      </c>
    </row>
    <row r="1683" spans="1:15">
      <c r="A1683" s="14" t="str">
        <f>equip.xml!A1687</f>
        <v>40651061</v>
      </c>
      <c r="B1683" s="14">
        <f>equip.xml!B1687</f>
        <v>0</v>
      </c>
      <c r="C1683" s="14" t="str">
        <f>equip.xml!C1687</f>
        <v>尖头盾</v>
      </c>
      <c r="D1683" s="14" t="str">
        <f>equip.xml!D1687</f>
        <v>副手武器</v>
      </c>
      <c r="E1683" s="14">
        <f>equip.xml!E1687</f>
        <v>6</v>
      </c>
      <c r="F1683" s="14">
        <f>equip.xml!F1687</f>
        <v>4</v>
      </c>
      <c r="G1683" s="14">
        <f>equip.xml!G1687</f>
        <v>65</v>
      </c>
      <c r="H1683" s="14" t="str">
        <f>equip.xml!H1687</f>
        <v>1,1001</v>
      </c>
      <c r="I1683" s="14">
        <f>equip.xml!J1687</f>
        <v>50</v>
      </c>
      <c r="J1683" s="14">
        <f>equip.xml!K1687</f>
        <v>500</v>
      </c>
      <c r="K1683" s="14">
        <f>equip.xml!L1687</f>
        <v>37500</v>
      </c>
      <c r="L1683" s="14" t="str">
        <f>equip.xml!M1687</f>
        <v>105_2988_2988</v>
      </c>
      <c r="M1683" s="17" t="str">
        <f>equip.xml!Q1687</f>
        <v>equipment/2101.png</v>
      </c>
      <c r="N1683" s="16" t="str">
        <f>equip.xml!P1687</f>
        <v>10000_1002_65000,30000_30001_1,30000_30002_1,30000_30003_1</v>
      </c>
      <c r="O1683">
        <f>equip.xml!R1687</f>
        <v>0</v>
      </c>
    </row>
    <row r="1684" spans="1:15">
      <c r="A1684" s="14" t="str">
        <f>equip.xml!A1688</f>
        <v>40652050</v>
      </c>
      <c r="B1684" s="14">
        <f>equip.xml!B1688</f>
        <v>1</v>
      </c>
      <c r="C1684" s="14" t="str">
        <f>equip.xml!C1688</f>
        <v>憎恨之击</v>
      </c>
      <c r="D1684" s="14" t="str">
        <f>equip.xml!D1688</f>
        <v>主手武器</v>
      </c>
      <c r="E1684" s="14">
        <f>equip.xml!E1688</f>
        <v>5</v>
      </c>
      <c r="F1684" s="14">
        <f>equip.xml!F1688</f>
        <v>4</v>
      </c>
      <c r="G1684" s="14">
        <f>equip.xml!G1688</f>
        <v>65</v>
      </c>
      <c r="H1684" s="14" t="str">
        <f>equip.xml!H1688</f>
        <v>2,1002</v>
      </c>
      <c r="I1684" s="14">
        <f>equip.xml!J1688</f>
        <v>50</v>
      </c>
      <c r="J1684" s="14">
        <f>equip.xml!K1688</f>
        <v>500</v>
      </c>
      <c r="K1684" s="14">
        <f>equip.xml!L1688</f>
        <v>35000</v>
      </c>
      <c r="L1684" s="14" t="str">
        <f>equip.xml!M1688</f>
        <v>103_2619_2619,104_5238_5238</v>
      </c>
      <c r="M1684" s="17" t="str">
        <f>equip.xml!Q1688</f>
        <v>equipment/1224.png</v>
      </c>
      <c r="N1684" s="16" t="str">
        <f>equip.xml!P1688</f>
        <v>10000_1002_65000,30000_30001_1,30000_30002_1,30000_30003_1</v>
      </c>
      <c r="O1684">
        <f>equip.xml!R1688</f>
        <v>0</v>
      </c>
    </row>
    <row r="1685" spans="1:15">
      <c r="A1685" s="14" t="str">
        <f>equip.xml!A1689</f>
        <v>40652051</v>
      </c>
      <c r="B1685" s="14">
        <f>equip.xml!B1689</f>
        <v>0</v>
      </c>
      <c r="C1685" s="14" t="str">
        <f>equip.xml!C1689</f>
        <v>日怒凰弓</v>
      </c>
      <c r="D1685" s="14" t="str">
        <f>equip.xml!D1689</f>
        <v>主手武器</v>
      </c>
      <c r="E1685" s="14">
        <f>equip.xml!E1689</f>
        <v>5</v>
      </c>
      <c r="F1685" s="14">
        <f>equip.xml!F1689</f>
        <v>4</v>
      </c>
      <c r="G1685" s="14">
        <f>equip.xml!G1689</f>
        <v>65</v>
      </c>
      <c r="H1685" s="14" t="str">
        <f>equip.xml!H1689</f>
        <v>2,1002</v>
      </c>
      <c r="I1685" s="14">
        <f>equip.xml!J1689</f>
        <v>50</v>
      </c>
      <c r="J1685" s="14">
        <f>equip.xml!K1689</f>
        <v>500</v>
      </c>
      <c r="K1685" s="14">
        <f>equip.xml!L1689</f>
        <v>37500</v>
      </c>
      <c r="L1685" s="14" t="str">
        <f>equip.xml!M1689</f>
        <v>103_2854_2854,104_5708_5708</v>
      </c>
      <c r="M1685" s="17" t="str">
        <f>equip.xml!Q1689</f>
        <v>equipment/1201.png</v>
      </c>
      <c r="N1685" s="16" t="str">
        <f>equip.xml!P1689</f>
        <v>10000_1002_65000,30000_30001_1,30000_30002_1,30000_30003_1</v>
      </c>
      <c r="O1685">
        <f>equip.xml!R1689</f>
        <v>0</v>
      </c>
    </row>
    <row r="1686" spans="1:15">
      <c r="A1686" s="14" t="str">
        <f>equip.xml!A1690</f>
        <v>40652060</v>
      </c>
      <c r="B1686" s="14">
        <f>equip.xml!B1690</f>
        <v>1</v>
      </c>
      <c r="C1686" s="14" t="str">
        <f>equip.xml!C1690</f>
        <v>追噬之矢</v>
      </c>
      <c r="D1686" s="14" t="str">
        <f>equip.xml!D1690</f>
        <v>副手武器</v>
      </c>
      <c r="E1686" s="14">
        <f>equip.xml!E1690</f>
        <v>6</v>
      </c>
      <c r="F1686" s="14">
        <f>equip.xml!F1690</f>
        <v>4</v>
      </c>
      <c r="G1686" s="14">
        <f>equip.xml!G1690</f>
        <v>65</v>
      </c>
      <c r="H1686" s="14" t="str">
        <f>equip.xml!H1690</f>
        <v>2,1002</v>
      </c>
      <c r="I1686" s="14">
        <f>equip.xml!J1690</f>
        <v>50</v>
      </c>
      <c r="J1686" s="14">
        <f>equip.xml!K1690</f>
        <v>500</v>
      </c>
      <c r="K1686" s="14">
        <f>equip.xml!L1690</f>
        <v>35000</v>
      </c>
      <c r="L1686" s="14" t="str">
        <f>equip.xml!M1690</f>
        <v>108_2988_2988</v>
      </c>
      <c r="M1686" s="17" t="str">
        <f>equip.xml!Q1690</f>
        <v>equipment/2216.png</v>
      </c>
      <c r="N1686" s="16" t="str">
        <f>equip.xml!P1690</f>
        <v>10000_1002_65000,30000_30001_1,30000_30002_1,30000_30003_1</v>
      </c>
      <c r="O1686">
        <f>equip.xml!R1690</f>
        <v>0</v>
      </c>
    </row>
    <row r="1687" spans="1:15">
      <c r="A1687" s="14" t="str">
        <f>equip.xml!A1691</f>
        <v>40652061</v>
      </c>
      <c r="B1687" s="14">
        <f>equip.xml!B1691</f>
        <v>0</v>
      </c>
      <c r="C1687" s="14" t="str">
        <f>equip.xml!C1691</f>
        <v>箭筒</v>
      </c>
      <c r="D1687" s="14" t="str">
        <f>equip.xml!D1691</f>
        <v>副手武器</v>
      </c>
      <c r="E1687" s="14">
        <f>equip.xml!E1691</f>
        <v>6</v>
      </c>
      <c r="F1687" s="14">
        <f>equip.xml!F1691</f>
        <v>4</v>
      </c>
      <c r="G1687" s="14">
        <f>equip.xml!G1691</f>
        <v>65</v>
      </c>
      <c r="H1687" s="14" t="str">
        <f>equip.xml!H1691</f>
        <v>2,1002</v>
      </c>
      <c r="I1687" s="14">
        <f>equip.xml!J1691</f>
        <v>50</v>
      </c>
      <c r="J1687" s="14">
        <f>equip.xml!K1691</f>
        <v>500</v>
      </c>
      <c r="K1687" s="14">
        <f>equip.xml!L1691</f>
        <v>37500</v>
      </c>
      <c r="L1687" s="14" t="str">
        <f>equip.xml!M1691</f>
        <v>108_2988_2988</v>
      </c>
      <c r="M1687" s="17" t="str">
        <f>equip.xml!Q1691</f>
        <v>equipment/2201.png</v>
      </c>
      <c r="N1687" s="16" t="str">
        <f>equip.xml!P1691</f>
        <v>10000_1002_65000,30000_30001_1,30000_30002_1,30000_30003_1</v>
      </c>
      <c r="O1687">
        <f>equip.xml!R1691</f>
        <v>0</v>
      </c>
    </row>
    <row r="1688" spans="1:15">
      <c r="A1688" s="14" t="str">
        <f>equip.xml!A1692</f>
        <v>40653050</v>
      </c>
      <c r="B1688" s="14">
        <f>equip.xml!B1692</f>
        <v>1</v>
      </c>
      <c r="C1688" s="14" t="str">
        <f>equip.xml!C1692</f>
        <v>时轮金杖</v>
      </c>
      <c r="D1688" s="14" t="str">
        <f>equip.xml!D1692</f>
        <v>主手武器</v>
      </c>
      <c r="E1688" s="14">
        <f>equip.xml!E1692</f>
        <v>5</v>
      </c>
      <c r="F1688" s="14">
        <f>equip.xml!F1692</f>
        <v>4</v>
      </c>
      <c r="G1688" s="14">
        <f>equip.xml!G1692</f>
        <v>65</v>
      </c>
      <c r="H1688" s="14" t="str">
        <f>equip.xml!H1692</f>
        <v>3,1003</v>
      </c>
      <c r="I1688" s="14">
        <f>equip.xml!J1692</f>
        <v>50</v>
      </c>
      <c r="J1688" s="14">
        <f>equip.xml!K1692</f>
        <v>500</v>
      </c>
      <c r="K1688" s="14">
        <f>equip.xml!L1692</f>
        <v>35000</v>
      </c>
      <c r="L1688" s="14" t="str">
        <f>equip.xml!M1692</f>
        <v>103_2619_2619,104_5238_5238</v>
      </c>
      <c r="M1688" s="17" t="str">
        <f>equip.xml!Q1692</f>
        <v>equipment/1323.png</v>
      </c>
      <c r="N1688" s="16" t="str">
        <f>equip.xml!P1692</f>
        <v>10000_1002_65000,30000_30001_1,30000_30002_1,30000_30003_1</v>
      </c>
      <c r="O1688">
        <f>equip.xml!R1692</f>
        <v>0</v>
      </c>
    </row>
    <row r="1689" spans="1:15">
      <c r="A1689" s="14" t="str">
        <f>equip.xml!A1693</f>
        <v>40653051</v>
      </c>
      <c r="B1689" s="14">
        <f>equip.xml!B1693</f>
        <v>0</v>
      </c>
      <c r="C1689" s="14" t="str">
        <f>equip.xml!C1693</f>
        <v>学徒法杖</v>
      </c>
      <c r="D1689" s="14" t="str">
        <f>equip.xml!D1693</f>
        <v>主手武器</v>
      </c>
      <c r="E1689" s="14">
        <f>equip.xml!E1693</f>
        <v>5</v>
      </c>
      <c r="F1689" s="14">
        <f>equip.xml!F1693</f>
        <v>4</v>
      </c>
      <c r="G1689" s="14">
        <f>equip.xml!G1693</f>
        <v>65</v>
      </c>
      <c r="H1689" s="14" t="str">
        <f>equip.xml!H1693</f>
        <v>3,1003</v>
      </c>
      <c r="I1689" s="14">
        <f>equip.xml!J1693</f>
        <v>50</v>
      </c>
      <c r="J1689" s="14">
        <f>equip.xml!K1693</f>
        <v>500</v>
      </c>
      <c r="K1689" s="14">
        <f>equip.xml!L1693</f>
        <v>37500</v>
      </c>
      <c r="L1689" s="14" t="str">
        <f>equip.xml!M1693</f>
        <v>103_2854_2854,104_5708_5708</v>
      </c>
      <c r="M1689" s="17" t="str">
        <f>equip.xml!Q1693</f>
        <v>equipment/1301.png</v>
      </c>
      <c r="N1689" s="16" t="str">
        <f>equip.xml!P1693</f>
        <v>10000_1002_65000,30000_30001_1,30000_30002_1,30000_30003_1</v>
      </c>
      <c r="O1689">
        <f>equip.xml!R1693</f>
        <v>0</v>
      </c>
    </row>
    <row r="1690" spans="1:15">
      <c r="A1690" s="14" t="str">
        <f>equip.xml!A1694</f>
        <v>40653060</v>
      </c>
      <c r="B1690" s="14">
        <f>equip.xml!B1694</f>
        <v>1</v>
      </c>
      <c r="C1690" s="14" t="str">
        <f>equip.xml!C1694</f>
        <v>龙语秘典</v>
      </c>
      <c r="D1690" s="14" t="str">
        <f>equip.xml!D1694</f>
        <v>副手武器</v>
      </c>
      <c r="E1690" s="14">
        <f>equip.xml!E1694</f>
        <v>6</v>
      </c>
      <c r="F1690" s="14">
        <f>equip.xml!F1694</f>
        <v>4</v>
      </c>
      <c r="G1690" s="14">
        <f>equip.xml!G1694</f>
        <v>65</v>
      </c>
      <c r="H1690" s="14" t="str">
        <f>equip.xml!H1694</f>
        <v>3,1003</v>
      </c>
      <c r="I1690" s="14">
        <f>equip.xml!J1694</f>
        <v>50</v>
      </c>
      <c r="J1690" s="14">
        <f>equip.xml!K1694</f>
        <v>500</v>
      </c>
      <c r="K1690" s="14">
        <f>equip.xml!L1694</f>
        <v>35000</v>
      </c>
      <c r="L1690" s="14" t="str">
        <f>equip.xml!M1694</f>
        <v>102_2620_2620</v>
      </c>
      <c r="M1690" s="17" t="str">
        <f>equip.xml!Q1694</f>
        <v>equipment/2317.png</v>
      </c>
      <c r="N1690" s="16" t="str">
        <f>equip.xml!P1694</f>
        <v>10000_1002_65000,30000_30001_1,30000_30002_1,30000_30003_1</v>
      </c>
      <c r="O1690">
        <f>equip.xml!R1694</f>
        <v>0</v>
      </c>
    </row>
    <row r="1691" spans="1:15">
      <c r="A1691" s="14" t="str">
        <f>equip.xml!A1695</f>
        <v>40653061</v>
      </c>
      <c r="B1691" s="14">
        <f>equip.xml!B1695</f>
        <v>0</v>
      </c>
      <c r="C1691" s="14" t="str">
        <f>equip.xml!C1695</f>
        <v>法术指南</v>
      </c>
      <c r="D1691" s="14" t="str">
        <f>equip.xml!D1695</f>
        <v>副手武器</v>
      </c>
      <c r="E1691" s="14">
        <f>equip.xml!E1695</f>
        <v>6</v>
      </c>
      <c r="F1691" s="14">
        <f>equip.xml!F1695</f>
        <v>4</v>
      </c>
      <c r="G1691" s="14">
        <f>equip.xml!G1695</f>
        <v>65</v>
      </c>
      <c r="H1691" s="14" t="str">
        <f>equip.xml!H1695</f>
        <v>3,1003</v>
      </c>
      <c r="I1691" s="14">
        <f>equip.xml!J1695</f>
        <v>50</v>
      </c>
      <c r="J1691" s="14">
        <f>equip.xml!K1695</f>
        <v>500</v>
      </c>
      <c r="K1691" s="14">
        <f>equip.xml!L1695</f>
        <v>37500</v>
      </c>
      <c r="L1691" s="14" t="str">
        <f>equip.xml!M1695</f>
        <v>102_2988_2988</v>
      </c>
      <c r="M1691" s="17" t="str">
        <f>equip.xml!Q1695</f>
        <v>equipment/2301.png</v>
      </c>
      <c r="N1691" s="16" t="str">
        <f>equip.xml!P1695</f>
        <v>10000_1002_65000,30000_30001_1,30000_30002_1,30000_30003_1</v>
      </c>
      <c r="O1691">
        <f>equip.xml!R1695</f>
        <v>0</v>
      </c>
    </row>
    <row r="1692" spans="1:15">
      <c r="A1692" s="14" t="str">
        <f>equip.xml!A1696</f>
        <v>40650040</v>
      </c>
      <c r="B1692" s="14">
        <f>equip.xml!B1696</f>
        <v>1</v>
      </c>
      <c r="C1692" s="14" t="str">
        <f>equip.xml!C1696</f>
        <v>末世胸铠</v>
      </c>
      <c r="D1692" s="14" t="str">
        <f>equip.xml!D1696</f>
        <v>胸甲</v>
      </c>
      <c r="E1692" s="14">
        <f>equip.xml!E1696</f>
        <v>4</v>
      </c>
      <c r="F1692" s="14">
        <f>equip.xml!F1696</f>
        <v>4</v>
      </c>
      <c r="G1692" s="14">
        <f>equip.xml!G1696</f>
        <v>65</v>
      </c>
      <c r="H1692" s="14">
        <f>equip.xml!H1696</f>
        <v>0</v>
      </c>
      <c r="I1692" s="14">
        <f>equip.xml!J1696</f>
        <v>50</v>
      </c>
      <c r="J1692" s="14">
        <f>equip.xml!K1696</f>
        <v>500</v>
      </c>
      <c r="K1692" s="14">
        <f>equip.xml!L1696</f>
        <v>35000</v>
      </c>
      <c r="L1692" s="14" t="str">
        <f>equip.xml!M1696</f>
        <v>105_1628_1628</v>
      </c>
      <c r="M1692" s="17" t="str">
        <f>equip.xml!Q1696</f>
        <v>equipment/5017.png</v>
      </c>
      <c r="N1692" s="16" t="str">
        <f>equip.xml!P1696</f>
        <v>10000_1002_65000,30000_30001_1,30000_30002_1,30000_30003_1</v>
      </c>
      <c r="O1692">
        <f>equip.xml!R1696</f>
        <v>0</v>
      </c>
    </row>
    <row r="1693" spans="1:15">
      <c r="A1693" s="14" t="str">
        <f>equip.xml!A1697</f>
        <v>40650041</v>
      </c>
      <c r="B1693" s="14">
        <f>equip.xml!B1697</f>
        <v>0</v>
      </c>
      <c r="C1693" s="14" t="str">
        <f>equip.xml!C1697</f>
        <v>新兵外套</v>
      </c>
      <c r="D1693" s="14" t="str">
        <f>equip.xml!D1697</f>
        <v>胸甲</v>
      </c>
      <c r="E1693" s="14">
        <f>equip.xml!E1697</f>
        <v>4</v>
      </c>
      <c r="F1693" s="14">
        <f>equip.xml!F1697</f>
        <v>4</v>
      </c>
      <c r="G1693" s="14">
        <f>equip.xml!G1697</f>
        <v>65</v>
      </c>
      <c r="H1693" s="14">
        <f>equip.xml!H1697</f>
        <v>0</v>
      </c>
      <c r="I1693" s="14">
        <f>equip.xml!J1697</f>
        <v>50</v>
      </c>
      <c r="J1693" s="14">
        <f>equip.xml!K1697</f>
        <v>500</v>
      </c>
      <c r="K1693" s="14">
        <f>equip.xml!L1697</f>
        <v>37500</v>
      </c>
      <c r="L1693" s="14" t="str">
        <f>equip.xml!M1697</f>
        <v>105_1628_1628</v>
      </c>
      <c r="M1693" s="17" t="str">
        <f>equip.xml!Q1697</f>
        <v>equipment/5001.png</v>
      </c>
      <c r="N1693" s="16" t="str">
        <f>equip.xml!P1697</f>
        <v>10000_1002_65000,30000_30001_1,30000_30002_1,30000_30003_1</v>
      </c>
      <c r="O1693">
        <f>equip.xml!R1697</f>
        <v>0</v>
      </c>
    </row>
    <row r="1694" spans="1:15">
      <c r="A1694" s="14" t="str">
        <f>equip.xml!A1698</f>
        <v>40650070</v>
      </c>
      <c r="B1694" s="14">
        <f>equip.xml!B1698</f>
        <v>1</v>
      </c>
      <c r="C1694" s="14" t="str">
        <f>equip.xml!C1698</f>
        <v>止战腿甲</v>
      </c>
      <c r="D1694" s="14" t="str">
        <f>equip.xml!D1698</f>
        <v>护腿</v>
      </c>
      <c r="E1694" s="14">
        <f>equip.xml!E1698</f>
        <v>7</v>
      </c>
      <c r="F1694" s="14">
        <f>equip.xml!F1698</f>
        <v>4</v>
      </c>
      <c r="G1694" s="14">
        <f>equip.xml!G1698</f>
        <v>65</v>
      </c>
      <c r="H1694" s="14">
        <f>equip.xml!H1698</f>
        <v>0</v>
      </c>
      <c r="I1694" s="14">
        <f>equip.xml!J1698</f>
        <v>50</v>
      </c>
      <c r="J1694" s="14">
        <f>equip.xml!K1698</f>
        <v>500</v>
      </c>
      <c r="K1694" s="14">
        <f>equip.xml!L1698</f>
        <v>35000</v>
      </c>
      <c r="L1694" s="14" t="str">
        <f>equip.xml!M1698</f>
        <v>105_1627_1627</v>
      </c>
      <c r="M1694" s="17" t="str">
        <f>equip.xml!Q1698</f>
        <v>equipment/7017.png</v>
      </c>
      <c r="N1694" s="16" t="str">
        <f>equip.xml!P1698</f>
        <v>10000_1002_65000,30000_30001_1,30000_30002_1,30000_30003_1</v>
      </c>
      <c r="O1694">
        <f>equip.xml!R1698</f>
        <v>0</v>
      </c>
    </row>
    <row r="1695" spans="1:15">
      <c r="A1695" s="14" t="str">
        <f>equip.xml!A1699</f>
        <v>40650071</v>
      </c>
      <c r="B1695" s="14">
        <f>equip.xml!B1699</f>
        <v>0</v>
      </c>
      <c r="C1695" s="14" t="str">
        <f>equip.xml!C1699</f>
        <v>学徒短裤</v>
      </c>
      <c r="D1695" s="14" t="str">
        <f>equip.xml!D1699</f>
        <v>护腿</v>
      </c>
      <c r="E1695" s="14">
        <f>equip.xml!E1699</f>
        <v>7</v>
      </c>
      <c r="F1695" s="14">
        <f>equip.xml!F1699</f>
        <v>4</v>
      </c>
      <c r="G1695" s="14">
        <f>equip.xml!G1699</f>
        <v>65</v>
      </c>
      <c r="H1695" s="14">
        <f>equip.xml!H1699</f>
        <v>0</v>
      </c>
      <c r="I1695" s="14">
        <f>equip.xml!J1699</f>
        <v>50</v>
      </c>
      <c r="J1695" s="14">
        <f>equip.xml!K1699</f>
        <v>500</v>
      </c>
      <c r="K1695" s="14">
        <f>equip.xml!L1699</f>
        <v>37500</v>
      </c>
      <c r="L1695" s="14" t="str">
        <f>equip.xml!M1699</f>
        <v>105_1627_1627</v>
      </c>
      <c r="M1695" s="17" t="str">
        <f>equip.xml!Q1699</f>
        <v>equipment/7001.png</v>
      </c>
      <c r="N1695" s="16" t="str">
        <f>equip.xml!P1699</f>
        <v>10000_1002_65000,30000_30001_1,30000_30002_1,30000_30003_1</v>
      </c>
      <c r="O1695">
        <f>equip.xml!R1699</f>
        <v>0</v>
      </c>
    </row>
    <row r="1696" spans="1:15">
      <c r="A1696" s="14" t="str">
        <f>equip.xml!A1700</f>
        <v>40700010</v>
      </c>
      <c r="B1696" s="14">
        <f>equip.xml!B1700</f>
        <v>1</v>
      </c>
      <c r="C1696" s="14" t="str">
        <f>equip.xml!C1700</f>
        <v>破碎之冠</v>
      </c>
      <c r="D1696" s="14" t="str">
        <f>equip.xml!D1700</f>
        <v>头盔</v>
      </c>
      <c r="E1696" s="14">
        <f>equip.xml!E1700</f>
        <v>1</v>
      </c>
      <c r="F1696" s="14">
        <f>equip.xml!F1700</f>
        <v>4</v>
      </c>
      <c r="G1696" s="14">
        <f>equip.xml!G1700</f>
        <v>70</v>
      </c>
      <c r="H1696" s="14">
        <f>equip.xml!H1700</f>
        <v>0</v>
      </c>
      <c r="I1696" s="14">
        <f>equip.xml!J1700</f>
        <v>50</v>
      </c>
      <c r="J1696" s="14">
        <f>equip.xml!K1700</f>
        <v>500</v>
      </c>
      <c r="K1696" s="14">
        <f>equip.xml!L1700</f>
        <v>37500</v>
      </c>
      <c r="L1696" s="14" t="str">
        <f>equip.xml!M1700</f>
        <v>106_2256_2256</v>
      </c>
      <c r="M1696" s="17" t="str">
        <f>equip.xml!Q1700</f>
        <v>equipment/3014.png</v>
      </c>
      <c r="N1696" s="16" t="str">
        <f>equip.xml!P1700</f>
        <v>10000_1002_70000,30000_30001_1,30000_30002_1,30000_30003_1</v>
      </c>
      <c r="O1696">
        <f>equip.xml!R1700</f>
        <v>0</v>
      </c>
    </row>
    <row r="1697" spans="1:15">
      <c r="A1697" s="14" t="str">
        <f>equip.xml!A1701</f>
        <v>40700020</v>
      </c>
      <c r="B1697" s="14">
        <f>equip.xml!B1701</f>
        <v>1</v>
      </c>
      <c r="C1697" s="14" t="str">
        <f>equip.xml!C1701</f>
        <v>灵谕之戒</v>
      </c>
      <c r="D1697" s="14" t="str">
        <f>equip.xml!D1701</f>
        <v>戒指</v>
      </c>
      <c r="E1697" s="14">
        <f>equip.xml!E1701</f>
        <v>2</v>
      </c>
      <c r="F1697" s="14">
        <f>equip.xml!F1701</f>
        <v>4</v>
      </c>
      <c r="G1697" s="14">
        <f>equip.xml!G1701</f>
        <v>70</v>
      </c>
      <c r="H1697" s="14">
        <f>equip.xml!H1701</f>
        <v>0</v>
      </c>
      <c r="I1697" s="14">
        <f>equip.xml!J1701</f>
        <v>50</v>
      </c>
      <c r="J1697" s="14">
        <f>equip.xml!K1701</f>
        <v>500</v>
      </c>
      <c r="K1697" s="14">
        <f>equip.xml!L1701</f>
        <v>37500</v>
      </c>
      <c r="L1697" s="14" t="str">
        <f>equip.xml!M1701</f>
        <v>102_1620_1620</v>
      </c>
      <c r="M1697" s="17" t="str">
        <f>equip.xml!Q1701</f>
        <v>equipment/14012.png</v>
      </c>
      <c r="N1697" s="16" t="str">
        <f>equip.xml!P1701</f>
        <v>10000_1002_70000,30000_30001_1,30000_30002_1,30000_30003_1</v>
      </c>
      <c r="O1697">
        <f>equip.xml!R1701</f>
        <v>0</v>
      </c>
    </row>
    <row r="1698" spans="1:15">
      <c r="A1698" s="14" t="str">
        <f>equip.xml!A1702</f>
        <v>40700030</v>
      </c>
      <c r="B1698" s="14">
        <f>equip.xml!B1702</f>
        <v>1</v>
      </c>
      <c r="C1698" s="14" t="str">
        <f>equip.xml!C1702</f>
        <v>怒涛腰带</v>
      </c>
      <c r="D1698" s="14" t="str">
        <f>equip.xml!D1702</f>
        <v>腰带</v>
      </c>
      <c r="E1698" s="14">
        <f>equip.xml!E1702</f>
        <v>3</v>
      </c>
      <c r="F1698" s="14">
        <f>equip.xml!F1702</f>
        <v>4</v>
      </c>
      <c r="G1698" s="14">
        <f>equip.xml!G1702</f>
        <v>70</v>
      </c>
      <c r="H1698" s="14">
        <f>equip.xml!H1702</f>
        <v>0</v>
      </c>
      <c r="I1698" s="14">
        <f>equip.xml!J1702</f>
        <v>50</v>
      </c>
      <c r="J1698" s="14">
        <f>equip.xml!K1702</f>
        <v>500</v>
      </c>
      <c r="K1698" s="14">
        <f>equip.xml!L1702</f>
        <v>37500</v>
      </c>
      <c r="L1698" s="14" t="str">
        <f>equip.xml!M1702</f>
        <v>101_19200_19200</v>
      </c>
      <c r="M1698" s="17" t="str">
        <f>equip.xml!Q1702</f>
        <v>equipment/6013.png</v>
      </c>
      <c r="N1698" s="16" t="str">
        <f>equip.xml!P1702</f>
        <v>10000_1002_70000,30000_30001_1,30000_30002_1,30000_30003_1</v>
      </c>
      <c r="O1698">
        <f>equip.xml!R1702</f>
        <v>0</v>
      </c>
    </row>
    <row r="1699" spans="1:15">
      <c r="A1699" s="14" t="str">
        <f>equip.xml!A1703</f>
        <v>40700080</v>
      </c>
      <c r="B1699" s="14">
        <f>equip.xml!B1703</f>
        <v>1</v>
      </c>
      <c r="C1699" s="14" t="str">
        <f>equip.xml!C1703</f>
        <v>无影轻靴</v>
      </c>
      <c r="D1699" s="14" t="str">
        <f>equip.xml!D1703</f>
        <v>鞋子</v>
      </c>
      <c r="E1699" s="14">
        <f>equip.xml!E1703</f>
        <v>8</v>
      </c>
      <c r="F1699" s="14">
        <f>equip.xml!F1703</f>
        <v>4</v>
      </c>
      <c r="G1699" s="14">
        <f>equip.xml!G1703</f>
        <v>70</v>
      </c>
      <c r="H1699" s="14">
        <f>equip.xml!H1703</f>
        <v>0</v>
      </c>
      <c r="I1699" s="14">
        <f>equip.xml!J1703</f>
        <v>50</v>
      </c>
      <c r="J1699" s="14">
        <f>equip.xml!K1703</f>
        <v>500</v>
      </c>
      <c r="K1699" s="14">
        <f>equip.xml!L1703</f>
        <v>37500</v>
      </c>
      <c r="L1699" s="14" t="str">
        <f>equip.xml!M1703</f>
        <v>110_442_442</v>
      </c>
      <c r="M1699" s="17" t="str">
        <f>equip.xml!Q1703</f>
        <v>equipment/8012.png</v>
      </c>
      <c r="N1699" s="16" t="str">
        <f>equip.xml!P1703</f>
        <v>10000_1002_70000,30000_30001_1,30000_30002_1,30000_30003_1</v>
      </c>
      <c r="O1699">
        <f>equip.xml!R1703</f>
        <v>0</v>
      </c>
    </row>
    <row r="1700" spans="1:15">
      <c r="A1700" s="14" t="str">
        <f>equip.xml!A1704</f>
        <v>40700090</v>
      </c>
      <c r="B1700" s="14">
        <f>equip.xml!B1704</f>
        <v>1</v>
      </c>
      <c r="C1700" s="14" t="str">
        <f>equip.xml!C1704</f>
        <v>裂隙之手</v>
      </c>
      <c r="D1700" s="14" t="str">
        <f>equip.xml!D1704</f>
        <v>手套</v>
      </c>
      <c r="E1700" s="14">
        <f>equip.xml!E1704</f>
        <v>9</v>
      </c>
      <c r="F1700" s="14">
        <f>equip.xml!F1704</f>
        <v>4</v>
      </c>
      <c r="G1700" s="14">
        <f>equip.xml!G1704</f>
        <v>70</v>
      </c>
      <c r="H1700" s="14">
        <f>equip.xml!H1704</f>
        <v>0</v>
      </c>
      <c r="I1700" s="14">
        <f>equip.xml!J1704</f>
        <v>50</v>
      </c>
      <c r="J1700" s="14">
        <f>equip.xml!K1704</f>
        <v>500</v>
      </c>
      <c r="K1700" s="14">
        <f>equip.xml!L1704</f>
        <v>37500</v>
      </c>
      <c r="L1700" s="14" t="str">
        <f>equip.xml!M1704</f>
        <v>108_4189_4189</v>
      </c>
      <c r="M1700" s="17" t="str">
        <f>equip.xml!Q1704</f>
        <v>equipment/10013.png</v>
      </c>
      <c r="N1700" s="16" t="str">
        <f>equip.xml!P1704</f>
        <v>10000_1002_70000,30000_30001_1,30000_30002_1,30000_30003_1</v>
      </c>
      <c r="O1700">
        <f>equip.xml!R1704</f>
        <v>0</v>
      </c>
    </row>
    <row r="1701" spans="1:15">
      <c r="A1701" s="14" t="str">
        <f>equip.xml!A1705</f>
        <v>40700100</v>
      </c>
      <c r="B1701" s="14">
        <f>equip.xml!B1705</f>
        <v>1</v>
      </c>
      <c r="C1701" s="14" t="str">
        <f>equip.xml!C1705</f>
        <v>岁月永恒护符</v>
      </c>
      <c r="D1701" s="14" t="str">
        <f>equip.xml!D1705</f>
        <v>项链</v>
      </c>
      <c r="E1701" s="14">
        <f>equip.xml!E1705</f>
        <v>10</v>
      </c>
      <c r="F1701" s="14">
        <f>equip.xml!F1705</f>
        <v>4</v>
      </c>
      <c r="G1701" s="14">
        <f>equip.xml!G1705</f>
        <v>70</v>
      </c>
      <c r="H1701" s="14">
        <f>equip.xml!H1705</f>
        <v>0</v>
      </c>
      <c r="I1701" s="14">
        <f>equip.xml!J1705</f>
        <v>50</v>
      </c>
      <c r="J1701" s="14">
        <f>equip.xml!K1705</f>
        <v>500</v>
      </c>
      <c r="K1701" s="14">
        <f>equip.xml!L1705</f>
        <v>37500</v>
      </c>
      <c r="L1701" s="14" t="str">
        <f>equip.xml!M1705</f>
        <v>107_2256_2256</v>
      </c>
      <c r="M1701" s="17" t="str">
        <f>equip.xml!Q1705</f>
        <v>equipment/12014.png</v>
      </c>
      <c r="N1701" s="16" t="str">
        <f>equip.xml!P1705</f>
        <v>10000_1002_70000,30000_30001_1,30000_30002_1,30000_30003_1</v>
      </c>
      <c r="O1701">
        <f>equip.xml!R1705</f>
        <v>0</v>
      </c>
    </row>
    <row r="1702" spans="1:15">
      <c r="A1702" s="14" t="str">
        <f>equip.xml!A1706</f>
        <v>40701050</v>
      </c>
      <c r="B1702" s="14">
        <f>equip.xml!B1706</f>
        <v>1</v>
      </c>
      <c r="C1702" s="14" t="str">
        <f>equip.xml!C1706</f>
        <v>命运</v>
      </c>
      <c r="D1702" s="14" t="str">
        <f>equip.xml!D1706</f>
        <v>主手武器</v>
      </c>
      <c r="E1702" s="14">
        <f>equip.xml!E1706</f>
        <v>5</v>
      </c>
      <c r="F1702" s="14">
        <f>equip.xml!F1706</f>
        <v>4</v>
      </c>
      <c r="G1702" s="14">
        <f>equip.xml!G1706</f>
        <v>70</v>
      </c>
      <c r="H1702" s="14" t="str">
        <f>equip.xml!H1706</f>
        <v>1,1001</v>
      </c>
      <c r="I1702" s="14">
        <f>equip.xml!J1706</f>
        <v>50</v>
      </c>
      <c r="J1702" s="14">
        <f>equip.xml!K1706</f>
        <v>500</v>
      </c>
      <c r="K1702" s="14">
        <f>equip.xml!L1706</f>
        <v>37500</v>
      </c>
      <c r="L1702" s="14" t="str">
        <f>equip.xml!M1706</f>
        <v>103_3269_3269,104_6538_6538</v>
      </c>
      <c r="M1702" s="17" t="str">
        <f>equip.xml!Q1706</f>
        <v>equipment/1124.png</v>
      </c>
      <c r="N1702" s="16" t="str">
        <f>equip.xml!P1706</f>
        <v>10000_1002_70000,30000_30001_1,30000_30002_1,30000_30003_1</v>
      </c>
      <c r="O1702">
        <f>equip.xml!R1706</f>
        <v>0</v>
      </c>
    </row>
    <row r="1703" spans="1:15">
      <c r="A1703" s="14" t="str">
        <f>equip.xml!A1707</f>
        <v>40701051</v>
      </c>
      <c r="B1703" s="14">
        <f>equip.xml!B1707</f>
        <v>0</v>
      </c>
      <c r="C1703" s="14" t="str">
        <f>equip.xml!C1707</f>
        <v>灰烬使者</v>
      </c>
      <c r="D1703" s="14" t="str">
        <f>equip.xml!D1707</f>
        <v>主手武器</v>
      </c>
      <c r="E1703" s="14">
        <f>equip.xml!E1707</f>
        <v>5</v>
      </c>
      <c r="F1703" s="14">
        <f>equip.xml!F1707</f>
        <v>4</v>
      </c>
      <c r="G1703" s="14">
        <f>equip.xml!G1707</f>
        <v>70</v>
      </c>
      <c r="H1703" s="14" t="str">
        <f>equip.xml!H1707</f>
        <v>1,1001</v>
      </c>
      <c r="I1703" s="14">
        <f>equip.xml!J1707</f>
        <v>50</v>
      </c>
      <c r="J1703" s="14">
        <f>equip.xml!K1707</f>
        <v>500</v>
      </c>
      <c r="K1703" s="14">
        <f>equip.xml!L1707</f>
        <v>40000</v>
      </c>
      <c r="L1703" s="14" t="str">
        <f>equip.xml!M1707</f>
        <v>103_3269_3269,104_6538_6538</v>
      </c>
      <c r="M1703" s="17" t="str">
        <f>equip.xml!Q1707</f>
        <v>equipment/1101.png</v>
      </c>
      <c r="N1703" s="16" t="str">
        <f>equip.xml!P1707</f>
        <v>10000_1002_70000,30000_30001_1,30000_30002_1,30000_30003_1</v>
      </c>
      <c r="O1703">
        <f>equip.xml!R1707</f>
        <v>0</v>
      </c>
    </row>
    <row r="1704" spans="1:15">
      <c r="A1704" s="14" t="str">
        <f>equip.xml!A1708</f>
        <v>40701060</v>
      </c>
      <c r="B1704" s="14">
        <f>equip.xml!B1708</f>
        <v>1</v>
      </c>
      <c r="C1704" s="14" t="str">
        <f>equip.xml!C1708</f>
        <v>永恒之盾</v>
      </c>
      <c r="D1704" s="14" t="str">
        <f>equip.xml!D1708</f>
        <v>副手武器</v>
      </c>
      <c r="E1704" s="14">
        <f>equip.xml!E1708</f>
        <v>6</v>
      </c>
      <c r="F1704" s="14">
        <f>equip.xml!F1708</f>
        <v>4</v>
      </c>
      <c r="G1704" s="14">
        <f>equip.xml!G1708</f>
        <v>70</v>
      </c>
      <c r="H1704" s="14" t="str">
        <f>equip.xml!H1708</f>
        <v>1,1001</v>
      </c>
      <c r="I1704" s="14">
        <f>equip.xml!J1708</f>
        <v>50</v>
      </c>
      <c r="J1704" s="14">
        <f>equip.xml!K1708</f>
        <v>500</v>
      </c>
      <c r="K1704" s="14">
        <f>equip.xml!L1708</f>
        <v>37500</v>
      </c>
      <c r="L1704" s="14" t="str">
        <f>equip.xml!M1708</f>
        <v>105_3522_3522</v>
      </c>
      <c r="M1704" s="17" t="str">
        <f>equip.xml!Q1708</f>
        <v>equipment/2118.png</v>
      </c>
      <c r="N1704" s="16" t="str">
        <f>equip.xml!P1708</f>
        <v>10000_1002_70000,30000_30001_1,30000_30002_1,30000_30003_1</v>
      </c>
      <c r="O1704">
        <f>equip.xml!R1708</f>
        <v>0</v>
      </c>
    </row>
    <row r="1705" spans="1:15">
      <c r="A1705" s="14" t="str">
        <f>equip.xml!A1709</f>
        <v>40701061</v>
      </c>
      <c r="B1705" s="14">
        <f>equip.xml!B1709</f>
        <v>0</v>
      </c>
      <c r="C1705" s="14" t="str">
        <f>equip.xml!C1709</f>
        <v>相位壁垒</v>
      </c>
      <c r="D1705" s="14" t="str">
        <f>equip.xml!D1709</f>
        <v>副手武器</v>
      </c>
      <c r="E1705" s="14">
        <f>equip.xml!E1709</f>
        <v>6</v>
      </c>
      <c r="F1705" s="14">
        <f>equip.xml!F1709</f>
        <v>4</v>
      </c>
      <c r="G1705" s="14">
        <f>equip.xml!G1709</f>
        <v>70</v>
      </c>
      <c r="H1705" s="14" t="str">
        <f>equip.xml!H1709</f>
        <v>1,1001</v>
      </c>
      <c r="I1705" s="14">
        <f>equip.xml!J1709</f>
        <v>50</v>
      </c>
      <c r="J1705" s="14">
        <f>equip.xml!K1709</f>
        <v>500</v>
      </c>
      <c r="K1705" s="14">
        <f>equip.xml!L1709</f>
        <v>40000</v>
      </c>
      <c r="L1705" s="14" t="str">
        <f>equip.xml!M1709</f>
        <v>105_3522_3522</v>
      </c>
      <c r="M1705" s="17" t="str">
        <f>equip.xml!Q1709</f>
        <v>equipment/2101.png</v>
      </c>
      <c r="N1705" s="16" t="str">
        <f>equip.xml!P1709</f>
        <v>10000_1002_70000,30000_30001_1,30000_30002_1,30000_30003_1</v>
      </c>
      <c r="O1705">
        <f>equip.xml!R1709</f>
        <v>0</v>
      </c>
    </row>
    <row r="1706" spans="1:15">
      <c r="A1706" s="14" t="str">
        <f>equip.xml!A1710</f>
        <v>40702050</v>
      </c>
      <c r="B1706" s="14">
        <f>equip.xml!B1710</f>
        <v>1</v>
      </c>
      <c r="C1706" s="14" t="str">
        <f>equip.xml!C1710</f>
        <v>日怒凰弓</v>
      </c>
      <c r="D1706" s="14" t="str">
        <f>equip.xml!D1710</f>
        <v>主手武器</v>
      </c>
      <c r="E1706" s="14">
        <f>equip.xml!E1710</f>
        <v>5</v>
      </c>
      <c r="F1706" s="14">
        <f>equip.xml!F1710</f>
        <v>4</v>
      </c>
      <c r="G1706" s="14">
        <f>equip.xml!G1710</f>
        <v>70</v>
      </c>
      <c r="H1706" s="14" t="str">
        <f>equip.xml!H1710</f>
        <v>2,1002</v>
      </c>
      <c r="I1706" s="14">
        <f>equip.xml!J1710</f>
        <v>50</v>
      </c>
      <c r="J1706" s="14">
        <f>equip.xml!K1710</f>
        <v>500</v>
      </c>
      <c r="K1706" s="14">
        <f>equip.xml!L1710</f>
        <v>37500</v>
      </c>
      <c r="L1706" s="14" t="str">
        <f>equip.xml!M1710</f>
        <v>103_3269_3269,104_6538_6538</v>
      </c>
      <c r="M1706" s="17" t="str">
        <f>equip.xml!Q1710</f>
        <v>equipment/1222.png</v>
      </c>
      <c r="N1706" s="16" t="str">
        <f>equip.xml!P1710</f>
        <v>10000_1002_70000,30000_30001_1,30000_30002_1,30000_30003_1</v>
      </c>
      <c r="O1706">
        <f>equip.xml!R1710</f>
        <v>0</v>
      </c>
    </row>
    <row r="1707" spans="1:15">
      <c r="A1707" s="14" t="str">
        <f>equip.xml!A1711</f>
        <v>40702051</v>
      </c>
      <c r="B1707" s="14">
        <f>equip.xml!B1711</f>
        <v>0</v>
      </c>
      <c r="C1707" s="14" t="str">
        <f>equip.xml!C1711</f>
        <v>群星之怒</v>
      </c>
      <c r="D1707" s="14" t="str">
        <f>equip.xml!D1711</f>
        <v>主手武器</v>
      </c>
      <c r="E1707" s="14">
        <f>equip.xml!E1711</f>
        <v>5</v>
      </c>
      <c r="F1707" s="14">
        <f>equip.xml!F1711</f>
        <v>4</v>
      </c>
      <c r="G1707" s="14">
        <f>equip.xml!G1711</f>
        <v>70</v>
      </c>
      <c r="H1707" s="14" t="str">
        <f>equip.xml!H1711</f>
        <v>2,1002</v>
      </c>
      <c r="I1707" s="14">
        <f>equip.xml!J1711</f>
        <v>50</v>
      </c>
      <c r="J1707" s="14">
        <f>equip.xml!K1711</f>
        <v>500</v>
      </c>
      <c r="K1707" s="14">
        <f>equip.xml!L1711</f>
        <v>40000</v>
      </c>
      <c r="L1707" s="14" t="str">
        <f>equip.xml!M1711</f>
        <v>103_3269_3269,104_6538_6538</v>
      </c>
      <c r="M1707" s="17" t="str">
        <f>equip.xml!Q1711</f>
        <v>equipment/1201.png</v>
      </c>
      <c r="N1707" s="16" t="str">
        <f>equip.xml!P1711</f>
        <v>10000_1002_70000,30000_30001_1,30000_30002_1,30000_30003_1</v>
      </c>
      <c r="O1707">
        <f>equip.xml!R1711</f>
        <v>0</v>
      </c>
    </row>
    <row r="1708" spans="1:15">
      <c r="A1708" s="14" t="str">
        <f>equip.xml!A1712</f>
        <v>40702060</v>
      </c>
      <c r="B1708" s="14">
        <f>equip.xml!B1712</f>
        <v>1</v>
      </c>
      <c r="C1708" s="14" t="str">
        <f>equip.xml!C1712</f>
        <v>逐日之矢</v>
      </c>
      <c r="D1708" s="14" t="str">
        <f>equip.xml!D1712</f>
        <v>副手武器</v>
      </c>
      <c r="E1708" s="14">
        <f>equip.xml!E1712</f>
        <v>6</v>
      </c>
      <c r="F1708" s="14">
        <f>equip.xml!F1712</f>
        <v>4</v>
      </c>
      <c r="G1708" s="14">
        <f>equip.xml!G1712</f>
        <v>70</v>
      </c>
      <c r="H1708" s="14" t="str">
        <f>equip.xml!H1712</f>
        <v>2,1002</v>
      </c>
      <c r="I1708" s="14">
        <f>equip.xml!J1712</f>
        <v>50</v>
      </c>
      <c r="J1708" s="14">
        <f>equip.xml!K1712</f>
        <v>500</v>
      </c>
      <c r="K1708" s="14">
        <f>equip.xml!L1712</f>
        <v>37500</v>
      </c>
      <c r="L1708" s="14" t="str">
        <f>equip.xml!M1712</f>
        <v>108_3522_3522</v>
      </c>
      <c r="M1708" s="17" t="str">
        <f>equip.xml!Q1712</f>
        <v>equipment/2218.png</v>
      </c>
      <c r="N1708" s="16" t="str">
        <f>equip.xml!P1712</f>
        <v>10000_1002_70000,30000_30001_1,30000_30002_1,30000_30003_1</v>
      </c>
      <c r="O1708">
        <f>equip.xml!R1712</f>
        <v>0</v>
      </c>
    </row>
    <row r="1709" spans="1:15">
      <c r="A1709" s="14" t="str">
        <f>equip.xml!A1713</f>
        <v>40702061</v>
      </c>
      <c r="B1709" s="14">
        <f>equip.xml!B1713</f>
        <v>0</v>
      </c>
      <c r="C1709" s="14" t="str">
        <f>equip.xml!C1713</f>
        <v>箭筒</v>
      </c>
      <c r="D1709" s="14" t="str">
        <f>equip.xml!D1713</f>
        <v>副手武器</v>
      </c>
      <c r="E1709" s="14">
        <f>equip.xml!E1713</f>
        <v>6</v>
      </c>
      <c r="F1709" s="14">
        <f>equip.xml!F1713</f>
        <v>4</v>
      </c>
      <c r="G1709" s="14">
        <f>equip.xml!G1713</f>
        <v>70</v>
      </c>
      <c r="H1709" s="14" t="str">
        <f>equip.xml!H1713</f>
        <v>2,1002</v>
      </c>
      <c r="I1709" s="14">
        <f>equip.xml!J1713</f>
        <v>50</v>
      </c>
      <c r="J1709" s="14">
        <f>equip.xml!K1713</f>
        <v>500</v>
      </c>
      <c r="K1709" s="14">
        <f>equip.xml!L1713</f>
        <v>40000</v>
      </c>
      <c r="L1709" s="14" t="str">
        <f>equip.xml!M1713</f>
        <v>108_3522_3522</v>
      </c>
      <c r="M1709" s="17" t="str">
        <f>equip.xml!Q1713</f>
        <v>equipment/2201.png</v>
      </c>
      <c r="N1709" s="16" t="str">
        <f>equip.xml!P1713</f>
        <v>10000_1002_70000,30000_30001_1,30000_30002_1,30000_30003_1</v>
      </c>
      <c r="O1709">
        <f>equip.xml!R1713</f>
        <v>0</v>
      </c>
    </row>
    <row r="1710" spans="1:15">
      <c r="A1710" s="14" t="str">
        <f>equip.xml!A1714</f>
        <v>40703050</v>
      </c>
      <c r="B1710" s="14">
        <f>equip.xml!B1714</f>
        <v>1</v>
      </c>
      <c r="C1710" s="14" t="str">
        <f>equip.xml!C1714</f>
        <v>瓦解法杖</v>
      </c>
      <c r="D1710" s="14" t="str">
        <f>equip.xml!D1714</f>
        <v>主手武器</v>
      </c>
      <c r="E1710" s="14">
        <f>equip.xml!E1714</f>
        <v>5</v>
      </c>
      <c r="F1710" s="14">
        <f>equip.xml!F1714</f>
        <v>4</v>
      </c>
      <c r="G1710" s="14">
        <f>equip.xml!G1714</f>
        <v>70</v>
      </c>
      <c r="H1710" s="14" t="str">
        <f>equip.xml!H1714</f>
        <v>3,1003</v>
      </c>
      <c r="I1710" s="14">
        <f>equip.xml!J1714</f>
        <v>50</v>
      </c>
      <c r="J1710" s="14">
        <f>equip.xml!K1714</f>
        <v>500</v>
      </c>
      <c r="K1710" s="14">
        <f>equip.xml!L1714</f>
        <v>37500</v>
      </c>
      <c r="L1710" s="14" t="str">
        <f>equip.xml!M1714</f>
        <v>103_3269_3269,104_6538_6538</v>
      </c>
      <c r="M1710" s="17" t="str">
        <f>equip.xml!Q1714</f>
        <v>equipment/1324.png</v>
      </c>
      <c r="N1710" s="16" t="str">
        <f>equip.xml!P1714</f>
        <v>10000_1002_70000,30000_30001_1,30000_30002_1,30000_30003_1</v>
      </c>
      <c r="O1710">
        <f>equip.xml!R1714</f>
        <v>0</v>
      </c>
    </row>
    <row r="1711" spans="1:15">
      <c r="A1711" s="14" t="str">
        <f>equip.xml!A1715</f>
        <v>40703051</v>
      </c>
      <c r="B1711" s="14">
        <f>equip.xml!B1715</f>
        <v>0</v>
      </c>
      <c r="C1711" s="14" t="str">
        <f>equip.xml!C1715</f>
        <v>守护者之杖</v>
      </c>
      <c r="D1711" s="14" t="str">
        <f>equip.xml!D1715</f>
        <v>主手武器</v>
      </c>
      <c r="E1711" s="14">
        <f>equip.xml!E1715</f>
        <v>5</v>
      </c>
      <c r="F1711" s="14">
        <f>equip.xml!F1715</f>
        <v>4</v>
      </c>
      <c r="G1711" s="14">
        <f>equip.xml!G1715</f>
        <v>70</v>
      </c>
      <c r="H1711" s="14" t="str">
        <f>equip.xml!H1715</f>
        <v>3,1003</v>
      </c>
      <c r="I1711" s="14">
        <f>equip.xml!J1715</f>
        <v>50</v>
      </c>
      <c r="J1711" s="14">
        <f>equip.xml!K1715</f>
        <v>500</v>
      </c>
      <c r="K1711" s="14">
        <f>equip.xml!L1715</f>
        <v>40000</v>
      </c>
      <c r="L1711" s="14" t="str">
        <f>equip.xml!M1715</f>
        <v>103_3269_3269,104_6538_6538</v>
      </c>
      <c r="M1711" s="17" t="str">
        <f>equip.xml!Q1715</f>
        <v>equipment/1301.png</v>
      </c>
      <c r="N1711" s="16" t="str">
        <f>equip.xml!P1715</f>
        <v>10000_1002_70000,30000_30001_1,30000_30002_1,30000_30003_1</v>
      </c>
      <c r="O1711">
        <f>equip.xml!R1715</f>
        <v>0</v>
      </c>
    </row>
    <row r="1712" spans="1:15">
      <c r="A1712" s="14" t="str">
        <f>equip.xml!A1716</f>
        <v>40703060</v>
      </c>
      <c r="B1712" s="14">
        <f>equip.xml!B1716</f>
        <v>1</v>
      </c>
      <c r="C1712" s="14" t="str">
        <f>equip.xml!C1716</f>
        <v>虚空魔典</v>
      </c>
      <c r="D1712" s="14" t="str">
        <f>equip.xml!D1716</f>
        <v>副手武器</v>
      </c>
      <c r="E1712" s="14">
        <f>equip.xml!E1716</f>
        <v>6</v>
      </c>
      <c r="F1712" s="14">
        <f>equip.xml!F1716</f>
        <v>4</v>
      </c>
      <c r="G1712" s="14">
        <f>equip.xml!G1716</f>
        <v>70</v>
      </c>
      <c r="H1712" s="14" t="str">
        <f>equip.xml!H1716</f>
        <v>3,1003</v>
      </c>
      <c r="I1712" s="14">
        <f>equip.xml!J1716</f>
        <v>50</v>
      </c>
      <c r="J1712" s="14">
        <f>equip.xml!K1716</f>
        <v>500</v>
      </c>
      <c r="K1712" s="14">
        <f>equip.xml!L1716</f>
        <v>37500</v>
      </c>
      <c r="L1712" s="14" t="str">
        <f>equip.xml!M1716</f>
        <v>102_3080_3080</v>
      </c>
      <c r="M1712" s="17" t="str">
        <f>equip.xml!Q1716</f>
        <v>equipment/2318.png</v>
      </c>
      <c r="N1712" s="16" t="str">
        <f>equip.xml!P1716</f>
        <v>10000_1002_70000,30000_30001_1,30000_30002_1,30000_30003_1</v>
      </c>
      <c r="O1712">
        <f>equip.xml!R1716</f>
        <v>0</v>
      </c>
    </row>
    <row r="1713" spans="1:15">
      <c r="A1713" s="14" t="str">
        <f>equip.xml!A1717</f>
        <v>40703061</v>
      </c>
      <c r="B1713" s="14">
        <f>equip.xml!B1717</f>
        <v>0</v>
      </c>
      <c r="C1713" s="14" t="str">
        <f>equip.xml!C1717</f>
        <v>星界之书</v>
      </c>
      <c r="D1713" s="14" t="str">
        <f>equip.xml!D1717</f>
        <v>副手武器</v>
      </c>
      <c r="E1713" s="14">
        <f>equip.xml!E1717</f>
        <v>6</v>
      </c>
      <c r="F1713" s="14">
        <f>equip.xml!F1717</f>
        <v>4</v>
      </c>
      <c r="G1713" s="14">
        <f>equip.xml!G1717</f>
        <v>70</v>
      </c>
      <c r="H1713" s="14" t="str">
        <f>equip.xml!H1717</f>
        <v>3,1003</v>
      </c>
      <c r="I1713" s="14">
        <f>equip.xml!J1717</f>
        <v>50</v>
      </c>
      <c r="J1713" s="14">
        <f>equip.xml!K1717</f>
        <v>500</v>
      </c>
      <c r="K1713" s="14">
        <f>equip.xml!L1717</f>
        <v>40000</v>
      </c>
      <c r="L1713" s="14" t="str">
        <f>equip.xml!M1717</f>
        <v>102_3080_3080</v>
      </c>
      <c r="M1713" s="17" t="str">
        <f>equip.xml!Q1717</f>
        <v>equipment/2301.png</v>
      </c>
      <c r="N1713" s="16" t="str">
        <f>equip.xml!P1717</f>
        <v>10000_1002_70000,30000_30001_1,30000_30002_1,30000_30003_1</v>
      </c>
      <c r="O1713">
        <f>equip.xml!R1717</f>
        <v>0</v>
      </c>
    </row>
    <row r="1714" spans="1:15">
      <c r="A1714" s="14" t="str">
        <f>equip.xml!A1718</f>
        <v>40700040</v>
      </c>
      <c r="B1714" s="14">
        <f>equip.xml!B1718</f>
        <v>1</v>
      </c>
      <c r="C1714" s="14" t="str">
        <f>equip.xml!C1718</f>
        <v>光铸胸甲</v>
      </c>
      <c r="D1714" s="14" t="str">
        <f>equip.xml!D1718</f>
        <v>胸甲</v>
      </c>
      <c r="E1714" s="14">
        <f>equip.xml!E1718</f>
        <v>4</v>
      </c>
      <c r="F1714" s="14">
        <f>equip.xml!F1718</f>
        <v>4</v>
      </c>
      <c r="G1714" s="14">
        <f>equip.xml!G1718</f>
        <v>70</v>
      </c>
      <c r="H1714" s="14">
        <f>equip.xml!H1718</f>
        <v>0</v>
      </c>
      <c r="I1714" s="14">
        <f>equip.xml!J1718</f>
        <v>50</v>
      </c>
      <c r="J1714" s="14">
        <f>equip.xml!K1718</f>
        <v>500</v>
      </c>
      <c r="K1714" s="14">
        <f>equip.xml!L1718</f>
        <v>37500</v>
      </c>
      <c r="L1714" s="14" t="str">
        <f>equip.xml!M1718</f>
        <v>105_1844_1844</v>
      </c>
      <c r="M1714" s="17" t="str">
        <f>equip.xml!Q1718</f>
        <v>equipment/5018.png</v>
      </c>
      <c r="N1714" s="16" t="str">
        <f>equip.xml!P1718</f>
        <v>10000_1002_70000,30000_30001_1,30000_30002_1,30000_30003_1</v>
      </c>
      <c r="O1714">
        <f>equip.xml!R1718</f>
        <v>0</v>
      </c>
    </row>
    <row r="1715" spans="1:15">
      <c r="A1715" s="14" t="str">
        <f>equip.xml!A1719</f>
        <v>40700041</v>
      </c>
      <c r="B1715" s="14">
        <f>equip.xml!B1719</f>
        <v>0</v>
      </c>
      <c r="C1715" s="14" t="str">
        <f>equip.xml!C1719</f>
        <v>碎界之铠</v>
      </c>
      <c r="D1715" s="14" t="str">
        <f>equip.xml!D1719</f>
        <v>胸甲</v>
      </c>
      <c r="E1715" s="14">
        <f>equip.xml!E1719</f>
        <v>4</v>
      </c>
      <c r="F1715" s="14">
        <f>equip.xml!F1719</f>
        <v>4</v>
      </c>
      <c r="G1715" s="14">
        <f>equip.xml!G1719</f>
        <v>70</v>
      </c>
      <c r="H1715" s="14">
        <f>equip.xml!H1719</f>
        <v>0</v>
      </c>
      <c r="I1715" s="14">
        <f>equip.xml!J1719</f>
        <v>50</v>
      </c>
      <c r="J1715" s="14">
        <f>equip.xml!K1719</f>
        <v>500</v>
      </c>
      <c r="K1715" s="14">
        <f>equip.xml!L1719</f>
        <v>40000</v>
      </c>
      <c r="L1715" s="14" t="str">
        <f>equip.xml!M1719</f>
        <v>105_0_0</v>
      </c>
      <c r="M1715" s="17" t="str">
        <f>equip.xml!Q1719</f>
        <v>equipment/5001.png</v>
      </c>
      <c r="N1715" s="16" t="str">
        <f>equip.xml!P1719</f>
        <v>10000_1002_70000,30000_30001_1,30000_30002_1,30000_30003_1</v>
      </c>
      <c r="O1715">
        <f>equip.xml!R1719</f>
        <v>0</v>
      </c>
    </row>
    <row r="1716" spans="1:15">
      <c r="A1716" s="14" t="str">
        <f>equip.xml!A1720</f>
        <v>40700070</v>
      </c>
      <c r="B1716" s="14">
        <f>equip.xml!B1720</f>
        <v>1</v>
      </c>
      <c r="C1716" s="14" t="str">
        <f>equip.xml!C1720</f>
        <v>虚灵护腿</v>
      </c>
      <c r="D1716" s="14" t="str">
        <f>equip.xml!D1720</f>
        <v>护腿</v>
      </c>
      <c r="E1716" s="14">
        <f>equip.xml!E1720</f>
        <v>7</v>
      </c>
      <c r="F1716" s="14">
        <f>equip.xml!F1720</f>
        <v>4</v>
      </c>
      <c r="G1716" s="14">
        <f>equip.xml!G1720</f>
        <v>70</v>
      </c>
      <c r="H1716" s="14">
        <f>equip.xml!H1720</f>
        <v>0</v>
      </c>
      <c r="I1716" s="14">
        <f>equip.xml!J1720</f>
        <v>50</v>
      </c>
      <c r="J1716" s="14">
        <f>equip.xml!K1720</f>
        <v>500</v>
      </c>
      <c r="K1716" s="14">
        <f>equip.xml!L1720</f>
        <v>37500</v>
      </c>
      <c r="L1716" s="14" t="str">
        <f>equip.xml!M1720</f>
        <v>105_1844_1844</v>
      </c>
      <c r="M1716" s="17" t="str">
        <f>equip.xml!Q1720</f>
        <v>equipment/7018.png</v>
      </c>
      <c r="N1716" s="16" t="str">
        <f>equip.xml!P1720</f>
        <v>10000_1002_70000,30000_30001_1,30000_30002_1,30000_30003_1</v>
      </c>
      <c r="O1716">
        <f>equip.xml!R1720</f>
        <v>0</v>
      </c>
    </row>
    <row r="1717" spans="1:15">
      <c r="A1717" s="14" t="str">
        <f>equip.xml!A1721</f>
        <v>40700071</v>
      </c>
      <c r="B1717" s="14">
        <f>equip.xml!B1721</f>
        <v>0</v>
      </c>
      <c r="C1717" s="14" t="str">
        <f>equip.xml!C1721</f>
        <v>不朽护腿</v>
      </c>
      <c r="D1717" s="14" t="str">
        <f>equip.xml!D1721</f>
        <v>护腿</v>
      </c>
      <c r="E1717" s="14">
        <f>equip.xml!E1721</f>
        <v>7</v>
      </c>
      <c r="F1717" s="14">
        <f>equip.xml!F1721</f>
        <v>4</v>
      </c>
      <c r="G1717" s="14">
        <f>equip.xml!G1721</f>
        <v>70</v>
      </c>
      <c r="H1717" s="14">
        <f>equip.xml!H1721</f>
        <v>0</v>
      </c>
      <c r="I1717" s="14">
        <f>equip.xml!J1721</f>
        <v>50</v>
      </c>
      <c r="J1717" s="14">
        <f>equip.xml!K1721</f>
        <v>500</v>
      </c>
      <c r="K1717" s="14">
        <f>equip.xml!L1721</f>
        <v>40000</v>
      </c>
      <c r="L1717" s="14" t="str">
        <f>equip.xml!M1721</f>
        <v>105_0_0</v>
      </c>
      <c r="M1717" s="17" t="str">
        <f>equip.xml!Q1721</f>
        <v>equipment/7001.png</v>
      </c>
      <c r="N1717" s="16" t="str">
        <f>equip.xml!P1721</f>
        <v>10000_1002_70000,30000_30001_1,30000_30002_1,30000_30003_1</v>
      </c>
      <c r="O1717">
        <f>equip.xml!R1721</f>
        <v>0</v>
      </c>
    </row>
    <row r="1718" spans="1:15">
      <c r="A1718" s="14">
        <f>equip.xml!A1722</f>
        <v>40750010</v>
      </c>
      <c r="B1718" s="14">
        <f>equip.xml!B1722</f>
        <v>1</v>
      </c>
      <c r="C1718" s="14" t="str">
        <f>equip.xml!C1722</f>
        <v>凛冬头盔</v>
      </c>
      <c r="D1718" s="14" t="str">
        <f>equip.xml!D1722</f>
        <v>头盔</v>
      </c>
      <c r="E1718" s="14">
        <f>equip.xml!E1722</f>
        <v>1</v>
      </c>
      <c r="F1718" s="14">
        <f>equip.xml!F1722</f>
        <v>4</v>
      </c>
      <c r="G1718" s="14">
        <f>equip.xml!G1722</f>
        <v>75</v>
      </c>
      <c r="H1718" s="14">
        <f>equip.xml!H1722</f>
        <v>0</v>
      </c>
      <c r="I1718" s="14">
        <f>equip.xml!J1722</f>
        <v>50</v>
      </c>
      <c r="J1718" s="14">
        <f>equip.xml!K1722</f>
        <v>500</v>
      </c>
      <c r="K1718" s="14">
        <f>equip.xml!L1722</f>
        <v>40000</v>
      </c>
      <c r="L1718" s="14" t="str">
        <f>equip.xml!M1722</f>
        <v>106_2633_2633</v>
      </c>
      <c r="M1718" s="17" t="str">
        <f>equip.xml!Q1722</f>
        <v>equipment/3013.png</v>
      </c>
      <c r="N1718" s="16" t="str">
        <f>equip.xml!P1722</f>
        <v>10000_1002_70000,30000_30001_1,30000_30002_1,30000_30003_1</v>
      </c>
      <c r="O1718">
        <f>equip.xml!R1722</f>
        <v>0</v>
      </c>
    </row>
    <row r="1719" spans="1:15">
      <c r="A1719" s="14">
        <f>equip.xml!A1723</f>
        <v>40750020</v>
      </c>
      <c r="B1719" s="14">
        <f>equip.xml!B1723</f>
        <v>1</v>
      </c>
      <c r="C1719" s="14" t="str">
        <f>equip.xml!C1723</f>
        <v>地脉之环</v>
      </c>
      <c r="D1719" s="14" t="str">
        <f>equip.xml!D1723</f>
        <v>戒指</v>
      </c>
      <c r="E1719" s="14">
        <f>equip.xml!E1723</f>
        <v>2</v>
      </c>
      <c r="F1719" s="14">
        <f>equip.xml!F1723</f>
        <v>4</v>
      </c>
      <c r="G1719" s="14">
        <f>equip.xml!G1723</f>
        <v>75</v>
      </c>
      <c r="H1719" s="14">
        <f>equip.xml!H1723</f>
        <v>0</v>
      </c>
      <c r="I1719" s="14">
        <f>equip.xml!J1723</f>
        <v>50</v>
      </c>
      <c r="J1719" s="14">
        <f>equip.xml!K1723</f>
        <v>500</v>
      </c>
      <c r="K1719" s="14">
        <f>equip.xml!L1723</f>
        <v>40000</v>
      </c>
      <c r="L1719" s="14" t="str">
        <f>equip.xml!M1723</f>
        <v>102_1760_1760</v>
      </c>
      <c r="M1719" s="17" t="str">
        <f>equip.xml!Q1723</f>
        <v>equipment/14013.png</v>
      </c>
      <c r="N1719" s="16" t="str">
        <f>equip.xml!P1723</f>
        <v>10000_1002_70000,30000_30001_1,30000_30002_1,30000_30003_1</v>
      </c>
      <c r="O1719">
        <f>equip.xml!R1723</f>
        <v>0</v>
      </c>
    </row>
    <row r="1720" spans="1:15">
      <c r="A1720" s="14">
        <f>equip.xml!A1724</f>
        <v>40750030</v>
      </c>
      <c r="B1720" s="14">
        <f>equip.xml!B1724</f>
        <v>1</v>
      </c>
      <c r="C1720" s="14" t="str">
        <f>equip.xml!C1724</f>
        <v>缚誓护腰</v>
      </c>
      <c r="D1720" s="14" t="str">
        <f>equip.xml!D1724</f>
        <v>腰带</v>
      </c>
      <c r="E1720" s="14">
        <f>equip.xml!E1724</f>
        <v>3</v>
      </c>
      <c r="F1720" s="14">
        <f>equip.xml!F1724</f>
        <v>4</v>
      </c>
      <c r="G1720" s="14">
        <f>equip.xml!G1724</f>
        <v>75</v>
      </c>
      <c r="H1720" s="14">
        <f>equip.xml!H1724</f>
        <v>0</v>
      </c>
      <c r="I1720" s="14">
        <f>equip.xml!J1724</f>
        <v>50</v>
      </c>
      <c r="J1720" s="14">
        <f>equip.xml!K1724</f>
        <v>500</v>
      </c>
      <c r="K1720" s="14">
        <f>equip.xml!L1724</f>
        <v>40000</v>
      </c>
      <c r="L1720" s="14" t="str">
        <f>equip.xml!M1724</f>
        <v>101_21600_21600</v>
      </c>
      <c r="M1720" s="17" t="str">
        <f>equip.xml!Q1724</f>
        <v>equipment/6014.png</v>
      </c>
      <c r="N1720" s="16" t="str">
        <f>equip.xml!P1724</f>
        <v>10000_1002_70000,30000_30001_1,30000_30002_1,30000_30003_1</v>
      </c>
      <c r="O1720">
        <f>equip.xml!R1724</f>
        <v>0</v>
      </c>
    </row>
    <row r="1721" spans="1:15">
      <c r="A1721" s="14">
        <f>equip.xml!A1725</f>
        <v>40750080</v>
      </c>
      <c r="B1721" s="14">
        <f>equip.xml!B1725</f>
        <v>1</v>
      </c>
      <c r="C1721" s="14" t="str">
        <f>equip.xml!C1725</f>
        <v>踏冰长靴</v>
      </c>
      <c r="D1721" s="14" t="str">
        <f>equip.xml!D1725</f>
        <v>鞋子</v>
      </c>
      <c r="E1721" s="14">
        <f>equip.xml!E1725</f>
        <v>8</v>
      </c>
      <c r="F1721" s="14">
        <f>equip.xml!F1725</f>
        <v>4</v>
      </c>
      <c r="G1721" s="14">
        <f>equip.xml!G1725</f>
        <v>75</v>
      </c>
      <c r="H1721" s="14">
        <f>equip.xml!H1725</f>
        <v>0</v>
      </c>
      <c r="I1721" s="14">
        <f>equip.xml!J1725</f>
        <v>50</v>
      </c>
      <c r="J1721" s="14">
        <f>equip.xml!K1725</f>
        <v>500</v>
      </c>
      <c r="K1721" s="14">
        <f>equip.xml!L1725</f>
        <v>40000</v>
      </c>
      <c r="L1721" s="14" t="str">
        <f>equip.xml!M1725</f>
        <v>110_515_515</v>
      </c>
      <c r="M1721" s="17" t="str">
        <f>equip.xml!Q1725</f>
        <v>equipment/8014.png</v>
      </c>
      <c r="N1721" s="16" t="str">
        <f>equip.xml!P1725</f>
        <v>10000_1002_70000,30000_30001_1,30000_30002_1,30000_30003_1</v>
      </c>
      <c r="O1721">
        <f>equip.xml!R1725</f>
        <v>0</v>
      </c>
    </row>
    <row r="1722" spans="1:15">
      <c r="A1722" s="14">
        <f>equip.xml!A1726</f>
        <v>40750090</v>
      </c>
      <c r="B1722" s="14">
        <f>equip.xml!B1726</f>
        <v>1</v>
      </c>
      <c r="C1722" s="14" t="str">
        <f>equip.xml!C1726</f>
        <v>薄霜护手</v>
      </c>
      <c r="D1722" s="14" t="str">
        <f>equip.xml!D1726</f>
        <v>手套</v>
      </c>
      <c r="E1722" s="14">
        <f>equip.xml!E1726</f>
        <v>9</v>
      </c>
      <c r="F1722" s="14">
        <f>equip.xml!F1726</f>
        <v>4</v>
      </c>
      <c r="G1722" s="14">
        <f>equip.xml!G1726</f>
        <v>75</v>
      </c>
      <c r="H1722" s="14">
        <f>equip.xml!H1726</f>
        <v>0</v>
      </c>
      <c r="I1722" s="14">
        <f>equip.xml!J1726</f>
        <v>50</v>
      </c>
      <c r="J1722" s="14">
        <f>equip.xml!K1726</f>
        <v>500</v>
      </c>
      <c r="K1722" s="14">
        <f>equip.xml!L1726</f>
        <v>40000</v>
      </c>
      <c r="L1722" s="14" t="str">
        <f>equip.xml!M1726</f>
        <v>108_4631_4631</v>
      </c>
      <c r="M1722" s="17" t="str">
        <f>equip.xml!Q1726</f>
        <v>equipment/10012.png</v>
      </c>
      <c r="N1722" s="16" t="str">
        <f>equip.xml!P1726</f>
        <v>10000_1002_70000,30000_30001_1,30000_30002_1,30000_30003_1</v>
      </c>
      <c r="O1722">
        <f>equip.xml!R1726</f>
        <v>0</v>
      </c>
    </row>
    <row r="1723" spans="1:15">
      <c r="A1723" s="14">
        <f>equip.xml!A1727</f>
        <v>40750100</v>
      </c>
      <c r="B1723" s="14">
        <f>equip.xml!B1727</f>
        <v>1</v>
      </c>
      <c r="C1723" s="14" t="str">
        <f>equip.xml!C1727</f>
        <v>极光挂坠</v>
      </c>
      <c r="D1723" s="14" t="str">
        <f>equip.xml!D1727</f>
        <v>项链</v>
      </c>
      <c r="E1723" s="14">
        <f>equip.xml!E1727</f>
        <v>10</v>
      </c>
      <c r="F1723" s="14">
        <f>equip.xml!F1727</f>
        <v>4</v>
      </c>
      <c r="G1723" s="14">
        <f>equip.xml!G1727</f>
        <v>75</v>
      </c>
      <c r="H1723" s="14">
        <f>equip.xml!H1727</f>
        <v>0</v>
      </c>
      <c r="I1723" s="14">
        <f>equip.xml!J1727</f>
        <v>50</v>
      </c>
      <c r="J1723" s="14">
        <f>equip.xml!K1727</f>
        <v>500</v>
      </c>
      <c r="K1723" s="14">
        <f>equip.xml!L1727</f>
        <v>40000</v>
      </c>
      <c r="L1723" s="14" t="str">
        <f>equip.xml!M1727</f>
        <v>107_2633_2633</v>
      </c>
      <c r="M1723" s="17" t="str">
        <f>equip.xml!Q1727</f>
        <v>equipment/12013.png</v>
      </c>
      <c r="N1723" s="16" t="str">
        <f>equip.xml!P1727</f>
        <v>10000_1002_70000,30000_30001_1,30000_30002_1,30000_30003_1</v>
      </c>
      <c r="O1723">
        <f>equip.xml!R1727</f>
        <v>0</v>
      </c>
    </row>
    <row r="1724" spans="1:15">
      <c r="A1724" s="14">
        <f>equip.xml!A1728</f>
        <v>40751050</v>
      </c>
      <c r="B1724" s="14">
        <f>equip.xml!B1728</f>
        <v>1</v>
      </c>
      <c r="C1724" s="14" t="str">
        <f>equip.xml!C1728</f>
        <v>凌风之刃</v>
      </c>
      <c r="D1724" s="14" t="str">
        <f>equip.xml!D1728</f>
        <v>主手武器</v>
      </c>
      <c r="E1724" s="14">
        <f>equip.xml!E1728</f>
        <v>5</v>
      </c>
      <c r="F1724" s="14">
        <f>equip.xml!F1728</f>
        <v>4</v>
      </c>
      <c r="G1724" s="14">
        <f>equip.xml!G1728</f>
        <v>75</v>
      </c>
      <c r="H1724" s="14" t="str">
        <f>equip.xml!H1728</f>
        <v>1,1001</v>
      </c>
      <c r="I1724" s="14">
        <f>equip.xml!J1728</f>
        <v>50</v>
      </c>
      <c r="J1724" s="14">
        <f>equip.xml!K1728</f>
        <v>500</v>
      </c>
      <c r="K1724" s="14">
        <f>equip.xml!L1728</f>
        <v>40000</v>
      </c>
      <c r="L1724" s="14" t="str">
        <f>equip.xml!M1728</f>
        <v>103_3811_3811,104_7622_7622</v>
      </c>
      <c r="M1724" s="17" t="str">
        <f>equip.xml!Q1728</f>
        <v>equipment/1126.png</v>
      </c>
      <c r="N1724" s="16" t="str">
        <f>equip.xml!P1728</f>
        <v>10000_1002_70000,30000_30001_1,30000_30002_1,30000_30003_1</v>
      </c>
      <c r="O1724">
        <f>equip.xml!R1728</f>
        <v>0</v>
      </c>
    </row>
    <row r="1725" spans="1:15">
      <c r="A1725" s="14">
        <f>equip.xml!A1729</f>
        <v>40751051</v>
      </c>
      <c r="B1725" s="14">
        <f>equip.xml!B1729</f>
        <v>1</v>
      </c>
      <c r="C1725" s="14" t="str">
        <f>equip.xml!C1729</f>
        <v>鸣醒之剑</v>
      </c>
      <c r="D1725" s="14" t="str">
        <f>equip.xml!D1729</f>
        <v>主手武器</v>
      </c>
      <c r="E1725" s="14">
        <f>equip.xml!E1729</f>
        <v>5</v>
      </c>
      <c r="F1725" s="14">
        <f>equip.xml!F1729</f>
        <v>4</v>
      </c>
      <c r="G1725" s="14">
        <f>equip.xml!G1729</f>
        <v>75</v>
      </c>
      <c r="H1725" s="14" t="str">
        <f>equip.xml!H1729</f>
        <v>1,1001</v>
      </c>
      <c r="I1725" s="14">
        <f>equip.xml!J1729</f>
        <v>50</v>
      </c>
      <c r="J1725" s="14">
        <f>equip.xml!K1729</f>
        <v>500</v>
      </c>
      <c r="K1725" s="14">
        <f>equip.xml!L1729</f>
        <v>42500</v>
      </c>
      <c r="L1725" s="14" t="str">
        <f>equip.xml!M1729</f>
        <v>103_4019_4019,104_8038_8038</v>
      </c>
      <c r="M1725" s="17" t="str">
        <f>equip.xml!Q1729</f>
        <v>equipment/1127.png</v>
      </c>
      <c r="N1725" s="16" t="str">
        <f>equip.xml!P1729</f>
        <v>10000_1002_70000,30000_30001_1,30000_30002_1,30000_30003_1</v>
      </c>
      <c r="O1725">
        <f>equip.xml!R1729</f>
        <v>0</v>
      </c>
    </row>
    <row r="1726" spans="1:15">
      <c r="A1726" s="14">
        <f>equip.xml!A1730</f>
        <v>40751060</v>
      </c>
      <c r="B1726" s="14">
        <f>equip.xml!B1730</f>
        <v>1</v>
      </c>
      <c r="C1726" s="14" t="str">
        <f>equip.xml!C1730</f>
        <v>凯旋护盾</v>
      </c>
      <c r="D1726" s="14" t="str">
        <f>equip.xml!D1730</f>
        <v>副手武器</v>
      </c>
      <c r="E1726" s="14">
        <f>equip.xml!E1730</f>
        <v>6</v>
      </c>
      <c r="F1726" s="14">
        <f>equip.xml!F1730</f>
        <v>4</v>
      </c>
      <c r="G1726" s="14">
        <f>equip.xml!G1730</f>
        <v>75</v>
      </c>
      <c r="H1726" s="14" t="str">
        <f>equip.xml!H1730</f>
        <v>1,1001</v>
      </c>
      <c r="I1726" s="14">
        <f>equip.xml!J1730</f>
        <v>50</v>
      </c>
      <c r="J1726" s="14">
        <f>equip.xml!K1730</f>
        <v>500</v>
      </c>
      <c r="K1726" s="14">
        <f>equip.xml!L1730</f>
        <v>40000</v>
      </c>
      <c r="L1726" s="14" t="str">
        <f>equip.xml!M1730</f>
        <v>105_3945_3945</v>
      </c>
      <c r="M1726" s="17" t="str">
        <f>equip.xml!Q1730</f>
        <v>equipment/2121.png</v>
      </c>
      <c r="N1726" s="16" t="str">
        <f>equip.xml!P1730</f>
        <v>10000_1002_70000,30000_30001_1,30000_30002_1,30000_30003_1</v>
      </c>
      <c r="O1726">
        <f>equip.xml!R1730</f>
        <v>0</v>
      </c>
    </row>
    <row r="1727" spans="1:15">
      <c r="A1727" s="14">
        <f>equip.xml!A1731</f>
        <v>40751061</v>
      </c>
      <c r="B1727" s="14">
        <f>equip.xml!B1731</f>
        <v>1</v>
      </c>
      <c r="C1727" s="14" t="str">
        <f>equip.xml!C1731</f>
        <v>集结护盾</v>
      </c>
      <c r="D1727" s="14" t="str">
        <f>equip.xml!D1731</f>
        <v>副手武器</v>
      </c>
      <c r="E1727" s="14">
        <f>equip.xml!E1731</f>
        <v>6</v>
      </c>
      <c r="F1727" s="14">
        <f>equip.xml!F1731</f>
        <v>4</v>
      </c>
      <c r="G1727" s="14">
        <f>equip.xml!G1731</f>
        <v>75</v>
      </c>
      <c r="H1727" s="14" t="str">
        <f>equip.xml!H1731</f>
        <v>1,1001</v>
      </c>
      <c r="I1727" s="14">
        <f>equip.xml!J1731</f>
        <v>50</v>
      </c>
      <c r="J1727" s="14">
        <f>equip.xml!K1731</f>
        <v>500</v>
      </c>
      <c r="K1727" s="14">
        <f>equip.xml!L1731</f>
        <v>42500</v>
      </c>
      <c r="L1727" s="14" t="str">
        <f>equip.xml!M1731</f>
        <v>105_4082_4082</v>
      </c>
      <c r="M1727" s="17" t="str">
        <f>equip.xml!Q1731</f>
        <v>equipment/2123.png</v>
      </c>
      <c r="N1727" s="16" t="str">
        <f>equip.xml!P1731</f>
        <v>10000_1002_70000,30000_30001_1,30000_30002_1,30000_30003_1</v>
      </c>
      <c r="O1727">
        <f>equip.xml!R1731</f>
        <v>0</v>
      </c>
    </row>
    <row r="1728" spans="1:15">
      <c r="A1728" s="14">
        <f>equip.xml!A1732</f>
        <v>40752050</v>
      </c>
      <c r="B1728" s="14">
        <f>equip.xml!B1732</f>
        <v>1</v>
      </c>
      <c r="C1728" s="14" t="str">
        <f>equip.xml!C1732</f>
        <v>嚎风之息</v>
      </c>
      <c r="D1728" s="14" t="str">
        <f>equip.xml!D1732</f>
        <v>主手武器</v>
      </c>
      <c r="E1728" s="14">
        <f>equip.xml!E1732</f>
        <v>5</v>
      </c>
      <c r="F1728" s="14">
        <f>equip.xml!F1732</f>
        <v>4</v>
      </c>
      <c r="G1728" s="14">
        <f>equip.xml!G1732</f>
        <v>75</v>
      </c>
      <c r="H1728" s="14" t="str">
        <f>equip.xml!H1732</f>
        <v>2,1002</v>
      </c>
      <c r="I1728" s="14">
        <f>equip.xml!J1732</f>
        <v>50</v>
      </c>
      <c r="J1728" s="14">
        <f>equip.xml!K1732</f>
        <v>500</v>
      </c>
      <c r="K1728" s="14">
        <f>equip.xml!L1732</f>
        <v>40000</v>
      </c>
      <c r="L1728" s="14" t="str">
        <f>equip.xml!M1732</f>
        <v>103_3811_3811,104_7622_7622</v>
      </c>
      <c r="M1728" s="17" t="str">
        <f>equip.xml!Q1732</f>
        <v>equipment/1225.png</v>
      </c>
      <c r="N1728" s="16" t="str">
        <f>equip.xml!P1732</f>
        <v>10000_1002_70000,30000_30001_1,30000_30002_1,30000_30003_1</v>
      </c>
      <c r="O1728">
        <f>equip.xml!R1732</f>
        <v>0</v>
      </c>
    </row>
    <row r="1729" spans="1:15">
      <c r="A1729" s="14">
        <f>equip.xml!A1733</f>
        <v>40752051</v>
      </c>
      <c r="B1729" s="14">
        <f>equip.xml!B1733</f>
        <v>1</v>
      </c>
      <c r="C1729" s="14" t="str">
        <f>equip.xml!C1733</f>
        <v>瞭天长弓</v>
      </c>
      <c r="D1729" s="14" t="str">
        <f>equip.xml!D1733</f>
        <v>主手武器</v>
      </c>
      <c r="E1729" s="14">
        <f>equip.xml!E1733</f>
        <v>5</v>
      </c>
      <c r="F1729" s="14">
        <f>equip.xml!F1733</f>
        <v>4</v>
      </c>
      <c r="G1729" s="14">
        <f>equip.xml!G1733</f>
        <v>75</v>
      </c>
      <c r="H1729" s="14" t="str">
        <f>equip.xml!H1733</f>
        <v>2,1002</v>
      </c>
      <c r="I1729" s="14">
        <f>equip.xml!J1733</f>
        <v>50</v>
      </c>
      <c r="J1729" s="14">
        <f>equip.xml!K1733</f>
        <v>500</v>
      </c>
      <c r="K1729" s="14">
        <f>equip.xml!L1733</f>
        <v>42500</v>
      </c>
      <c r="L1729" s="14" t="str">
        <f>equip.xml!M1733</f>
        <v>103_4019_4019,104_8038_8038</v>
      </c>
      <c r="M1729" s="17" t="str">
        <f>equip.xml!Q1733</f>
        <v>equipment/1226.png</v>
      </c>
      <c r="N1729" s="16" t="str">
        <f>equip.xml!P1733</f>
        <v>10000_1002_70000,30000_30001_1,30000_30002_1,30000_30003_1</v>
      </c>
      <c r="O1729">
        <f>equip.xml!R1733</f>
        <v>0</v>
      </c>
    </row>
    <row r="1730" spans="1:15">
      <c r="A1730" s="14">
        <f>equip.xml!A1734</f>
        <v>40752060</v>
      </c>
      <c r="B1730" s="14">
        <f>equip.xml!B1734</f>
        <v>1</v>
      </c>
      <c r="C1730" s="14" t="str">
        <f>equip.xml!C1734</f>
        <v>疾鹰箭袋</v>
      </c>
      <c r="D1730" s="14" t="str">
        <f>equip.xml!D1734</f>
        <v>副手武器</v>
      </c>
      <c r="E1730" s="14">
        <f>equip.xml!E1734</f>
        <v>6</v>
      </c>
      <c r="F1730" s="14">
        <f>equip.xml!F1734</f>
        <v>4</v>
      </c>
      <c r="G1730" s="14">
        <f>equip.xml!G1734</f>
        <v>75</v>
      </c>
      <c r="H1730" s="14" t="str">
        <f>equip.xml!H1734</f>
        <v>2,1002</v>
      </c>
      <c r="I1730" s="14">
        <f>equip.xml!J1734</f>
        <v>50</v>
      </c>
      <c r="J1730" s="14">
        <f>equip.xml!K1734</f>
        <v>500</v>
      </c>
      <c r="K1730" s="14">
        <f>equip.xml!L1734</f>
        <v>40000</v>
      </c>
      <c r="L1730" s="14" t="str">
        <f>equip.xml!M1734</f>
        <v>108_3945_3945</v>
      </c>
      <c r="M1730" s="17" t="str">
        <f>equip.xml!Q1734</f>
        <v>equipment/2219.png</v>
      </c>
      <c r="N1730" s="16" t="str">
        <f>equip.xml!P1734</f>
        <v>10000_1002_70000,30000_30001_1,30000_30002_1,30000_30003_1</v>
      </c>
      <c r="O1730">
        <f>equip.xml!R1734</f>
        <v>0</v>
      </c>
    </row>
    <row r="1731" spans="1:15">
      <c r="A1731" s="14">
        <f>equip.xml!A1735</f>
        <v>40752061</v>
      </c>
      <c r="B1731" s="14">
        <f>equip.xml!B1735</f>
        <v>1</v>
      </c>
      <c r="C1731" s="14" t="str">
        <f>equip.xml!C1735</f>
        <v>灵犀箭筒</v>
      </c>
      <c r="D1731" s="14" t="str">
        <f>equip.xml!D1735</f>
        <v>副手武器</v>
      </c>
      <c r="E1731" s="14">
        <f>equip.xml!E1735</f>
        <v>6</v>
      </c>
      <c r="F1731" s="14">
        <f>equip.xml!F1735</f>
        <v>4</v>
      </c>
      <c r="G1731" s="14">
        <f>equip.xml!G1735</f>
        <v>75</v>
      </c>
      <c r="H1731" s="14" t="str">
        <f>equip.xml!H1735</f>
        <v>2,1002</v>
      </c>
      <c r="I1731" s="14">
        <f>equip.xml!J1735</f>
        <v>50</v>
      </c>
      <c r="J1731" s="14">
        <f>equip.xml!K1735</f>
        <v>500</v>
      </c>
      <c r="K1731" s="14">
        <f>equip.xml!L1735</f>
        <v>42500</v>
      </c>
      <c r="L1731" s="14" t="str">
        <f>equip.xml!M1735</f>
        <v>108_4082_4082</v>
      </c>
      <c r="M1731" s="17" t="str">
        <f>equip.xml!Q1735</f>
        <v>equipment/2220.png</v>
      </c>
      <c r="N1731" s="16" t="str">
        <f>equip.xml!P1735</f>
        <v>10000_1002_70000,30000_30001_1,30000_30002_1,30000_30003_1</v>
      </c>
      <c r="O1731">
        <f>equip.xml!R1735</f>
        <v>0</v>
      </c>
    </row>
    <row r="1732" spans="1:15">
      <c r="A1732" s="14">
        <f>equip.xml!A1736</f>
        <v>40753050</v>
      </c>
      <c r="B1732" s="14">
        <f>equip.xml!B1736</f>
        <v>1</v>
      </c>
      <c r="C1732" s="14" t="str">
        <f>equip.xml!C1736</f>
        <v>唤海长杖</v>
      </c>
      <c r="D1732" s="14" t="str">
        <f>equip.xml!D1736</f>
        <v>主手武器</v>
      </c>
      <c r="E1732" s="14">
        <f>equip.xml!E1736</f>
        <v>5</v>
      </c>
      <c r="F1732" s="14">
        <f>equip.xml!F1736</f>
        <v>4</v>
      </c>
      <c r="G1732" s="14">
        <f>equip.xml!G1736</f>
        <v>75</v>
      </c>
      <c r="H1732" s="14" t="str">
        <f>equip.xml!H1736</f>
        <v>3,1003</v>
      </c>
      <c r="I1732" s="14">
        <f>equip.xml!J1736</f>
        <v>50</v>
      </c>
      <c r="J1732" s="14">
        <f>equip.xml!K1736</f>
        <v>500</v>
      </c>
      <c r="K1732" s="14">
        <f>equip.xml!L1736</f>
        <v>40000</v>
      </c>
      <c r="L1732" s="14" t="str">
        <f>equip.xml!M1736</f>
        <v>103_3811_3811,104_7622_7622</v>
      </c>
      <c r="M1732" s="17" t="str">
        <f>equip.xml!Q1736</f>
        <v>equipment/1326.png</v>
      </c>
      <c r="N1732" s="16" t="str">
        <f>equip.xml!P1736</f>
        <v>10000_1002_70000,30000_30001_1,30000_30002_1,30000_30003_1</v>
      </c>
      <c r="O1732">
        <f>equip.xml!R1736</f>
        <v>0</v>
      </c>
    </row>
    <row r="1733" spans="1:15">
      <c r="A1733" s="14">
        <f>equip.xml!A1737</f>
        <v>40753051</v>
      </c>
      <c r="B1733" s="14">
        <f>equip.xml!B1737</f>
        <v>1</v>
      </c>
      <c r="C1733" s="14" t="str">
        <f>equip.xml!C1737</f>
        <v>奥核之杖</v>
      </c>
      <c r="D1733" s="14" t="str">
        <f>equip.xml!D1737</f>
        <v>主手武器</v>
      </c>
      <c r="E1733" s="14">
        <f>equip.xml!E1737</f>
        <v>5</v>
      </c>
      <c r="F1733" s="14">
        <f>equip.xml!F1737</f>
        <v>4</v>
      </c>
      <c r="G1733" s="14">
        <f>equip.xml!G1737</f>
        <v>75</v>
      </c>
      <c r="H1733" s="14" t="str">
        <f>equip.xml!H1737</f>
        <v>3,1003</v>
      </c>
      <c r="I1733" s="14">
        <f>equip.xml!J1737</f>
        <v>50</v>
      </c>
      <c r="J1733" s="14">
        <f>equip.xml!K1737</f>
        <v>500</v>
      </c>
      <c r="K1733" s="14">
        <f>equip.xml!L1737</f>
        <v>42500</v>
      </c>
      <c r="L1733" s="14" t="str">
        <f>equip.xml!M1737</f>
        <v>103_4019_4019,104_8038_8038</v>
      </c>
      <c r="M1733" s="17" t="str">
        <f>equip.xml!Q1737</f>
        <v>equipment/1325.png</v>
      </c>
      <c r="N1733" s="16" t="str">
        <f>equip.xml!P1737</f>
        <v>10000_1002_70000,30000_30001_1,30000_30002_1,30000_30003_1</v>
      </c>
      <c r="O1733">
        <f>equip.xml!R1737</f>
        <v>0</v>
      </c>
    </row>
    <row r="1734" spans="1:15">
      <c r="A1734" s="14">
        <f>equip.xml!A1738</f>
        <v>40753060</v>
      </c>
      <c r="B1734" s="14">
        <f>equip.xml!B1738</f>
        <v>1</v>
      </c>
      <c r="C1734" s="14" t="str">
        <f>equip.xml!C1738</f>
        <v>尘封遗典</v>
      </c>
      <c r="D1734" s="14" t="str">
        <f>equip.xml!D1738</f>
        <v>副手武器</v>
      </c>
      <c r="E1734" s="14">
        <f>equip.xml!E1738</f>
        <v>6</v>
      </c>
      <c r="F1734" s="14">
        <f>equip.xml!F1738</f>
        <v>4</v>
      </c>
      <c r="G1734" s="14">
        <f>equip.xml!G1738</f>
        <v>75</v>
      </c>
      <c r="H1734" s="14" t="str">
        <f>equip.xml!H1738</f>
        <v>3,1003</v>
      </c>
      <c r="I1734" s="14">
        <f>equip.xml!J1738</f>
        <v>50</v>
      </c>
      <c r="J1734" s="14">
        <f>equip.xml!K1738</f>
        <v>500</v>
      </c>
      <c r="K1734" s="14">
        <f>equip.xml!L1738</f>
        <v>40000</v>
      </c>
      <c r="L1734" s="14" t="str">
        <f>equip.xml!M1738</f>
        <v>102_3350_3350</v>
      </c>
      <c r="M1734" s="17" t="str">
        <f>equip.xml!Q1738</f>
        <v>equipment/2319.png</v>
      </c>
      <c r="N1734" s="16" t="str">
        <f>equip.xml!P1738</f>
        <v>10000_1002_70000,30000_30001_1,30000_30002_1,30000_30003_1</v>
      </c>
      <c r="O1734">
        <f>equip.xml!R1738</f>
        <v>0</v>
      </c>
    </row>
    <row r="1735" spans="1:15">
      <c r="A1735" s="14">
        <f>equip.xml!A1739</f>
        <v>40753061</v>
      </c>
      <c r="B1735" s="14">
        <f>equip.xml!B1739</f>
        <v>1</v>
      </c>
      <c r="C1735" s="14" t="str">
        <f>equip.xml!C1739</f>
        <v>魔枢秘典</v>
      </c>
      <c r="D1735" s="14" t="str">
        <f>equip.xml!D1739</f>
        <v>副手武器</v>
      </c>
      <c r="E1735" s="14">
        <f>equip.xml!E1739</f>
        <v>6</v>
      </c>
      <c r="F1735" s="14">
        <f>equip.xml!F1739</f>
        <v>4</v>
      </c>
      <c r="G1735" s="14">
        <f>equip.xml!G1739</f>
        <v>75</v>
      </c>
      <c r="H1735" s="14" t="str">
        <f>equip.xml!H1739</f>
        <v>3,1003</v>
      </c>
      <c r="I1735" s="14">
        <f>equip.xml!J1739</f>
        <v>50</v>
      </c>
      <c r="J1735" s="14">
        <f>equip.xml!K1739</f>
        <v>500</v>
      </c>
      <c r="K1735" s="14">
        <f>equip.xml!L1739</f>
        <v>42500</v>
      </c>
      <c r="L1735" s="14" t="str">
        <f>equip.xml!M1739</f>
        <v>102_3450_3450</v>
      </c>
      <c r="M1735" s="17" t="str">
        <f>equip.xml!Q1739</f>
        <v>equipment/2321.png</v>
      </c>
      <c r="N1735" s="16" t="str">
        <f>equip.xml!P1739</f>
        <v>10000_1002_70000,30000_30001_1,30000_30002_1,30000_30003_1</v>
      </c>
      <c r="O1735">
        <f>equip.xml!R1739</f>
        <v>0</v>
      </c>
    </row>
    <row r="1736" spans="1:15">
      <c r="A1736" s="14">
        <f>equip.xml!A1740</f>
        <v>40750040</v>
      </c>
      <c r="B1736" s="14">
        <f>equip.xml!B1740</f>
        <v>1</v>
      </c>
      <c r="C1736" s="14" t="str">
        <f>equip.xml!C1740</f>
        <v>守望胸甲</v>
      </c>
      <c r="D1736" s="14" t="str">
        <f>equip.xml!D1740</f>
        <v>胸甲</v>
      </c>
      <c r="E1736" s="14">
        <f>equip.xml!E1740</f>
        <v>4</v>
      </c>
      <c r="F1736" s="14">
        <f>equip.xml!F1740</f>
        <v>4</v>
      </c>
      <c r="G1736" s="14">
        <f>equip.xml!G1740</f>
        <v>75</v>
      </c>
      <c r="H1736" s="14">
        <f>equip.xml!H1740</f>
        <v>0</v>
      </c>
      <c r="I1736" s="14">
        <f>equip.xml!J1740</f>
        <v>50</v>
      </c>
      <c r="J1736" s="14">
        <f>equip.xml!K1740</f>
        <v>500</v>
      </c>
      <c r="K1736" s="14">
        <f>equip.xml!L1740</f>
        <v>40000</v>
      </c>
      <c r="L1736" s="14" t="str">
        <f>equip.xml!M1740</f>
        <v>105_2195_2195</v>
      </c>
      <c r="M1736" s="17" t="str">
        <f>equip.xml!Q1740</f>
        <v>equipment/5019.png</v>
      </c>
      <c r="N1736" s="16" t="str">
        <f>equip.xml!P1740</f>
        <v>10000_1002_70000,30000_30001_1,30000_30002_1,30000_30003_1</v>
      </c>
      <c r="O1736">
        <f>equip.xml!R1740</f>
        <v>0</v>
      </c>
    </row>
    <row r="1737" spans="1:15">
      <c r="A1737" s="14">
        <f>equip.xml!A1741</f>
        <v>40750041</v>
      </c>
      <c r="B1737" s="14">
        <f>equip.xml!B1741</f>
        <v>1</v>
      </c>
      <c r="C1737" s="14" t="str">
        <f>equip.xml!C1741</f>
        <v>冥铸之铠</v>
      </c>
      <c r="D1737" s="14" t="str">
        <f>equip.xml!D1741</f>
        <v>胸甲</v>
      </c>
      <c r="E1737" s="14">
        <f>equip.xml!E1741</f>
        <v>4</v>
      </c>
      <c r="F1737" s="14">
        <f>equip.xml!F1741</f>
        <v>4</v>
      </c>
      <c r="G1737" s="14">
        <f>equip.xml!G1741</f>
        <v>75</v>
      </c>
      <c r="H1737" s="14">
        <f>equip.xml!H1741</f>
        <v>0</v>
      </c>
      <c r="I1737" s="14">
        <f>equip.xml!J1741</f>
        <v>50</v>
      </c>
      <c r="J1737" s="14">
        <f>equip.xml!K1741</f>
        <v>500</v>
      </c>
      <c r="K1737" s="14">
        <f>equip.xml!L1741</f>
        <v>42500</v>
      </c>
      <c r="L1737" s="14" t="str">
        <f>equip.xml!M1741</f>
        <v>105_2346_2346</v>
      </c>
      <c r="M1737" s="17" t="str">
        <f>equip.xml!Q1741</f>
        <v>equipment/5020.png</v>
      </c>
      <c r="N1737" s="16" t="str">
        <f>equip.xml!P1741</f>
        <v>10000_1002_70000,30000_30001_1,30000_30002_1,30000_30003_1</v>
      </c>
      <c r="O1737">
        <f>equip.xml!R1741</f>
        <v>0</v>
      </c>
    </row>
    <row r="1738" spans="1:15">
      <c r="A1738" s="14">
        <f>equip.xml!A1742</f>
        <v>40750070</v>
      </c>
      <c r="B1738" s="14">
        <f>equip.xml!B1742</f>
        <v>1</v>
      </c>
      <c r="C1738" s="14" t="str">
        <f>equip.xml!C1742</f>
        <v>怜悯护腿</v>
      </c>
      <c r="D1738" s="14" t="str">
        <f>equip.xml!D1742</f>
        <v>护腿</v>
      </c>
      <c r="E1738" s="14">
        <f>equip.xml!E1742</f>
        <v>7</v>
      </c>
      <c r="F1738" s="14">
        <f>equip.xml!F1742</f>
        <v>4</v>
      </c>
      <c r="G1738" s="14">
        <f>equip.xml!G1742</f>
        <v>75</v>
      </c>
      <c r="H1738" s="14">
        <f>equip.xml!H1742</f>
        <v>0</v>
      </c>
      <c r="I1738" s="14">
        <f>equip.xml!J1742</f>
        <v>50</v>
      </c>
      <c r="J1738" s="14">
        <f>equip.xml!K1742</f>
        <v>500</v>
      </c>
      <c r="K1738" s="14">
        <f>equip.xml!L1742</f>
        <v>40000</v>
      </c>
      <c r="L1738" s="14" t="str">
        <f>equip.xml!M1742</f>
        <v>105_2195_2195</v>
      </c>
      <c r="M1738" s="17" t="str">
        <f>equip.xml!Q1742</f>
        <v>equipment/7019.png</v>
      </c>
      <c r="N1738" s="16" t="str">
        <f>equip.xml!P1742</f>
        <v>10000_1002_70000,30000_30001_1,30000_30002_1,30000_30003_1</v>
      </c>
      <c r="O1738">
        <f>equip.xml!R1742</f>
        <v>0</v>
      </c>
    </row>
    <row r="1739" spans="1:15">
      <c r="A1739" s="14">
        <f>equip.xml!A1743</f>
        <v>40750071</v>
      </c>
      <c r="B1739" s="14">
        <f>equip.xml!B1743</f>
        <v>1</v>
      </c>
      <c r="C1739" s="14" t="str">
        <f>equip.xml!C1743</f>
        <v>魔痕护腿</v>
      </c>
      <c r="D1739" s="14" t="str">
        <f>equip.xml!D1743</f>
        <v>护腿</v>
      </c>
      <c r="E1739" s="14">
        <f>equip.xml!E1743</f>
        <v>7</v>
      </c>
      <c r="F1739" s="14">
        <f>equip.xml!F1743</f>
        <v>4</v>
      </c>
      <c r="G1739" s="14">
        <f>equip.xml!G1743</f>
        <v>75</v>
      </c>
      <c r="H1739" s="14">
        <f>equip.xml!H1743</f>
        <v>0</v>
      </c>
      <c r="I1739" s="14">
        <f>equip.xml!J1743</f>
        <v>50</v>
      </c>
      <c r="J1739" s="14">
        <f>equip.xml!K1743</f>
        <v>500</v>
      </c>
      <c r="K1739" s="14">
        <f>equip.xml!L1743</f>
        <v>42500</v>
      </c>
      <c r="L1739" s="14" t="str">
        <f>equip.xml!M1743</f>
        <v>105_2346_2346</v>
      </c>
      <c r="M1739" s="17" t="str">
        <f>equip.xml!Q1743</f>
        <v>equipment/7020.png</v>
      </c>
      <c r="N1739" s="16" t="str">
        <f>equip.xml!P1743</f>
        <v>10000_1002_70000,30000_30001_1,30000_30002_1,30000_30003_1</v>
      </c>
      <c r="O1739">
        <f>equip.xml!R1743</f>
        <v>0</v>
      </c>
    </row>
    <row r="1740" spans="1:15">
      <c r="A1740" s="14">
        <f>equip.xml!A1744</f>
        <v>40800010</v>
      </c>
      <c r="B1740" s="14">
        <f>equip.xml!B1744</f>
        <v>1</v>
      </c>
      <c r="C1740" s="14" t="str">
        <f>equip.xml!C1744</f>
        <v>浴火战盔</v>
      </c>
      <c r="D1740" s="14" t="str">
        <f>equip.xml!D1744</f>
        <v>头盔</v>
      </c>
      <c r="E1740" s="14">
        <f>equip.xml!E1744</f>
        <v>1</v>
      </c>
      <c r="F1740" s="14">
        <f>equip.xml!F1744</f>
        <v>4</v>
      </c>
      <c r="G1740" s="14">
        <f>equip.xml!G1744</f>
        <v>80</v>
      </c>
      <c r="H1740" s="14">
        <f>equip.xml!H1744</f>
        <v>0</v>
      </c>
      <c r="I1740" s="14">
        <f>equip.xml!J1744</f>
        <v>50</v>
      </c>
      <c r="J1740" s="14">
        <f>equip.xml!K1744</f>
        <v>500</v>
      </c>
      <c r="K1740" s="14">
        <f>equip.xml!L1744</f>
        <v>42500</v>
      </c>
      <c r="L1740" s="14" t="str">
        <f>equip.xml!M1744</f>
        <v>106_3066_3066</v>
      </c>
      <c r="M1740" s="17" t="str">
        <f>equip.xml!Q1744</f>
        <v>equipment/3015.png</v>
      </c>
      <c r="N1740" s="16" t="str">
        <f>equip.xml!P1744</f>
        <v>10000_1002_70000,30000_30001_1,30000_30002_1,30000_30003_1</v>
      </c>
      <c r="O1740">
        <f>equip.xml!R1744</f>
        <v>0</v>
      </c>
    </row>
    <row r="1741" spans="1:15">
      <c r="A1741" s="14">
        <f>equip.xml!A1745</f>
        <v>40800020</v>
      </c>
      <c r="B1741" s="14">
        <f>equip.xml!B1745</f>
        <v>1</v>
      </c>
      <c r="C1741" s="14" t="str">
        <f>equip.xml!C1745</f>
        <v>联合徽记</v>
      </c>
      <c r="D1741" s="14" t="str">
        <f>equip.xml!D1745</f>
        <v>戒指</v>
      </c>
      <c r="E1741" s="14">
        <f>equip.xml!E1745</f>
        <v>2</v>
      </c>
      <c r="F1741" s="14">
        <f>equip.xml!F1745</f>
        <v>4</v>
      </c>
      <c r="G1741" s="14">
        <f>equip.xml!G1745</f>
        <v>80</v>
      </c>
      <c r="H1741" s="14">
        <f>equip.xml!H1745</f>
        <v>0</v>
      </c>
      <c r="I1741" s="14">
        <f>equip.xml!J1745</f>
        <v>50</v>
      </c>
      <c r="J1741" s="14">
        <f>equip.xml!K1745</f>
        <v>500</v>
      </c>
      <c r="K1741" s="14">
        <f>equip.xml!L1745</f>
        <v>42500</v>
      </c>
      <c r="L1741" s="14" t="str">
        <f>equip.xml!M1745</f>
        <v>102_1900_1900</v>
      </c>
      <c r="M1741" s="17" t="str">
        <f>equip.xml!Q1745</f>
        <v>equipment/14014.png</v>
      </c>
      <c r="N1741" s="16" t="str">
        <f>equip.xml!P1745</f>
        <v>10000_1002_70000,30000_30001_1,30000_30002_1,30000_30003_1</v>
      </c>
      <c r="O1741">
        <f>equip.xml!R1745</f>
        <v>0</v>
      </c>
    </row>
    <row r="1742" spans="1:15">
      <c r="A1742" s="14">
        <f>equip.xml!A1746</f>
        <v>40800030</v>
      </c>
      <c r="B1742" s="14">
        <f>equip.xml!B1746</f>
        <v>1</v>
      </c>
      <c r="C1742" s="14" t="str">
        <f>equip.xml!C1746</f>
        <v>怒岩腰带</v>
      </c>
      <c r="D1742" s="14" t="str">
        <f>equip.xml!D1746</f>
        <v>腰带</v>
      </c>
      <c r="E1742" s="14">
        <f>equip.xml!E1746</f>
        <v>3</v>
      </c>
      <c r="F1742" s="14">
        <f>equip.xml!F1746</f>
        <v>4</v>
      </c>
      <c r="G1742" s="14">
        <f>equip.xml!G1746</f>
        <v>80</v>
      </c>
      <c r="H1742" s="14">
        <f>equip.xml!H1746</f>
        <v>0</v>
      </c>
      <c r="I1742" s="14">
        <f>equip.xml!J1746</f>
        <v>50</v>
      </c>
      <c r="J1742" s="14">
        <f>equip.xml!K1746</f>
        <v>500</v>
      </c>
      <c r="K1742" s="14">
        <f>equip.xml!L1746</f>
        <v>42500</v>
      </c>
      <c r="L1742" s="14" t="str">
        <f>equip.xml!M1746</f>
        <v>101_24080_24080</v>
      </c>
      <c r="M1742" s="17" t="str">
        <f>equip.xml!Q1746</f>
        <v>equipment/6015.png</v>
      </c>
      <c r="N1742" s="16" t="str">
        <f>equip.xml!P1746</f>
        <v>10000_1002_70000,30000_30001_1,30000_30002_1,30000_30003_1</v>
      </c>
      <c r="O1742">
        <f>equip.xml!R1746</f>
        <v>0</v>
      </c>
    </row>
    <row r="1743" spans="1:15">
      <c r="A1743" s="14">
        <f>equip.xml!A1747</f>
        <v>40800080</v>
      </c>
      <c r="B1743" s="14">
        <f>equip.xml!B1747</f>
        <v>1</v>
      </c>
      <c r="C1743" s="14" t="str">
        <f>equip.xml!C1747</f>
        <v>缚法之靴</v>
      </c>
      <c r="D1743" s="14" t="str">
        <f>equip.xml!D1747</f>
        <v>鞋子</v>
      </c>
      <c r="E1743" s="14">
        <f>equip.xml!E1747</f>
        <v>8</v>
      </c>
      <c r="F1743" s="14">
        <f>equip.xml!F1747</f>
        <v>4</v>
      </c>
      <c r="G1743" s="14">
        <f>equip.xml!G1747</f>
        <v>80</v>
      </c>
      <c r="H1743" s="14">
        <f>equip.xml!H1747</f>
        <v>0</v>
      </c>
      <c r="I1743" s="14">
        <f>equip.xml!J1747</f>
        <v>50</v>
      </c>
      <c r="J1743" s="14">
        <f>equip.xml!K1747</f>
        <v>500</v>
      </c>
      <c r="K1743" s="14">
        <f>equip.xml!L1747</f>
        <v>42500</v>
      </c>
      <c r="L1743" s="14" t="str">
        <f>equip.xml!M1747</f>
        <v>110_568_568</v>
      </c>
      <c r="M1743" s="17" t="str">
        <f>equip.xml!Q1747</f>
        <v>equipment/8015.png</v>
      </c>
      <c r="N1743" s="16" t="str">
        <f>equip.xml!P1747</f>
        <v>10000_1002_70000,30000_30001_1,30000_30002_1,30000_30003_1</v>
      </c>
      <c r="O1743">
        <f>equip.xml!R1747</f>
        <v>0</v>
      </c>
    </row>
    <row r="1744" spans="1:15">
      <c r="A1744" s="14">
        <f>equip.xml!A1748</f>
        <v>40800090</v>
      </c>
      <c r="B1744" s="14">
        <f>equip.xml!B1748</f>
        <v>1</v>
      </c>
      <c r="C1744" s="14" t="str">
        <f>equip.xml!C1748</f>
        <v>梦境护手</v>
      </c>
      <c r="D1744" s="14" t="str">
        <f>equip.xml!D1748</f>
        <v>手套</v>
      </c>
      <c r="E1744" s="14">
        <f>equip.xml!E1748</f>
        <v>9</v>
      </c>
      <c r="F1744" s="14">
        <f>equip.xml!F1748</f>
        <v>4</v>
      </c>
      <c r="G1744" s="14">
        <f>equip.xml!G1748</f>
        <v>80</v>
      </c>
      <c r="H1744" s="14">
        <f>equip.xml!H1748</f>
        <v>0</v>
      </c>
      <c r="I1744" s="14">
        <f>equip.xml!J1748</f>
        <v>50</v>
      </c>
      <c r="J1744" s="14">
        <f>equip.xml!K1748</f>
        <v>500</v>
      </c>
      <c r="K1744" s="14">
        <f>equip.xml!L1748</f>
        <v>42500</v>
      </c>
      <c r="L1744" s="14" t="str">
        <f>equip.xml!M1748</f>
        <v>108_5067_5067</v>
      </c>
      <c r="M1744" s="17" t="str">
        <f>equip.xml!Q1748</f>
        <v>equipment/10016.png</v>
      </c>
      <c r="N1744" s="16" t="str">
        <f>equip.xml!P1748</f>
        <v>10000_1002_70000,30000_30001_1,30000_30002_1,30000_30003_1</v>
      </c>
      <c r="O1744">
        <f>equip.xml!R1748</f>
        <v>0</v>
      </c>
    </row>
    <row r="1745" spans="1:15">
      <c r="A1745" s="14">
        <f>equip.xml!A1749</f>
        <v>40800100</v>
      </c>
      <c r="B1745" s="14">
        <f>equip.xml!B1749</f>
        <v>1</v>
      </c>
      <c r="C1745" s="14" t="str">
        <f>equip.xml!C1749</f>
        <v>亏蚀项链</v>
      </c>
      <c r="D1745" s="14" t="str">
        <f>equip.xml!D1749</f>
        <v>项链</v>
      </c>
      <c r="E1745" s="14">
        <f>equip.xml!E1749</f>
        <v>10</v>
      </c>
      <c r="F1745" s="14">
        <f>equip.xml!F1749</f>
        <v>4</v>
      </c>
      <c r="G1745" s="14">
        <f>equip.xml!G1749</f>
        <v>80</v>
      </c>
      <c r="H1745" s="14">
        <f>equip.xml!H1749</f>
        <v>0</v>
      </c>
      <c r="I1745" s="14">
        <f>equip.xml!J1749</f>
        <v>50</v>
      </c>
      <c r="J1745" s="14">
        <f>equip.xml!K1749</f>
        <v>500</v>
      </c>
      <c r="K1745" s="14">
        <f>equip.xml!L1749</f>
        <v>42500</v>
      </c>
      <c r="L1745" s="14" t="str">
        <f>equip.xml!M1749</f>
        <v>107_3066_3066</v>
      </c>
      <c r="M1745" s="17" t="str">
        <f>equip.xml!Q1749</f>
        <v>equipment/12015.png</v>
      </c>
      <c r="N1745" s="16" t="str">
        <f>equip.xml!P1749</f>
        <v>10000_1002_70000,30000_30001_1,30000_30002_1,30000_30003_1</v>
      </c>
      <c r="O1745">
        <f>equip.xml!R1749</f>
        <v>0</v>
      </c>
    </row>
    <row r="1746" spans="1:15">
      <c r="A1746" s="14">
        <f>equip.xml!A1750</f>
        <v>40801050</v>
      </c>
      <c r="B1746" s="14">
        <f>equip.xml!B1750</f>
        <v>1</v>
      </c>
      <c r="C1746" s="14" t="str">
        <f>equip.xml!C1750</f>
        <v>死寂之剑</v>
      </c>
      <c r="D1746" s="14" t="str">
        <f>equip.xml!D1750</f>
        <v>主手武器</v>
      </c>
      <c r="E1746" s="14">
        <f>equip.xml!E1750</f>
        <v>5</v>
      </c>
      <c r="F1746" s="14">
        <f>equip.xml!F1750</f>
        <v>4</v>
      </c>
      <c r="G1746" s="14">
        <f>equip.xml!G1750</f>
        <v>80</v>
      </c>
      <c r="H1746" s="14" t="str">
        <f>equip.xml!H1750</f>
        <v>1,1001</v>
      </c>
      <c r="I1746" s="14">
        <f>equip.xml!J1750</f>
        <v>50</v>
      </c>
      <c r="J1746" s="14">
        <f>equip.xml!K1750</f>
        <v>500</v>
      </c>
      <c r="K1746" s="14">
        <f>equip.xml!L1750</f>
        <v>42500</v>
      </c>
      <c r="L1746" s="14" t="str">
        <f>equip.xml!M1750</f>
        <v>103_4331_4331,104_8662_8662</v>
      </c>
      <c r="M1746" s="17" t="str">
        <f>equip.xml!Q1750</f>
        <v>equipment/1130.png</v>
      </c>
      <c r="N1746" s="16" t="str">
        <f>equip.xml!P1750</f>
        <v>10000_1002_70000,30000_30001_1,30000_30002_1,30000_30003_1</v>
      </c>
      <c r="O1746">
        <f>equip.xml!R1750</f>
        <v>0</v>
      </c>
    </row>
    <row r="1747" spans="1:15">
      <c r="A1747" s="14">
        <f>equip.xml!A1751</f>
        <v>40801051</v>
      </c>
      <c r="B1747" s="14">
        <f>equip.xml!B1751</f>
        <v>1</v>
      </c>
      <c r="C1747" s="14" t="str">
        <f>equip.xml!C1751</f>
        <v>千魂之刃</v>
      </c>
      <c r="D1747" s="14" t="str">
        <f>equip.xml!D1751</f>
        <v>主手武器</v>
      </c>
      <c r="E1747" s="14">
        <f>equip.xml!E1751</f>
        <v>5</v>
      </c>
      <c r="F1747" s="14">
        <f>equip.xml!F1751</f>
        <v>4</v>
      </c>
      <c r="G1747" s="14">
        <f>equip.xml!G1751</f>
        <v>80</v>
      </c>
      <c r="H1747" s="14" t="str">
        <f>equip.xml!H1751</f>
        <v>1,1001</v>
      </c>
      <c r="I1747" s="14">
        <f>equip.xml!J1751</f>
        <v>50</v>
      </c>
      <c r="J1747" s="14">
        <f>equip.xml!K1751</f>
        <v>500</v>
      </c>
      <c r="K1747" s="14">
        <f>equip.xml!L1751</f>
        <v>45000</v>
      </c>
      <c r="L1747" s="14" t="str">
        <f>equip.xml!M1751</f>
        <v>103_4552_4552,104_9105_9105</v>
      </c>
      <c r="M1747" s="17" t="str">
        <f>equip.xml!Q1751</f>
        <v>equipment/1125.png</v>
      </c>
      <c r="N1747" s="16" t="str">
        <f>equip.xml!P1751</f>
        <v>10000_1002_70000,30000_30001_1,30000_30002_1,30000_30003_1</v>
      </c>
      <c r="O1747">
        <f>equip.xml!R1751</f>
        <v>0</v>
      </c>
    </row>
    <row r="1748" spans="1:15">
      <c r="A1748" s="14">
        <f>equip.xml!A1752</f>
        <v>40801060</v>
      </c>
      <c r="B1748" s="14">
        <f>equip.xml!B1752</f>
        <v>1</v>
      </c>
      <c r="C1748" s="14" t="str">
        <f>equip.xml!C1752</f>
        <v>折戟之盾</v>
      </c>
      <c r="D1748" s="14" t="str">
        <f>equip.xml!D1752</f>
        <v>副手武器</v>
      </c>
      <c r="E1748" s="14">
        <f>equip.xml!E1752</f>
        <v>6</v>
      </c>
      <c r="F1748" s="14">
        <f>equip.xml!F1752</f>
        <v>4</v>
      </c>
      <c r="G1748" s="14">
        <f>equip.xml!G1752</f>
        <v>80</v>
      </c>
      <c r="H1748" s="14" t="str">
        <f>equip.xml!H1752</f>
        <v>1,1001</v>
      </c>
      <c r="I1748" s="14">
        <f>equip.xml!J1752</f>
        <v>50</v>
      </c>
      <c r="J1748" s="14">
        <f>equip.xml!K1752</f>
        <v>500</v>
      </c>
      <c r="K1748" s="14">
        <f>equip.xml!L1752</f>
        <v>42500</v>
      </c>
      <c r="L1748" s="14" t="str">
        <f>equip.xml!M1752</f>
        <v>105_4288_4288</v>
      </c>
      <c r="M1748" s="17" t="str">
        <f>equip.xml!Q1752</f>
        <v>equipment/2122.png</v>
      </c>
      <c r="N1748" s="16" t="str">
        <f>equip.xml!P1752</f>
        <v>10000_1002_70000,30000_30001_1,30000_30002_1,30000_30003_1</v>
      </c>
      <c r="O1748">
        <f>equip.xml!R1752</f>
        <v>0</v>
      </c>
    </row>
    <row r="1749" spans="1:15">
      <c r="A1749" s="14">
        <f>equip.xml!A1753</f>
        <v>40801061</v>
      </c>
      <c r="B1749" s="14">
        <f>equip.xml!B1753</f>
        <v>1</v>
      </c>
      <c r="C1749" s="14" t="str">
        <f>equip.xml!C1753</f>
        <v>古石壁垒</v>
      </c>
      <c r="D1749" s="14" t="str">
        <f>equip.xml!D1753</f>
        <v>副手武器</v>
      </c>
      <c r="E1749" s="14">
        <f>equip.xml!E1753</f>
        <v>6</v>
      </c>
      <c r="F1749" s="14">
        <f>equip.xml!F1753</f>
        <v>4</v>
      </c>
      <c r="G1749" s="14">
        <f>equip.xml!G1753</f>
        <v>80</v>
      </c>
      <c r="H1749" s="14" t="str">
        <f>equip.xml!H1753</f>
        <v>1,1001</v>
      </c>
      <c r="I1749" s="14">
        <f>equip.xml!J1753</f>
        <v>50</v>
      </c>
      <c r="J1749" s="14">
        <f>equip.xml!K1753</f>
        <v>500</v>
      </c>
      <c r="K1749" s="14">
        <f>equip.xml!L1753</f>
        <v>45000</v>
      </c>
      <c r="L1749" s="14" t="str">
        <f>equip.xml!M1753</f>
        <v>105_4419_4419</v>
      </c>
      <c r="M1749" s="17" t="str">
        <f>equip.xml!Q1753</f>
        <v>equipment/2120.png</v>
      </c>
      <c r="N1749" s="16" t="str">
        <f>equip.xml!P1753</f>
        <v>10000_1002_70000,30000_30001_1,30000_30002_1,30000_30003_1</v>
      </c>
      <c r="O1749">
        <f>equip.xml!R1753</f>
        <v>0</v>
      </c>
    </row>
    <row r="1750" spans="1:15">
      <c r="A1750" s="14">
        <f>equip.xml!A1754</f>
        <v>40802050</v>
      </c>
      <c r="B1750" s="14">
        <f>equip.xml!B1754</f>
        <v>1</v>
      </c>
      <c r="C1750" s="14" t="str">
        <f>equip.xml!C1754</f>
        <v>龙骨弯弓</v>
      </c>
      <c r="D1750" s="14" t="str">
        <f>equip.xml!D1754</f>
        <v>主手武器</v>
      </c>
      <c r="E1750" s="14">
        <f>equip.xml!E1754</f>
        <v>5</v>
      </c>
      <c r="F1750" s="14">
        <f>equip.xml!F1754</f>
        <v>4</v>
      </c>
      <c r="G1750" s="14">
        <f>equip.xml!G1754</f>
        <v>80</v>
      </c>
      <c r="H1750" s="14" t="str">
        <f>equip.xml!H1754</f>
        <v>2,1002</v>
      </c>
      <c r="I1750" s="14">
        <f>equip.xml!J1754</f>
        <v>50</v>
      </c>
      <c r="J1750" s="14">
        <f>equip.xml!K1754</f>
        <v>500</v>
      </c>
      <c r="K1750" s="14">
        <f>equip.xml!L1754</f>
        <v>42500</v>
      </c>
      <c r="L1750" s="14" t="str">
        <f>equip.xml!M1754</f>
        <v>103_4331_4331,104_8662_8662</v>
      </c>
      <c r="M1750" s="17" t="str">
        <f>equip.xml!Q1754</f>
        <v>equipment/1227.png</v>
      </c>
      <c r="N1750" s="16" t="str">
        <f>equip.xml!P1754</f>
        <v>10000_1002_70000,30000_30001_1,30000_30002_1,30000_30003_1</v>
      </c>
      <c r="O1750">
        <f>equip.xml!R1754</f>
        <v>0</v>
      </c>
    </row>
    <row r="1751" spans="1:15">
      <c r="A1751" s="14">
        <f>equip.xml!A1755</f>
        <v>40802051</v>
      </c>
      <c r="B1751" s="14">
        <f>equip.xml!B1755</f>
        <v>1</v>
      </c>
      <c r="C1751" s="14" t="str">
        <f>equip.xml!C1755</f>
        <v>川流长弓</v>
      </c>
      <c r="D1751" s="14" t="str">
        <f>equip.xml!D1755</f>
        <v>主手武器</v>
      </c>
      <c r="E1751" s="14">
        <f>equip.xml!E1755</f>
        <v>5</v>
      </c>
      <c r="F1751" s="14">
        <f>equip.xml!F1755</f>
        <v>4</v>
      </c>
      <c r="G1751" s="14">
        <f>equip.xml!G1755</f>
        <v>80</v>
      </c>
      <c r="H1751" s="14" t="str">
        <f>equip.xml!H1755</f>
        <v>2,1002</v>
      </c>
      <c r="I1751" s="14">
        <f>equip.xml!J1755</f>
        <v>50</v>
      </c>
      <c r="J1751" s="14">
        <f>equip.xml!K1755</f>
        <v>500</v>
      </c>
      <c r="K1751" s="14">
        <f>equip.xml!L1755</f>
        <v>45000</v>
      </c>
      <c r="L1751" s="14" t="str">
        <f>equip.xml!M1755</f>
        <v>103_4552_4552,104_9105_9105</v>
      </c>
      <c r="M1751" s="17" t="str">
        <f>equip.xml!Q1755</f>
        <v>equipment/1229.png</v>
      </c>
      <c r="N1751" s="16" t="str">
        <f>equip.xml!P1755</f>
        <v>10000_1002_70000,30000_30001_1,30000_30002_1,30000_30003_1</v>
      </c>
      <c r="O1751">
        <f>equip.xml!R1755</f>
        <v>0</v>
      </c>
    </row>
    <row r="1752" spans="1:15">
      <c r="A1752" s="14">
        <f>equip.xml!A1756</f>
        <v>40802060</v>
      </c>
      <c r="B1752" s="14">
        <f>equip.xml!B1756</f>
        <v>1</v>
      </c>
      <c r="C1752" s="14" t="str">
        <f>equip.xml!C1756</f>
        <v>荒原箭袋</v>
      </c>
      <c r="D1752" s="14" t="str">
        <f>equip.xml!D1756</f>
        <v>副手武器</v>
      </c>
      <c r="E1752" s="14">
        <f>equip.xml!E1756</f>
        <v>6</v>
      </c>
      <c r="F1752" s="14">
        <f>equip.xml!F1756</f>
        <v>4</v>
      </c>
      <c r="G1752" s="14">
        <f>equip.xml!G1756</f>
        <v>80</v>
      </c>
      <c r="H1752" s="14" t="str">
        <f>equip.xml!H1756</f>
        <v>2,1002</v>
      </c>
      <c r="I1752" s="14">
        <f>equip.xml!J1756</f>
        <v>50</v>
      </c>
      <c r="J1752" s="14">
        <f>equip.xml!K1756</f>
        <v>500</v>
      </c>
      <c r="K1752" s="14">
        <f>equip.xml!L1756</f>
        <v>42500</v>
      </c>
      <c r="L1752" s="14" t="str">
        <f>equip.xml!M1756</f>
        <v>108_4288_4288</v>
      </c>
      <c r="M1752" s="17" t="str">
        <f>equip.xml!Q1756</f>
        <v>equipment/2222.png</v>
      </c>
      <c r="N1752" s="16" t="str">
        <f>equip.xml!P1756</f>
        <v>10000_1002_70000,30000_30001_1,30000_30002_1,30000_30003_1</v>
      </c>
      <c r="O1752">
        <f>equip.xml!R1756</f>
        <v>0</v>
      </c>
    </row>
    <row r="1753" spans="1:15">
      <c r="A1753" s="14">
        <f>equip.xml!A1757</f>
        <v>40802061</v>
      </c>
      <c r="B1753" s="14">
        <f>equip.xml!B1757</f>
        <v>1</v>
      </c>
      <c r="C1753" s="14" t="str">
        <f>equip.xml!C1757</f>
        <v>追逝箭袋</v>
      </c>
      <c r="D1753" s="14" t="str">
        <f>equip.xml!D1757</f>
        <v>副手武器</v>
      </c>
      <c r="E1753" s="14">
        <f>equip.xml!E1757</f>
        <v>6</v>
      </c>
      <c r="F1753" s="14">
        <f>equip.xml!F1757</f>
        <v>4</v>
      </c>
      <c r="G1753" s="14">
        <f>equip.xml!G1757</f>
        <v>80</v>
      </c>
      <c r="H1753" s="14" t="str">
        <f>equip.xml!H1757</f>
        <v>2,1002</v>
      </c>
      <c r="I1753" s="14">
        <f>equip.xml!J1757</f>
        <v>50</v>
      </c>
      <c r="J1753" s="14">
        <f>equip.xml!K1757</f>
        <v>500</v>
      </c>
      <c r="K1753" s="14">
        <f>equip.xml!L1757</f>
        <v>45000</v>
      </c>
      <c r="L1753" s="14" t="str">
        <f>equip.xml!M1757</f>
        <v>108_4419_4419</v>
      </c>
      <c r="M1753" s="17" t="str">
        <f>equip.xml!Q1757</f>
        <v>equipment/2223.png</v>
      </c>
      <c r="N1753" s="16" t="str">
        <f>equip.xml!P1757</f>
        <v>10000_1002_70000,30000_30001_1,30000_30002_1,30000_30003_1</v>
      </c>
      <c r="O1753">
        <f>equip.xml!R1757</f>
        <v>0</v>
      </c>
    </row>
    <row r="1754" spans="1:15">
      <c r="A1754" s="14">
        <f>equip.xml!A1758</f>
        <v>40803050</v>
      </c>
      <c r="B1754" s="14">
        <f>equip.xml!B1758</f>
        <v>1</v>
      </c>
      <c r="C1754" s="14" t="str">
        <f>equip.xml!C1758</f>
        <v>显像符杖</v>
      </c>
      <c r="D1754" s="14" t="str">
        <f>equip.xml!D1758</f>
        <v>主手武器</v>
      </c>
      <c r="E1754" s="14">
        <f>equip.xml!E1758</f>
        <v>5</v>
      </c>
      <c r="F1754" s="14">
        <f>equip.xml!F1758</f>
        <v>4</v>
      </c>
      <c r="G1754" s="14">
        <f>equip.xml!G1758</f>
        <v>80</v>
      </c>
      <c r="H1754" s="14" t="str">
        <f>equip.xml!H1758</f>
        <v>3,1003</v>
      </c>
      <c r="I1754" s="14">
        <f>equip.xml!J1758</f>
        <v>50</v>
      </c>
      <c r="J1754" s="14">
        <f>equip.xml!K1758</f>
        <v>500</v>
      </c>
      <c r="K1754" s="14">
        <f>equip.xml!L1758</f>
        <v>42500</v>
      </c>
      <c r="L1754" s="14" t="str">
        <f>equip.xml!M1758</f>
        <v>103_4331_4331,104_8662_8662</v>
      </c>
      <c r="M1754" s="17" t="str">
        <f>equip.xml!Q1758</f>
        <v>equipment/1327.png</v>
      </c>
      <c r="N1754" s="16" t="str">
        <f>equip.xml!P1758</f>
        <v>10000_1002_70000,30000_30001_1,30000_30002_1,30000_30003_1</v>
      </c>
      <c r="O1754">
        <f>equip.xml!R1758</f>
        <v>0</v>
      </c>
    </row>
    <row r="1755" spans="1:15">
      <c r="A1755" s="14">
        <f>equip.xml!A1759</f>
        <v>40803051</v>
      </c>
      <c r="B1755" s="14">
        <f>equip.xml!B1759</f>
        <v>1</v>
      </c>
      <c r="C1755" s="14" t="str">
        <f>equip.xml!C1759</f>
        <v>幻灭之杖</v>
      </c>
      <c r="D1755" s="14" t="str">
        <f>equip.xml!D1759</f>
        <v>主手武器</v>
      </c>
      <c r="E1755" s="14">
        <f>equip.xml!E1759</f>
        <v>5</v>
      </c>
      <c r="F1755" s="14">
        <f>equip.xml!F1759</f>
        <v>4</v>
      </c>
      <c r="G1755" s="14">
        <f>equip.xml!G1759</f>
        <v>80</v>
      </c>
      <c r="H1755" s="14" t="str">
        <f>equip.xml!H1759</f>
        <v>3,1003</v>
      </c>
      <c r="I1755" s="14">
        <f>equip.xml!J1759</f>
        <v>50</v>
      </c>
      <c r="J1755" s="14">
        <f>equip.xml!K1759</f>
        <v>500</v>
      </c>
      <c r="K1755" s="14">
        <f>equip.xml!L1759</f>
        <v>45000</v>
      </c>
      <c r="L1755" s="14" t="str">
        <f>equip.xml!M1759</f>
        <v>103_4552_4552,104_9105_9105</v>
      </c>
      <c r="M1755" s="17" t="str">
        <f>equip.xml!Q1759</f>
        <v>equipment/1329.png</v>
      </c>
      <c r="N1755" s="16" t="str">
        <f>equip.xml!P1759</f>
        <v>10000_1002_70000,30000_30001_1,30000_30002_1,30000_30003_1</v>
      </c>
      <c r="O1755">
        <f>equip.xml!R1759</f>
        <v>0</v>
      </c>
    </row>
    <row r="1756" spans="1:15">
      <c r="A1756" s="14">
        <f>equip.xml!A1760</f>
        <v>40803060</v>
      </c>
      <c r="B1756" s="14">
        <f>equip.xml!B1760</f>
        <v>1</v>
      </c>
      <c r="C1756" s="14" t="str">
        <f>equip.xml!C1760</f>
        <v>王国古书</v>
      </c>
      <c r="D1756" s="14" t="str">
        <f>equip.xml!D1760</f>
        <v>副手武器</v>
      </c>
      <c r="E1756" s="14">
        <f>equip.xml!E1760</f>
        <v>6</v>
      </c>
      <c r="F1756" s="14">
        <f>equip.xml!F1760</f>
        <v>4</v>
      </c>
      <c r="G1756" s="14">
        <f>equip.xml!G1760</f>
        <v>80</v>
      </c>
      <c r="H1756" s="14" t="str">
        <f>equip.xml!H1760</f>
        <v>3,1003</v>
      </c>
      <c r="I1756" s="14">
        <f>equip.xml!J1760</f>
        <v>50</v>
      </c>
      <c r="J1756" s="14">
        <f>equip.xml!K1760</f>
        <v>500</v>
      </c>
      <c r="K1756" s="14">
        <f>equip.xml!L1760</f>
        <v>42500</v>
      </c>
      <c r="L1756" s="14" t="str">
        <f>equip.xml!M1760</f>
        <v>102_3610_3610</v>
      </c>
      <c r="M1756" s="17" t="str">
        <f>equip.xml!Q1760</f>
        <v>equipment/2320.png</v>
      </c>
      <c r="N1756" s="16" t="str">
        <f>equip.xml!P1760</f>
        <v>10000_1002_70000,30000_30001_1,30000_30002_1,30000_30003_1</v>
      </c>
      <c r="O1756">
        <f>equip.xml!R1760</f>
        <v>0</v>
      </c>
    </row>
    <row r="1757" spans="1:15">
      <c r="A1757" s="14">
        <f>equip.xml!A1761</f>
        <v>40803061</v>
      </c>
      <c r="B1757" s="14">
        <f>equip.xml!B1761</f>
        <v>1</v>
      </c>
      <c r="C1757" s="14" t="str">
        <f>equip.xml!C1761</f>
        <v>上古纪事</v>
      </c>
      <c r="D1757" s="14" t="str">
        <f>equip.xml!D1761</f>
        <v>副手武器</v>
      </c>
      <c r="E1757" s="14">
        <f>equip.xml!E1761</f>
        <v>6</v>
      </c>
      <c r="F1757" s="14">
        <f>equip.xml!F1761</f>
        <v>4</v>
      </c>
      <c r="G1757" s="14">
        <f>equip.xml!G1761</f>
        <v>80</v>
      </c>
      <c r="H1757" s="14" t="str">
        <f>equip.xml!H1761</f>
        <v>3,1003</v>
      </c>
      <c r="I1757" s="14">
        <f>equip.xml!J1761</f>
        <v>50</v>
      </c>
      <c r="J1757" s="14">
        <f>equip.xml!K1761</f>
        <v>500</v>
      </c>
      <c r="K1757" s="14">
        <f>equip.xml!L1761</f>
        <v>45000</v>
      </c>
      <c r="L1757" s="14" t="str">
        <f>equip.xml!M1761</f>
        <v>102_3680_3680</v>
      </c>
      <c r="M1757" s="17" t="str">
        <f>equip.xml!Q1761</f>
        <v>equipment/2322.png</v>
      </c>
      <c r="N1757" s="16" t="str">
        <f>equip.xml!P1761</f>
        <v>10000_1002_70000,30000_30001_1,30000_30002_1,30000_30003_1</v>
      </c>
      <c r="O1757">
        <f>equip.xml!R1761</f>
        <v>0</v>
      </c>
    </row>
    <row r="1758" spans="1:15">
      <c r="A1758" s="14">
        <f>equip.xml!A1762</f>
        <v>40800040</v>
      </c>
      <c r="B1758" s="14">
        <f>equip.xml!B1762</f>
        <v>1</v>
      </c>
      <c r="C1758" s="14" t="str">
        <f>equip.xml!C1762</f>
        <v>复仇战甲</v>
      </c>
      <c r="D1758" s="14" t="str">
        <f>equip.xml!D1762</f>
        <v>胸甲</v>
      </c>
      <c r="E1758" s="14">
        <f>equip.xml!E1762</f>
        <v>4</v>
      </c>
      <c r="F1758" s="14">
        <f>equip.xml!F1762</f>
        <v>4</v>
      </c>
      <c r="G1758" s="14">
        <f>equip.xml!G1762</f>
        <v>80</v>
      </c>
      <c r="H1758" s="14">
        <f>equip.xml!H1762</f>
        <v>0</v>
      </c>
      <c r="I1758" s="14">
        <f>equip.xml!J1762</f>
        <v>50</v>
      </c>
      <c r="J1758" s="14">
        <f>equip.xml!K1762</f>
        <v>500</v>
      </c>
      <c r="K1758" s="14">
        <f>equip.xml!L1762</f>
        <v>42500</v>
      </c>
      <c r="L1758" s="14" t="str">
        <f>equip.xml!M1762</f>
        <v>105_2573_2573</v>
      </c>
      <c r="M1758" s="17" t="str">
        <f>equip.xml!Q1762</f>
        <v>equipment/5021.png</v>
      </c>
      <c r="N1758" s="16" t="str">
        <f>equip.xml!P1762</f>
        <v>10000_1002_70000,30000_30001_1,30000_30002_1,30000_30003_1</v>
      </c>
      <c r="O1758">
        <f>equip.xml!R1762</f>
        <v>0</v>
      </c>
    </row>
    <row r="1759" spans="1:15">
      <c r="A1759" s="14">
        <f>equip.xml!A1763</f>
        <v>40800041</v>
      </c>
      <c r="B1759" s="14">
        <f>equip.xml!B1763</f>
        <v>1</v>
      </c>
      <c r="C1759" s="14" t="str">
        <f>equip.xml!C1763</f>
        <v>预兆胸甲</v>
      </c>
      <c r="D1759" s="14" t="str">
        <f>equip.xml!D1763</f>
        <v>胸甲</v>
      </c>
      <c r="E1759" s="14">
        <f>equip.xml!E1763</f>
        <v>4</v>
      </c>
      <c r="F1759" s="14">
        <f>equip.xml!F1763</f>
        <v>4</v>
      </c>
      <c r="G1759" s="14">
        <f>equip.xml!G1763</f>
        <v>80</v>
      </c>
      <c r="H1759" s="14">
        <f>equip.xml!H1763</f>
        <v>0</v>
      </c>
      <c r="I1759" s="14">
        <f>equip.xml!J1763</f>
        <v>50</v>
      </c>
      <c r="J1759" s="14">
        <f>equip.xml!K1763</f>
        <v>500</v>
      </c>
      <c r="K1759" s="14">
        <f>equip.xml!L1763</f>
        <v>45000</v>
      </c>
      <c r="L1759" s="14" t="str">
        <f>equip.xml!M1763</f>
        <v>105_2739_2739</v>
      </c>
      <c r="M1759" s="17" t="str">
        <f>equip.xml!Q1763</f>
        <v>equipment/5022.png</v>
      </c>
      <c r="N1759" s="16" t="str">
        <f>equip.xml!P1763</f>
        <v>10000_1002_70000,30000_30001_1,30000_30002_1,30000_30003_1</v>
      </c>
      <c r="O1759">
        <f>equip.xml!R1763</f>
        <v>0</v>
      </c>
    </row>
    <row r="1760" spans="1:15">
      <c r="A1760" s="14">
        <f>equip.xml!A1764</f>
        <v>40800070</v>
      </c>
      <c r="B1760" s="14">
        <f>equip.xml!B1764</f>
        <v>1</v>
      </c>
      <c r="C1760" s="14" t="str">
        <f>equip.xml!C1764</f>
        <v>迷失护腿</v>
      </c>
      <c r="D1760" s="14" t="str">
        <f>equip.xml!D1764</f>
        <v>护腿</v>
      </c>
      <c r="E1760" s="14">
        <f>equip.xml!E1764</f>
        <v>7</v>
      </c>
      <c r="F1760" s="14">
        <f>equip.xml!F1764</f>
        <v>4</v>
      </c>
      <c r="G1760" s="14">
        <f>equip.xml!G1764</f>
        <v>80</v>
      </c>
      <c r="H1760" s="14">
        <f>equip.xml!H1764</f>
        <v>0</v>
      </c>
      <c r="I1760" s="14">
        <f>equip.xml!J1764</f>
        <v>50</v>
      </c>
      <c r="J1760" s="14">
        <f>equip.xml!K1764</f>
        <v>500</v>
      </c>
      <c r="K1760" s="14">
        <f>equip.xml!L1764</f>
        <v>42500</v>
      </c>
      <c r="L1760" s="14" t="str">
        <f>equip.xml!M1764</f>
        <v>105_2573_2573</v>
      </c>
      <c r="M1760" s="17" t="str">
        <f>equip.xml!Q1764</f>
        <v>equipment/7022.png</v>
      </c>
      <c r="N1760" s="16" t="str">
        <f>equip.xml!P1764</f>
        <v>10000_1002_70000,30000_30001_1,30000_30002_1,30000_30003_1</v>
      </c>
      <c r="O1760">
        <f>equip.xml!R1764</f>
        <v>0</v>
      </c>
    </row>
    <row r="1761" spans="1:15">
      <c r="A1761" s="14">
        <f>equip.xml!A1765</f>
        <v>40800071</v>
      </c>
      <c r="B1761" s="14">
        <f>equip.xml!B1765</f>
        <v>1</v>
      </c>
      <c r="C1761" s="14" t="str">
        <f>equip.xml!C1765</f>
        <v>幽影腿甲</v>
      </c>
      <c r="D1761" s="14" t="str">
        <f>equip.xml!D1765</f>
        <v>护腿</v>
      </c>
      <c r="E1761" s="14">
        <f>equip.xml!E1765</f>
        <v>7</v>
      </c>
      <c r="F1761" s="14">
        <f>equip.xml!F1765</f>
        <v>4</v>
      </c>
      <c r="G1761" s="14">
        <f>equip.xml!G1765</f>
        <v>80</v>
      </c>
      <c r="H1761" s="14">
        <f>equip.xml!H1765</f>
        <v>0</v>
      </c>
      <c r="I1761" s="14">
        <f>equip.xml!J1765</f>
        <v>50</v>
      </c>
      <c r="J1761" s="14">
        <f>equip.xml!K1765</f>
        <v>500</v>
      </c>
      <c r="K1761" s="14">
        <f>equip.xml!L1765</f>
        <v>45000</v>
      </c>
      <c r="L1761" s="14" t="str">
        <f>equip.xml!M1765</f>
        <v>105_2739_2739</v>
      </c>
      <c r="M1761" s="17" t="str">
        <f>equip.xml!Q1765</f>
        <v>equipment/7021.png</v>
      </c>
      <c r="N1761" s="16" t="str">
        <f>equip.xml!P1765</f>
        <v>10000_1002_70000,30000_30001_1,30000_30002_1,30000_30003_1</v>
      </c>
      <c r="O1761">
        <f>equip.xml!R1765</f>
        <v>0</v>
      </c>
    </row>
    <row r="1762" spans="1:15">
      <c r="A1762" s="14">
        <f>equip.xml!A1766</f>
        <v>40850010</v>
      </c>
      <c r="B1762" s="14">
        <f>equip.xml!B1766</f>
        <v>1</v>
      </c>
      <c r="C1762" s="14" t="str">
        <f>equip.xml!C1766</f>
        <v>低语之冠</v>
      </c>
      <c r="D1762" s="14" t="str">
        <f>equip.xml!D1766</f>
        <v>头盔</v>
      </c>
      <c r="E1762" s="14">
        <f>equip.xml!E1766</f>
        <v>1</v>
      </c>
      <c r="F1762" s="14">
        <f>equip.xml!F1766</f>
        <v>4</v>
      </c>
      <c r="G1762" s="14">
        <f>equip.xml!G1766</f>
        <v>85</v>
      </c>
      <c r="H1762" s="14">
        <f>equip.xml!H1766</f>
        <v>0</v>
      </c>
      <c r="I1762" s="14">
        <f>equip.xml!J1766</f>
        <v>50</v>
      </c>
      <c r="J1762" s="14">
        <f>equip.xml!K1766</f>
        <v>500</v>
      </c>
      <c r="K1762" s="14">
        <f>equip.xml!L1766</f>
        <v>45000</v>
      </c>
      <c r="L1762" s="14" t="str">
        <f>equip.xml!M1766</f>
        <v>106_3672_3672</v>
      </c>
      <c r="M1762" s="17" t="str">
        <f>equip.xml!Q1766</f>
        <v>equipment/3012.png</v>
      </c>
      <c r="N1762" s="16" t="str">
        <f>equip.xml!P1766</f>
        <v>10000_1002_70000,30000_30001_1,30000_30002_1,30000_30003_1</v>
      </c>
      <c r="O1762">
        <f>equip.xml!R1766</f>
        <v>0</v>
      </c>
    </row>
    <row r="1763" spans="1:15">
      <c r="A1763" s="14">
        <f>equip.xml!A1767</f>
        <v>40850020</v>
      </c>
      <c r="B1763" s="14">
        <f>equip.xml!B1767</f>
        <v>1</v>
      </c>
      <c r="C1763" s="14" t="str">
        <f>equip.xml!C1767</f>
        <v>神迹指环</v>
      </c>
      <c r="D1763" s="14" t="str">
        <f>equip.xml!D1767</f>
        <v>戒指</v>
      </c>
      <c r="E1763" s="14">
        <f>equip.xml!E1767</f>
        <v>2</v>
      </c>
      <c r="F1763" s="14">
        <f>equip.xml!F1767</f>
        <v>4</v>
      </c>
      <c r="G1763" s="14">
        <f>equip.xml!G1767</f>
        <v>85</v>
      </c>
      <c r="H1763" s="14">
        <f>equip.xml!H1767</f>
        <v>0</v>
      </c>
      <c r="I1763" s="14">
        <f>equip.xml!J1767</f>
        <v>50</v>
      </c>
      <c r="J1763" s="14">
        <f>equip.xml!K1767</f>
        <v>500</v>
      </c>
      <c r="K1763" s="14">
        <f>equip.xml!L1767</f>
        <v>45000</v>
      </c>
      <c r="L1763" s="14" t="str">
        <f>equip.xml!M1767</f>
        <v>102_2020_2020</v>
      </c>
      <c r="M1763" s="17" t="str">
        <f>equip.xml!Q1767</f>
        <v>equipment/14016.png</v>
      </c>
      <c r="N1763" s="16" t="str">
        <f>equip.xml!P1767</f>
        <v>10000_1002_70000,30000_30001_1,30000_30002_1,30000_30003_1</v>
      </c>
      <c r="O1763">
        <f>equip.xml!R1767</f>
        <v>0</v>
      </c>
    </row>
    <row r="1764" spans="1:15">
      <c r="A1764" s="14">
        <f>equip.xml!A1768</f>
        <v>40850030</v>
      </c>
      <c r="B1764" s="14">
        <f>equip.xml!B1768</f>
        <v>1</v>
      </c>
      <c r="C1764" s="14" t="str">
        <f>equip.xml!C1768</f>
        <v>威严腰带</v>
      </c>
      <c r="D1764" s="14" t="str">
        <f>equip.xml!D1768</f>
        <v>腰带</v>
      </c>
      <c r="E1764" s="14">
        <f>equip.xml!E1768</f>
        <v>3</v>
      </c>
      <c r="F1764" s="14">
        <f>equip.xml!F1768</f>
        <v>4</v>
      </c>
      <c r="G1764" s="14">
        <f>equip.xml!G1768</f>
        <v>85</v>
      </c>
      <c r="H1764" s="14">
        <f>equip.xml!H1768</f>
        <v>0</v>
      </c>
      <c r="I1764" s="14">
        <f>equip.xml!J1768</f>
        <v>50</v>
      </c>
      <c r="J1764" s="14">
        <f>equip.xml!K1768</f>
        <v>500</v>
      </c>
      <c r="K1764" s="14">
        <f>equip.xml!L1768</f>
        <v>45000</v>
      </c>
      <c r="L1764" s="14" t="str">
        <f>equip.xml!M1768</f>
        <v>101_27040_27040</v>
      </c>
      <c r="M1764" s="17" t="str">
        <f>equip.xml!Q1768</f>
        <v>equipment/6017.png</v>
      </c>
      <c r="N1764" s="16" t="str">
        <f>equip.xml!P1768</f>
        <v>10000_1002_70000,30000_30001_1,30000_30002_1,30000_30003_1</v>
      </c>
      <c r="O1764">
        <f>equip.xml!R1768</f>
        <v>0</v>
      </c>
    </row>
    <row r="1765" spans="1:15">
      <c r="A1765" s="14">
        <f>equip.xml!A1769</f>
        <v>40850080</v>
      </c>
      <c r="B1765" s="14">
        <f>equip.xml!B1769</f>
        <v>1</v>
      </c>
      <c r="C1765" s="14" t="str">
        <f>equip.xml!C1769</f>
        <v>统治长靴</v>
      </c>
      <c r="D1765" s="14" t="str">
        <f>equip.xml!D1769</f>
        <v>鞋子</v>
      </c>
      <c r="E1765" s="14">
        <f>equip.xml!E1769</f>
        <v>8</v>
      </c>
      <c r="F1765" s="14">
        <f>equip.xml!F1769</f>
        <v>4</v>
      </c>
      <c r="G1765" s="14">
        <f>equip.xml!G1769</f>
        <v>85</v>
      </c>
      <c r="H1765" s="14">
        <f>equip.xml!H1769</f>
        <v>0</v>
      </c>
      <c r="I1765" s="14">
        <f>equip.xml!J1769</f>
        <v>50</v>
      </c>
      <c r="J1765" s="14">
        <f>equip.xml!K1769</f>
        <v>500</v>
      </c>
      <c r="K1765" s="14">
        <f>equip.xml!L1769</f>
        <v>45000</v>
      </c>
      <c r="L1765" s="14" t="str">
        <f>equip.xml!M1769</f>
        <v>110_661_661</v>
      </c>
      <c r="M1765" s="17" t="str">
        <f>equip.xml!Q1769</f>
        <v>equipment/8016.png</v>
      </c>
      <c r="N1765" s="16" t="str">
        <f>equip.xml!P1769</f>
        <v>10000_1002_70000,30000_30001_1,30000_30002_1,30000_30003_1</v>
      </c>
      <c r="O1765">
        <f>equip.xml!R1769</f>
        <v>0</v>
      </c>
    </row>
    <row r="1766" spans="1:15">
      <c r="A1766" s="14">
        <f>equip.xml!A1770</f>
        <v>40850090</v>
      </c>
      <c r="B1766" s="14">
        <f>equip.xml!B1770</f>
        <v>1</v>
      </c>
      <c r="C1766" s="14" t="str">
        <f>equip.xml!C1770</f>
        <v>誓烈手甲</v>
      </c>
      <c r="D1766" s="14" t="str">
        <f>equip.xml!D1770</f>
        <v>手套</v>
      </c>
      <c r="E1766" s="14">
        <f>equip.xml!E1770</f>
        <v>9</v>
      </c>
      <c r="F1766" s="14">
        <f>equip.xml!F1770</f>
        <v>4</v>
      </c>
      <c r="G1766" s="14">
        <f>equip.xml!G1770</f>
        <v>85</v>
      </c>
      <c r="H1766" s="14">
        <f>equip.xml!H1770</f>
        <v>0</v>
      </c>
      <c r="I1766" s="14">
        <f>equip.xml!J1770</f>
        <v>50</v>
      </c>
      <c r="J1766" s="14">
        <f>equip.xml!K1770</f>
        <v>500</v>
      </c>
      <c r="K1766" s="14">
        <f>equip.xml!L1770</f>
        <v>45000</v>
      </c>
      <c r="L1766" s="14" t="str">
        <f>equip.xml!M1770</f>
        <v>108_5495_5495</v>
      </c>
      <c r="M1766" s="17" t="str">
        <f>equip.xml!Q1770</f>
        <v>equipment/10014.png</v>
      </c>
      <c r="N1766" s="16" t="str">
        <f>equip.xml!P1770</f>
        <v>10000_1002_70000,30000_30001_1,30000_30002_1,30000_30003_1</v>
      </c>
      <c r="O1766">
        <f>equip.xml!R1770</f>
        <v>0</v>
      </c>
    </row>
    <row r="1767" spans="1:15">
      <c r="A1767" s="14">
        <f>equip.xml!A1771</f>
        <v>40850100</v>
      </c>
      <c r="B1767" s="14">
        <f>equip.xml!B1771</f>
        <v>1</v>
      </c>
      <c r="C1767" s="14" t="str">
        <f>equip.xml!C1771</f>
        <v>漂泊者之链</v>
      </c>
      <c r="D1767" s="14" t="str">
        <f>equip.xml!D1771</f>
        <v>项链</v>
      </c>
      <c r="E1767" s="14">
        <f>equip.xml!E1771</f>
        <v>10</v>
      </c>
      <c r="F1767" s="14">
        <f>equip.xml!F1771</f>
        <v>4</v>
      </c>
      <c r="G1767" s="14">
        <f>equip.xml!G1771</f>
        <v>85</v>
      </c>
      <c r="H1767" s="14">
        <f>equip.xml!H1771</f>
        <v>0</v>
      </c>
      <c r="I1767" s="14">
        <f>equip.xml!J1771</f>
        <v>50</v>
      </c>
      <c r="J1767" s="14">
        <f>equip.xml!K1771</f>
        <v>500</v>
      </c>
      <c r="K1767" s="14">
        <f>equip.xml!L1771</f>
        <v>45000</v>
      </c>
      <c r="L1767" s="14" t="str">
        <f>equip.xml!M1771</f>
        <v>107_3672_3672</v>
      </c>
      <c r="M1767" s="17" t="str">
        <f>equip.xml!Q1771</f>
        <v>equipment/12016.png</v>
      </c>
      <c r="N1767" s="16" t="str">
        <f>equip.xml!P1771</f>
        <v>10000_1002_70000,30000_30001_1,30000_30002_1,30000_30003_1</v>
      </c>
      <c r="O1767">
        <f>equip.xml!R1771</f>
        <v>0</v>
      </c>
    </row>
    <row r="1768" spans="1:15">
      <c r="A1768" s="14">
        <f>equip.xml!A1772</f>
        <v>40851050</v>
      </c>
      <c r="B1768" s="14">
        <f>equip.xml!B1772</f>
        <v>1</v>
      </c>
      <c r="C1768" s="14" t="str">
        <f>equip.xml!C1772</f>
        <v>谦逊之剑</v>
      </c>
      <c r="D1768" s="14" t="str">
        <f>equip.xml!D1772</f>
        <v>主手武器</v>
      </c>
      <c r="E1768" s="14">
        <f>equip.xml!E1772</f>
        <v>5</v>
      </c>
      <c r="F1768" s="14">
        <f>equip.xml!F1772</f>
        <v>4</v>
      </c>
      <c r="G1768" s="14">
        <f>equip.xml!G1772</f>
        <v>85</v>
      </c>
      <c r="H1768" s="14" t="str">
        <f>equip.xml!H1772</f>
        <v>1,1001</v>
      </c>
      <c r="I1768" s="14">
        <f>equip.xml!J1772</f>
        <v>50</v>
      </c>
      <c r="J1768" s="14">
        <f>equip.xml!K1772</f>
        <v>500</v>
      </c>
      <c r="K1768" s="14">
        <f>equip.xml!L1772</f>
        <v>45000</v>
      </c>
      <c r="L1768" s="14" t="str">
        <f>equip.xml!M1772</f>
        <v>103_4884_4884,104_9769_9769</v>
      </c>
      <c r="M1768" s="17" t="str">
        <f>equip.xml!Q1772</f>
        <v>equipment/1128.png</v>
      </c>
      <c r="N1768" s="16" t="str">
        <f>equip.xml!P1772</f>
        <v>10000_1002_70000,30000_30001_1,30000_30002_1,30000_30003_1</v>
      </c>
      <c r="O1768">
        <f>equip.xml!R1772</f>
        <v>0</v>
      </c>
    </row>
    <row r="1769" spans="1:15">
      <c r="A1769" s="14">
        <f>equip.xml!A1773</f>
        <v>40851051</v>
      </c>
      <c r="B1769" s="14">
        <f>equip.xml!B1773</f>
        <v>0</v>
      </c>
      <c r="C1769" s="14" t="str">
        <f>equip.xml!C1773</f>
        <v>破壁之刃</v>
      </c>
      <c r="D1769" s="14" t="str">
        <f>equip.xml!D1773</f>
        <v>主手武器</v>
      </c>
      <c r="E1769" s="14">
        <f>equip.xml!E1773</f>
        <v>5</v>
      </c>
      <c r="F1769" s="14">
        <f>equip.xml!F1773</f>
        <v>4</v>
      </c>
      <c r="G1769" s="14">
        <f>equip.xml!G1773</f>
        <v>85</v>
      </c>
      <c r="H1769" s="14" t="str">
        <f>equip.xml!H1773</f>
        <v>1,1001</v>
      </c>
      <c r="I1769" s="14">
        <f>equip.xml!J1773</f>
        <v>50</v>
      </c>
      <c r="J1769" s="14">
        <f>equip.xml!K1773</f>
        <v>500</v>
      </c>
      <c r="K1769" s="14">
        <f>equip.xml!L1773</f>
        <v>47500</v>
      </c>
      <c r="L1769" s="14" t="str">
        <f>equip.xml!M1773</f>
        <v>103_5119_5119,104_10238_10238</v>
      </c>
      <c r="M1769" s="17" t="str">
        <f>equip.xml!Q1773</f>
        <v>equipment/1129.png</v>
      </c>
      <c r="N1769" s="16" t="str">
        <f>equip.xml!P1773</f>
        <v>10000_1002_70000,30000_30001_1,30000_30002_1,30000_30003_1</v>
      </c>
      <c r="O1769">
        <f>equip.xml!R1773</f>
        <v>0</v>
      </c>
    </row>
    <row r="1770" spans="1:15">
      <c r="A1770" s="14">
        <f>equip.xml!A1774</f>
        <v>40851060</v>
      </c>
      <c r="B1770" s="14">
        <f>equip.xml!B1774</f>
        <v>1</v>
      </c>
      <c r="C1770" s="14" t="str">
        <f>equip.xml!C1774</f>
        <v>邪铁盾牌</v>
      </c>
      <c r="D1770" s="14" t="str">
        <f>equip.xml!D1774</f>
        <v>副手武器</v>
      </c>
      <c r="E1770" s="14">
        <f>equip.xml!E1774</f>
        <v>6</v>
      </c>
      <c r="F1770" s="14">
        <f>equip.xml!F1774</f>
        <v>4</v>
      </c>
      <c r="G1770" s="14">
        <f>equip.xml!G1774</f>
        <v>85</v>
      </c>
      <c r="H1770" s="14" t="str">
        <f>equip.xml!H1774</f>
        <v>1,1001</v>
      </c>
      <c r="I1770" s="14">
        <f>equip.xml!J1774</f>
        <v>50</v>
      </c>
      <c r="J1770" s="14">
        <f>equip.xml!K1774</f>
        <v>500</v>
      </c>
      <c r="K1770" s="14">
        <f>equip.xml!L1774</f>
        <v>45000</v>
      </c>
      <c r="L1770" s="14" t="str">
        <f>equip.xml!M1774</f>
        <v>105_4616_4616</v>
      </c>
      <c r="M1770" s="17" t="str">
        <f>equip.xml!Q1774</f>
        <v>equipment/2124.png</v>
      </c>
      <c r="N1770" s="16" t="str">
        <f>equip.xml!P1774</f>
        <v>10000_1002_70000,30000_30001_1,30000_30002_1,30000_30003_1</v>
      </c>
      <c r="O1770">
        <f>equip.xml!R1774</f>
        <v>0</v>
      </c>
    </row>
    <row r="1771" spans="1:15">
      <c r="A1771" s="14">
        <f>equip.xml!A1775</f>
        <v>40851061</v>
      </c>
      <c r="B1771" s="14">
        <f>equip.xml!B1775</f>
        <v>0</v>
      </c>
      <c r="C1771" s="14" t="str">
        <f>equip.xml!C1775</f>
        <v>埋骨之盾</v>
      </c>
      <c r="D1771" s="14" t="str">
        <f>equip.xml!D1775</f>
        <v>副手武器</v>
      </c>
      <c r="E1771" s="14">
        <f>equip.xml!E1775</f>
        <v>6</v>
      </c>
      <c r="F1771" s="14">
        <f>equip.xml!F1775</f>
        <v>4</v>
      </c>
      <c r="G1771" s="14">
        <f>equip.xml!G1775</f>
        <v>85</v>
      </c>
      <c r="H1771" s="14" t="str">
        <f>equip.xml!H1775</f>
        <v>1,1001</v>
      </c>
      <c r="I1771" s="14">
        <f>equip.xml!J1775</f>
        <v>50</v>
      </c>
      <c r="J1771" s="14">
        <f>equip.xml!K1775</f>
        <v>500</v>
      </c>
      <c r="K1771" s="14">
        <f>equip.xml!L1775</f>
        <v>47500</v>
      </c>
      <c r="L1771" s="14" t="str">
        <f>equip.xml!M1775</f>
        <v>105_4739_4739</v>
      </c>
      <c r="M1771" s="17" t="str">
        <f>equip.xml!Q1775</f>
        <v>equipment/2119.png</v>
      </c>
      <c r="N1771" s="16" t="str">
        <f>equip.xml!P1775</f>
        <v>10000_1002_70000,30000_30001_1,30000_30002_1,30000_30003_1</v>
      </c>
      <c r="O1771">
        <f>equip.xml!R1775</f>
        <v>0</v>
      </c>
    </row>
    <row r="1772" spans="1:15">
      <c r="A1772" s="14">
        <f>equip.xml!A1776</f>
        <v>40852050</v>
      </c>
      <c r="B1772" s="14">
        <f>equip.xml!B1776</f>
        <v>1</v>
      </c>
      <c r="C1772" s="14" t="str">
        <f>equip.xml!C1776</f>
        <v>悔恨长弓</v>
      </c>
      <c r="D1772" s="14" t="str">
        <f>equip.xml!D1776</f>
        <v>主手武器</v>
      </c>
      <c r="E1772" s="14">
        <f>equip.xml!E1776</f>
        <v>5</v>
      </c>
      <c r="F1772" s="14">
        <f>equip.xml!F1776</f>
        <v>4</v>
      </c>
      <c r="G1772" s="14">
        <f>equip.xml!G1776</f>
        <v>85</v>
      </c>
      <c r="H1772" s="14" t="str">
        <f>equip.xml!H1776</f>
        <v>2,1002</v>
      </c>
      <c r="I1772" s="14">
        <f>equip.xml!J1776</f>
        <v>50</v>
      </c>
      <c r="J1772" s="14">
        <f>equip.xml!K1776</f>
        <v>500</v>
      </c>
      <c r="K1772" s="14">
        <f>equip.xml!L1776</f>
        <v>45000</v>
      </c>
      <c r="L1772" s="14" t="str">
        <f>equip.xml!M1776</f>
        <v>103_4884_4884,104_9769_9769</v>
      </c>
      <c r="M1772" s="17" t="str">
        <f>equip.xml!Q1776</f>
        <v>equipment/1228.png</v>
      </c>
      <c r="N1772" s="16" t="str">
        <f>equip.xml!P1776</f>
        <v>10000_1002_70000,30000_30001_1,30000_30002_1,30000_30003_1</v>
      </c>
      <c r="O1772">
        <f>equip.xml!R1776</f>
        <v>0</v>
      </c>
    </row>
    <row r="1773" spans="1:15">
      <c r="A1773" s="14">
        <f>equip.xml!A1777</f>
        <v>40852051</v>
      </c>
      <c r="B1773" s="14">
        <f>equip.xml!B1777</f>
        <v>0</v>
      </c>
      <c r="C1773" s="14" t="str">
        <f>equip.xml!C1777</f>
        <v>祈圣之弓</v>
      </c>
      <c r="D1773" s="14" t="str">
        <f>equip.xml!D1777</f>
        <v>主手武器</v>
      </c>
      <c r="E1773" s="14">
        <f>equip.xml!E1777</f>
        <v>5</v>
      </c>
      <c r="F1773" s="14">
        <f>equip.xml!F1777</f>
        <v>4</v>
      </c>
      <c r="G1773" s="14">
        <f>equip.xml!G1777</f>
        <v>85</v>
      </c>
      <c r="H1773" s="14" t="str">
        <f>equip.xml!H1777</f>
        <v>2,1002</v>
      </c>
      <c r="I1773" s="14">
        <f>equip.xml!J1777</f>
        <v>50</v>
      </c>
      <c r="J1773" s="14">
        <f>equip.xml!K1777</f>
        <v>500</v>
      </c>
      <c r="K1773" s="14">
        <f>equip.xml!L1777</f>
        <v>47500</v>
      </c>
      <c r="L1773" s="14" t="str">
        <f>equip.xml!M1777</f>
        <v>103_5119_5119,104_10238_10238</v>
      </c>
      <c r="M1773" s="17" t="str">
        <f>equip.xml!Q1777</f>
        <v>equipment/1230.png</v>
      </c>
      <c r="N1773" s="16" t="str">
        <f>equip.xml!P1777</f>
        <v>10000_1002_70000,30000_30001_1,30000_30002_1,30000_30003_1</v>
      </c>
      <c r="O1773">
        <f>equip.xml!R1777</f>
        <v>0</v>
      </c>
    </row>
    <row r="1774" spans="1:15">
      <c r="A1774" s="14">
        <f>equip.xml!A1778</f>
        <v>40852060</v>
      </c>
      <c r="B1774" s="14">
        <f>equip.xml!B1778</f>
        <v>1</v>
      </c>
      <c r="C1774" s="14" t="str">
        <f>equip.xml!C1778</f>
        <v>悲鸣箭筒</v>
      </c>
      <c r="D1774" s="14" t="str">
        <f>equip.xml!D1778</f>
        <v>副手武器</v>
      </c>
      <c r="E1774" s="14">
        <f>equip.xml!E1778</f>
        <v>6</v>
      </c>
      <c r="F1774" s="14">
        <f>equip.xml!F1778</f>
        <v>4</v>
      </c>
      <c r="G1774" s="14">
        <f>equip.xml!G1778</f>
        <v>85</v>
      </c>
      <c r="H1774" s="14" t="str">
        <f>equip.xml!H1778</f>
        <v>2,1002</v>
      </c>
      <c r="I1774" s="14">
        <f>equip.xml!J1778</f>
        <v>50</v>
      </c>
      <c r="J1774" s="14">
        <f>equip.xml!K1778</f>
        <v>500</v>
      </c>
      <c r="K1774" s="14">
        <f>equip.xml!L1778</f>
        <v>45000</v>
      </c>
      <c r="L1774" s="14" t="str">
        <f>equip.xml!M1778</f>
        <v>108_4616_4616</v>
      </c>
      <c r="M1774" s="17" t="str">
        <f>equip.xml!Q1778</f>
        <v>equipment/2224.png</v>
      </c>
      <c r="N1774" s="16" t="str">
        <f>equip.xml!P1778</f>
        <v>10000_1002_70000,30000_30001_1,30000_30002_1,30000_30003_1</v>
      </c>
      <c r="O1774">
        <f>equip.xml!R1778</f>
        <v>0</v>
      </c>
    </row>
    <row r="1775" spans="1:15">
      <c r="A1775" s="14">
        <f>equip.xml!A1779</f>
        <v>40852061</v>
      </c>
      <c r="B1775" s="14">
        <f>equip.xml!B1779</f>
        <v>0</v>
      </c>
      <c r="C1775" s="14" t="str">
        <f>equip.xml!C1779</f>
        <v>咒逐箭筒</v>
      </c>
      <c r="D1775" s="14" t="str">
        <f>equip.xml!D1779</f>
        <v>副手武器</v>
      </c>
      <c r="E1775" s="14">
        <f>equip.xml!E1779</f>
        <v>6</v>
      </c>
      <c r="F1775" s="14">
        <f>equip.xml!F1779</f>
        <v>4</v>
      </c>
      <c r="G1775" s="14">
        <f>equip.xml!G1779</f>
        <v>85</v>
      </c>
      <c r="H1775" s="14" t="str">
        <f>equip.xml!H1779</f>
        <v>2,1002</v>
      </c>
      <c r="I1775" s="14">
        <f>equip.xml!J1779</f>
        <v>50</v>
      </c>
      <c r="J1775" s="14">
        <f>equip.xml!K1779</f>
        <v>500</v>
      </c>
      <c r="K1775" s="14">
        <f>equip.xml!L1779</f>
        <v>47500</v>
      </c>
      <c r="L1775" s="14" t="str">
        <f>equip.xml!M1779</f>
        <v>108_4739_4739</v>
      </c>
      <c r="M1775" s="17" t="str">
        <f>equip.xml!Q1779</f>
        <v>equipment/2221.png</v>
      </c>
      <c r="N1775" s="16" t="str">
        <f>equip.xml!P1779</f>
        <v>10000_1002_70000,30000_30001_1,30000_30002_1,30000_30003_1</v>
      </c>
      <c r="O1775">
        <f>equip.xml!R1779</f>
        <v>0</v>
      </c>
    </row>
    <row r="1776" spans="1:15">
      <c r="A1776" s="14">
        <f>equip.xml!A1780</f>
        <v>40853050</v>
      </c>
      <c r="B1776" s="14">
        <f>equip.xml!B1780</f>
        <v>1</v>
      </c>
      <c r="C1776" s="14" t="str">
        <f>equip.xml!C1780</f>
        <v>归还法杖</v>
      </c>
      <c r="D1776" s="14" t="str">
        <f>equip.xml!D1780</f>
        <v>主手武器</v>
      </c>
      <c r="E1776" s="14">
        <f>equip.xml!E1780</f>
        <v>5</v>
      </c>
      <c r="F1776" s="14">
        <f>equip.xml!F1780</f>
        <v>4</v>
      </c>
      <c r="G1776" s="14">
        <f>equip.xml!G1780</f>
        <v>85</v>
      </c>
      <c r="H1776" s="14" t="str">
        <f>equip.xml!H1780</f>
        <v>3,1003</v>
      </c>
      <c r="I1776" s="14">
        <f>equip.xml!J1780</f>
        <v>50</v>
      </c>
      <c r="J1776" s="14">
        <f>equip.xml!K1780</f>
        <v>500</v>
      </c>
      <c r="K1776" s="14">
        <f>equip.xml!L1780</f>
        <v>45000</v>
      </c>
      <c r="L1776" s="14" t="str">
        <f>equip.xml!M1780</f>
        <v>103_4884_4884,104_9769_9769</v>
      </c>
      <c r="M1776" s="17" t="str">
        <f>equip.xml!Q1780</f>
        <v>equipment/1329.png</v>
      </c>
      <c r="N1776" s="16" t="str">
        <f>equip.xml!P1780</f>
        <v>10000_1002_70000,30000_30001_1,30000_30002_1,30000_30003_1</v>
      </c>
      <c r="O1776">
        <f>equip.xml!R1780</f>
        <v>0</v>
      </c>
    </row>
    <row r="1777" spans="1:15">
      <c r="A1777" s="14">
        <f>equip.xml!A1781</f>
        <v>40853051</v>
      </c>
      <c r="B1777" s="14">
        <f>equip.xml!B1781</f>
        <v>0</v>
      </c>
      <c r="C1777" s="14" t="str">
        <f>equip.xml!C1781</f>
        <v>荒寂之杖</v>
      </c>
      <c r="D1777" s="14" t="str">
        <f>equip.xml!D1781</f>
        <v>主手武器</v>
      </c>
      <c r="E1777" s="14">
        <f>equip.xml!E1781</f>
        <v>5</v>
      </c>
      <c r="F1777" s="14">
        <f>equip.xml!F1781</f>
        <v>4</v>
      </c>
      <c r="G1777" s="14">
        <f>equip.xml!G1781</f>
        <v>85</v>
      </c>
      <c r="H1777" s="14" t="str">
        <f>equip.xml!H1781</f>
        <v>3,1003</v>
      </c>
      <c r="I1777" s="14">
        <f>equip.xml!J1781</f>
        <v>50</v>
      </c>
      <c r="J1777" s="14">
        <f>equip.xml!K1781</f>
        <v>500</v>
      </c>
      <c r="K1777" s="14">
        <f>equip.xml!L1781</f>
        <v>47500</v>
      </c>
      <c r="L1777" s="14" t="str">
        <f>equip.xml!M1781</f>
        <v>103_5119_5119,104_10238_10238</v>
      </c>
      <c r="M1777" s="17" t="str">
        <f>equip.xml!Q1781</f>
        <v>equipment/1331.png</v>
      </c>
      <c r="N1777" s="16" t="str">
        <f>equip.xml!P1781</f>
        <v>10000_1002_70000,30000_30001_1,30000_30002_1,30000_30003_1</v>
      </c>
      <c r="O1777">
        <f>equip.xml!R1781</f>
        <v>0</v>
      </c>
    </row>
    <row r="1778" spans="1:15">
      <c r="A1778" s="14">
        <f>equip.xml!A1782</f>
        <v>40853060</v>
      </c>
      <c r="B1778" s="14">
        <f>equip.xml!B1782</f>
        <v>1</v>
      </c>
      <c r="C1778" s="14" t="str">
        <f>equip.xml!C1782</f>
        <v>幻咒秘语</v>
      </c>
      <c r="D1778" s="14" t="str">
        <f>equip.xml!D1782</f>
        <v>副手武器</v>
      </c>
      <c r="E1778" s="14">
        <f>equip.xml!E1782</f>
        <v>6</v>
      </c>
      <c r="F1778" s="14">
        <f>equip.xml!F1782</f>
        <v>4</v>
      </c>
      <c r="G1778" s="14">
        <f>equip.xml!G1782</f>
        <v>85</v>
      </c>
      <c r="H1778" s="14" t="str">
        <f>equip.xml!H1782</f>
        <v>3,1003</v>
      </c>
      <c r="I1778" s="14">
        <f>equip.xml!J1782</f>
        <v>50</v>
      </c>
      <c r="J1778" s="14">
        <f>equip.xml!K1782</f>
        <v>500</v>
      </c>
      <c r="K1778" s="14">
        <f>equip.xml!L1782</f>
        <v>45000</v>
      </c>
      <c r="L1778" s="14" t="str">
        <f>equip.xml!M1782</f>
        <v>102_3790_3790</v>
      </c>
      <c r="M1778" s="17" t="str">
        <f>equip.xml!Q1782</f>
        <v>equipment/102301.png</v>
      </c>
      <c r="N1778" s="16" t="str">
        <f>equip.xml!P1782</f>
        <v>10000_1002_70000,30000_30001_1,30000_30002_1,30000_30003_1</v>
      </c>
      <c r="O1778">
        <f>equip.xml!R1782</f>
        <v>0</v>
      </c>
    </row>
    <row r="1779" spans="1:15">
      <c r="A1779" s="14">
        <f>equip.xml!A1783</f>
        <v>40853061</v>
      </c>
      <c r="B1779" s="14">
        <f>equip.xml!B1783</f>
        <v>0</v>
      </c>
      <c r="C1779" s="14" t="str">
        <f>equip.xml!C1783</f>
        <v>岁月之书</v>
      </c>
      <c r="D1779" s="14" t="str">
        <f>equip.xml!D1783</f>
        <v>副手武器</v>
      </c>
      <c r="E1779" s="14">
        <f>equip.xml!E1783</f>
        <v>6</v>
      </c>
      <c r="F1779" s="14">
        <f>equip.xml!F1783</f>
        <v>4</v>
      </c>
      <c r="G1779" s="14">
        <f>equip.xml!G1783</f>
        <v>85</v>
      </c>
      <c r="H1779" s="14" t="str">
        <f>equip.xml!H1783</f>
        <v>3,1003</v>
      </c>
      <c r="I1779" s="14">
        <f>equip.xml!J1783</f>
        <v>50</v>
      </c>
      <c r="J1779" s="14">
        <f>equip.xml!K1783</f>
        <v>500</v>
      </c>
      <c r="K1779" s="14">
        <f>equip.xml!L1783</f>
        <v>47500</v>
      </c>
      <c r="L1779" s="14" t="str">
        <f>equip.xml!M1783</f>
        <v>102_3890_3890</v>
      </c>
      <c r="M1779" s="17" t="str">
        <f>equip.xml!Q1783</f>
        <v>equipment/2323.png</v>
      </c>
      <c r="N1779" s="16" t="str">
        <f>equip.xml!P1783</f>
        <v>10000_1002_70000,30000_30001_1,30000_30002_1,30000_30003_1</v>
      </c>
      <c r="O1779">
        <f>equip.xml!R1783</f>
        <v>0</v>
      </c>
    </row>
    <row r="1780" spans="1:15">
      <c r="A1780" s="14">
        <f>equip.xml!A1784</f>
        <v>40850040</v>
      </c>
      <c r="B1780" s="14">
        <f>equip.xml!B1784</f>
        <v>1</v>
      </c>
      <c r="C1780" s="14" t="str">
        <f>equip.xml!C1784</f>
        <v>梦魇胸甲</v>
      </c>
      <c r="D1780" s="14" t="str">
        <f>equip.xml!D1784</f>
        <v>胸甲</v>
      </c>
      <c r="E1780" s="14">
        <f>equip.xml!E1784</f>
        <v>4</v>
      </c>
      <c r="F1780" s="14">
        <f>equip.xml!F1784</f>
        <v>4</v>
      </c>
      <c r="G1780" s="14">
        <f>equip.xml!G1784</f>
        <v>85</v>
      </c>
      <c r="H1780" s="14">
        <f>equip.xml!H1784</f>
        <v>0</v>
      </c>
      <c r="I1780" s="14">
        <f>equip.xml!J1784</f>
        <v>50</v>
      </c>
      <c r="J1780" s="14">
        <f>equip.xml!K1784</f>
        <v>500</v>
      </c>
      <c r="K1780" s="14">
        <f>equip.xml!L1784</f>
        <v>45000</v>
      </c>
      <c r="L1780" s="14" t="str">
        <f>equip.xml!M1784</f>
        <v>105_2989_2989</v>
      </c>
      <c r="M1780" s="17" t="str">
        <f>equip.xml!Q1784</f>
        <v>equipment/105001.png</v>
      </c>
      <c r="N1780" s="16" t="str">
        <f>equip.xml!P1784</f>
        <v>10000_1002_70000,30000_30001_1,30000_30002_1,30000_30003_1</v>
      </c>
      <c r="O1780">
        <f>equip.xml!R1784</f>
        <v>0</v>
      </c>
    </row>
    <row r="1781" spans="1:15">
      <c r="A1781" s="14">
        <f>equip.xml!A1785</f>
        <v>40850041</v>
      </c>
      <c r="B1781" s="14">
        <f>equip.xml!B1785</f>
        <v>0</v>
      </c>
      <c r="C1781" s="14" t="str">
        <f>equip.xml!C1785</f>
        <v>鬼域战铠</v>
      </c>
      <c r="D1781" s="14" t="str">
        <f>equip.xml!D1785</f>
        <v>胸甲</v>
      </c>
      <c r="E1781" s="14">
        <f>equip.xml!E1785</f>
        <v>4</v>
      </c>
      <c r="F1781" s="14">
        <f>equip.xml!F1785</f>
        <v>4</v>
      </c>
      <c r="G1781" s="14">
        <f>equip.xml!G1785</f>
        <v>85</v>
      </c>
      <c r="H1781" s="14">
        <f>equip.xml!H1785</f>
        <v>0</v>
      </c>
      <c r="I1781" s="14">
        <f>equip.xml!J1785</f>
        <v>50</v>
      </c>
      <c r="J1781" s="14">
        <f>equip.xml!K1785</f>
        <v>500</v>
      </c>
      <c r="K1781" s="14">
        <f>equip.xml!L1785</f>
        <v>47500</v>
      </c>
      <c r="L1781" s="14" t="str">
        <f>equip.xml!M1785</f>
        <v>105_3172_3172</v>
      </c>
      <c r="M1781" s="17" t="str">
        <f>equip.xml!Q1785</f>
        <v>equipment/5023.png</v>
      </c>
      <c r="N1781" s="16" t="str">
        <f>equip.xml!P1785</f>
        <v>10000_1002_70000,30000_30001_1,30000_30002_1,30000_30003_1</v>
      </c>
      <c r="O1781">
        <f>equip.xml!R1785</f>
        <v>0</v>
      </c>
    </row>
    <row r="1782" spans="1:15">
      <c r="A1782" s="14">
        <f>equip.xml!A1786</f>
        <v>40850070</v>
      </c>
      <c r="B1782" s="14">
        <f>equip.xml!B1786</f>
        <v>1</v>
      </c>
      <c r="C1782" s="14" t="str">
        <f>equip.xml!C1786</f>
        <v>逝亡护腿</v>
      </c>
      <c r="D1782" s="14" t="str">
        <f>equip.xml!D1786</f>
        <v>护腿</v>
      </c>
      <c r="E1782" s="14">
        <f>equip.xml!E1786</f>
        <v>7</v>
      </c>
      <c r="F1782" s="14">
        <f>equip.xml!F1786</f>
        <v>4</v>
      </c>
      <c r="G1782" s="14">
        <f>equip.xml!G1786</f>
        <v>85</v>
      </c>
      <c r="H1782" s="14">
        <f>equip.xml!H1786</f>
        <v>0</v>
      </c>
      <c r="I1782" s="14">
        <f>equip.xml!J1786</f>
        <v>50</v>
      </c>
      <c r="J1782" s="14">
        <f>equip.xml!K1786</f>
        <v>500</v>
      </c>
      <c r="K1782" s="14">
        <f>equip.xml!L1786</f>
        <v>45000</v>
      </c>
      <c r="L1782" s="14" t="str">
        <f>equip.xml!M1786</f>
        <v>105_2989_2989</v>
      </c>
      <c r="M1782" s="17" t="str">
        <f>equip.xml!Q1786</f>
        <v>equipment/7023.png</v>
      </c>
      <c r="N1782" s="16" t="str">
        <f>equip.xml!P1786</f>
        <v>10000_1002_70000,30000_30001_1,30000_30002_1,30000_30003_1</v>
      </c>
      <c r="O1782">
        <f>equip.xml!R1786</f>
        <v>0</v>
      </c>
    </row>
    <row r="1783" spans="1:15">
      <c r="A1783" s="14">
        <f>equip.xml!A1787</f>
        <v>40850071</v>
      </c>
      <c r="B1783" s="14">
        <f>equip.xml!B1787</f>
        <v>0</v>
      </c>
      <c r="C1783" s="14" t="str">
        <f>equip.xml!C1787</f>
        <v>泯灭护腿</v>
      </c>
      <c r="D1783" s="14" t="str">
        <f>equip.xml!D1787</f>
        <v>护腿</v>
      </c>
      <c r="E1783" s="14">
        <f>equip.xml!E1787</f>
        <v>7</v>
      </c>
      <c r="F1783" s="14">
        <f>equip.xml!F1787</f>
        <v>4</v>
      </c>
      <c r="G1783" s="14">
        <f>equip.xml!G1787</f>
        <v>85</v>
      </c>
      <c r="H1783" s="14">
        <f>equip.xml!H1787</f>
        <v>0</v>
      </c>
      <c r="I1783" s="14">
        <f>equip.xml!J1787</f>
        <v>50</v>
      </c>
      <c r="J1783" s="14">
        <f>equip.xml!K1787</f>
        <v>500</v>
      </c>
      <c r="K1783" s="14">
        <f>equip.xml!L1787</f>
        <v>47500</v>
      </c>
      <c r="L1783" s="14" t="str">
        <f>equip.xml!M1787</f>
        <v>105_3172_3172</v>
      </c>
      <c r="M1783" s="17" t="str">
        <f>equip.xml!Q1787</f>
        <v>equipment/107001.png</v>
      </c>
      <c r="N1783" s="16" t="str">
        <f>equip.xml!P1787</f>
        <v>10000_1002_70000,30000_30001_1,30000_30002_1,30000_30003_1</v>
      </c>
      <c r="O1783">
        <f>equip.xml!R1787</f>
        <v>0</v>
      </c>
    </row>
    <row r="1784" spans="1:15">
      <c r="A1784" s="14">
        <f>equip.xml!A1788</f>
        <v>40900010</v>
      </c>
      <c r="B1784" s="14">
        <f>equip.xml!B1788</f>
        <v>1</v>
      </c>
      <c r="C1784" s="14" t="str">
        <f>equip.xml!C1788</f>
        <v>风暴之冠</v>
      </c>
      <c r="D1784" s="14" t="str">
        <f>equip.xml!D1788</f>
        <v>头盔</v>
      </c>
      <c r="E1784" s="14">
        <f>equip.xml!E1788</f>
        <v>1</v>
      </c>
      <c r="F1784" s="14">
        <f>equip.xml!F1788</f>
        <v>4</v>
      </c>
      <c r="G1784" s="14">
        <f>equip.xml!G1788</f>
        <v>90</v>
      </c>
      <c r="H1784" s="14">
        <f>equip.xml!H1788</f>
        <v>0</v>
      </c>
      <c r="I1784" s="14">
        <f>equip.xml!J1788</f>
        <v>50</v>
      </c>
      <c r="J1784" s="14">
        <f>equip.xml!K1788</f>
        <v>500</v>
      </c>
      <c r="K1784" s="14">
        <f>equip.xml!L1788</f>
        <v>47500</v>
      </c>
      <c r="L1784" s="14" t="str">
        <f>equip.xml!M1788</f>
        <v>106_4428_4428</v>
      </c>
      <c r="M1784" s="17" t="str">
        <f>equip.xml!Q1788</f>
        <v>equipment/3017.png</v>
      </c>
      <c r="N1784" s="16" t="str">
        <f>equip.xml!P1788</f>
        <v>10000_1002_70000,30000_30001_1,30000_30002_1,30000_30003_1</v>
      </c>
      <c r="O1784">
        <f>equip.xml!R1788</f>
        <v>0</v>
      </c>
    </row>
    <row r="1785" spans="1:15">
      <c r="A1785" s="14">
        <f>equip.xml!A1789</f>
        <v>40900020</v>
      </c>
      <c r="B1785" s="14">
        <f>equip.xml!B1789</f>
        <v>1</v>
      </c>
      <c r="C1785" s="14" t="str">
        <f>equip.xml!C1789</f>
        <v>无尽智慧指环</v>
      </c>
      <c r="D1785" s="14" t="str">
        <f>equip.xml!D1789</f>
        <v>戒指</v>
      </c>
      <c r="E1785" s="14">
        <f>equip.xml!E1789</f>
        <v>2</v>
      </c>
      <c r="F1785" s="14">
        <f>equip.xml!F1789</f>
        <v>4</v>
      </c>
      <c r="G1785" s="14">
        <f>equip.xml!G1789</f>
        <v>90</v>
      </c>
      <c r="H1785" s="14">
        <f>equip.xml!H1789</f>
        <v>0</v>
      </c>
      <c r="I1785" s="14">
        <f>equip.xml!J1789</f>
        <v>50</v>
      </c>
      <c r="J1785" s="14">
        <f>equip.xml!K1789</f>
        <v>500</v>
      </c>
      <c r="K1785" s="14">
        <f>equip.xml!L1789</f>
        <v>47500</v>
      </c>
      <c r="L1785" s="14" t="str">
        <f>equip.xml!M1789</f>
        <v>102_2150_2150</v>
      </c>
      <c r="M1785" s="17" t="str">
        <f>equip.xml!Q1789</f>
        <v>equipment/14015.png</v>
      </c>
      <c r="N1785" s="16" t="str">
        <f>equip.xml!P1789</f>
        <v>10000_1002_70000,30000_30001_1,30000_30002_1,30000_30003_1</v>
      </c>
      <c r="O1785">
        <f>equip.xml!R1789</f>
        <v>0</v>
      </c>
    </row>
    <row r="1786" spans="1:15">
      <c r="A1786" s="14">
        <f>equip.xml!A1790</f>
        <v>40900030</v>
      </c>
      <c r="B1786" s="14">
        <f>equip.xml!B1790</f>
        <v>1</v>
      </c>
      <c r="C1786" s="14" t="str">
        <f>equip.xml!C1790</f>
        <v>丰饶腰带</v>
      </c>
      <c r="D1786" s="14" t="str">
        <f>equip.xml!D1790</f>
        <v>腰带</v>
      </c>
      <c r="E1786" s="14">
        <f>equip.xml!E1790</f>
        <v>3</v>
      </c>
      <c r="F1786" s="14">
        <f>equip.xml!F1790</f>
        <v>4</v>
      </c>
      <c r="G1786" s="14">
        <f>equip.xml!G1790</f>
        <v>90</v>
      </c>
      <c r="H1786" s="14">
        <f>equip.xml!H1790</f>
        <v>0</v>
      </c>
      <c r="I1786" s="14">
        <f>equip.xml!J1790</f>
        <v>50</v>
      </c>
      <c r="J1786" s="14">
        <f>equip.xml!K1790</f>
        <v>500</v>
      </c>
      <c r="K1786" s="14">
        <f>equip.xml!L1790</f>
        <v>47500</v>
      </c>
      <c r="L1786" s="14" t="str">
        <f>equip.xml!M1790</f>
        <v>101_29800_29800</v>
      </c>
      <c r="M1786" s="17" t="str">
        <f>equip.xml!Q1790</f>
        <v>equipment/6016.png</v>
      </c>
      <c r="N1786" s="16" t="str">
        <f>equip.xml!P1790</f>
        <v>10000_1002_70000,30000_30001_1,30000_30002_1,30000_30003_1</v>
      </c>
      <c r="O1786">
        <f>equip.xml!R1790</f>
        <v>0</v>
      </c>
    </row>
    <row r="1787" spans="1:15">
      <c r="A1787" s="14">
        <f>equip.xml!A1791</f>
        <v>40900080</v>
      </c>
      <c r="B1787" s="14">
        <f>equip.xml!B1791</f>
        <v>1</v>
      </c>
      <c r="C1787" s="14" t="str">
        <f>equip.xml!C1791</f>
        <v>秩序战靴</v>
      </c>
      <c r="D1787" s="14" t="str">
        <f>equip.xml!D1791</f>
        <v>鞋子</v>
      </c>
      <c r="E1787" s="14">
        <f>equip.xml!E1791</f>
        <v>8</v>
      </c>
      <c r="F1787" s="14">
        <f>equip.xml!F1791</f>
        <v>4</v>
      </c>
      <c r="G1787" s="14">
        <f>equip.xml!G1791</f>
        <v>90</v>
      </c>
      <c r="H1787" s="14">
        <f>equip.xml!H1791</f>
        <v>0</v>
      </c>
      <c r="I1787" s="14">
        <f>equip.xml!J1791</f>
        <v>50</v>
      </c>
      <c r="J1787" s="14">
        <f>equip.xml!K1791</f>
        <v>500</v>
      </c>
      <c r="K1787" s="14">
        <f>equip.xml!L1791</f>
        <v>47500</v>
      </c>
      <c r="L1787" s="14" t="str">
        <f>equip.xml!M1791</f>
        <v>110_715_715</v>
      </c>
      <c r="M1787" s="17" t="str">
        <f>equip.xml!Q1791</f>
        <v>equipment/8017.png</v>
      </c>
      <c r="N1787" s="16" t="str">
        <f>equip.xml!P1791</f>
        <v>10000_1002_70000,30000_30001_1,30000_30002_1,30000_30003_1</v>
      </c>
      <c r="O1787">
        <f>equip.xml!R1791</f>
        <v>0</v>
      </c>
    </row>
    <row r="1788" spans="1:15">
      <c r="A1788" s="14">
        <f>equip.xml!A1792</f>
        <v>40900090</v>
      </c>
      <c r="B1788" s="14">
        <f>equip.xml!B1792</f>
        <v>1</v>
      </c>
      <c r="C1788" s="14" t="str">
        <f>equip.xml!C1792</f>
        <v>超载护手</v>
      </c>
      <c r="D1788" s="14" t="str">
        <f>equip.xml!D1792</f>
        <v>手套</v>
      </c>
      <c r="E1788" s="14">
        <f>equip.xml!E1792</f>
        <v>9</v>
      </c>
      <c r="F1788" s="14">
        <f>equip.xml!F1792</f>
        <v>4</v>
      </c>
      <c r="G1788" s="14">
        <f>equip.xml!G1792</f>
        <v>90</v>
      </c>
      <c r="H1788" s="14">
        <f>equip.xml!H1792</f>
        <v>0</v>
      </c>
      <c r="I1788" s="14">
        <f>equip.xml!J1792</f>
        <v>50</v>
      </c>
      <c r="J1788" s="14">
        <f>equip.xml!K1792</f>
        <v>500</v>
      </c>
      <c r="K1788" s="14">
        <f>equip.xml!L1792</f>
        <v>47500</v>
      </c>
      <c r="L1788" s="14" t="str">
        <f>equip.xml!M1792</f>
        <v>108_6155_6155</v>
      </c>
      <c r="M1788" s="17" t="str">
        <f>equip.xml!Q1792</f>
        <v>equipment/10017.png</v>
      </c>
      <c r="N1788" s="16" t="str">
        <f>equip.xml!P1792</f>
        <v>10000_1002_70000,30000_30001_1,30000_30002_1,30000_30003_1</v>
      </c>
      <c r="O1788">
        <f>equip.xml!R1792</f>
        <v>0</v>
      </c>
    </row>
    <row r="1789" spans="1:15">
      <c r="A1789" s="14">
        <f>equip.xml!A1793</f>
        <v>40900100</v>
      </c>
      <c r="B1789" s="14">
        <f>equip.xml!B1793</f>
        <v>1</v>
      </c>
      <c r="C1789" s="14" t="str">
        <f>equip.xml!C1793</f>
        <v>寒霜之心</v>
      </c>
      <c r="D1789" s="14" t="str">
        <f>equip.xml!D1793</f>
        <v>项链</v>
      </c>
      <c r="E1789" s="14">
        <f>equip.xml!E1793</f>
        <v>10</v>
      </c>
      <c r="F1789" s="14">
        <f>equip.xml!F1793</f>
        <v>4</v>
      </c>
      <c r="G1789" s="14">
        <f>equip.xml!G1793</f>
        <v>90</v>
      </c>
      <c r="H1789" s="14">
        <f>equip.xml!H1793</f>
        <v>0</v>
      </c>
      <c r="I1789" s="14">
        <f>equip.xml!J1793</f>
        <v>50</v>
      </c>
      <c r="J1789" s="14">
        <f>equip.xml!K1793</f>
        <v>500</v>
      </c>
      <c r="K1789" s="14">
        <f>equip.xml!L1793</f>
        <v>47500</v>
      </c>
      <c r="L1789" s="14" t="str">
        <f>equip.xml!M1793</f>
        <v>107_4428_4428</v>
      </c>
      <c r="M1789" s="17" t="str">
        <f>equip.xml!Q1793</f>
        <v>equipment/12017.png</v>
      </c>
      <c r="N1789" s="16" t="str">
        <f>equip.xml!P1793</f>
        <v>10000_1002_70000,30000_30001_1,30000_30002_1,30000_30003_1</v>
      </c>
      <c r="O1789">
        <f>equip.xml!R1793</f>
        <v>0</v>
      </c>
    </row>
    <row r="1790" spans="1:15">
      <c r="A1790" s="14">
        <f>equip.xml!A1794</f>
        <v>40901050</v>
      </c>
      <c r="B1790" s="14">
        <f>equip.xml!B1794</f>
        <v>1</v>
      </c>
      <c r="C1790" s="14" t="str">
        <f>equip.xml!C1794</f>
        <v>湮灭之剑</v>
      </c>
      <c r="D1790" s="14" t="str">
        <f>equip.xml!D1794</f>
        <v>主手武器</v>
      </c>
      <c r="E1790" s="14">
        <f>equip.xml!E1794</f>
        <v>5</v>
      </c>
      <c r="F1790" s="14">
        <f>equip.xml!F1794</f>
        <v>4</v>
      </c>
      <c r="G1790" s="14">
        <f>equip.xml!G1794</f>
        <v>90</v>
      </c>
      <c r="H1790" s="14" t="str">
        <f>equip.xml!H1794</f>
        <v>1,1001</v>
      </c>
      <c r="I1790" s="14">
        <f>equip.xml!J1794</f>
        <v>50</v>
      </c>
      <c r="J1790" s="14">
        <f>equip.xml!K1794</f>
        <v>500</v>
      </c>
      <c r="K1790" s="14">
        <f>equip.xml!L1794</f>
        <v>47500</v>
      </c>
      <c r="L1790" s="14" t="str">
        <f>equip.xml!M1794</f>
        <v>103_5471_5471,104_10942_10942</v>
      </c>
      <c r="M1790" s="17" t="str">
        <f>equip.xml!Q1794</f>
        <v>equipment/101101.png</v>
      </c>
      <c r="N1790" s="16" t="str">
        <f>equip.xml!P1794</f>
        <v>10000_1002_70000,30000_30001_1,30000_30002_1,30000_30003_1</v>
      </c>
      <c r="O1790">
        <f>equip.xml!R1794</f>
        <v>0</v>
      </c>
    </row>
    <row r="1791" spans="1:15">
      <c r="A1791" s="14">
        <f>equip.xml!A1795</f>
        <v>40901051</v>
      </c>
      <c r="B1791" s="14">
        <f>equip.xml!B1795</f>
        <v>0</v>
      </c>
      <c r="C1791" s="14" t="str">
        <f>equip.xml!C1795</f>
        <v>封印之剑</v>
      </c>
      <c r="D1791" s="14" t="str">
        <f>equip.xml!D1795</f>
        <v>主手武器</v>
      </c>
      <c r="E1791" s="14">
        <f>equip.xml!E1795</f>
        <v>5</v>
      </c>
      <c r="F1791" s="14">
        <f>equip.xml!F1795</f>
        <v>4</v>
      </c>
      <c r="G1791" s="14">
        <f>equip.xml!G1795</f>
        <v>90</v>
      </c>
      <c r="H1791" s="14" t="str">
        <f>equip.xml!H1795</f>
        <v>1,1001</v>
      </c>
      <c r="I1791" s="14">
        <f>equip.xml!J1795</f>
        <v>50</v>
      </c>
      <c r="J1791" s="14">
        <f>equip.xml!K1795</f>
        <v>500</v>
      </c>
      <c r="K1791" s="14">
        <f>equip.xml!L1795</f>
        <v>50000</v>
      </c>
      <c r="L1791" s="14" t="str">
        <f>equip.xml!M1795</f>
        <v>103_5719_5719,104_11438_11438</v>
      </c>
      <c r="M1791" s="17" t="str">
        <f>equip.xml!Q1795</f>
        <v>equipment/1131.png</v>
      </c>
      <c r="N1791" s="16" t="str">
        <f>equip.xml!P1795</f>
        <v>10000_1002_70000,30000_30001_1,30000_30002_1,30000_30003_1</v>
      </c>
      <c r="O1791">
        <f>equip.xml!R1795</f>
        <v>0</v>
      </c>
    </row>
    <row r="1792" spans="1:15">
      <c r="A1792" s="14">
        <f>equip.xml!A1796</f>
        <v>40901060</v>
      </c>
      <c r="B1792" s="14">
        <f>equip.xml!B1796</f>
        <v>1</v>
      </c>
      <c r="C1792" s="14" t="str">
        <f>equip.xml!C1796</f>
        <v>灾祸之盾</v>
      </c>
      <c r="D1792" s="14" t="str">
        <f>equip.xml!D1796</f>
        <v>副手武器</v>
      </c>
      <c r="E1792" s="14">
        <f>equip.xml!E1796</f>
        <v>6</v>
      </c>
      <c r="F1792" s="14">
        <f>equip.xml!F1796</f>
        <v>4</v>
      </c>
      <c r="G1792" s="14">
        <f>equip.xml!G1796</f>
        <v>90</v>
      </c>
      <c r="H1792" s="14" t="str">
        <f>equip.xml!H1796</f>
        <v>1,1001</v>
      </c>
      <c r="I1792" s="14">
        <f>equip.xml!J1796</f>
        <v>50</v>
      </c>
      <c r="J1792" s="14">
        <f>equip.xml!K1796</f>
        <v>500</v>
      </c>
      <c r="K1792" s="14">
        <f>equip.xml!L1796</f>
        <v>47500</v>
      </c>
      <c r="L1792" s="14" t="str">
        <f>equip.xml!M1796</f>
        <v>105_4924_4924</v>
      </c>
      <c r="M1792" s="17" t="str">
        <f>equip.xml!Q1796</f>
        <v>equipment/2125.png</v>
      </c>
      <c r="N1792" s="16" t="str">
        <f>equip.xml!P1796</f>
        <v>10000_1002_70000,30000_30001_1,30000_30002_1,30000_30003_1</v>
      </c>
      <c r="O1792">
        <f>equip.xml!R1796</f>
        <v>0</v>
      </c>
    </row>
    <row r="1793" spans="1:15">
      <c r="A1793" s="14">
        <f>equip.xml!A1797</f>
        <v>40901061</v>
      </c>
      <c r="B1793" s="14">
        <f>equip.xml!B1797</f>
        <v>0</v>
      </c>
      <c r="C1793" s="14" t="str">
        <f>equip.xml!C1797</f>
        <v>堕神之盾</v>
      </c>
      <c r="D1793" s="14" t="str">
        <f>equip.xml!D1797</f>
        <v>副手武器</v>
      </c>
      <c r="E1793" s="14">
        <f>equip.xml!E1797</f>
        <v>6</v>
      </c>
      <c r="F1793" s="14">
        <f>equip.xml!F1797</f>
        <v>4</v>
      </c>
      <c r="G1793" s="14">
        <f>equip.xml!G1797</f>
        <v>90</v>
      </c>
      <c r="H1793" s="14" t="str">
        <f>equip.xml!H1797</f>
        <v>1,1001</v>
      </c>
      <c r="I1793" s="14">
        <f>equip.xml!J1797</f>
        <v>50</v>
      </c>
      <c r="J1793" s="14">
        <f>equip.xml!K1797</f>
        <v>500</v>
      </c>
      <c r="K1793" s="14">
        <f>equip.xml!L1797</f>
        <v>50000</v>
      </c>
      <c r="L1793" s="14" t="str">
        <f>equip.xml!M1797</f>
        <v>105_5147_5147</v>
      </c>
      <c r="M1793" s="17" t="str">
        <f>equip.xml!Q1797</f>
        <v>equipment/102101.png</v>
      </c>
      <c r="N1793" s="16" t="str">
        <f>equip.xml!P1797</f>
        <v>10000_1002_70000,30000_30001_1,30000_30002_1,30000_30003_1</v>
      </c>
      <c r="O1793">
        <f>equip.xml!R1797</f>
        <v>0</v>
      </c>
    </row>
    <row r="1794" spans="1:15">
      <c r="A1794" s="14">
        <f>equip.xml!A1798</f>
        <v>40902050</v>
      </c>
      <c r="B1794" s="14">
        <f>equip.xml!B1798</f>
        <v>1</v>
      </c>
      <c r="C1794" s="14" t="str">
        <f>equip.xml!C1798</f>
        <v>破晓之弓</v>
      </c>
      <c r="D1794" s="14" t="str">
        <f>equip.xml!D1798</f>
        <v>主手武器</v>
      </c>
      <c r="E1794" s="14">
        <f>equip.xml!E1798</f>
        <v>5</v>
      </c>
      <c r="F1794" s="14">
        <f>equip.xml!F1798</f>
        <v>4</v>
      </c>
      <c r="G1794" s="14">
        <f>equip.xml!G1798</f>
        <v>90</v>
      </c>
      <c r="H1794" s="14" t="str">
        <f>equip.xml!H1798</f>
        <v>2,1002</v>
      </c>
      <c r="I1794" s="14">
        <f>equip.xml!J1798</f>
        <v>50</v>
      </c>
      <c r="J1794" s="14">
        <f>equip.xml!K1798</f>
        <v>500</v>
      </c>
      <c r="K1794" s="14">
        <f>equip.xml!L1798</f>
        <v>47500</v>
      </c>
      <c r="L1794" s="14" t="str">
        <f>equip.xml!M1798</f>
        <v>103_5471_5471,104_10942_10942</v>
      </c>
      <c r="M1794" s="17" t="str">
        <f>equip.xml!Q1798</f>
        <v>equipment/1231.png</v>
      </c>
      <c r="N1794" s="16" t="str">
        <f>equip.xml!P1798</f>
        <v>10000_1002_70000,30000_30001_1,30000_30002_1,30000_30003_1</v>
      </c>
      <c r="O1794">
        <f>equip.xml!R1798</f>
        <v>0</v>
      </c>
    </row>
    <row r="1795" spans="1:15">
      <c r="A1795" s="14">
        <f>equip.xml!A1799</f>
        <v>40902051</v>
      </c>
      <c r="B1795" s="14">
        <f>equip.xml!B1799</f>
        <v>0</v>
      </c>
      <c r="C1795" s="14" t="str">
        <f>equip.xml!C1799</f>
        <v>彗星之击</v>
      </c>
      <c r="D1795" s="14" t="str">
        <f>equip.xml!D1799</f>
        <v>主手武器</v>
      </c>
      <c r="E1795" s="14">
        <f>equip.xml!E1799</f>
        <v>5</v>
      </c>
      <c r="F1795" s="14">
        <f>equip.xml!F1799</f>
        <v>4</v>
      </c>
      <c r="G1795" s="14">
        <f>equip.xml!G1799</f>
        <v>90</v>
      </c>
      <c r="H1795" s="14" t="str">
        <f>equip.xml!H1799</f>
        <v>2,1002</v>
      </c>
      <c r="I1795" s="14">
        <f>equip.xml!J1799</f>
        <v>50</v>
      </c>
      <c r="J1795" s="14">
        <f>equip.xml!K1799</f>
        <v>500</v>
      </c>
      <c r="K1795" s="14">
        <f>equip.xml!L1799</f>
        <v>50000</v>
      </c>
      <c r="L1795" s="14" t="str">
        <f>equip.xml!M1799</f>
        <v>103_5719_5719,104_11438_11438</v>
      </c>
      <c r="M1795" s="17" t="str">
        <f>equip.xml!Q1799</f>
        <v>equipment/101201.png</v>
      </c>
      <c r="N1795" s="16" t="str">
        <f>equip.xml!P1799</f>
        <v>10000_1002_70000,30000_30001_1,30000_30002_1,30000_30003_1</v>
      </c>
      <c r="O1795">
        <f>equip.xml!R1799</f>
        <v>0</v>
      </c>
    </row>
    <row r="1796" spans="1:15">
      <c r="A1796" s="14">
        <f>equip.xml!A1800</f>
        <v>40902060</v>
      </c>
      <c r="B1796" s="14">
        <f>equip.xml!B1800</f>
        <v>1</v>
      </c>
      <c r="C1796" s="14" t="str">
        <f>equip.xml!C1800</f>
        <v>灵痕箭袋</v>
      </c>
      <c r="D1796" s="14" t="str">
        <f>equip.xml!D1800</f>
        <v>副手武器</v>
      </c>
      <c r="E1796" s="14">
        <f>equip.xml!E1800</f>
        <v>6</v>
      </c>
      <c r="F1796" s="14">
        <f>equip.xml!F1800</f>
        <v>4</v>
      </c>
      <c r="G1796" s="14">
        <f>equip.xml!G1800</f>
        <v>90</v>
      </c>
      <c r="H1796" s="14" t="str">
        <f>equip.xml!H1800</f>
        <v>2,1002</v>
      </c>
      <c r="I1796" s="14">
        <f>equip.xml!J1800</f>
        <v>50</v>
      </c>
      <c r="J1796" s="14">
        <f>equip.xml!K1800</f>
        <v>500</v>
      </c>
      <c r="K1796" s="14">
        <f>equip.xml!L1800</f>
        <v>47500</v>
      </c>
      <c r="L1796" s="14" t="str">
        <f>equip.xml!M1800</f>
        <v>108_4924_4924</v>
      </c>
      <c r="M1796" s="17" t="str">
        <f>equip.xml!Q1800</f>
        <v>equipment/2225.png</v>
      </c>
      <c r="N1796" s="16" t="str">
        <f>equip.xml!P1800</f>
        <v>10000_1002_70000,30000_30001_1,30000_30002_1,30000_30003_1</v>
      </c>
      <c r="O1796">
        <f>equip.xml!R1800</f>
        <v>0</v>
      </c>
    </row>
    <row r="1797" spans="1:15">
      <c r="A1797" s="14">
        <f>equip.xml!A1801</f>
        <v>40902061</v>
      </c>
      <c r="B1797" s="14">
        <f>equip.xml!B1801</f>
        <v>0</v>
      </c>
      <c r="C1797" s="14" t="str">
        <f>equip.xml!C1801</f>
        <v>星坠箭筒</v>
      </c>
      <c r="D1797" s="14" t="str">
        <f>equip.xml!D1801</f>
        <v>副手武器</v>
      </c>
      <c r="E1797" s="14">
        <f>equip.xml!E1801</f>
        <v>6</v>
      </c>
      <c r="F1797" s="14">
        <f>equip.xml!F1801</f>
        <v>4</v>
      </c>
      <c r="G1797" s="14">
        <f>equip.xml!G1801</f>
        <v>90</v>
      </c>
      <c r="H1797" s="14" t="str">
        <f>equip.xml!H1801</f>
        <v>2,1002</v>
      </c>
      <c r="I1797" s="14">
        <f>equip.xml!J1801</f>
        <v>50</v>
      </c>
      <c r="J1797" s="14">
        <f>equip.xml!K1801</f>
        <v>500</v>
      </c>
      <c r="K1797" s="14">
        <f>equip.xml!L1801</f>
        <v>50000</v>
      </c>
      <c r="L1797" s="14" t="str">
        <f>equip.xml!M1801</f>
        <v>108_5147_5147</v>
      </c>
      <c r="M1797" s="17" t="str">
        <f>equip.xml!Q1801</f>
        <v>equipment/2217.png</v>
      </c>
      <c r="N1797" s="16" t="str">
        <f>equip.xml!P1801</f>
        <v>10000_1002_70000,30000_30001_1,30000_30002_1,30000_30003_1</v>
      </c>
      <c r="O1797">
        <f>equip.xml!R1801</f>
        <v>0</v>
      </c>
    </row>
    <row r="1798" spans="1:15">
      <c r="A1798" s="14">
        <f>equip.xml!A1802</f>
        <v>40903050</v>
      </c>
      <c r="B1798" s="14">
        <f>equip.xml!B1802</f>
        <v>1</v>
      </c>
      <c r="C1798" s="14" t="str">
        <f>equip.xml!C1802</f>
        <v>观察者之杖</v>
      </c>
      <c r="D1798" s="14" t="str">
        <f>equip.xml!D1802</f>
        <v>主手武器</v>
      </c>
      <c r="E1798" s="14">
        <f>equip.xml!E1802</f>
        <v>5</v>
      </c>
      <c r="F1798" s="14">
        <f>equip.xml!F1802</f>
        <v>4</v>
      </c>
      <c r="G1798" s="14">
        <f>equip.xml!G1802</f>
        <v>90</v>
      </c>
      <c r="H1798" s="14" t="str">
        <f>equip.xml!H1802</f>
        <v>3,1003</v>
      </c>
      <c r="I1798" s="14">
        <f>equip.xml!J1802</f>
        <v>50</v>
      </c>
      <c r="J1798" s="14">
        <f>equip.xml!K1802</f>
        <v>500</v>
      </c>
      <c r="K1798" s="14">
        <f>equip.xml!L1802</f>
        <v>47500</v>
      </c>
      <c r="L1798" s="14" t="str">
        <f>equip.xml!M1802</f>
        <v>103_5471_5471,104_10942_10942</v>
      </c>
      <c r="M1798" s="17" t="str">
        <f>equip.xml!Q1802</f>
        <v>equipment/1330.png</v>
      </c>
      <c r="N1798" s="16" t="str">
        <f>equip.xml!P1802</f>
        <v>10000_1002_70000,30000_30001_1,30000_30002_1,30000_30003_1</v>
      </c>
      <c r="O1798">
        <f>equip.xml!R1802</f>
        <v>0</v>
      </c>
    </row>
    <row r="1799" spans="1:15">
      <c r="A1799" s="14">
        <f>equip.xml!A1803</f>
        <v>40903051</v>
      </c>
      <c r="B1799" s="14">
        <f>equip.xml!B1803</f>
        <v>0</v>
      </c>
      <c r="C1799" s="14" t="str">
        <f>equip.xml!C1803</f>
        <v>星辰权杖</v>
      </c>
      <c r="D1799" s="14" t="str">
        <f>equip.xml!D1803</f>
        <v>主手武器</v>
      </c>
      <c r="E1799" s="14">
        <f>equip.xml!E1803</f>
        <v>5</v>
      </c>
      <c r="F1799" s="14">
        <f>equip.xml!F1803</f>
        <v>4</v>
      </c>
      <c r="G1799" s="14">
        <f>equip.xml!G1803</f>
        <v>90</v>
      </c>
      <c r="H1799" s="14" t="str">
        <f>equip.xml!H1803</f>
        <v>3,1003</v>
      </c>
      <c r="I1799" s="14">
        <f>equip.xml!J1803</f>
        <v>50</v>
      </c>
      <c r="J1799" s="14">
        <f>equip.xml!K1803</f>
        <v>500</v>
      </c>
      <c r="K1799" s="14">
        <f>equip.xml!L1803</f>
        <v>50000</v>
      </c>
      <c r="L1799" s="14" t="str">
        <f>equip.xml!M1803</f>
        <v>103_5719_5719,104_11438_11438</v>
      </c>
      <c r="M1799" s="17" t="str">
        <f>equip.xml!Q1803</f>
        <v>equipment/1328.png</v>
      </c>
      <c r="N1799" s="16" t="str">
        <f>equip.xml!P1803</f>
        <v>10000_1002_70000,30000_30001_1,30000_30002_1,30000_30003_1</v>
      </c>
      <c r="O1799">
        <f>equip.xml!R1803</f>
        <v>0</v>
      </c>
    </row>
    <row r="1800" spans="1:15">
      <c r="A1800" s="14">
        <f>equip.xml!A1804</f>
        <v>40903060</v>
      </c>
      <c r="B1800" s="14">
        <f>equip.xml!B1804</f>
        <v>1</v>
      </c>
      <c r="C1800" s="14" t="str">
        <f>equip.xml!C1804</f>
        <v>云河指南</v>
      </c>
      <c r="D1800" s="14" t="str">
        <f>equip.xml!D1804</f>
        <v>副手武器</v>
      </c>
      <c r="E1800" s="14">
        <f>equip.xml!E1804</f>
        <v>6</v>
      </c>
      <c r="F1800" s="14">
        <f>equip.xml!F1804</f>
        <v>4</v>
      </c>
      <c r="G1800" s="14">
        <f>equip.xml!G1804</f>
        <v>90</v>
      </c>
      <c r="H1800" s="14" t="str">
        <f>equip.xml!H1804</f>
        <v>3,1003</v>
      </c>
      <c r="I1800" s="14">
        <f>equip.xml!J1804</f>
        <v>50</v>
      </c>
      <c r="J1800" s="14">
        <f>equip.xml!K1804</f>
        <v>500</v>
      </c>
      <c r="K1800" s="14">
        <f>equip.xml!L1804</f>
        <v>47500</v>
      </c>
      <c r="L1800" s="14" t="str">
        <f>equip.xml!M1804</f>
        <v>102_4040_4040</v>
      </c>
      <c r="M1800" s="17" t="str">
        <f>equip.xml!Q1804</f>
        <v>equipment/2325.png</v>
      </c>
      <c r="N1800" s="16" t="str">
        <f>equip.xml!P1804</f>
        <v>10000_1002_70000,30000_30001_1,30000_30002_1,30000_30003_1</v>
      </c>
      <c r="O1800">
        <f>equip.xml!R1804</f>
        <v>0</v>
      </c>
    </row>
    <row r="1801" spans="1:15">
      <c r="A1801" s="14">
        <f>equip.xml!A1805</f>
        <v>40903061</v>
      </c>
      <c r="B1801" s="14">
        <f>equip.xml!B1805</f>
        <v>0</v>
      </c>
      <c r="C1801" s="14" t="str">
        <f>equip.xml!C1805</f>
        <v>星界之书</v>
      </c>
      <c r="D1801" s="14" t="str">
        <f>equip.xml!D1805</f>
        <v>副手武器</v>
      </c>
      <c r="E1801" s="14">
        <f>equip.xml!E1805</f>
        <v>6</v>
      </c>
      <c r="F1801" s="14">
        <f>equip.xml!F1805</f>
        <v>4</v>
      </c>
      <c r="G1801" s="14">
        <f>equip.xml!G1805</f>
        <v>90</v>
      </c>
      <c r="H1801" s="14" t="str">
        <f>equip.xml!H1805</f>
        <v>3,1003</v>
      </c>
      <c r="I1801" s="14">
        <f>equip.xml!J1805</f>
        <v>50</v>
      </c>
      <c r="J1801" s="14">
        <f>equip.xml!K1805</f>
        <v>500</v>
      </c>
      <c r="K1801" s="14">
        <f>equip.xml!L1805</f>
        <v>50000</v>
      </c>
      <c r="L1801" s="14" t="str">
        <f>equip.xml!M1805</f>
        <v>102_4140_4140</v>
      </c>
      <c r="M1801" s="17" t="str">
        <f>equip.xml!Q1805</f>
        <v>equipment/2324.png</v>
      </c>
      <c r="N1801" s="16" t="str">
        <f>equip.xml!P1805</f>
        <v>10000_1002_70000,30000_30001_1,30000_30002_1,30000_30003_1</v>
      </c>
      <c r="O1801">
        <f>equip.xml!R1805</f>
        <v>0</v>
      </c>
    </row>
    <row r="1802" spans="1:15">
      <c r="A1802" s="14">
        <f>equip.xml!A1806</f>
        <v>40900040</v>
      </c>
      <c r="B1802" s="14">
        <f>equip.xml!B1806</f>
        <v>1</v>
      </c>
      <c r="C1802" s="14" t="str">
        <f>equip.xml!C1806</f>
        <v>坚毅胸甲</v>
      </c>
      <c r="D1802" s="14" t="str">
        <f>equip.xml!D1806</f>
        <v>胸甲</v>
      </c>
      <c r="E1802" s="14">
        <f>equip.xml!E1806</f>
        <v>4</v>
      </c>
      <c r="F1802" s="14">
        <f>equip.xml!F1806</f>
        <v>4</v>
      </c>
      <c r="G1802" s="14">
        <f>equip.xml!G1806</f>
        <v>90</v>
      </c>
      <c r="H1802" s="14">
        <f>equip.xml!H1806</f>
        <v>0</v>
      </c>
      <c r="I1802" s="14">
        <f>equip.xml!J1806</f>
        <v>50</v>
      </c>
      <c r="J1802" s="14">
        <f>equip.xml!K1806</f>
        <v>500</v>
      </c>
      <c r="K1802" s="14">
        <f>equip.xml!L1806</f>
        <v>47500</v>
      </c>
      <c r="L1802" s="14" t="str">
        <f>equip.xml!M1806</f>
        <v>105_3447_3447</v>
      </c>
      <c r="M1802" s="17" t="str">
        <f>equip.xml!Q1806</f>
        <v>equipment/5024.png</v>
      </c>
      <c r="N1802" s="16" t="str">
        <f>equip.xml!P1806</f>
        <v>10000_1002_70000,30000_30001_1,30000_30002_1,30000_30003_1</v>
      </c>
      <c r="O1802">
        <f>equip.xml!R1806</f>
        <v>0</v>
      </c>
    </row>
    <row r="1803" spans="1:15">
      <c r="A1803" s="14">
        <f>equip.xml!A1807</f>
        <v>40900041</v>
      </c>
      <c r="B1803" s="14">
        <f>equip.xml!B1807</f>
        <v>0</v>
      </c>
      <c r="C1803" s="14" t="str">
        <f>equip.xml!C1807</f>
        <v>群山之拥</v>
      </c>
      <c r="D1803" s="14" t="str">
        <f>equip.xml!D1807</f>
        <v>胸甲</v>
      </c>
      <c r="E1803" s="14">
        <f>equip.xml!E1807</f>
        <v>4</v>
      </c>
      <c r="F1803" s="14">
        <f>equip.xml!F1807</f>
        <v>4</v>
      </c>
      <c r="G1803" s="14">
        <f>equip.xml!G1807</f>
        <v>90</v>
      </c>
      <c r="H1803" s="14">
        <f>equip.xml!H1807</f>
        <v>0</v>
      </c>
      <c r="I1803" s="14">
        <f>equip.xml!J1807</f>
        <v>50</v>
      </c>
      <c r="J1803" s="14">
        <f>equip.xml!K1807</f>
        <v>500</v>
      </c>
      <c r="K1803" s="14">
        <f>equip.xml!L1807</f>
        <v>50000</v>
      </c>
      <c r="L1803" s="14" t="str">
        <f>equip.xml!M1807</f>
        <v>105_3603_3603</v>
      </c>
      <c r="M1803" s="17" t="str">
        <f>equip.xml!Q1807</f>
        <v>equipment/5001.png</v>
      </c>
      <c r="N1803" s="16" t="str">
        <f>equip.xml!P1807</f>
        <v>10000_1002_70000,30000_30001_1,30000_30002_1,30000_30003_1</v>
      </c>
      <c r="O1803">
        <f>equip.xml!R1807</f>
        <v>0</v>
      </c>
    </row>
    <row r="1804" spans="1:15">
      <c r="A1804" s="14">
        <f>equip.xml!A1808</f>
        <v>40900070</v>
      </c>
      <c r="B1804" s="14">
        <f>equip.xml!B1808</f>
        <v>1</v>
      </c>
      <c r="C1804" s="14" t="str">
        <f>equip.xml!C1808</f>
        <v>复苏护腿</v>
      </c>
      <c r="D1804" s="14" t="str">
        <f>equip.xml!D1808</f>
        <v>护腿</v>
      </c>
      <c r="E1804" s="14">
        <f>equip.xml!E1808</f>
        <v>7</v>
      </c>
      <c r="F1804" s="14">
        <f>equip.xml!F1808</f>
        <v>4</v>
      </c>
      <c r="G1804" s="14">
        <f>equip.xml!G1808</f>
        <v>90</v>
      </c>
      <c r="H1804" s="14">
        <f>equip.xml!H1808</f>
        <v>0</v>
      </c>
      <c r="I1804" s="14">
        <f>equip.xml!J1808</f>
        <v>50</v>
      </c>
      <c r="J1804" s="14">
        <f>equip.xml!K1808</f>
        <v>500</v>
      </c>
      <c r="K1804" s="14">
        <f>equip.xml!L1808</f>
        <v>47500</v>
      </c>
      <c r="L1804" s="14" t="str">
        <f>equip.xml!M1808</f>
        <v>105_3447_3447</v>
      </c>
      <c r="M1804" s="17" t="str">
        <f>equip.xml!Q1808</f>
        <v>equipment/7016.png</v>
      </c>
      <c r="N1804" s="16" t="str">
        <f>equip.xml!P1808</f>
        <v>10000_1002_70000,30000_30001_1,30000_30002_1,30000_30003_1</v>
      </c>
      <c r="O1804">
        <f>equip.xml!R1808</f>
        <v>0</v>
      </c>
    </row>
    <row r="1805" spans="1:15">
      <c r="A1805" s="14">
        <f>equip.xml!A1809</f>
        <v>40900071</v>
      </c>
      <c r="B1805" s="14">
        <f>equip.xml!B1809</f>
        <v>0</v>
      </c>
      <c r="C1805" s="14" t="str">
        <f>equip.xml!C1809</f>
        <v>虔信腿甲</v>
      </c>
      <c r="D1805" s="14" t="str">
        <f>equip.xml!D1809</f>
        <v>护腿</v>
      </c>
      <c r="E1805" s="14">
        <f>equip.xml!E1809</f>
        <v>7</v>
      </c>
      <c r="F1805" s="14">
        <f>equip.xml!F1809</f>
        <v>4</v>
      </c>
      <c r="G1805" s="14">
        <f>equip.xml!G1809</f>
        <v>90</v>
      </c>
      <c r="H1805" s="14">
        <f>equip.xml!H1809</f>
        <v>0</v>
      </c>
      <c r="I1805" s="14">
        <f>equip.xml!J1809</f>
        <v>50</v>
      </c>
      <c r="J1805" s="14">
        <f>equip.xml!K1809</f>
        <v>500</v>
      </c>
      <c r="K1805" s="14">
        <f>equip.xml!L1809</f>
        <v>50000</v>
      </c>
      <c r="L1805" s="14" t="str">
        <f>equip.xml!M1809</f>
        <v>105_3603_3603</v>
      </c>
      <c r="M1805" s="17" t="str">
        <f>equip.xml!Q1809</f>
        <v>equipment/7001.png</v>
      </c>
      <c r="N1805" s="16" t="str">
        <f>equip.xml!P1809</f>
        <v>10000_1002_70000,30000_30001_1,30000_30002_1,30000_30003_1</v>
      </c>
      <c r="O1805">
        <f>equip.xml!R1809</f>
        <v>0</v>
      </c>
    </row>
    <row r="1806" spans="1:15">
      <c r="A1806" s="14">
        <f>equip.xml!A1810</f>
        <v>40950010</v>
      </c>
      <c r="B1806" s="14">
        <f>equip.xml!B1810</f>
        <v>1</v>
      </c>
      <c r="C1806" s="14" t="str">
        <f>equip.xml!C1810</f>
        <v>魂铸头盔</v>
      </c>
      <c r="D1806" s="14" t="str">
        <f>equip.xml!D1810</f>
        <v>头盔</v>
      </c>
      <c r="E1806" s="14">
        <f>equip.xml!E1810</f>
        <v>1</v>
      </c>
      <c r="F1806" s="14">
        <f>equip.xml!F1810</f>
        <v>4</v>
      </c>
      <c r="G1806" s="14">
        <f>equip.xml!G1810</f>
        <v>95</v>
      </c>
      <c r="H1806" s="14">
        <f>equip.xml!H1810</f>
        <v>0</v>
      </c>
      <c r="I1806" s="14">
        <f>equip.xml!J1810</f>
        <v>50</v>
      </c>
      <c r="J1806" s="14">
        <f>equip.xml!K1810</f>
        <v>500</v>
      </c>
      <c r="K1806" s="14">
        <f>equip.xml!L1810</f>
        <v>50000</v>
      </c>
      <c r="L1806" s="14" t="str">
        <f>equip.xml!M1810</f>
        <v>106_5346_5346</v>
      </c>
      <c r="M1806" s="17" t="str">
        <f>equip.xml!Q1810</f>
        <v>equipment/3001.png</v>
      </c>
      <c r="N1806" s="16" t="str">
        <f>equip.xml!P1810</f>
        <v>10000_1002_70000,30000_30001_1,30000_30002_1,30000_30003_1</v>
      </c>
      <c r="O1806">
        <f>equip.xml!R1810</f>
        <v>0</v>
      </c>
    </row>
    <row r="1807" spans="1:15">
      <c r="A1807" s="14">
        <f>equip.xml!A1811</f>
        <v>40950020</v>
      </c>
      <c r="B1807" s="14">
        <f>equip.xml!B1811</f>
        <v>1</v>
      </c>
      <c r="C1807" s="14" t="str">
        <f>equip.xml!C1811</f>
        <v>云霄之环</v>
      </c>
      <c r="D1807" s="14" t="str">
        <f>equip.xml!D1811</f>
        <v>戒指</v>
      </c>
      <c r="E1807" s="14">
        <f>equip.xml!E1811</f>
        <v>2</v>
      </c>
      <c r="F1807" s="14">
        <f>equip.xml!F1811</f>
        <v>4</v>
      </c>
      <c r="G1807" s="14">
        <f>equip.xml!G1811</f>
        <v>95</v>
      </c>
      <c r="H1807" s="14">
        <f>equip.xml!H1811</f>
        <v>0</v>
      </c>
      <c r="I1807" s="14">
        <f>equip.xml!J1811</f>
        <v>50</v>
      </c>
      <c r="J1807" s="14">
        <f>equip.xml!K1811</f>
        <v>500</v>
      </c>
      <c r="K1807" s="14">
        <f>equip.xml!L1811</f>
        <v>50000</v>
      </c>
      <c r="L1807" s="14" t="str">
        <f>equip.xml!M1811</f>
        <v>102_2240_2240</v>
      </c>
      <c r="M1807" s="17" t="str">
        <f>equip.xml!Q1811</f>
        <v>equipment/14001.png</v>
      </c>
      <c r="N1807" s="16" t="str">
        <f>equip.xml!P1811</f>
        <v>10000_1002_70000,30000_30001_1,30000_30002_1,30000_30003_1</v>
      </c>
      <c r="O1807">
        <f>equip.xml!R1811</f>
        <v>0</v>
      </c>
    </row>
    <row r="1808" spans="1:15">
      <c r="A1808" s="14">
        <f>equip.xml!A1812</f>
        <v>40950030</v>
      </c>
      <c r="B1808" s="14">
        <f>equip.xml!B1812</f>
        <v>1</v>
      </c>
      <c r="C1808" s="14" t="str">
        <f>equip.xml!C1812</f>
        <v>破天者腰带</v>
      </c>
      <c r="D1808" s="14" t="str">
        <f>equip.xml!D1812</f>
        <v>腰带</v>
      </c>
      <c r="E1808" s="14">
        <f>equip.xml!E1812</f>
        <v>3</v>
      </c>
      <c r="F1808" s="14">
        <f>equip.xml!F1812</f>
        <v>4</v>
      </c>
      <c r="G1808" s="14">
        <f>equip.xml!G1812</f>
        <v>95</v>
      </c>
      <c r="H1808" s="14">
        <f>equip.xml!H1812</f>
        <v>0</v>
      </c>
      <c r="I1808" s="14">
        <f>equip.xml!J1812</f>
        <v>50</v>
      </c>
      <c r="J1808" s="14">
        <f>equip.xml!K1812</f>
        <v>500</v>
      </c>
      <c r="K1808" s="14">
        <f>equip.xml!L1812</f>
        <v>50000</v>
      </c>
      <c r="L1808" s="14" t="str">
        <f>equip.xml!M1812</f>
        <v>101_32760_32760</v>
      </c>
      <c r="M1808" s="17" t="str">
        <f>equip.xml!Q1812</f>
        <v>equipment/6001.png</v>
      </c>
      <c r="N1808" s="16" t="str">
        <f>equip.xml!P1812</f>
        <v>10000_1002_70000,30000_30001_1,30000_30002_1,30000_30003_1</v>
      </c>
      <c r="O1808">
        <f>equip.xml!R1812</f>
        <v>0</v>
      </c>
    </row>
    <row r="1809" spans="1:15">
      <c r="A1809" s="14">
        <f>equip.xml!A1813</f>
        <v>40950080</v>
      </c>
      <c r="B1809" s="14">
        <f>equip.xml!B1813</f>
        <v>1</v>
      </c>
      <c r="C1809" s="14" t="str">
        <f>equip.xml!C1813</f>
        <v>圣洁怒火之靴</v>
      </c>
      <c r="D1809" s="14" t="str">
        <f>equip.xml!D1813</f>
        <v>鞋子</v>
      </c>
      <c r="E1809" s="14">
        <f>equip.xml!E1813</f>
        <v>8</v>
      </c>
      <c r="F1809" s="14">
        <f>equip.xml!F1813</f>
        <v>4</v>
      </c>
      <c r="G1809" s="14">
        <f>equip.xml!G1813</f>
        <v>95</v>
      </c>
      <c r="H1809" s="14">
        <f>equip.xml!H1813</f>
        <v>0</v>
      </c>
      <c r="I1809" s="14">
        <f>equip.xml!J1813</f>
        <v>50</v>
      </c>
      <c r="J1809" s="14">
        <f>equip.xml!K1813</f>
        <v>500</v>
      </c>
      <c r="K1809" s="14">
        <f>equip.xml!L1813</f>
        <v>50000</v>
      </c>
      <c r="L1809" s="14" t="str">
        <f>equip.xml!M1813</f>
        <v>110_786_786</v>
      </c>
      <c r="M1809" s="17" t="str">
        <f>equip.xml!Q1813</f>
        <v>equipment/8001.png</v>
      </c>
      <c r="N1809" s="16" t="str">
        <f>equip.xml!P1813</f>
        <v>10000_1002_70000,30000_30001_1,30000_30002_1,30000_30003_1</v>
      </c>
      <c r="O1809">
        <f>equip.xml!R1813</f>
        <v>0</v>
      </c>
    </row>
    <row r="1810" spans="1:15">
      <c r="A1810" s="14">
        <f>equip.xml!A1814</f>
        <v>40950090</v>
      </c>
      <c r="B1810" s="14">
        <f>equip.xml!B1814</f>
        <v>1</v>
      </c>
      <c r="C1810" s="14" t="str">
        <f>equip.xml!C1814</f>
        <v>破灭之手</v>
      </c>
      <c r="D1810" s="14" t="str">
        <f>equip.xml!D1814</f>
        <v>手套</v>
      </c>
      <c r="E1810" s="14">
        <f>equip.xml!E1814</f>
        <v>9</v>
      </c>
      <c r="F1810" s="14">
        <f>equip.xml!F1814</f>
        <v>4</v>
      </c>
      <c r="G1810" s="14">
        <f>equip.xml!G1814</f>
        <v>95</v>
      </c>
      <c r="H1810" s="14">
        <f>equip.xml!H1814</f>
        <v>0</v>
      </c>
      <c r="I1810" s="14">
        <f>equip.xml!J1814</f>
        <v>50</v>
      </c>
      <c r="J1810" s="14">
        <f>equip.xml!K1814</f>
        <v>500</v>
      </c>
      <c r="K1810" s="14">
        <f>equip.xml!L1814</f>
        <v>50000</v>
      </c>
      <c r="L1810" s="14" t="str">
        <f>equip.xml!M1814</f>
        <v>108_6853_6853</v>
      </c>
      <c r="M1810" s="17" t="str">
        <f>equip.xml!Q1814</f>
        <v>equipment/10001.png</v>
      </c>
      <c r="N1810" s="16" t="str">
        <f>equip.xml!P1814</f>
        <v>10000_1002_70000,30000_30001_1,30000_30002_1,30000_30003_1</v>
      </c>
      <c r="O1810">
        <f>equip.xml!R1814</f>
        <v>0</v>
      </c>
    </row>
    <row r="1811" spans="1:15">
      <c r="A1811" s="14">
        <f>equip.xml!A1815</f>
        <v>40950100</v>
      </c>
      <c r="B1811" s="14">
        <f>equip.xml!B1815</f>
        <v>1</v>
      </c>
      <c r="C1811" s="14" t="str">
        <f>equip.xml!C1815</f>
        <v>圣灵之佑</v>
      </c>
      <c r="D1811" s="14" t="str">
        <f>equip.xml!D1815</f>
        <v>项链</v>
      </c>
      <c r="E1811" s="14">
        <f>equip.xml!E1815</f>
        <v>10</v>
      </c>
      <c r="F1811" s="14">
        <f>equip.xml!F1815</f>
        <v>4</v>
      </c>
      <c r="G1811" s="14">
        <f>equip.xml!G1815</f>
        <v>95</v>
      </c>
      <c r="H1811" s="14">
        <f>equip.xml!H1815</f>
        <v>0</v>
      </c>
      <c r="I1811" s="14">
        <f>equip.xml!J1815</f>
        <v>50</v>
      </c>
      <c r="J1811" s="14">
        <f>equip.xml!K1815</f>
        <v>500</v>
      </c>
      <c r="K1811" s="14">
        <f>equip.xml!L1815</f>
        <v>50000</v>
      </c>
      <c r="L1811" s="14" t="str">
        <f>equip.xml!M1815</f>
        <v>107_5346_5346</v>
      </c>
      <c r="M1811" s="17" t="str">
        <f>equip.xml!Q1815</f>
        <v>equipment/12001.png</v>
      </c>
      <c r="N1811" s="16" t="str">
        <f>equip.xml!P1815</f>
        <v>10000_1002_70000,30000_30001_1,30000_30002_1,30000_30003_1</v>
      </c>
      <c r="O1811">
        <f>equip.xml!R1815</f>
        <v>0</v>
      </c>
    </row>
    <row r="1812" spans="1:15">
      <c r="A1812" s="14">
        <f>equip.xml!A1816</f>
        <v>40951050</v>
      </c>
      <c r="B1812" s="14">
        <f>equip.xml!B1816</f>
        <v>1</v>
      </c>
      <c r="C1812" s="14" t="str">
        <f>equip.xml!C1816</f>
        <v>云颠之剑</v>
      </c>
      <c r="D1812" s="14" t="str">
        <f>equip.xml!D1816</f>
        <v>主手武器</v>
      </c>
      <c r="E1812" s="14">
        <f>equip.xml!E1816</f>
        <v>5</v>
      </c>
      <c r="F1812" s="14">
        <f>equip.xml!F1816</f>
        <v>4</v>
      </c>
      <c r="G1812" s="14">
        <f>equip.xml!G1816</f>
        <v>95</v>
      </c>
      <c r="H1812" s="14" t="str">
        <f>equip.xml!H1816</f>
        <v>1,1001</v>
      </c>
      <c r="I1812" s="14">
        <f>equip.xml!J1816</f>
        <v>50</v>
      </c>
      <c r="J1812" s="14">
        <f>equip.xml!K1816</f>
        <v>500</v>
      </c>
      <c r="K1812" s="14">
        <f>equip.xml!L1816</f>
        <v>50000</v>
      </c>
      <c r="L1812" s="14" t="str">
        <f>equip.xml!M1816</f>
        <v>103_6091_6091,104_12182_12182</v>
      </c>
      <c r="M1812" s="17" t="str">
        <f>equip.xml!Q1816</f>
        <v>equipment/1124.png</v>
      </c>
      <c r="N1812" s="16" t="str">
        <f>equip.xml!P1816</f>
        <v>10000_1002_70000,30000_30001_1,30000_30002_1,30000_30003_1</v>
      </c>
      <c r="O1812">
        <f>equip.xml!R1816</f>
        <v>0</v>
      </c>
    </row>
    <row r="1813" spans="1:15">
      <c r="A1813" s="14">
        <f>equip.xml!A1817</f>
        <v>40951051</v>
      </c>
      <c r="B1813" s="14">
        <f>equip.xml!B1817</f>
        <v>0</v>
      </c>
      <c r="C1813" s="14" t="str">
        <f>equip.xml!C1817</f>
        <v>血色黎明</v>
      </c>
      <c r="D1813" s="14" t="str">
        <f>equip.xml!D1817</f>
        <v>主手武器</v>
      </c>
      <c r="E1813" s="14">
        <f>equip.xml!E1817</f>
        <v>5</v>
      </c>
      <c r="F1813" s="14">
        <f>equip.xml!F1817</f>
        <v>4</v>
      </c>
      <c r="G1813" s="14">
        <f>equip.xml!G1817</f>
        <v>95</v>
      </c>
      <c r="H1813" s="14" t="str">
        <f>equip.xml!H1817</f>
        <v>1,1001</v>
      </c>
      <c r="I1813" s="14">
        <f>equip.xml!J1817</f>
        <v>50</v>
      </c>
      <c r="J1813" s="14">
        <f>equip.xml!K1817</f>
        <v>500</v>
      </c>
      <c r="K1813" s="14">
        <f>equip.xml!L1817</f>
        <v>52500</v>
      </c>
      <c r="L1813" s="14" t="str">
        <f>equip.xml!M1817</f>
        <v>103_6352_6352,104_12705_12705</v>
      </c>
      <c r="M1813" s="17" t="str">
        <f>equip.xml!Q1817</f>
        <v>equipment/1101.png</v>
      </c>
      <c r="N1813" s="16" t="str">
        <f>equip.xml!P1817</f>
        <v>10000_1002_70000,30000_30001_1,30000_30002_1,30000_30003_1</v>
      </c>
      <c r="O1813">
        <f>equip.xml!R1817</f>
        <v>0</v>
      </c>
    </row>
    <row r="1814" spans="1:15">
      <c r="A1814" s="14">
        <f>equip.xml!A1818</f>
        <v>40951060</v>
      </c>
      <c r="B1814" s="14">
        <f>equip.xml!B1818</f>
        <v>1</v>
      </c>
      <c r="C1814" s="14" t="str">
        <f>equip.xml!C1818</f>
        <v>荣耀壁垒</v>
      </c>
      <c r="D1814" s="14" t="str">
        <f>equip.xml!D1818</f>
        <v>副手武器</v>
      </c>
      <c r="E1814" s="14">
        <f>equip.xml!E1818</f>
        <v>6</v>
      </c>
      <c r="F1814" s="14">
        <f>equip.xml!F1818</f>
        <v>4</v>
      </c>
      <c r="G1814" s="14">
        <f>equip.xml!G1818</f>
        <v>95</v>
      </c>
      <c r="H1814" s="14" t="str">
        <f>equip.xml!H1818</f>
        <v>1,1001</v>
      </c>
      <c r="I1814" s="14">
        <f>equip.xml!J1818</f>
        <v>50</v>
      </c>
      <c r="J1814" s="14">
        <f>equip.xml!K1818</f>
        <v>500</v>
      </c>
      <c r="K1814" s="14">
        <f>equip.xml!L1818</f>
        <v>50000</v>
      </c>
      <c r="L1814" s="14" t="str">
        <f>equip.xml!M1818</f>
        <v>105_5482_5482</v>
      </c>
      <c r="M1814" s="17" t="str">
        <f>equip.xml!Q1818</f>
        <v>equipment/2118.png</v>
      </c>
      <c r="N1814" s="16" t="str">
        <f>equip.xml!P1818</f>
        <v>10000_1002_70000,30000_30001_1,30000_30002_1,30000_30003_1</v>
      </c>
      <c r="O1814">
        <f>equip.xml!R1818</f>
        <v>0</v>
      </c>
    </row>
    <row r="1815" spans="1:15">
      <c r="A1815" s="14">
        <f>equip.xml!A1819</f>
        <v>40951061</v>
      </c>
      <c r="B1815" s="14">
        <f>equip.xml!B1819</f>
        <v>0</v>
      </c>
      <c r="C1815" s="14" t="str">
        <f>equip.xml!C1819</f>
        <v>曙光之盾</v>
      </c>
      <c r="D1815" s="14" t="str">
        <f>equip.xml!D1819</f>
        <v>副手武器</v>
      </c>
      <c r="E1815" s="14">
        <f>equip.xml!E1819</f>
        <v>6</v>
      </c>
      <c r="F1815" s="14">
        <f>equip.xml!F1819</f>
        <v>4</v>
      </c>
      <c r="G1815" s="14">
        <f>equip.xml!G1819</f>
        <v>95</v>
      </c>
      <c r="H1815" s="14" t="str">
        <f>equip.xml!H1819</f>
        <v>1,1001</v>
      </c>
      <c r="I1815" s="14">
        <f>equip.xml!J1819</f>
        <v>50</v>
      </c>
      <c r="J1815" s="14">
        <f>equip.xml!K1819</f>
        <v>500</v>
      </c>
      <c r="K1815" s="14">
        <f>equip.xml!L1819</f>
        <v>52500</v>
      </c>
      <c r="L1815" s="14" t="str">
        <f>equip.xml!M1819</f>
        <v>105_5717_5717</v>
      </c>
      <c r="M1815" s="17" t="str">
        <f>equip.xml!Q1819</f>
        <v>equipment/2101.png</v>
      </c>
      <c r="N1815" s="16" t="str">
        <f>equip.xml!P1819</f>
        <v>10000_1002_70000,30000_30001_1,30000_30002_1,30000_30003_1</v>
      </c>
      <c r="O1815">
        <f>equip.xml!R1819</f>
        <v>0</v>
      </c>
    </row>
    <row r="1816" spans="1:15">
      <c r="A1816" s="14">
        <f>equip.xml!A1820</f>
        <v>40952050</v>
      </c>
      <c r="B1816" s="14">
        <f>equip.xml!B1820</f>
        <v>1</v>
      </c>
      <c r="C1816" s="14" t="str">
        <f>equip.xml!C1820</f>
        <v>灵魂之弦</v>
      </c>
      <c r="D1816" s="14" t="str">
        <f>equip.xml!D1820</f>
        <v>主手武器</v>
      </c>
      <c r="E1816" s="14">
        <f>equip.xml!E1820</f>
        <v>5</v>
      </c>
      <c r="F1816" s="14">
        <f>equip.xml!F1820</f>
        <v>4</v>
      </c>
      <c r="G1816" s="14">
        <f>equip.xml!G1820</f>
        <v>95</v>
      </c>
      <c r="H1816" s="14" t="str">
        <f>equip.xml!H1820</f>
        <v>2,1002</v>
      </c>
      <c r="I1816" s="14">
        <f>equip.xml!J1820</f>
        <v>50</v>
      </c>
      <c r="J1816" s="14">
        <f>equip.xml!K1820</f>
        <v>500</v>
      </c>
      <c r="K1816" s="14">
        <f>equip.xml!L1820</f>
        <v>50000</v>
      </c>
      <c r="L1816" s="14" t="str">
        <f>equip.xml!M1820</f>
        <v>103_6091_6091,104_12182_12182</v>
      </c>
      <c r="M1816" s="17" t="str">
        <f>equip.xml!Q1820</f>
        <v>equipment/1222.png</v>
      </c>
      <c r="N1816" s="16" t="str">
        <f>equip.xml!P1820</f>
        <v>10000_1002_70000,30000_30001_1,30000_30002_1,30000_30003_1</v>
      </c>
      <c r="O1816">
        <f>equip.xml!R1820</f>
        <v>0</v>
      </c>
    </row>
    <row r="1817" spans="1:15">
      <c r="A1817" s="14">
        <f>equip.xml!A1821</f>
        <v>40952051</v>
      </c>
      <c r="B1817" s="14">
        <f>equip.xml!B1821</f>
        <v>0</v>
      </c>
      <c r="C1817" s="14" t="str">
        <f>equip.xml!C1821</f>
        <v>风暴凝视</v>
      </c>
      <c r="D1817" s="14" t="str">
        <f>equip.xml!D1821</f>
        <v>主手武器</v>
      </c>
      <c r="E1817" s="14">
        <f>equip.xml!E1821</f>
        <v>5</v>
      </c>
      <c r="F1817" s="14">
        <f>equip.xml!F1821</f>
        <v>4</v>
      </c>
      <c r="G1817" s="14">
        <f>equip.xml!G1821</f>
        <v>95</v>
      </c>
      <c r="H1817" s="14" t="str">
        <f>equip.xml!H1821</f>
        <v>2,1002</v>
      </c>
      <c r="I1817" s="14">
        <f>equip.xml!J1821</f>
        <v>50</v>
      </c>
      <c r="J1817" s="14">
        <f>equip.xml!K1821</f>
        <v>500</v>
      </c>
      <c r="K1817" s="14">
        <f>equip.xml!L1821</f>
        <v>52500</v>
      </c>
      <c r="L1817" s="14" t="str">
        <f>equip.xml!M1821</f>
        <v>103_6352_6352,104_12705_12705</v>
      </c>
      <c r="M1817" s="17" t="str">
        <f>equip.xml!Q1821</f>
        <v>equipment/1201.png</v>
      </c>
      <c r="N1817" s="16" t="str">
        <f>equip.xml!P1821</f>
        <v>10000_1002_70000,30000_30001_1,30000_30002_1,30000_30003_1</v>
      </c>
      <c r="O1817">
        <f>equip.xml!R1821</f>
        <v>0</v>
      </c>
    </row>
    <row r="1818" spans="1:15">
      <c r="A1818" s="14">
        <f>equip.xml!A1822</f>
        <v>40952060</v>
      </c>
      <c r="B1818" s="14">
        <f>equip.xml!B1822</f>
        <v>1</v>
      </c>
      <c r="C1818" s="14" t="str">
        <f>equip.xml!C1822</f>
        <v>魂织箭袋</v>
      </c>
      <c r="D1818" s="14" t="str">
        <f>equip.xml!D1822</f>
        <v>副手武器</v>
      </c>
      <c r="E1818" s="14">
        <f>equip.xml!E1822</f>
        <v>6</v>
      </c>
      <c r="F1818" s="14">
        <f>equip.xml!F1822</f>
        <v>4</v>
      </c>
      <c r="G1818" s="14">
        <f>equip.xml!G1822</f>
        <v>95</v>
      </c>
      <c r="H1818" s="14" t="str">
        <f>equip.xml!H1822</f>
        <v>2,1002</v>
      </c>
      <c r="I1818" s="14">
        <f>equip.xml!J1822</f>
        <v>50</v>
      </c>
      <c r="J1818" s="14">
        <f>equip.xml!K1822</f>
        <v>500</v>
      </c>
      <c r="K1818" s="14">
        <f>equip.xml!L1822</f>
        <v>50000</v>
      </c>
      <c r="L1818" s="14" t="str">
        <f>equip.xml!M1822</f>
        <v>108_5482_5482</v>
      </c>
      <c r="M1818" s="17" t="str">
        <f>equip.xml!Q1822</f>
        <v>equipment/2218.png</v>
      </c>
      <c r="N1818" s="16" t="str">
        <f>equip.xml!P1822</f>
        <v>10000_1002_70000,30000_30001_1,30000_30002_1,30000_30003_1</v>
      </c>
      <c r="O1818">
        <f>equip.xml!R1822</f>
        <v>0</v>
      </c>
    </row>
    <row r="1819" spans="1:15">
      <c r="A1819" s="14">
        <f>equip.xml!A1823</f>
        <v>40952061</v>
      </c>
      <c r="B1819" s="14">
        <f>equip.xml!B1823</f>
        <v>0</v>
      </c>
      <c r="C1819" s="14" t="str">
        <f>equip.xml!C1823</f>
        <v>闪电之矢</v>
      </c>
      <c r="D1819" s="14" t="str">
        <f>equip.xml!D1823</f>
        <v>副手武器</v>
      </c>
      <c r="E1819" s="14">
        <f>equip.xml!E1823</f>
        <v>6</v>
      </c>
      <c r="F1819" s="14">
        <f>equip.xml!F1823</f>
        <v>4</v>
      </c>
      <c r="G1819" s="14">
        <f>equip.xml!G1823</f>
        <v>95</v>
      </c>
      <c r="H1819" s="14" t="str">
        <f>equip.xml!H1823</f>
        <v>2,1002</v>
      </c>
      <c r="I1819" s="14">
        <f>equip.xml!J1823</f>
        <v>50</v>
      </c>
      <c r="J1819" s="14">
        <f>equip.xml!K1823</f>
        <v>500</v>
      </c>
      <c r="K1819" s="14">
        <f>equip.xml!L1823</f>
        <v>52500</v>
      </c>
      <c r="L1819" s="14" t="str">
        <f>equip.xml!M1823</f>
        <v>108_5717_5717</v>
      </c>
      <c r="M1819" s="17" t="str">
        <f>equip.xml!Q1823</f>
        <v>equipment/2201.png</v>
      </c>
      <c r="N1819" s="16" t="str">
        <f>equip.xml!P1823</f>
        <v>10000_1002_70000,30000_30001_1,30000_30002_1,30000_30003_1</v>
      </c>
      <c r="O1819">
        <f>equip.xml!R1823</f>
        <v>0</v>
      </c>
    </row>
    <row r="1820" spans="1:15">
      <c r="A1820" s="14">
        <f>equip.xml!A1824</f>
        <v>40953050</v>
      </c>
      <c r="B1820" s="14">
        <f>equip.xml!B1824</f>
        <v>1</v>
      </c>
      <c r="C1820" s="14" t="str">
        <f>equip.xml!C1824</f>
        <v>歼灭之杖</v>
      </c>
      <c r="D1820" s="14" t="str">
        <f>equip.xml!D1824</f>
        <v>主手武器</v>
      </c>
      <c r="E1820" s="14">
        <f>equip.xml!E1824</f>
        <v>5</v>
      </c>
      <c r="F1820" s="14">
        <f>equip.xml!F1824</f>
        <v>4</v>
      </c>
      <c r="G1820" s="14">
        <f>equip.xml!G1824</f>
        <v>95</v>
      </c>
      <c r="H1820" s="14" t="str">
        <f>equip.xml!H1824</f>
        <v>3,1003</v>
      </c>
      <c r="I1820" s="14">
        <f>equip.xml!J1824</f>
        <v>50</v>
      </c>
      <c r="J1820" s="14">
        <f>equip.xml!K1824</f>
        <v>500</v>
      </c>
      <c r="K1820" s="14">
        <f>equip.xml!L1824</f>
        <v>50000</v>
      </c>
      <c r="L1820" s="14" t="str">
        <f>equip.xml!M1824</f>
        <v>103_6091_6091,104_12182_12182</v>
      </c>
      <c r="M1820" s="17" t="str">
        <f>equip.xml!Q1824</f>
        <v>equipment/1324.png</v>
      </c>
      <c r="N1820" s="16" t="str">
        <f>equip.xml!P1824</f>
        <v>10000_1002_70000,30000_30001_1,30000_30002_1,30000_30003_1</v>
      </c>
      <c r="O1820">
        <f>equip.xml!R1824</f>
        <v>0</v>
      </c>
    </row>
    <row r="1821" spans="1:15">
      <c r="A1821" s="14">
        <f>equip.xml!A1825</f>
        <v>40953051</v>
      </c>
      <c r="B1821" s="14">
        <f>equip.xml!B1825</f>
        <v>0</v>
      </c>
      <c r="C1821" s="14" t="str">
        <f>equip.xml!C1825</f>
        <v>末日降临</v>
      </c>
      <c r="D1821" s="14" t="str">
        <f>equip.xml!D1825</f>
        <v>主手武器</v>
      </c>
      <c r="E1821" s="14">
        <f>equip.xml!E1825</f>
        <v>5</v>
      </c>
      <c r="F1821" s="14">
        <f>equip.xml!F1825</f>
        <v>4</v>
      </c>
      <c r="G1821" s="14">
        <f>equip.xml!G1825</f>
        <v>95</v>
      </c>
      <c r="H1821" s="14" t="str">
        <f>equip.xml!H1825</f>
        <v>3,1003</v>
      </c>
      <c r="I1821" s="14">
        <f>equip.xml!J1825</f>
        <v>50</v>
      </c>
      <c r="J1821" s="14">
        <f>equip.xml!K1825</f>
        <v>500</v>
      </c>
      <c r="K1821" s="14">
        <f>equip.xml!L1825</f>
        <v>52500</v>
      </c>
      <c r="L1821" s="14" t="str">
        <f>equip.xml!M1825</f>
        <v>103_6352_6352,104_12705_12705</v>
      </c>
      <c r="M1821" s="17" t="str">
        <f>equip.xml!Q1825</f>
        <v>equipment/1301.png</v>
      </c>
      <c r="N1821" s="16" t="str">
        <f>equip.xml!P1825</f>
        <v>10000_1002_70000,30000_30001_1,30000_30002_1,30000_30003_1</v>
      </c>
      <c r="O1821">
        <f>equip.xml!R1825</f>
        <v>0</v>
      </c>
    </row>
    <row r="1822" spans="1:15">
      <c r="A1822" s="14">
        <f>equip.xml!A1826</f>
        <v>40953060</v>
      </c>
      <c r="B1822" s="14">
        <f>equip.xml!B1826</f>
        <v>1</v>
      </c>
      <c r="C1822" s="14" t="str">
        <f>equip.xml!C1826</f>
        <v>聚能魔典</v>
      </c>
      <c r="D1822" s="14" t="str">
        <f>equip.xml!D1826</f>
        <v>副手武器</v>
      </c>
      <c r="E1822" s="14">
        <f>equip.xml!E1826</f>
        <v>6</v>
      </c>
      <c r="F1822" s="14">
        <f>equip.xml!F1826</f>
        <v>4</v>
      </c>
      <c r="G1822" s="14">
        <f>equip.xml!G1826</f>
        <v>95</v>
      </c>
      <c r="H1822" s="14" t="str">
        <f>equip.xml!H1826</f>
        <v>3,1003</v>
      </c>
      <c r="I1822" s="14">
        <f>equip.xml!J1826</f>
        <v>50</v>
      </c>
      <c r="J1822" s="14">
        <f>equip.xml!K1826</f>
        <v>500</v>
      </c>
      <c r="K1822" s="14">
        <f>equip.xml!L1826</f>
        <v>50000</v>
      </c>
      <c r="L1822" s="14" t="str">
        <f>equip.xml!M1826</f>
        <v>102_4280_4280</v>
      </c>
      <c r="M1822" s="17" t="str">
        <f>equip.xml!Q1826</f>
        <v>equipment/2318.png</v>
      </c>
      <c r="N1822" s="16" t="str">
        <f>equip.xml!P1826</f>
        <v>10000_1002_70000,30000_30001_1,30000_30002_1,30000_30003_1</v>
      </c>
      <c r="O1822">
        <f>equip.xml!R1826</f>
        <v>0</v>
      </c>
    </row>
    <row r="1823" spans="1:15">
      <c r="A1823" s="14">
        <f>equip.xml!A1827</f>
        <v>40953061</v>
      </c>
      <c r="B1823" s="14">
        <f>equip.xml!B1827</f>
        <v>0</v>
      </c>
      <c r="C1823" s="14" t="str">
        <f>equip.xml!C1827</f>
        <v>启示圣典</v>
      </c>
      <c r="D1823" s="14" t="str">
        <f>equip.xml!D1827</f>
        <v>副手武器</v>
      </c>
      <c r="E1823" s="14">
        <f>equip.xml!E1827</f>
        <v>6</v>
      </c>
      <c r="F1823" s="14">
        <f>equip.xml!F1827</f>
        <v>4</v>
      </c>
      <c r="G1823" s="14">
        <f>equip.xml!G1827</f>
        <v>95</v>
      </c>
      <c r="H1823" s="14" t="str">
        <f>equip.xml!H1827</f>
        <v>3,1003</v>
      </c>
      <c r="I1823" s="14">
        <f>equip.xml!J1827</f>
        <v>50</v>
      </c>
      <c r="J1823" s="14">
        <f>equip.xml!K1827</f>
        <v>500</v>
      </c>
      <c r="K1823" s="14">
        <f>equip.xml!L1827</f>
        <v>52500</v>
      </c>
      <c r="L1823" s="14" t="str">
        <f>equip.xml!M1827</f>
        <v>102_4390_4390</v>
      </c>
      <c r="M1823" s="17" t="str">
        <f>equip.xml!Q1827</f>
        <v>equipment/2301.png</v>
      </c>
      <c r="N1823" s="16" t="str">
        <f>equip.xml!P1827</f>
        <v>10000_1002_70000,30000_30001_1,30000_30002_1,30000_30003_1</v>
      </c>
      <c r="O1823">
        <f>equip.xml!R1827</f>
        <v>0</v>
      </c>
    </row>
    <row r="1824" spans="1:15">
      <c r="A1824" s="14">
        <f>equip.xml!A1828</f>
        <v>40950040</v>
      </c>
      <c r="B1824" s="14">
        <f>equip.xml!B1828</f>
        <v>1</v>
      </c>
      <c r="C1824" s="14" t="str">
        <f>equip.xml!C1828</f>
        <v>湮没胸甲</v>
      </c>
      <c r="D1824" s="14" t="str">
        <f>equip.xml!D1828</f>
        <v>胸甲</v>
      </c>
      <c r="E1824" s="14">
        <f>equip.xml!E1828</f>
        <v>4</v>
      </c>
      <c r="F1824" s="14">
        <f>equip.xml!F1828</f>
        <v>4</v>
      </c>
      <c r="G1824" s="14">
        <f>equip.xml!G1828</f>
        <v>95</v>
      </c>
      <c r="H1824" s="14">
        <f>equip.xml!H1828</f>
        <v>0</v>
      </c>
      <c r="I1824" s="14">
        <f>equip.xml!J1828</f>
        <v>50</v>
      </c>
      <c r="J1824" s="14">
        <f>equip.xml!K1828</f>
        <v>500</v>
      </c>
      <c r="K1824" s="14">
        <f>equip.xml!L1828</f>
        <v>50000</v>
      </c>
      <c r="L1824" s="14" t="str">
        <f>equip.xml!M1828</f>
        <v>105_3837_3837</v>
      </c>
      <c r="M1824" s="17" t="str">
        <f>equip.xml!Q1828</f>
        <v>equipment/5001.png</v>
      </c>
      <c r="N1824" s="16" t="str">
        <f>equip.xml!P1828</f>
        <v>10000_1002_70000,30000_30001_1,30000_30002_1,30000_30003_1</v>
      </c>
      <c r="O1824">
        <f>equip.xml!R1828</f>
        <v>0</v>
      </c>
    </row>
    <row r="1825" spans="1:15">
      <c r="A1825" s="14">
        <f>equip.xml!A1829</f>
        <v>40950041</v>
      </c>
      <c r="B1825" s="14">
        <f>equip.xml!B1829</f>
        <v>0</v>
      </c>
      <c r="C1825" s="14" t="str">
        <f>equip.xml!C1829</f>
        <v>诸王战铠</v>
      </c>
      <c r="D1825" s="14" t="str">
        <f>equip.xml!D1829</f>
        <v>胸甲</v>
      </c>
      <c r="E1825" s="14">
        <f>equip.xml!E1829</f>
        <v>4</v>
      </c>
      <c r="F1825" s="14">
        <f>equip.xml!F1829</f>
        <v>4</v>
      </c>
      <c r="G1825" s="14">
        <f>equip.xml!G1829</f>
        <v>95</v>
      </c>
      <c r="H1825" s="14">
        <f>equip.xml!H1829</f>
        <v>0</v>
      </c>
      <c r="I1825" s="14">
        <f>equip.xml!J1829</f>
        <v>50</v>
      </c>
      <c r="J1825" s="14">
        <f>equip.xml!K1829</f>
        <v>500</v>
      </c>
      <c r="K1825" s="14">
        <f>equip.xml!L1829</f>
        <v>52500</v>
      </c>
      <c r="L1825" s="14" t="str">
        <f>equip.xml!M1829</f>
        <v>105_4002_4002</v>
      </c>
      <c r="M1825" s="17" t="str">
        <f>equip.xml!Q1829</f>
        <v>equipment/5001.png</v>
      </c>
      <c r="N1825" s="16" t="str">
        <f>equip.xml!P1829</f>
        <v>10000_1002_70000,30000_30001_1,30000_30002_1,30000_30003_1</v>
      </c>
      <c r="O1825">
        <f>equip.xml!R1829</f>
        <v>0</v>
      </c>
    </row>
    <row r="1826" spans="1:15">
      <c r="A1826" s="14">
        <f>equip.xml!A1830</f>
        <v>40950070</v>
      </c>
      <c r="B1826" s="14">
        <f>equip.xml!B1830</f>
        <v>1</v>
      </c>
      <c r="C1826" s="14" t="str">
        <f>equip.xml!C1830</f>
        <v>魂卫护腿</v>
      </c>
      <c r="D1826" s="14" t="str">
        <f>equip.xml!D1830</f>
        <v>护腿</v>
      </c>
      <c r="E1826" s="14">
        <f>equip.xml!E1830</f>
        <v>7</v>
      </c>
      <c r="F1826" s="14">
        <f>equip.xml!F1830</f>
        <v>4</v>
      </c>
      <c r="G1826" s="14">
        <f>equip.xml!G1830</f>
        <v>95</v>
      </c>
      <c r="H1826" s="14">
        <f>equip.xml!H1830</f>
        <v>0</v>
      </c>
      <c r="I1826" s="14">
        <f>equip.xml!J1830</f>
        <v>50</v>
      </c>
      <c r="J1826" s="14">
        <f>equip.xml!K1830</f>
        <v>500</v>
      </c>
      <c r="K1826" s="14">
        <f>equip.xml!L1830</f>
        <v>50000</v>
      </c>
      <c r="L1826" s="14" t="str">
        <f>equip.xml!M1830</f>
        <v>105_3837_3837</v>
      </c>
      <c r="M1826" s="17" t="str">
        <f>equip.xml!Q1830</f>
        <v>equipment/7001.png</v>
      </c>
      <c r="N1826" s="16" t="str">
        <f>equip.xml!P1830</f>
        <v>10000_1002_70000,30000_30001_1,30000_30002_1,30000_30003_1</v>
      </c>
      <c r="O1826">
        <f>equip.xml!R1830</f>
        <v>0</v>
      </c>
    </row>
    <row r="1827" spans="1:15">
      <c r="A1827" s="14">
        <f>equip.xml!A1831</f>
        <v>40950071</v>
      </c>
      <c r="B1827" s="14">
        <f>equip.xml!B1831</f>
        <v>0</v>
      </c>
      <c r="C1827" s="14" t="str">
        <f>equip.xml!C1831</f>
        <v>不朽护腿</v>
      </c>
      <c r="D1827" s="14" t="str">
        <f>equip.xml!D1831</f>
        <v>护腿</v>
      </c>
      <c r="E1827" s="14">
        <f>equip.xml!E1831</f>
        <v>7</v>
      </c>
      <c r="F1827" s="14">
        <f>equip.xml!F1831</f>
        <v>4</v>
      </c>
      <c r="G1827" s="14">
        <f>equip.xml!G1831</f>
        <v>95</v>
      </c>
      <c r="H1827" s="14">
        <f>equip.xml!H1831</f>
        <v>0</v>
      </c>
      <c r="I1827" s="14">
        <f>equip.xml!J1831</f>
        <v>50</v>
      </c>
      <c r="J1827" s="14">
        <f>equip.xml!K1831</f>
        <v>500</v>
      </c>
      <c r="K1827" s="14">
        <f>equip.xml!L1831</f>
        <v>52500</v>
      </c>
      <c r="L1827" s="14" t="str">
        <f>equip.xml!M1831</f>
        <v>105_4002_4002</v>
      </c>
      <c r="M1827" s="17" t="str">
        <f>equip.xml!Q1831</f>
        <v>equipment/7001.png</v>
      </c>
      <c r="N1827" s="16" t="str">
        <f>equip.xml!P1831</f>
        <v>10000_1002_70000,30000_30001_1,30000_30002_1,30000_30003_1</v>
      </c>
      <c r="O1827">
        <f>equip.xml!R1831</f>
        <v>0</v>
      </c>
    </row>
    <row r="1828" spans="1:15">
      <c r="A1828" s="14">
        <f>equip.xml!A1832</f>
        <v>41000010</v>
      </c>
      <c r="B1828" s="14">
        <f>equip.xml!B1832</f>
        <v>0</v>
      </c>
      <c r="C1828" s="14" t="str">
        <f>equip.xml!C1832</f>
        <v>天灾统领</v>
      </c>
      <c r="D1828" s="14" t="str">
        <f>equip.xml!D1832</f>
        <v>头盔</v>
      </c>
      <c r="E1828" s="14">
        <f>equip.xml!E1832</f>
        <v>1</v>
      </c>
      <c r="F1828" s="14">
        <f>equip.xml!F1832</f>
        <v>4</v>
      </c>
      <c r="G1828" s="14">
        <f>equip.xml!G1832</f>
        <v>100</v>
      </c>
      <c r="H1828" s="14">
        <f>equip.xml!H1832</f>
        <v>0</v>
      </c>
      <c r="I1828" s="14">
        <f>equip.xml!J1832</f>
        <v>50</v>
      </c>
      <c r="J1828" s="14">
        <f>equip.xml!K1832</f>
        <v>500</v>
      </c>
      <c r="K1828" s="14">
        <f>equip.xml!L1832</f>
        <v>52500</v>
      </c>
      <c r="L1828" s="14" t="str">
        <f>equip.xml!M1832</f>
        <v>106_6460_6460</v>
      </c>
      <c r="M1828" s="17" t="str">
        <f>equip.xml!Q1832</f>
        <v>equipment/3001.png</v>
      </c>
      <c r="N1828" s="16" t="str">
        <f>equip.xml!P1832</f>
        <v>10000_1002_70000,30000_30001_1,30000_30002_1,30000_30003_1</v>
      </c>
      <c r="O1828">
        <f>equip.xml!R1832</f>
        <v>0</v>
      </c>
    </row>
    <row r="1829" spans="1:15">
      <c r="A1829" s="14">
        <f>equip.xml!A1833</f>
        <v>41000020</v>
      </c>
      <c r="B1829" s="14">
        <f>equip.xml!B1833</f>
        <v>0</v>
      </c>
      <c r="C1829" s="14" t="str">
        <f>equip.xml!C1833</f>
        <v>镇魂挽歌</v>
      </c>
      <c r="D1829" s="14" t="str">
        <f>equip.xml!D1833</f>
        <v>戒指</v>
      </c>
      <c r="E1829" s="14">
        <f>equip.xml!E1833</f>
        <v>2</v>
      </c>
      <c r="F1829" s="14">
        <f>equip.xml!F1833</f>
        <v>4</v>
      </c>
      <c r="G1829" s="14">
        <f>equip.xml!G1833</f>
        <v>100</v>
      </c>
      <c r="H1829" s="14">
        <f>equip.xml!H1833</f>
        <v>0</v>
      </c>
      <c r="I1829" s="14">
        <f>equip.xml!J1833</f>
        <v>50</v>
      </c>
      <c r="J1829" s="14">
        <f>equip.xml!K1833</f>
        <v>500</v>
      </c>
      <c r="K1829" s="14">
        <f>equip.xml!L1833</f>
        <v>52500</v>
      </c>
      <c r="L1829" s="14" t="str">
        <f>equip.xml!M1833</f>
        <v>102_2360_2360</v>
      </c>
      <c r="M1829" s="17" t="str">
        <f>equip.xml!Q1833</f>
        <v>equipment/14001.png</v>
      </c>
      <c r="N1829" s="16" t="str">
        <f>equip.xml!P1833</f>
        <v>10000_1002_70000,30000_30001_1,30000_30002_1,30000_30003_1</v>
      </c>
      <c r="O1829">
        <f>equip.xml!R1833</f>
        <v>0</v>
      </c>
    </row>
    <row r="1830" spans="1:15">
      <c r="A1830" s="14">
        <f>equip.xml!A1834</f>
        <v>41000030</v>
      </c>
      <c r="B1830" s="14">
        <f>equip.xml!B1834</f>
        <v>0</v>
      </c>
      <c r="C1830" s="14" t="str">
        <f>equip.xml!C1834</f>
        <v>雷霆护腰</v>
      </c>
      <c r="D1830" s="14" t="str">
        <f>equip.xml!D1834</f>
        <v>腰带</v>
      </c>
      <c r="E1830" s="14">
        <f>equip.xml!E1834</f>
        <v>3</v>
      </c>
      <c r="F1830" s="14">
        <f>equip.xml!F1834</f>
        <v>4</v>
      </c>
      <c r="G1830" s="14">
        <f>equip.xml!G1834</f>
        <v>100</v>
      </c>
      <c r="H1830" s="14">
        <f>equip.xml!H1834</f>
        <v>0</v>
      </c>
      <c r="I1830" s="14">
        <f>equip.xml!J1834</f>
        <v>50</v>
      </c>
      <c r="J1830" s="14">
        <f>equip.xml!K1834</f>
        <v>500</v>
      </c>
      <c r="K1830" s="14">
        <f>equip.xml!L1834</f>
        <v>52500</v>
      </c>
      <c r="L1830" s="14" t="str">
        <f>equip.xml!M1834</f>
        <v>101_36120_36120</v>
      </c>
      <c r="M1830" s="17" t="str">
        <f>equip.xml!Q1834</f>
        <v>equipment/6001.png</v>
      </c>
      <c r="N1830" s="16" t="str">
        <f>equip.xml!P1834</f>
        <v>10000_1002_70000,30000_30001_1,30000_30002_1,30000_30003_1</v>
      </c>
      <c r="O1830">
        <f>equip.xml!R1834</f>
        <v>0</v>
      </c>
    </row>
    <row r="1831" spans="1:15">
      <c r="A1831" s="14">
        <f>equip.xml!A1835</f>
        <v>41000080</v>
      </c>
      <c r="B1831" s="14">
        <f>equip.xml!B1835</f>
        <v>0</v>
      </c>
      <c r="C1831" s="14" t="str">
        <f>equip.xml!C1835</f>
        <v>星旅之靴</v>
      </c>
      <c r="D1831" s="14" t="str">
        <f>equip.xml!D1835</f>
        <v>鞋子</v>
      </c>
      <c r="E1831" s="14">
        <f>equip.xml!E1835</f>
        <v>8</v>
      </c>
      <c r="F1831" s="14">
        <f>equip.xml!F1835</f>
        <v>4</v>
      </c>
      <c r="G1831" s="14">
        <f>equip.xml!G1835</f>
        <v>100</v>
      </c>
      <c r="H1831" s="14">
        <f>equip.xml!H1835</f>
        <v>0</v>
      </c>
      <c r="I1831" s="14">
        <f>equip.xml!J1835</f>
        <v>50</v>
      </c>
      <c r="J1831" s="14">
        <f>equip.xml!K1835</f>
        <v>500</v>
      </c>
      <c r="K1831" s="14">
        <f>equip.xml!L1835</f>
        <v>52500</v>
      </c>
      <c r="L1831" s="14" t="str">
        <f>equip.xml!M1835</f>
        <v>110_871_871</v>
      </c>
      <c r="M1831" s="17" t="str">
        <f>equip.xml!Q1835</f>
        <v>equipment/8001.png</v>
      </c>
      <c r="N1831" s="16" t="str">
        <f>equip.xml!P1835</f>
        <v>10000_1002_70000,30000_30001_1,30000_30002_1,30000_30003_1</v>
      </c>
      <c r="O1831">
        <f>equip.xml!R1835</f>
        <v>0</v>
      </c>
    </row>
    <row r="1832" spans="1:15">
      <c r="A1832" s="14">
        <f>equip.xml!A1836</f>
        <v>41000090</v>
      </c>
      <c r="B1832" s="14">
        <f>equip.xml!B1836</f>
        <v>0</v>
      </c>
      <c r="C1832" s="14" t="str">
        <f>equip.xml!C1836</f>
        <v>泰坦之拳</v>
      </c>
      <c r="D1832" s="14" t="str">
        <f>equip.xml!D1836</f>
        <v>手套</v>
      </c>
      <c r="E1832" s="14">
        <f>equip.xml!E1836</f>
        <v>9</v>
      </c>
      <c r="F1832" s="14">
        <f>equip.xml!F1836</f>
        <v>4</v>
      </c>
      <c r="G1832" s="14">
        <f>equip.xml!G1836</f>
        <v>100</v>
      </c>
      <c r="H1832" s="14">
        <f>equip.xml!H1836</f>
        <v>0</v>
      </c>
      <c r="I1832" s="14">
        <f>equip.xml!J1836</f>
        <v>50</v>
      </c>
      <c r="J1832" s="14">
        <f>equip.xml!K1836</f>
        <v>500</v>
      </c>
      <c r="K1832" s="14">
        <f>equip.xml!L1836</f>
        <v>52500</v>
      </c>
      <c r="L1832" s="14" t="str">
        <f>equip.xml!M1836</f>
        <v>108_7588_7588</v>
      </c>
      <c r="M1832" s="17" t="str">
        <f>equip.xml!Q1836</f>
        <v>equipment/10001.png</v>
      </c>
      <c r="N1832" s="16" t="str">
        <f>equip.xml!P1836</f>
        <v>10000_1002_70000,30000_30001_1,30000_30002_1,30000_30003_1</v>
      </c>
      <c r="O1832">
        <f>equip.xml!R1836</f>
        <v>0</v>
      </c>
    </row>
    <row r="1833" spans="1:15">
      <c r="A1833" s="14">
        <f>equip.xml!A1837</f>
        <v>41000100</v>
      </c>
      <c r="B1833" s="14">
        <f>equip.xml!B1837</f>
        <v>0</v>
      </c>
      <c r="C1833" s="14" t="str">
        <f>equip.xml!C1837</f>
        <v>永志不渝</v>
      </c>
      <c r="D1833" s="14" t="str">
        <f>equip.xml!D1837</f>
        <v>项链</v>
      </c>
      <c r="E1833" s="14">
        <f>equip.xml!E1837</f>
        <v>10</v>
      </c>
      <c r="F1833" s="14">
        <f>equip.xml!F1837</f>
        <v>4</v>
      </c>
      <c r="G1833" s="14">
        <f>equip.xml!G1837</f>
        <v>100</v>
      </c>
      <c r="H1833" s="14">
        <f>equip.xml!H1837</f>
        <v>0</v>
      </c>
      <c r="I1833" s="14">
        <f>equip.xml!J1837</f>
        <v>50</v>
      </c>
      <c r="J1833" s="14">
        <f>equip.xml!K1837</f>
        <v>500</v>
      </c>
      <c r="K1833" s="14">
        <f>equip.xml!L1837</f>
        <v>52500</v>
      </c>
      <c r="L1833" s="14" t="str">
        <f>equip.xml!M1837</f>
        <v>107_6460_6460</v>
      </c>
      <c r="M1833" s="17" t="str">
        <f>equip.xml!Q1837</f>
        <v>equipment/12001.png</v>
      </c>
      <c r="N1833" s="16" t="str">
        <f>equip.xml!P1837</f>
        <v>10000_1002_70000,30000_30001_1,30000_30002_1,30000_30003_1</v>
      </c>
      <c r="O1833">
        <f>equip.xml!R1837</f>
        <v>0</v>
      </c>
    </row>
    <row r="1834" spans="1:15">
      <c r="A1834" s="14">
        <f>equip.xml!A1838</f>
        <v>41001050</v>
      </c>
      <c r="B1834" s="14">
        <f>equip.xml!B1838</f>
        <v>0</v>
      </c>
      <c r="C1834" s="14" t="str">
        <f>equip.xml!C1838</f>
        <v>毁天灭地</v>
      </c>
      <c r="D1834" s="14" t="str">
        <f>equip.xml!D1838</f>
        <v>主手武器</v>
      </c>
      <c r="E1834" s="14">
        <f>equip.xml!E1838</f>
        <v>5</v>
      </c>
      <c r="F1834" s="14">
        <f>equip.xml!F1838</f>
        <v>4</v>
      </c>
      <c r="G1834" s="14">
        <f>equip.xml!G1838</f>
        <v>100</v>
      </c>
      <c r="H1834" s="14" t="str">
        <f>equip.xml!H1838</f>
        <v>1,1001</v>
      </c>
      <c r="I1834" s="14">
        <f>equip.xml!J1838</f>
        <v>50</v>
      </c>
      <c r="J1834" s="14">
        <f>equip.xml!K1838</f>
        <v>500</v>
      </c>
      <c r="K1834" s="14">
        <f>equip.xml!L1838</f>
        <v>52500</v>
      </c>
      <c r="L1834" s="14" t="str">
        <f>equip.xml!M1838</f>
        <v>103_6744_6744,104_13489_13489</v>
      </c>
      <c r="M1834" s="17" t="str">
        <f>equip.xml!Q1838</f>
        <v>equipment/1124.png</v>
      </c>
      <c r="N1834" s="16" t="str">
        <f>equip.xml!P1838</f>
        <v>10000_1002_70000,30000_30001_1,30000_30002_1,30000_30003_1</v>
      </c>
      <c r="O1834">
        <f>equip.xml!R1838</f>
        <v>0</v>
      </c>
    </row>
    <row r="1835" spans="1:15">
      <c r="A1835" s="14">
        <f>equip.xml!A1839</f>
        <v>41001051</v>
      </c>
      <c r="B1835" s="14">
        <f>equip.xml!B1839</f>
        <v>0</v>
      </c>
      <c r="C1835" s="14" t="str">
        <f>equip.xml!C1839</f>
        <v>灰烬使者</v>
      </c>
      <c r="D1835" s="14" t="str">
        <f>equip.xml!D1839</f>
        <v>主手武器</v>
      </c>
      <c r="E1835" s="14">
        <f>equip.xml!E1839</f>
        <v>5</v>
      </c>
      <c r="F1835" s="14">
        <f>equip.xml!F1839</f>
        <v>4</v>
      </c>
      <c r="G1835" s="14">
        <f>equip.xml!G1839</f>
        <v>100</v>
      </c>
      <c r="H1835" s="14" t="str">
        <f>equip.xml!H1839</f>
        <v>1,1001</v>
      </c>
      <c r="I1835" s="14">
        <f>equip.xml!J1839</f>
        <v>50</v>
      </c>
      <c r="J1835" s="14">
        <f>equip.xml!K1839</f>
        <v>500</v>
      </c>
      <c r="K1835" s="14">
        <f>equip.xml!L1839</f>
        <v>55000</v>
      </c>
      <c r="L1835" s="14" t="str">
        <f>equip.xml!M1839</f>
        <v>103_0_0</v>
      </c>
      <c r="M1835" s="17" t="str">
        <f>equip.xml!Q1839</f>
        <v>equipment/1101.png</v>
      </c>
      <c r="N1835" s="16" t="str">
        <f>equip.xml!P1839</f>
        <v>10000_1002_70000,30000_30001_1,30000_30002_1,30000_30003_1</v>
      </c>
      <c r="O1835">
        <f>equip.xml!R1839</f>
        <v>0</v>
      </c>
    </row>
    <row r="1836" spans="1:15">
      <c r="A1836" s="14">
        <f>equip.xml!A1840</f>
        <v>41001060</v>
      </c>
      <c r="B1836" s="14">
        <f>equip.xml!B1840</f>
        <v>0</v>
      </c>
      <c r="C1836" s="14" t="str">
        <f>equip.xml!C1840</f>
        <v>叹息之墙</v>
      </c>
      <c r="D1836" s="14" t="str">
        <f>equip.xml!D1840</f>
        <v>副手武器</v>
      </c>
      <c r="E1836" s="14">
        <f>equip.xml!E1840</f>
        <v>6</v>
      </c>
      <c r="F1836" s="14">
        <f>equip.xml!F1840</f>
        <v>4</v>
      </c>
      <c r="G1836" s="14">
        <f>equip.xml!G1840</f>
        <v>100</v>
      </c>
      <c r="H1836" s="14" t="str">
        <f>equip.xml!H1840</f>
        <v>1,1001</v>
      </c>
      <c r="I1836" s="14">
        <f>equip.xml!J1840</f>
        <v>50</v>
      </c>
      <c r="J1836" s="14">
        <f>equip.xml!K1840</f>
        <v>500</v>
      </c>
      <c r="K1836" s="14">
        <f>equip.xml!L1840</f>
        <v>52500</v>
      </c>
      <c r="L1836" s="14" t="str">
        <f>equip.xml!M1840</f>
        <v>105_6070_6070</v>
      </c>
      <c r="M1836" s="17" t="str">
        <f>equip.xml!Q1840</f>
        <v>equipment/2118.png</v>
      </c>
      <c r="N1836" s="16" t="str">
        <f>equip.xml!P1840</f>
        <v>10000_1002_70000,30000_30001_1,30000_30002_1,30000_30003_1</v>
      </c>
      <c r="O1836">
        <f>equip.xml!R1840</f>
        <v>0</v>
      </c>
    </row>
    <row r="1837" spans="1:15">
      <c r="A1837" s="14">
        <f>equip.xml!A1841</f>
        <v>41001061</v>
      </c>
      <c r="B1837" s="14">
        <f>equip.xml!B1841</f>
        <v>0</v>
      </c>
      <c r="C1837" s="14" t="str">
        <f>equip.xml!C1841</f>
        <v>叹息之墙</v>
      </c>
      <c r="D1837" s="14" t="str">
        <f>equip.xml!D1841</f>
        <v>副手武器</v>
      </c>
      <c r="E1837" s="14">
        <f>equip.xml!E1841</f>
        <v>6</v>
      </c>
      <c r="F1837" s="14">
        <f>equip.xml!F1841</f>
        <v>4</v>
      </c>
      <c r="G1837" s="14">
        <f>equip.xml!G1841</f>
        <v>100</v>
      </c>
      <c r="H1837" s="14" t="str">
        <f>equip.xml!H1841</f>
        <v>1,1001</v>
      </c>
      <c r="I1837" s="14">
        <f>equip.xml!J1841</f>
        <v>50</v>
      </c>
      <c r="J1837" s="14">
        <f>equip.xml!K1841</f>
        <v>500</v>
      </c>
      <c r="K1837" s="14">
        <f>equip.xml!L1841</f>
        <v>55000</v>
      </c>
      <c r="L1837" s="14" t="str">
        <f>equip.xml!M1841</f>
        <v>105_0_0</v>
      </c>
      <c r="M1837" s="17" t="str">
        <f>equip.xml!Q1841</f>
        <v>equipment/2101.png</v>
      </c>
      <c r="N1837" s="16" t="str">
        <f>equip.xml!P1841</f>
        <v>10000_1002_70000,30000_30001_1,30000_30002_1,30000_30003_1</v>
      </c>
      <c r="O1837">
        <f>equip.xml!R1841</f>
        <v>0</v>
      </c>
    </row>
    <row r="1838" spans="1:15">
      <c r="A1838" s="14">
        <f>equip.xml!A1842</f>
        <v>41002050</v>
      </c>
      <c r="B1838" s="14">
        <f>equip.xml!B1842</f>
        <v>0</v>
      </c>
      <c r="C1838" s="14" t="str">
        <f>equip.xml!C1842</f>
        <v>苍穹怒火</v>
      </c>
      <c r="D1838" s="14" t="str">
        <f>equip.xml!D1842</f>
        <v>主手武器</v>
      </c>
      <c r="E1838" s="14">
        <f>equip.xml!E1842</f>
        <v>5</v>
      </c>
      <c r="F1838" s="14">
        <f>equip.xml!F1842</f>
        <v>4</v>
      </c>
      <c r="G1838" s="14">
        <f>equip.xml!G1842</f>
        <v>100</v>
      </c>
      <c r="H1838" s="14" t="str">
        <f>equip.xml!H1842</f>
        <v>2,1002</v>
      </c>
      <c r="I1838" s="14">
        <f>equip.xml!J1842</f>
        <v>50</v>
      </c>
      <c r="J1838" s="14">
        <f>equip.xml!K1842</f>
        <v>500</v>
      </c>
      <c r="K1838" s="14">
        <f>equip.xml!L1842</f>
        <v>52500</v>
      </c>
      <c r="L1838" s="14" t="str">
        <f>equip.xml!M1842</f>
        <v>103_6744_6744,104_13489_13489</v>
      </c>
      <c r="M1838" s="17" t="str">
        <f>equip.xml!Q1842</f>
        <v>equipment/1222.png</v>
      </c>
      <c r="N1838" s="16" t="str">
        <f>equip.xml!P1842</f>
        <v>10000_1002_70000,30000_30001_1,30000_30002_1,30000_30003_1</v>
      </c>
      <c r="O1838">
        <f>equip.xml!R1842</f>
        <v>0</v>
      </c>
    </row>
    <row r="1839" spans="1:15">
      <c r="A1839" s="14">
        <f>equip.xml!A1843</f>
        <v>41002051</v>
      </c>
      <c r="B1839" s="14">
        <f>equip.xml!B1843</f>
        <v>0</v>
      </c>
      <c r="C1839" s="14" t="str">
        <f>equip.xml!C1843</f>
        <v>群星之怒</v>
      </c>
      <c r="D1839" s="14" t="str">
        <f>equip.xml!D1843</f>
        <v>主手武器</v>
      </c>
      <c r="E1839" s="14">
        <f>equip.xml!E1843</f>
        <v>5</v>
      </c>
      <c r="F1839" s="14">
        <f>equip.xml!F1843</f>
        <v>4</v>
      </c>
      <c r="G1839" s="14">
        <f>equip.xml!G1843</f>
        <v>100</v>
      </c>
      <c r="H1839" s="14" t="str">
        <f>equip.xml!H1843</f>
        <v>2,1002</v>
      </c>
      <c r="I1839" s="14">
        <f>equip.xml!J1843</f>
        <v>50</v>
      </c>
      <c r="J1839" s="14">
        <f>equip.xml!K1843</f>
        <v>500</v>
      </c>
      <c r="K1839" s="14">
        <f>equip.xml!L1843</f>
        <v>55000</v>
      </c>
      <c r="L1839" s="14" t="str">
        <f>equip.xml!M1843</f>
        <v>103_0_0</v>
      </c>
      <c r="M1839" s="17" t="str">
        <f>equip.xml!Q1843</f>
        <v>equipment/1201.png</v>
      </c>
      <c r="N1839" s="16" t="str">
        <f>equip.xml!P1843</f>
        <v>10000_1002_70000,30000_30001_1,30000_30002_1,30000_30003_1</v>
      </c>
      <c r="O1839">
        <f>equip.xml!R1843</f>
        <v>0</v>
      </c>
    </row>
    <row r="1840" spans="1:15">
      <c r="A1840" s="14">
        <f>equip.xml!A1844</f>
        <v>41002060</v>
      </c>
      <c r="B1840" s="14">
        <f>equip.xml!B1844</f>
        <v>0</v>
      </c>
      <c r="C1840" s="14" t="str">
        <f>equip.xml!C1844</f>
        <v>天际之矢</v>
      </c>
      <c r="D1840" s="14" t="str">
        <f>equip.xml!D1844</f>
        <v>副手武器</v>
      </c>
      <c r="E1840" s="14">
        <f>equip.xml!E1844</f>
        <v>6</v>
      </c>
      <c r="F1840" s="14">
        <f>equip.xml!F1844</f>
        <v>4</v>
      </c>
      <c r="G1840" s="14">
        <f>equip.xml!G1844</f>
        <v>100</v>
      </c>
      <c r="H1840" s="14" t="str">
        <f>equip.xml!H1844</f>
        <v>2,1002</v>
      </c>
      <c r="I1840" s="14">
        <f>equip.xml!J1844</f>
        <v>50</v>
      </c>
      <c r="J1840" s="14">
        <f>equip.xml!K1844</f>
        <v>500</v>
      </c>
      <c r="K1840" s="14">
        <f>equip.xml!L1844</f>
        <v>52500</v>
      </c>
      <c r="L1840" s="14" t="str">
        <f>equip.xml!M1844</f>
        <v>108_6070_6070</v>
      </c>
      <c r="M1840" s="17" t="str">
        <f>equip.xml!Q1844</f>
        <v>equipment/2218.png</v>
      </c>
      <c r="N1840" s="16" t="str">
        <f>equip.xml!P1844</f>
        <v>10000_1002_70000,30000_30001_1,30000_30002_1,30000_30003_1</v>
      </c>
      <c r="O1840">
        <f>equip.xml!R1844</f>
        <v>0</v>
      </c>
    </row>
    <row r="1841" spans="1:15">
      <c r="A1841" s="14">
        <f>equip.xml!A1845</f>
        <v>41002061</v>
      </c>
      <c r="B1841" s="14">
        <f>equip.xml!B1845</f>
        <v>0</v>
      </c>
      <c r="C1841" s="14" t="str">
        <f>equip.xml!C1845</f>
        <v>天际之矢</v>
      </c>
      <c r="D1841" s="14" t="str">
        <f>equip.xml!D1845</f>
        <v>副手武器</v>
      </c>
      <c r="E1841" s="14">
        <f>equip.xml!E1845</f>
        <v>6</v>
      </c>
      <c r="F1841" s="14">
        <f>equip.xml!F1845</f>
        <v>4</v>
      </c>
      <c r="G1841" s="14">
        <f>equip.xml!G1845</f>
        <v>100</v>
      </c>
      <c r="H1841" s="14" t="str">
        <f>equip.xml!H1845</f>
        <v>2,1002</v>
      </c>
      <c r="I1841" s="14">
        <f>equip.xml!J1845</f>
        <v>50</v>
      </c>
      <c r="J1841" s="14">
        <f>equip.xml!K1845</f>
        <v>500</v>
      </c>
      <c r="K1841" s="14">
        <f>equip.xml!L1845</f>
        <v>55000</v>
      </c>
      <c r="L1841" s="14" t="str">
        <f>equip.xml!M1845</f>
        <v>108_0_0</v>
      </c>
      <c r="M1841" s="17" t="str">
        <f>equip.xml!Q1845</f>
        <v>equipment/2201.png</v>
      </c>
      <c r="N1841" s="16" t="str">
        <f>equip.xml!P1845</f>
        <v>10000_1002_70000,30000_30001_1,30000_30002_1,30000_30003_1</v>
      </c>
      <c r="O1841">
        <f>equip.xml!R1845</f>
        <v>0</v>
      </c>
    </row>
    <row r="1842" spans="1:15">
      <c r="A1842" s="14">
        <f>equip.xml!A1846</f>
        <v>41003050</v>
      </c>
      <c r="B1842" s="14">
        <f>equip.xml!B1846</f>
        <v>0</v>
      </c>
      <c r="C1842" s="14" t="str">
        <f>equip.xml!C1846</f>
        <v>混沌终幕</v>
      </c>
      <c r="D1842" s="14" t="str">
        <f>equip.xml!D1846</f>
        <v>主手武器</v>
      </c>
      <c r="E1842" s="14">
        <f>equip.xml!E1846</f>
        <v>5</v>
      </c>
      <c r="F1842" s="14">
        <f>equip.xml!F1846</f>
        <v>4</v>
      </c>
      <c r="G1842" s="14">
        <f>equip.xml!G1846</f>
        <v>100</v>
      </c>
      <c r="H1842" s="14" t="str">
        <f>equip.xml!H1846</f>
        <v>3,1003</v>
      </c>
      <c r="I1842" s="14">
        <f>equip.xml!J1846</f>
        <v>50</v>
      </c>
      <c r="J1842" s="14">
        <f>equip.xml!K1846</f>
        <v>500</v>
      </c>
      <c r="K1842" s="14">
        <f>equip.xml!L1846</f>
        <v>52500</v>
      </c>
      <c r="L1842" s="14" t="str">
        <f>equip.xml!M1846</f>
        <v>103_6744_6744,104_13489_13489</v>
      </c>
      <c r="M1842" s="17" t="str">
        <f>equip.xml!Q1846</f>
        <v>equipment/1324.png</v>
      </c>
      <c r="N1842" s="16" t="str">
        <f>equip.xml!P1846</f>
        <v>10000_1002_70000,30000_30001_1,30000_30002_1,30000_30003_1</v>
      </c>
      <c r="O1842">
        <f>equip.xml!R1846</f>
        <v>0</v>
      </c>
    </row>
    <row r="1843" spans="1:15">
      <c r="A1843" s="14">
        <f>equip.xml!A1847</f>
        <v>41003051</v>
      </c>
      <c r="B1843" s="14">
        <f>equip.xml!B1847</f>
        <v>0</v>
      </c>
      <c r="C1843" s="14" t="str">
        <f>equip.xml!C1847</f>
        <v>埃提耶什，守护者的传说之杖</v>
      </c>
      <c r="D1843" s="14" t="str">
        <f>equip.xml!D1847</f>
        <v>主手武器</v>
      </c>
      <c r="E1843" s="14">
        <f>equip.xml!E1847</f>
        <v>5</v>
      </c>
      <c r="F1843" s="14">
        <f>equip.xml!F1847</f>
        <v>4</v>
      </c>
      <c r="G1843" s="14">
        <f>equip.xml!G1847</f>
        <v>100</v>
      </c>
      <c r="H1843" s="14" t="str">
        <f>equip.xml!H1847</f>
        <v>3,1003</v>
      </c>
      <c r="I1843" s="14">
        <f>equip.xml!J1847</f>
        <v>50</v>
      </c>
      <c r="J1843" s="14">
        <f>equip.xml!K1847</f>
        <v>500</v>
      </c>
      <c r="K1843" s="14">
        <f>equip.xml!L1847</f>
        <v>55000</v>
      </c>
      <c r="L1843" s="14" t="str">
        <f>equip.xml!M1847</f>
        <v>103_0_0</v>
      </c>
      <c r="M1843" s="17" t="str">
        <f>equip.xml!Q1847</f>
        <v>equipment/1301.png</v>
      </c>
      <c r="N1843" s="16" t="str">
        <f>equip.xml!P1847</f>
        <v>10000_1002_70000,30000_30001_1,30000_30002_1,30000_30003_1</v>
      </c>
      <c r="O1843">
        <f>equip.xml!R1847</f>
        <v>0</v>
      </c>
    </row>
    <row r="1844" spans="1:15">
      <c r="A1844" s="14">
        <f>equip.xml!A1848</f>
        <v>41003060</v>
      </c>
      <c r="B1844" s="14">
        <f>equip.xml!B1848</f>
        <v>0</v>
      </c>
      <c r="C1844" s="14" t="str">
        <f>equip.xml!C1848</f>
        <v>决战之书</v>
      </c>
      <c r="D1844" s="14" t="str">
        <f>equip.xml!D1848</f>
        <v>副手武器</v>
      </c>
      <c r="E1844" s="14">
        <f>equip.xml!E1848</f>
        <v>6</v>
      </c>
      <c r="F1844" s="14">
        <f>equip.xml!F1848</f>
        <v>4</v>
      </c>
      <c r="G1844" s="14">
        <f>equip.xml!G1848</f>
        <v>100</v>
      </c>
      <c r="H1844" s="14" t="str">
        <f>equip.xml!H1848</f>
        <v>3,1003</v>
      </c>
      <c r="I1844" s="14">
        <f>equip.xml!J1848</f>
        <v>50</v>
      </c>
      <c r="J1844" s="14">
        <f>equip.xml!K1848</f>
        <v>500</v>
      </c>
      <c r="K1844" s="14">
        <f>equip.xml!L1848</f>
        <v>52500</v>
      </c>
      <c r="L1844" s="14" t="str">
        <f>equip.xml!M1848</f>
        <v>102_4560_4560</v>
      </c>
      <c r="M1844" s="17" t="str">
        <f>equip.xml!Q1848</f>
        <v>equipment/2318.png</v>
      </c>
      <c r="N1844" s="16" t="str">
        <f>equip.xml!P1848</f>
        <v>10000_1002_70000,30000_30001_1,30000_30002_1,30000_30003_1</v>
      </c>
      <c r="O1844">
        <f>equip.xml!R1848</f>
        <v>0</v>
      </c>
    </row>
    <row r="1845" spans="1:15">
      <c r="A1845" s="14">
        <f>equip.xml!A1849</f>
        <v>41003061</v>
      </c>
      <c r="B1845" s="14">
        <f>equip.xml!B1849</f>
        <v>0</v>
      </c>
      <c r="C1845" s="14" t="str">
        <f>equip.xml!C1849</f>
        <v>诸界流声</v>
      </c>
      <c r="D1845" s="14" t="str">
        <f>equip.xml!D1849</f>
        <v>副手武器</v>
      </c>
      <c r="E1845" s="14">
        <f>equip.xml!E1849</f>
        <v>6</v>
      </c>
      <c r="F1845" s="14">
        <f>equip.xml!F1849</f>
        <v>4</v>
      </c>
      <c r="G1845" s="14">
        <f>equip.xml!G1849</f>
        <v>100</v>
      </c>
      <c r="H1845" s="14" t="str">
        <f>equip.xml!H1849</f>
        <v>3,1003</v>
      </c>
      <c r="I1845" s="14">
        <f>equip.xml!J1849</f>
        <v>50</v>
      </c>
      <c r="J1845" s="14">
        <f>equip.xml!K1849</f>
        <v>500</v>
      </c>
      <c r="K1845" s="14">
        <f>equip.xml!L1849</f>
        <v>55000</v>
      </c>
      <c r="L1845" s="14" t="str">
        <f>equip.xml!M1849</f>
        <v>102_0_0</v>
      </c>
      <c r="M1845" s="17" t="str">
        <f>equip.xml!Q1849</f>
        <v>equipment/2301.png</v>
      </c>
      <c r="N1845" s="16" t="str">
        <f>equip.xml!P1849</f>
        <v>10000_1002_70000,30000_30001_1,30000_30002_1,30000_30003_1</v>
      </c>
      <c r="O1845">
        <f>equip.xml!R1849</f>
        <v>0</v>
      </c>
    </row>
    <row r="1846" spans="1:15">
      <c r="A1846" s="14">
        <f>equip.xml!A1850</f>
        <v>41000040</v>
      </c>
      <c r="B1846" s="14">
        <f>equip.xml!B1850</f>
        <v>0</v>
      </c>
      <c r="C1846" s="14" t="str">
        <f>equip.xml!C1850</f>
        <v>光明圣铠</v>
      </c>
      <c r="D1846" s="14" t="str">
        <f>equip.xml!D1850</f>
        <v>胸甲</v>
      </c>
      <c r="E1846" s="14">
        <f>equip.xml!E1850</f>
        <v>4</v>
      </c>
      <c r="F1846" s="14">
        <f>equip.xml!F1850</f>
        <v>4</v>
      </c>
      <c r="G1846" s="14">
        <f>equip.xml!G1850</f>
        <v>100</v>
      </c>
      <c r="H1846" s="14">
        <f>equip.xml!H1850</f>
        <v>0</v>
      </c>
      <c r="I1846" s="14">
        <f>equip.xml!J1850</f>
        <v>50</v>
      </c>
      <c r="J1846" s="14">
        <f>equip.xml!K1850</f>
        <v>500</v>
      </c>
      <c r="K1846" s="14">
        <f>equip.xml!L1850</f>
        <v>52500</v>
      </c>
      <c r="L1846" s="14" t="str">
        <f>equip.xml!M1850</f>
        <v>105_4249_4249</v>
      </c>
      <c r="M1846" s="17" t="str">
        <f>equip.xml!Q1850</f>
        <v>equipment/5001.png</v>
      </c>
      <c r="N1846" s="16" t="str">
        <f>equip.xml!P1850</f>
        <v>10000_1002_70000,30000_30001_1,30000_30002_1,30000_30003_1</v>
      </c>
      <c r="O1846">
        <f>equip.xml!R1850</f>
        <v>0</v>
      </c>
    </row>
    <row r="1847" spans="1:15">
      <c r="A1847" s="14">
        <f>equip.xml!A1851</f>
        <v>41000041</v>
      </c>
      <c r="B1847" s="14">
        <f>equip.xml!B1851</f>
        <v>0</v>
      </c>
      <c r="C1847" s="14" t="str">
        <f>equip.xml!C1851</f>
        <v>碎界之铠</v>
      </c>
      <c r="D1847" s="14" t="str">
        <f>equip.xml!D1851</f>
        <v>胸甲</v>
      </c>
      <c r="E1847" s="14">
        <f>equip.xml!E1851</f>
        <v>4</v>
      </c>
      <c r="F1847" s="14">
        <f>equip.xml!F1851</f>
        <v>4</v>
      </c>
      <c r="G1847" s="14">
        <f>equip.xml!G1851</f>
        <v>100</v>
      </c>
      <c r="H1847" s="14">
        <f>equip.xml!H1851</f>
        <v>0</v>
      </c>
      <c r="I1847" s="14">
        <f>equip.xml!J1851</f>
        <v>50</v>
      </c>
      <c r="J1847" s="14">
        <f>equip.xml!K1851</f>
        <v>500</v>
      </c>
      <c r="K1847" s="14">
        <f>equip.xml!L1851</f>
        <v>55000</v>
      </c>
      <c r="L1847" s="14" t="str">
        <f>equip.xml!M1851</f>
        <v>105_0_0</v>
      </c>
      <c r="M1847" s="17" t="str">
        <f>equip.xml!Q1851</f>
        <v>equipment/5001.png</v>
      </c>
      <c r="N1847" s="16" t="str">
        <f>equip.xml!P1851</f>
        <v>10000_1002_70000,30000_30001_1,30000_30002_1,30000_30003_1</v>
      </c>
      <c r="O1847">
        <f>equip.xml!R1851</f>
        <v>0</v>
      </c>
    </row>
    <row r="1848" spans="1:15">
      <c r="A1848" s="14">
        <f>equip.xml!A1852</f>
        <v>41000070</v>
      </c>
      <c r="B1848" s="14">
        <f>equip.xml!B1852</f>
        <v>0</v>
      </c>
      <c r="C1848" s="14" t="str">
        <f>equip.xml!C1852</f>
        <v>渡魂护腿</v>
      </c>
      <c r="D1848" s="14" t="str">
        <f>equip.xml!D1852</f>
        <v>护腿</v>
      </c>
      <c r="E1848" s="14">
        <f>equip.xml!E1852</f>
        <v>7</v>
      </c>
      <c r="F1848" s="14">
        <f>equip.xml!F1852</f>
        <v>4</v>
      </c>
      <c r="G1848" s="14">
        <f>equip.xml!G1852</f>
        <v>100</v>
      </c>
      <c r="H1848" s="14">
        <f>equip.xml!H1852</f>
        <v>0</v>
      </c>
      <c r="I1848" s="14">
        <f>equip.xml!J1852</f>
        <v>50</v>
      </c>
      <c r="J1848" s="14">
        <f>equip.xml!K1852</f>
        <v>500</v>
      </c>
      <c r="K1848" s="14">
        <f>equip.xml!L1852</f>
        <v>52500</v>
      </c>
      <c r="L1848" s="14" t="str">
        <f>equip.xml!M1852</f>
        <v>105_4249_4249</v>
      </c>
      <c r="M1848" s="17" t="str">
        <f>equip.xml!Q1852</f>
        <v>equipment/7001.png</v>
      </c>
      <c r="N1848" s="16" t="str">
        <f>equip.xml!P1852</f>
        <v>10000_1002_70000,30000_30001_1,30000_30002_1,30000_30003_1</v>
      </c>
      <c r="O1848">
        <f>equip.xml!R1852</f>
        <v>0</v>
      </c>
    </row>
    <row r="1849" spans="1:15">
      <c r="A1849" s="14">
        <f>equip.xml!A1853</f>
        <v>41000071</v>
      </c>
      <c r="B1849" s="14">
        <f>equip.xml!B1853</f>
        <v>0</v>
      </c>
      <c r="C1849" s="14" t="str">
        <f>equip.xml!C1853</f>
        <v>涅磐腿甲</v>
      </c>
      <c r="D1849" s="14" t="str">
        <f>equip.xml!D1853</f>
        <v>护腿</v>
      </c>
      <c r="E1849" s="14">
        <f>equip.xml!E1853</f>
        <v>7</v>
      </c>
      <c r="F1849" s="14">
        <f>equip.xml!F1853</f>
        <v>4</v>
      </c>
      <c r="G1849" s="14">
        <f>equip.xml!G1853</f>
        <v>100</v>
      </c>
      <c r="H1849" s="14">
        <f>equip.xml!H1853</f>
        <v>0</v>
      </c>
      <c r="I1849" s="14">
        <f>equip.xml!J1853</f>
        <v>50</v>
      </c>
      <c r="J1849" s="14">
        <f>equip.xml!K1853</f>
        <v>500</v>
      </c>
      <c r="K1849" s="14">
        <f>equip.xml!L1853</f>
        <v>55000</v>
      </c>
      <c r="L1849" s="14" t="str">
        <f>equip.xml!M1853</f>
        <v>105_0_0</v>
      </c>
      <c r="M1849" s="17" t="str">
        <f>equip.xml!Q1853</f>
        <v>equipment/7001.png</v>
      </c>
      <c r="N1849" s="16" t="str">
        <f>equip.xml!P1853</f>
        <v>10000_1002_70000,30000_30001_1,30000_30002_1,30000_30003_1</v>
      </c>
      <c r="O1849">
        <f>equip.xml!R1853</f>
        <v>0</v>
      </c>
    </row>
    <row r="1850" spans="1:15">
      <c r="A1850" s="14" t="str">
        <f>equip.xml!A1854</f>
        <v>50010010</v>
      </c>
      <c r="B1850" s="14">
        <f>equip.xml!B1854</f>
        <v>0</v>
      </c>
      <c r="C1850" s="14" t="str">
        <f>equip.xml!C1854</f>
        <v>纹饰帽</v>
      </c>
      <c r="D1850" s="14" t="str">
        <f>equip.xml!D1854</f>
        <v>头盔</v>
      </c>
      <c r="E1850" s="14">
        <f>equip.xml!E1854</f>
        <v>1</v>
      </c>
      <c r="F1850" s="14">
        <f>equip.xml!F1854</f>
        <v>5</v>
      </c>
      <c r="G1850" s="14">
        <f>equip.xml!G1854</f>
        <v>1</v>
      </c>
      <c r="H1850" s="14">
        <f>equip.xml!H1854</f>
        <v>0</v>
      </c>
      <c r="I1850" s="14">
        <f>equip.xml!J1854</f>
        <v>150</v>
      </c>
      <c r="J1850" s="14">
        <f>equip.xml!K1854</f>
        <v>1500</v>
      </c>
      <c r="K1850" s="14">
        <f>equip.xml!L1854</f>
        <v>0</v>
      </c>
      <c r="L1850" s="14" t="str">
        <f>equip.xml!M1854</f>
        <v>106_0_0</v>
      </c>
      <c r="M1850" s="17" t="str">
        <f>equip.xml!Q1854</f>
        <v>equipment/3001.png</v>
      </c>
      <c r="N1850" s="16" t="str">
        <f>equip.xml!P1854</f>
        <v>10000_1002_1000,30000_30001_1,30000_30002_1,30000_30003_1</v>
      </c>
      <c r="O1850">
        <f>equip.xml!R1854</f>
        <v>0</v>
      </c>
    </row>
    <row r="1851" spans="1:15">
      <c r="A1851" s="14" t="str">
        <f>equip.xml!A1855</f>
        <v>50010020</v>
      </c>
      <c r="B1851" s="14">
        <f>equip.xml!B1855</f>
        <v>0</v>
      </c>
      <c r="C1851" s="14" t="str">
        <f>equip.xml!C1855</f>
        <v>金戒指</v>
      </c>
      <c r="D1851" s="14" t="str">
        <f>equip.xml!D1855</f>
        <v>戒指</v>
      </c>
      <c r="E1851" s="14">
        <f>equip.xml!E1855</f>
        <v>2</v>
      </c>
      <c r="F1851" s="14">
        <f>equip.xml!F1855</f>
        <v>5</v>
      </c>
      <c r="G1851" s="14">
        <f>equip.xml!G1855</f>
        <v>1</v>
      </c>
      <c r="H1851" s="14">
        <f>equip.xml!H1855</f>
        <v>0</v>
      </c>
      <c r="I1851" s="14">
        <f>equip.xml!J1855</f>
        <v>150</v>
      </c>
      <c r="J1851" s="14">
        <f>equip.xml!K1855</f>
        <v>1500</v>
      </c>
      <c r="K1851" s="14">
        <f>equip.xml!L1855</f>
        <v>0</v>
      </c>
      <c r="L1851" s="14" t="str">
        <f>equip.xml!M1855</f>
        <v>102_20_20</v>
      </c>
      <c r="M1851" s="17" t="str">
        <f>equip.xml!Q1855</f>
        <v>equipment/14001.png</v>
      </c>
      <c r="N1851" s="16" t="str">
        <f>equip.xml!P1855</f>
        <v>10000_1002_1000,30000_30001_1,30000_30002_1,30000_30003_1</v>
      </c>
      <c r="O1851">
        <f>equip.xml!R1855</f>
        <v>0</v>
      </c>
    </row>
    <row r="1852" spans="1:15">
      <c r="A1852" s="14" t="str">
        <f>equip.xml!A1856</f>
        <v>50010030</v>
      </c>
      <c r="B1852" s="14">
        <f>equip.xml!B1856</f>
        <v>0</v>
      </c>
      <c r="C1852" s="14" t="str">
        <f>equip.xml!C1856</f>
        <v>兽皮腰带</v>
      </c>
      <c r="D1852" s="14" t="str">
        <f>equip.xml!D1856</f>
        <v>腰带</v>
      </c>
      <c r="E1852" s="14">
        <f>equip.xml!E1856</f>
        <v>3</v>
      </c>
      <c r="F1852" s="14">
        <f>equip.xml!F1856</f>
        <v>5</v>
      </c>
      <c r="G1852" s="14">
        <f>equip.xml!G1856</f>
        <v>1</v>
      </c>
      <c r="H1852" s="14">
        <f>equip.xml!H1856</f>
        <v>0</v>
      </c>
      <c r="I1852" s="14">
        <f>equip.xml!J1856</f>
        <v>150</v>
      </c>
      <c r="J1852" s="14">
        <f>equip.xml!K1856</f>
        <v>1500</v>
      </c>
      <c r="K1852" s="14">
        <f>equip.xml!L1856</f>
        <v>0</v>
      </c>
      <c r="L1852" s="14" t="str">
        <f>equip.xml!M1856</f>
        <v>101_100_100</v>
      </c>
      <c r="M1852" s="17" t="str">
        <f>equip.xml!Q1856</f>
        <v>equipment/6001.png</v>
      </c>
      <c r="N1852" s="16" t="str">
        <f>equip.xml!P1856</f>
        <v>10000_1002_1000,30000_30001_1,30000_30002_1,30000_30003_1</v>
      </c>
      <c r="O1852">
        <f>equip.xml!R1856</f>
        <v>0</v>
      </c>
    </row>
    <row r="1853" spans="1:15">
      <c r="A1853" s="14" t="str">
        <f>equip.xml!A1857</f>
        <v>50010080</v>
      </c>
      <c r="B1853" s="14">
        <f>equip.xml!B1857</f>
        <v>1</v>
      </c>
      <c r="C1853" s="14" t="str">
        <f>equip.xml!C1857</f>
        <v>皮靴</v>
      </c>
      <c r="D1853" s="14" t="str">
        <f>equip.xml!D1857</f>
        <v>鞋子</v>
      </c>
      <c r="E1853" s="14">
        <f>equip.xml!E1857</f>
        <v>8</v>
      </c>
      <c r="F1853" s="14">
        <f>equip.xml!F1857</f>
        <v>5</v>
      </c>
      <c r="G1853" s="14">
        <f>equip.xml!G1857</f>
        <v>1</v>
      </c>
      <c r="H1853" s="14">
        <f>equip.xml!H1857</f>
        <v>0</v>
      </c>
      <c r="I1853" s="14">
        <f>equip.xml!J1857</f>
        <v>150</v>
      </c>
      <c r="J1853" s="14">
        <f>equip.xml!K1857</f>
        <v>1500</v>
      </c>
      <c r="K1853" s="14">
        <f>equip.xml!L1857</f>
        <v>0</v>
      </c>
      <c r="L1853" s="14" t="str">
        <f>equip.xml!M1857</f>
        <v>110_4_4</v>
      </c>
      <c r="M1853" s="17" t="str">
        <f>equip.xml!Q1857</f>
        <v>equipment/8001.png</v>
      </c>
      <c r="N1853" s="16" t="str">
        <f>equip.xml!P1857</f>
        <v>10000_1002_1000,30000_30001_1,30000_30002_1,30000_30003_1</v>
      </c>
      <c r="O1853">
        <f>equip.xml!R1857</f>
        <v>0</v>
      </c>
    </row>
    <row r="1854" spans="1:15">
      <c r="A1854" s="14" t="str">
        <f>equip.xml!A1858</f>
        <v>50010090</v>
      </c>
      <c r="B1854" s="14">
        <f>equip.xml!B1858</f>
        <v>1</v>
      </c>
      <c r="C1854" s="14" t="str">
        <f>equip.xml!C1858</f>
        <v>轻布手套</v>
      </c>
      <c r="D1854" s="14" t="str">
        <f>equip.xml!D1858</f>
        <v>手套</v>
      </c>
      <c r="E1854" s="14">
        <f>equip.xml!E1858</f>
        <v>9</v>
      </c>
      <c r="F1854" s="14">
        <f>equip.xml!F1858</f>
        <v>5</v>
      </c>
      <c r="G1854" s="14">
        <f>equip.xml!G1858</f>
        <v>1</v>
      </c>
      <c r="H1854" s="14">
        <f>equip.xml!H1858</f>
        <v>0</v>
      </c>
      <c r="I1854" s="14">
        <f>equip.xml!J1858</f>
        <v>150</v>
      </c>
      <c r="J1854" s="14">
        <f>equip.xml!K1858</f>
        <v>1500</v>
      </c>
      <c r="K1854" s="14">
        <f>equip.xml!L1858</f>
        <v>0</v>
      </c>
      <c r="L1854" s="14" t="str">
        <f>equip.xml!M1858</f>
        <v>108_9_9</v>
      </c>
      <c r="M1854" s="17" t="str">
        <f>equip.xml!Q1858</f>
        <v>equipment/10001.png</v>
      </c>
      <c r="N1854" s="16" t="str">
        <f>equip.xml!P1858</f>
        <v>10000_1002_1000,30000_30001_1,30000_30002_1,30000_30003_1</v>
      </c>
      <c r="O1854">
        <f>equip.xml!R1858</f>
        <v>0</v>
      </c>
    </row>
    <row r="1855" spans="1:15">
      <c r="A1855" s="14" t="str">
        <f>equip.xml!A1859</f>
        <v>50010100</v>
      </c>
      <c r="B1855" s="14">
        <f>equip.xml!B1859</f>
        <v>0</v>
      </c>
      <c r="C1855" s="14" t="str">
        <f>equip.xml!C1859</f>
        <v>贝壳项链</v>
      </c>
      <c r="D1855" s="14" t="str">
        <f>equip.xml!D1859</f>
        <v>项链</v>
      </c>
      <c r="E1855" s="14">
        <f>equip.xml!E1859</f>
        <v>10</v>
      </c>
      <c r="F1855" s="14">
        <f>equip.xml!F1859</f>
        <v>5</v>
      </c>
      <c r="G1855" s="14">
        <f>equip.xml!G1859</f>
        <v>1</v>
      </c>
      <c r="H1855" s="14">
        <f>equip.xml!H1859</f>
        <v>0</v>
      </c>
      <c r="I1855" s="14">
        <f>equip.xml!J1859</f>
        <v>150</v>
      </c>
      <c r="J1855" s="14">
        <f>equip.xml!K1859</f>
        <v>1500</v>
      </c>
      <c r="K1855" s="14">
        <f>equip.xml!L1859</f>
        <v>0</v>
      </c>
      <c r="L1855" s="14" t="str">
        <f>equip.xml!M1859</f>
        <v>107_0_0</v>
      </c>
      <c r="M1855" s="17" t="str">
        <f>equip.xml!Q1859</f>
        <v>equipment/12001.png</v>
      </c>
      <c r="N1855" s="16" t="str">
        <f>equip.xml!P1859</f>
        <v>10000_1002_1000,30000_30001_1,30000_30002_1,30000_30003_1</v>
      </c>
      <c r="O1855">
        <f>equip.xml!R1859</f>
        <v>0</v>
      </c>
    </row>
    <row r="1856" spans="1:15">
      <c r="A1856" s="14" t="str">
        <f>equip.xml!A1860</f>
        <v>50011050</v>
      </c>
      <c r="B1856" s="14">
        <f>equip.xml!B1860</f>
        <v>1</v>
      </c>
      <c r="C1856" s="14" t="str">
        <f>equip.xml!C1860</f>
        <v>短剑</v>
      </c>
      <c r="D1856" s="14" t="str">
        <f>equip.xml!D1860</f>
        <v>主手武器</v>
      </c>
      <c r="E1856" s="14">
        <f>equip.xml!E1860</f>
        <v>5</v>
      </c>
      <c r="F1856" s="14">
        <f>equip.xml!F1860</f>
        <v>5</v>
      </c>
      <c r="G1856" s="14">
        <f>equip.xml!G1860</f>
        <v>1</v>
      </c>
      <c r="H1856" s="14" t="str">
        <f>equip.xml!H1860</f>
        <v>1,1001</v>
      </c>
      <c r="I1856" s="14">
        <f>equip.xml!J1860</f>
        <v>150</v>
      </c>
      <c r="J1856" s="14">
        <f>equip.xml!K1860</f>
        <v>1500</v>
      </c>
      <c r="K1856" s="14">
        <f>equip.xml!L1860</f>
        <v>0</v>
      </c>
      <c r="L1856" s="14" t="str">
        <f>equip.xml!M1860</f>
        <v>103_2_2,104_6_6</v>
      </c>
      <c r="M1856" s="17" t="str">
        <f>equip.xml!Q1860</f>
        <v>equipment/1101.png</v>
      </c>
      <c r="N1856" s="16" t="str">
        <f>equip.xml!P1860</f>
        <v>10000_1002_1000,30000_30001_1,30000_30002_1,30000_30003_1</v>
      </c>
      <c r="O1856">
        <f>equip.xml!R1860</f>
        <v>0</v>
      </c>
    </row>
    <row r="1857" spans="1:15">
      <c r="A1857" s="14" t="str">
        <f>equip.xml!A1861</f>
        <v>50011051</v>
      </c>
      <c r="B1857" s="14">
        <f>equip.xml!B1861</f>
        <v>1</v>
      </c>
      <c r="C1857" s="14" t="str">
        <f>equip.xml!C1861</f>
        <v>军刀</v>
      </c>
      <c r="D1857" s="14" t="str">
        <f>equip.xml!D1861</f>
        <v>主手武器</v>
      </c>
      <c r="E1857" s="14">
        <f>equip.xml!E1861</f>
        <v>5</v>
      </c>
      <c r="F1857" s="14">
        <f>equip.xml!F1861</f>
        <v>5</v>
      </c>
      <c r="G1857" s="14">
        <f>equip.xml!G1861</f>
        <v>1</v>
      </c>
      <c r="H1857" s="14" t="str">
        <f>equip.xml!H1861</f>
        <v>1,1001</v>
      </c>
      <c r="I1857" s="14">
        <f>equip.xml!J1861</f>
        <v>150</v>
      </c>
      <c r="J1857" s="14">
        <f>equip.xml!K1861</f>
        <v>1500</v>
      </c>
      <c r="K1857" s="14">
        <f>equip.xml!L1861</f>
        <v>0</v>
      </c>
      <c r="L1857" s="14" t="str">
        <f>equip.xml!M1861</f>
        <v>103_5_5,104_12_12</v>
      </c>
      <c r="M1857" s="17" t="str">
        <f>equip.xml!Q1861</f>
        <v>equipment/1102.png</v>
      </c>
      <c r="N1857" s="16" t="str">
        <f>equip.xml!P1861</f>
        <v>10000_1002_1000,30000_30001_1,30000_30002_1,30000_30003_1</v>
      </c>
      <c r="O1857">
        <f>equip.xml!R1861</f>
        <v>0</v>
      </c>
    </row>
    <row r="1858" spans="1:15">
      <c r="A1858" s="14" t="str">
        <f>equip.xml!A1862</f>
        <v>50011060</v>
      </c>
      <c r="B1858" s="14">
        <f>equip.xml!B1862</f>
        <v>1</v>
      </c>
      <c r="C1858" s="14" t="str">
        <f>equip.xml!C1862</f>
        <v>小圆盾</v>
      </c>
      <c r="D1858" s="14" t="str">
        <f>equip.xml!D1862</f>
        <v>副手武器</v>
      </c>
      <c r="E1858" s="14">
        <f>equip.xml!E1862</f>
        <v>6</v>
      </c>
      <c r="F1858" s="14">
        <f>equip.xml!F1862</f>
        <v>5</v>
      </c>
      <c r="G1858" s="14">
        <f>equip.xml!G1862</f>
        <v>1</v>
      </c>
      <c r="H1858" s="14" t="str">
        <f>equip.xml!H1862</f>
        <v>1,1001</v>
      </c>
      <c r="I1858" s="14">
        <f>equip.xml!J1862</f>
        <v>150</v>
      </c>
      <c r="J1858" s="14">
        <f>equip.xml!K1862</f>
        <v>1500</v>
      </c>
      <c r="K1858" s="14">
        <f>equip.xml!L1862</f>
        <v>0</v>
      </c>
      <c r="L1858" s="14" t="str">
        <f>equip.xml!M1862</f>
        <v>105_4_4</v>
      </c>
      <c r="M1858" s="17" t="str">
        <f>equip.xml!Q1862</f>
        <v>equipment/2101.png</v>
      </c>
      <c r="N1858" s="16" t="str">
        <f>equip.xml!P1862</f>
        <v>10000_1002_1000,30000_30001_1,30000_30002_1,30000_30003_1</v>
      </c>
      <c r="O1858">
        <f>equip.xml!R1862</f>
        <v>0</v>
      </c>
    </row>
    <row r="1859" spans="1:15">
      <c r="A1859" s="14" t="str">
        <f>equip.xml!A1863</f>
        <v>50011061</v>
      </c>
      <c r="B1859" s="14">
        <f>equip.xml!B1863</f>
        <v>0</v>
      </c>
      <c r="C1859" s="14" t="str">
        <f>equip.xml!C1863</f>
        <v>尖头盾</v>
      </c>
      <c r="D1859" s="14" t="str">
        <f>equip.xml!D1863</f>
        <v>副手武器</v>
      </c>
      <c r="E1859" s="14">
        <f>equip.xml!E1863</f>
        <v>6</v>
      </c>
      <c r="F1859" s="14">
        <f>equip.xml!F1863</f>
        <v>5</v>
      </c>
      <c r="G1859" s="14">
        <f>equip.xml!G1863</f>
        <v>1</v>
      </c>
      <c r="H1859" s="14" t="str">
        <f>equip.xml!H1863</f>
        <v>1,1001</v>
      </c>
      <c r="I1859" s="14">
        <f>equip.xml!J1863</f>
        <v>150</v>
      </c>
      <c r="J1859" s="14">
        <f>equip.xml!K1863</f>
        <v>1500</v>
      </c>
      <c r="K1859" s="14">
        <f>equip.xml!L1863</f>
        <v>0</v>
      </c>
      <c r="L1859" s="14" t="str">
        <f>equip.xml!M1863</f>
        <v>105_7_7</v>
      </c>
      <c r="M1859" s="17" t="str">
        <f>equip.xml!Q1863</f>
        <v>equipment/2101.png</v>
      </c>
      <c r="N1859" s="16" t="str">
        <f>equip.xml!P1863</f>
        <v>10000_1002_1000,30000_30001_1,30000_30002_1,30000_30003_1</v>
      </c>
      <c r="O1859">
        <f>equip.xml!R1863</f>
        <v>0</v>
      </c>
    </row>
    <row r="1860" spans="1:15">
      <c r="A1860" s="14" t="str">
        <f>equip.xml!A1864</f>
        <v>50012050</v>
      </c>
      <c r="B1860" s="14">
        <f>equip.xml!B1864</f>
        <v>1</v>
      </c>
      <c r="C1860" s="14" t="str">
        <f>equip.xml!C1864</f>
        <v>短弓</v>
      </c>
      <c r="D1860" s="14" t="str">
        <f>equip.xml!D1864</f>
        <v>主手武器</v>
      </c>
      <c r="E1860" s="14">
        <f>equip.xml!E1864</f>
        <v>5</v>
      </c>
      <c r="F1860" s="14">
        <f>equip.xml!F1864</f>
        <v>5</v>
      </c>
      <c r="G1860" s="14">
        <f>equip.xml!G1864</f>
        <v>1</v>
      </c>
      <c r="H1860" s="14" t="str">
        <f>equip.xml!H1864</f>
        <v>2,1002</v>
      </c>
      <c r="I1860" s="14">
        <f>equip.xml!J1864</f>
        <v>150</v>
      </c>
      <c r="J1860" s="14">
        <f>equip.xml!K1864</f>
        <v>1500</v>
      </c>
      <c r="K1860" s="14">
        <f>equip.xml!L1864</f>
        <v>0</v>
      </c>
      <c r="L1860" s="14" t="str">
        <f>equip.xml!M1864</f>
        <v>103_2_2,104_6_6</v>
      </c>
      <c r="M1860" s="17" t="str">
        <f>equip.xml!Q1864</f>
        <v>equipment/1201.png</v>
      </c>
      <c r="N1860" s="16" t="str">
        <f>equip.xml!P1864</f>
        <v>10000_1002_1000,30000_30001_1,30000_30002_1,30000_30003_1</v>
      </c>
      <c r="O1860">
        <f>equip.xml!R1864</f>
        <v>0</v>
      </c>
    </row>
    <row r="1861" spans="1:15">
      <c r="A1861" s="14" t="str">
        <f>equip.xml!A1865</f>
        <v>50012051</v>
      </c>
      <c r="B1861" s="14">
        <f>equip.xml!B1865</f>
        <v>1</v>
      </c>
      <c r="C1861" s="14" t="str">
        <f>equip.xml!C1865</f>
        <v>棘木弓</v>
      </c>
      <c r="D1861" s="14" t="str">
        <f>equip.xml!D1865</f>
        <v>主手武器</v>
      </c>
      <c r="E1861" s="14">
        <f>equip.xml!E1865</f>
        <v>5</v>
      </c>
      <c r="F1861" s="14">
        <f>equip.xml!F1865</f>
        <v>5</v>
      </c>
      <c r="G1861" s="14">
        <f>equip.xml!G1865</f>
        <v>1</v>
      </c>
      <c r="H1861" s="14" t="str">
        <f>equip.xml!H1865</f>
        <v>2,1002</v>
      </c>
      <c r="I1861" s="14">
        <f>equip.xml!J1865</f>
        <v>150</v>
      </c>
      <c r="J1861" s="14">
        <f>equip.xml!K1865</f>
        <v>1500</v>
      </c>
      <c r="K1861" s="14">
        <f>equip.xml!L1865</f>
        <v>0</v>
      </c>
      <c r="L1861" s="14" t="str">
        <f>equip.xml!M1865</f>
        <v>103_5_5,104_12_12</v>
      </c>
      <c r="M1861" s="17" t="str">
        <f>equip.xml!Q1865</f>
        <v>equipment/1202.png</v>
      </c>
      <c r="N1861" s="16" t="str">
        <f>equip.xml!P1865</f>
        <v>10000_1002_1000,30000_30001_1,30000_30002_1,30000_30003_1</v>
      </c>
      <c r="O1861">
        <f>equip.xml!R1865</f>
        <v>0</v>
      </c>
    </row>
    <row r="1862" spans="1:15">
      <c r="A1862" s="14" t="str">
        <f>equip.xml!A1866</f>
        <v>50012060</v>
      </c>
      <c r="B1862" s="14">
        <f>equip.xml!B1866</f>
        <v>1</v>
      </c>
      <c r="C1862" s="14" t="str">
        <f>equip.xml!C1866</f>
        <v>小箭筒</v>
      </c>
      <c r="D1862" s="14" t="str">
        <f>equip.xml!D1866</f>
        <v>副手武器</v>
      </c>
      <c r="E1862" s="14">
        <f>equip.xml!E1866</f>
        <v>6</v>
      </c>
      <c r="F1862" s="14">
        <f>equip.xml!F1866</f>
        <v>5</v>
      </c>
      <c r="G1862" s="14">
        <f>equip.xml!G1866</f>
        <v>1</v>
      </c>
      <c r="H1862" s="14" t="str">
        <f>equip.xml!H1866</f>
        <v>2,1002</v>
      </c>
      <c r="I1862" s="14">
        <f>equip.xml!J1866</f>
        <v>150</v>
      </c>
      <c r="J1862" s="14">
        <f>equip.xml!K1866</f>
        <v>1500</v>
      </c>
      <c r="K1862" s="14">
        <f>equip.xml!L1866</f>
        <v>0</v>
      </c>
      <c r="L1862" s="14" t="str">
        <f>equip.xml!M1866</f>
        <v>108_4_4</v>
      </c>
      <c r="M1862" s="17" t="str">
        <f>equip.xml!Q1866</f>
        <v>equipment/2201.png</v>
      </c>
      <c r="N1862" s="16" t="str">
        <f>equip.xml!P1866</f>
        <v>10000_1002_1000,30000_30001_1,30000_30002_1,30000_30003_1</v>
      </c>
      <c r="O1862">
        <f>equip.xml!R1866</f>
        <v>0</v>
      </c>
    </row>
    <row r="1863" spans="1:15">
      <c r="A1863" s="14" t="str">
        <f>equip.xml!A1867</f>
        <v>50012061</v>
      </c>
      <c r="B1863" s="14">
        <f>equip.xml!B1867</f>
        <v>0</v>
      </c>
      <c r="C1863" s="14" t="str">
        <f>equip.xml!C1867</f>
        <v>箭筒</v>
      </c>
      <c r="D1863" s="14" t="str">
        <f>equip.xml!D1867</f>
        <v>副手武器</v>
      </c>
      <c r="E1863" s="14">
        <f>equip.xml!E1867</f>
        <v>6</v>
      </c>
      <c r="F1863" s="14">
        <f>equip.xml!F1867</f>
        <v>5</v>
      </c>
      <c r="G1863" s="14">
        <f>equip.xml!G1867</f>
        <v>1</v>
      </c>
      <c r="H1863" s="14" t="str">
        <f>equip.xml!H1867</f>
        <v>2,1002</v>
      </c>
      <c r="I1863" s="14">
        <f>equip.xml!J1867</f>
        <v>150</v>
      </c>
      <c r="J1863" s="14">
        <f>equip.xml!K1867</f>
        <v>1500</v>
      </c>
      <c r="K1863" s="14">
        <f>equip.xml!L1867</f>
        <v>0</v>
      </c>
      <c r="L1863" s="14" t="str">
        <f>equip.xml!M1867</f>
        <v>108_7_7</v>
      </c>
      <c r="M1863" s="17" t="str">
        <f>equip.xml!Q1867</f>
        <v>equipment/2201.png</v>
      </c>
      <c r="N1863" s="16" t="str">
        <f>equip.xml!P1867</f>
        <v>10000_1002_1000,30000_30001_1,30000_30002_1,30000_30003_1</v>
      </c>
      <c r="O1863">
        <f>equip.xml!R1867</f>
        <v>0</v>
      </c>
    </row>
    <row r="1864" spans="1:15">
      <c r="A1864" s="14" t="str">
        <f>equip.xml!A1868</f>
        <v>50013050</v>
      </c>
      <c r="B1864" s="14">
        <f>equip.xml!B1868</f>
        <v>1</v>
      </c>
      <c r="C1864" s="14" t="str">
        <f>equip.xml!C1868</f>
        <v>训练用杖</v>
      </c>
      <c r="D1864" s="14" t="str">
        <f>equip.xml!D1868</f>
        <v>主手武器</v>
      </c>
      <c r="E1864" s="14">
        <f>equip.xml!E1868</f>
        <v>5</v>
      </c>
      <c r="F1864" s="14">
        <f>equip.xml!F1868</f>
        <v>5</v>
      </c>
      <c r="G1864" s="14">
        <f>equip.xml!G1868</f>
        <v>1</v>
      </c>
      <c r="H1864" s="14" t="str">
        <f>equip.xml!H1868</f>
        <v>3,1003</v>
      </c>
      <c r="I1864" s="14">
        <f>equip.xml!J1868</f>
        <v>150</v>
      </c>
      <c r="J1864" s="14">
        <f>equip.xml!K1868</f>
        <v>1500</v>
      </c>
      <c r="K1864" s="14">
        <f>equip.xml!L1868</f>
        <v>0</v>
      </c>
      <c r="L1864" s="14" t="str">
        <f>equip.xml!M1868</f>
        <v>103_2_2,104_6_6</v>
      </c>
      <c r="M1864" s="17" t="str">
        <f>equip.xml!Q1868</f>
        <v>equipment/1301.png</v>
      </c>
      <c r="N1864" s="16" t="str">
        <f>equip.xml!P1868</f>
        <v>10000_1002_1000,30000_30001_1,30000_30002_1,30000_30003_1</v>
      </c>
      <c r="O1864">
        <f>equip.xml!R1868</f>
        <v>0</v>
      </c>
    </row>
    <row r="1865" spans="1:15">
      <c r="A1865" s="14" t="str">
        <f>equip.xml!A1869</f>
        <v>50013051</v>
      </c>
      <c r="B1865" s="14">
        <f>equip.xml!B1869</f>
        <v>1</v>
      </c>
      <c r="C1865" s="14" t="str">
        <f>equip.xml!C1869</f>
        <v>学徒法杖</v>
      </c>
      <c r="D1865" s="14" t="str">
        <f>equip.xml!D1869</f>
        <v>主手武器</v>
      </c>
      <c r="E1865" s="14">
        <f>equip.xml!E1869</f>
        <v>5</v>
      </c>
      <c r="F1865" s="14">
        <f>equip.xml!F1869</f>
        <v>5</v>
      </c>
      <c r="G1865" s="14">
        <f>equip.xml!G1869</f>
        <v>1</v>
      </c>
      <c r="H1865" s="14" t="str">
        <f>equip.xml!H1869</f>
        <v>3,1003</v>
      </c>
      <c r="I1865" s="14">
        <f>equip.xml!J1869</f>
        <v>150</v>
      </c>
      <c r="J1865" s="14">
        <f>equip.xml!K1869</f>
        <v>1500</v>
      </c>
      <c r="K1865" s="14">
        <f>equip.xml!L1869</f>
        <v>0</v>
      </c>
      <c r="L1865" s="14" t="str">
        <f>equip.xml!M1869</f>
        <v>103_5_5,104_12_12</v>
      </c>
      <c r="M1865" s="17" t="str">
        <f>equip.xml!Q1869</f>
        <v>equipment/1302.png</v>
      </c>
      <c r="N1865" s="16" t="str">
        <f>equip.xml!P1869</f>
        <v>10000_1002_1000,30000_30001_1,30000_30002_1,30000_30003_1</v>
      </c>
      <c r="O1865">
        <f>equip.xml!R1869</f>
        <v>0</v>
      </c>
    </row>
    <row r="1866" spans="1:15">
      <c r="A1866" s="14" t="str">
        <f>equip.xml!A1870</f>
        <v>50013060</v>
      </c>
      <c r="B1866" s="14">
        <f>equip.xml!B1870</f>
        <v>1</v>
      </c>
      <c r="C1866" s="14" t="str">
        <f>equip.xml!C1870</f>
        <v>学徒手册</v>
      </c>
      <c r="D1866" s="14" t="str">
        <f>equip.xml!D1870</f>
        <v>副手武器</v>
      </c>
      <c r="E1866" s="14">
        <f>equip.xml!E1870</f>
        <v>6</v>
      </c>
      <c r="F1866" s="14">
        <f>equip.xml!F1870</f>
        <v>5</v>
      </c>
      <c r="G1866" s="14">
        <f>equip.xml!G1870</f>
        <v>1</v>
      </c>
      <c r="H1866" s="14" t="str">
        <f>equip.xml!H1870</f>
        <v>3,1003</v>
      </c>
      <c r="I1866" s="14">
        <f>equip.xml!J1870</f>
        <v>150</v>
      </c>
      <c r="J1866" s="14">
        <f>equip.xml!K1870</f>
        <v>1500</v>
      </c>
      <c r="K1866" s="14">
        <f>equip.xml!L1870</f>
        <v>0</v>
      </c>
      <c r="L1866" s="14" t="str">
        <f>equip.xml!M1870</f>
        <v>102_30_30</v>
      </c>
      <c r="M1866" s="17" t="str">
        <f>equip.xml!Q1870</f>
        <v>equipment/2301.png</v>
      </c>
      <c r="N1866" s="16" t="str">
        <f>equip.xml!P1870</f>
        <v>10000_1002_1000,30000_30001_1,30000_30002_1,30000_30003_1</v>
      </c>
      <c r="O1866">
        <f>equip.xml!R1870</f>
        <v>0</v>
      </c>
    </row>
    <row r="1867" spans="1:15">
      <c r="A1867" s="14" t="str">
        <f>equip.xml!A1871</f>
        <v>50013061</v>
      </c>
      <c r="B1867" s="14">
        <f>equip.xml!B1871</f>
        <v>0</v>
      </c>
      <c r="C1867" s="14" t="str">
        <f>equip.xml!C1871</f>
        <v>法术指南</v>
      </c>
      <c r="D1867" s="14" t="str">
        <f>equip.xml!D1871</f>
        <v>副手武器</v>
      </c>
      <c r="E1867" s="14">
        <f>equip.xml!E1871</f>
        <v>6</v>
      </c>
      <c r="F1867" s="14">
        <f>equip.xml!F1871</f>
        <v>5</v>
      </c>
      <c r="G1867" s="14">
        <f>equip.xml!G1871</f>
        <v>1</v>
      </c>
      <c r="H1867" s="14" t="str">
        <f>equip.xml!H1871</f>
        <v>3,1003</v>
      </c>
      <c r="I1867" s="14">
        <f>equip.xml!J1871</f>
        <v>150</v>
      </c>
      <c r="J1867" s="14">
        <f>equip.xml!K1871</f>
        <v>1500</v>
      </c>
      <c r="K1867" s="14">
        <f>equip.xml!L1871</f>
        <v>0</v>
      </c>
      <c r="L1867" s="14" t="str">
        <f>equip.xml!M1871</f>
        <v>102_7_7</v>
      </c>
      <c r="M1867" s="17" t="str">
        <f>equip.xml!Q1871</f>
        <v>equipment/2301.png</v>
      </c>
      <c r="N1867" s="16" t="str">
        <f>equip.xml!P1871</f>
        <v>10000_1002_1000,30000_30001_1,30000_30002_1,30000_30003_1</v>
      </c>
      <c r="O1867">
        <f>equip.xml!R1871</f>
        <v>0</v>
      </c>
    </row>
    <row r="1868" spans="1:15">
      <c r="A1868" s="14" t="str">
        <f>equip.xml!A1872</f>
        <v>50010040</v>
      </c>
      <c r="B1868" s="14">
        <f>equip.xml!B1872</f>
        <v>1</v>
      </c>
      <c r="C1868" s="14" t="str">
        <f>equip.xml!C1872</f>
        <v>新兵外套</v>
      </c>
      <c r="D1868" s="14" t="str">
        <f>equip.xml!D1872</f>
        <v>胸甲</v>
      </c>
      <c r="E1868" s="14">
        <f>equip.xml!E1872</f>
        <v>4</v>
      </c>
      <c r="F1868" s="14">
        <f>equip.xml!F1872</f>
        <v>5</v>
      </c>
      <c r="G1868" s="14">
        <f>equip.xml!G1872</f>
        <v>1</v>
      </c>
      <c r="H1868" s="14">
        <f>equip.xml!H1872</f>
        <v>0</v>
      </c>
      <c r="I1868" s="14">
        <f>equip.xml!J1872</f>
        <v>150</v>
      </c>
      <c r="J1868" s="14">
        <f>equip.xml!K1872</f>
        <v>1500</v>
      </c>
      <c r="K1868" s="14">
        <f>equip.xml!L1872</f>
        <v>0</v>
      </c>
      <c r="L1868" s="14" t="str">
        <f>equip.xml!M1872</f>
        <v>105_3_3</v>
      </c>
      <c r="M1868" s="17" t="str">
        <f>equip.xml!Q1872</f>
        <v>equipment/5001.png</v>
      </c>
      <c r="N1868" s="16" t="str">
        <f>equip.xml!P1872</f>
        <v>10000_1002_1000,30000_30001_1,30000_30002_1,30000_30003_1</v>
      </c>
      <c r="O1868">
        <f>equip.xml!R1872</f>
        <v>0</v>
      </c>
    </row>
    <row r="1869" spans="1:15">
      <c r="A1869" s="14" t="str">
        <f>equip.xml!A1873</f>
        <v>50010041</v>
      </c>
      <c r="B1869" s="14">
        <f>equip.xml!B1873</f>
        <v>0</v>
      </c>
      <c r="C1869" s="14" t="str">
        <f>equip.xml!C1873</f>
        <v>新兵外套</v>
      </c>
      <c r="D1869" s="14" t="str">
        <f>equip.xml!D1873</f>
        <v>胸甲</v>
      </c>
      <c r="E1869" s="14">
        <f>equip.xml!E1873</f>
        <v>4</v>
      </c>
      <c r="F1869" s="14">
        <f>equip.xml!F1873</f>
        <v>5</v>
      </c>
      <c r="G1869" s="14">
        <f>equip.xml!G1873</f>
        <v>1</v>
      </c>
      <c r="H1869" s="14">
        <f>equip.xml!H1873</f>
        <v>0</v>
      </c>
      <c r="I1869" s="14">
        <f>equip.xml!J1873</f>
        <v>150</v>
      </c>
      <c r="J1869" s="14">
        <f>equip.xml!K1873</f>
        <v>1500</v>
      </c>
      <c r="K1869" s="14">
        <f>equip.xml!L1873</f>
        <v>0</v>
      </c>
      <c r="L1869" s="14" t="str">
        <f>equip.xml!M1873</f>
        <v>105_5_5</v>
      </c>
      <c r="M1869" s="17" t="str">
        <f>equip.xml!Q1873</f>
        <v>equipment/5001.png</v>
      </c>
      <c r="N1869" s="16" t="str">
        <f>equip.xml!P1873</f>
        <v>10000_1002_1000,30000_30001_1,30000_30002_1,30000_30003_1</v>
      </c>
      <c r="O1869">
        <f>equip.xml!R1873</f>
        <v>0</v>
      </c>
    </row>
    <row r="1870" spans="1:15">
      <c r="A1870" s="14" t="str">
        <f>equip.xml!A1874</f>
        <v>50010070</v>
      </c>
      <c r="B1870" s="14">
        <f>equip.xml!B1874</f>
        <v>0</v>
      </c>
      <c r="C1870" s="14" t="str">
        <f>equip.xml!C1874</f>
        <v>皮甲短裤</v>
      </c>
      <c r="D1870" s="14" t="str">
        <f>equip.xml!D1874</f>
        <v>护腿</v>
      </c>
      <c r="E1870" s="14">
        <f>equip.xml!E1874</f>
        <v>7</v>
      </c>
      <c r="F1870" s="14">
        <f>equip.xml!F1874</f>
        <v>5</v>
      </c>
      <c r="G1870" s="14">
        <f>equip.xml!G1874</f>
        <v>1</v>
      </c>
      <c r="H1870" s="14">
        <f>equip.xml!H1874</f>
        <v>0</v>
      </c>
      <c r="I1870" s="14">
        <f>equip.xml!J1874</f>
        <v>150</v>
      </c>
      <c r="J1870" s="14">
        <f>equip.xml!K1874</f>
        <v>1500</v>
      </c>
      <c r="K1870" s="14">
        <f>equip.xml!L1874</f>
        <v>0</v>
      </c>
      <c r="L1870" s="14" t="str">
        <f>equip.xml!M1874</f>
        <v>105_0_0</v>
      </c>
      <c r="M1870" s="17" t="str">
        <f>equip.xml!Q1874</f>
        <v>equipment/7001.png</v>
      </c>
      <c r="N1870" s="16" t="str">
        <f>equip.xml!P1874</f>
        <v>10000_1002_1000,30000_30001_1,30000_30002_1,30000_30003_1</v>
      </c>
      <c r="O1870">
        <f>equip.xml!R1874</f>
        <v>0</v>
      </c>
    </row>
    <row r="1871" spans="1:15">
      <c r="A1871" s="14" t="str">
        <f>equip.xml!A1875</f>
        <v>50010071</v>
      </c>
      <c r="B1871" s="14">
        <f>equip.xml!B1875</f>
        <v>0</v>
      </c>
      <c r="C1871" s="14" t="str">
        <f>equip.xml!C1875</f>
        <v>学徒短裤</v>
      </c>
      <c r="D1871" s="14" t="str">
        <f>equip.xml!D1875</f>
        <v>护腿</v>
      </c>
      <c r="E1871" s="14">
        <f>equip.xml!E1875</f>
        <v>7</v>
      </c>
      <c r="F1871" s="14">
        <f>equip.xml!F1875</f>
        <v>5</v>
      </c>
      <c r="G1871" s="14">
        <f>equip.xml!G1875</f>
        <v>1</v>
      </c>
      <c r="H1871" s="14">
        <f>equip.xml!H1875</f>
        <v>0</v>
      </c>
      <c r="I1871" s="14">
        <f>equip.xml!J1875</f>
        <v>150</v>
      </c>
      <c r="J1871" s="14">
        <f>equip.xml!K1875</f>
        <v>1500</v>
      </c>
      <c r="K1871" s="14">
        <f>equip.xml!L1875</f>
        <v>0</v>
      </c>
      <c r="L1871" s="14" t="str">
        <f>equip.xml!M1875</f>
        <v>105_1_1</v>
      </c>
      <c r="M1871" s="17" t="str">
        <f>equip.xml!Q1875</f>
        <v>equipment/7001.png</v>
      </c>
      <c r="N1871" s="16" t="str">
        <f>equip.xml!P1875</f>
        <v>10000_1002_1000,30000_30001_1,30000_30002_1,30000_30003_1</v>
      </c>
      <c r="O1871">
        <f>equip.xml!R1875</f>
        <v>0</v>
      </c>
    </row>
    <row r="1872" spans="1:15">
      <c r="A1872" s="14" t="str">
        <f>equip.xml!A1876</f>
        <v>50050010</v>
      </c>
      <c r="B1872" s="14">
        <f>equip.xml!B1876</f>
        <v>1</v>
      </c>
      <c r="C1872" s="14" t="str">
        <f>equip.xml!C1876</f>
        <v>纹饰帽</v>
      </c>
      <c r="D1872" s="14" t="str">
        <f>equip.xml!D1876</f>
        <v>头盔</v>
      </c>
      <c r="E1872" s="14">
        <f>equip.xml!E1876</f>
        <v>1</v>
      </c>
      <c r="F1872" s="14">
        <f>equip.xml!F1876</f>
        <v>5</v>
      </c>
      <c r="G1872" s="14">
        <f>equip.xml!G1876</f>
        <v>5</v>
      </c>
      <c r="H1872" s="14">
        <f>equip.xml!H1876</f>
        <v>0</v>
      </c>
      <c r="I1872" s="14">
        <f>equip.xml!J1876</f>
        <v>150</v>
      </c>
      <c r="J1872" s="14">
        <f>equip.xml!K1876</f>
        <v>1500</v>
      </c>
      <c r="K1872" s="14">
        <f>equip.xml!L1876</f>
        <v>0</v>
      </c>
      <c r="L1872" s="14" t="str">
        <f>equip.xml!M1876</f>
        <v>106_20_20</v>
      </c>
      <c r="M1872" s="17" t="str">
        <f>equip.xml!Q1876</f>
        <v>equipment/3001.png</v>
      </c>
      <c r="N1872" s="16" t="str">
        <f>equip.xml!P1876</f>
        <v>10000_1002_5000,30000_30001_1,30000_30002_1,30000_30003_1</v>
      </c>
      <c r="O1872">
        <f>equip.xml!R1876</f>
        <v>0</v>
      </c>
    </row>
    <row r="1873" spans="1:15">
      <c r="A1873" s="14" t="str">
        <f>equip.xml!A1877</f>
        <v>50050020</v>
      </c>
      <c r="B1873" s="14">
        <f>equip.xml!B1877</f>
        <v>1</v>
      </c>
      <c r="C1873" s="14" t="str">
        <f>equip.xml!C1877</f>
        <v>金戒指</v>
      </c>
      <c r="D1873" s="14" t="str">
        <f>equip.xml!D1877</f>
        <v>戒指</v>
      </c>
      <c r="E1873" s="14">
        <f>equip.xml!E1877</f>
        <v>2</v>
      </c>
      <c r="F1873" s="14">
        <f>equip.xml!F1877</f>
        <v>5</v>
      </c>
      <c r="G1873" s="14">
        <f>equip.xml!G1877</f>
        <v>5</v>
      </c>
      <c r="H1873" s="14">
        <f>equip.xml!H1877</f>
        <v>0</v>
      </c>
      <c r="I1873" s="14">
        <f>equip.xml!J1877</f>
        <v>150</v>
      </c>
      <c r="J1873" s="14">
        <f>equip.xml!K1877</f>
        <v>1500</v>
      </c>
      <c r="K1873" s="14">
        <f>equip.xml!L1877</f>
        <v>0</v>
      </c>
      <c r="L1873" s="14" t="str">
        <f>equip.xml!M1877</f>
        <v>102_80_80</v>
      </c>
      <c r="M1873" s="17" t="str">
        <f>equip.xml!Q1877</f>
        <v>equipment/14001.png</v>
      </c>
      <c r="N1873" s="16" t="str">
        <f>equip.xml!P1877</f>
        <v>10000_1002_5000,30000_30001_1,30000_30002_1,30000_30003_1</v>
      </c>
      <c r="O1873">
        <f>equip.xml!R1877</f>
        <v>0</v>
      </c>
    </row>
    <row r="1874" spans="1:15">
      <c r="A1874" s="14" t="str">
        <f>equip.xml!A1878</f>
        <v>50050030</v>
      </c>
      <c r="B1874" s="14">
        <f>equip.xml!B1878</f>
        <v>1</v>
      </c>
      <c r="C1874" s="14" t="str">
        <f>equip.xml!C1878</f>
        <v>兽皮腰带</v>
      </c>
      <c r="D1874" s="14" t="str">
        <f>equip.xml!D1878</f>
        <v>腰带</v>
      </c>
      <c r="E1874" s="14">
        <f>equip.xml!E1878</f>
        <v>3</v>
      </c>
      <c r="F1874" s="14">
        <f>equip.xml!F1878</f>
        <v>5</v>
      </c>
      <c r="G1874" s="14">
        <f>equip.xml!G1878</f>
        <v>5</v>
      </c>
      <c r="H1874" s="14">
        <f>equip.xml!H1878</f>
        <v>0</v>
      </c>
      <c r="I1874" s="14">
        <f>equip.xml!J1878</f>
        <v>150</v>
      </c>
      <c r="J1874" s="14">
        <f>equip.xml!K1878</f>
        <v>1500</v>
      </c>
      <c r="K1874" s="14">
        <f>equip.xml!L1878</f>
        <v>0</v>
      </c>
      <c r="L1874" s="14" t="str">
        <f>equip.xml!M1878</f>
        <v>101_100_100</v>
      </c>
      <c r="M1874" s="17" t="str">
        <f>equip.xml!Q1878</f>
        <v>equipment/6001.png</v>
      </c>
      <c r="N1874" s="16" t="str">
        <f>equip.xml!P1878</f>
        <v>10000_1002_5000,30000_30001_1,30000_30002_1,30000_30003_1</v>
      </c>
      <c r="O1874">
        <f>equip.xml!R1878</f>
        <v>0</v>
      </c>
    </row>
    <row r="1875" spans="1:15">
      <c r="A1875" s="14" t="str">
        <f>equip.xml!A1879</f>
        <v>50050080</v>
      </c>
      <c r="B1875" s="14">
        <f>equip.xml!B1879</f>
        <v>0</v>
      </c>
      <c r="C1875" s="14" t="str">
        <f>equip.xml!C1879</f>
        <v>皮靴</v>
      </c>
      <c r="D1875" s="14" t="str">
        <f>equip.xml!D1879</f>
        <v>鞋子</v>
      </c>
      <c r="E1875" s="14">
        <f>equip.xml!E1879</f>
        <v>8</v>
      </c>
      <c r="F1875" s="14">
        <f>equip.xml!F1879</f>
        <v>5</v>
      </c>
      <c r="G1875" s="14">
        <f>equip.xml!G1879</f>
        <v>5</v>
      </c>
      <c r="H1875" s="14">
        <f>equip.xml!H1879</f>
        <v>0</v>
      </c>
      <c r="I1875" s="14">
        <f>equip.xml!J1879</f>
        <v>150</v>
      </c>
      <c r="J1875" s="14">
        <f>equip.xml!K1879</f>
        <v>1500</v>
      </c>
      <c r="K1875" s="14">
        <f>equip.xml!L1879</f>
        <v>0</v>
      </c>
      <c r="L1875" s="14" t="str">
        <f>equip.xml!M1879</f>
        <v>110_7_7</v>
      </c>
      <c r="M1875" s="17" t="str">
        <f>equip.xml!Q1879</f>
        <v>equipment/8001.png</v>
      </c>
      <c r="N1875" s="16" t="str">
        <f>equip.xml!P1879</f>
        <v>10000_1002_5000,30000_30001_1,30000_30002_1,30000_30003_1</v>
      </c>
      <c r="O1875">
        <f>equip.xml!R1879</f>
        <v>0</v>
      </c>
    </row>
    <row r="1876" spans="1:15">
      <c r="A1876" s="14" t="str">
        <f>equip.xml!A1880</f>
        <v>50050090</v>
      </c>
      <c r="B1876" s="14">
        <f>equip.xml!B1880</f>
        <v>0</v>
      </c>
      <c r="C1876" s="14" t="str">
        <f>equip.xml!C1880</f>
        <v>轻布手套</v>
      </c>
      <c r="D1876" s="14" t="str">
        <f>equip.xml!D1880</f>
        <v>手套</v>
      </c>
      <c r="E1876" s="14">
        <f>equip.xml!E1880</f>
        <v>9</v>
      </c>
      <c r="F1876" s="14">
        <f>equip.xml!F1880</f>
        <v>5</v>
      </c>
      <c r="G1876" s="14">
        <f>equip.xml!G1880</f>
        <v>5</v>
      </c>
      <c r="H1876" s="14">
        <f>equip.xml!H1880</f>
        <v>0</v>
      </c>
      <c r="I1876" s="14">
        <f>equip.xml!J1880</f>
        <v>150</v>
      </c>
      <c r="J1876" s="14">
        <f>equip.xml!K1880</f>
        <v>1500</v>
      </c>
      <c r="K1876" s="14">
        <f>equip.xml!L1880</f>
        <v>0</v>
      </c>
      <c r="L1876" s="14" t="str">
        <f>equip.xml!M1880</f>
        <v>108_23_23</v>
      </c>
      <c r="M1876" s="17" t="str">
        <f>equip.xml!Q1880</f>
        <v>equipment/10001.png</v>
      </c>
      <c r="N1876" s="16" t="str">
        <f>equip.xml!P1880</f>
        <v>10000_1002_5000,30000_30001_1,30000_30002_1,30000_30003_1</v>
      </c>
      <c r="O1876">
        <f>equip.xml!R1880</f>
        <v>0</v>
      </c>
    </row>
    <row r="1877" spans="1:15">
      <c r="A1877" s="14" t="str">
        <f>equip.xml!A1881</f>
        <v>50050100</v>
      </c>
      <c r="B1877" s="14">
        <f>equip.xml!B1881</f>
        <v>1</v>
      </c>
      <c r="C1877" s="14" t="str">
        <f>equip.xml!C1881</f>
        <v>贝壳项链</v>
      </c>
      <c r="D1877" s="14" t="str">
        <f>equip.xml!D1881</f>
        <v>项链</v>
      </c>
      <c r="E1877" s="14">
        <f>equip.xml!E1881</f>
        <v>10</v>
      </c>
      <c r="F1877" s="14">
        <f>equip.xml!F1881</f>
        <v>5</v>
      </c>
      <c r="G1877" s="14">
        <f>equip.xml!G1881</f>
        <v>5</v>
      </c>
      <c r="H1877" s="14">
        <f>equip.xml!H1881</f>
        <v>0</v>
      </c>
      <c r="I1877" s="14">
        <f>equip.xml!J1881</f>
        <v>150</v>
      </c>
      <c r="J1877" s="14">
        <f>equip.xml!K1881</f>
        <v>1500</v>
      </c>
      <c r="K1877" s="14">
        <f>equip.xml!L1881</f>
        <v>0</v>
      </c>
      <c r="L1877" s="14" t="str">
        <f>equip.xml!M1881</f>
        <v>107_20_20</v>
      </c>
      <c r="M1877" s="17" t="str">
        <f>equip.xml!Q1881</f>
        <v>equipment/12001.png</v>
      </c>
      <c r="N1877" s="16" t="str">
        <f>equip.xml!P1881</f>
        <v>10000_1002_5000,30000_30001_1,30000_30002_1,30000_30003_1</v>
      </c>
      <c r="O1877">
        <f>equip.xml!R1881</f>
        <v>0</v>
      </c>
    </row>
    <row r="1878" spans="1:15">
      <c r="A1878" s="14" t="str">
        <f>equip.xml!A1882</f>
        <v>50051050</v>
      </c>
      <c r="B1878" s="14">
        <f>equip.xml!B1882</f>
        <v>1</v>
      </c>
      <c r="C1878" s="14" t="str">
        <f>equip.xml!C1882</f>
        <v>长剑</v>
      </c>
      <c r="D1878" s="14" t="str">
        <f>equip.xml!D1882</f>
        <v>主手武器</v>
      </c>
      <c r="E1878" s="14">
        <f>equip.xml!E1882</f>
        <v>5</v>
      </c>
      <c r="F1878" s="14">
        <f>equip.xml!F1882</f>
        <v>5</v>
      </c>
      <c r="G1878" s="14">
        <f>equip.xml!G1882</f>
        <v>5</v>
      </c>
      <c r="H1878" s="14" t="str">
        <f>equip.xml!H1882</f>
        <v>1,1001</v>
      </c>
      <c r="I1878" s="14">
        <f>equip.xml!J1882</f>
        <v>150</v>
      </c>
      <c r="J1878" s="14">
        <f>equip.xml!K1882</f>
        <v>1500</v>
      </c>
      <c r="K1878" s="14">
        <f>equip.xml!L1882</f>
        <v>0</v>
      </c>
      <c r="L1878" s="14" t="str">
        <f>equip.xml!M1882</f>
        <v>103_10_10,104_20_20</v>
      </c>
      <c r="M1878" s="17" t="str">
        <f>equip.xml!Q1882</f>
        <v>equipment/1103.png</v>
      </c>
      <c r="N1878" s="16" t="str">
        <f>equip.xml!P1882</f>
        <v>10000_1002_5000,30000_30001_1,30000_30002_1,30000_30003_1</v>
      </c>
      <c r="O1878">
        <f>equip.xml!R1882</f>
        <v>0</v>
      </c>
    </row>
    <row r="1879" spans="1:15">
      <c r="A1879" s="14" t="str">
        <f>equip.xml!A1883</f>
        <v>50051051</v>
      </c>
      <c r="B1879" s="14">
        <f>equip.xml!B1883</f>
        <v>1</v>
      </c>
      <c r="C1879" s="14" t="str">
        <f>equip.xml!C1883</f>
        <v>双刃剑</v>
      </c>
      <c r="D1879" s="14" t="str">
        <f>equip.xml!D1883</f>
        <v>主手武器</v>
      </c>
      <c r="E1879" s="14">
        <f>equip.xml!E1883</f>
        <v>5</v>
      </c>
      <c r="F1879" s="14">
        <f>equip.xml!F1883</f>
        <v>5</v>
      </c>
      <c r="G1879" s="14">
        <f>equip.xml!G1883</f>
        <v>5</v>
      </c>
      <c r="H1879" s="14" t="str">
        <f>equip.xml!H1883</f>
        <v>1,1001</v>
      </c>
      <c r="I1879" s="14">
        <f>equip.xml!J1883</f>
        <v>150</v>
      </c>
      <c r="J1879" s="14">
        <f>equip.xml!K1883</f>
        <v>1500</v>
      </c>
      <c r="K1879" s="14">
        <f>equip.xml!L1883</f>
        <v>0</v>
      </c>
      <c r="L1879" s="14" t="str">
        <f>equip.xml!M1883</f>
        <v>103_18_18,104_38_38</v>
      </c>
      <c r="M1879" s="17" t="str">
        <f>equip.xml!Q1883</f>
        <v>equipment/1104.png</v>
      </c>
      <c r="N1879" s="16" t="str">
        <f>equip.xml!P1883</f>
        <v>10000_1002_5000,30000_30001_1,30000_30002_1,30000_30003_1</v>
      </c>
      <c r="O1879">
        <f>equip.xml!R1883</f>
        <v>0</v>
      </c>
    </row>
    <row r="1880" spans="1:15">
      <c r="A1880" s="14" t="str">
        <f>equip.xml!A1884</f>
        <v>50051060</v>
      </c>
      <c r="B1880" s="14">
        <f>equip.xml!B1884</f>
        <v>1</v>
      </c>
      <c r="C1880" s="14" t="str">
        <f>equip.xml!C1884</f>
        <v>尖头盾</v>
      </c>
      <c r="D1880" s="14" t="str">
        <f>equip.xml!D1884</f>
        <v>副手武器</v>
      </c>
      <c r="E1880" s="14">
        <f>equip.xml!E1884</f>
        <v>6</v>
      </c>
      <c r="F1880" s="14">
        <f>equip.xml!F1884</f>
        <v>5</v>
      </c>
      <c r="G1880" s="14">
        <f>equip.xml!G1884</f>
        <v>5</v>
      </c>
      <c r="H1880" s="14" t="str">
        <f>equip.xml!H1884</f>
        <v>1,1001</v>
      </c>
      <c r="I1880" s="14">
        <f>equip.xml!J1884</f>
        <v>150</v>
      </c>
      <c r="J1880" s="14">
        <f>equip.xml!K1884</f>
        <v>1500</v>
      </c>
      <c r="K1880" s="14">
        <f>equip.xml!L1884</f>
        <v>0</v>
      </c>
      <c r="L1880" s="14" t="str">
        <f>equip.xml!M1884</f>
        <v>105_12_12</v>
      </c>
      <c r="M1880" s="17" t="str">
        <f>equip.xml!Q1884</f>
        <v>equipment/2102.png</v>
      </c>
      <c r="N1880" s="16" t="str">
        <f>equip.xml!P1884</f>
        <v>10000_1002_5000,30000_30001_1,30000_30002_1,30000_30003_1</v>
      </c>
      <c r="O1880">
        <f>equip.xml!R1884</f>
        <v>0</v>
      </c>
    </row>
    <row r="1881" spans="1:15">
      <c r="A1881" s="14" t="str">
        <f>equip.xml!A1885</f>
        <v>50051061</v>
      </c>
      <c r="B1881" s="14">
        <f>equip.xml!B1885</f>
        <v>0</v>
      </c>
      <c r="C1881" s="14" t="str">
        <f>equip.xml!C1885</f>
        <v>尖头盾</v>
      </c>
      <c r="D1881" s="14" t="str">
        <f>equip.xml!D1885</f>
        <v>副手武器</v>
      </c>
      <c r="E1881" s="14">
        <f>equip.xml!E1885</f>
        <v>6</v>
      </c>
      <c r="F1881" s="14">
        <f>equip.xml!F1885</f>
        <v>5</v>
      </c>
      <c r="G1881" s="14">
        <f>equip.xml!G1885</f>
        <v>5</v>
      </c>
      <c r="H1881" s="14" t="str">
        <f>equip.xml!H1885</f>
        <v>1,1001</v>
      </c>
      <c r="I1881" s="14">
        <f>equip.xml!J1885</f>
        <v>150</v>
      </c>
      <c r="J1881" s="14">
        <f>equip.xml!K1885</f>
        <v>1500</v>
      </c>
      <c r="K1881" s="14">
        <f>equip.xml!L1885</f>
        <v>0</v>
      </c>
      <c r="L1881" s="14" t="str">
        <f>equip.xml!M1885</f>
        <v>105_19_19</v>
      </c>
      <c r="M1881" s="17" t="str">
        <f>equip.xml!Q1885</f>
        <v>equipment/2101.png</v>
      </c>
      <c r="N1881" s="16" t="str">
        <f>equip.xml!P1885</f>
        <v>10000_1002_5000,30000_30001_1,30000_30002_1,30000_30003_1</v>
      </c>
      <c r="O1881">
        <f>equip.xml!R1885</f>
        <v>0</v>
      </c>
    </row>
    <row r="1882" spans="1:15">
      <c r="A1882" s="14" t="str">
        <f>equip.xml!A1886</f>
        <v>50052050</v>
      </c>
      <c r="B1882" s="14">
        <f>equip.xml!B1886</f>
        <v>1</v>
      </c>
      <c r="C1882" s="14" t="str">
        <f>equip.xml!C1886</f>
        <v>硬弓</v>
      </c>
      <c r="D1882" s="14" t="str">
        <f>equip.xml!D1886</f>
        <v>主手武器</v>
      </c>
      <c r="E1882" s="14">
        <f>equip.xml!E1886</f>
        <v>5</v>
      </c>
      <c r="F1882" s="14">
        <f>equip.xml!F1886</f>
        <v>5</v>
      </c>
      <c r="G1882" s="14">
        <f>equip.xml!G1886</f>
        <v>5</v>
      </c>
      <c r="H1882" s="14" t="str">
        <f>equip.xml!H1886</f>
        <v>2,1002</v>
      </c>
      <c r="I1882" s="14">
        <f>equip.xml!J1886</f>
        <v>150</v>
      </c>
      <c r="J1882" s="14">
        <f>equip.xml!K1886</f>
        <v>1500</v>
      </c>
      <c r="K1882" s="14">
        <f>equip.xml!L1886</f>
        <v>0</v>
      </c>
      <c r="L1882" s="14" t="str">
        <f>equip.xml!M1886</f>
        <v>103_10_10,104_20_20</v>
      </c>
      <c r="M1882" s="17" t="str">
        <f>equip.xml!Q1886</f>
        <v>equipment/1204.png</v>
      </c>
      <c r="N1882" s="16" t="str">
        <f>equip.xml!P1886</f>
        <v>10000_1002_5000,30000_30001_1,30000_30002_1,30000_30003_1</v>
      </c>
      <c r="O1882">
        <f>equip.xml!R1886</f>
        <v>0</v>
      </c>
    </row>
    <row r="1883" spans="1:15">
      <c r="A1883" s="14" t="str">
        <f>equip.xml!A1887</f>
        <v>50052051</v>
      </c>
      <c r="B1883" s="14">
        <f>equip.xml!B1887</f>
        <v>1</v>
      </c>
      <c r="C1883" s="14" t="str">
        <f>equip.xml!C1887</f>
        <v>反曲弓</v>
      </c>
      <c r="D1883" s="14" t="str">
        <f>equip.xml!D1887</f>
        <v>主手武器</v>
      </c>
      <c r="E1883" s="14">
        <f>equip.xml!E1887</f>
        <v>5</v>
      </c>
      <c r="F1883" s="14">
        <f>equip.xml!F1887</f>
        <v>5</v>
      </c>
      <c r="G1883" s="14">
        <f>equip.xml!G1887</f>
        <v>5</v>
      </c>
      <c r="H1883" s="14" t="str">
        <f>equip.xml!H1887</f>
        <v>2,1002</v>
      </c>
      <c r="I1883" s="14">
        <f>equip.xml!J1887</f>
        <v>150</v>
      </c>
      <c r="J1883" s="14">
        <f>equip.xml!K1887</f>
        <v>1500</v>
      </c>
      <c r="K1883" s="14">
        <f>equip.xml!L1887</f>
        <v>0</v>
      </c>
      <c r="L1883" s="14" t="str">
        <f>equip.xml!M1887</f>
        <v>103_18_18,104_38_38</v>
      </c>
      <c r="M1883" s="17" t="str">
        <f>equip.xml!Q1887</f>
        <v>equipment/1203.png</v>
      </c>
      <c r="N1883" s="16" t="str">
        <f>equip.xml!P1887</f>
        <v>10000_1002_5000,30000_30001_1,30000_30002_1,30000_30003_1</v>
      </c>
      <c r="O1883">
        <f>equip.xml!R1887</f>
        <v>0</v>
      </c>
    </row>
    <row r="1884" spans="1:15">
      <c r="A1884" s="14" t="str">
        <f>equip.xml!A1888</f>
        <v>50052060</v>
      </c>
      <c r="B1884" s="14">
        <f>equip.xml!B1888</f>
        <v>1</v>
      </c>
      <c r="C1884" s="14" t="str">
        <f>equip.xml!C1888</f>
        <v>箭筒</v>
      </c>
      <c r="D1884" s="14" t="str">
        <f>equip.xml!D1888</f>
        <v>副手武器</v>
      </c>
      <c r="E1884" s="14">
        <f>equip.xml!E1888</f>
        <v>6</v>
      </c>
      <c r="F1884" s="14">
        <f>equip.xml!F1888</f>
        <v>5</v>
      </c>
      <c r="G1884" s="14">
        <f>equip.xml!G1888</f>
        <v>5</v>
      </c>
      <c r="H1884" s="14" t="str">
        <f>equip.xml!H1888</f>
        <v>2,1002</v>
      </c>
      <c r="I1884" s="14">
        <f>equip.xml!J1888</f>
        <v>150</v>
      </c>
      <c r="J1884" s="14">
        <f>equip.xml!K1888</f>
        <v>1500</v>
      </c>
      <c r="K1884" s="14">
        <f>equip.xml!L1888</f>
        <v>0</v>
      </c>
      <c r="L1884" s="14" t="str">
        <f>equip.xml!M1888</f>
        <v>108_12_12</v>
      </c>
      <c r="M1884" s="17" t="str">
        <f>equip.xml!Q1888</f>
        <v>equipment/2202.png</v>
      </c>
      <c r="N1884" s="16" t="str">
        <f>equip.xml!P1888</f>
        <v>10000_1002_5000,30000_30001_1,30000_30002_1,30000_30003_1</v>
      </c>
      <c r="O1884">
        <f>equip.xml!R1888</f>
        <v>0</v>
      </c>
    </row>
    <row r="1885" spans="1:15">
      <c r="A1885" s="14" t="str">
        <f>equip.xml!A1889</f>
        <v>50052061</v>
      </c>
      <c r="B1885" s="14">
        <f>equip.xml!B1889</f>
        <v>0</v>
      </c>
      <c r="C1885" s="14" t="str">
        <f>equip.xml!C1889</f>
        <v>箭筒</v>
      </c>
      <c r="D1885" s="14" t="str">
        <f>equip.xml!D1889</f>
        <v>副手武器</v>
      </c>
      <c r="E1885" s="14">
        <f>equip.xml!E1889</f>
        <v>6</v>
      </c>
      <c r="F1885" s="14">
        <f>equip.xml!F1889</f>
        <v>5</v>
      </c>
      <c r="G1885" s="14">
        <f>equip.xml!G1889</f>
        <v>5</v>
      </c>
      <c r="H1885" s="14" t="str">
        <f>equip.xml!H1889</f>
        <v>2,1002</v>
      </c>
      <c r="I1885" s="14">
        <f>equip.xml!J1889</f>
        <v>150</v>
      </c>
      <c r="J1885" s="14">
        <f>equip.xml!K1889</f>
        <v>1500</v>
      </c>
      <c r="K1885" s="14">
        <f>equip.xml!L1889</f>
        <v>0</v>
      </c>
      <c r="L1885" s="14" t="str">
        <f>equip.xml!M1889</f>
        <v>108_19_19</v>
      </c>
      <c r="M1885" s="17" t="str">
        <f>equip.xml!Q1889</f>
        <v>equipment/2201.png</v>
      </c>
      <c r="N1885" s="16" t="str">
        <f>equip.xml!P1889</f>
        <v>10000_1002_5000,30000_30001_1,30000_30002_1,30000_30003_1</v>
      </c>
      <c r="O1885">
        <f>equip.xml!R1889</f>
        <v>0</v>
      </c>
    </row>
    <row r="1886" spans="1:15">
      <c r="A1886" s="14" t="str">
        <f>equip.xml!A1890</f>
        <v>50053050</v>
      </c>
      <c r="B1886" s="14">
        <f>equip.xml!B1890</f>
        <v>1</v>
      </c>
      <c r="C1886" s="14" t="str">
        <f>equip.xml!C1890</f>
        <v>巫术之杖</v>
      </c>
      <c r="D1886" s="14" t="str">
        <f>equip.xml!D1890</f>
        <v>主手武器</v>
      </c>
      <c r="E1886" s="14">
        <f>equip.xml!E1890</f>
        <v>5</v>
      </c>
      <c r="F1886" s="14">
        <f>equip.xml!F1890</f>
        <v>5</v>
      </c>
      <c r="G1886" s="14">
        <f>equip.xml!G1890</f>
        <v>5</v>
      </c>
      <c r="H1886" s="14" t="str">
        <f>equip.xml!H1890</f>
        <v>3,1003</v>
      </c>
      <c r="I1886" s="14">
        <f>equip.xml!J1890</f>
        <v>150</v>
      </c>
      <c r="J1886" s="14">
        <f>equip.xml!K1890</f>
        <v>1500</v>
      </c>
      <c r="K1886" s="14">
        <f>equip.xml!L1890</f>
        <v>0</v>
      </c>
      <c r="L1886" s="14" t="str">
        <f>equip.xml!M1890</f>
        <v>103_10_10,104_20_20</v>
      </c>
      <c r="M1886" s="17" t="str">
        <f>equip.xml!Q1890</f>
        <v>equipment/1303.png</v>
      </c>
      <c r="N1886" s="16" t="str">
        <f>equip.xml!P1890</f>
        <v>10000_1002_5000,30000_30001_1,30000_30002_1,30000_30003_1</v>
      </c>
      <c r="O1886">
        <f>equip.xml!R1890</f>
        <v>0</v>
      </c>
    </row>
    <row r="1887" spans="1:15">
      <c r="A1887" s="14" t="str">
        <f>equip.xml!A1891</f>
        <v>50053051</v>
      </c>
      <c r="B1887" s="14">
        <f>equip.xml!B1891</f>
        <v>1</v>
      </c>
      <c r="C1887" s="14" t="str">
        <f>equip.xml!C1891</f>
        <v>秘术法杖</v>
      </c>
      <c r="D1887" s="14" t="str">
        <f>equip.xml!D1891</f>
        <v>主手武器</v>
      </c>
      <c r="E1887" s="14">
        <f>equip.xml!E1891</f>
        <v>5</v>
      </c>
      <c r="F1887" s="14">
        <f>equip.xml!F1891</f>
        <v>5</v>
      </c>
      <c r="G1887" s="14">
        <f>equip.xml!G1891</f>
        <v>5</v>
      </c>
      <c r="H1887" s="14" t="str">
        <f>equip.xml!H1891</f>
        <v>3,1003</v>
      </c>
      <c r="I1887" s="14">
        <f>equip.xml!J1891</f>
        <v>150</v>
      </c>
      <c r="J1887" s="14">
        <f>equip.xml!K1891</f>
        <v>1500</v>
      </c>
      <c r="K1887" s="14">
        <f>equip.xml!L1891</f>
        <v>0</v>
      </c>
      <c r="L1887" s="14" t="str">
        <f>equip.xml!M1891</f>
        <v>103_18_18,104_38_38</v>
      </c>
      <c r="M1887" s="17" t="str">
        <f>equip.xml!Q1891</f>
        <v>equipment/1304.png</v>
      </c>
      <c r="N1887" s="16" t="str">
        <f>equip.xml!P1891</f>
        <v>10000_1002_5000,30000_30001_1,30000_30002_1,30000_30003_1</v>
      </c>
      <c r="O1887">
        <f>equip.xml!R1891</f>
        <v>0</v>
      </c>
    </row>
    <row r="1888" spans="1:15">
      <c r="A1888" s="14" t="str">
        <f>equip.xml!A1892</f>
        <v>50053060</v>
      </c>
      <c r="B1888" s="14">
        <f>equip.xml!B1892</f>
        <v>1</v>
      </c>
      <c r="C1888" s="14" t="str">
        <f>equip.xml!C1892</f>
        <v>法术指南</v>
      </c>
      <c r="D1888" s="14" t="str">
        <f>equip.xml!D1892</f>
        <v>副手武器</v>
      </c>
      <c r="E1888" s="14">
        <f>equip.xml!E1892</f>
        <v>6</v>
      </c>
      <c r="F1888" s="14">
        <f>equip.xml!F1892</f>
        <v>5</v>
      </c>
      <c r="G1888" s="14">
        <f>equip.xml!G1892</f>
        <v>5</v>
      </c>
      <c r="H1888" s="14" t="str">
        <f>equip.xml!H1892</f>
        <v>3,1003</v>
      </c>
      <c r="I1888" s="14">
        <f>equip.xml!J1892</f>
        <v>150</v>
      </c>
      <c r="J1888" s="14">
        <f>equip.xml!K1892</f>
        <v>1500</v>
      </c>
      <c r="K1888" s="14">
        <f>equip.xml!L1892</f>
        <v>0</v>
      </c>
      <c r="L1888" s="14" t="str">
        <f>equip.xml!M1892</f>
        <v>102_110_110</v>
      </c>
      <c r="M1888" s="17" t="str">
        <f>equip.xml!Q1892</f>
        <v>equipment/2302.png</v>
      </c>
      <c r="N1888" s="16" t="str">
        <f>equip.xml!P1892</f>
        <v>10000_1002_5000,30000_30001_1,30000_30002_1,30000_30003_1</v>
      </c>
      <c r="O1888">
        <f>equip.xml!R1892</f>
        <v>0</v>
      </c>
    </row>
    <row r="1889" spans="1:15">
      <c r="A1889" s="14" t="str">
        <f>equip.xml!A1893</f>
        <v>50053061</v>
      </c>
      <c r="B1889" s="14">
        <f>equip.xml!B1893</f>
        <v>0</v>
      </c>
      <c r="C1889" s="14" t="str">
        <f>equip.xml!C1893</f>
        <v>法术指南</v>
      </c>
      <c r="D1889" s="14" t="str">
        <f>equip.xml!D1893</f>
        <v>副手武器</v>
      </c>
      <c r="E1889" s="14">
        <f>equip.xml!E1893</f>
        <v>6</v>
      </c>
      <c r="F1889" s="14">
        <f>equip.xml!F1893</f>
        <v>5</v>
      </c>
      <c r="G1889" s="14">
        <f>equip.xml!G1893</f>
        <v>5</v>
      </c>
      <c r="H1889" s="14" t="str">
        <f>equip.xml!H1893</f>
        <v>3,1003</v>
      </c>
      <c r="I1889" s="14">
        <f>equip.xml!J1893</f>
        <v>150</v>
      </c>
      <c r="J1889" s="14">
        <f>equip.xml!K1893</f>
        <v>1500</v>
      </c>
      <c r="K1889" s="14">
        <f>equip.xml!L1893</f>
        <v>0</v>
      </c>
      <c r="L1889" s="14" t="str">
        <f>equip.xml!M1893</f>
        <v>102_19_19</v>
      </c>
      <c r="M1889" s="17" t="str">
        <f>equip.xml!Q1893</f>
        <v>equipment/2301.png</v>
      </c>
      <c r="N1889" s="16" t="str">
        <f>equip.xml!P1893</f>
        <v>10000_1002_5000,30000_30001_1,30000_30002_1,30000_30003_1</v>
      </c>
      <c r="O1889">
        <f>equip.xml!R1893</f>
        <v>0</v>
      </c>
    </row>
    <row r="1890" spans="1:15">
      <c r="A1890" s="14" t="str">
        <f>equip.xml!A1894</f>
        <v>50050040</v>
      </c>
      <c r="B1890" s="14">
        <f>equip.xml!B1894</f>
        <v>1</v>
      </c>
      <c r="C1890" s="14" t="str">
        <f>equip.xml!C1894</f>
        <v>锁甲外套</v>
      </c>
      <c r="D1890" s="14" t="str">
        <f>equip.xml!D1894</f>
        <v>胸甲</v>
      </c>
      <c r="E1890" s="14">
        <f>equip.xml!E1894</f>
        <v>4</v>
      </c>
      <c r="F1890" s="14">
        <f>equip.xml!F1894</f>
        <v>5</v>
      </c>
      <c r="G1890" s="14">
        <f>equip.xml!G1894</f>
        <v>5</v>
      </c>
      <c r="H1890" s="14">
        <f>equip.xml!H1894</f>
        <v>0</v>
      </c>
      <c r="I1890" s="14">
        <f>equip.xml!J1894</f>
        <v>150</v>
      </c>
      <c r="J1890" s="14">
        <f>equip.xml!K1894</f>
        <v>1500</v>
      </c>
      <c r="K1890" s="14">
        <f>equip.xml!L1894</f>
        <v>0</v>
      </c>
      <c r="L1890" s="14" t="str">
        <f>equip.xml!M1894</f>
        <v>105_9_9</v>
      </c>
      <c r="M1890" s="17" t="str">
        <f>equip.xml!Q1894</f>
        <v>equipment/5002.png</v>
      </c>
      <c r="N1890" s="16" t="str">
        <f>equip.xml!P1894</f>
        <v>10000_1002_5000,30000_30001_1,30000_30002_1,30000_30003_1</v>
      </c>
      <c r="O1890">
        <f>equip.xml!R1894</f>
        <v>0</v>
      </c>
    </row>
    <row r="1891" spans="1:15">
      <c r="A1891" s="14" t="str">
        <f>equip.xml!A1895</f>
        <v>50050041</v>
      </c>
      <c r="B1891" s="14">
        <f>equip.xml!B1895</f>
        <v>1</v>
      </c>
      <c r="C1891" s="14" t="str">
        <f>equip.xml!C1895</f>
        <v>战士胸甲</v>
      </c>
      <c r="D1891" s="14" t="str">
        <f>equip.xml!D1895</f>
        <v>胸甲</v>
      </c>
      <c r="E1891" s="14">
        <f>equip.xml!E1895</f>
        <v>4</v>
      </c>
      <c r="F1891" s="14">
        <f>equip.xml!F1895</f>
        <v>5</v>
      </c>
      <c r="G1891" s="14">
        <f>equip.xml!G1895</f>
        <v>5</v>
      </c>
      <c r="H1891" s="14">
        <f>equip.xml!H1895</f>
        <v>0</v>
      </c>
      <c r="I1891" s="14">
        <f>equip.xml!J1895</f>
        <v>150</v>
      </c>
      <c r="J1891" s="14">
        <f>equip.xml!K1895</f>
        <v>1500</v>
      </c>
      <c r="K1891" s="14">
        <f>equip.xml!L1895</f>
        <v>0</v>
      </c>
      <c r="L1891" s="14" t="str">
        <f>equip.xml!M1895</f>
        <v>105_13_13</v>
      </c>
      <c r="M1891" s="17" t="str">
        <f>equip.xml!Q1895</f>
        <v>equipment/5003.png</v>
      </c>
      <c r="N1891" s="16" t="str">
        <f>equip.xml!P1895</f>
        <v>10000_1002_5000,30000_30001_1,30000_30002_1,30000_30003_1</v>
      </c>
      <c r="O1891">
        <f>equip.xml!R1895</f>
        <v>0</v>
      </c>
    </row>
    <row r="1892" spans="1:15">
      <c r="A1892" s="14" t="str">
        <f>equip.xml!A1896</f>
        <v>50050070</v>
      </c>
      <c r="B1892" s="14">
        <f>equip.xml!B1896</f>
        <v>1</v>
      </c>
      <c r="C1892" s="14" t="str">
        <f>equip.xml!C1896</f>
        <v>皮甲短裤</v>
      </c>
      <c r="D1892" s="14" t="str">
        <f>equip.xml!D1896</f>
        <v>护腿</v>
      </c>
      <c r="E1892" s="14">
        <f>equip.xml!E1896</f>
        <v>7</v>
      </c>
      <c r="F1892" s="14">
        <f>equip.xml!F1896</f>
        <v>5</v>
      </c>
      <c r="G1892" s="14">
        <f>equip.xml!G1896</f>
        <v>5</v>
      </c>
      <c r="H1892" s="14">
        <f>equip.xml!H1896</f>
        <v>0</v>
      </c>
      <c r="I1892" s="14">
        <f>equip.xml!J1896</f>
        <v>150</v>
      </c>
      <c r="J1892" s="14">
        <f>equip.xml!K1896</f>
        <v>1500</v>
      </c>
      <c r="K1892" s="14">
        <f>equip.xml!L1896</f>
        <v>0</v>
      </c>
      <c r="L1892" s="14" t="str">
        <f>equip.xml!M1896</f>
        <v>105_3_3</v>
      </c>
      <c r="M1892" s="17" t="str">
        <f>equip.xml!Q1896</f>
        <v>equipment/7001.png</v>
      </c>
      <c r="N1892" s="16" t="str">
        <f>equip.xml!P1896</f>
        <v>10000_1002_5000,30000_30001_1,30000_30002_1,30000_30003_1</v>
      </c>
      <c r="O1892">
        <f>equip.xml!R1896</f>
        <v>0</v>
      </c>
    </row>
    <row r="1893" spans="1:15">
      <c r="A1893" s="14" t="str">
        <f>equip.xml!A1897</f>
        <v>50050071</v>
      </c>
      <c r="B1893" s="14">
        <f>equip.xml!B1897</f>
        <v>1</v>
      </c>
      <c r="C1893" s="14" t="str">
        <f>equip.xml!C1897</f>
        <v>学徒短裤</v>
      </c>
      <c r="D1893" s="14" t="str">
        <f>equip.xml!D1897</f>
        <v>护腿</v>
      </c>
      <c r="E1893" s="14">
        <f>equip.xml!E1897</f>
        <v>7</v>
      </c>
      <c r="F1893" s="14">
        <f>equip.xml!F1897</f>
        <v>5</v>
      </c>
      <c r="G1893" s="14">
        <f>equip.xml!G1897</f>
        <v>5</v>
      </c>
      <c r="H1893" s="14">
        <f>equip.xml!H1897</f>
        <v>0</v>
      </c>
      <c r="I1893" s="14">
        <f>equip.xml!J1897</f>
        <v>150</v>
      </c>
      <c r="J1893" s="14">
        <f>equip.xml!K1897</f>
        <v>1500</v>
      </c>
      <c r="K1893" s="14">
        <f>equip.xml!L1897</f>
        <v>0</v>
      </c>
      <c r="L1893" s="14" t="str">
        <f>equip.xml!M1897</f>
        <v>105_10_10</v>
      </c>
      <c r="M1893" s="17" t="str">
        <f>equip.xml!Q1897</f>
        <v>equipment/7002.png</v>
      </c>
      <c r="N1893" s="16" t="str">
        <f>equip.xml!P1897</f>
        <v>10000_1002_5000,30000_30001_1,30000_30002_1,30000_30003_1</v>
      </c>
      <c r="O1893">
        <f>equip.xml!R1897</f>
        <v>0</v>
      </c>
    </row>
    <row r="1894" spans="1:15">
      <c r="A1894" s="14" t="str">
        <f>equip.xml!A1898</f>
        <v>50100010</v>
      </c>
      <c r="B1894" s="14">
        <f>equip.xml!B1898</f>
        <v>1</v>
      </c>
      <c r="C1894" s="14" t="str">
        <f>equip.xml!C1898</f>
        <v>轻便头盔</v>
      </c>
      <c r="D1894" s="14" t="str">
        <f>equip.xml!D1898</f>
        <v>头盔</v>
      </c>
      <c r="E1894" s="14">
        <f>equip.xml!E1898</f>
        <v>1</v>
      </c>
      <c r="F1894" s="14">
        <f>equip.xml!F1898</f>
        <v>5</v>
      </c>
      <c r="G1894" s="14">
        <f>equip.xml!G1898</f>
        <v>10</v>
      </c>
      <c r="H1894" s="14">
        <f>equip.xml!H1898</f>
        <v>0</v>
      </c>
      <c r="I1894" s="14">
        <f>equip.xml!J1898</f>
        <v>150</v>
      </c>
      <c r="J1894" s="14">
        <f>equip.xml!K1898</f>
        <v>1500</v>
      </c>
      <c r="K1894" s="14">
        <f>equip.xml!L1898</f>
        <v>7500</v>
      </c>
      <c r="L1894" s="14" t="str">
        <f>equip.xml!M1898</f>
        <v>106_64_64</v>
      </c>
      <c r="M1894" s="17" t="str">
        <f>equip.xml!Q1898</f>
        <v>equipment/3002.png</v>
      </c>
      <c r="N1894" s="16" t="str">
        <f>equip.xml!P1898</f>
        <v>10000_1002_10000,30000_30001_1,30000_30002_1,30000_30003_1</v>
      </c>
      <c r="O1894">
        <f>equip.xml!R1898</f>
        <v>0</v>
      </c>
    </row>
    <row r="1895" spans="1:15">
      <c r="A1895" s="14" t="str">
        <f>equip.xml!A1899</f>
        <v>50100020</v>
      </c>
      <c r="B1895" s="14">
        <f>equip.xml!B1899</f>
        <v>1</v>
      </c>
      <c r="C1895" s="14" t="str">
        <f>equip.xml!C1899</f>
        <v>宝石戒指</v>
      </c>
      <c r="D1895" s="14" t="str">
        <f>equip.xml!D1899</f>
        <v>戒指</v>
      </c>
      <c r="E1895" s="14">
        <f>equip.xml!E1899</f>
        <v>2</v>
      </c>
      <c r="F1895" s="14">
        <f>equip.xml!F1899</f>
        <v>5</v>
      </c>
      <c r="G1895" s="14">
        <f>equip.xml!G1899</f>
        <v>10</v>
      </c>
      <c r="H1895" s="14">
        <f>equip.xml!H1899</f>
        <v>0</v>
      </c>
      <c r="I1895" s="14">
        <f>equip.xml!J1899</f>
        <v>150</v>
      </c>
      <c r="J1895" s="14">
        <f>equip.xml!K1899</f>
        <v>1500</v>
      </c>
      <c r="K1895" s="14">
        <f>equip.xml!L1899</f>
        <v>7500</v>
      </c>
      <c r="L1895" s="14" t="str">
        <f>equip.xml!M1899</f>
        <v>102_150_150</v>
      </c>
      <c r="M1895" s="17" t="str">
        <f>equip.xml!Q1899</f>
        <v>equipment/14002.png</v>
      </c>
      <c r="N1895" s="16" t="str">
        <f>equip.xml!P1899</f>
        <v>10000_1002_10000,30000_30001_1,30000_30002_1,30000_30003_1</v>
      </c>
      <c r="O1895">
        <f>equip.xml!R1899</f>
        <v>0</v>
      </c>
    </row>
    <row r="1896" spans="1:15">
      <c r="A1896" s="14" t="str">
        <f>equip.xml!A1900</f>
        <v>50100030</v>
      </c>
      <c r="B1896" s="14">
        <f>equip.xml!B1900</f>
        <v>1</v>
      </c>
      <c r="C1896" s="14" t="str">
        <f>equip.xml!C1900</f>
        <v>坚硬皮带</v>
      </c>
      <c r="D1896" s="14" t="str">
        <f>equip.xml!D1900</f>
        <v>腰带</v>
      </c>
      <c r="E1896" s="14">
        <f>equip.xml!E1900</f>
        <v>3</v>
      </c>
      <c r="F1896" s="14">
        <f>equip.xml!F1900</f>
        <v>5</v>
      </c>
      <c r="G1896" s="14">
        <f>equip.xml!G1900</f>
        <v>10</v>
      </c>
      <c r="H1896" s="14">
        <f>equip.xml!H1900</f>
        <v>0</v>
      </c>
      <c r="I1896" s="14">
        <f>equip.xml!J1900</f>
        <v>150</v>
      </c>
      <c r="J1896" s="14">
        <f>equip.xml!K1900</f>
        <v>1500</v>
      </c>
      <c r="K1896" s="14">
        <f>equip.xml!L1900</f>
        <v>7500</v>
      </c>
      <c r="L1896" s="14" t="str">
        <f>equip.xml!M1900</f>
        <v>101_480_480</v>
      </c>
      <c r="M1896" s="17" t="str">
        <f>equip.xml!Q1900</f>
        <v>equipment/6002.png</v>
      </c>
      <c r="N1896" s="16" t="str">
        <f>equip.xml!P1900</f>
        <v>10000_1002_10000,30000_30001_1,30000_30002_1,30000_30003_1</v>
      </c>
      <c r="O1896">
        <f>equip.xml!R1900</f>
        <v>0</v>
      </c>
    </row>
    <row r="1897" spans="1:15">
      <c r="A1897" s="14" t="str">
        <f>equip.xml!A1901</f>
        <v>50100080</v>
      </c>
      <c r="B1897" s="14">
        <f>equip.xml!B1901</f>
        <v>1</v>
      </c>
      <c r="C1897" s="14" t="str">
        <f>equip.xml!C1901</f>
        <v>软垫靴</v>
      </c>
      <c r="D1897" s="14" t="str">
        <f>equip.xml!D1901</f>
        <v>鞋子</v>
      </c>
      <c r="E1897" s="14">
        <f>equip.xml!E1901</f>
        <v>8</v>
      </c>
      <c r="F1897" s="14">
        <f>equip.xml!F1901</f>
        <v>5</v>
      </c>
      <c r="G1897" s="14">
        <f>equip.xml!G1901</f>
        <v>10</v>
      </c>
      <c r="H1897" s="14">
        <f>equip.xml!H1901</f>
        <v>0</v>
      </c>
      <c r="I1897" s="14">
        <f>equip.xml!J1901</f>
        <v>150</v>
      </c>
      <c r="J1897" s="14">
        <f>equip.xml!K1901</f>
        <v>1500</v>
      </c>
      <c r="K1897" s="14">
        <f>equip.xml!L1901</f>
        <v>7500</v>
      </c>
      <c r="L1897" s="14" t="str">
        <f>equip.xml!M1901</f>
        <v>110_12_12</v>
      </c>
      <c r="M1897" s="17" t="str">
        <f>equip.xml!Q1901</f>
        <v>equipment/8002.png</v>
      </c>
      <c r="N1897" s="16" t="str">
        <f>equip.xml!P1901</f>
        <v>10000_1002_10000,30000_30001_1,30000_30002_1,30000_30003_1</v>
      </c>
      <c r="O1897">
        <f>equip.xml!R1901</f>
        <v>0</v>
      </c>
    </row>
    <row r="1898" spans="1:15">
      <c r="A1898" s="14" t="str">
        <f>equip.xml!A1902</f>
        <v>50100090</v>
      </c>
      <c r="B1898" s="14">
        <f>equip.xml!B1902</f>
        <v>1</v>
      </c>
      <c r="C1898" s="14" t="str">
        <f>equip.xml!C1902</f>
        <v>步兵护手</v>
      </c>
      <c r="D1898" s="14" t="str">
        <f>equip.xml!D1902</f>
        <v>手套</v>
      </c>
      <c r="E1898" s="14">
        <f>equip.xml!E1902</f>
        <v>9</v>
      </c>
      <c r="F1898" s="14">
        <f>equip.xml!F1902</f>
        <v>5</v>
      </c>
      <c r="G1898" s="14">
        <f>equip.xml!G1902</f>
        <v>10</v>
      </c>
      <c r="H1898" s="14">
        <f>equip.xml!H1902</f>
        <v>0</v>
      </c>
      <c r="I1898" s="14">
        <f>equip.xml!J1902</f>
        <v>150</v>
      </c>
      <c r="J1898" s="14">
        <f>equip.xml!K1902</f>
        <v>1500</v>
      </c>
      <c r="K1898" s="14">
        <f>equip.xml!L1902</f>
        <v>7500</v>
      </c>
      <c r="L1898" s="14" t="str">
        <f>equip.xml!M1902</f>
        <v>108_43_43</v>
      </c>
      <c r="M1898" s="17" t="str">
        <f>equip.xml!Q1902</f>
        <v>equipment/10002.png</v>
      </c>
      <c r="N1898" s="16" t="str">
        <f>equip.xml!P1902</f>
        <v>10000_1002_10000,30000_30001_1,30000_30002_1,30000_30003_1</v>
      </c>
      <c r="O1898">
        <f>equip.xml!R1902</f>
        <v>0</v>
      </c>
    </row>
    <row r="1899" spans="1:15">
      <c r="A1899" s="14" t="str">
        <f>equip.xml!A1903</f>
        <v>50100100</v>
      </c>
      <c r="B1899" s="14">
        <f>equip.xml!B1903</f>
        <v>0</v>
      </c>
      <c r="C1899" s="14" t="str">
        <f>equip.xml!C1903</f>
        <v>贝壳项链</v>
      </c>
      <c r="D1899" s="14" t="str">
        <f>equip.xml!D1903</f>
        <v>项链</v>
      </c>
      <c r="E1899" s="14">
        <f>equip.xml!E1903</f>
        <v>10</v>
      </c>
      <c r="F1899" s="14">
        <f>equip.xml!F1903</f>
        <v>5</v>
      </c>
      <c r="G1899" s="14">
        <f>equip.xml!G1903</f>
        <v>10</v>
      </c>
      <c r="H1899" s="14">
        <f>equip.xml!H1903</f>
        <v>0</v>
      </c>
      <c r="I1899" s="14">
        <f>equip.xml!J1903</f>
        <v>150</v>
      </c>
      <c r="J1899" s="14">
        <f>equip.xml!K1903</f>
        <v>1500</v>
      </c>
      <c r="K1899" s="14">
        <f>equip.xml!L1903</f>
        <v>7500</v>
      </c>
      <c r="L1899" s="14" t="str">
        <f>equip.xml!M1903</f>
        <v>107_20_20</v>
      </c>
      <c r="M1899" s="17" t="str">
        <f>equip.xml!Q1903</f>
        <v>equipment/12001.png</v>
      </c>
      <c r="N1899" s="16" t="str">
        <f>equip.xml!P1903</f>
        <v>10000_1002_10000,30000_30001_1,30000_30002_1,30000_30003_1</v>
      </c>
      <c r="O1899">
        <f>equip.xml!R1903</f>
        <v>0</v>
      </c>
    </row>
    <row r="1900" spans="1:15">
      <c r="A1900" s="14" t="str">
        <f>equip.xml!A1904</f>
        <v>50101050</v>
      </c>
      <c r="B1900" s="14">
        <f>equip.xml!B1904</f>
        <v>1</v>
      </c>
      <c r="C1900" s="14" t="str">
        <f>equip.xml!C1904</f>
        <v>护卫之刃</v>
      </c>
      <c r="D1900" s="14" t="str">
        <f>equip.xml!D1904</f>
        <v>主手武器</v>
      </c>
      <c r="E1900" s="14">
        <f>equip.xml!E1904</f>
        <v>5</v>
      </c>
      <c r="F1900" s="14">
        <f>equip.xml!F1904</f>
        <v>5</v>
      </c>
      <c r="G1900" s="14">
        <f>equip.xml!G1904</f>
        <v>10</v>
      </c>
      <c r="H1900" s="14" t="str">
        <f>equip.xml!H1904</f>
        <v>1,1001</v>
      </c>
      <c r="I1900" s="14">
        <f>equip.xml!J1904</f>
        <v>150</v>
      </c>
      <c r="J1900" s="14">
        <f>equip.xml!K1904</f>
        <v>1500</v>
      </c>
      <c r="K1900" s="14">
        <f>equip.xml!L1904</f>
        <v>7500</v>
      </c>
      <c r="L1900" s="14" t="str">
        <f>equip.xml!M1904</f>
        <v>103_32_32,104_64_64</v>
      </c>
      <c r="M1900" s="17" t="str">
        <f>equip.xml!Q1904</f>
        <v>equipment/1105.png</v>
      </c>
      <c r="N1900" s="16" t="str">
        <f>equip.xml!P1904</f>
        <v>10000_1002_10000,30000_30001_1,30000_30002_1,30000_30003_1</v>
      </c>
      <c r="O1900">
        <f>equip.xml!R1904</f>
        <v>0</v>
      </c>
    </row>
    <row r="1901" spans="1:15">
      <c r="A1901" s="14" t="str">
        <f>equip.xml!A1905</f>
        <v>50101051</v>
      </c>
      <c r="B1901" s="14">
        <f>equip.xml!B1905</f>
        <v>1</v>
      </c>
      <c r="C1901" s="14" t="str">
        <f>equip.xml!C1905</f>
        <v>铜铸重剑</v>
      </c>
      <c r="D1901" s="14" t="str">
        <f>equip.xml!D1905</f>
        <v>主手武器</v>
      </c>
      <c r="E1901" s="14">
        <f>equip.xml!E1905</f>
        <v>5</v>
      </c>
      <c r="F1901" s="14">
        <f>equip.xml!F1905</f>
        <v>5</v>
      </c>
      <c r="G1901" s="14">
        <f>equip.xml!G1905</f>
        <v>10</v>
      </c>
      <c r="H1901" s="14" t="str">
        <f>equip.xml!H1905</f>
        <v>1,1001</v>
      </c>
      <c r="I1901" s="14">
        <f>equip.xml!J1905</f>
        <v>150</v>
      </c>
      <c r="J1901" s="14">
        <f>equip.xml!K1905</f>
        <v>1500</v>
      </c>
      <c r="K1901" s="14">
        <f>equip.xml!L1905</f>
        <v>10000</v>
      </c>
      <c r="L1901" s="14" t="str">
        <f>equip.xml!M1905</f>
        <v>103_40_40,104_80_80</v>
      </c>
      <c r="M1901" s="17" t="str">
        <f>equip.xml!Q1905</f>
        <v>equipment/1106.png</v>
      </c>
      <c r="N1901" s="16" t="str">
        <f>equip.xml!P1905</f>
        <v>10000_1002_10000,30000_30001_1,30000_30002_1,30000_30003_1</v>
      </c>
      <c r="O1901">
        <f>equip.xml!R1905</f>
        <v>0</v>
      </c>
    </row>
    <row r="1902" spans="1:15">
      <c r="A1902" s="14" t="str">
        <f>equip.xml!A1906</f>
        <v>50101060</v>
      </c>
      <c r="B1902" s="14">
        <f>equip.xml!B1906</f>
        <v>1</v>
      </c>
      <c r="C1902" s="14" t="str">
        <f>equip.xml!C1906</f>
        <v>金属大盾</v>
      </c>
      <c r="D1902" s="14" t="str">
        <f>equip.xml!D1906</f>
        <v>副手武器</v>
      </c>
      <c r="E1902" s="14">
        <f>equip.xml!E1906</f>
        <v>6</v>
      </c>
      <c r="F1902" s="14">
        <f>equip.xml!F1906</f>
        <v>5</v>
      </c>
      <c r="G1902" s="14">
        <f>equip.xml!G1906</f>
        <v>10</v>
      </c>
      <c r="H1902" s="14" t="str">
        <f>equip.xml!H1906</f>
        <v>1,1001</v>
      </c>
      <c r="I1902" s="14">
        <f>equip.xml!J1906</f>
        <v>150</v>
      </c>
      <c r="J1902" s="14">
        <f>equip.xml!K1906</f>
        <v>1500</v>
      </c>
      <c r="K1902" s="14">
        <f>equip.xml!L1906</f>
        <v>7500</v>
      </c>
      <c r="L1902" s="14" t="str">
        <f>equip.xml!M1906</f>
        <v>105_30_30</v>
      </c>
      <c r="M1902" s="17" t="str">
        <f>equip.xml!Q1906</f>
        <v>equipment/2103.png</v>
      </c>
      <c r="N1902" s="16" t="str">
        <f>equip.xml!P1906</f>
        <v>10000_1002_10000,30000_30001_1,30000_30002_1,30000_30003_1</v>
      </c>
      <c r="O1902">
        <f>equip.xml!R1906</f>
        <v>0</v>
      </c>
    </row>
    <row r="1903" spans="1:15">
      <c r="A1903" s="14" t="str">
        <f>equip.xml!A1907</f>
        <v>50101061</v>
      </c>
      <c r="B1903" s="14">
        <f>equip.xml!B1907</f>
        <v>0</v>
      </c>
      <c r="C1903" s="14" t="str">
        <f>equip.xml!C1907</f>
        <v>尖头盾</v>
      </c>
      <c r="D1903" s="14" t="str">
        <f>equip.xml!D1907</f>
        <v>副手武器</v>
      </c>
      <c r="E1903" s="14">
        <f>equip.xml!E1907</f>
        <v>6</v>
      </c>
      <c r="F1903" s="14">
        <f>equip.xml!F1907</f>
        <v>5</v>
      </c>
      <c r="G1903" s="14">
        <f>equip.xml!G1907</f>
        <v>10</v>
      </c>
      <c r="H1903" s="14" t="str">
        <f>equip.xml!H1907</f>
        <v>1,1001</v>
      </c>
      <c r="I1903" s="14">
        <f>equip.xml!J1907</f>
        <v>150</v>
      </c>
      <c r="J1903" s="14">
        <f>equip.xml!K1907</f>
        <v>1500</v>
      </c>
      <c r="K1903" s="14">
        <f>equip.xml!L1907</f>
        <v>10000</v>
      </c>
      <c r="L1903" s="14" t="str">
        <f>equip.xml!M1907</f>
        <v>105_59_59</v>
      </c>
      <c r="M1903" s="17" t="str">
        <f>equip.xml!Q1907</f>
        <v>equipment/2101.png</v>
      </c>
      <c r="N1903" s="16" t="str">
        <f>equip.xml!P1907</f>
        <v>10000_1002_10000,30000_30001_1,30000_30002_1,30000_30003_1</v>
      </c>
      <c r="O1903">
        <f>equip.xml!R1907</f>
        <v>0</v>
      </c>
    </row>
    <row r="1904" spans="1:15">
      <c r="A1904" s="14" t="str">
        <f>equip.xml!A1908</f>
        <v>50102050</v>
      </c>
      <c r="B1904" s="14">
        <f>equip.xml!B1908</f>
        <v>1</v>
      </c>
      <c r="C1904" s="14" t="str">
        <f>equip.xml!C1908</f>
        <v>猎手强弓</v>
      </c>
      <c r="D1904" s="14" t="str">
        <f>equip.xml!D1908</f>
        <v>主手武器</v>
      </c>
      <c r="E1904" s="14">
        <f>equip.xml!E1908</f>
        <v>5</v>
      </c>
      <c r="F1904" s="14">
        <f>equip.xml!F1908</f>
        <v>5</v>
      </c>
      <c r="G1904" s="14">
        <f>equip.xml!G1908</f>
        <v>10</v>
      </c>
      <c r="H1904" s="14" t="str">
        <f>equip.xml!H1908</f>
        <v>2,1002</v>
      </c>
      <c r="I1904" s="14">
        <f>equip.xml!J1908</f>
        <v>150</v>
      </c>
      <c r="J1904" s="14">
        <f>equip.xml!K1908</f>
        <v>1500</v>
      </c>
      <c r="K1904" s="14">
        <f>equip.xml!L1908</f>
        <v>7500</v>
      </c>
      <c r="L1904" s="14" t="str">
        <f>equip.xml!M1908</f>
        <v>103_32_32,104_64_64</v>
      </c>
      <c r="M1904" s="17" t="str">
        <f>equip.xml!Q1908</f>
        <v>equipment/1205.png</v>
      </c>
      <c r="N1904" s="16" t="str">
        <f>equip.xml!P1908</f>
        <v>10000_1002_10000,30000_30001_1,30000_30002_1,30000_30003_1</v>
      </c>
      <c r="O1904">
        <f>equip.xml!R1908</f>
        <v>0</v>
      </c>
    </row>
    <row r="1905" spans="1:15">
      <c r="A1905" s="14" t="str">
        <f>equip.xml!A1909</f>
        <v>50102051</v>
      </c>
      <c r="B1905" s="14">
        <f>equip.xml!B1909</f>
        <v>1</v>
      </c>
      <c r="C1905" s="14" t="str">
        <f>equip.xml!C1909</f>
        <v>灰木弓</v>
      </c>
      <c r="D1905" s="14" t="str">
        <f>equip.xml!D1909</f>
        <v>主手武器</v>
      </c>
      <c r="E1905" s="14">
        <f>equip.xml!E1909</f>
        <v>5</v>
      </c>
      <c r="F1905" s="14">
        <f>equip.xml!F1909</f>
        <v>5</v>
      </c>
      <c r="G1905" s="14">
        <f>equip.xml!G1909</f>
        <v>10</v>
      </c>
      <c r="H1905" s="14" t="str">
        <f>equip.xml!H1909</f>
        <v>2,1002</v>
      </c>
      <c r="I1905" s="14">
        <f>equip.xml!J1909</f>
        <v>150</v>
      </c>
      <c r="J1905" s="14">
        <f>equip.xml!K1909</f>
        <v>1500</v>
      </c>
      <c r="K1905" s="14">
        <f>equip.xml!L1909</f>
        <v>10000</v>
      </c>
      <c r="L1905" s="14" t="str">
        <f>equip.xml!M1909</f>
        <v>103_40_40,104_80_80</v>
      </c>
      <c r="M1905" s="17" t="str">
        <f>equip.xml!Q1909</f>
        <v>equipment/1206.png</v>
      </c>
      <c r="N1905" s="16" t="str">
        <f>equip.xml!P1909</f>
        <v>10000_1002_10000,30000_30001_1,30000_30002_1,30000_30003_1</v>
      </c>
      <c r="O1905">
        <f>equip.xml!R1909</f>
        <v>0</v>
      </c>
    </row>
    <row r="1906" spans="1:15">
      <c r="A1906" s="14" t="str">
        <f>equip.xml!A1910</f>
        <v>50102060</v>
      </c>
      <c r="B1906" s="14">
        <f>equip.xml!B1910</f>
        <v>1</v>
      </c>
      <c r="C1906" s="14" t="str">
        <f>equip.xml!C1910</f>
        <v>帆布箭筒</v>
      </c>
      <c r="D1906" s="14" t="str">
        <f>equip.xml!D1910</f>
        <v>副手武器</v>
      </c>
      <c r="E1906" s="14">
        <f>equip.xml!E1910</f>
        <v>6</v>
      </c>
      <c r="F1906" s="14">
        <f>equip.xml!F1910</f>
        <v>5</v>
      </c>
      <c r="G1906" s="14">
        <f>equip.xml!G1910</f>
        <v>10</v>
      </c>
      <c r="H1906" s="14" t="str">
        <f>equip.xml!H1910</f>
        <v>2,1002</v>
      </c>
      <c r="I1906" s="14">
        <f>equip.xml!J1910</f>
        <v>150</v>
      </c>
      <c r="J1906" s="14">
        <f>equip.xml!K1910</f>
        <v>1500</v>
      </c>
      <c r="K1906" s="14">
        <f>equip.xml!L1910</f>
        <v>7500</v>
      </c>
      <c r="L1906" s="14" t="str">
        <f>equip.xml!M1910</f>
        <v>108_30_30</v>
      </c>
      <c r="M1906" s="17" t="str">
        <f>equip.xml!Q1910</f>
        <v>equipment/2203.png</v>
      </c>
      <c r="N1906" s="16" t="str">
        <f>equip.xml!P1910</f>
        <v>10000_1002_10000,30000_30001_1,30000_30002_1,30000_30003_1</v>
      </c>
      <c r="O1906">
        <f>equip.xml!R1910</f>
        <v>0</v>
      </c>
    </row>
    <row r="1907" spans="1:15">
      <c r="A1907" s="14" t="str">
        <f>equip.xml!A1911</f>
        <v>50102061</v>
      </c>
      <c r="B1907" s="14">
        <f>equip.xml!B1911</f>
        <v>0</v>
      </c>
      <c r="C1907" s="14" t="str">
        <f>equip.xml!C1911</f>
        <v>箭筒</v>
      </c>
      <c r="D1907" s="14" t="str">
        <f>equip.xml!D1911</f>
        <v>副手武器</v>
      </c>
      <c r="E1907" s="14">
        <f>equip.xml!E1911</f>
        <v>6</v>
      </c>
      <c r="F1907" s="14">
        <f>equip.xml!F1911</f>
        <v>5</v>
      </c>
      <c r="G1907" s="14">
        <f>equip.xml!G1911</f>
        <v>10</v>
      </c>
      <c r="H1907" s="14" t="str">
        <f>equip.xml!H1911</f>
        <v>2,1002</v>
      </c>
      <c r="I1907" s="14">
        <f>equip.xml!J1911</f>
        <v>150</v>
      </c>
      <c r="J1907" s="14">
        <f>equip.xml!K1911</f>
        <v>1500</v>
      </c>
      <c r="K1907" s="14">
        <f>equip.xml!L1911</f>
        <v>10000</v>
      </c>
      <c r="L1907" s="14" t="str">
        <f>equip.xml!M1911</f>
        <v>108_59_59</v>
      </c>
      <c r="M1907" s="17" t="str">
        <f>equip.xml!Q1911</f>
        <v>equipment/2201.png</v>
      </c>
      <c r="N1907" s="16" t="str">
        <f>equip.xml!P1911</f>
        <v>10000_1002_10000,30000_30001_1,30000_30002_1,30000_30003_1</v>
      </c>
      <c r="O1907">
        <f>equip.xml!R1911</f>
        <v>0</v>
      </c>
    </row>
    <row r="1908" spans="1:15">
      <c r="A1908" s="14" t="str">
        <f>equip.xml!A1912</f>
        <v>50103050</v>
      </c>
      <c r="B1908" s="14">
        <f>equip.xml!B1912</f>
        <v>1</v>
      </c>
      <c r="C1908" s="14" t="str">
        <f>equip.xml!C1912</f>
        <v>附魔银棒</v>
      </c>
      <c r="D1908" s="14" t="str">
        <f>equip.xml!D1912</f>
        <v>主手武器</v>
      </c>
      <c r="E1908" s="14">
        <f>equip.xml!E1912</f>
        <v>5</v>
      </c>
      <c r="F1908" s="14">
        <f>equip.xml!F1912</f>
        <v>5</v>
      </c>
      <c r="G1908" s="14">
        <f>equip.xml!G1912</f>
        <v>10</v>
      </c>
      <c r="H1908" s="14" t="str">
        <f>equip.xml!H1912</f>
        <v>3,1003</v>
      </c>
      <c r="I1908" s="14">
        <f>equip.xml!J1912</f>
        <v>150</v>
      </c>
      <c r="J1908" s="14">
        <f>equip.xml!K1912</f>
        <v>1500</v>
      </c>
      <c r="K1908" s="14">
        <f>equip.xml!L1912</f>
        <v>7500</v>
      </c>
      <c r="L1908" s="14" t="str">
        <f>equip.xml!M1912</f>
        <v>103_32_32,104_64_64</v>
      </c>
      <c r="M1908" s="17" t="str">
        <f>equip.xml!Q1912</f>
        <v>equipment/1305.png</v>
      </c>
      <c r="N1908" s="16" t="str">
        <f>equip.xml!P1912</f>
        <v>10000_1002_10000,30000_30001_1,30000_30002_1,30000_30003_1</v>
      </c>
      <c r="O1908">
        <f>equip.xml!R1912</f>
        <v>0</v>
      </c>
    </row>
    <row r="1909" spans="1:15">
      <c r="A1909" s="14" t="str">
        <f>equip.xml!A1913</f>
        <v>50103051</v>
      </c>
      <c r="B1909" s="14">
        <f>equip.xml!B1913</f>
        <v>1</v>
      </c>
      <c r="C1909" s="14" t="str">
        <f>equip.xml!C1913</f>
        <v>魔导法杖</v>
      </c>
      <c r="D1909" s="14" t="str">
        <f>equip.xml!D1913</f>
        <v>主手武器</v>
      </c>
      <c r="E1909" s="14">
        <f>equip.xml!E1913</f>
        <v>5</v>
      </c>
      <c r="F1909" s="14">
        <f>equip.xml!F1913</f>
        <v>5</v>
      </c>
      <c r="G1909" s="14">
        <f>equip.xml!G1913</f>
        <v>10</v>
      </c>
      <c r="H1909" s="14" t="str">
        <f>equip.xml!H1913</f>
        <v>3,1003</v>
      </c>
      <c r="I1909" s="14">
        <f>equip.xml!J1913</f>
        <v>150</v>
      </c>
      <c r="J1909" s="14">
        <f>equip.xml!K1913</f>
        <v>1500</v>
      </c>
      <c r="K1909" s="14">
        <f>equip.xml!L1913</f>
        <v>10000</v>
      </c>
      <c r="L1909" s="14" t="str">
        <f>equip.xml!M1913</f>
        <v>103_40_40,104_80_80</v>
      </c>
      <c r="M1909" s="17" t="str">
        <f>equip.xml!Q1913</f>
        <v>equipment/1306.png</v>
      </c>
      <c r="N1909" s="16" t="str">
        <f>equip.xml!P1913</f>
        <v>10000_1002_10000,30000_30001_1,30000_30002_1,30000_30003_1</v>
      </c>
      <c r="O1909">
        <f>equip.xml!R1913</f>
        <v>0</v>
      </c>
    </row>
    <row r="1910" spans="1:15">
      <c r="A1910" s="14" t="str">
        <f>equip.xml!A1914</f>
        <v>50103060</v>
      </c>
      <c r="B1910" s="14">
        <f>equip.xml!B1914</f>
        <v>1</v>
      </c>
      <c r="C1910" s="14" t="str">
        <f>equip.xml!C1914</f>
        <v>奥术典籍</v>
      </c>
      <c r="D1910" s="14" t="str">
        <f>equip.xml!D1914</f>
        <v>副手武器</v>
      </c>
      <c r="E1910" s="14">
        <f>equip.xml!E1914</f>
        <v>6</v>
      </c>
      <c r="F1910" s="14">
        <f>equip.xml!F1914</f>
        <v>5</v>
      </c>
      <c r="G1910" s="14">
        <f>equip.xml!G1914</f>
        <v>10</v>
      </c>
      <c r="H1910" s="14" t="str">
        <f>equip.xml!H1914</f>
        <v>3,1003</v>
      </c>
      <c r="I1910" s="14">
        <f>equip.xml!J1914</f>
        <v>150</v>
      </c>
      <c r="J1910" s="14">
        <f>equip.xml!K1914</f>
        <v>1500</v>
      </c>
      <c r="K1910" s="14">
        <f>equip.xml!L1914</f>
        <v>7500</v>
      </c>
      <c r="L1910" s="14" t="str">
        <f>equip.xml!M1914</f>
        <v>102_240_240</v>
      </c>
      <c r="M1910" s="17" t="str">
        <f>equip.xml!Q1914</f>
        <v>equipment/2303.png</v>
      </c>
      <c r="N1910" s="16" t="str">
        <f>equip.xml!P1914</f>
        <v>10000_1002_10000,30000_30001_1,30000_30002_1,30000_30003_1</v>
      </c>
      <c r="O1910">
        <f>equip.xml!R1914</f>
        <v>0</v>
      </c>
    </row>
    <row r="1911" spans="1:15">
      <c r="A1911" s="14" t="str">
        <f>equip.xml!A1915</f>
        <v>50103061</v>
      </c>
      <c r="B1911" s="14">
        <f>equip.xml!B1915</f>
        <v>0</v>
      </c>
      <c r="C1911" s="14" t="str">
        <f>equip.xml!C1915</f>
        <v>法术指南</v>
      </c>
      <c r="D1911" s="14" t="str">
        <f>equip.xml!D1915</f>
        <v>副手武器</v>
      </c>
      <c r="E1911" s="14">
        <f>equip.xml!E1915</f>
        <v>6</v>
      </c>
      <c r="F1911" s="14">
        <f>equip.xml!F1915</f>
        <v>5</v>
      </c>
      <c r="G1911" s="14">
        <f>equip.xml!G1915</f>
        <v>10</v>
      </c>
      <c r="H1911" s="14" t="str">
        <f>equip.xml!H1915</f>
        <v>3,1003</v>
      </c>
      <c r="I1911" s="14">
        <f>equip.xml!J1915</f>
        <v>150</v>
      </c>
      <c r="J1911" s="14">
        <f>equip.xml!K1915</f>
        <v>1500</v>
      </c>
      <c r="K1911" s="14">
        <f>equip.xml!L1915</f>
        <v>10000</v>
      </c>
      <c r="L1911" s="14" t="str">
        <f>equip.xml!M1915</f>
        <v>102_59_59</v>
      </c>
      <c r="M1911" s="17" t="str">
        <f>equip.xml!Q1915</f>
        <v>equipment/2301.png</v>
      </c>
      <c r="N1911" s="16" t="str">
        <f>equip.xml!P1915</f>
        <v>10000_1002_10000,30000_30001_1,30000_30002_1,30000_30003_1</v>
      </c>
      <c r="O1911">
        <f>equip.xml!R1915</f>
        <v>0</v>
      </c>
    </row>
    <row r="1912" spans="1:15">
      <c r="A1912" s="14" t="str">
        <f>equip.xml!A1916</f>
        <v>50100040</v>
      </c>
      <c r="B1912" s="14">
        <f>equip.xml!B1916</f>
        <v>1</v>
      </c>
      <c r="C1912" s="14" t="str">
        <f>equip.xml!C1916</f>
        <v>硬皮外套</v>
      </c>
      <c r="D1912" s="14" t="str">
        <f>equip.xml!D1916</f>
        <v>胸甲</v>
      </c>
      <c r="E1912" s="14">
        <f>equip.xml!E1916</f>
        <v>4</v>
      </c>
      <c r="F1912" s="14">
        <f>equip.xml!F1916</f>
        <v>5</v>
      </c>
      <c r="G1912" s="14">
        <f>equip.xml!G1916</f>
        <v>10</v>
      </c>
      <c r="H1912" s="14">
        <f>equip.xml!H1916</f>
        <v>0</v>
      </c>
      <c r="I1912" s="14">
        <f>equip.xml!J1916</f>
        <v>150</v>
      </c>
      <c r="J1912" s="14">
        <f>equip.xml!K1916</f>
        <v>1500</v>
      </c>
      <c r="K1912" s="14">
        <f>equip.xml!L1916</f>
        <v>7500</v>
      </c>
      <c r="L1912" s="14" t="str">
        <f>equip.xml!M1916</f>
        <v>105_20_20</v>
      </c>
      <c r="M1912" s="17" t="str">
        <f>equip.xml!Q1916</f>
        <v>equipment/5003.png</v>
      </c>
      <c r="N1912" s="16" t="str">
        <f>equip.xml!P1916</f>
        <v>10000_1002_10000,30000_30001_1,30000_30002_1,30000_30003_1</v>
      </c>
      <c r="O1912">
        <f>equip.xml!R1916</f>
        <v>0</v>
      </c>
    </row>
    <row r="1913" spans="1:15">
      <c r="A1913" s="14" t="str">
        <f>equip.xml!A1917</f>
        <v>50100041</v>
      </c>
      <c r="B1913" s="14">
        <f>equip.xml!B1917</f>
        <v>0</v>
      </c>
      <c r="C1913" s="14" t="str">
        <f>equip.xml!C1917</f>
        <v>新兵外套</v>
      </c>
      <c r="D1913" s="14" t="str">
        <f>equip.xml!D1917</f>
        <v>胸甲</v>
      </c>
      <c r="E1913" s="14">
        <f>equip.xml!E1917</f>
        <v>4</v>
      </c>
      <c r="F1913" s="14">
        <f>equip.xml!F1917</f>
        <v>5</v>
      </c>
      <c r="G1913" s="14">
        <f>equip.xml!G1917</f>
        <v>10</v>
      </c>
      <c r="H1913" s="14">
        <f>equip.xml!H1917</f>
        <v>0</v>
      </c>
      <c r="I1913" s="14">
        <f>equip.xml!J1917</f>
        <v>150</v>
      </c>
      <c r="J1913" s="14">
        <f>equip.xml!K1917</f>
        <v>1500</v>
      </c>
      <c r="K1913" s="14">
        <f>equip.xml!L1917</f>
        <v>10000</v>
      </c>
      <c r="L1913" s="14" t="str">
        <f>equip.xml!M1917</f>
        <v>105_28_28</v>
      </c>
      <c r="M1913" s="17" t="str">
        <f>equip.xml!Q1917</f>
        <v>equipment/5001.png</v>
      </c>
      <c r="N1913" s="16" t="str">
        <f>equip.xml!P1917</f>
        <v>10000_1002_10000,30000_30001_1,30000_30002_1,30000_30003_1</v>
      </c>
      <c r="O1913">
        <f>equip.xml!R1917</f>
        <v>0</v>
      </c>
    </row>
    <row r="1914" spans="1:15">
      <c r="A1914" s="14" t="str">
        <f>equip.xml!A1918</f>
        <v>50100070</v>
      </c>
      <c r="B1914" s="14">
        <f>equip.xml!B1918</f>
        <v>1</v>
      </c>
      <c r="C1914" s="14" t="str">
        <f>equip.xml!C1918</f>
        <v>护卫短裤</v>
      </c>
      <c r="D1914" s="14" t="str">
        <f>equip.xml!D1918</f>
        <v>护腿</v>
      </c>
      <c r="E1914" s="14">
        <f>equip.xml!E1918</f>
        <v>7</v>
      </c>
      <c r="F1914" s="14">
        <f>equip.xml!F1918</f>
        <v>5</v>
      </c>
      <c r="G1914" s="14">
        <f>equip.xml!G1918</f>
        <v>10</v>
      </c>
      <c r="H1914" s="14">
        <f>equip.xml!H1918</f>
        <v>0</v>
      </c>
      <c r="I1914" s="14">
        <f>equip.xml!J1918</f>
        <v>150</v>
      </c>
      <c r="J1914" s="14">
        <f>equip.xml!K1918</f>
        <v>1500</v>
      </c>
      <c r="K1914" s="14">
        <f>equip.xml!L1918</f>
        <v>7500</v>
      </c>
      <c r="L1914" s="14" t="str">
        <f>equip.xml!M1918</f>
        <v>105_20_20</v>
      </c>
      <c r="M1914" s="17" t="str">
        <f>equip.xml!Q1918</f>
        <v>equipment/7003.png</v>
      </c>
      <c r="N1914" s="16" t="str">
        <f>equip.xml!P1918</f>
        <v>10000_1002_10000,30000_30001_1,30000_30002_1,30000_30003_1</v>
      </c>
      <c r="O1914">
        <f>equip.xml!R1918</f>
        <v>0</v>
      </c>
    </row>
    <row r="1915" spans="1:15">
      <c r="A1915" s="14" t="str">
        <f>equip.xml!A1919</f>
        <v>50100071</v>
      </c>
      <c r="B1915" s="14">
        <f>equip.xml!B1919</f>
        <v>0</v>
      </c>
      <c r="C1915" s="14" t="str">
        <f>equip.xml!C1919</f>
        <v>学徒短裤</v>
      </c>
      <c r="D1915" s="14" t="str">
        <f>equip.xml!D1919</f>
        <v>护腿</v>
      </c>
      <c r="E1915" s="14">
        <f>equip.xml!E1919</f>
        <v>7</v>
      </c>
      <c r="F1915" s="14">
        <f>equip.xml!F1919</f>
        <v>5</v>
      </c>
      <c r="G1915" s="14">
        <f>equip.xml!G1919</f>
        <v>10</v>
      </c>
      <c r="H1915" s="14">
        <f>equip.xml!H1919</f>
        <v>0</v>
      </c>
      <c r="I1915" s="14">
        <f>equip.xml!J1919</f>
        <v>150</v>
      </c>
      <c r="J1915" s="14">
        <f>equip.xml!K1919</f>
        <v>1500</v>
      </c>
      <c r="K1915" s="14">
        <f>equip.xml!L1919</f>
        <v>10000</v>
      </c>
      <c r="L1915" s="14" t="str">
        <f>equip.xml!M1919</f>
        <v>105_28_28</v>
      </c>
      <c r="M1915" s="17" t="str">
        <f>equip.xml!Q1919</f>
        <v>equipment/7001.png</v>
      </c>
      <c r="N1915" s="16" t="str">
        <f>equip.xml!P1919</f>
        <v>10000_1002_10000,30000_30001_1,30000_30002_1,30000_30003_1</v>
      </c>
      <c r="O1915">
        <f>equip.xml!R1919</f>
        <v>0</v>
      </c>
    </row>
    <row r="1916" spans="1:15">
      <c r="A1916" s="14" t="str">
        <f>equip.xml!A1920</f>
        <v>50150010</v>
      </c>
      <c r="B1916" s="14">
        <f>equip.xml!B1920</f>
        <v>0</v>
      </c>
      <c r="C1916" s="14" t="str">
        <f>equip.xml!C1920</f>
        <v>纹饰帽</v>
      </c>
      <c r="D1916" s="14" t="str">
        <f>equip.xml!D1920</f>
        <v>头盔</v>
      </c>
      <c r="E1916" s="14">
        <f>equip.xml!E1920</f>
        <v>1</v>
      </c>
      <c r="F1916" s="14">
        <f>equip.xml!F1920</f>
        <v>5</v>
      </c>
      <c r="G1916" s="14">
        <f>equip.xml!G1920</f>
        <v>15</v>
      </c>
      <c r="H1916" s="14">
        <f>equip.xml!H1920</f>
        <v>0</v>
      </c>
      <c r="I1916" s="14">
        <f>equip.xml!J1920</f>
        <v>150</v>
      </c>
      <c r="J1916" s="14">
        <f>equip.xml!K1920</f>
        <v>1500</v>
      </c>
      <c r="K1916" s="14">
        <f>equip.xml!L1920</f>
        <v>10000</v>
      </c>
      <c r="L1916" s="14" t="str">
        <f>equip.xml!M1920</f>
        <v>106_64_64</v>
      </c>
      <c r="M1916" s="17" t="str">
        <f>equip.xml!Q1920</f>
        <v>equipment/3001.png</v>
      </c>
      <c r="N1916" s="16" t="str">
        <f>equip.xml!P1920</f>
        <v>10000_1002_15000,30000_30001_1,30000_30002_1,30000_30003_1</v>
      </c>
      <c r="O1916">
        <f>equip.xml!R1920</f>
        <v>0</v>
      </c>
    </row>
    <row r="1917" spans="1:15">
      <c r="A1917" s="14" t="str">
        <f>equip.xml!A1921</f>
        <v>50150020</v>
      </c>
      <c r="B1917" s="14">
        <f>equip.xml!B1921</f>
        <v>0</v>
      </c>
      <c r="C1917" s="14" t="str">
        <f>equip.xml!C1921</f>
        <v>金戒指</v>
      </c>
      <c r="D1917" s="14" t="str">
        <f>equip.xml!D1921</f>
        <v>戒指</v>
      </c>
      <c r="E1917" s="14">
        <f>equip.xml!E1921</f>
        <v>2</v>
      </c>
      <c r="F1917" s="14">
        <f>equip.xml!F1921</f>
        <v>5</v>
      </c>
      <c r="G1917" s="14">
        <f>equip.xml!G1921</f>
        <v>15</v>
      </c>
      <c r="H1917" s="14">
        <f>equip.xml!H1921</f>
        <v>0</v>
      </c>
      <c r="I1917" s="14">
        <f>equip.xml!J1921</f>
        <v>150</v>
      </c>
      <c r="J1917" s="14">
        <f>equip.xml!K1921</f>
        <v>1500</v>
      </c>
      <c r="K1917" s="14">
        <f>equip.xml!L1921</f>
        <v>10000</v>
      </c>
      <c r="L1917" s="14" t="str">
        <f>equip.xml!M1921</f>
        <v>102_185_185</v>
      </c>
      <c r="M1917" s="17" t="str">
        <f>equip.xml!Q1921</f>
        <v>equipment/14001.png</v>
      </c>
      <c r="N1917" s="16" t="str">
        <f>equip.xml!P1921</f>
        <v>10000_1002_15000,30000_30001_1,30000_30002_1,30000_30003_1</v>
      </c>
      <c r="O1917">
        <f>equip.xml!R1921</f>
        <v>0</v>
      </c>
    </row>
    <row r="1918" spans="1:15">
      <c r="A1918" s="14">
        <f>equip.xml!A1922</f>
        <v>50150030</v>
      </c>
      <c r="B1918" s="14">
        <f>equip.xml!B1922</f>
        <v>1</v>
      </c>
      <c r="C1918" s="14" t="str">
        <f>equip.xml!C1922</f>
        <v>铁锁腰带</v>
      </c>
      <c r="D1918" s="14" t="str">
        <f>equip.xml!D1922</f>
        <v>腰带</v>
      </c>
      <c r="E1918" s="14">
        <f>equip.xml!E1922</f>
        <v>3</v>
      </c>
      <c r="F1918" s="14">
        <f>equip.xml!F1922</f>
        <v>5</v>
      </c>
      <c r="G1918" s="14">
        <f>equip.xml!G1922</f>
        <v>15</v>
      </c>
      <c r="H1918" s="14">
        <f>equip.xml!H1922</f>
        <v>0</v>
      </c>
      <c r="I1918" s="14">
        <f>equip.xml!J1922</f>
        <v>150</v>
      </c>
      <c r="J1918" s="14">
        <f>equip.xml!K1922</f>
        <v>1500</v>
      </c>
      <c r="K1918" s="14">
        <f>equip.xml!L1922</f>
        <v>10000</v>
      </c>
      <c r="L1918" s="14" t="str">
        <f>equip.xml!M1922</f>
        <v>101_1160_1160</v>
      </c>
      <c r="M1918" s="17" t="str">
        <f>equip.xml!Q1922</f>
        <v>equipment/6003.png</v>
      </c>
      <c r="N1918" s="16" t="str">
        <f>equip.xml!P1922</f>
        <v>10000_1002_15000,30000_30001_1,30000_30002_1,30000_30003_1</v>
      </c>
      <c r="O1918">
        <f>equip.xml!R1922</f>
        <v>0</v>
      </c>
    </row>
    <row r="1919" spans="1:15">
      <c r="A1919" s="14" t="str">
        <f>equip.xml!A1923</f>
        <v>50150080</v>
      </c>
      <c r="B1919" s="14">
        <f>equip.xml!B1923</f>
        <v>1</v>
      </c>
      <c r="C1919" s="14" t="str">
        <f>equip.xml!C1923</f>
        <v>链甲战靴</v>
      </c>
      <c r="D1919" s="14" t="str">
        <f>equip.xml!D1923</f>
        <v>鞋子</v>
      </c>
      <c r="E1919" s="14">
        <f>equip.xml!E1923</f>
        <v>8</v>
      </c>
      <c r="F1919" s="14">
        <f>equip.xml!F1923</f>
        <v>5</v>
      </c>
      <c r="G1919" s="14">
        <f>equip.xml!G1923</f>
        <v>15</v>
      </c>
      <c r="H1919" s="14">
        <f>equip.xml!H1923</f>
        <v>0</v>
      </c>
      <c r="I1919" s="14">
        <f>equip.xml!J1923</f>
        <v>150</v>
      </c>
      <c r="J1919" s="14">
        <f>equip.xml!K1923</f>
        <v>1500</v>
      </c>
      <c r="K1919" s="14">
        <f>equip.xml!L1923</f>
        <v>10000</v>
      </c>
      <c r="L1919" s="14" t="str">
        <f>equip.xml!M1923</f>
        <v>110_27_27</v>
      </c>
      <c r="M1919" s="17" t="str">
        <f>equip.xml!Q1923</f>
        <v>equipment/8003.png</v>
      </c>
      <c r="N1919" s="16" t="str">
        <f>equip.xml!P1923</f>
        <v>10000_1002_15000,30000_30001_1,30000_30002_1,30000_30003_1</v>
      </c>
      <c r="O1919">
        <f>equip.xml!R1923</f>
        <v>0</v>
      </c>
    </row>
    <row r="1920" spans="1:15">
      <c r="A1920" s="14" t="str">
        <f>equip.xml!A1924</f>
        <v>50150090</v>
      </c>
      <c r="B1920" s="14">
        <f>equip.xml!B1924</f>
        <v>1</v>
      </c>
      <c r="C1920" s="14" t="str">
        <f>equip.xml!C1924</f>
        <v>战痕手套</v>
      </c>
      <c r="D1920" s="14" t="str">
        <f>equip.xml!D1924</f>
        <v>手套</v>
      </c>
      <c r="E1920" s="14">
        <f>equip.xml!E1924</f>
        <v>9</v>
      </c>
      <c r="F1920" s="14">
        <f>equip.xml!F1924</f>
        <v>5</v>
      </c>
      <c r="G1920" s="14">
        <f>equip.xml!G1924</f>
        <v>15</v>
      </c>
      <c r="H1920" s="14">
        <f>equip.xml!H1924</f>
        <v>0</v>
      </c>
      <c r="I1920" s="14">
        <f>equip.xml!J1924</f>
        <v>150</v>
      </c>
      <c r="J1920" s="14">
        <f>equip.xml!K1924</f>
        <v>1500</v>
      </c>
      <c r="K1920" s="14">
        <f>equip.xml!L1924</f>
        <v>10000</v>
      </c>
      <c r="L1920" s="14" t="str">
        <f>equip.xml!M1924</f>
        <v>108_106_106</v>
      </c>
      <c r="M1920" s="17" t="str">
        <f>equip.xml!Q1924</f>
        <v>equipment/10003.png</v>
      </c>
      <c r="N1920" s="16" t="str">
        <f>equip.xml!P1924</f>
        <v>10000_1002_15000,30000_30001_1,30000_30002_1,30000_30003_1</v>
      </c>
      <c r="O1920">
        <f>equip.xml!R1924</f>
        <v>0</v>
      </c>
    </row>
    <row r="1921" spans="1:15">
      <c r="A1921" s="14" t="str">
        <f>equip.xml!A1925</f>
        <v>50150100</v>
      </c>
      <c r="B1921" s="14">
        <f>equip.xml!B1925</f>
        <v>1</v>
      </c>
      <c r="C1921" s="14" t="str">
        <f>equip.xml!C1925</f>
        <v>使者项链</v>
      </c>
      <c r="D1921" s="14" t="str">
        <f>equip.xml!D1925</f>
        <v>项链</v>
      </c>
      <c r="E1921" s="14">
        <f>equip.xml!E1925</f>
        <v>10</v>
      </c>
      <c r="F1921" s="14">
        <f>equip.xml!F1925</f>
        <v>5</v>
      </c>
      <c r="G1921" s="14">
        <f>equip.xml!G1925</f>
        <v>15</v>
      </c>
      <c r="H1921" s="14">
        <f>equip.xml!H1925</f>
        <v>0</v>
      </c>
      <c r="I1921" s="14">
        <f>equip.xml!J1925</f>
        <v>150</v>
      </c>
      <c r="J1921" s="14">
        <f>equip.xml!K1925</f>
        <v>1500</v>
      </c>
      <c r="K1921" s="14">
        <f>equip.xml!L1925</f>
        <v>10000</v>
      </c>
      <c r="L1921" s="14" t="str">
        <f>equip.xml!M1925</f>
        <v>107_64_64</v>
      </c>
      <c r="M1921" s="17" t="str">
        <f>equip.xml!Q1925</f>
        <v>equipment/12002.png</v>
      </c>
      <c r="N1921" s="16" t="str">
        <f>equip.xml!P1925</f>
        <v>10000_1002_15000,30000_30001_1,30000_30002_1,30000_30003_1</v>
      </c>
      <c r="O1921">
        <f>equip.xml!R1925</f>
        <v>0</v>
      </c>
    </row>
    <row r="1922" spans="1:15">
      <c r="A1922" s="14" t="str">
        <f>equip.xml!A1926</f>
        <v>50151050</v>
      </c>
      <c r="B1922" s="14">
        <f>equip.xml!B1926</f>
        <v>1</v>
      </c>
      <c r="C1922" s="14" t="str">
        <f>equip.xml!C1926</f>
        <v>宽刃剑</v>
      </c>
      <c r="D1922" s="14" t="str">
        <f>equip.xml!D1926</f>
        <v>主手武器</v>
      </c>
      <c r="E1922" s="14">
        <f>equip.xml!E1926</f>
        <v>5</v>
      </c>
      <c r="F1922" s="14">
        <f>equip.xml!F1926</f>
        <v>5</v>
      </c>
      <c r="G1922" s="14">
        <f>equip.xml!G1926</f>
        <v>15</v>
      </c>
      <c r="H1922" s="14" t="str">
        <f>equip.xml!H1926</f>
        <v>1,1001</v>
      </c>
      <c r="I1922" s="14">
        <f>equip.xml!J1926</f>
        <v>150</v>
      </c>
      <c r="J1922" s="14">
        <f>equip.xml!K1926</f>
        <v>1500</v>
      </c>
      <c r="K1922" s="14">
        <f>equip.xml!L1926</f>
        <v>10000</v>
      </c>
      <c r="L1922" s="14" t="str">
        <f>equip.xml!M1926</f>
        <v>103_52_52,104_104_104</v>
      </c>
      <c r="M1922" s="17" t="str">
        <f>equip.xml!Q1926</f>
        <v>equipment/1108.png</v>
      </c>
      <c r="N1922" s="16" t="str">
        <f>equip.xml!P1926</f>
        <v>10000_1002_15000,30000_30001_1,30000_30002_1,30000_30003_1</v>
      </c>
      <c r="O1922">
        <f>equip.xml!R1926</f>
        <v>0</v>
      </c>
    </row>
    <row r="1923" spans="1:15">
      <c r="A1923" s="14" t="str">
        <f>equip.xml!A1927</f>
        <v>50151051</v>
      </c>
      <c r="B1923" s="14">
        <f>equip.xml!B1927</f>
        <v>1</v>
      </c>
      <c r="C1923" s="14" t="str">
        <f>equip.xml!C1927</f>
        <v>游侠之刃</v>
      </c>
      <c r="D1923" s="14" t="str">
        <f>equip.xml!D1927</f>
        <v>主手武器</v>
      </c>
      <c r="E1923" s="14">
        <f>equip.xml!E1927</f>
        <v>5</v>
      </c>
      <c r="F1923" s="14">
        <f>equip.xml!F1927</f>
        <v>5</v>
      </c>
      <c r="G1923" s="14">
        <f>equip.xml!G1927</f>
        <v>15</v>
      </c>
      <c r="H1923" s="14" t="str">
        <f>equip.xml!H1927</f>
        <v>1,1001</v>
      </c>
      <c r="I1923" s="14">
        <f>equip.xml!J1927</f>
        <v>150</v>
      </c>
      <c r="J1923" s="14">
        <f>equip.xml!K1927</f>
        <v>1500</v>
      </c>
      <c r="K1923" s="14">
        <f>equip.xml!L1927</f>
        <v>12500</v>
      </c>
      <c r="L1923" s="14" t="str">
        <f>equip.xml!M1927</f>
        <v>103_76_76,104_152_152</v>
      </c>
      <c r="M1923" s="17" t="str">
        <f>equip.xml!Q1927</f>
        <v>equipment/1107.png</v>
      </c>
      <c r="N1923" s="16" t="str">
        <f>equip.xml!P1927</f>
        <v>10000_1002_15000,30000_30001_1,30000_30002_1,30000_30003_1</v>
      </c>
      <c r="O1923">
        <f>equip.xml!R1927</f>
        <v>0</v>
      </c>
    </row>
    <row r="1924" spans="1:15">
      <c r="A1924" s="14" t="str">
        <f>equip.xml!A1928</f>
        <v>50151060</v>
      </c>
      <c r="B1924" s="14">
        <f>equip.xml!B1928</f>
        <v>1</v>
      </c>
      <c r="C1924" s="14" t="str">
        <f>equip.xml!C1928</f>
        <v>鸢盾</v>
      </c>
      <c r="D1924" s="14" t="str">
        <f>equip.xml!D1928</f>
        <v>副手武器</v>
      </c>
      <c r="E1924" s="14">
        <f>equip.xml!E1928</f>
        <v>6</v>
      </c>
      <c r="F1924" s="14">
        <f>equip.xml!F1928</f>
        <v>5</v>
      </c>
      <c r="G1924" s="14">
        <f>equip.xml!G1928</f>
        <v>15</v>
      </c>
      <c r="H1924" s="14" t="str">
        <f>equip.xml!H1928</f>
        <v>1,1001</v>
      </c>
      <c r="I1924" s="14">
        <f>equip.xml!J1928</f>
        <v>150</v>
      </c>
      <c r="J1924" s="14">
        <f>equip.xml!K1928</f>
        <v>1500</v>
      </c>
      <c r="K1924" s="14">
        <f>equip.xml!L1928</f>
        <v>10000</v>
      </c>
      <c r="L1924" s="14" t="str">
        <f>equip.xml!M1928</f>
        <v>105_103_103</v>
      </c>
      <c r="M1924" s="17" t="str">
        <f>equip.xml!Q1928</f>
        <v>equipment/2105.png</v>
      </c>
      <c r="N1924" s="16" t="str">
        <f>equip.xml!P1928</f>
        <v>10000_1002_15000,30000_30001_1,30000_30002_1,30000_30003_1</v>
      </c>
      <c r="O1924">
        <f>equip.xml!R1928</f>
        <v>0</v>
      </c>
    </row>
    <row r="1925" spans="1:15">
      <c r="A1925" s="14" t="str">
        <f>equip.xml!A1929</f>
        <v>50151061</v>
      </c>
      <c r="B1925" s="14">
        <f>equip.xml!B1929</f>
        <v>0</v>
      </c>
      <c r="C1925" s="14" t="str">
        <f>equip.xml!C1929</f>
        <v>尖头盾</v>
      </c>
      <c r="D1925" s="14" t="str">
        <f>equip.xml!D1929</f>
        <v>副手武器</v>
      </c>
      <c r="E1925" s="14">
        <f>equip.xml!E1929</f>
        <v>6</v>
      </c>
      <c r="F1925" s="14">
        <f>equip.xml!F1929</f>
        <v>5</v>
      </c>
      <c r="G1925" s="14">
        <f>equip.xml!G1929</f>
        <v>15</v>
      </c>
      <c r="H1925" s="14" t="str">
        <f>equip.xml!H1929</f>
        <v>1,1001</v>
      </c>
      <c r="I1925" s="14">
        <f>equip.xml!J1929</f>
        <v>150</v>
      </c>
      <c r="J1925" s="14">
        <f>equip.xml!K1929</f>
        <v>1500</v>
      </c>
      <c r="K1925" s="14">
        <f>equip.xml!L1929</f>
        <v>12500</v>
      </c>
      <c r="L1925" s="14" t="str">
        <f>equip.xml!M1929</f>
        <v>105_130_130</v>
      </c>
      <c r="M1925" s="17" t="str">
        <f>equip.xml!Q1929</f>
        <v>equipment/2101.png</v>
      </c>
      <c r="N1925" s="16" t="str">
        <f>equip.xml!P1929</f>
        <v>10000_1002_15000,30000_30001_1,30000_30002_1,30000_30003_1</v>
      </c>
      <c r="O1925">
        <f>equip.xml!R1929</f>
        <v>0</v>
      </c>
    </row>
    <row r="1926" spans="1:15">
      <c r="A1926" s="14" t="str">
        <f>equip.xml!A1930</f>
        <v>50152050</v>
      </c>
      <c r="B1926" s="14">
        <f>equip.xml!B1930</f>
        <v>1</v>
      </c>
      <c r="C1926" s="14" t="str">
        <f>equip.xml!C1930</f>
        <v>狩猎之弓</v>
      </c>
      <c r="D1926" s="14" t="str">
        <f>equip.xml!D1930</f>
        <v>主手武器</v>
      </c>
      <c r="E1926" s="14">
        <f>equip.xml!E1930</f>
        <v>5</v>
      </c>
      <c r="F1926" s="14">
        <f>equip.xml!F1930</f>
        <v>5</v>
      </c>
      <c r="G1926" s="14">
        <f>equip.xml!G1930</f>
        <v>15</v>
      </c>
      <c r="H1926" s="14" t="str">
        <f>equip.xml!H1930</f>
        <v>2,1002</v>
      </c>
      <c r="I1926" s="14">
        <f>equip.xml!J1930</f>
        <v>150</v>
      </c>
      <c r="J1926" s="14">
        <f>equip.xml!K1930</f>
        <v>1500</v>
      </c>
      <c r="K1926" s="14">
        <f>equip.xml!L1930</f>
        <v>10000</v>
      </c>
      <c r="L1926" s="14" t="str">
        <f>equip.xml!M1930</f>
        <v>103_52_52,104_104_104</v>
      </c>
      <c r="M1926" s="17" t="str">
        <f>equip.xml!Q1930</f>
        <v>equipment/1207.png</v>
      </c>
      <c r="N1926" s="16" t="str">
        <f>equip.xml!P1930</f>
        <v>10000_1002_15000,30000_30001_1,30000_30002_1,30000_30003_1</v>
      </c>
      <c r="O1926">
        <f>equip.xml!R1930</f>
        <v>0</v>
      </c>
    </row>
    <row r="1927" spans="1:15">
      <c r="A1927" s="14" t="str">
        <f>equip.xml!A1931</f>
        <v>50152051</v>
      </c>
      <c r="B1927" s="14">
        <f>equip.xml!B1931</f>
        <v>1</v>
      </c>
      <c r="C1927" s="14" t="str">
        <f>equip.xml!C1931</f>
        <v>半人马长弓</v>
      </c>
      <c r="D1927" s="14" t="str">
        <f>equip.xml!D1931</f>
        <v>主手武器</v>
      </c>
      <c r="E1927" s="14">
        <f>equip.xml!E1931</f>
        <v>5</v>
      </c>
      <c r="F1927" s="14">
        <f>equip.xml!F1931</f>
        <v>5</v>
      </c>
      <c r="G1927" s="14">
        <f>equip.xml!G1931</f>
        <v>15</v>
      </c>
      <c r="H1927" s="14" t="str">
        <f>equip.xml!H1931</f>
        <v>2,1002</v>
      </c>
      <c r="I1927" s="14">
        <f>equip.xml!J1931</f>
        <v>150</v>
      </c>
      <c r="J1927" s="14">
        <f>equip.xml!K1931</f>
        <v>1500</v>
      </c>
      <c r="K1927" s="14">
        <f>equip.xml!L1931</f>
        <v>12500</v>
      </c>
      <c r="L1927" s="14" t="str">
        <f>equip.xml!M1931</f>
        <v>103_76_76,104_152_152</v>
      </c>
      <c r="M1927" s="17" t="str">
        <f>equip.xml!Q1931</f>
        <v>equipment/1208.png</v>
      </c>
      <c r="N1927" s="16" t="str">
        <f>equip.xml!P1931</f>
        <v>10000_1002_15000,30000_30001_1,30000_30002_1,30000_30003_1</v>
      </c>
      <c r="O1927">
        <f>equip.xml!R1931</f>
        <v>0</v>
      </c>
    </row>
    <row r="1928" spans="1:15">
      <c r="A1928" s="14" t="str">
        <f>equip.xml!A1932</f>
        <v>50152060</v>
      </c>
      <c r="B1928" s="14">
        <f>equip.xml!B1932</f>
        <v>1</v>
      </c>
      <c r="C1928" s="14" t="str">
        <f>equip.xml!C1932</f>
        <v>皮革箭筒</v>
      </c>
      <c r="D1928" s="14" t="str">
        <f>equip.xml!D1932</f>
        <v>副手武器</v>
      </c>
      <c r="E1928" s="14">
        <f>equip.xml!E1932</f>
        <v>6</v>
      </c>
      <c r="F1928" s="14">
        <f>equip.xml!F1932</f>
        <v>5</v>
      </c>
      <c r="G1928" s="14">
        <f>equip.xml!G1932</f>
        <v>15</v>
      </c>
      <c r="H1928" s="14" t="str">
        <f>equip.xml!H1932</f>
        <v>2,1002</v>
      </c>
      <c r="I1928" s="14">
        <f>equip.xml!J1932</f>
        <v>150</v>
      </c>
      <c r="J1928" s="14">
        <f>equip.xml!K1932</f>
        <v>1500</v>
      </c>
      <c r="K1928" s="14">
        <f>equip.xml!L1932</f>
        <v>10000</v>
      </c>
      <c r="L1928" s="14" t="str">
        <f>equip.xml!M1932</f>
        <v>108_103_103</v>
      </c>
      <c r="M1928" s="17" t="str">
        <f>equip.xml!Q1932</f>
        <v>equipment/2204.png</v>
      </c>
      <c r="N1928" s="16" t="str">
        <f>equip.xml!P1932</f>
        <v>10000_1002_15000,30000_30001_1,30000_30002_1,30000_30003_1</v>
      </c>
      <c r="O1928">
        <f>equip.xml!R1932</f>
        <v>0</v>
      </c>
    </row>
    <row r="1929" spans="1:15">
      <c r="A1929" s="14" t="str">
        <f>equip.xml!A1933</f>
        <v>50152061</v>
      </c>
      <c r="B1929" s="14">
        <f>equip.xml!B1933</f>
        <v>0</v>
      </c>
      <c r="C1929" s="14" t="str">
        <f>equip.xml!C1933</f>
        <v>箭筒</v>
      </c>
      <c r="D1929" s="14" t="str">
        <f>equip.xml!D1933</f>
        <v>副手武器</v>
      </c>
      <c r="E1929" s="14">
        <f>equip.xml!E1933</f>
        <v>6</v>
      </c>
      <c r="F1929" s="14">
        <f>equip.xml!F1933</f>
        <v>5</v>
      </c>
      <c r="G1929" s="14">
        <f>equip.xml!G1933</f>
        <v>15</v>
      </c>
      <c r="H1929" s="14" t="str">
        <f>equip.xml!H1933</f>
        <v>2,1002</v>
      </c>
      <c r="I1929" s="14">
        <f>equip.xml!J1933</f>
        <v>150</v>
      </c>
      <c r="J1929" s="14">
        <f>equip.xml!K1933</f>
        <v>1500</v>
      </c>
      <c r="K1929" s="14">
        <f>equip.xml!L1933</f>
        <v>12500</v>
      </c>
      <c r="L1929" s="14" t="str">
        <f>equip.xml!M1933</f>
        <v>108_130_130</v>
      </c>
      <c r="M1929" s="17" t="str">
        <f>equip.xml!Q1933</f>
        <v>equipment/2201.png</v>
      </c>
      <c r="N1929" s="16" t="str">
        <f>equip.xml!P1933</f>
        <v>10000_1002_15000,30000_30001_1,30000_30002_1,30000_30003_1</v>
      </c>
      <c r="O1929">
        <f>equip.xml!R1933</f>
        <v>0</v>
      </c>
    </row>
    <row r="1930" spans="1:15">
      <c r="A1930" s="14" t="str">
        <f>equip.xml!A1934</f>
        <v>50153050</v>
      </c>
      <c r="B1930" s="14">
        <f>equip.xml!B1934</f>
        <v>1</v>
      </c>
      <c r="C1930" s="14" t="str">
        <f>equip.xml!C1934</f>
        <v>风灵法杖</v>
      </c>
      <c r="D1930" s="14" t="str">
        <f>equip.xml!D1934</f>
        <v>主手武器</v>
      </c>
      <c r="E1930" s="14">
        <f>equip.xml!E1934</f>
        <v>5</v>
      </c>
      <c r="F1930" s="14">
        <f>equip.xml!F1934</f>
        <v>5</v>
      </c>
      <c r="G1930" s="14">
        <f>equip.xml!G1934</f>
        <v>15</v>
      </c>
      <c r="H1930" s="14" t="str">
        <f>equip.xml!H1934</f>
        <v>3,1003</v>
      </c>
      <c r="I1930" s="14">
        <f>equip.xml!J1934</f>
        <v>150</v>
      </c>
      <c r="J1930" s="14">
        <f>equip.xml!K1934</f>
        <v>1500</v>
      </c>
      <c r="K1930" s="14">
        <f>equip.xml!L1934</f>
        <v>10000</v>
      </c>
      <c r="L1930" s="14" t="str">
        <f>equip.xml!M1934</f>
        <v>103_52_52,104_104_104</v>
      </c>
      <c r="M1930" s="17" t="str">
        <f>equip.xml!Q1934</f>
        <v>equipment/1307.png</v>
      </c>
      <c r="N1930" s="16" t="str">
        <f>equip.xml!P1934</f>
        <v>10000_1002_15000,30000_30001_1,30000_30002_1,30000_30003_1</v>
      </c>
      <c r="O1930">
        <f>equip.xml!R1934</f>
        <v>0</v>
      </c>
    </row>
    <row r="1931" spans="1:15">
      <c r="A1931" s="14" t="str">
        <f>equip.xml!A1935</f>
        <v>50153051</v>
      </c>
      <c r="B1931" s="14">
        <f>equip.xml!B1935</f>
        <v>1</v>
      </c>
      <c r="C1931" s="14" t="str">
        <f>equip.xml!C1935</f>
        <v>禁锢之杖</v>
      </c>
      <c r="D1931" s="14" t="str">
        <f>equip.xml!D1935</f>
        <v>主手武器</v>
      </c>
      <c r="E1931" s="14">
        <f>equip.xml!E1935</f>
        <v>5</v>
      </c>
      <c r="F1931" s="14">
        <f>equip.xml!F1935</f>
        <v>5</v>
      </c>
      <c r="G1931" s="14">
        <f>equip.xml!G1935</f>
        <v>15</v>
      </c>
      <c r="H1931" s="14" t="str">
        <f>equip.xml!H1935</f>
        <v>3,1003</v>
      </c>
      <c r="I1931" s="14">
        <f>equip.xml!J1935</f>
        <v>150</v>
      </c>
      <c r="J1931" s="14">
        <f>equip.xml!K1935</f>
        <v>1500</v>
      </c>
      <c r="K1931" s="14">
        <f>equip.xml!L1935</f>
        <v>12500</v>
      </c>
      <c r="L1931" s="14" t="str">
        <f>equip.xml!M1935</f>
        <v>103_76_76,104_152_152</v>
      </c>
      <c r="M1931" s="17" t="str">
        <f>equip.xml!Q1935</f>
        <v>equipment/1308.png</v>
      </c>
      <c r="N1931" s="16" t="str">
        <f>equip.xml!P1935</f>
        <v>10000_1002_15000,30000_30001_1,30000_30002_1,30000_30003_1</v>
      </c>
      <c r="O1931">
        <f>equip.xml!R1935</f>
        <v>0</v>
      </c>
    </row>
    <row r="1932" spans="1:15">
      <c r="A1932" s="14" t="str">
        <f>equip.xml!A1936</f>
        <v>50153060</v>
      </c>
      <c r="B1932" s="14">
        <f>equip.xml!B1936</f>
        <v>1</v>
      </c>
      <c r="C1932" s="14" t="str">
        <f>equip.xml!C1936</f>
        <v>秘法之书</v>
      </c>
      <c r="D1932" s="14" t="str">
        <f>equip.xml!D1936</f>
        <v>副手武器</v>
      </c>
      <c r="E1932" s="14">
        <f>equip.xml!E1936</f>
        <v>6</v>
      </c>
      <c r="F1932" s="14">
        <f>equip.xml!F1936</f>
        <v>5</v>
      </c>
      <c r="G1932" s="14">
        <f>equip.xml!G1936</f>
        <v>15</v>
      </c>
      <c r="H1932" s="14" t="str">
        <f>equip.xml!H1936</f>
        <v>3,1003</v>
      </c>
      <c r="I1932" s="14">
        <f>equip.xml!J1936</f>
        <v>150</v>
      </c>
      <c r="J1932" s="14">
        <f>equip.xml!K1936</f>
        <v>1500</v>
      </c>
      <c r="K1932" s="14">
        <f>equip.xml!L1936</f>
        <v>10000</v>
      </c>
      <c r="L1932" s="14" t="str">
        <f>equip.xml!M1936</f>
        <v>102_420_420</v>
      </c>
      <c r="M1932" s="17" t="str">
        <f>equip.xml!Q1936</f>
        <v>equipment/2304.png</v>
      </c>
      <c r="N1932" s="16" t="str">
        <f>equip.xml!P1936</f>
        <v>10000_1002_15000,30000_30001_1,30000_30002_1,30000_30003_1</v>
      </c>
      <c r="O1932">
        <f>equip.xml!R1936</f>
        <v>0</v>
      </c>
    </row>
    <row r="1933" spans="1:15">
      <c r="A1933" s="14" t="str">
        <f>equip.xml!A1937</f>
        <v>50153061</v>
      </c>
      <c r="B1933" s="14">
        <f>equip.xml!B1937</f>
        <v>0</v>
      </c>
      <c r="C1933" s="14" t="str">
        <f>equip.xml!C1937</f>
        <v>法术指南</v>
      </c>
      <c r="D1933" s="14" t="str">
        <f>equip.xml!D1937</f>
        <v>副手武器</v>
      </c>
      <c r="E1933" s="14">
        <f>equip.xml!E1937</f>
        <v>6</v>
      </c>
      <c r="F1933" s="14">
        <f>equip.xml!F1937</f>
        <v>5</v>
      </c>
      <c r="G1933" s="14">
        <f>equip.xml!G1937</f>
        <v>15</v>
      </c>
      <c r="H1933" s="14" t="str">
        <f>equip.xml!H1937</f>
        <v>3,1003</v>
      </c>
      <c r="I1933" s="14">
        <f>equip.xml!J1937</f>
        <v>150</v>
      </c>
      <c r="J1933" s="14">
        <f>equip.xml!K1937</f>
        <v>1500</v>
      </c>
      <c r="K1933" s="14">
        <f>equip.xml!L1937</f>
        <v>12500</v>
      </c>
      <c r="L1933" s="14" t="str">
        <f>equip.xml!M1937</f>
        <v>102_472_472</v>
      </c>
      <c r="M1933" s="17" t="str">
        <f>equip.xml!Q1937</f>
        <v>equipment/2301.png</v>
      </c>
      <c r="N1933" s="16" t="str">
        <f>equip.xml!P1937</f>
        <v>10000_1002_15000,30000_30001_1,30000_30002_1,30000_30003_1</v>
      </c>
      <c r="O1933">
        <f>equip.xml!R1937</f>
        <v>0</v>
      </c>
    </row>
    <row r="1934" spans="1:15">
      <c r="A1934" s="14" t="str">
        <f>equip.xml!A1938</f>
        <v>50150040</v>
      </c>
      <c r="B1934" s="14">
        <f>equip.xml!B1938</f>
        <v>1</v>
      </c>
      <c r="C1934" s="14" t="str">
        <f>equip.xml!C1938</f>
        <v>暗石胸甲</v>
      </c>
      <c r="D1934" s="14" t="str">
        <f>equip.xml!D1938</f>
        <v>胸甲</v>
      </c>
      <c r="E1934" s="14">
        <f>equip.xml!E1938</f>
        <v>4</v>
      </c>
      <c r="F1934" s="14">
        <f>equip.xml!F1938</f>
        <v>5</v>
      </c>
      <c r="G1934" s="14">
        <f>equip.xml!G1938</f>
        <v>15</v>
      </c>
      <c r="H1934" s="14">
        <f>equip.xml!H1938</f>
        <v>0</v>
      </c>
      <c r="I1934" s="14">
        <f>equip.xml!J1938</f>
        <v>150</v>
      </c>
      <c r="J1934" s="14">
        <f>equip.xml!K1938</f>
        <v>1500</v>
      </c>
      <c r="K1934" s="14">
        <f>equip.xml!L1938</f>
        <v>10000</v>
      </c>
      <c r="L1934" s="14" t="str">
        <f>equip.xml!M1938</f>
        <v>105_39_39</v>
      </c>
      <c r="M1934" s="17" t="str">
        <f>equip.xml!Q1938</f>
        <v>equipment/5005.png</v>
      </c>
      <c r="N1934" s="16" t="str">
        <f>equip.xml!P1938</f>
        <v>10000_1002_15000,30000_30001_1,30000_30002_1,30000_30003_1</v>
      </c>
      <c r="O1934">
        <f>equip.xml!R1938</f>
        <v>0</v>
      </c>
    </row>
    <row r="1935" spans="1:15">
      <c r="A1935" s="14" t="str">
        <f>equip.xml!A1939</f>
        <v>50150041</v>
      </c>
      <c r="B1935" s="14">
        <f>equip.xml!B1939</f>
        <v>0</v>
      </c>
      <c r="C1935" s="14" t="str">
        <f>equip.xml!C1939</f>
        <v>新兵外套</v>
      </c>
      <c r="D1935" s="14" t="str">
        <f>equip.xml!D1939</f>
        <v>胸甲</v>
      </c>
      <c r="E1935" s="14">
        <f>equip.xml!E1939</f>
        <v>4</v>
      </c>
      <c r="F1935" s="14">
        <f>equip.xml!F1939</f>
        <v>5</v>
      </c>
      <c r="G1935" s="14">
        <f>equip.xml!G1939</f>
        <v>15</v>
      </c>
      <c r="H1935" s="14">
        <f>equip.xml!H1939</f>
        <v>0</v>
      </c>
      <c r="I1935" s="14">
        <f>equip.xml!J1939</f>
        <v>150</v>
      </c>
      <c r="J1935" s="14">
        <f>equip.xml!K1939</f>
        <v>1500</v>
      </c>
      <c r="K1935" s="14">
        <f>equip.xml!L1939</f>
        <v>12500</v>
      </c>
      <c r="L1935" s="14" t="str">
        <f>equip.xml!M1939</f>
        <v>105_64_64</v>
      </c>
      <c r="M1935" s="17" t="str">
        <f>equip.xml!Q1939</f>
        <v>equipment/5001.png</v>
      </c>
      <c r="N1935" s="16" t="str">
        <f>equip.xml!P1939</f>
        <v>10000_1002_15000,30000_30001_1,30000_30002_1,30000_30003_1</v>
      </c>
      <c r="O1935">
        <f>equip.xml!R1939</f>
        <v>0</v>
      </c>
    </row>
    <row r="1936" spans="1:15">
      <c r="A1936" s="14" t="str">
        <f>equip.xml!A1940</f>
        <v>50150070</v>
      </c>
      <c r="B1936" s="14">
        <f>equip.xml!B1940</f>
        <v>1</v>
      </c>
      <c r="C1936" s="14" t="str">
        <f>equip.xml!C1940</f>
        <v>荒野马裤</v>
      </c>
      <c r="D1936" s="14" t="str">
        <f>equip.xml!D1940</f>
        <v>护腿</v>
      </c>
      <c r="E1936" s="14">
        <f>equip.xml!E1940</f>
        <v>7</v>
      </c>
      <c r="F1936" s="14">
        <f>equip.xml!F1940</f>
        <v>5</v>
      </c>
      <c r="G1936" s="14">
        <f>equip.xml!G1940</f>
        <v>15</v>
      </c>
      <c r="H1936" s="14">
        <f>equip.xml!H1940</f>
        <v>0</v>
      </c>
      <c r="I1936" s="14">
        <f>equip.xml!J1940</f>
        <v>150</v>
      </c>
      <c r="J1936" s="14">
        <f>equip.xml!K1940</f>
        <v>1500</v>
      </c>
      <c r="K1936" s="14">
        <f>equip.xml!L1940</f>
        <v>10000</v>
      </c>
      <c r="L1936" s="14" t="str">
        <f>equip.xml!M1940</f>
        <v>105_39_39</v>
      </c>
      <c r="M1936" s="17" t="str">
        <f>equip.xml!Q1940</f>
        <v>equipment/7003.png</v>
      </c>
      <c r="N1936" s="16" t="str">
        <f>equip.xml!P1940</f>
        <v>10000_1002_15000,30000_30001_1,30000_30002_1,30000_30003_1</v>
      </c>
      <c r="O1936">
        <f>equip.xml!R1940</f>
        <v>0</v>
      </c>
    </row>
    <row r="1937" spans="1:15">
      <c r="A1937" s="14" t="str">
        <f>equip.xml!A1941</f>
        <v>50150071</v>
      </c>
      <c r="B1937" s="14">
        <f>equip.xml!B1941</f>
        <v>0</v>
      </c>
      <c r="C1937" s="14" t="str">
        <f>equip.xml!C1941</f>
        <v>学徒短裤</v>
      </c>
      <c r="D1937" s="14" t="str">
        <f>equip.xml!D1941</f>
        <v>护腿</v>
      </c>
      <c r="E1937" s="14">
        <f>equip.xml!E1941</f>
        <v>7</v>
      </c>
      <c r="F1937" s="14">
        <f>equip.xml!F1941</f>
        <v>5</v>
      </c>
      <c r="G1937" s="14">
        <f>equip.xml!G1941</f>
        <v>15</v>
      </c>
      <c r="H1937" s="14">
        <f>equip.xml!H1941</f>
        <v>0</v>
      </c>
      <c r="I1937" s="14">
        <f>equip.xml!J1941</f>
        <v>150</v>
      </c>
      <c r="J1937" s="14">
        <f>equip.xml!K1941</f>
        <v>1500</v>
      </c>
      <c r="K1937" s="14">
        <f>equip.xml!L1941</f>
        <v>12500</v>
      </c>
      <c r="L1937" s="14" t="str">
        <f>equip.xml!M1941</f>
        <v>105_50_50</v>
      </c>
      <c r="M1937" s="17" t="str">
        <f>equip.xml!Q1941</f>
        <v>equipment/7001.png</v>
      </c>
      <c r="N1937" s="16" t="str">
        <f>equip.xml!P1941</f>
        <v>10000_1002_15000,30000_30001_1,30000_30002_1,30000_30003_1</v>
      </c>
      <c r="O1937">
        <f>equip.xml!R1941</f>
        <v>0</v>
      </c>
    </row>
    <row r="1938" spans="1:15">
      <c r="A1938" s="14" t="str">
        <f>equip.xml!A1942</f>
        <v>50200010</v>
      </c>
      <c r="B1938" s="14">
        <f>equip.xml!B1942</f>
        <v>1</v>
      </c>
      <c r="C1938" s="14" t="str">
        <f>equip.xml!C1942</f>
        <v>卫士头盔</v>
      </c>
      <c r="D1938" s="14" t="str">
        <f>equip.xml!D1942</f>
        <v>头盔</v>
      </c>
      <c r="E1938" s="14">
        <f>equip.xml!E1942</f>
        <v>1</v>
      </c>
      <c r="F1938" s="14">
        <f>equip.xml!F1942</f>
        <v>5</v>
      </c>
      <c r="G1938" s="14">
        <f>equip.xml!G1942</f>
        <v>20</v>
      </c>
      <c r="H1938" s="14">
        <f>equip.xml!H1942</f>
        <v>0</v>
      </c>
      <c r="I1938" s="14">
        <f>equip.xml!J1942</f>
        <v>150</v>
      </c>
      <c r="J1938" s="14">
        <f>equip.xml!K1942</f>
        <v>1500</v>
      </c>
      <c r="K1938" s="14">
        <f>equip.xml!L1942</f>
        <v>12500</v>
      </c>
      <c r="L1938" s="14" t="str">
        <f>equip.xml!M1942</f>
        <v>106_136_136</v>
      </c>
      <c r="M1938" s="17" t="str">
        <f>equip.xml!Q1942</f>
        <v>equipment/3003.png</v>
      </c>
      <c r="N1938" s="16" t="str">
        <f>equip.xml!P1942</f>
        <v>10000_1002_20000,30000_30001_1,30000_30002_1,30000_30003_1</v>
      </c>
      <c r="O1938">
        <f>equip.xml!R1942</f>
        <v>0</v>
      </c>
    </row>
    <row r="1939" spans="1:15">
      <c r="A1939" s="14" t="str">
        <f>equip.xml!A1943</f>
        <v>50200020</v>
      </c>
      <c r="B1939" s="14">
        <f>equip.xml!B1943</f>
        <v>1</v>
      </c>
      <c r="C1939" s="14" t="str">
        <f>equip.xml!C1943</f>
        <v>石岩指环</v>
      </c>
      <c r="D1939" s="14" t="str">
        <f>equip.xml!D1943</f>
        <v>戒指</v>
      </c>
      <c r="E1939" s="14">
        <f>equip.xml!E1943</f>
        <v>2</v>
      </c>
      <c r="F1939" s="14">
        <f>equip.xml!F1943</f>
        <v>5</v>
      </c>
      <c r="G1939" s="14">
        <f>equip.xml!G1943</f>
        <v>20</v>
      </c>
      <c r="H1939" s="14">
        <f>equip.xml!H1943</f>
        <v>0</v>
      </c>
      <c r="I1939" s="14">
        <f>equip.xml!J1943</f>
        <v>150</v>
      </c>
      <c r="J1939" s="14">
        <f>equip.xml!K1943</f>
        <v>1500</v>
      </c>
      <c r="K1939" s="14">
        <f>equip.xml!L1943</f>
        <v>12500</v>
      </c>
      <c r="L1939" s="14" t="str">
        <f>equip.xml!M1943</f>
        <v>102_240_240</v>
      </c>
      <c r="M1939" s="17" t="str">
        <f>equip.xml!Q1943</f>
        <v>equipment/14003.png</v>
      </c>
      <c r="N1939" s="16" t="str">
        <f>equip.xml!P1943</f>
        <v>10000_1002_20000,30000_30001_1,30000_30002_1,30000_30003_1</v>
      </c>
      <c r="O1939">
        <f>equip.xml!R1943</f>
        <v>0</v>
      </c>
    </row>
    <row r="1940" spans="1:15">
      <c r="A1940" s="14" t="str">
        <f>equip.xml!A1944</f>
        <v>50200030</v>
      </c>
      <c r="B1940" s="14">
        <f>equip.xml!B1944</f>
        <v>1</v>
      </c>
      <c r="C1940" s="14" t="str">
        <f>equip.xml!C1944</f>
        <v>勇者束带</v>
      </c>
      <c r="D1940" s="14" t="str">
        <f>equip.xml!D1944</f>
        <v>腰带</v>
      </c>
      <c r="E1940" s="14">
        <f>equip.xml!E1944</f>
        <v>3</v>
      </c>
      <c r="F1940" s="14">
        <f>equip.xml!F1944</f>
        <v>5</v>
      </c>
      <c r="G1940" s="14">
        <f>equip.xml!G1944</f>
        <v>20</v>
      </c>
      <c r="H1940" s="14">
        <f>equip.xml!H1944</f>
        <v>0</v>
      </c>
      <c r="I1940" s="14">
        <f>equip.xml!J1944</f>
        <v>150</v>
      </c>
      <c r="J1940" s="14">
        <f>equip.xml!K1944</f>
        <v>1500</v>
      </c>
      <c r="K1940" s="14">
        <f>equip.xml!L1944</f>
        <v>12500</v>
      </c>
      <c r="L1940" s="14" t="str">
        <f>equip.xml!M1944</f>
        <v>101_2120_2120</v>
      </c>
      <c r="M1940" s="17" t="str">
        <f>equip.xml!Q1944</f>
        <v>equipment/6004.png</v>
      </c>
      <c r="N1940" s="16" t="str">
        <f>equip.xml!P1944</f>
        <v>10000_1002_20000,30000_30001_1,30000_30002_1,30000_30003_1</v>
      </c>
      <c r="O1940">
        <f>equip.xml!R1944</f>
        <v>0</v>
      </c>
    </row>
    <row r="1941" spans="1:15">
      <c r="A1941" s="14" t="str">
        <f>equip.xml!A1945</f>
        <v>50200080</v>
      </c>
      <c r="B1941" s="14">
        <f>equip.xml!B1945</f>
        <v>1</v>
      </c>
      <c r="C1941" s="14" t="str">
        <f>equip.xml!C1945</f>
        <v>冒险长靴</v>
      </c>
      <c r="D1941" s="14" t="str">
        <f>equip.xml!D1945</f>
        <v>鞋子</v>
      </c>
      <c r="E1941" s="14">
        <f>equip.xml!E1945</f>
        <v>8</v>
      </c>
      <c r="F1941" s="14">
        <f>equip.xml!F1945</f>
        <v>5</v>
      </c>
      <c r="G1941" s="14">
        <f>equip.xml!G1945</f>
        <v>20</v>
      </c>
      <c r="H1941" s="14">
        <f>equip.xml!H1945</f>
        <v>0</v>
      </c>
      <c r="I1941" s="14">
        <f>equip.xml!J1945</f>
        <v>150</v>
      </c>
      <c r="J1941" s="14">
        <f>equip.xml!K1945</f>
        <v>1500</v>
      </c>
      <c r="K1941" s="14">
        <f>equip.xml!L1945</f>
        <v>12500</v>
      </c>
      <c r="L1941" s="14" t="str">
        <f>equip.xml!M1945</f>
        <v>110_32_32</v>
      </c>
      <c r="M1941" s="17" t="str">
        <f>equip.xml!Q1945</f>
        <v>equipment/8003.png</v>
      </c>
      <c r="N1941" s="16" t="str">
        <f>equip.xml!P1945</f>
        <v>10000_1002_20000,30000_30001_1,30000_30002_1,30000_30003_1</v>
      </c>
      <c r="O1941">
        <f>equip.xml!R1945</f>
        <v>0</v>
      </c>
    </row>
    <row r="1942" spans="1:15">
      <c r="A1942" s="14" t="str">
        <f>equip.xml!A1946</f>
        <v>50200090</v>
      </c>
      <c r="B1942" s="14">
        <f>equip.xml!B1946</f>
        <v>1</v>
      </c>
      <c r="C1942" s="14" t="str">
        <f>equip.xml!C1946</f>
        <v>工程手套</v>
      </c>
      <c r="D1942" s="14" t="str">
        <f>equip.xml!D1946</f>
        <v>手套</v>
      </c>
      <c r="E1942" s="14">
        <f>equip.xml!E1946</f>
        <v>9</v>
      </c>
      <c r="F1942" s="14">
        <f>equip.xml!F1946</f>
        <v>5</v>
      </c>
      <c r="G1942" s="14">
        <f>equip.xml!G1946</f>
        <v>20</v>
      </c>
      <c r="H1942" s="14">
        <f>equip.xml!H1946</f>
        <v>0</v>
      </c>
      <c r="I1942" s="14">
        <f>equip.xml!J1946</f>
        <v>150</v>
      </c>
      <c r="J1942" s="14">
        <f>equip.xml!K1946</f>
        <v>1500</v>
      </c>
      <c r="K1942" s="14">
        <f>equip.xml!L1946</f>
        <v>12500</v>
      </c>
      <c r="L1942" s="14" t="str">
        <f>equip.xml!M1946</f>
        <v>108_211_211</v>
      </c>
      <c r="M1942" s="17" t="str">
        <f>equip.xml!Q1946</f>
        <v>equipment/10004.png</v>
      </c>
      <c r="N1942" s="16" t="str">
        <f>equip.xml!P1946</f>
        <v>10000_1002_20000,30000_30001_1,30000_30002_1,30000_30003_1</v>
      </c>
      <c r="O1942">
        <f>equip.xml!R1946</f>
        <v>0</v>
      </c>
    </row>
    <row r="1943" spans="1:15">
      <c r="A1943" s="14" t="str">
        <f>equip.xml!A1947</f>
        <v>50200100</v>
      </c>
      <c r="B1943" s="14">
        <f>equip.xml!B1947</f>
        <v>1</v>
      </c>
      <c r="C1943" s="14" t="str">
        <f>equip.xml!C1947</f>
        <v>翡翠项链</v>
      </c>
      <c r="D1943" s="14" t="str">
        <f>equip.xml!D1947</f>
        <v>项链</v>
      </c>
      <c r="E1943" s="14">
        <f>equip.xml!E1947</f>
        <v>10</v>
      </c>
      <c r="F1943" s="14">
        <f>equip.xml!F1947</f>
        <v>5</v>
      </c>
      <c r="G1943" s="14">
        <f>equip.xml!G1947</f>
        <v>20</v>
      </c>
      <c r="H1943" s="14">
        <f>equip.xml!H1947</f>
        <v>0</v>
      </c>
      <c r="I1943" s="14">
        <f>equip.xml!J1947</f>
        <v>150</v>
      </c>
      <c r="J1943" s="14">
        <f>equip.xml!K1947</f>
        <v>1500</v>
      </c>
      <c r="K1943" s="14">
        <f>equip.xml!L1947</f>
        <v>12500</v>
      </c>
      <c r="L1943" s="14" t="str">
        <f>equip.xml!M1947</f>
        <v>107_136_136</v>
      </c>
      <c r="M1943" s="17" t="str">
        <f>equip.xml!Q1947</f>
        <v>equipment/12003.png</v>
      </c>
      <c r="N1943" s="16" t="str">
        <f>equip.xml!P1947</f>
        <v>10000_1002_20000,30000_30001_1,30000_30002_1,30000_30003_1</v>
      </c>
      <c r="O1943">
        <f>equip.xml!R1947</f>
        <v>0</v>
      </c>
    </row>
    <row r="1944" spans="1:15">
      <c r="A1944" s="14">
        <f>equip.xml!A1948</f>
        <v>50201050</v>
      </c>
      <c r="B1944" s="14">
        <f>equip.xml!B1948</f>
        <v>1</v>
      </c>
      <c r="C1944" s="14" t="str">
        <f>equip.xml!C1948</f>
        <v>勇者长剑</v>
      </c>
      <c r="D1944" s="14" t="str">
        <f>equip.xml!D1948</f>
        <v>主手武器</v>
      </c>
      <c r="E1944" s="14">
        <f>equip.xml!E1948</f>
        <v>5</v>
      </c>
      <c r="F1944" s="14">
        <f>equip.xml!F1948</f>
        <v>5</v>
      </c>
      <c r="G1944" s="14">
        <f>equip.xml!G1948</f>
        <v>20</v>
      </c>
      <c r="H1944" s="14" t="str">
        <f>equip.xml!H1948</f>
        <v>1,1001</v>
      </c>
      <c r="I1944" s="14">
        <f>equip.xml!J1948</f>
        <v>150</v>
      </c>
      <c r="J1944" s="14">
        <f>equip.xml!K1948</f>
        <v>1500</v>
      </c>
      <c r="K1944" s="14">
        <f>equip.xml!L1948</f>
        <v>12500</v>
      </c>
      <c r="L1944" s="14" t="str">
        <f>equip.xml!M1948</f>
        <v>103_113_113,104_226_226</v>
      </c>
      <c r="M1944" s="17" t="str">
        <f>equip.xml!Q1948</f>
        <v>equipment/1109.png</v>
      </c>
      <c r="N1944" s="16" t="str">
        <f>equip.xml!P1948</f>
        <v>10000_1002_20000,30000_30001_1,30000_30002_1,30000_30003_1</v>
      </c>
      <c r="O1944">
        <f>equip.xml!R1948</f>
        <v>0</v>
      </c>
    </row>
    <row r="1945" spans="1:15">
      <c r="A1945" s="14" t="str">
        <f>equip.xml!A1949</f>
        <v>50201051</v>
      </c>
      <c r="B1945" s="14">
        <f>equip.xml!B1949</f>
        <v>0</v>
      </c>
      <c r="C1945" s="14" t="str">
        <f>equip.xml!C1949</f>
        <v>军刀</v>
      </c>
      <c r="D1945" s="14" t="str">
        <f>equip.xml!D1949</f>
        <v>主手武器</v>
      </c>
      <c r="E1945" s="14">
        <f>equip.xml!E1949</f>
        <v>5</v>
      </c>
      <c r="F1945" s="14">
        <f>equip.xml!F1949</f>
        <v>5</v>
      </c>
      <c r="G1945" s="14">
        <f>equip.xml!G1949</f>
        <v>20</v>
      </c>
      <c r="H1945" s="14" t="str">
        <f>equip.xml!H1949</f>
        <v>1,1001</v>
      </c>
      <c r="I1945" s="14">
        <f>equip.xml!J1949</f>
        <v>150</v>
      </c>
      <c r="J1945" s="14">
        <f>equip.xml!K1949</f>
        <v>1500</v>
      </c>
      <c r="K1945" s="14">
        <f>equip.xml!L1949</f>
        <v>15000</v>
      </c>
      <c r="L1945" s="14" t="str">
        <f>equip.xml!M1949</f>
        <v>103_138_138,104_276_276</v>
      </c>
      <c r="M1945" s="17" t="str">
        <f>equip.xml!Q1949</f>
        <v>equipment/1101.png</v>
      </c>
      <c r="N1945" s="16" t="str">
        <f>equip.xml!P1949</f>
        <v>10000_1002_20000,30000_30001_1,30000_30002_1,30000_30003_1</v>
      </c>
      <c r="O1945">
        <f>equip.xml!R1949</f>
        <v>0</v>
      </c>
    </row>
    <row r="1946" spans="1:15">
      <c r="A1946" s="14" t="str">
        <f>equip.xml!A1950</f>
        <v>50201060</v>
      </c>
      <c r="B1946" s="14">
        <f>equip.xml!B1950</f>
        <v>1</v>
      </c>
      <c r="C1946" s="14" t="str">
        <f>equip.xml!C1950</f>
        <v>护卫之盾</v>
      </c>
      <c r="D1946" s="14" t="str">
        <f>equip.xml!D1950</f>
        <v>副手武器</v>
      </c>
      <c r="E1946" s="14">
        <f>equip.xml!E1950</f>
        <v>6</v>
      </c>
      <c r="F1946" s="14">
        <f>equip.xml!F1950</f>
        <v>5</v>
      </c>
      <c r="G1946" s="14">
        <f>equip.xml!G1950</f>
        <v>20</v>
      </c>
      <c r="H1946" s="14" t="str">
        <f>equip.xml!H1950</f>
        <v>1,1001</v>
      </c>
      <c r="I1946" s="14">
        <f>equip.xml!J1950</f>
        <v>150</v>
      </c>
      <c r="J1946" s="14">
        <f>equip.xml!K1950</f>
        <v>1500</v>
      </c>
      <c r="K1946" s="14">
        <f>equip.xml!L1950</f>
        <v>12500</v>
      </c>
      <c r="L1946" s="14" t="str">
        <f>equip.xml!M1950</f>
        <v>105_171_171</v>
      </c>
      <c r="M1946" s="17" t="str">
        <f>equip.xml!Q1950</f>
        <v>equipment/2104.png</v>
      </c>
      <c r="N1946" s="16" t="str">
        <f>equip.xml!P1950</f>
        <v>10000_1002_20000,30000_30001_1,30000_30002_1,30000_30003_1</v>
      </c>
      <c r="O1946">
        <f>equip.xml!R1950</f>
        <v>0</v>
      </c>
    </row>
    <row r="1947" spans="1:15">
      <c r="A1947" s="14" t="str">
        <f>equip.xml!A1951</f>
        <v>50201061</v>
      </c>
      <c r="B1947" s="14">
        <f>equip.xml!B1951</f>
        <v>0</v>
      </c>
      <c r="C1947" s="14" t="str">
        <f>equip.xml!C1951</f>
        <v>尖头盾</v>
      </c>
      <c r="D1947" s="14" t="str">
        <f>equip.xml!D1951</f>
        <v>副手武器</v>
      </c>
      <c r="E1947" s="14">
        <f>equip.xml!E1951</f>
        <v>6</v>
      </c>
      <c r="F1947" s="14">
        <f>equip.xml!F1951</f>
        <v>5</v>
      </c>
      <c r="G1947" s="14">
        <f>equip.xml!G1951</f>
        <v>20</v>
      </c>
      <c r="H1947" s="14" t="str">
        <f>equip.xml!H1951</f>
        <v>1,1001</v>
      </c>
      <c r="I1947" s="14">
        <f>equip.xml!J1951</f>
        <v>150</v>
      </c>
      <c r="J1947" s="14">
        <f>equip.xml!K1951</f>
        <v>1500</v>
      </c>
      <c r="K1947" s="14">
        <f>equip.xml!L1951</f>
        <v>15000</v>
      </c>
      <c r="L1947" s="14" t="str">
        <f>equip.xml!M1951</f>
        <v>105_205_205</v>
      </c>
      <c r="M1947" s="17" t="str">
        <f>equip.xml!Q1951</f>
        <v>equipment/2101.png</v>
      </c>
      <c r="N1947" s="16" t="str">
        <f>equip.xml!P1951</f>
        <v>10000_1002_20000,30000_30001_1,30000_30002_1,30000_30003_1</v>
      </c>
      <c r="O1947">
        <f>equip.xml!R1951</f>
        <v>0</v>
      </c>
    </row>
    <row r="1948" spans="1:15">
      <c r="A1948" s="14">
        <f>equip.xml!A1952</f>
        <v>50202050</v>
      </c>
      <c r="B1948" s="14">
        <f>equip.xml!B1952</f>
        <v>1</v>
      </c>
      <c r="C1948" s="14" t="str">
        <f>equip.xml!C1952</f>
        <v>护卫之弓</v>
      </c>
      <c r="D1948" s="14" t="str">
        <f>equip.xml!D1952</f>
        <v>主手武器</v>
      </c>
      <c r="E1948" s="14">
        <f>equip.xml!E1952</f>
        <v>5</v>
      </c>
      <c r="F1948" s="14">
        <f>equip.xml!F1952</f>
        <v>5</v>
      </c>
      <c r="G1948" s="14">
        <f>equip.xml!G1952</f>
        <v>20</v>
      </c>
      <c r="H1948" s="14" t="str">
        <f>equip.xml!H1952</f>
        <v>2,1002</v>
      </c>
      <c r="I1948" s="14">
        <f>equip.xml!J1952</f>
        <v>150</v>
      </c>
      <c r="J1948" s="14">
        <f>equip.xml!K1952</f>
        <v>1500</v>
      </c>
      <c r="K1948" s="14">
        <f>equip.xml!L1952</f>
        <v>12500</v>
      </c>
      <c r="L1948" s="14" t="str">
        <f>equip.xml!M1952</f>
        <v>103_113_113,104_226_226</v>
      </c>
      <c r="M1948" s="17" t="str">
        <f>equip.xml!Q1952</f>
        <v>equipment/1209.png</v>
      </c>
      <c r="N1948" s="16" t="str">
        <f>equip.xml!P1952</f>
        <v>10000_1002_20000,30000_30001_1,30000_30002_1,30000_30003_1</v>
      </c>
      <c r="O1948">
        <f>equip.xml!R1952</f>
        <v>0</v>
      </c>
    </row>
    <row r="1949" spans="1:15">
      <c r="A1949" s="14" t="str">
        <f>equip.xml!A1953</f>
        <v>50202051</v>
      </c>
      <c r="B1949" s="14">
        <f>equip.xml!B1953</f>
        <v>0</v>
      </c>
      <c r="C1949" s="14" t="str">
        <f>equip.xml!C1953</f>
        <v>棘木弓</v>
      </c>
      <c r="D1949" s="14" t="str">
        <f>equip.xml!D1953</f>
        <v>主手武器</v>
      </c>
      <c r="E1949" s="14">
        <f>equip.xml!E1953</f>
        <v>5</v>
      </c>
      <c r="F1949" s="14">
        <f>equip.xml!F1953</f>
        <v>5</v>
      </c>
      <c r="G1949" s="14">
        <f>equip.xml!G1953</f>
        <v>20</v>
      </c>
      <c r="H1949" s="14" t="str">
        <f>equip.xml!H1953</f>
        <v>2,1002</v>
      </c>
      <c r="I1949" s="14">
        <f>equip.xml!J1953</f>
        <v>150</v>
      </c>
      <c r="J1949" s="14">
        <f>equip.xml!K1953</f>
        <v>1500</v>
      </c>
      <c r="K1949" s="14">
        <f>equip.xml!L1953</f>
        <v>15000</v>
      </c>
      <c r="L1949" s="14" t="str">
        <f>equip.xml!M1953</f>
        <v>103_138_138,104_276_276</v>
      </c>
      <c r="M1949" s="17" t="str">
        <f>equip.xml!Q1953</f>
        <v>equipment/1201.png</v>
      </c>
      <c r="N1949" s="16" t="str">
        <f>equip.xml!P1953</f>
        <v>10000_1002_20000,30000_30001_1,30000_30002_1,30000_30003_1</v>
      </c>
      <c r="O1949">
        <f>equip.xml!R1953</f>
        <v>0</v>
      </c>
    </row>
    <row r="1950" spans="1:15">
      <c r="A1950" s="14" t="str">
        <f>equip.xml!A1954</f>
        <v>50202060</v>
      </c>
      <c r="B1950" s="14">
        <f>equip.xml!B1954</f>
        <v>1</v>
      </c>
      <c r="C1950" s="14" t="str">
        <f>equip.xml!C1954</f>
        <v>狩猎箭筒</v>
      </c>
      <c r="D1950" s="14" t="str">
        <f>equip.xml!D1954</f>
        <v>副手武器</v>
      </c>
      <c r="E1950" s="14">
        <f>equip.xml!E1954</f>
        <v>6</v>
      </c>
      <c r="F1950" s="14">
        <f>equip.xml!F1954</f>
        <v>5</v>
      </c>
      <c r="G1950" s="14">
        <f>equip.xml!G1954</f>
        <v>20</v>
      </c>
      <c r="H1950" s="14" t="str">
        <f>equip.xml!H1954</f>
        <v>2,1002</v>
      </c>
      <c r="I1950" s="14">
        <f>equip.xml!J1954</f>
        <v>150</v>
      </c>
      <c r="J1950" s="14">
        <f>equip.xml!K1954</f>
        <v>1500</v>
      </c>
      <c r="K1950" s="14">
        <f>equip.xml!L1954</f>
        <v>12500</v>
      </c>
      <c r="L1950" s="14" t="str">
        <f>equip.xml!M1954</f>
        <v>108_171_171</v>
      </c>
      <c r="M1950" s="17" t="str">
        <f>equip.xml!Q1954</f>
        <v>equipment/2205.png</v>
      </c>
      <c r="N1950" s="16" t="str">
        <f>equip.xml!P1954</f>
        <v>10000_1002_20000,30000_30001_1,30000_30002_1,30000_30003_1</v>
      </c>
      <c r="O1950">
        <f>equip.xml!R1954</f>
        <v>0</v>
      </c>
    </row>
    <row r="1951" spans="1:15">
      <c r="A1951" s="14" t="str">
        <f>equip.xml!A1955</f>
        <v>50202061</v>
      </c>
      <c r="B1951" s="14">
        <f>equip.xml!B1955</f>
        <v>0</v>
      </c>
      <c r="C1951" s="14" t="str">
        <f>equip.xml!C1955</f>
        <v>箭筒</v>
      </c>
      <c r="D1951" s="14" t="str">
        <f>equip.xml!D1955</f>
        <v>副手武器</v>
      </c>
      <c r="E1951" s="14">
        <f>equip.xml!E1955</f>
        <v>6</v>
      </c>
      <c r="F1951" s="14">
        <f>equip.xml!F1955</f>
        <v>5</v>
      </c>
      <c r="G1951" s="14">
        <f>equip.xml!G1955</f>
        <v>20</v>
      </c>
      <c r="H1951" s="14" t="str">
        <f>equip.xml!H1955</f>
        <v>2,1002</v>
      </c>
      <c r="I1951" s="14">
        <f>equip.xml!J1955</f>
        <v>150</v>
      </c>
      <c r="J1951" s="14">
        <f>equip.xml!K1955</f>
        <v>1500</v>
      </c>
      <c r="K1951" s="14">
        <f>equip.xml!L1955</f>
        <v>15000</v>
      </c>
      <c r="L1951" s="14" t="str">
        <f>equip.xml!M1955</f>
        <v>108_205_205</v>
      </c>
      <c r="M1951" s="17" t="str">
        <f>equip.xml!Q1955</f>
        <v>equipment/2201.png</v>
      </c>
      <c r="N1951" s="16" t="str">
        <f>equip.xml!P1955</f>
        <v>10000_1002_20000,30000_30001_1,30000_30002_1,30000_30003_1</v>
      </c>
      <c r="O1951">
        <f>equip.xml!R1955</f>
        <v>0</v>
      </c>
    </row>
    <row r="1952" spans="1:15">
      <c r="A1952" s="14" t="str">
        <f>equip.xml!A1956</f>
        <v>50203050</v>
      </c>
      <c r="B1952" s="14">
        <f>equip.xml!B1956</f>
        <v>1</v>
      </c>
      <c r="C1952" s="14" t="str">
        <f>equip.xml!C1956</f>
        <v>保护法杖</v>
      </c>
      <c r="D1952" s="14" t="str">
        <f>equip.xml!D1956</f>
        <v>主手武器</v>
      </c>
      <c r="E1952" s="14">
        <f>equip.xml!E1956</f>
        <v>5</v>
      </c>
      <c r="F1952" s="14">
        <f>equip.xml!F1956</f>
        <v>5</v>
      </c>
      <c r="G1952" s="14">
        <f>equip.xml!G1956</f>
        <v>20</v>
      </c>
      <c r="H1952" s="14" t="str">
        <f>equip.xml!H1956</f>
        <v>3,1003</v>
      </c>
      <c r="I1952" s="14">
        <f>equip.xml!J1956</f>
        <v>150</v>
      </c>
      <c r="J1952" s="14">
        <f>equip.xml!K1956</f>
        <v>1500</v>
      </c>
      <c r="K1952" s="14">
        <f>equip.xml!L1956</f>
        <v>12500</v>
      </c>
      <c r="L1952" s="14" t="str">
        <f>equip.xml!M1956</f>
        <v>103_113_113,104_226_226</v>
      </c>
      <c r="M1952" s="17" t="str">
        <f>equip.xml!Q1956</f>
        <v>equipment/1309.png</v>
      </c>
      <c r="N1952" s="16" t="str">
        <f>equip.xml!P1956</f>
        <v>10000_1002_20000,30000_30001_1,30000_30002_1,30000_30003_1</v>
      </c>
      <c r="O1952">
        <f>equip.xml!R1956</f>
        <v>0</v>
      </c>
    </row>
    <row r="1953" spans="1:15">
      <c r="A1953" s="14">
        <f>equip.xml!A1957</f>
        <v>50203051</v>
      </c>
      <c r="B1953" s="14">
        <f>equip.xml!B1957</f>
        <v>1</v>
      </c>
      <c r="C1953" s="14" t="str">
        <f>equip.xml!C1957</f>
        <v>火石法杖</v>
      </c>
      <c r="D1953" s="14" t="str">
        <f>equip.xml!D1957</f>
        <v>主手武器</v>
      </c>
      <c r="E1953" s="14">
        <f>equip.xml!E1957</f>
        <v>5</v>
      </c>
      <c r="F1953" s="14">
        <f>equip.xml!F1957</f>
        <v>5</v>
      </c>
      <c r="G1953" s="14">
        <f>equip.xml!G1957</f>
        <v>20</v>
      </c>
      <c r="H1953" s="14" t="str">
        <f>equip.xml!H1957</f>
        <v>3,1003</v>
      </c>
      <c r="I1953" s="14">
        <f>equip.xml!J1957</f>
        <v>150</v>
      </c>
      <c r="J1953" s="14">
        <f>equip.xml!K1957</f>
        <v>1500</v>
      </c>
      <c r="K1953" s="14">
        <f>equip.xml!L1957</f>
        <v>15000</v>
      </c>
      <c r="L1953" s="14" t="str">
        <f>equip.xml!M1957</f>
        <v>103_138_138,104_276_276</v>
      </c>
      <c r="M1953" s="17" t="str">
        <f>equip.xml!Q1957</f>
        <v>equipment/1310.png</v>
      </c>
      <c r="N1953" s="16" t="str">
        <f>equip.xml!P1957</f>
        <v>10000_1002_20000,30000_30001_1,30000_30002_1,30000_30003_1</v>
      </c>
      <c r="O1953">
        <f>equip.xml!R1957</f>
        <v>0</v>
      </c>
    </row>
    <row r="1954" spans="1:15">
      <c r="A1954" s="14" t="str">
        <f>equip.xml!A1958</f>
        <v>50203060</v>
      </c>
      <c r="B1954" s="14">
        <f>equip.xml!B1958</f>
        <v>1</v>
      </c>
      <c r="C1954" s="14" t="str">
        <f>equip.xml!C1958</f>
        <v>奥义之书</v>
      </c>
      <c r="D1954" s="14" t="str">
        <f>equip.xml!D1958</f>
        <v>副手武器</v>
      </c>
      <c r="E1954" s="14">
        <f>equip.xml!E1958</f>
        <v>6</v>
      </c>
      <c r="F1954" s="14">
        <f>equip.xml!F1958</f>
        <v>5</v>
      </c>
      <c r="G1954" s="14">
        <f>equip.xml!G1958</f>
        <v>20</v>
      </c>
      <c r="H1954" s="14" t="str">
        <f>equip.xml!H1958</f>
        <v>3,1003</v>
      </c>
      <c r="I1954" s="14">
        <f>equip.xml!J1958</f>
        <v>150</v>
      </c>
      <c r="J1954" s="14">
        <f>equip.xml!K1958</f>
        <v>1500</v>
      </c>
      <c r="K1954" s="14">
        <f>equip.xml!L1958</f>
        <v>12500</v>
      </c>
      <c r="L1954" s="14" t="str">
        <f>equip.xml!M1958</f>
        <v>102_550_550</v>
      </c>
      <c r="M1954" s="17" t="str">
        <f>equip.xml!Q1958</f>
        <v>equipment/2305.png</v>
      </c>
      <c r="N1954" s="16" t="str">
        <f>equip.xml!P1958</f>
        <v>10000_1002_20000,30000_30001_1,30000_30002_1,30000_30003_1</v>
      </c>
      <c r="O1954">
        <f>equip.xml!R1958</f>
        <v>0</v>
      </c>
    </row>
    <row r="1955" spans="1:15">
      <c r="A1955" s="14" t="str">
        <f>equip.xml!A1959</f>
        <v>50203061</v>
      </c>
      <c r="B1955" s="14">
        <f>equip.xml!B1959</f>
        <v>0</v>
      </c>
      <c r="C1955" s="14" t="str">
        <f>equip.xml!C1959</f>
        <v>法术指南</v>
      </c>
      <c r="D1955" s="14" t="str">
        <f>equip.xml!D1959</f>
        <v>副手武器</v>
      </c>
      <c r="E1955" s="14">
        <f>equip.xml!E1959</f>
        <v>6</v>
      </c>
      <c r="F1955" s="14">
        <f>equip.xml!F1959</f>
        <v>5</v>
      </c>
      <c r="G1955" s="14">
        <f>equip.xml!G1959</f>
        <v>20</v>
      </c>
      <c r="H1955" s="14" t="str">
        <f>equip.xml!H1959</f>
        <v>3,1003</v>
      </c>
      <c r="I1955" s="14">
        <f>equip.xml!J1959</f>
        <v>150</v>
      </c>
      <c r="J1955" s="14">
        <f>equip.xml!K1959</f>
        <v>1500</v>
      </c>
      <c r="K1955" s="14">
        <f>equip.xml!L1959</f>
        <v>15000</v>
      </c>
      <c r="L1955" s="14" t="str">
        <f>equip.xml!M1959</f>
        <v>102_606_606</v>
      </c>
      <c r="M1955" s="17" t="str">
        <f>equip.xml!Q1959</f>
        <v>equipment/2301.png</v>
      </c>
      <c r="N1955" s="16" t="str">
        <f>equip.xml!P1959</f>
        <v>10000_1002_20000,30000_30001_1,30000_30002_1,30000_30003_1</v>
      </c>
      <c r="O1955">
        <f>equip.xml!R1959</f>
        <v>0</v>
      </c>
    </row>
    <row r="1956" spans="1:15">
      <c r="A1956" s="14" t="str">
        <f>equip.xml!A1960</f>
        <v>50200040</v>
      </c>
      <c r="B1956" s="14">
        <f>equip.xml!B1960</f>
        <v>1</v>
      </c>
      <c r="C1956" s="14" t="str">
        <f>equip.xml!C1960</f>
        <v>卫兵胸甲</v>
      </c>
      <c r="D1956" s="14" t="str">
        <f>equip.xml!D1960</f>
        <v>胸甲</v>
      </c>
      <c r="E1956" s="14">
        <f>equip.xml!E1960</f>
        <v>4</v>
      </c>
      <c r="F1956" s="14">
        <f>equip.xml!F1960</f>
        <v>5</v>
      </c>
      <c r="G1956" s="14">
        <f>equip.xml!G1960</f>
        <v>20</v>
      </c>
      <c r="H1956" s="14">
        <f>equip.xml!H1960</f>
        <v>0</v>
      </c>
      <c r="I1956" s="14">
        <f>equip.xml!J1960</f>
        <v>150</v>
      </c>
      <c r="J1956" s="14">
        <f>equip.xml!K1960</f>
        <v>1500</v>
      </c>
      <c r="K1956" s="14">
        <f>equip.xml!L1960</f>
        <v>12500</v>
      </c>
      <c r="L1956" s="14" t="str">
        <f>equip.xml!M1960</f>
        <v>105_102_102</v>
      </c>
      <c r="M1956" s="17" t="str">
        <f>equip.xml!Q1960</f>
        <v>equipment/5004.png</v>
      </c>
      <c r="N1956" s="16" t="str">
        <f>equip.xml!P1960</f>
        <v>10000_1002_20000,30000_30001_1,30000_30002_1,30000_30003_1</v>
      </c>
      <c r="O1956">
        <f>equip.xml!R1960</f>
        <v>0</v>
      </c>
    </row>
    <row r="1957" spans="1:15">
      <c r="A1957" s="14" t="str">
        <f>equip.xml!A1961</f>
        <v>50200041</v>
      </c>
      <c r="B1957" s="14">
        <f>equip.xml!B1961</f>
        <v>1</v>
      </c>
      <c r="C1957" s="14" t="str">
        <f>equip.xml!C1961</f>
        <v>银月护甲</v>
      </c>
      <c r="D1957" s="14" t="str">
        <f>equip.xml!D1961</f>
        <v>胸甲</v>
      </c>
      <c r="E1957" s="14">
        <f>equip.xml!E1961</f>
        <v>4</v>
      </c>
      <c r="F1957" s="14">
        <f>equip.xml!F1961</f>
        <v>5</v>
      </c>
      <c r="G1957" s="14">
        <f>equip.xml!G1961</f>
        <v>20</v>
      </c>
      <c r="H1957" s="14">
        <f>equip.xml!H1961</f>
        <v>0</v>
      </c>
      <c r="I1957" s="14">
        <f>equip.xml!J1961</f>
        <v>150</v>
      </c>
      <c r="J1957" s="14">
        <f>equip.xml!K1961</f>
        <v>1500</v>
      </c>
      <c r="K1957" s="14">
        <f>equip.xml!L1961</f>
        <v>15000</v>
      </c>
      <c r="L1957" s="14" t="str">
        <f>equip.xml!M1961</f>
        <v>105_122_122</v>
      </c>
      <c r="M1957" s="17" t="str">
        <f>equip.xml!Q1961</f>
        <v>equipment/5006.png</v>
      </c>
      <c r="N1957" s="16" t="str">
        <f>equip.xml!P1961</f>
        <v>10000_1002_20000,30000_30001_1,30000_30002_1,30000_30003_1</v>
      </c>
      <c r="O1957">
        <f>equip.xml!R1961</f>
        <v>0</v>
      </c>
    </row>
    <row r="1958" spans="1:15">
      <c r="A1958" s="14" t="str">
        <f>equip.xml!A1962</f>
        <v>50200070</v>
      </c>
      <c r="B1958" s="14">
        <f>equip.xml!B1962</f>
        <v>1</v>
      </c>
      <c r="C1958" s="14" t="str">
        <f>equip.xml!C1962</f>
        <v>手工长裤</v>
      </c>
      <c r="D1958" s="14" t="str">
        <f>equip.xml!D1962</f>
        <v>护腿</v>
      </c>
      <c r="E1958" s="14">
        <f>equip.xml!E1962</f>
        <v>7</v>
      </c>
      <c r="F1958" s="14">
        <f>equip.xml!F1962</f>
        <v>5</v>
      </c>
      <c r="G1958" s="14">
        <f>equip.xml!G1962</f>
        <v>20</v>
      </c>
      <c r="H1958" s="14">
        <f>equip.xml!H1962</f>
        <v>0</v>
      </c>
      <c r="I1958" s="14">
        <f>equip.xml!J1962</f>
        <v>150</v>
      </c>
      <c r="J1958" s="14">
        <f>equip.xml!K1962</f>
        <v>1500</v>
      </c>
      <c r="K1958" s="14">
        <f>equip.xml!L1962</f>
        <v>12500</v>
      </c>
      <c r="L1958" s="14" t="str">
        <f>equip.xml!M1962</f>
        <v>105_66_66</v>
      </c>
      <c r="M1958" s="17" t="str">
        <f>equip.xml!Q1962</f>
        <v>equipment/7005.png</v>
      </c>
      <c r="N1958" s="16" t="str">
        <f>equip.xml!P1962</f>
        <v>10000_1002_20000,30000_30001_1,30000_30002_1,30000_30003_1</v>
      </c>
      <c r="O1958">
        <f>equip.xml!R1962</f>
        <v>0</v>
      </c>
    </row>
    <row r="1959" spans="1:15">
      <c r="A1959" s="14" t="str">
        <f>equip.xml!A1963</f>
        <v>50200071</v>
      </c>
      <c r="B1959" s="14">
        <f>equip.xml!B1963</f>
        <v>1</v>
      </c>
      <c r="C1959" s="14" t="str">
        <f>equip.xml!C1963</f>
        <v>链甲护腿</v>
      </c>
      <c r="D1959" s="14" t="str">
        <f>equip.xml!D1963</f>
        <v>护腿</v>
      </c>
      <c r="E1959" s="14">
        <f>equip.xml!E1963</f>
        <v>7</v>
      </c>
      <c r="F1959" s="14">
        <f>equip.xml!F1963</f>
        <v>5</v>
      </c>
      <c r="G1959" s="14">
        <f>equip.xml!G1963</f>
        <v>20</v>
      </c>
      <c r="H1959" s="14">
        <f>equip.xml!H1963</f>
        <v>0</v>
      </c>
      <c r="I1959" s="14">
        <f>equip.xml!J1963</f>
        <v>150</v>
      </c>
      <c r="J1959" s="14">
        <f>equip.xml!K1963</f>
        <v>1500</v>
      </c>
      <c r="K1959" s="14">
        <f>equip.xml!L1963</f>
        <v>15000</v>
      </c>
      <c r="L1959" s="14" t="str">
        <f>equip.xml!M1963</f>
        <v>105_81_81</v>
      </c>
      <c r="M1959" s="17" t="str">
        <f>equip.xml!Q1963</f>
        <v>equipment/7004.png</v>
      </c>
      <c r="N1959" s="16" t="str">
        <f>equip.xml!P1963</f>
        <v>10000_1002_20000,30000_30001_1,30000_30002_1,30000_30003_1</v>
      </c>
      <c r="O1959">
        <f>equip.xml!R1963</f>
        <v>0</v>
      </c>
    </row>
    <row r="1960" spans="1:15">
      <c r="A1960" s="14" t="str">
        <f>equip.xml!A1964</f>
        <v>50250010</v>
      </c>
      <c r="B1960" s="14">
        <f>equip.xml!B1964</f>
        <v>1</v>
      </c>
      <c r="C1960" s="14" t="str">
        <f>equip.xml!C1964</f>
        <v>盔帽</v>
      </c>
      <c r="D1960" s="14" t="str">
        <f>equip.xml!D1964</f>
        <v>头盔</v>
      </c>
      <c r="E1960" s="14">
        <f>equip.xml!E1964</f>
        <v>1</v>
      </c>
      <c r="F1960" s="14">
        <f>equip.xml!F1964</f>
        <v>5</v>
      </c>
      <c r="G1960" s="14">
        <f>equip.xml!G1964</f>
        <v>25</v>
      </c>
      <c r="H1960" s="14">
        <f>equip.xml!H1964</f>
        <v>0</v>
      </c>
      <c r="I1960" s="14">
        <f>equip.xml!J1964</f>
        <v>150</v>
      </c>
      <c r="J1960" s="14">
        <f>equip.xml!K1964</f>
        <v>1500</v>
      </c>
      <c r="K1960" s="14">
        <f>equip.xml!L1964</f>
        <v>15000</v>
      </c>
      <c r="L1960" s="14" t="str">
        <f>equip.xml!M1964</f>
        <v>106_237_237</v>
      </c>
      <c r="M1960" s="17" t="str">
        <f>equip.xml!Q1964</f>
        <v>equipment/3005.png</v>
      </c>
      <c r="N1960" s="16" t="str">
        <f>equip.xml!P1964</f>
        <v>10000_1002_25000,30000_30001_1,30000_30002_1,30000_30003_1</v>
      </c>
      <c r="O1960">
        <f>equip.xml!R1964</f>
        <v>0</v>
      </c>
    </row>
    <row r="1961" spans="1:15">
      <c r="A1961" s="14" t="str">
        <f>equip.xml!A1965</f>
        <v>50250020</v>
      </c>
      <c r="B1961" s="14">
        <f>equip.xml!B1965</f>
        <v>1</v>
      </c>
      <c r="C1961" s="14" t="str">
        <f>equip.xml!C1965</f>
        <v>血岩戒指</v>
      </c>
      <c r="D1961" s="14" t="str">
        <f>equip.xml!D1965</f>
        <v>戒指</v>
      </c>
      <c r="E1961" s="14">
        <f>equip.xml!E1965</f>
        <v>2</v>
      </c>
      <c r="F1961" s="14">
        <f>equip.xml!F1965</f>
        <v>5</v>
      </c>
      <c r="G1961" s="14">
        <f>equip.xml!G1965</f>
        <v>25</v>
      </c>
      <c r="H1961" s="14">
        <f>equip.xml!H1965</f>
        <v>0</v>
      </c>
      <c r="I1961" s="14">
        <f>equip.xml!J1965</f>
        <v>150</v>
      </c>
      <c r="J1961" s="14">
        <f>equip.xml!K1965</f>
        <v>1500</v>
      </c>
      <c r="K1961" s="14">
        <f>equip.xml!L1965</f>
        <v>15000</v>
      </c>
      <c r="L1961" s="14" t="str">
        <f>equip.xml!M1965</f>
        <v>102_330_330</v>
      </c>
      <c r="M1961" s="17" t="str">
        <f>equip.xml!Q1965</f>
        <v>equipment/14004.png</v>
      </c>
      <c r="N1961" s="16" t="str">
        <f>equip.xml!P1965</f>
        <v>10000_1002_25000,30000_30001_1,30000_30002_1,30000_30003_1</v>
      </c>
      <c r="O1961">
        <f>equip.xml!R1965</f>
        <v>0</v>
      </c>
    </row>
    <row r="1962" spans="1:15">
      <c r="A1962" s="14" t="str">
        <f>equip.xml!A1966</f>
        <v>50250030</v>
      </c>
      <c r="B1962" s="14">
        <f>equip.xml!B1966</f>
        <v>1</v>
      </c>
      <c r="C1962" s="14" t="str">
        <f>equip.xml!C1966</f>
        <v>前锋腰带</v>
      </c>
      <c r="D1962" s="14" t="str">
        <f>equip.xml!D1966</f>
        <v>腰带</v>
      </c>
      <c r="E1962" s="14">
        <f>equip.xml!E1966</f>
        <v>3</v>
      </c>
      <c r="F1962" s="14">
        <f>equip.xml!F1966</f>
        <v>5</v>
      </c>
      <c r="G1962" s="14">
        <f>equip.xml!G1966</f>
        <v>25</v>
      </c>
      <c r="H1962" s="14">
        <f>equip.xml!H1966</f>
        <v>0</v>
      </c>
      <c r="I1962" s="14">
        <f>equip.xml!J1966</f>
        <v>150</v>
      </c>
      <c r="J1962" s="14">
        <f>equip.xml!K1966</f>
        <v>1500</v>
      </c>
      <c r="K1962" s="14">
        <f>equip.xml!L1966</f>
        <v>15000</v>
      </c>
      <c r="L1962" s="14" t="str">
        <f>equip.xml!M1966</f>
        <v>101_3360_3360</v>
      </c>
      <c r="M1962" s="17" t="str">
        <f>equip.xml!Q1966</f>
        <v>equipment/6005.png</v>
      </c>
      <c r="N1962" s="16" t="str">
        <f>equip.xml!P1966</f>
        <v>10000_1002_25000,30000_30001_1,30000_30002_1,30000_30003_1</v>
      </c>
      <c r="O1962">
        <f>equip.xml!R1966</f>
        <v>0</v>
      </c>
    </row>
    <row r="1963" spans="1:15">
      <c r="A1963" s="14" t="str">
        <f>equip.xml!A1967</f>
        <v>50250080</v>
      </c>
      <c r="B1963" s="14">
        <f>equip.xml!B1967</f>
        <v>1</v>
      </c>
      <c r="C1963" s="14" t="str">
        <f>equip.xml!C1967</f>
        <v>探寻者之靴</v>
      </c>
      <c r="D1963" s="14" t="str">
        <f>equip.xml!D1967</f>
        <v>鞋子</v>
      </c>
      <c r="E1963" s="14">
        <f>equip.xml!E1967</f>
        <v>8</v>
      </c>
      <c r="F1963" s="14">
        <f>equip.xml!F1967</f>
        <v>5</v>
      </c>
      <c r="G1963" s="14">
        <f>equip.xml!G1967</f>
        <v>25</v>
      </c>
      <c r="H1963" s="14">
        <f>equip.xml!H1967</f>
        <v>0</v>
      </c>
      <c r="I1963" s="14">
        <f>equip.xml!J1967</f>
        <v>150</v>
      </c>
      <c r="J1963" s="14">
        <f>equip.xml!K1967</f>
        <v>1500</v>
      </c>
      <c r="K1963" s="14">
        <f>equip.xml!L1967</f>
        <v>15000</v>
      </c>
      <c r="L1963" s="14" t="str">
        <f>equip.xml!M1967</f>
        <v>110_40_40</v>
      </c>
      <c r="M1963" s="17" t="str">
        <f>equip.xml!Q1967</f>
        <v>equipment/8004.png</v>
      </c>
      <c r="N1963" s="16" t="str">
        <f>equip.xml!P1967</f>
        <v>10000_1002_25000,30000_30001_1,30000_30002_1,30000_30003_1</v>
      </c>
      <c r="O1963">
        <f>equip.xml!R1967</f>
        <v>0</v>
      </c>
    </row>
    <row r="1964" spans="1:15">
      <c r="A1964" s="14" t="str">
        <f>equip.xml!A1968</f>
        <v>50250090</v>
      </c>
      <c r="B1964" s="14">
        <f>equip.xml!B1968</f>
        <v>1</v>
      </c>
      <c r="C1964" s="14" t="str">
        <f>equip.xml!C1968</f>
        <v>轻型手套</v>
      </c>
      <c r="D1964" s="14" t="str">
        <f>equip.xml!D1968</f>
        <v>手套</v>
      </c>
      <c r="E1964" s="14">
        <f>equip.xml!E1968</f>
        <v>9</v>
      </c>
      <c r="F1964" s="14">
        <f>equip.xml!F1968</f>
        <v>5</v>
      </c>
      <c r="G1964" s="14">
        <f>equip.xml!G1968</f>
        <v>25</v>
      </c>
      <c r="H1964" s="14">
        <f>equip.xml!H1968</f>
        <v>0</v>
      </c>
      <c r="I1964" s="14">
        <f>equip.xml!J1968</f>
        <v>150</v>
      </c>
      <c r="J1964" s="14">
        <f>equip.xml!K1968</f>
        <v>1500</v>
      </c>
      <c r="K1964" s="14">
        <f>equip.xml!L1968</f>
        <v>15000</v>
      </c>
      <c r="L1964" s="14" t="str">
        <f>equip.xml!M1968</f>
        <v>108_286_286</v>
      </c>
      <c r="M1964" s="17" t="str">
        <f>equip.xml!Q1968</f>
        <v>equipment/10003.png</v>
      </c>
      <c r="N1964" s="16" t="str">
        <f>equip.xml!P1968</f>
        <v>10000_1002_25000,30000_30001_1,30000_30002_1,30000_30003_1</v>
      </c>
      <c r="O1964">
        <f>equip.xml!R1968</f>
        <v>0</v>
      </c>
    </row>
    <row r="1965" spans="1:15">
      <c r="A1965" s="14" t="str">
        <f>equip.xml!A1969</f>
        <v>50250100</v>
      </c>
      <c r="B1965" s="14">
        <f>equip.xml!B1969</f>
        <v>1</v>
      </c>
      <c r="C1965" s="14" t="str">
        <f>equip.xml!C1969</f>
        <v>魔光项链</v>
      </c>
      <c r="D1965" s="14" t="str">
        <f>equip.xml!D1969</f>
        <v>项链</v>
      </c>
      <c r="E1965" s="14">
        <f>equip.xml!E1969</f>
        <v>10</v>
      </c>
      <c r="F1965" s="14">
        <f>equip.xml!F1969</f>
        <v>5</v>
      </c>
      <c r="G1965" s="14">
        <f>equip.xml!G1969</f>
        <v>25</v>
      </c>
      <c r="H1965" s="14">
        <f>equip.xml!H1969</f>
        <v>0</v>
      </c>
      <c r="I1965" s="14">
        <f>equip.xml!J1969</f>
        <v>150</v>
      </c>
      <c r="J1965" s="14">
        <f>equip.xml!K1969</f>
        <v>1500</v>
      </c>
      <c r="K1965" s="14">
        <f>equip.xml!L1969</f>
        <v>15000</v>
      </c>
      <c r="L1965" s="14" t="str">
        <f>equip.xml!M1969</f>
        <v>107_237_237</v>
      </c>
      <c r="M1965" s="17" t="str">
        <f>equip.xml!Q1969</f>
        <v>equipment/12004.png</v>
      </c>
      <c r="N1965" s="16" t="str">
        <f>equip.xml!P1969</f>
        <v>10000_1002_25000,30000_30001_1,30000_30002_1,30000_30003_1</v>
      </c>
      <c r="O1965">
        <f>equip.xml!R1969</f>
        <v>0</v>
      </c>
    </row>
    <row r="1966" spans="1:15">
      <c r="A1966" s="14" t="str">
        <f>equip.xml!A1970</f>
        <v>50251050</v>
      </c>
      <c r="B1966" s="14">
        <f>equip.xml!B1970</f>
        <v>1</v>
      </c>
      <c r="C1966" s="14" t="str">
        <f>equip.xml!C1970</f>
        <v>血刃</v>
      </c>
      <c r="D1966" s="14" t="str">
        <f>equip.xml!D1970</f>
        <v>主手武器</v>
      </c>
      <c r="E1966" s="14">
        <f>equip.xml!E1970</f>
        <v>5</v>
      </c>
      <c r="F1966" s="14">
        <f>equip.xml!F1970</f>
        <v>5</v>
      </c>
      <c r="G1966" s="14">
        <f>equip.xml!G1970</f>
        <v>25</v>
      </c>
      <c r="H1966" s="14" t="str">
        <f>equip.xml!H1970</f>
        <v>1,1001</v>
      </c>
      <c r="I1966" s="14">
        <f>equip.xml!J1970</f>
        <v>150</v>
      </c>
      <c r="J1966" s="14">
        <f>equip.xml!K1970</f>
        <v>1500</v>
      </c>
      <c r="K1966" s="14">
        <f>equip.xml!L1970</f>
        <v>15000</v>
      </c>
      <c r="L1966" s="14" t="str">
        <f>equip.xml!M1970</f>
        <v>103_177_177,104_354_354</v>
      </c>
      <c r="M1966" s="17" t="str">
        <f>equip.xml!Q1970</f>
        <v>equipment/1110.png</v>
      </c>
      <c r="N1966" s="16" t="str">
        <f>equip.xml!P1970</f>
        <v>10000_1002_25000,30000_30001_1,30000_30002_1,30000_30003_1</v>
      </c>
      <c r="O1966">
        <f>equip.xml!R1970</f>
        <v>0</v>
      </c>
    </row>
    <row r="1967" spans="1:15">
      <c r="A1967" s="14" t="str">
        <f>equip.xml!A1971</f>
        <v>50251051</v>
      </c>
      <c r="B1967" s="14">
        <f>equip.xml!B1971</f>
        <v>1</v>
      </c>
      <c r="C1967" s="14" t="str">
        <f>equip.xml!C1971</f>
        <v>游侠利刃</v>
      </c>
      <c r="D1967" s="14" t="str">
        <f>equip.xml!D1971</f>
        <v>主手武器</v>
      </c>
      <c r="E1967" s="14">
        <f>equip.xml!E1971</f>
        <v>5</v>
      </c>
      <c r="F1967" s="14">
        <f>equip.xml!F1971</f>
        <v>5</v>
      </c>
      <c r="G1967" s="14">
        <f>equip.xml!G1971</f>
        <v>25</v>
      </c>
      <c r="H1967" s="14" t="str">
        <f>equip.xml!H1971</f>
        <v>1,1001</v>
      </c>
      <c r="I1967" s="14">
        <f>equip.xml!J1971</f>
        <v>150</v>
      </c>
      <c r="J1967" s="14">
        <f>equip.xml!K1971</f>
        <v>1500</v>
      </c>
      <c r="K1967" s="14">
        <f>equip.xml!L1971</f>
        <v>17500</v>
      </c>
      <c r="L1967" s="14" t="str">
        <f>equip.xml!M1971</f>
        <v>103_216_216,104_432_432</v>
      </c>
      <c r="M1967" s="17" t="str">
        <f>equip.xml!Q1971</f>
        <v>equipment/1111.png</v>
      </c>
      <c r="N1967" s="16" t="str">
        <f>equip.xml!P1971</f>
        <v>10000_1002_25000,30000_30001_1,30000_30002_1,30000_30003_1</v>
      </c>
      <c r="O1967">
        <f>equip.xml!R1971</f>
        <v>0</v>
      </c>
    </row>
    <row r="1968" spans="1:15">
      <c r="A1968" s="14" t="str">
        <f>equip.xml!A1972</f>
        <v>50251060</v>
      </c>
      <c r="B1968" s="14">
        <f>equip.xml!B1972</f>
        <v>1</v>
      </c>
      <c r="C1968" s="14" t="str">
        <f>equip.xml!C1972</f>
        <v>坚固重盾</v>
      </c>
      <c r="D1968" s="14" t="str">
        <f>equip.xml!D1972</f>
        <v>副手武器</v>
      </c>
      <c r="E1968" s="14">
        <f>equip.xml!E1972</f>
        <v>6</v>
      </c>
      <c r="F1968" s="14">
        <f>equip.xml!F1972</f>
        <v>5</v>
      </c>
      <c r="G1968" s="14">
        <f>equip.xml!G1972</f>
        <v>25</v>
      </c>
      <c r="H1968" s="14" t="str">
        <f>equip.xml!H1972</f>
        <v>1,1001</v>
      </c>
      <c r="I1968" s="14">
        <f>equip.xml!J1972</f>
        <v>150</v>
      </c>
      <c r="J1968" s="14">
        <f>equip.xml!K1972</f>
        <v>1500</v>
      </c>
      <c r="K1968" s="14">
        <f>equip.xml!L1972</f>
        <v>15000</v>
      </c>
      <c r="L1968" s="14" t="str">
        <f>equip.xml!M1972</f>
        <v>105_256_256</v>
      </c>
      <c r="M1968" s="17" t="str">
        <f>equip.xml!Q1972</f>
        <v>equipment/2106.png</v>
      </c>
      <c r="N1968" s="16" t="str">
        <f>equip.xml!P1972</f>
        <v>10000_1002_25000,30000_30001_1,30000_30002_1,30000_30003_1</v>
      </c>
      <c r="O1968">
        <f>equip.xml!R1972</f>
        <v>0</v>
      </c>
    </row>
    <row r="1969" spans="1:15">
      <c r="A1969" s="14" t="str">
        <f>equip.xml!A1973</f>
        <v>50251061</v>
      </c>
      <c r="B1969" s="14">
        <f>equip.xml!B1973</f>
        <v>0</v>
      </c>
      <c r="C1969" s="14" t="str">
        <f>equip.xml!C1973</f>
        <v>尖头盾</v>
      </c>
      <c r="D1969" s="14" t="str">
        <f>equip.xml!D1973</f>
        <v>副手武器</v>
      </c>
      <c r="E1969" s="14">
        <f>equip.xml!E1973</f>
        <v>6</v>
      </c>
      <c r="F1969" s="14">
        <f>equip.xml!F1973</f>
        <v>5</v>
      </c>
      <c r="G1969" s="14">
        <f>equip.xml!G1973</f>
        <v>25</v>
      </c>
      <c r="H1969" s="14" t="str">
        <f>equip.xml!H1973</f>
        <v>1,1001</v>
      </c>
      <c r="I1969" s="14">
        <f>equip.xml!J1973</f>
        <v>150</v>
      </c>
      <c r="J1969" s="14">
        <f>equip.xml!K1973</f>
        <v>1500</v>
      </c>
      <c r="K1969" s="14">
        <f>equip.xml!L1973</f>
        <v>17500</v>
      </c>
      <c r="L1969" s="14" t="str">
        <f>equip.xml!M1973</f>
        <v>105_301_301</v>
      </c>
      <c r="M1969" s="17" t="str">
        <f>equip.xml!Q1973</f>
        <v>equipment/2101.png</v>
      </c>
      <c r="N1969" s="16" t="str">
        <f>equip.xml!P1973</f>
        <v>10000_1002_25000,30000_30001_1,30000_30002_1,30000_30003_1</v>
      </c>
      <c r="O1969">
        <f>equip.xml!R1973</f>
        <v>0</v>
      </c>
    </row>
    <row r="1970" spans="1:15">
      <c r="A1970" s="14" t="str">
        <f>equip.xml!A1974</f>
        <v>50252050</v>
      </c>
      <c r="B1970" s="14">
        <f>equip.xml!B1974</f>
        <v>1</v>
      </c>
      <c r="C1970" s="14" t="str">
        <f>equip.xml!C1974</f>
        <v>精准之弓</v>
      </c>
      <c r="D1970" s="14" t="str">
        <f>equip.xml!D1974</f>
        <v>主手武器</v>
      </c>
      <c r="E1970" s="14">
        <f>equip.xml!E1974</f>
        <v>5</v>
      </c>
      <c r="F1970" s="14">
        <f>equip.xml!F1974</f>
        <v>5</v>
      </c>
      <c r="G1970" s="14">
        <f>equip.xml!G1974</f>
        <v>25</v>
      </c>
      <c r="H1970" s="14" t="str">
        <f>equip.xml!H1974</f>
        <v>2,1002</v>
      </c>
      <c r="I1970" s="14">
        <f>equip.xml!J1974</f>
        <v>150</v>
      </c>
      <c r="J1970" s="14">
        <f>equip.xml!K1974</f>
        <v>1500</v>
      </c>
      <c r="K1970" s="14">
        <f>equip.xml!L1974</f>
        <v>15000</v>
      </c>
      <c r="L1970" s="14" t="str">
        <f>equip.xml!M1974</f>
        <v>103_177_177,104_354_354</v>
      </c>
      <c r="M1970" s="17" t="str">
        <f>equip.xml!Q1974</f>
        <v>equipment/1210.png</v>
      </c>
      <c r="N1970" s="16" t="str">
        <f>equip.xml!P1974</f>
        <v>10000_1002_25000,30000_30001_1,30000_30002_1,30000_30003_1</v>
      </c>
      <c r="O1970">
        <f>equip.xml!R1974</f>
        <v>0</v>
      </c>
    </row>
    <row r="1971" spans="1:15">
      <c r="A1971" s="14" t="str">
        <f>equip.xml!A1975</f>
        <v>50252051</v>
      </c>
      <c r="B1971" s="14">
        <f>equip.xml!B1975</f>
        <v>1</v>
      </c>
      <c r="C1971" s="14" t="str">
        <f>equip.xml!C1975</f>
        <v>行者弯弓</v>
      </c>
      <c r="D1971" s="14" t="str">
        <f>equip.xml!D1975</f>
        <v>主手武器</v>
      </c>
      <c r="E1971" s="14">
        <f>equip.xml!E1975</f>
        <v>5</v>
      </c>
      <c r="F1971" s="14">
        <f>equip.xml!F1975</f>
        <v>5</v>
      </c>
      <c r="G1971" s="14">
        <f>equip.xml!G1975</f>
        <v>25</v>
      </c>
      <c r="H1971" s="14" t="str">
        <f>equip.xml!H1975</f>
        <v>2,1002</v>
      </c>
      <c r="I1971" s="14">
        <f>equip.xml!J1975</f>
        <v>150</v>
      </c>
      <c r="J1971" s="14">
        <f>equip.xml!K1975</f>
        <v>1500</v>
      </c>
      <c r="K1971" s="14">
        <f>equip.xml!L1975</f>
        <v>17500</v>
      </c>
      <c r="L1971" s="14" t="str">
        <f>equip.xml!M1975</f>
        <v>103_216_216,104_432_432</v>
      </c>
      <c r="M1971" s="17" t="str">
        <f>equip.xml!Q1975</f>
        <v>equipment/1215.png</v>
      </c>
      <c r="N1971" s="16" t="str">
        <f>equip.xml!P1975</f>
        <v>10000_1002_25000,30000_30001_1,30000_30002_1,30000_30003_1</v>
      </c>
      <c r="O1971">
        <f>equip.xml!R1975</f>
        <v>0</v>
      </c>
    </row>
    <row r="1972" spans="1:15">
      <c r="A1972" s="14" t="str">
        <f>equip.xml!A1976</f>
        <v>50252060</v>
      </c>
      <c r="B1972" s="14">
        <f>equip.xml!B1976</f>
        <v>1</v>
      </c>
      <c r="C1972" s="14" t="str">
        <f>equip.xml!C1976</f>
        <v>刺客箭筒</v>
      </c>
      <c r="D1972" s="14" t="str">
        <f>equip.xml!D1976</f>
        <v>副手武器</v>
      </c>
      <c r="E1972" s="14">
        <f>equip.xml!E1976</f>
        <v>6</v>
      </c>
      <c r="F1972" s="14">
        <f>equip.xml!F1976</f>
        <v>5</v>
      </c>
      <c r="G1972" s="14">
        <f>equip.xml!G1976</f>
        <v>25</v>
      </c>
      <c r="H1972" s="14" t="str">
        <f>equip.xml!H1976</f>
        <v>2,1002</v>
      </c>
      <c r="I1972" s="14">
        <f>equip.xml!J1976</f>
        <v>150</v>
      </c>
      <c r="J1972" s="14">
        <f>equip.xml!K1976</f>
        <v>1500</v>
      </c>
      <c r="K1972" s="14">
        <f>equip.xml!L1976</f>
        <v>15000</v>
      </c>
      <c r="L1972" s="14" t="str">
        <f>equip.xml!M1976</f>
        <v>108_256_256</v>
      </c>
      <c r="M1972" s="17" t="str">
        <f>equip.xml!Q1976</f>
        <v>equipment/2206.png</v>
      </c>
      <c r="N1972" s="16" t="str">
        <f>equip.xml!P1976</f>
        <v>10000_1002_25000,30000_30001_1,30000_30002_1,30000_30003_1</v>
      </c>
      <c r="O1972">
        <f>equip.xml!R1976</f>
        <v>0</v>
      </c>
    </row>
    <row r="1973" spans="1:15">
      <c r="A1973" s="14" t="str">
        <f>equip.xml!A1977</f>
        <v>50252061</v>
      </c>
      <c r="B1973" s="14">
        <f>equip.xml!B1977</f>
        <v>0</v>
      </c>
      <c r="C1973" s="14" t="str">
        <f>equip.xml!C1977</f>
        <v>箭筒</v>
      </c>
      <c r="D1973" s="14" t="str">
        <f>equip.xml!D1977</f>
        <v>副手武器</v>
      </c>
      <c r="E1973" s="14">
        <f>equip.xml!E1977</f>
        <v>6</v>
      </c>
      <c r="F1973" s="14">
        <f>equip.xml!F1977</f>
        <v>5</v>
      </c>
      <c r="G1973" s="14">
        <f>equip.xml!G1977</f>
        <v>25</v>
      </c>
      <c r="H1973" s="14" t="str">
        <f>equip.xml!H1977</f>
        <v>2,1002</v>
      </c>
      <c r="I1973" s="14">
        <f>equip.xml!J1977</f>
        <v>150</v>
      </c>
      <c r="J1973" s="14">
        <f>equip.xml!K1977</f>
        <v>1500</v>
      </c>
      <c r="K1973" s="14">
        <f>equip.xml!L1977</f>
        <v>17500</v>
      </c>
      <c r="L1973" s="14" t="str">
        <f>equip.xml!M1977</f>
        <v>108_301_301</v>
      </c>
      <c r="M1973" s="17" t="str">
        <f>equip.xml!Q1977</f>
        <v>equipment/2201.png</v>
      </c>
      <c r="N1973" s="16" t="str">
        <f>equip.xml!P1977</f>
        <v>10000_1002_25000,30000_30001_1,30000_30002_1,30000_30003_1</v>
      </c>
      <c r="O1973">
        <f>equip.xml!R1977</f>
        <v>0</v>
      </c>
    </row>
    <row r="1974" spans="1:15">
      <c r="A1974" s="14" t="str">
        <f>equip.xml!A1978</f>
        <v>50253050</v>
      </c>
      <c r="B1974" s="14">
        <f>equip.xml!B1978</f>
        <v>1</v>
      </c>
      <c r="C1974" s="14" t="str">
        <f>equip.xml!C1978</f>
        <v>预言法杖</v>
      </c>
      <c r="D1974" s="14" t="str">
        <f>equip.xml!D1978</f>
        <v>主手武器</v>
      </c>
      <c r="E1974" s="14">
        <f>equip.xml!E1978</f>
        <v>5</v>
      </c>
      <c r="F1974" s="14">
        <f>equip.xml!F1978</f>
        <v>5</v>
      </c>
      <c r="G1974" s="14">
        <f>equip.xml!G1978</f>
        <v>25</v>
      </c>
      <c r="H1974" s="14" t="str">
        <f>equip.xml!H1978</f>
        <v>3,1003</v>
      </c>
      <c r="I1974" s="14">
        <f>equip.xml!J1978</f>
        <v>150</v>
      </c>
      <c r="J1974" s="14">
        <f>equip.xml!K1978</f>
        <v>1500</v>
      </c>
      <c r="K1974" s="14">
        <f>equip.xml!L1978</f>
        <v>15000</v>
      </c>
      <c r="L1974" s="14" t="str">
        <f>equip.xml!M1978</f>
        <v>103_177_177,104_354_354</v>
      </c>
      <c r="M1974" s="17" t="str">
        <f>equip.xml!Q1978</f>
        <v>equipment/1311.png</v>
      </c>
      <c r="N1974" s="16" t="str">
        <f>equip.xml!P1978</f>
        <v>10000_1002_25000,30000_30001_1,30000_30002_1,30000_30003_1</v>
      </c>
      <c r="O1974">
        <f>equip.xml!R1978</f>
        <v>0</v>
      </c>
    </row>
    <row r="1975" spans="1:15">
      <c r="A1975" s="14" t="str">
        <f>equip.xml!A1979</f>
        <v>50253051</v>
      </c>
      <c r="B1975" s="14">
        <f>equip.xml!B1979</f>
        <v>0</v>
      </c>
      <c r="C1975" s="14" t="str">
        <f>equip.xml!C1979</f>
        <v>荒骨法杖</v>
      </c>
      <c r="D1975" s="14" t="str">
        <f>equip.xml!D1979</f>
        <v>主手武器</v>
      </c>
      <c r="E1975" s="14">
        <f>equip.xml!E1979</f>
        <v>5</v>
      </c>
      <c r="F1975" s="14">
        <f>equip.xml!F1979</f>
        <v>5</v>
      </c>
      <c r="G1975" s="14">
        <f>equip.xml!G1979</f>
        <v>25</v>
      </c>
      <c r="H1975" s="14" t="str">
        <f>equip.xml!H1979</f>
        <v>3,1003</v>
      </c>
      <c r="I1975" s="14">
        <f>equip.xml!J1979</f>
        <v>150</v>
      </c>
      <c r="J1975" s="14">
        <f>equip.xml!K1979</f>
        <v>1500</v>
      </c>
      <c r="K1975" s="14">
        <f>equip.xml!L1979</f>
        <v>17500</v>
      </c>
      <c r="L1975" s="14" t="str">
        <f>equip.xml!M1979</f>
        <v>103_216_216,104_432_432</v>
      </c>
      <c r="M1975" s="17" t="str">
        <f>equip.xml!Q1979</f>
        <v>equipment/1312.png</v>
      </c>
      <c r="N1975" s="16" t="str">
        <f>equip.xml!P1979</f>
        <v>10000_1002_25000,30000_30001_1,30000_30002_1,30000_30003_1</v>
      </c>
      <c r="O1975">
        <f>equip.xml!R1979</f>
        <v>0</v>
      </c>
    </row>
    <row r="1976" spans="1:15">
      <c r="A1976" s="14" t="str">
        <f>equip.xml!A1980</f>
        <v>50253060</v>
      </c>
      <c r="B1976" s="14">
        <f>equip.xml!B1980</f>
        <v>1</v>
      </c>
      <c r="C1976" s="14" t="str">
        <f>equip.xml!C1980</f>
        <v>魔法秘典</v>
      </c>
      <c r="D1976" s="14" t="str">
        <f>equip.xml!D1980</f>
        <v>副手武器</v>
      </c>
      <c r="E1976" s="14">
        <f>equip.xml!E1980</f>
        <v>6</v>
      </c>
      <c r="F1976" s="14">
        <f>equip.xml!F1980</f>
        <v>5</v>
      </c>
      <c r="G1976" s="14">
        <f>equip.xml!G1980</f>
        <v>25</v>
      </c>
      <c r="H1976" s="14" t="str">
        <f>equip.xml!H1980</f>
        <v>3,1003</v>
      </c>
      <c r="I1976" s="14">
        <f>equip.xml!J1980</f>
        <v>150</v>
      </c>
      <c r="J1976" s="14">
        <f>equip.xml!K1980</f>
        <v>1500</v>
      </c>
      <c r="K1976" s="14">
        <f>equip.xml!L1980</f>
        <v>15000</v>
      </c>
      <c r="L1976" s="14" t="str">
        <f>equip.xml!M1980</f>
        <v>102_690_690</v>
      </c>
      <c r="M1976" s="17" t="str">
        <f>equip.xml!Q1980</f>
        <v>equipment/2306.png</v>
      </c>
      <c r="N1976" s="16" t="str">
        <f>equip.xml!P1980</f>
        <v>10000_1002_25000,30000_30001_1,30000_30002_1,30000_30003_1</v>
      </c>
      <c r="O1976">
        <f>equip.xml!R1980</f>
        <v>0</v>
      </c>
    </row>
    <row r="1977" spans="1:15">
      <c r="A1977" s="14" t="str">
        <f>equip.xml!A1981</f>
        <v>50253061</v>
      </c>
      <c r="B1977" s="14">
        <f>equip.xml!B1981</f>
        <v>0</v>
      </c>
      <c r="C1977" s="14" t="str">
        <f>equip.xml!C1981</f>
        <v>法术指南</v>
      </c>
      <c r="D1977" s="14" t="str">
        <f>equip.xml!D1981</f>
        <v>副手武器</v>
      </c>
      <c r="E1977" s="14">
        <f>equip.xml!E1981</f>
        <v>6</v>
      </c>
      <c r="F1977" s="14">
        <f>equip.xml!F1981</f>
        <v>5</v>
      </c>
      <c r="G1977" s="14">
        <f>equip.xml!G1981</f>
        <v>25</v>
      </c>
      <c r="H1977" s="14" t="str">
        <f>equip.xml!H1981</f>
        <v>3,1003</v>
      </c>
      <c r="I1977" s="14">
        <f>equip.xml!J1981</f>
        <v>150</v>
      </c>
      <c r="J1977" s="14">
        <f>equip.xml!K1981</f>
        <v>1500</v>
      </c>
      <c r="K1977" s="14">
        <f>equip.xml!L1981</f>
        <v>17500</v>
      </c>
      <c r="L1977" s="14" t="str">
        <f>equip.xml!M1981</f>
        <v>102_301_301</v>
      </c>
      <c r="M1977" s="17" t="str">
        <f>equip.xml!Q1981</f>
        <v>equipment/2301.png</v>
      </c>
      <c r="N1977" s="16" t="str">
        <f>equip.xml!P1981</f>
        <v>10000_1002_25000,30000_30001_1,30000_30002_1,30000_30003_1</v>
      </c>
      <c r="O1977">
        <f>equip.xml!R1981</f>
        <v>0</v>
      </c>
    </row>
    <row r="1978" spans="1:15">
      <c r="A1978" s="14" t="str">
        <f>equip.xml!A1982</f>
        <v>50250040</v>
      </c>
      <c r="B1978" s="14">
        <f>equip.xml!B1982</f>
        <v>1</v>
      </c>
      <c r="C1978" s="14" t="str">
        <f>equip.xml!C1982</f>
        <v>烙铁胸甲</v>
      </c>
      <c r="D1978" s="14" t="str">
        <f>equip.xml!D1982</f>
        <v>胸甲</v>
      </c>
      <c r="E1978" s="14">
        <f>equip.xml!E1982</f>
        <v>4</v>
      </c>
      <c r="F1978" s="14">
        <f>equip.xml!F1982</f>
        <v>5</v>
      </c>
      <c r="G1978" s="14">
        <f>equip.xml!G1982</f>
        <v>25</v>
      </c>
      <c r="H1978" s="14">
        <f>equip.xml!H1982</f>
        <v>0</v>
      </c>
      <c r="I1978" s="14">
        <f>equip.xml!J1982</f>
        <v>150</v>
      </c>
      <c r="J1978" s="14">
        <f>equip.xml!K1982</f>
        <v>1500</v>
      </c>
      <c r="K1978" s="14">
        <f>equip.xml!L1982</f>
        <v>15000</v>
      </c>
      <c r="L1978" s="14" t="str">
        <f>equip.xml!M1982</f>
        <v>105_153_153</v>
      </c>
      <c r="M1978" s="17" t="str">
        <f>equip.xml!Q1982</f>
        <v>equipment/5007.png</v>
      </c>
      <c r="N1978" s="16" t="str">
        <f>equip.xml!P1982</f>
        <v>10000_1002_25000,30000_30001_1,30000_30002_1,30000_30003_1</v>
      </c>
      <c r="O1978">
        <f>equip.xml!R1982</f>
        <v>0</v>
      </c>
    </row>
    <row r="1979" spans="1:15">
      <c r="A1979" s="14" t="str">
        <f>equip.xml!A1983</f>
        <v>50250041</v>
      </c>
      <c r="B1979" s="14">
        <f>equip.xml!B1983</f>
        <v>0</v>
      </c>
      <c r="C1979" s="14" t="str">
        <f>equip.xml!C1983</f>
        <v>新兵外套</v>
      </c>
      <c r="D1979" s="14" t="str">
        <f>equip.xml!D1983</f>
        <v>胸甲</v>
      </c>
      <c r="E1979" s="14">
        <f>equip.xml!E1983</f>
        <v>4</v>
      </c>
      <c r="F1979" s="14">
        <f>equip.xml!F1983</f>
        <v>5</v>
      </c>
      <c r="G1979" s="14">
        <f>equip.xml!G1983</f>
        <v>25</v>
      </c>
      <c r="H1979" s="14">
        <f>equip.xml!H1983</f>
        <v>0</v>
      </c>
      <c r="I1979" s="14">
        <f>equip.xml!J1983</f>
        <v>150</v>
      </c>
      <c r="J1979" s="14">
        <f>equip.xml!K1983</f>
        <v>1500</v>
      </c>
      <c r="K1979" s="14">
        <f>equip.xml!L1983</f>
        <v>17500</v>
      </c>
      <c r="L1979" s="14" t="str">
        <f>equip.xml!M1983</f>
        <v>105_178_178</v>
      </c>
      <c r="M1979" s="17" t="str">
        <f>equip.xml!Q1983</f>
        <v>equipment/5001.png</v>
      </c>
      <c r="N1979" s="16" t="str">
        <f>equip.xml!P1983</f>
        <v>10000_1002_25000,30000_30001_1,30000_30002_1,30000_30003_1</v>
      </c>
      <c r="O1979">
        <f>equip.xml!R1983</f>
        <v>0</v>
      </c>
    </row>
    <row r="1980" spans="1:15">
      <c r="A1980" s="14" t="str">
        <f>equip.xml!A1984</f>
        <v>50250070</v>
      </c>
      <c r="B1980" s="14">
        <f>equip.xml!B1984</f>
        <v>1</v>
      </c>
      <c r="C1980" s="14" t="str">
        <f>equip.xml!C1984</f>
        <v>勇气腿甲</v>
      </c>
      <c r="D1980" s="14" t="str">
        <f>equip.xml!D1984</f>
        <v>护腿</v>
      </c>
      <c r="E1980" s="14">
        <f>equip.xml!E1984</f>
        <v>7</v>
      </c>
      <c r="F1980" s="14">
        <f>equip.xml!F1984</f>
        <v>5</v>
      </c>
      <c r="G1980" s="14">
        <f>equip.xml!G1984</f>
        <v>25</v>
      </c>
      <c r="H1980" s="14">
        <f>equip.xml!H1984</f>
        <v>0</v>
      </c>
      <c r="I1980" s="14">
        <f>equip.xml!J1984</f>
        <v>150</v>
      </c>
      <c r="J1980" s="14">
        <f>equip.xml!K1984</f>
        <v>1500</v>
      </c>
      <c r="K1980" s="14">
        <f>equip.xml!L1984</f>
        <v>15000</v>
      </c>
      <c r="L1980" s="14" t="str">
        <f>equip.xml!M1984</f>
        <v>105_104_104</v>
      </c>
      <c r="M1980" s="17" t="str">
        <f>equip.xml!Q1984</f>
        <v>equipment/7006.png</v>
      </c>
      <c r="N1980" s="16" t="str">
        <f>equip.xml!P1984</f>
        <v>10000_1002_25000,30000_30001_1,30000_30002_1,30000_30003_1</v>
      </c>
      <c r="O1980">
        <f>equip.xml!R1984</f>
        <v>0</v>
      </c>
    </row>
    <row r="1981" spans="1:15">
      <c r="A1981" s="14" t="str">
        <f>equip.xml!A1985</f>
        <v>50250071</v>
      </c>
      <c r="B1981" s="14">
        <f>equip.xml!B1985</f>
        <v>0</v>
      </c>
      <c r="C1981" s="14" t="str">
        <f>equip.xml!C1985</f>
        <v>学徒短裤</v>
      </c>
      <c r="D1981" s="14" t="str">
        <f>equip.xml!D1985</f>
        <v>护腿</v>
      </c>
      <c r="E1981" s="14">
        <f>equip.xml!E1985</f>
        <v>7</v>
      </c>
      <c r="F1981" s="14">
        <f>equip.xml!F1985</f>
        <v>5</v>
      </c>
      <c r="G1981" s="14">
        <f>equip.xml!G1985</f>
        <v>25</v>
      </c>
      <c r="H1981" s="14">
        <f>equip.xml!H1985</f>
        <v>0</v>
      </c>
      <c r="I1981" s="14">
        <f>equip.xml!J1985</f>
        <v>150</v>
      </c>
      <c r="J1981" s="14">
        <f>equip.xml!K1985</f>
        <v>1500</v>
      </c>
      <c r="K1981" s="14">
        <f>equip.xml!L1985</f>
        <v>17500</v>
      </c>
      <c r="L1981" s="14" t="str">
        <f>equip.xml!M1985</f>
        <v>105_149_149</v>
      </c>
      <c r="M1981" s="17" t="str">
        <f>equip.xml!Q1985</f>
        <v>equipment/7001.png</v>
      </c>
      <c r="N1981" s="16" t="str">
        <f>equip.xml!P1985</f>
        <v>10000_1002_25000,30000_30001_1,30000_30002_1,30000_30003_1</v>
      </c>
      <c r="O1981">
        <f>equip.xml!R1985</f>
        <v>0</v>
      </c>
    </row>
    <row r="1982" spans="1:15">
      <c r="A1982" s="14" t="str">
        <f>equip.xml!A1986</f>
        <v>50300010</v>
      </c>
      <c r="B1982" s="14">
        <f>equip.xml!B1986</f>
        <v>1</v>
      </c>
      <c r="C1982" s="14" t="str">
        <f>equip.xml!C1986</f>
        <v>双链罩帽</v>
      </c>
      <c r="D1982" s="14" t="str">
        <f>equip.xml!D1986</f>
        <v>头盔</v>
      </c>
      <c r="E1982" s="14">
        <f>equip.xml!E1986</f>
        <v>1</v>
      </c>
      <c r="F1982" s="14">
        <f>equip.xml!F1986</f>
        <v>5</v>
      </c>
      <c r="G1982" s="14">
        <f>equip.xml!G1986</f>
        <v>30</v>
      </c>
      <c r="H1982" s="14">
        <f>equip.xml!H1986</f>
        <v>0</v>
      </c>
      <c r="I1982" s="14">
        <f>equip.xml!J1986</f>
        <v>150</v>
      </c>
      <c r="J1982" s="14">
        <f>equip.xml!K1986</f>
        <v>1500</v>
      </c>
      <c r="K1982" s="14">
        <f>equip.xml!L1986</f>
        <v>17500</v>
      </c>
      <c r="L1982" s="14" t="str">
        <f>equip.xml!M1986</f>
        <v>106_372_372</v>
      </c>
      <c r="M1982" s="17" t="str">
        <f>equip.xml!Q1986</f>
        <v>equipment/3004.png</v>
      </c>
      <c r="N1982" s="16" t="str">
        <f>equip.xml!P1986</f>
        <v>10000_1002_30000,30000_30001_1,30000_30002_1,30000_30003_1</v>
      </c>
      <c r="O1982">
        <f>equip.xml!R1986</f>
        <v>0</v>
      </c>
    </row>
    <row r="1983" spans="1:15">
      <c r="A1983" s="14" t="str">
        <f>equip.xml!A1987</f>
        <v>50300020</v>
      </c>
      <c r="B1983" s="14">
        <f>equip.xml!B1987</f>
        <v>1</v>
      </c>
      <c r="C1983" s="14" t="str">
        <f>equip.xml!C1987</f>
        <v>繁星之戒</v>
      </c>
      <c r="D1983" s="14" t="str">
        <f>equip.xml!D1987</f>
        <v>戒指</v>
      </c>
      <c r="E1983" s="14">
        <f>equip.xml!E1987</f>
        <v>2</v>
      </c>
      <c r="F1983" s="14">
        <f>equip.xml!F1987</f>
        <v>5</v>
      </c>
      <c r="G1983" s="14">
        <f>equip.xml!G1987</f>
        <v>30</v>
      </c>
      <c r="H1983" s="14">
        <f>equip.xml!H1987</f>
        <v>0</v>
      </c>
      <c r="I1983" s="14">
        <f>equip.xml!J1987</f>
        <v>150</v>
      </c>
      <c r="J1983" s="14">
        <f>equip.xml!K1987</f>
        <v>1500</v>
      </c>
      <c r="K1983" s="14">
        <f>equip.xml!L1987</f>
        <v>17500</v>
      </c>
      <c r="L1983" s="14" t="str">
        <f>equip.xml!M1987</f>
        <v>102_460_460</v>
      </c>
      <c r="M1983" s="17" t="str">
        <f>equip.xml!Q1987</f>
        <v>equipment/14005.png</v>
      </c>
      <c r="N1983" s="16" t="str">
        <f>equip.xml!P1987</f>
        <v>10000_1002_30000,30000_30001_1,30000_30002_1,30000_30003_1</v>
      </c>
      <c r="O1983">
        <f>equip.xml!R1987</f>
        <v>0</v>
      </c>
    </row>
    <row r="1984" spans="1:15">
      <c r="A1984" s="14" t="str">
        <f>equip.xml!A1988</f>
        <v>50300030</v>
      </c>
      <c r="B1984" s="14">
        <f>equip.xml!B1988</f>
        <v>1</v>
      </c>
      <c r="C1984" s="14" t="str">
        <f>equip.xml!C1988</f>
        <v>秘银腰带</v>
      </c>
      <c r="D1984" s="14" t="str">
        <f>equip.xml!D1988</f>
        <v>腰带</v>
      </c>
      <c r="E1984" s="14">
        <f>equip.xml!E1988</f>
        <v>3</v>
      </c>
      <c r="F1984" s="14">
        <f>equip.xml!F1988</f>
        <v>5</v>
      </c>
      <c r="G1984" s="14">
        <f>equip.xml!G1988</f>
        <v>30</v>
      </c>
      <c r="H1984" s="14">
        <f>equip.xml!H1988</f>
        <v>0</v>
      </c>
      <c r="I1984" s="14">
        <f>equip.xml!J1988</f>
        <v>150</v>
      </c>
      <c r="J1984" s="14">
        <f>equip.xml!K1988</f>
        <v>1500</v>
      </c>
      <c r="K1984" s="14">
        <f>equip.xml!L1988</f>
        <v>17500</v>
      </c>
      <c r="L1984" s="14" t="str">
        <f>equip.xml!M1988</f>
        <v>101_3920_3920</v>
      </c>
      <c r="M1984" s="17" t="str">
        <f>equip.xml!Q1988</f>
        <v>equipment/6002.png</v>
      </c>
      <c r="N1984" s="16" t="str">
        <f>equip.xml!P1988</f>
        <v>10000_1002_30000,30000_30001_1,30000_30002_1,30000_30003_1</v>
      </c>
      <c r="O1984">
        <f>equip.xml!R1988</f>
        <v>0</v>
      </c>
    </row>
    <row r="1985" spans="1:15">
      <c r="A1985" s="14" t="str">
        <f>equip.xml!A1989</f>
        <v>50300080</v>
      </c>
      <c r="B1985" s="14">
        <f>equip.xml!B1989</f>
        <v>1</v>
      </c>
      <c r="C1985" s="14" t="str">
        <f>equip.xml!C1989</f>
        <v>镶饰胫甲</v>
      </c>
      <c r="D1985" s="14" t="str">
        <f>equip.xml!D1989</f>
        <v>鞋子</v>
      </c>
      <c r="E1985" s="14">
        <f>equip.xml!E1989</f>
        <v>8</v>
      </c>
      <c r="F1985" s="14">
        <f>equip.xml!F1989</f>
        <v>5</v>
      </c>
      <c r="G1985" s="14">
        <f>equip.xml!G1989</f>
        <v>30</v>
      </c>
      <c r="H1985" s="14">
        <f>equip.xml!H1989</f>
        <v>0</v>
      </c>
      <c r="I1985" s="14">
        <f>equip.xml!J1989</f>
        <v>150</v>
      </c>
      <c r="J1985" s="14">
        <f>equip.xml!K1989</f>
        <v>1500</v>
      </c>
      <c r="K1985" s="14">
        <f>equip.xml!L1989</f>
        <v>17500</v>
      </c>
      <c r="L1985" s="14" t="str">
        <f>equip.xml!M1989</f>
        <v>110_65_65</v>
      </c>
      <c r="M1985" s="17" t="str">
        <f>equip.xml!Q1989</f>
        <v>equipment/8005.png</v>
      </c>
      <c r="N1985" s="16" t="str">
        <f>equip.xml!P1989</f>
        <v>10000_1002_30000,30000_30001_1,30000_30002_1,30000_30003_1</v>
      </c>
      <c r="O1985">
        <f>equip.xml!R1989</f>
        <v>0</v>
      </c>
    </row>
    <row r="1986" spans="1:15">
      <c r="A1986" s="14" t="str">
        <f>equip.xml!A1990</f>
        <v>50300090</v>
      </c>
      <c r="B1986" s="14">
        <f>equip.xml!B1990</f>
        <v>1</v>
      </c>
      <c r="C1986" s="14" t="str">
        <f>equip.xml!C1990</f>
        <v>链甲手套</v>
      </c>
      <c r="D1986" s="14" t="str">
        <f>equip.xml!D1990</f>
        <v>手套</v>
      </c>
      <c r="E1986" s="14">
        <f>equip.xml!E1990</f>
        <v>9</v>
      </c>
      <c r="F1986" s="14">
        <f>equip.xml!F1990</f>
        <v>5</v>
      </c>
      <c r="G1986" s="14">
        <f>equip.xml!G1990</f>
        <v>30</v>
      </c>
      <c r="H1986" s="14">
        <f>equip.xml!H1990</f>
        <v>0</v>
      </c>
      <c r="I1986" s="14">
        <f>equip.xml!J1990</f>
        <v>150</v>
      </c>
      <c r="J1986" s="14">
        <f>equip.xml!K1990</f>
        <v>1500</v>
      </c>
      <c r="K1986" s="14">
        <f>equip.xml!L1990</f>
        <v>17500</v>
      </c>
      <c r="L1986" s="14" t="str">
        <f>equip.xml!M1990</f>
        <v>108_367_367</v>
      </c>
      <c r="M1986" s="17" t="str">
        <f>equip.xml!Q1990</f>
        <v>equipment/10005.png</v>
      </c>
      <c r="N1986" s="16" t="str">
        <f>equip.xml!P1990</f>
        <v>10000_1002_30000,30000_30001_1,30000_30002_1,30000_30003_1</v>
      </c>
      <c r="O1986">
        <f>equip.xml!R1990</f>
        <v>0</v>
      </c>
    </row>
    <row r="1987" spans="1:15">
      <c r="A1987" s="14" t="str">
        <f>equip.xml!A1991</f>
        <v>50300100</v>
      </c>
      <c r="B1987" s="14">
        <f>equip.xml!B1991</f>
        <v>1</v>
      </c>
      <c r="C1987" s="14" t="str">
        <f>equip.xml!C1991</f>
        <v>虎眼石项链</v>
      </c>
      <c r="D1987" s="14" t="str">
        <f>equip.xml!D1991</f>
        <v>项链</v>
      </c>
      <c r="E1987" s="14">
        <f>equip.xml!E1991</f>
        <v>10</v>
      </c>
      <c r="F1987" s="14">
        <f>equip.xml!F1991</f>
        <v>5</v>
      </c>
      <c r="G1987" s="14">
        <f>equip.xml!G1991</f>
        <v>30</v>
      </c>
      <c r="H1987" s="14">
        <f>equip.xml!H1991</f>
        <v>0</v>
      </c>
      <c r="I1987" s="14">
        <f>equip.xml!J1991</f>
        <v>150</v>
      </c>
      <c r="J1987" s="14">
        <f>equip.xml!K1991</f>
        <v>1500</v>
      </c>
      <c r="K1987" s="14">
        <f>equip.xml!L1991</f>
        <v>17500</v>
      </c>
      <c r="L1987" s="14" t="str">
        <f>equip.xml!M1991</f>
        <v>107_372_372</v>
      </c>
      <c r="M1987" s="17" t="str">
        <f>equip.xml!Q1991</f>
        <v>equipment/12005.png</v>
      </c>
      <c r="N1987" s="16" t="str">
        <f>equip.xml!P1991</f>
        <v>10000_1002_30000,30000_30001_1,30000_30002_1,30000_30003_1</v>
      </c>
      <c r="O1987">
        <f>equip.xml!R1991</f>
        <v>0</v>
      </c>
    </row>
    <row r="1988" spans="1:15">
      <c r="A1988" s="14" t="str">
        <f>equip.xml!A1992</f>
        <v>50301050</v>
      </c>
      <c r="B1988" s="14">
        <f>equip.xml!B1992</f>
        <v>1</v>
      </c>
      <c r="C1988" s="14" t="str">
        <f>equip.xml!C1992</f>
        <v>炽热长剑</v>
      </c>
      <c r="D1988" s="14" t="str">
        <f>equip.xml!D1992</f>
        <v>主手武器</v>
      </c>
      <c r="E1988" s="14">
        <f>equip.xml!E1992</f>
        <v>5</v>
      </c>
      <c r="F1988" s="14">
        <f>equip.xml!F1992</f>
        <v>5</v>
      </c>
      <c r="G1988" s="14">
        <f>equip.xml!G1992</f>
        <v>30</v>
      </c>
      <c r="H1988" s="14" t="str">
        <f>equip.xml!H1992</f>
        <v>1,1001</v>
      </c>
      <c r="I1988" s="14">
        <f>equip.xml!J1992</f>
        <v>150</v>
      </c>
      <c r="J1988" s="14">
        <f>equip.xml!K1992</f>
        <v>1500</v>
      </c>
      <c r="K1988" s="14">
        <f>equip.xml!L1992</f>
        <v>17500</v>
      </c>
      <c r="L1988" s="14" t="str">
        <f>equip.xml!M1992</f>
        <v>103_275_275,104_550_550</v>
      </c>
      <c r="M1988" s="17" t="str">
        <f>equip.xml!Q1992</f>
        <v>equipment/1112.png</v>
      </c>
      <c r="N1988" s="16" t="str">
        <f>equip.xml!P1992</f>
        <v>10000_1002_30000,30000_30001_1,30000_30002_1,30000_30003_1</v>
      </c>
      <c r="O1988">
        <f>equip.xml!R1992</f>
        <v>0</v>
      </c>
    </row>
    <row r="1989" spans="1:15">
      <c r="A1989" s="14" t="str">
        <f>equip.xml!A1993</f>
        <v>50301051</v>
      </c>
      <c r="B1989" s="14">
        <f>equip.xml!B1993</f>
        <v>1</v>
      </c>
      <c r="C1989" s="14" t="str">
        <f>equip.xml!C1993</f>
        <v>贵族阔剑</v>
      </c>
      <c r="D1989" s="14" t="str">
        <f>equip.xml!D1993</f>
        <v>主手武器</v>
      </c>
      <c r="E1989" s="14">
        <f>equip.xml!E1993</f>
        <v>5</v>
      </c>
      <c r="F1989" s="14">
        <f>equip.xml!F1993</f>
        <v>5</v>
      </c>
      <c r="G1989" s="14">
        <f>equip.xml!G1993</f>
        <v>30</v>
      </c>
      <c r="H1989" s="14" t="str">
        <f>equip.xml!H1993</f>
        <v>1,1001</v>
      </c>
      <c r="I1989" s="14">
        <f>equip.xml!J1993</f>
        <v>150</v>
      </c>
      <c r="J1989" s="14">
        <f>equip.xml!K1993</f>
        <v>1500</v>
      </c>
      <c r="K1989" s="14">
        <f>equip.xml!L1993</f>
        <v>20000</v>
      </c>
      <c r="L1989" s="14" t="str">
        <f>equip.xml!M1993</f>
        <v>103_342_342,104_684_684</v>
      </c>
      <c r="M1989" s="17" t="str">
        <f>equip.xml!Q1993</f>
        <v>equipment/1113.png</v>
      </c>
      <c r="N1989" s="16" t="str">
        <f>equip.xml!P1993</f>
        <v>10000_1002_30000,30000_30001_1,30000_30002_1,30000_30003_1</v>
      </c>
      <c r="O1989">
        <f>equip.xml!R1993</f>
        <v>0</v>
      </c>
    </row>
    <row r="1990" spans="1:15">
      <c r="A1990" s="14" t="str">
        <f>equip.xml!A1994</f>
        <v>50301060</v>
      </c>
      <c r="B1990" s="14">
        <f>equip.xml!B1994</f>
        <v>1</v>
      </c>
      <c r="C1990" s="14" t="str">
        <f>equip.xml!C1994</f>
        <v>耐久盾牌</v>
      </c>
      <c r="D1990" s="14" t="str">
        <f>equip.xml!D1994</f>
        <v>副手武器</v>
      </c>
      <c r="E1990" s="14">
        <f>equip.xml!E1994</f>
        <v>6</v>
      </c>
      <c r="F1990" s="14">
        <f>equip.xml!F1994</f>
        <v>5</v>
      </c>
      <c r="G1990" s="14">
        <f>equip.xml!G1994</f>
        <v>30</v>
      </c>
      <c r="H1990" s="14" t="str">
        <f>equip.xml!H1994</f>
        <v>1,1001</v>
      </c>
      <c r="I1990" s="14">
        <f>equip.xml!J1994</f>
        <v>150</v>
      </c>
      <c r="J1990" s="14">
        <f>equip.xml!K1994</f>
        <v>1500</v>
      </c>
      <c r="K1990" s="14">
        <f>equip.xml!L1994</f>
        <v>17500</v>
      </c>
      <c r="L1990" s="14" t="str">
        <f>equip.xml!M1994</f>
        <v>105_368_368</v>
      </c>
      <c r="M1990" s="17" t="str">
        <f>equip.xml!Q1994</f>
        <v>equipment/2107.png</v>
      </c>
      <c r="N1990" s="16" t="str">
        <f>equip.xml!P1994</f>
        <v>10000_1002_30000,30000_30001_1,30000_30002_1,30000_30003_1</v>
      </c>
      <c r="O1990">
        <f>equip.xml!R1994</f>
        <v>0</v>
      </c>
    </row>
    <row r="1991" spans="1:15">
      <c r="A1991" s="14" t="str">
        <f>equip.xml!A1995</f>
        <v>50301061</v>
      </c>
      <c r="B1991" s="14">
        <f>equip.xml!B1995</f>
        <v>0</v>
      </c>
      <c r="C1991" s="14" t="str">
        <f>equip.xml!C1995</f>
        <v>盐石盾牌</v>
      </c>
      <c r="D1991" s="14" t="str">
        <f>equip.xml!D1995</f>
        <v>副手武器</v>
      </c>
      <c r="E1991" s="14">
        <f>equip.xml!E1995</f>
        <v>6</v>
      </c>
      <c r="F1991" s="14">
        <f>equip.xml!F1995</f>
        <v>5</v>
      </c>
      <c r="G1991" s="14">
        <f>equip.xml!G1995</f>
        <v>30</v>
      </c>
      <c r="H1991" s="14" t="str">
        <f>equip.xml!H1995</f>
        <v>1,1001</v>
      </c>
      <c r="I1991" s="14">
        <f>equip.xml!J1995</f>
        <v>150</v>
      </c>
      <c r="J1991" s="14">
        <f>equip.xml!K1995</f>
        <v>1500</v>
      </c>
      <c r="K1991" s="14">
        <f>equip.xml!L1995</f>
        <v>20000</v>
      </c>
      <c r="L1991" s="14" t="str">
        <f>equip.xml!M1995</f>
        <v>105_491_491</v>
      </c>
      <c r="M1991" s="17" t="str">
        <f>equip.xml!Q1995</f>
        <v>equipment/2108.png</v>
      </c>
      <c r="N1991" s="16" t="str">
        <f>equip.xml!P1995</f>
        <v>10000_1002_30000,30000_30001_1,30000_30002_1,30000_30003_1</v>
      </c>
      <c r="O1991">
        <f>equip.xml!R1995</f>
        <v>0</v>
      </c>
    </row>
    <row r="1992" spans="1:15">
      <c r="A1992" s="14" t="str">
        <f>equip.xml!A1996</f>
        <v>50302050</v>
      </c>
      <c r="B1992" s="14">
        <f>equip.xml!B1996</f>
        <v>1</v>
      </c>
      <c r="C1992" s="14" t="str">
        <f>equip.xml!C1996</f>
        <v>红木长弓</v>
      </c>
      <c r="D1992" s="14" t="str">
        <f>equip.xml!D1996</f>
        <v>主手武器</v>
      </c>
      <c r="E1992" s="14">
        <f>equip.xml!E1996</f>
        <v>5</v>
      </c>
      <c r="F1992" s="14">
        <f>equip.xml!F1996</f>
        <v>5</v>
      </c>
      <c r="G1992" s="14">
        <f>equip.xml!G1996</f>
        <v>30</v>
      </c>
      <c r="H1992" s="14" t="str">
        <f>equip.xml!H1996</f>
        <v>2,1002</v>
      </c>
      <c r="I1992" s="14">
        <f>equip.xml!J1996</f>
        <v>150</v>
      </c>
      <c r="J1992" s="14">
        <f>equip.xml!K1996</f>
        <v>1500</v>
      </c>
      <c r="K1992" s="14">
        <f>equip.xml!L1996</f>
        <v>17500</v>
      </c>
      <c r="L1992" s="14" t="str">
        <f>equip.xml!M1996</f>
        <v>103_275_275,104_550_550</v>
      </c>
      <c r="M1992" s="17" t="str">
        <f>equip.xml!Q1996</f>
        <v>equipment/1211.png</v>
      </c>
      <c r="N1992" s="16" t="str">
        <f>equip.xml!P1996</f>
        <v>10000_1002_30000,30000_30001_1,30000_30002_1,30000_30003_1</v>
      </c>
      <c r="O1992">
        <f>equip.xml!R1996</f>
        <v>0</v>
      </c>
    </row>
    <row r="1993" spans="1:15">
      <c r="A1993" s="14" t="str">
        <f>equip.xml!A1997</f>
        <v>50302051</v>
      </c>
      <c r="B1993" s="14">
        <f>equip.xml!B1997</f>
        <v>1</v>
      </c>
      <c r="C1993" s="14" t="str">
        <f>equip.xml!C1997</f>
        <v>灼热弓</v>
      </c>
      <c r="D1993" s="14" t="str">
        <f>equip.xml!D1997</f>
        <v>主手武器</v>
      </c>
      <c r="E1993" s="14">
        <f>equip.xml!E1997</f>
        <v>5</v>
      </c>
      <c r="F1993" s="14">
        <f>equip.xml!F1997</f>
        <v>5</v>
      </c>
      <c r="G1993" s="14">
        <f>equip.xml!G1997</f>
        <v>30</v>
      </c>
      <c r="H1993" s="14" t="str">
        <f>equip.xml!H1997</f>
        <v>2,1002</v>
      </c>
      <c r="I1993" s="14">
        <f>equip.xml!J1997</f>
        <v>150</v>
      </c>
      <c r="J1993" s="14">
        <f>equip.xml!K1997</f>
        <v>1500</v>
      </c>
      <c r="K1993" s="14">
        <f>equip.xml!L1997</f>
        <v>20000</v>
      </c>
      <c r="L1993" s="14" t="str">
        <f>equip.xml!M1997</f>
        <v>103_342_342,104_684_684</v>
      </c>
      <c r="M1993" s="17" t="str">
        <f>equip.xml!Q1997</f>
        <v>equipment/1212.png</v>
      </c>
      <c r="N1993" s="16" t="str">
        <f>equip.xml!P1997</f>
        <v>10000_1002_30000,30000_30001_1,30000_30002_1,30000_30003_1</v>
      </c>
      <c r="O1993">
        <f>equip.xml!R1997</f>
        <v>0</v>
      </c>
    </row>
    <row r="1994" spans="1:15">
      <c r="A1994" s="14" t="str">
        <f>equip.xml!A1998</f>
        <v>50302060</v>
      </c>
      <c r="B1994" s="14">
        <f>equip.xml!B1998</f>
        <v>1</v>
      </c>
      <c r="C1994" s="14" t="str">
        <f>equip.xml!C1998</f>
        <v>倒刺箭筒</v>
      </c>
      <c r="D1994" s="14" t="str">
        <f>equip.xml!D1998</f>
        <v>副手武器</v>
      </c>
      <c r="E1994" s="14">
        <f>equip.xml!E1998</f>
        <v>6</v>
      </c>
      <c r="F1994" s="14">
        <f>equip.xml!F1998</f>
        <v>5</v>
      </c>
      <c r="G1994" s="14">
        <f>equip.xml!G1998</f>
        <v>30</v>
      </c>
      <c r="H1994" s="14" t="str">
        <f>equip.xml!H1998</f>
        <v>2,1002</v>
      </c>
      <c r="I1994" s="14">
        <f>equip.xml!J1998</f>
        <v>150</v>
      </c>
      <c r="J1994" s="14">
        <f>equip.xml!K1998</f>
        <v>1500</v>
      </c>
      <c r="K1994" s="14">
        <f>equip.xml!L1998</f>
        <v>17500</v>
      </c>
      <c r="L1994" s="14" t="str">
        <f>equip.xml!M1998</f>
        <v>108_368_368</v>
      </c>
      <c r="M1994" s="17" t="str">
        <f>equip.xml!Q1998</f>
        <v>equipment/2207.png</v>
      </c>
      <c r="N1994" s="16" t="str">
        <f>equip.xml!P1998</f>
        <v>10000_1002_30000,30000_30001_1,30000_30002_1,30000_30003_1</v>
      </c>
      <c r="O1994">
        <f>equip.xml!R1998</f>
        <v>0</v>
      </c>
    </row>
    <row r="1995" spans="1:15">
      <c r="A1995" s="14" t="str">
        <f>equip.xml!A1999</f>
        <v>50302061</v>
      </c>
      <c r="B1995" s="14">
        <f>equip.xml!B1999</f>
        <v>0</v>
      </c>
      <c r="C1995" s="14" t="str">
        <f>equip.xml!C1999</f>
        <v>崇圣箭筒</v>
      </c>
      <c r="D1995" s="14" t="str">
        <f>equip.xml!D1999</f>
        <v>副手武器</v>
      </c>
      <c r="E1995" s="14">
        <f>equip.xml!E1999</f>
        <v>6</v>
      </c>
      <c r="F1995" s="14">
        <f>equip.xml!F1999</f>
        <v>5</v>
      </c>
      <c r="G1995" s="14">
        <f>equip.xml!G1999</f>
        <v>30</v>
      </c>
      <c r="H1995" s="14" t="str">
        <f>equip.xml!H1999</f>
        <v>2,1002</v>
      </c>
      <c r="I1995" s="14">
        <f>equip.xml!J1999</f>
        <v>150</v>
      </c>
      <c r="J1995" s="14">
        <f>equip.xml!K1999</f>
        <v>1500</v>
      </c>
      <c r="K1995" s="14">
        <f>equip.xml!L1999</f>
        <v>20000</v>
      </c>
      <c r="L1995" s="14" t="str">
        <f>equip.xml!M1999</f>
        <v>108_491_491</v>
      </c>
      <c r="M1995" s="17" t="str">
        <f>equip.xml!Q1999</f>
        <v>equipment/2208.png</v>
      </c>
      <c r="N1995" s="16" t="str">
        <f>equip.xml!P1999</f>
        <v>10000_1002_30000,30000_30001_1,30000_30002_1,30000_30003_1</v>
      </c>
      <c r="O1995">
        <f>equip.xml!R1999</f>
        <v>0</v>
      </c>
    </row>
    <row r="1996" spans="1:15">
      <c r="A1996" s="14" t="str">
        <f>equip.xml!A2000</f>
        <v>50303050</v>
      </c>
      <c r="B1996" s="14">
        <f>equip.xml!B2000</f>
        <v>1</v>
      </c>
      <c r="C1996" s="14" t="str">
        <f>equip.xml!C2000</f>
        <v>荒骨法杖</v>
      </c>
      <c r="D1996" s="14" t="str">
        <f>equip.xml!D2000</f>
        <v>主手武器</v>
      </c>
      <c r="E1996" s="14">
        <f>equip.xml!E2000</f>
        <v>5</v>
      </c>
      <c r="F1996" s="14">
        <f>equip.xml!F2000</f>
        <v>5</v>
      </c>
      <c r="G1996" s="14">
        <f>equip.xml!G2000</f>
        <v>30</v>
      </c>
      <c r="H1996" s="14" t="str">
        <f>equip.xml!H2000</f>
        <v>3,1003</v>
      </c>
      <c r="I1996" s="14">
        <f>equip.xml!J2000</f>
        <v>150</v>
      </c>
      <c r="J1996" s="14">
        <f>equip.xml!K2000</f>
        <v>1500</v>
      </c>
      <c r="K1996" s="14">
        <f>equip.xml!L2000</f>
        <v>17500</v>
      </c>
      <c r="L1996" s="14" t="str">
        <f>equip.xml!M2000</f>
        <v>103_275_275,104_550_550</v>
      </c>
      <c r="M1996" s="17" t="str">
        <f>equip.xml!Q2000</f>
        <v>equipment/1312.png</v>
      </c>
      <c r="N1996" s="16" t="str">
        <f>equip.xml!P2000</f>
        <v>10000_1002_30000,30000_30001_1,30000_30002_1,30000_30003_1</v>
      </c>
      <c r="O1996">
        <f>equip.xml!R2000</f>
        <v>0</v>
      </c>
    </row>
    <row r="1997" spans="1:15">
      <c r="A1997" s="14" t="str">
        <f>equip.xml!A2001</f>
        <v>50303051</v>
      </c>
      <c r="B1997" s="14">
        <f>equip.xml!B2001</f>
        <v>1</v>
      </c>
      <c r="C1997" s="14" t="str">
        <f>equip.xml!C2001</f>
        <v>新月法杖</v>
      </c>
      <c r="D1997" s="14" t="str">
        <f>equip.xml!D2001</f>
        <v>主手武器</v>
      </c>
      <c r="E1997" s="14">
        <f>equip.xml!E2001</f>
        <v>5</v>
      </c>
      <c r="F1997" s="14">
        <f>equip.xml!F2001</f>
        <v>5</v>
      </c>
      <c r="G1997" s="14">
        <f>equip.xml!G2001</f>
        <v>30</v>
      </c>
      <c r="H1997" s="14" t="str">
        <f>equip.xml!H2001</f>
        <v>3,1003</v>
      </c>
      <c r="I1997" s="14">
        <f>equip.xml!J2001</f>
        <v>150</v>
      </c>
      <c r="J1997" s="14">
        <f>equip.xml!K2001</f>
        <v>1500</v>
      </c>
      <c r="K1997" s="14">
        <f>equip.xml!L2001</f>
        <v>20000</v>
      </c>
      <c r="L1997" s="14" t="str">
        <f>equip.xml!M2001</f>
        <v>103_342_342,104_684_684</v>
      </c>
      <c r="M1997" s="17" t="str">
        <f>equip.xml!Q2001</f>
        <v>equipment/1313.png</v>
      </c>
      <c r="N1997" s="16" t="str">
        <f>equip.xml!P2001</f>
        <v>10000_1002_30000,30000_30001_1,30000_30002_1,30000_30003_1</v>
      </c>
      <c r="O1997">
        <f>equip.xml!R2001</f>
        <v>0</v>
      </c>
    </row>
    <row r="1998" spans="1:15">
      <c r="A1998" s="14" t="str">
        <f>equip.xml!A2002</f>
        <v>50303060</v>
      </c>
      <c r="B1998" s="14">
        <f>equip.xml!B2002</f>
        <v>1</v>
      </c>
      <c r="C1998" s="14" t="str">
        <f>equip.xml!C2002</f>
        <v>神圣典籍</v>
      </c>
      <c r="D1998" s="14" t="str">
        <f>equip.xml!D2002</f>
        <v>副手武器</v>
      </c>
      <c r="E1998" s="14">
        <f>equip.xml!E2002</f>
        <v>6</v>
      </c>
      <c r="F1998" s="14">
        <f>equip.xml!F2002</f>
        <v>5</v>
      </c>
      <c r="G1998" s="14">
        <f>equip.xml!G2002</f>
        <v>30</v>
      </c>
      <c r="H1998" s="14" t="str">
        <f>equip.xml!H2002</f>
        <v>3,1003</v>
      </c>
      <c r="I1998" s="14">
        <f>equip.xml!J2002</f>
        <v>150</v>
      </c>
      <c r="J1998" s="14">
        <f>equip.xml!K2002</f>
        <v>1500</v>
      </c>
      <c r="K1998" s="14">
        <f>equip.xml!L2002</f>
        <v>17500</v>
      </c>
      <c r="L1998" s="14" t="str">
        <f>equip.xml!M2002</f>
        <v>102_880_880</v>
      </c>
      <c r="M1998" s="17" t="str">
        <f>equip.xml!Q2002</f>
        <v>equipment/2307.png</v>
      </c>
      <c r="N1998" s="16" t="str">
        <f>equip.xml!P2002</f>
        <v>10000_1002_30000,30000_30001_1,30000_30002_1,30000_30003_1</v>
      </c>
      <c r="O1998">
        <f>equip.xml!R2002</f>
        <v>0</v>
      </c>
    </row>
    <row r="1999" spans="1:15">
      <c r="A1999" s="14" t="str">
        <f>equip.xml!A2003</f>
        <v>50303061</v>
      </c>
      <c r="B1999" s="14">
        <f>equip.xml!B2003</f>
        <v>0</v>
      </c>
      <c r="C1999" s="14" t="str">
        <f>equip.xml!C2003</f>
        <v>召唤之书</v>
      </c>
      <c r="D1999" s="14" t="str">
        <f>equip.xml!D2003</f>
        <v>副手武器</v>
      </c>
      <c r="E1999" s="14">
        <f>equip.xml!E2003</f>
        <v>6</v>
      </c>
      <c r="F1999" s="14">
        <f>equip.xml!F2003</f>
        <v>5</v>
      </c>
      <c r="G1999" s="14">
        <f>equip.xml!G2003</f>
        <v>30</v>
      </c>
      <c r="H1999" s="14" t="str">
        <f>equip.xml!H2003</f>
        <v>3,1003</v>
      </c>
      <c r="I1999" s="14">
        <f>equip.xml!J2003</f>
        <v>150</v>
      </c>
      <c r="J1999" s="14">
        <f>equip.xml!K2003</f>
        <v>1500</v>
      </c>
      <c r="K1999" s="14">
        <f>equip.xml!L2003</f>
        <v>20000</v>
      </c>
      <c r="L1999" s="14" t="str">
        <f>equip.xml!M2003</f>
        <v>102_944_944</v>
      </c>
      <c r="M1999" s="17" t="str">
        <f>equip.xml!Q2003</f>
        <v>equipment/2308.png</v>
      </c>
      <c r="N1999" s="16" t="str">
        <f>equip.xml!P2003</f>
        <v>10000_1002_30000,30000_30001_1,30000_30002_1,30000_30003_1</v>
      </c>
      <c r="O1999">
        <f>equip.xml!R2003</f>
        <v>0</v>
      </c>
    </row>
    <row r="2000" spans="1:15">
      <c r="A2000" s="14" t="str">
        <f>equip.xml!A2004</f>
        <v>50300040</v>
      </c>
      <c r="B2000" s="14">
        <f>equip.xml!B2004</f>
        <v>1</v>
      </c>
      <c r="C2000" s="14" t="str">
        <f>equip.xml!C2004</f>
        <v>水滴胸铠</v>
      </c>
      <c r="D2000" s="14" t="str">
        <f>equip.xml!D2004</f>
        <v>胸甲</v>
      </c>
      <c r="E2000" s="14">
        <f>equip.xml!E2004</f>
        <v>4</v>
      </c>
      <c r="F2000" s="14">
        <f>equip.xml!F2004</f>
        <v>5</v>
      </c>
      <c r="G2000" s="14">
        <f>equip.xml!G2004</f>
        <v>30</v>
      </c>
      <c r="H2000" s="14">
        <f>equip.xml!H2004</f>
        <v>0</v>
      </c>
      <c r="I2000" s="14">
        <f>equip.xml!J2004</f>
        <v>150</v>
      </c>
      <c r="J2000" s="14">
        <f>equip.xml!K2004</f>
        <v>1500</v>
      </c>
      <c r="K2000" s="14">
        <f>equip.xml!L2004</f>
        <v>17500</v>
      </c>
      <c r="L2000" s="14" t="str">
        <f>equip.xml!M2004</f>
        <v>105_216_216</v>
      </c>
      <c r="M2000" s="17" t="str">
        <f>equip.xml!Q2004</f>
        <v>equipment/5008.png</v>
      </c>
      <c r="N2000" s="16" t="str">
        <f>equip.xml!P2004</f>
        <v>10000_1002_30000,30000_30001_1,30000_30002_1,30000_30003_1</v>
      </c>
      <c r="O2000">
        <f>equip.xml!R2004</f>
        <v>0</v>
      </c>
    </row>
    <row r="2001" spans="1:15">
      <c r="A2001" s="14" t="str">
        <f>equip.xml!A2005</f>
        <v>50300041</v>
      </c>
      <c r="B2001" s="14">
        <f>equip.xml!B2005</f>
        <v>1</v>
      </c>
      <c r="C2001" s="14" t="str">
        <f>equip.xml!C2005</f>
        <v>防卫者外套</v>
      </c>
      <c r="D2001" s="14" t="str">
        <f>equip.xml!D2005</f>
        <v>胸甲</v>
      </c>
      <c r="E2001" s="14">
        <f>equip.xml!E2005</f>
        <v>4</v>
      </c>
      <c r="F2001" s="14">
        <f>equip.xml!F2005</f>
        <v>5</v>
      </c>
      <c r="G2001" s="14">
        <f>equip.xml!G2005</f>
        <v>30</v>
      </c>
      <c r="H2001" s="14">
        <f>equip.xml!H2005</f>
        <v>0</v>
      </c>
      <c r="I2001" s="14">
        <f>equip.xml!J2005</f>
        <v>150</v>
      </c>
      <c r="J2001" s="14">
        <f>equip.xml!K2005</f>
        <v>1500</v>
      </c>
      <c r="K2001" s="14">
        <f>equip.xml!L2005</f>
        <v>20000</v>
      </c>
      <c r="L2001" s="14" t="str">
        <f>equip.xml!M2005</f>
        <v>105_247_247</v>
      </c>
      <c r="M2001" s="17" t="str">
        <f>equip.xml!Q2005</f>
        <v>equipment/5009.png</v>
      </c>
      <c r="N2001" s="16" t="str">
        <f>equip.xml!P2005</f>
        <v>10000_1002_30000,30000_30001_1,30000_30002_1,30000_30003_1</v>
      </c>
      <c r="O2001">
        <f>equip.xml!R2005</f>
        <v>0</v>
      </c>
    </row>
    <row r="2002" spans="1:15">
      <c r="A2002" s="14" t="str">
        <f>equip.xml!A2006</f>
        <v>50300070</v>
      </c>
      <c r="B2002" s="14">
        <f>equip.xml!B2006</f>
        <v>1</v>
      </c>
      <c r="C2002" s="14" t="str">
        <f>equip.xml!C2006</f>
        <v>游侠护腿</v>
      </c>
      <c r="D2002" s="14" t="str">
        <f>equip.xml!D2006</f>
        <v>护腿</v>
      </c>
      <c r="E2002" s="14">
        <f>equip.xml!E2006</f>
        <v>7</v>
      </c>
      <c r="F2002" s="14">
        <f>equip.xml!F2006</f>
        <v>5</v>
      </c>
      <c r="G2002" s="14">
        <f>equip.xml!G2006</f>
        <v>30</v>
      </c>
      <c r="H2002" s="14">
        <f>equip.xml!H2006</f>
        <v>0</v>
      </c>
      <c r="I2002" s="14">
        <f>equip.xml!J2006</f>
        <v>150</v>
      </c>
      <c r="J2002" s="14">
        <f>equip.xml!K2006</f>
        <v>1500</v>
      </c>
      <c r="K2002" s="14">
        <f>equip.xml!L2006</f>
        <v>17500</v>
      </c>
      <c r="L2002" s="14" t="str">
        <f>equip.xml!M2006</f>
        <v>105_216_216</v>
      </c>
      <c r="M2002" s="17" t="str">
        <f>equip.xml!Q2006</f>
        <v>equipment/7007.png</v>
      </c>
      <c r="N2002" s="16" t="str">
        <f>equip.xml!P2006</f>
        <v>10000_1002_30000,30000_30001_1,30000_30002_1,30000_30003_1</v>
      </c>
      <c r="O2002">
        <f>equip.xml!R2006</f>
        <v>0</v>
      </c>
    </row>
    <row r="2003" spans="1:15">
      <c r="A2003" s="14" t="str">
        <f>equip.xml!A2007</f>
        <v>50300071</v>
      </c>
      <c r="B2003" s="14">
        <f>equip.xml!B2007</f>
        <v>1</v>
      </c>
      <c r="C2003" s="14" t="str">
        <f>equip.xml!C2007</f>
        <v>逐风护腿</v>
      </c>
      <c r="D2003" s="14" t="str">
        <f>equip.xml!D2007</f>
        <v>护腿</v>
      </c>
      <c r="E2003" s="14">
        <f>equip.xml!E2007</f>
        <v>7</v>
      </c>
      <c r="F2003" s="14">
        <f>equip.xml!F2007</f>
        <v>5</v>
      </c>
      <c r="G2003" s="14">
        <f>equip.xml!G2007</f>
        <v>30</v>
      </c>
      <c r="H2003" s="14">
        <f>equip.xml!H2007</f>
        <v>0</v>
      </c>
      <c r="I2003" s="14">
        <f>equip.xml!J2007</f>
        <v>150</v>
      </c>
      <c r="J2003" s="14">
        <f>equip.xml!K2007</f>
        <v>1500</v>
      </c>
      <c r="K2003" s="14">
        <f>equip.xml!L2007</f>
        <v>20000</v>
      </c>
      <c r="L2003" s="14" t="str">
        <f>equip.xml!M2007</f>
        <v>105_247_247</v>
      </c>
      <c r="M2003" s="17" t="str">
        <f>equip.xml!Q2007</f>
        <v>equipment/7008.png</v>
      </c>
      <c r="N2003" s="16" t="str">
        <f>equip.xml!P2007</f>
        <v>10000_1002_30000,30000_30001_1,30000_30002_1,30000_30003_1</v>
      </c>
      <c r="O2003">
        <f>equip.xml!R2007</f>
        <v>0</v>
      </c>
    </row>
    <row r="2004" spans="1:15">
      <c r="A2004" s="14" t="str">
        <f>equip.xml!A2008</f>
        <v>50350010</v>
      </c>
      <c r="B2004" s="14">
        <f>equip.xml!B2008</f>
        <v>1</v>
      </c>
      <c r="C2004" s="14" t="str">
        <f>equip.xml!C2008</f>
        <v>镶带头盔</v>
      </c>
      <c r="D2004" s="14" t="str">
        <f>equip.xml!D2008</f>
        <v>头盔</v>
      </c>
      <c r="E2004" s="14">
        <f>equip.xml!E2008</f>
        <v>1</v>
      </c>
      <c r="F2004" s="14">
        <f>equip.xml!F2008</f>
        <v>5</v>
      </c>
      <c r="G2004" s="14">
        <f>equip.xml!G2008</f>
        <v>35</v>
      </c>
      <c r="H2004" s="14">
        <f>equip.xml!H2008</f>
        <v>0</v>
      </c>
      <c r="I2004" s="14">
        <f>equip.xml!J2008</f>
        <v>150</v>
      </c>
      <c r="J2004" s="14">
        <f>equip.xml!K2008</f>
        <v>1500</v>
      </c>
      <c r="K2004" s="14">
        <f>equip.xml!L2008</f>
        <v>20000</v>
      </c>
      <c r="L2004" s="14" t="str">
        <f>equip.xml!M2008</f>
        <v>106_596_596</v>
      </c>
      <c r="M2004" s="17" t="str">
        <f>equip.xml!Q2008</f>
        <v>equipment/3006.png</v>
      </c>
      <c r="N2004" s="16" t="str">
        <f>equip.xml!P2008</f>
        <v>10000_1002_35000,30000_30001_1,30000_30002_1,30000_30003_1</v>
      </c>
      <c r="O2004">
        <f>equip.xml!R2008</f>
        <v>0</v>
      </c>
    </row>
    <row r="2005" spans="1:15">
      <c r="A2005" s="14" t="str">
        <f>equip.xml!A2009</f>
        <v>50350020</v>
      </c>
      <c r="B2005" s="14">
        <f>equip.xml!B2009</f>
        <v>1</v>
      </c>
      <c r="C2005" s="14" t="str">
        <f>equip.xml!C2009</f>
        <v>烈焰指环</v>
      </c>
      <c r="D2005" s="14" t="str">
        <f>equip.xml!D2009</f>
        <v>戒指</v>
      </c>
      <c r="E2005" s="14">
        <f>equip.xml!E2009</f>
        <v>2</v>
      </c>
      <c r="F2005" s="14">
        <f>equip.xml!F2009</f>
        <v>5</v>
      </c>
      <c r="G2005" s="14">
        <f>equip.xml!G2009</f>
        <v>35</v>
      </c>
      <c r="H2005" s="14">
        <f>equip.xml!H2009</f>
        <v>0</v>
      </c>
      <c r="I2005" s="14">
        <f>equip.xml!J2009</f>
        <v>150</v>
      </c>
      <c r="J2005" s="14">
        <f>equip.xml!K2009</f>
        <v>1500</v>
      </c>
      <c r="K2005" s="14">
        <f>equip.xml!L2009</f>
        <v>20000</v>
      </c>
      <c r="L2005" s="14" t="str">
        <f>equip.xml!M2009</f>
        <v>102_590_590</v>
      </c>
      <c r="M2005" s="17" t="str">
        <f>equip.xml!Q2009</f>
        <v>equipment/14006.png</v>
      </c>
      <c r="N2005" s="16" t="str">
        <f>equip.xml!P2009</f>
        <v>10000_1002_35000,30000_30001_1,30000_30002_1,30000_30003_1</v>
      </c>
      <c r="O2005">
        <f>equip.xml!R2009</f>
        <v>0</v>
      </c>
    </row>
    <row r="2006" spans="1:15">
      <c r="A2006" s="14" t="str">
        <f>equip.xml!A2010</f>
        <v>50350030</v>
      </c>
      <c r="B2006" s="14">
        <f>equip.xml!B2010</f>
        <v>1</v>
      </c>
      <c r="C2006" s="14" t="str">
        <f>equip.xml!C2010</f>
        <v>斗士腰带</v>
      </c>
      <c r="D2006" s="14" t="str">
        <f>equip.xml!D2010</f>
        <v>腰带</v>
      </c>
      <c r="E2006" s="14">
        <f>equip.xml!E2010</f>
        <v>3</v>
      </c>
      <c r="F2006" s="14">
        <f>equip.xml!F2010</f>
        <v>5</v>
      </c>
      <c r="G2006" s="14">
        <f>equip.xml!G2010</f>
        <v>35</v>
      </c>
      <c r="H2006" s="14">
        <f>equip.xml!H2010</f>
        <v>0</v>
      </c>
      <c r="I2006" s="14">
        <f>equip.xml!J2010</f>
        <v>150</v>
      </c>
      <c r="J2006" s="14">
        <f>equip.xml!K2010</f>
        <v>1500</v>
      </c>
      <c r="K2006" s="14">
        <f>equip.xml!L2010</f>
        <v>20000</v>
      </c>
      <c r="L2006" s="14" t="str">
        <f>equip.xml!M2010</f>
        <v>101_4900_4900</v>
      </c>
      <c r="M2006" s="17" t="str">
        <f>equip.xml!Q2010</f>
        <v>equipment/6006.png</v>
      </c>
      <c r="N2006" s="16" t="str">
        <f>equip.xml!P2010</f>
        <v>10000_1002_35000,30000_30001_1,30000_30002_1,30000_30003_1</v>
      </c>
      <c r="O2006">
        <f>equip.xml!R2010</f>
        <v>0</v>
      </c>
    </row>
    <row r="2007" spans="1:15">
      <c r="A2007" s="14" t="str">
        <f>equip.xml!A2011</f>
        <v>50350080</v>
      </c>
      <c r="B2007" s="14">
        <f>equip.xml!B2011</f>
        <v>1</v>
      </c>
      <c r="C2007" s="14" t="str">
        <f>equip.xml!C2011</f>
        <v>混乱之靴</v>
      </c>
      <c r="D2007" s="14" t="str">
        <f>equip.xml!D2011</f>
        <v>鞋子</v>
      </c>
      <c r="E2007" s="14">
        <f>equip.xml!E2011</f>
        <v>8</v>
      </c>
      <c r="F2007" s="14">
        <f>equip.xml!F2011</f>
        <v>5</v>
      </c>
      <c r="G2007" s="14">
        <f>equip.xml!G2011</f>
        <v>35</v>
      </c>
      <c r="H2007" s="14">
        <f>equip.xml!H2011</f>
        <v>0</v>
      </c>
      <c r="I2007" s="14">
        <f>equip.xml!J2011</f>
        <v>150</v>
      </c>
      <c r="J2007" s="14">
        <f>equip.xml!K2011</f>
        <v>1500</v>
      </c>
      <c r="K2007" s="14">
        <f>equip.xml!L2011</f>
        <v>20000</v>
      </c>
      <c r="L2007" s="14" t="str">
        <f>equip.xml!M2011</f>
        <v>110_82_82</v>
      </c>
      <c r="M2007" s="17" t="str">
        <f>equip.xml!Q2011</f>
        <v>equipment/8006.png</v>
      </c>
      <c r="N2007" s="16" t="str">
        <f>equip.xml!P2011</f>
        <v>10000_1002_35000,30000_30001_1,30000_30002_1,30000_30003_1</v>
      </c>
      <c r="O2007">
        <f>equip.xml!R2011</f>
        <v>0</v>
      </c>
    </row>
    <row r="2008" spans="1:15">
      <c r="A2008" s="14" t="str">
        <f>equip.xml!A2012</f>
        <v>50350090</v>
      </c>
      <c r="B2008" s="14">
        <f>equip.xml!B2012</f>
        <v>1</v>
      </c>
      <c r="C2008" s="14" t="str">
        <f>equip.xml!C2012</f>
        <v>激励手甲</v>
      </c>
      <c r="D2008" s="14" t="str">
        <f>equip.xml!D2012</f>
        <v>手套</v>
      </c>
      <c r="E2008" s="14">
        <f>equip.xml!E2012</f>
        <v>9</v>
      </c>
      <c r="F2008" s="14">
        <f>equip.xml!F2012</f>
        <v>5</v>
      </c>
      <c r="G2008" s="14">
        <f>equip.xml!G2012</f>
        <v>35</v>
      </c>
      <c r="H2008" s="14">
        <f>equip.xml!H2012</f>
        <v>0</v>
      </c>
      <c r="I2008" s="14">
        <f>equip.xml!J2012</f>
        <v>150</v>
      </c>
      <c r="J2008" s="14">
        <f>equip.xml!K2012</f>
        <v>1500</v>
      </c>
      <c r="K2008" s="14">
        <f>equip.xml!L2012</f>
        <v>20000</v>
      </c>
      <c r="L2008" s="14" t="str">
        <f>equip.xml!M2012</f>
        <v>108_588_588</v>
      </c>
      <c r="M2008" s="17" t="str">
        <f>equip.xml!Q2012</f>
        <v>equipment/10006.png</v>
      </c>
      <c r="N2008" s="16" t="str">
        <f>equip.xml!P2012</f>
        <v>10000_1002_35000,30000_30001_1,30000_30002_1,30000_30003_1</v>
      </c>
      <c r="O2008">
        <f>equip.xml!R2012</f>
        <v>0</v>
      </c>
    </row>
    <row r="2009" spans="1:15">
      <c r="A2009" s="14" t="str">
        <f>equip.xml!A2013</f>
        <v>50350100</v>
      </c>
      <c r="B2009" s="14">
        <f>equip.xml!B2013</f>
        <v>1</v>
      </c>
      <c r="C2009" s="14" t="str">
        <f>equip.xml!C2013</f>
        <v>苍蓝挂坠</v>
      </c>
      <c r="D2009" s="14" t="str">
        <f>equip.xml!D2013</f>
        <v>项链</v>
      </c>
      <c r="E2009" s="14">
        <f>equip.xml!E2013</f>
        <v>10</v>
      </c>
      <c r="F2009" s="14">
        <f>equip.xml!F2013</f>
        <v>5</v>
      </c>
      <c r="G2009" s="14">
        <f>equip.xml!G2013</f>
        <v>35</v>
      </c>
      <c r="H2009" s="14">
        <f>equip.xml!H2013</f>
        <v>0</v>
      </c>
      <c r="I2009" s="14">
        <f>equip.xml!J2013</f>
        <v>150</v>
      </c>
      <c r="J2009" s="14">
        <f>equip.xml!K2013</f>
        <v>1500</v>
      </c>
      <c r="K2009" s="14">
        <f>equip.xml!L2013</f>
        <v>20000</v>
      </c>
      <c r="L2009" s="14" t="str">
        <f>equip.xml!M2013</f>
        <v>107_542_542</v>
      </c>
      <c r="M2009" s="17" t="str">
        <f>equip.xml!Q2013</f>
        <v>equipment/12006.png</v>
      </c>
      <c r="N2009" s="16" t="str">
        <f>equip.xml!P2013</f>
        <v>10000_1002_35000,30000_30001_1,30000_30002_1,30000_30003_1</v>
      </c>
      <c r="O2009">
        <f>equip.xml!R2013</f>
        <v>0</v>
      </c>
    </row>
    <row r="2010" spans="1:15">
      <c r="A2010" s="14" t="str">
        <f>equip.xml!A2014</f>
        <v>50351050</v>
      </c>
      <c r="B2010" s="14">
        <f>equip.xml!B2014</f>
        <v>1</v>
      </c>
      <c r="C2010" s="14" t="str">
        <f>equip.xml!C2014</f>
        <v>水晶剑</v>
      </c>
      <c r="D2010" s="14" t="str">
        <f>equip.xml!D2014</f>
        <v>主手武器</v>
      </c>
      <c r="E2010" s="14">
        <f>equip.xml!E2014</f>
        <v>5</v>
      </c>
      <c r="F2010" s="14">
        <f>equip.xml!F2014</f>
        <v>5</v>
      </c>
      <c r="G2010" s="14">
        <f>equip.xml!G2014</f>
        <v>35</v>
      </c>
      <c r="H2010" s="14" t="str">
        <f>equip.xml!H2014</f>
        <v>1,1001</v>
      </c>
      <c r="I2010" s="14">
        <f>equip.xml!J2014</f>
        <v>150</v>
      </c>
      <c r="J2010" s="14">
        <f>equip.xml!K2014</f>
        <v>1500</v>
      </c>
      <c r="K2010" s="14">
        <f>equip.xml!L2014</f>
        <v>20000</v>
      </c>
      <c r="L2010" s="14" t="str">
        <f>equip.xml!M2014</f>
        <v>103_443_443,104_886_886</v>
      </c>
      <c r="M2010" s="17" t="str">
        <f>equip.xml!Q2014</f>
        <v>equipment/1114.png</v>
      </c>
      <c r="N2010" s="16" t="str">
        <f>equip.xml!P2014</f>
        <v>10000_1002_35000,30000_30001_1,30000_30002_1,30000_30003_1</v>
      </c>
      <c r="O2010">
        <f>equip.xml!R2014</f>
        <v>0</v>
      </c>
    </row>
    <row r="2011" spans="1:15">
      <c r="A2011" s="14" t="str">
        <f>equip.xml!A2015</f>
        <v>50351051</v>
      </c>
      <c r="B2011" s="14">
        <f>equip.xml!B2015</f>
        <v>0</v>
      </c>
      <c r="C2011" s="14" t="str">
        <f>equip.xml!C2015</f>
        <v>军刀</v>
      </c>
      <c r="D2011" s="14" t="str">
        <f>equip.xml!D2015</f>
        <v>主手武器</v>
      </c>
      <c r="E2011" s="14">
        <f>equip.xml!E2015</f>
        <v>5</v>
      </c>
      <c r="F2011" s="14">
        <f>equip.xml!F2015</f>
        <v>5</v>
      </c>
      <c r="G2011" s="14">
        <f>equip.xml!G2015</f>
        <v>35</v>
      </c>
      <c r="H2011" s="14" t="str">
        <f>equip.xml!H2015</f>
        <v>1,1001</v>
      </c>
      <c r="I2011" s="14">
        <f>equip.xml!J2015</f>
        <v>150</v>
      </c>
      <c r="J2011" s="14">
        <f>equip.xml!K2015</f>
        <v>1500</v>
      </c>
      <c r="K2011" s="14">
        <f>equip.xml!L2015</f>
        <v>22500</v>
      </c>
      <c r="L2011" s="14" t="str">
        <f>equip.xml!M2015</f>
        <v>103_533_533,104_1066_1066</v>
      </c>
      <c r="M2011" s="17" t="str">
        <f>equip.xml!Q2015</f>
        <v>equipment/1101.png</v>
      </c>
      <c r="N2011" s="16" t="str">
        <f>equip.xml!P2015</f>
        <v>10000_1002_35000,30000_30001_1,30000_30002_1,30000_30003_1</v>
      </c>
      <c r="O2011">
        <f>equip.xml!R2015</f>
        <v>0</v>
      </c>
    </row>
    <row r="2012" spans="1:15">
      <c r="A2012" s="14" t="str">
        <f>equip.xml!A2016</f>
        <v>50351060</v>
      </c>
      <c r="B2012" s="14">
        <f>equip.xml!B2016</f>
        <v>1</v>
      </c>
      <c r="C2012" s="14" t="str">
        <f>equip.xml!C2016</f>
        <v>符记盾牌</v>
      </c>
      <c r="D2012" s="14" t="str">
        <f>equip.xml!D2016</f>
        <v>副手武器</v>
      </c>
      <c r="E2012" s="14">
        <f>equip.xml!E2016</f>
        <v>6</v>
      </c>
      <c r="F2012" s="14">
        <f>equip.xml!F2016</f>
        <v>5</v>
      </c>
      <c r="G2012" s="14">
        <f>equip.xml!G2016</f>
        <v>35</v>
      </c>
      <c r="H2012" s="14" t="str">
        <f>equip.xml!H2016</f>
        <v>1,1001</v>
      </c>
      <c r="I2012" s="14">
        <f>equip.xml!J2016</f>
        <v>150</v>
      </c>
      <c r="J2012" s="14">
        <f>equip.xml!K2016</f>
        <v>1500</v>
      </c>
      <c r="K2012" s="14">
        <f>equip.xml!L2016</f>
        <v>20000</v>
      </c>
      <c r="L2012" s="14" t="str">
        <f>equip.xml!M2016</f>
        <v>105_676_676</v>
      </c>
      <c r="M2012" s="17" t="str">
        <f>equip.xml!Q2016</f>
        <v>equipment/2108.png</v>
      </c>
      <c r="N2012" s="16" t="str">
        <f>equip.xml!P2016</f>
        <v>10000_1002_35000,30000_30001_1,30000_30002_1,30000_30003_1</v>
      </c>
      <c r="O2012">
        <f>equip.xml!R2016</f>
        <v>0</v>
      </c>
    </row>
    <row r="2013" spans="1:15">
      <c r="A2013" s="14" t="str">
        <f>equip.xml!A2017</f>
        <v>50351061</v>
      </c>
      <c r="B2013" s="14">
        <f>equip.xml!B2017</f>
        <v>1</v>
      </c>
      <c r="C2013" s="14" t="str">
        <f>equip.xml!C2017</f>
        <v>秩序盾牌</v>
      </c>
      <c r="D2013" s="14" t="str">
        <f>equip.xml!D2017</f>
        <v>副手武器</v>
      </c>
      <c r="E2013" s="14">
        <f>equip.xml!E2017</f>
        <v>6</v>
      </c>
      <c r="F2013" s="14">
        <f>equip.xml!F2017</f>
        <v>5</v>
      </c>
      <c r="G2013" s="14">
        <f>equip.xml!G2017</f>
        <v>35</v>
      </c>
      <c r="H2013" s="14" t="str">
        <f>equip.xml!H2017</f>
        <v>1,1001</v>
      </c>
      <c r="I2013" s="14">
        <f>equip.xml!J2017</f>
        <v>150</v>
      </c>
      <c r="J2013" s="14">
        <f>equip.xml!K2017</f>
        <v>1500</v>
      </c>
      <c r="K2013" s="14">
        <f>equip.xml!L2017</f>
        <v>22500</v>
      </c>
      <c r="L2013" s="14" t="str">
        <f>equip.xml!M2017</f>
        <v>105_758_758</v>
      </c>
      <c r="M2013" s="17" t="str">
        <f>equip.xml!Q2017</f>
        <v>equipment/2117.png</v>
      </c>
      <c r="N2013" s="16" t="str">
        <f>equip.xml!P2017</f>
        <v>10000_1002_35000,30000_30001_1,30000_30002_1,30000_30003_1</v>
      </c>
      <c r="O2013">
        <f>equip.xml!R2017</f>
        <v>0</v>
      </c>
    </row>
    <row r="2014" spans="1:15">
      <c r="A2014" s="14" t="str">
        <f>equip.xml!A2018</f>
        <v>50352050</v>
      </c>
      <c r="B2014" s="14">
        <f>equip.xml!B2018</f>
        <v>1</v>
      </c>
      <c r="C2014" s="14" t="str">
        <f>equip.xml!C2018</f>
        <v>风语者弯弓</v>
      </c>
      <c r="D2014" s="14" t="str">
        <f>equip.xml!D2018</f>
        <v>主手武器</v>
      </c>
      <c r="E2014" s="14">
        <f>equip.xml!E2018</f>
        <v>5</v>
      </c>
      <c r="F2014" s="14">
        <f>equip.xml!F2018</f>
        <v>5</v>
      </c>
      <c r="G2014" s="14">
        <f>equip.xml!G2018</f>
        <v>35</v>
      </c>
      <c r="H2014" s="14" t="str">
        <f>equip.xml!H2018</f>
        <v>2,1002</v>
      </c>
      <c r="I2014" s="14">
        <f>equip.xml!J2018</f>
        <v>150</v>
      </c>
      <c r="J2014" s="14">
        <f>equip.xml!K2018</f>
        <v>1500</v>
      </c>
      <c r="K2014" s="14">
        <f>equip.xml!L2018</f>
        <v>20000</v>
      </c>
      <c r="L2014" s="14" t="str">
        <f>equip.xml!M2018</f>
        <v>103_443_443,104_886_886</v>
      </c>
      <c r="M2014" s="17" t="str">
        <f>equip.xml!Q2018</f>
        <v>equipment/1213.png</v>
      </c>
      <c r="N2014" s="16" t="str">
        <f>equip.xml!P2018</f>
        <v>10000_1002_35000,30000_30001_1,30000_30002_1,30000_30003_1</v>
      </c>
      <c r="O2014">
        <f>equip.xml!R2018</f>
        <v>0</v>
      </c>
    </row>
    <row r="2015" spans="1:15">
      <c r="A2015" s="14" t="str">
        <f>equip.xml!A2019</f>
        <v>50352051</v>
      </c>
      <c r="B2015" s="14">
        <f>equip.xml!B2019</f>
        <v>0</v>
      </c>
      <c r="C2015" s="14" t="str">
        <f>equip.xml!C2019</f>
        <v>棘木弓</v>
      </c>
      <c r="D2015" s="14" t="str">
        <f>equip.xml!D2019</f>
        <v>主手武器</v>
      </c>
      <c r="E2015" s="14">
        <f>equip.xml!E2019</f>
        <v>5</v>
      </c>
      <c r="F2015" s="14">
        <f>equip.xml!F2019</f>
        <v>5</v>
      </c>
      <c r="G2015" s="14">
        <f>equip.xml!G2019</f>
        <v>35</v>
      </c>
      <c r="H2015" s="14" t="str">
        <f>equip.xml!H2019</f>
        <v>2,1002</v>
      </c>
      <c r="I2015" s="14">
        <f>equip.xml!J2019</f>
        <v>150</v>
      </c>
      <c r="J2015" s="14">
        <f>equip.xml!K2019</f>
        <v>1500</v>
      </c>
      <c r="K2015" s="14">
        <f>equip.xml!L2019</f>
        <v>22500</v>
      </c>
      <c r="L2015" s="14" t="str">
        <f>equip.xml!M2019</f>
        <v>103_533_533,104_1066_1066</v>
      </c>
      <c r="M2015" s="17" t="str">
        <f>equip.xml!Q2019</f>
        <v>equipment/1201.png</v>
      </c>
      <c r="N2015" s="16" t="str">
        <f>equip.xml!P2019</f>
        <v>10000_1002_35000,30000_30001_1,30000_30002_1,30000_30003_1</v>
      </c>
      <c r="O2015">
        <f>equip.xml!R2019</f>
        <v>0</v>
      </c>
    </row>
    <row r="2016" spans="1:15">
      <c r="A2016" s="14" t="str">
        <f>equip.xml!A2020</f>
        <v>50352060</v>
      </c>
      <c r="B2016" s="14">
        <f>equip.xml!B2020</f>
        <v>1</v>
      </c>
      <c r="C2016" s="14" t="str">
        <f>equip.xml!C2020</f>
        <v>游侠箭筒</v>
      </c>
      <c r="D2016" s="14" t="str">
        <f>equip.xml!D2020</f>
        <v>副手武器</v>
      </c>
      <c r="E2016" s="14">
        <f>equip.xml!E2020</f>
        <v>6</v>
      </c>
      <c r="F2016" s="14">
        <f>equip.xml!F2020</f>
        <v>5</v>
      </c>
      <c r="G2016" s="14">
        <f>equip.xml!G2020</f>
        <v>35</v>
      </c>
      <c r="H2016" s="14" t="str">
        <f>equip.xml!H2020</f>
        <v>2,1002</v>
      </c>
      <c r="I2016" s="14">
        <f>equip.xml!J2020</f>
        <v>150</v>
      </c>
      <c r="J2016" s="14">
        <f>equip.xml!K2020</f>
        <v>1500</v>
      </c>
      <c r="K2016" s="14">
        <f>equip.xml!L2020</f>
        <v>20000</v>
      </c>
      <c r="L2016" s="14" t="str">
        <f>equip.xml!M2020</f>
        <v>108_676_676</v>
      </c>
      <c r="M2016" s="17" t="str">
        <f>equip.xml!Q2020</f>
        <v>equipment/2208.png</v>
      </c>
      <c r="N2016" s="16" t="str">
        <f>equip.xml!P2020</f>
        <v>10000_1002_35000,30000_30001_1,30000_30002_1,30000_30003_1</v>
      </c>
      <c r="O2016">
        <f>equip.xml!R2020</f>
        <v>0</v>
      </c>
    </row>
    <row r="2017" spans="1:15">
      <c r="A2017" s="14" t="str">
        <f>equip.xml!A2021</f>
        <v>50352061</v>
      </c>
      <c r="B2017" s="14">
        <f>equip.xml!B2021</f>
        <v>1</v>
      </c>
      <c r="C2017" s="14" t="str">
        <f>equip.xml!C2021</f>
        <v>风行者箭筒</v>
      </c>
      <c r="D2017" s="14" t="str">
        <f>equip.xml!D2021</f>
        <v>副手武器</v>
      </c>
      <c r="E2017" s="14">
        <f>equip.xml!E2021</f>
        <v>6</v>
      </c>
      <c r="F2017" s="14">
        <f>equip.xml!F2021</f>
        <v>5</v>
      </c>
      <c r="G2017" s="14">
        <f>equip.xml!G2021</f>
        <v>35</v>
      </c>
      <c r="H2017" s="14" t="str">
        <f>equip.xml!H2021</f>
        <v>2,1002</v>
      </c>
      <c r="I2017" s="14">
        <f>equip.xml!J2021</f>
        <v>150</v>
      </c>
      <c r="J2017" s="14">
        <f>equip.xml!K2021</f>
        <v>1500</v>
      </c>
      <c r="K2017" s="14">
        <f>equip.xml!L2021</f>
        <v>22500</v>
      </c>
      <c r="L2017" s="14" t="str">
        <f>equip.xml!M2021</f>
        <v>108_758_758</v>
      </c>
      <c r="M2017" s="17" t="str">
        <f>equip.xml!Q2021</f>
        <v>equipment/2201.png</v>
      </c>
      <c r="N2017" s="16" t="str">
        <f>equip.xml!P2021</f>
        <v>10000_1002_35000,30000_30001_1,30000_30002_1,30000_30003_1</v>
      </c>
      <c r="O2017">
        <f>equip.xml!R2021</f>
        <v>0</v>
      </c>
    </row>
    <row r="2018" spans="1:15">
      <c r="A2018" s="14" t="str">
        <f>equip.xml!A2022</f>
        <v>50353050</v>
      </c>
      <c r="B2018" s="14">
        <f>equip.xml!B2022</f>
        <v>1</v>
      </c>
      <c r="C2018" s="14" t="str">
        <f>equip.xml!C2022</f>
        <v>聚能之杖</v>
      </c>
      <c r="D2018" s="14" t="str">
        <f>equip.xml!D2022</f>
        <v>主手武器</v>
      </c>
      <c r="E2018" s="14">
        <f>equip.xml!E2022</f>
        <v>5</v>
      </c>
      <c r="F2018" s="14">
        <f>equip.xml!F2022</f>
        <v>5</v>
      </c>
      <c r="G2018" s="14">
        <f>equip.xml!G2022</f>
        <v>35</v>
      </c>
      <c r="H2018" s="14" t="str">
        <f>equip.xml!H2022</f>
        <v>3,1003</v>
      </c>
      <c r="I2018" s="14">
        <f>equip.xml!J2022</f>
        <v>150</v>
      </c>
      <c r="J2018" s="14">
        <f>equip.xml!K2022</f>
        <v>1500</v>
      </c>
      <c r="K2018" s="14">
        <f>equip.xml!L2022</f>
        <v>20000</v>
      </c>
      <c r="L2018" s="14" t="str">
        <f>equip.xml!M2022</f>
        <v>103_443_443,104_886_886</v>
      </c>
      <c r="M2018" s="17" t="str">
        <f>equip.xml!Q2022</f>
        <v>equipment/1314.png</v>
      </c>
      <c r="N2018" s="16" t="str">
        <f>equip.xml!P2022</f>
        <v>10000_1002_35000,30000_30001_1,30000_30002_1,30000_30003_1</v>
      </c>
      <c r="O2018">
        <f>equip.xml!R2022</f>
        <v>0</v>
      </c>
    </row>
    <row r="2019" spans="1:15">
      <c r="A2019" s="14" t="str">
        <f>equip.xml!A2023</f>
        <v>50353051</v>
      </c>
      <c r="B2019" s="14">
        <f>equip.xml!B2023</f>
        <v>0</v>
      </c>
      <c r="C2019" s="14" t="str">
        <f>equip.xml!C2023</f>
        <v>学徒法杖</v>
      </c>
      <c r="D2019" s="14" t="str">
        <f>equip.xml!D2023</f>
        <v>主手武器</v>
      </c>
      <c r="E2019" s="14">
        <f>equip.xml!E2023</f>
        <v>5</v>
      </c>
      <c r="F2019" s="14">
        <f>equip.xml!F2023</f>
        <v>5</v>
      </c>
      <c r="G2019" s="14">
        <f>equip.xml!G2023</f>
        <v>35</v>
      </c>
      <c r="H2019" s="14" t="str">
        <f>equip.xml!H2023</f>
        <v>3,1003</v>
      </c>
      <c r="I2019" s="14">
        <f>equip.xml!J2023</f>
        <v>150</v>
      </c>
      <c r="J2019" s="14">
        <f>equip.xml!K2023</f>
        <v>1500</v>
      </c>
      <c r="K2019" s="14">
        <f>equip.xml!L2023</f>
        <v>22500</v>
      </c>
      <c r="L2019" s="14" t="str">
        <f>equip.xml!M2023</f>
        <v>103_533_533,104_1066_1066</v>
      </c>
      <c r="M2019" s="17" t="str">
        <f>equip.xml!Q2023</f>
        <v>equipment/1301.png</v>
      </c>
      <c r="N2019" s="16" t="str">
        <f>equip.xml!P2023</f>
        <v>10000_1002_35000,30000_30001_1,30000_30002_1,30000_30003_1</v>
      </c>
      <c r="O2019">
        <f>equip.xml!R2023</f>
        <v>0</v>
      </c>
    </row>
    <row r="2020" spans="1:15">
      <c r="A2020" s="14" t="str">
        <f>equip.xml!A2024</f>
        <v>50353060</v>
      </c>
      <c r="B2020" s="14">
        <f>equip.xml!B2024</f>
        <v>1</v>
      </c>
      <c r="C2020" s="14" t="str">
        <f>equip.xml!C2024</f>
        <v>召唤魔典</v>
      </c>
      <c r="D2020" s="14" t="str">
        <f>equip.xml!D2024</f>
        <v>副手武器</v>
      </c>
      <c r="E2020" s="14">
        <f>equip.xml!E2024</f>
        <v>6</v>
      </c>
      <c r="F2020" s="14">
        <f>equip.xml!F2024</f>
        <v>5</v>
      </c>
      <c r="G2020" s="14">
        <f>equip.xml!G2024</f>
        <v>35</v>
      </c>
      <c r="H2020" s="14" t="str">
        <f>equip.xml!H2024</f>
        <v>3,1003</v>
      </c>
      <c r="I2020" s="14">
        <f>equip.xml!J2024</f>
        <v>150</v>
      </c>
      <c r="J2020" s="14">
        <f>equip.xml!K2024</f>
        <v>1500</v>
      </c>
      <c r="K2020" s="14">
        <f>equip.xml!L2024</f>
        <v>20000</v>
      </c>
      <c r="L2020" s="14" t="str">
        <f>equip.xml!M2024</f>
        <v>102_1040_1040</v>
      </c>
      <c r="M2020" s="17" t="str">
        <f>equip.xml!Q2024</f>
        <v>equipment/2308.png</v>
      </c>
      <c r="N2020" s="16" t="str">
        <f>equip.xml!P2024</f>
        <v>10000_1002_35000,30000_30001_1,30000_30002_1,30000_30003_1</v>
      </c>
      <c r="O2020">
        <f>equip.xml!R2024</f>
        <v>0</v>
      </c>
    </row>
    <row r="2021" spans="1:15">
      <c r="A2021" s="14" t="str">
        <f>equip.xml!A2025</f>
        <v>50353061</v>
      </c>
      <c r="B2021" s="14">
        <f>equip.xml!B2025</f>
        <v>1</v>
      </c>
      <c r="C2021" s="14" t="str">
        <f>equip.xml!C2025</f>
        <v>大法师之书</v>
      </c>
      <c r="D2021" s="14" t="str">
        <f>equip.xml!D2025</f>
        <v>副手武器</v>
      </c>
      <c r="E2021" s="14">
        <f>equip.xml!E2025</f>
        <v>6</v>
      </c>
      <c r="F2021" s="14">
        <f>equip.xml!F2025</f>
        <v>5</v>
      </c>
      <c r="G2021" s="14">
        <f>equip.xml!G2025</f>
        <v>35</v>
      </c>
      <c r="H2021" s="14" t="str">
        <f>equip.xml!H2025</f>
        <v>3,1003</v>
      </c>
      <c r="I2021" s="14">
        <f>equip.xml!J2025</f>
        <v>150</v>
      </c>
      <c r="J2021" s="14">
        <f>equip.xml!K2025</f>
        <v>1500</v>
      </c>
      <c r="K2021" s="14">
        <f>equip.xml!L2025</f>
        <v>22500</v>
      </c>
      <c r="L2021" s="14" t="str">
        <f>equip.xml!M2025</f>
        <v>102_1120_1120</v>
      </c>
      <c r="M2021" s="17" t="str">
        <f>equip.xml!Q2025</f>
        <v>equipment/2314.png</v>
      </c>
      <c r="N2021" s="16" t="str">
        <f>equip.xml!P2025</f>
        <v>10000_1002_35000,30000_30001_1,30000_30002_1,30000_30003_1</v>
      </c>
      <c r="O2021">
        <f>equip.xml!R2025</f>
        <v>0</v>
      </c>
    </row>
    <row r="2022" spans="1:15">
      <c r="A2022" s="14" t="str">
        <f>equip.xml!A2026</f>
        <v>50350040</v>
      </c>
      <c r="B2022" s="14">
        <f>equip.xml!B2026</f>
        <v>1</v>
      </c>
      <c r="C2022" s="14" t="str">
        <f>equip.xml!C2026</f>
        <v>蛮兽胸甲</v>
      </c>
      <c r="D2022" s="14" t="str">
        <f>equip.xml!D2026</f>
        <v>胸甲</v>
      </c>
      <c r="E2022" s="14">
        <f>equip.xml!E2026</f>
        <v>4</v>
      </c>
      <c r="F2022" s="14">
        <f>equip.xml!F2026</f>
        <v>5</v>
      </c>
      <c r="G2022" s="14">
        <f>equip.xml!G2026</f>
        <v>35</v>
      </c>
      <c r="H2022" s="14">
        <f>equip.xml!H2026</f>
        <v>0</v>
      </c>
      <c r="I2022" s="14">
        <f>equip.xml!J2026</f>
        <v>150</v>
      </c>
      <c r="J2022" s="14">
        <f>equip.xml!K2026</f>
        <v>1500</v>
      </c>
      <c r="K2022" s="14">
        <f>equip.xml!L2026</f>
        <v>20000</v>
      </c>
      <c r="L2022" s="14" t="str">
        <f>equip.xml!M2026</f>
        <v>105_293_293</v>
      </c>
      <c r="M2022" s="17" t="str">
        <f>equip.xml!Q2026</f>
        <v>equipment/5011.png</v>
      </c>
      <c r="N2022" s="16" t="str">
        <f>equip.xml!P2026</f>
        <v>10000_1002_35000,30000_30001_1,30000_30002_1,30000_30003_1</v>
      </c>
      <c r="O2022">
        <f>equip.xml!R2026</f>
        <v>0</v>
      </c>
    </row>
    <row r="2023" spans="1:15">
      <c r="A2023" s="14" t="str">
        <f>equip.xml!A2027</f>
        <v>50350041</v>
      </c>
      <c r="B2023" s="14">
        <f>equip.xml!B2027</f>
        <v>1</v>
      </c>
      <c r="C2023" s="14" t="str">
        <f>equip.xml!C2027</f>
        <v>魔鳞外衣</v>
      </c>
      <c r="D2023" s="14" t="str">
        <f>equip.xml!D2027</f>
        <v>胸甲</v>
      </c>
      <c r="E2023" s="14">
        <f>equip.xml!E2027</f>
        <v>4</v>
      </c>
      <c r="F2023" s="14">
        <f>equip.xml!F2027</f>
        <v>5</v>
      </c>
      <c r="G2023" s="14">
        <f>equip.xml!G2027</f>
        <v>35</v>
      </c>
      <c r="H2023" s="14">
        <f>equip.xml!H2027</f>
        <v>0</v>
      </c>
      <c r="I2023" s="14">
        <f>equip.xml!J2027</f>
        <v>150</v>
      </c>
      <c r="J2023" s="14">
        <f>equip.xml!K2027</f>
        <v>1500</v>
      </c>
      <c r="K2023" s="14">
        <f>equip.xml!L2027</f>
        <v>22500</v>
      </c>
      <c r="L2023" s="14" t="str">
        <f>equip.xml!M2027</f>
        <v>105_375_375</v>
      </c>
      <c r="M2023" s="17" t="str">
        <f>equip.xml!Q2027</f>
        <v>equipment/5001.png</v>
      </c>
      <c r="N2023" s="16" t="str">
        <f>equip.xml!P2027</f>
        <v>10000_1002_35000,30000_30001_1,30000_30002_1,30000_30003_1</v>
      </c>
      <c r="O2023">
        <f>equip.xml!R2027</f>
        <v>0</v>
      </c>
    </row>
    <row r="2024" spans="1:15">
      <c r="A2024" s="14" t="str">
        <f>equip.xml!A2028</f>
        <v>50350070</v>
      </c>
      <c r="B2024" s="14">
        <f>equip.xml!B2028</f>
        <v>1</v>
      </c>
      <c r="C2024" s="14" t="str">
        <f>equip.xml!C2028</f>
        <v>残忍腿甲</v>
      </c>
      <c r="D2024" s="14" t="str">
        <f>equip.xml!D2028</f>
        <v>护腿</v>
      </c>
      <c r="E2024" s="14">
        <f>equip.xml!E2028</f>
        <v>7</v>
      </c>
      <c r="F2024" s="14">
        <f>equip.xml!F2028</f>
        <v>5</v>
      </c>
      <c r="G2024" s="14">
        <f>equip.xml!G2028</f>
        <v>35</v>
      </c>
      <c r="H2024" s="14">
        <f>equip.xml!H2028</f>
        <v>0</v>
      </c>
      <c r="I2024" s="14">
        <f>equip.xml!J2028</f>
        <v>150</v>
      </c>
      <c r="J2024" s="14">
        <f>equip.xml!K2028</f>
        <v>1500</v>
      </c>
      <c r="K2024" s="14">
        <f>equip.xml!L2028</f>
        <v>20000</v>
      </c>
      <c r="L2024" s="14" t="str">
        <f>equip.xml!M2028</f>
        <v>105_293_293</v>
      </c>
      <c r="M2024" s="17" t="str">
        <f>equip.xml!Q2028</f>
        <v>equipment/7008.png</v>
      </c>
      <c r="N2024" s="16" t="str">
        <f>equip.xml!P2028</f>
        <v>10000_1002_35000,30000_30001_1,30000_30002_1,30000_30003_1</v>
      </c>
      <c r="O2024">
        <f>equip.xml!R2028</f>
        <v>0</v>
      </c>
    </row>
    <row r="2025" spans="1:15">
      <c r="A2025" s="14" t="str">
        <f>equip.xml!A2029</f>
        <v>50350071</v>
      </c>
      <c r="B2025" s="14">
        <f>equip.xml!B2029</f>
        <v>0</v>
      </c>
      <c r="C2025" s="14" t="str">
        <f>equip.xml!C2029</f>
        <v>学徒短裤</v>
      </c>
      <c r="D2025" s="14" t="str">
        <f>equip.xml!D2029</f>
        <v>护腿</v>
      </c>
      <c r="E2025" s="14">
        <f>equip.xml!E2029</f>
        <v>7</v>
      </c>
      <c r="F2025" s="14">
        <f>equip.xml!F2029</f>
        <v>5</v>
      </c>
      <c r="G2025" s="14">
        <f>equip.xml!G2029</f>
        <v>35</v>
      </c>
      <c r="H2025" s="14">
        <f>equip.xml!H2029</f>
        <v>0</v>
      </c>
      <c r="I2025" s="14">
        <f>equip.xml!J2029</f>
        <v>150</v>
      </c>
      <c r="J2025" s="14">
        <f>equip.xml!K2029</f>
        <v>1500</v>
      </c>
      <c r="K2025" s="14">
        <f>equip.xml!L2029</f>
        <v>22500</v>
      </c>
      <c r="L2025" s="14" t="str">
        <f>equip.xml!M2029</f>
        <v>105_331_331</v>
      </c>
      <c r="M2025" s="17" t="str">
        <f>equip.xml!Q2029</f>
        <v>equipment/7001.png</v>
      </c>
      <c r="N2025" s="16" t="str">
        <f>equip.xml!P2029</f>
        <v>10000_1002_35000,30000_30001_1,30000_30002_1,30000_30003_1</v>
      </c>
      <c r="O2025">
        <f>equip.xml!R2029</f>
        <v>0</v>
      </c>
    </row>
    <row r="2026" spans="1:15">
      <c r="A2026" s="14" t="str">
        <f>equip.xml!A2030</f>
        <v>50400010</v>
      </c>
      <c r="B2026" s="14">
        <f>equip.xml!B2030</f>
        <v>1</v>
      </c>
      <c r="C2026" s="14" t="str">
        <f>equip.xml!C2030</f>
        <v>烈焰头罩</v>
      </c>
      <c r="D2026" s="14" t="str">
        <f>equip.xml!D2030</f>
        <v>头盔</v>
      </c>
      <c r="E2026" s="14">
        <f>equip.xml!E2030</f>
        <v>1</v>
      </c>
      <c r="F2026" s="14">
        <f>equip.xml!F2030</f>
        <v>5</v>
      </c>
      <c r="G2026" s="14">
        <f>equip.xml!G2030</f>
        <v>40</v>
      </c>
      <c r="H2026" s="14">
        <f>equip.xml!H2030</f>
        <v>0</v>
      </c>
      <c r="I2026" s="14">
        <f>equip.xml!J2030</f>
        <v>150</v>
      </c>
      <c r="J2026" s="14">
        <f>equip.xml!K2030</f>
        <v>1500</v>
      </c>
      <c r="K2026" s="14">
        <f>equip.xml!L2030</f>
        <v>22500</v>
      </c>
      <c r="L2026" s="14" t="str">
        <f>equip.xml!M2030</f>
        <v>106_751_751</v>
      </c>
      <c r="M2026" s="17" t="str">
        <f>equip.xml!Q2030</f>
        <v>equipment/3007.png</v>
      </c>
      <c r="N2026" s="16" t="str">
        <f>equip.xml!P2030</f>
        <v>10000_1002_40000,30000_30001_1,30000_30002_1,30000_30003_1</v>
      </c>
      <c r="O2026">
        <f>equip.xml!R2030</f>
        <v>0</v>
      </c>
    </row>
    <row r="2027" spans="1:15">
      <c r="A2027" s="14" t="str">
        <f>equip.xml!A2031</f>
        <v>50400020</v>
      </c>
      <c r="B2027" s="14">
        <f>equip.xml!B2031</f>
        <v>1</v>
      </c>
      <c r="C2027" s="14" t="str">
        <f>equip.xml!C2031</f>
        <v>龙纹戒指</v>
      </c>
      <c r="D2027" s="14" t="str">
        <f>equip.xml!D2031</f>
        <v>戒指</v>
      </c>
      <c r="E2027" s="14">
        <f>equip.xml!E2031</f>
        <v>2</v>
      </c>
      <c r="F2027" s="14">
        <f>equip.xml!F2031</f>
        <v>5</v>
      </c>
      <c r="G2027" s="14">
        <f>equip.xml!G2031</f>
        <v>40</v>
      </c>
      <c r="H2027" s="14">
        <f>equip.xml!H2031</f>
        <v>0</v>
      </c>
      <c r="I2027" s="14">
        <f>equip.xml!J2031</f>
        <v>150</v>
      </c>
      <c r="J2027" s="14">
        <f>equip.xml!K2031</f>
        <v>1500</v>
      </c>
      <c r="K2027" s="14">
        <f>equip.xml!L2031</f>
        <v>22500</v>
      </c>
      <c r="L2027" s="14" t="str">
        <f>equip.xml!M2031</f>
        <v>102_740_740</v>
      </c>
      <c r="M2027" s="17" t="str">
        <f>equip.xml!Q2031</f>
        <v>equipment/14007.png</v>
      </c>
      <c r="N2027" s="16" t="str">
        <f>equip.xml!P2031</f>
        <v>10000_1002_40000,30000_30001_1,30000_30002_1,30000_30003_1</v>
      </c>
      <c r="O2027">
        <f>equip.xml!R2031</f>
        <v>0</v>
      </c>
    </row>
    <row r="2028" spans="1:15">
      <c r="A2028" s="14" t="str">
        <f>equip.xml!A2032</f>
        <v>50400030</v>
      </c>
      <c r="B2028" s="14">
        <f>equip.xml!B2032</f>
        <v>1</v>
      </c>
      <c r="C2028" s="14" t="str">
        <f>equip.xml!C2032</f>
        <v>力量腰带</v>
      </c>
      <c r="D2028" s="14" t="str">
        <f>equip.xml!D2032</f>
        <v>腰带</v>
      </c>
      <c r="E2028" s="14">
        <f>equip.xml!E2032</f>
        <v>3</v>
      </c>
      <c r="F2028" s="14">
        <f>equip.xml!F2032</f>
        <v>5</v>
      </c>
      <c r="G2028" s="14">
        <f>equip.xml!G2032</f>
        <v>40</v>
      </c>
      <c r="H2028" s="14">
        <f>equip.xml!H2032</f>
        <v>0</v>
      </c>
      <c r="I2028" s="14">
        <f>equip.xml!J2032</f>
        <v>150</v>
      </c>
      <c r="J2028" s="14">
        <f>equip.xml!K2032</f>
        <v>1500</v>
      </c>
      <c r="K2028" s="14">
        <f>equip.xml!L2032</f>
        <v>22500</v>
      </c>
      <c r="L2028" s="14" t="str">
        <f>equip.xml!M2032</f>
        <v>101_6720_6720</v>
      </c>
      <c r="M2028" s="17" t="str">
        <f>equip.xml!Q2032</f>
        <v>equipment/6007.png</v>
      </c>
      <c r="N2028" s="16" t="str">
        <f>equip.xml!P2032</f>
        <v>10000_1002_40000,30000_30001_1,30000_30002_1,30000_30003_1</v>
      </c>
      <c r="O2028">
        <f>equip.xml!R2032</f>
        <v>0</v>
      </c>
    </row>
    <row r="2029" spans="1:15">
      <c r="A2029" s="14" t="str">
        <f>equip.xml!A2033</f>
        <v>50400080</v>
      </c>
      <c r="B2029" s="14">
        <f>equip.xml!B2033</f>
        <v>1</v>
      </c>
      <c r="C2029" s="14" t="str">
        <f>equip.xml!C2033</f>
        <v>征战之靴</v>
      </c>
      <c r="D2029" s="14" t="str">
        <f>equip.xml!D2033</f>
        <v>鞋子</v>
      </c>
      <c r="E2029" s="14">
        <f>equip.xml!E2033</f>
        <v>8</v>
      </c>
      <c r="F2029" s="14">
        <f>equip.xml!F2033</f>
        <v>5</v>
      </c>
      <c r="G2029" s="14">
        <f>equip.xml!G2033</f>
        <v>40</v>
      </c>
      <c r="H2029" s="14">
        <f>equip.xml!H2033</f>
        <v>0</v>
      </c>
      <c r="I2029" s="14">
        <f>equip.xml!J2033</f>
        <v>150</v>
      </c>
      <c r="J2029" s="14">
        <f>equip.xml!K2033</f>
        <v>1500</v>
      </c>
      <c r="K2029" s="14">
        <f>equip.xml!L2033</f>
        <v>22500</v>
      </c>
      <c r="L2029" s="14" t="str">
        <f>equip.xml!M2033</f>
        <v>110_108_108</v>
      </c>
      <c r="M2029" s="17" t="str">
        <f>equip.xml!Q2033</f>
        <v>equipment/8007.png</v>
      </c>
      <c r="N2029" s="16" t="str">
        <f>equip.xml!P2033</f>
        <v>10000_1002_40000,30000_30001_1,30000_30002_1,30000_30003_1</v>
      </c>
      <c r="O2029">
        <f>equip.xml!R2033</f>
        <v>0</v>
      </c>
    </row>
    <row r="2030" spans="1:15">
      <c r="A2030" s="14" t="str">
        <f>equip.xml!A2034</f>
        <v>50400090</v>
      </c>
      <c r="B2030" s="14">
        <f>equip.xml!B2034</f>
        <v>1</v>
      </c>
      <c r="C2030" s="14" t="str">
        <f>equip.xml!C2034</f>
        <v>重拳手套</v>
      </c>
      <c r="D2030" s="14" t="str">
        <f>equip.xml!D2034</f>
        <v>手套</v>
      </c>
      <c r="E2030" s="14">
        <f>equip.xml!E2034</f>
        <v>9</v>
      </c>
      <c r="F2030" s="14">
        <f>equip.xml!F2034</f>
        <v>5</v>
      </c>
      <c r="G2030" s="14">
        <f>equip.xml!G2034</f>
        <v>40</v>
      </c>
      <c r="H2030" s="14">
        <f>equip.xml!H2034</f>
        <v>0</v>
      </c>
      <c r="I2030" s="14">
        <f>equip.xml!J2034</f>
        <v>150</v>
      </c>
      <c r="J2030" s="14">
        <f>equip.xml!K2034</f>
        <v>1500</v>
      </c>
      <c r="K2030" s="14">
        <f>equip.xml!L2034</f>
        <v>22500</v>
      </c>
      <c r="L2030" s="14" t="str">
        <f>equip.xml!M2034</f>
        <v>108_880_880</v>
      </c>
      <c r="M2030" s="17" t="str">
        <f>equip.xml!Q2034</f>
        <v>equipment/10007.png</v>
      </c>
      <c r="N2030" s="16" t="str">
        <f>equip.xml!P2034</f>
        <v>10000_1002_40000,30000_30001_1,30000_30002_1,30000_30003_1</v>
      </c>
      <c r="O2030">
        <f>equip.xml!R2034</f>
        <v>0</v>
      </c>
    </row>
    <row r="2031" spans="1:15">
      <c r="A2031" s="14" t="str">
        <f>equip.xml!A2035</f>
        <v>50400100</v>
      </c>
      <c r="B2031" s="14">
        <f>equip.xml!B2035</f>
        <v>1</v>
      </c>
      <c r="C2031" s="14" t="str">
        <f>equip.xml!C2035</f>
        <v>迅捷项链</v>
      </c>
      <c r="D2031" s="14" t="str">
        <f>equip.xml!D2035</f>
        <v>项链</v>
      </c>
      <c r="E2031" s="14">
        <f>equip.xml!E2035</f>
        <v>10</v>
      </c>
      <c r="F2031" s="14">
        <f>equip.xml!F2035</f>
        <v>5</v>
      </c>
      <c r="G2031" s="14">
        <f>equip.xml!G2035</f>
        <v>40</v>
      </c>
      <c r="H2031" s="14">
        <f>equip.xml!H2035</f>
        <v>0</v>
      </c>
      <c r="I2031" s="14">
        <f>equip.xml!J2035</f>
        <v>150</v>
      </c>
      <c r="J2031" s="14">
        <f>equip.xml!K2035</f>
        <v>1500</v>
      </c>
      <c r="K2031" s="14">
        <f>equip.xml!L2035</f>
        <v>22500</v>
      </c>
      <c r="L2031" s="14" t="str">
        <f>equip.xml!M2035</f>
        <v>107_542_542</v>
      </c>
      <c r="M2031" s="17" t="str">
        <f>equip.xml!Q2035</f>
        <v>equipment/12012.png</v>
      </c>
      <c r="N2031" s="16" t="str">
        <f>equip.xml!P2035</f>
        <v>10000_1002_40000,30000_30001_1,30000_30002_1,30000_30003_1</v>
      </c>
      <c r="O2031">
        <f>equip.xml!R2035</f>
        <v>0</v>
      </c>
    </row>
    <row r="2032" spans="1:15">
      <c r="A2032" s="14" t="str">
        <f>equip.xml!A2036</f>
        <v>50401050</v>
      </c>
      <c r="B2032" s="14">
        <f>equip.xml!B2036</f>
        <v>1</v>
      </c>
      <c r="C2032" s="14" t="str">
        <f>equip.xml!C2036</f>
        <v>魔铁巨剑</v>
      </c>
      <c r="D2032" s="14" t="str">
        <f>equip.xml!D2036</f>
        <v>主手武器</v>
      </c>
      <c r="E2032" s="14">
        <f>equip.xml!E2036</f>
        <v>5</v>
      </c>
      <c r="F2032" s="14">
        <f>equip.xml!F2036</f>
        <v>5</v>
      </c>
      <c r="G2032" s="14">
        <f>equip.xml!G2036</f>
        <v>40</v>
      </c>
      <c r="H2032" s="14" t="str">
        <f>equip.xml!H2036</f>
        <v>1,1001</v>
      </c>
      <c r="I2032" s="14">
        <f>equip.xml!J2036</f>
        <v>150</v>
      </c>
      <c r="J2032" s="14">
        <f>equip.xml!K2036</f>
        <v>1500</v>
      </c>
      <c r="K2032" s="14">
        <f>equip.xml!L2036</f>
        <v>22500</v>
      </c>
      <c r="L2032" s="14" t="str">
        <f>equip.xml!M2036</f>
        <v>103_670_670,104_1340_1340</v>
      </c>
      <c r="M2032" s="17" t="str">
        <f>equip.xml!Q2036</f>
        <v>equipment/1115.png</v>
      </c>
      <c r="N2032" s="16" t="str">
        <f>equip.xml!P2036</f>
        <v>10000_1002_40000,30000_30001_1,30000_30002_1,30000_30003_1</v>
      </c>
      <c r="O2032">
        <f>equip.xml!R2036</f>
        <v>0</v>
      </c>
    </row>
    <row r="2033" spans="1:15">
      <c r="A2033" s="14" t="str">
        <f>equip.xml!A2037</f>
        <v>50401051</v>
      </c>
      <c r="B2033" s="14">
        <f>equip.xml!B2037</f>
        <v>1</v>
      </c>
      <c r="C2033" s="14" t="str">
        <f>equip.xml!C2037</f>
        <v>破咒之刃</v>
      </c>
      <c r="D2033" s="14" t="str">
        <f>equip.xml!D2037</f>
        <v>主手武器</v>
      </c>
      <c r="E2033" s="14">
        <f>equip.xml!E2037</f>
        <v>5</v>
      </c>
      <c r="F2033" s="14">
        <f>equip.xml!F2037</f>
        <v>5</v>
      </c>
      <c r="G2033" s="14">
        <f>equip.xml!G2037</f>
        <v>40</v>
      </c>
      <c r="H2033" s="14" t="str">
        <f>equip.xml!H2037</f>
        <v>1,1001</v>
      </c>
      <c r="I2033" s="14">
        <f>equip.xml!J2037</f>
        <v>150</v>
      </c>
      <c r="J2033" s="14">
        <f>equip.xml!K2037</f>
        <v>1500</v>
      </c>
      <c r="K2033" s="14">
        <f>equip.xml!L2037</f>
        <v>25000</v>
      </c>
      <c r="L2033" s="14" t="str">
        <f>equip.xml!M2037</f>
        <v>103_743_743,104_1486_1486</v>
      </c>
      <c r="M2033" s="17" t="str">
        <f>equip.xml!Q2037</f>
        <v>equipment/1116.png</v>
      </c>
      <c r="N2033" s="16" t="str">
        <f>equip.xml!P2037</f>
        <v>10000_1002_40000,30000_30001_1,30000_30002_1,30000_30003_1</v>
      </c>
      <c r="O2033">
        <f>equip.xml!R2037</f>
        <v>0</v>
      </c>
    </row>
    <row r="2034" spans="1:15">
      <c r="A2034" s="14" t="str">
        <f>equip.xml!A2038</f>
        <v>50401060</v>
      </c>
      <c r="B2034" s="14">
        <f>equip.xml!B2038</f>
        <v>1</v>
      </c>
      <c r="C2034" s="14" t="str">
        <f>equip.xml!C2038</f>
        <v>洛阿巨盾</v>
      </c>
      <c r="D2034" s="14" t="str">
        <f>equip.xml!D2038</f>
        <v>副手武器</v>
      </c>
      <c r="E2034" s="14">
        <f>equip.xml!E2038</f>
        <v>6</v>
      </c>
      <c r="F2034" s="14">
        <f>equip.xml!F2038</f>
        <v>5</v>
      </c>
      <c r="G2034" s="14">
        <f>equip.xml!G2038</f>
        <v>40</v>
      </c>
      <c r="H2034" s="14" t="str">
        <f>equip.xml!H2038</f>
        <v>1,1001</v>
      </c>
      <c r="I2034" s="14">
        <f>equip.xml!J2038</f>
        <v>150</v>
      </c>
      <c r="J2034" s="14">
        <f>equip.xml!K2038</f>
        <v>1500</v>
      </c>
      <c r="K2034" s="14">
        <f>equip.xml!L2038</f>
        <v>22500</v>
      </c>
      <c r="L2034" s="14" t="str">
        <f>equip.xml!M2038</f>
        <v>105_880_880</v>
      </c>
      <c r="M2034" s="17" t="str">
        <f>equip.xml!Q2038</f>
        <v>equipment/2109.png</v>
      </c>
      <c r="N2034" s="16" t="str">
        <f>equip.xml!P2038</f>
        <v>10000_1002_40000,30000_30001_1,30000_30002_1,30000_30003_1</v>
      </c>
      <c r="O2034">
        <f>equip.xml!R2038</f>
        <v>0</v>
      </c>
    </row>
    <row r="2035" spans="1:15">
      <c r="A2035" s="14" t="str">
        <f>equip.xml!A2039</f>
        <v>50401061</v>
      </c>
      <c r="B2035" s="14">
        <f>equip.xml!B2039</f>
        <v>0</v>
      </c>
      <c r="C2035" s="14" t="str">
        <f>equip.xml!C2039</f>
        <v>尖头盾</v>
      </c>
      <c r="D2035" s="14" t="str">
        <f>equip.xml!D2039</f>
        <v>副手武器</v>
      </c>
      <c r="E2035" s="14">
        <f>equip.xml!E2039</f>
        <v>6</v>
      </c>
      <c r="F2035" s="14">
        <f>equip.xml!F2039</f>
        <v>5</v>
      </c>
      <c r="G2035" s="14">
        <f>equip.xml!G2039</f>
        <v>40</v>
      </c>
      <c r="H2035" s="14" t="str">
        <f>equip.xml!H2039</f>
        <v>1,1001</v>
      </c>
      <c r="I2035" s="14">
        <f>equip.xml!J2039</f>
        <v>150</v>
      </c>
      <c r="J2035" s="14">
        <f>equip.xml!K2039</f>
        <v>1500</v>
      </c>
      <c r="K2035" s="14">
        <f>equip.xml!L2039</f>
        <v>25000</v>
      </c>
      <c r="L2035" s="14" t="str">
        <f>equip.xml!M2039</f>
        <v>105_1029_1029</v>
      </c>
      <c r="M2035" s="17" t="str">
        <f>equip.xml!Q2039</f>
        <v>equipment/2101.png</v>
      </c>
      <c r="N2035" s="16" t="str">
        <f>equip.xml!P2039</f>
        <v>10000_1002_40000,30000_30001_1,30000_30002_1,30000_30003_1</v>
      </c>
      <c r="O2035">
        <f>equip.xml!R2039</f>
        <v>0</v>
      </c>
    </row>
    <row r="2036" spans="1:15">
      <c r="A2036" s="14" t="str">
        <f>equip.xml!A2040</f>
        <v>50402050</v>
      </c>
      <c r="B2036" s="14">
        <f>equip.xml!B2040</f>
        <v>1</v>
      </c>
      <c r="C2036" s="14" t="str">
        <f>equip.xml!C2040</f>
        <v>强击之弓</v>
      </c>
      <c r="D2036" s="14" t="str">
        <f>equip.xml!D2040</f>
        <v>主手武器</v>
      </c>
      <c r="E2036" s="14">
        <f>equip.xml!E2040</f>
        <v>5</v>
      </c>
      <c r="F2036" s="14">
        <f>equip.xml!F2040</f>
        <v>5</v>
      </c>
      <c r="G2036" s="14">
        <f>equip.xml!G2040</f>
        <v>40</v>
      </c>
      <c r="H2036" s="14" t="str">
        <f>equip.xml!H2040</f>
        <v>2,1002</v>
      </c>
      <c r="I2036" s="14">
        <f>equip.xml!J2040</f>
        <v>150</v>
      </c>
      <c r="J2036" s="14">
        <f>equip.xml!K2040</f>
        <v>1500</v>
      </c>
      <c r="K2036" s="14">
        <f>equip.xml!L2040</f>
        <v>22500</v>
      </c>
      <c r="L2036" s="14" t="str">
        <f>equip.xml!M2040</f>
        <v>103_670_670,104_1340_1340</v>
      </c>
      <c r="M2036" s="17" t="str">
        <f>equip.xml!Q2040</f>
        <v>equipment/1216.png</v>
      </c>
      <c r="N2036" s="16" t="str">
        <f>equip.xml!P2040</f>
        <v>10000_1002_40000,30000_30001_1,30000_30002_1,30000_30003_1</v>
      </c>
      <c r="O2036">
        <f>equip.xml!R2040</f>
        <v>0</v>
      </c>
    </row>
    <row r="2037" spans="1:15">
      <c r="A2037" s="14" t="str">
        <f>equip.xml!A2041</f>
        <v>50402051</v>
      </c>
      <c r="B2037" s="14">
        <f>equip.xml!B2041</f>
        <v>1</v>
      </c>
      <c r="C2037" s="14" t="str">
        <f>equip.xml!C2041</f>
        <v>羽月长弓</v>
      </c>
      <c r="D2037" s="14" t="str">
        <f>equip.xml!D2041</f>
        <v>主手武器</v>
      </c>
      <c r="E2037" s="14">
        <f>equip.xml!E2041</f>
        <v>5</v>
      </c>
      <c r="F2037" s="14">
        <f>equip.xml!F2041</f>
        <v>5</v>
      </c>
      <c r="G2037" s="14">
        <f>equip.xml!G2041</f>
        <v>40</v>
      </c>
      <c r="H2037" s="14" t="str">
        <f>equip.xml!H2041</f>
        <v>2,1002</v>
      </c>
      <c r="I2037" s="14">
        <f>equip.xml!J2041</f>
        <v>150</v>
      </c>
      <c r="J2037" s="14">
        <f>equip.xml!K2041</f>
        <v>1500</v>
      </c>
      <c r="K2037" s="14">
        <f>equip.xml!L2041</f>
        <v>25000</v>
      </c>
      <c r="L2037" s="14" t="str">
        <f>equip.xml!M2041</f>
        <v>103_743_743,104_1486_1486</v>
      </c>
      <c r="M2037" s="17" t="str">
        <f>equip.xml!Q2041</f>
        <v>equipment/1214.png</v>
      </c>
      <c r="N2037" s="16" t="str">
        <f>equip.xml!P2041</f>
        <v>10000_1002_40000,30000_30001_1,30000_30002_1,30000_30003_1</v>
      </c>
      <c r="O2037">
        <f>equip.xml!R2041</f>
        <v>0</v>
      </c>
    </row>
    <row r="2038" spans="1:15">
      <c r="A2038" s="14" t="str">
        <f>equip.xml!A2042</f>
        <v>50402060</v>
      </c>
      <c r="B2038" s="14">
        <f>equip.xml!B2042</f>
        <v>1</v>
      </c>
      <c r="C2038" s="14" t="str">
        <f>equip.xml!C2042</f>
        <v>风怒箭筒</v>
      </c>
      <c r="D2038" s="14" t="str">
        <f>equip.xml!D2042</f>
        <v>副手武器</v>
      </c>
      <c r="E2038" s="14">
        <f>equip.xml!E2042</f>
        <v>6</v>
      </c>
      <c r="F2038" s="14">
        <f>equip.xml!F2042</f>
        <v>5</v>
      </c>
      <c r="G2038" s="14">
        <f>equip.xml!G2042</f>
        <v>40</v>
      </c>
      <c r="H2038" s="14" t="str">
        <f>equip.xml!H2042</f>
        <v>2,1002</v>
      </c>
      <c r="I2038" s="14">
        <f>equip.xml!J2042</f>
        <v>150</v>
      </c>
      <c r="J2038" s="14">
        <f>equip.xml!K2042</f>
        <v>1500</v>
      </c>
      <c r="K2038" s="14">
        <f>equip.xml!L2042</f>
        <v>22500</v>
      </c>
      <c r="L2038" s="14" t="str">
        <f>equip.xml!M2042</f>
        <v>108_880_880</v>
      </c>
      <c r="M2038" s="17" t="str">
        <f>equip.xml!Q2042</f>
        <v>equipment/2209.png</v>
      </c>
      <c r="N2038" s="16" t="str">
        <f>equip.xml!P2042</f>
        <v>10000_1002_40000,30000_30001_1,30000_30002_1,30000_30003_1</v>
      </c>
      <c r="O2038">
        <f>equip.xml!R2042</f>
        <v>0</v>
      </c>
    </row>
    <row r="2039" spans="1:15">
      <c r="A2039" s="14" t="str">
        <f>equip.xml!A2043</f>
        <v>50402061</v>
      </c>
      <c r="B2039" s="14">
        <f>equip.xml!B2043</f>
        <v>0</v>
      </c>
      <c r="C2039" s="14" t="str">
        <f>equip.xml!C2043</f>
        <v>箭筒</v>
      </c>
      <c r="D2039" s="14" t="str">
        <f>equip.xml!D2043</f>
        <v>副手武器</v>
      </c>
      <c r="E2039" s="14">
        <f>equip.xml!E2043</f>
        <v>6</v>
      </c>
      <c r="F2039" s="14">
        <f>equip.xml!F2043</f>
        <v>5</v>
      </c>
      <c r="G2039" s="14">
        <f>equip.xml!G2043</f>
        <v>40</v>
      </c>
      <c r="H2039" s="14" t="str">
        <f>equip.xml!H2043</f>
        <v>2,1002</v>
      </c>
      <c r="I2039" s="14">
        <f>equip.xml!J2043</f>
        <v>150</v>
      </c>
      <c r="J2039" s="14">
        <f>equip.xml!K2043</f>
        <v>1500</v>
      </c>
      <c r="K2039" s="14">
        <f>equip.xml!L2043</f>
        <v>25000</v>
      </c>
      <c r="L2039" s="14" t="str">
        <f>equip.xml!M2043</f>
        <v>108_1029_1029</v>
      </c>
      <c r="M2039" s="17" t="str">
        <f>equip.xml!Q2043</f>
        <v>equipment/2201.png</v>
      </c>
      <c r="N2039" s="16" t="str">
        <f>equip.xml!P2043</f>
        <v>10000_1002_40000,30000_30001_1,30000_30002_1,30000_30003_1</v>
      </c>
      <c r="O2039">
        <f>equip.xml!R2043</f>
        <v>0</v>
      </c>
    </row>
    <row r="2040" spans="1:15">
      <c r="A2040" s="14" t="str">
        <f>equip.xml!A2044</f>
        <v>50403050</v>
      </c>
      <c r="B2040" s="14">
        <f>equip.xml!B2044</f>
        <v>1</v>
      </c>
      <c r="C2040" s="14" t="str">
        <f>equip.xml!C2044</f>
        <v>符文魔杖</v>
      </c>
      <c r="D2040" s="14" t="str">
        <f>equip.xml!D2044</f>
        <v>主手武器</v>
      </c>
      <c r="E2040" s="14">
        <f>equip.xml!E2044</f>
        <v>5</v>
      </c>
      <c r="F2040" s="14">
        <f>equip.xml!F2044</f>
        <v>5</v>
      </c>
      <c r="G2040" s="14">
        <f>equip.xml!G2044</f>
        <v>40</v>
      </c>
      <c r="H2040" s="14" t="str">
        <f>equip.xml!H2044</f>
        <v>3,1003</v>
      </c>
      <c r="I2040" s="14">
        <f>equip.xml!J2044</f>
        <v>150</v>
      </c>
      <c r="J2040" s="14">
        <f>equip.xml!K2044</f>
        <v>1500</v>
      </c>
      <c r="K2040" s="14">
        <f>equip.xml!L2044</f>
        <v>22500</v>
      </c>
      <c r="L2040" s="14" t="str">
        <f>equip.xml!M2044</f>
        <v>103_670_670,104_1340_1340</v>
      </c>
      <c r="M2040" s="17" t="str">
        <f>equip.xml!Q2044</f>
        <v>equipment/1317.png</v>
      </c>
      <c r="N2040" s="16" t="str">
        <f>equip.xml!P2044</f>
        <v>10000_1002_40000,30000_30001_1,30000_30002_1,30000_30003_1</v>
      </c>
      <c r="O2040">
        <f>equip.xml!R2044</f>
        <v>0</v>
      </c>
    </row>
    <row r="2041" spans="1:15">
      <c r="A2041" s="14" t="str">
        <f>equip.xml!A2045</f>
        <v>50403051</v>
      </c>
      <c r="B2041" s="14">
        <f>equip.xml!B2045</f>
        <v>1</v>
      </c>
      <c r="C2041" s="14" t="str">
        <f>equip.xml!C2045</f>
        <v>真理之杖</v>
      </c>
      <c r="D2041" s="14" t="str">
        <f>equip.xml!D2045</f>
        <v>主手武器</v>
      </c>
      <c r="E2041" s="14">
        <f>equip.xml!E2045</f>
        <v>5</v>
      </c>
      <c r="F2041" s="14">
        <f>equip.xml!F2045</f>
        <v>5</v>
      </c>
      <c r="G2041" s="14">
        <f>equip.xml!G2045</f>
        <v>40</v>
      </c>
      <c r="H2041" s="14" t="str">
        <f>equip.xml!H2045</f>
        <v>3,1003</v>
      </c>
      <c r="I2041" s="14">
        <f>equip.xml!J2045</f>
        <v>150</v>
      </c>
      <c r="J2041" s="14">
        <f>equip.xml!K2045</f>
        <v>1500</v>
      </c>
      <c r="K2041" s="14">
        <f>equip.xml!L2045</f>
        <v>25000</v>
      </c>
      <c r="L2041" s="14" t="str">
        <f>equip.xml!M2045</f>
        <v>103_743_743,104_1486_1486</v>
      </c>
      <c r="M2041" s="17" t="str">
        <f>equip.xml!Q2045</f>
        <v>equipment/1315.png</v>
      </c>
      <c r="N2041" s="16" t="str">
        <f>equip.xml!P2045</f>
        <v>10000_1002_40000,30000_30001_1,30000_30002_1,30000_30003_1</v>
      </c>
      <c r="O2041">
        <f>equip.xml!R2045</f>
        <v>0</v>
      </c>
    </row>
    <row r="2042" spans="1:15">
      <c r="A2042" s="14" t="str">
        <f>equip.xml!A2046</f>
        <v>50403060</v>
      </c>
      <c r="B2042" s="14">
        <f>equip.xml!B2046</f>
        <v>1</v>
      </c>
      <c r="C2042" s="14" t="str">
        <f>equip.xml!C2046</f>
        <v>附魔秘典</v>
      </c>
      <c r="D2042" s="14" t="str">
        <f>equip.xml!D2046</f>
        <v>副手武器</v>
      </c>
      <c r="E2042" s="14">
        <f>equip.xml!E2046</f>
        <v>6</v>
      </c>
      <c r="F2042" s="14">
        <f>equip.xml!F2046</f>
        <v>5</v>
      </c>
      <c r="G2042" s="14">
        <f>equip.xml!G2046</f>
        <v>40</v>
      </c>
      <c r="H2042" s="14" t="str">
        <f>equip.xml!H2046</f>
        <v>3,1003</v>
      </c>
      <c r="I2042" s="14">
        <f>equip.xml!J2046</f>
        <v>150</v>
      </c>
      <c r="J2042" s="14">
        <f>equip.xml!K2046</f>
        <v>1500</v>
      </c>
      <c r="K2042" s="14">
        <f>equip.xml!L2046</f>
        <v>22500</v>
      </c>
      <c r="L2042" s="14" t="str">
        <f>equip.xml!M2046</f>
        <v>102_1240_1240</v>
      </c>
      <c r="M2042" s="17" t="str">
        <f>equip.xml!Q2046</f>
        <v>equipment/2309.png</v>
      </c>
      <c r="N2042" s="16" t="str">
        <f>equip.xml!P2046</f>
        <v>10000_1002_40000,30000_30001_1,30000_30002_1,30000_30003_1</v>
      </c>
      <c r="O2042">
        <f>equip.xml!R2046</f>
        <v>0</v>
      </c>
    </row>
    <row r="2043" spans="1:15">
      <c r="A2043" s="14" t="str">
        <f>equip.xml!A2047</f>
        <v>50403061</v>
      </c>
      <c r="B2043" s="14">
        <f>equip.xml!B2047</f>
        <v>0</v>
      </c>
      <c r="C2043" s="14" t="str">
        <f>equip.xml!C2047</f>
        <v>法术指南</v>
      </c>
      <c r="D2043" s="14" t="str">
        <f>equip.xml!D2047</f>
        <v>副手武器</v>
      </c>
      <c r="E2043" s="14">
        <f>equip.xml!E2047</f>
        <v>6</v>
      </c>
      <c r="F2043" s="14">
        <f>equip.xml!F2047</f>
        <v>5</v>
      </c>
      <c r="G2043" s="14">
        <f>equip.xml!G2047</f>
        <v>40</v>
      </c>
      <c r="H2043" s="14" t="str">
        <f>equip.xml!H2047</f>
        <v>3,1003</v>
      </c>
      <c r="I2043" s="14">
        <f>equip.xml!J2047</f>
        <v>150</v>
      </c>
      <c r="J2043" s="14">
        <f>equip.xml!K2047</f>
        <v>1500</v>
      </c>
      <c r="K2043" s="14">
        <f>equip.xml!L2047</f>
        <v>25000</v>
      </c>
      <c r="L2043" s="14" t="str">
        <f>equip.xml!M2047</f>
        <v>102_1029_1029</v>
      </c>
      <c r="M2043" s="17" t="str">
        <f>equip.xml!Q2047</f>
        <v>equipment/2301.png</v>
      </c>
      <c r="N2043" s="16" t="str">
        <f>equip.xml!P2047</f>
        <v>10000_1002_40000,30000_30001_1,30000_30002_1,30000_30003_1</v>
      </c>
      <c r="O2043">
        <f>equip.xml!R2047</f>
        <v>0</v>
      </c>
    </row>
    <row r="2044" spans="1:15">
      <c r="A2044" s="14" t="str">
        <f>equip.xml!A2048</f>
        <v>50400040</v>
      </c>
      <c r="B2044" s="14">
        <f>equip.xml!B2048</f>
        <v>1</v>
      </c>
      <c r="C2044" s="14" t="str">
        <f>equip.xml!C2048</f>
        <v>瑟银护甲</v>
      </c>
      <c r="D2044" s="14" t="str">
        <f>equip.xml!D2048</f>
        <v>胸甲</v>
      </c>
      <c r="E2044" s="14">
        <f>equip.xml!E2048</f>
        <v>4</v>
      </c>
      <c r="F2044" s="14">
        <f>equip.xml!F2048</f>
        <v>5</v>
      </c>
      <c r="G2044" s="14">
        <f>equip.xml!G2048</f>
        <v>40</v>
      </c>
      <c r="H2044" s="14">
        <f>equip.xml!H2048</f>
        <v>0</v>
      </c>
      <c r="I2044" s="14">
        <f>equip.xml!J2048</f>
        <v>150</v>
      </c>
      <c r="J2044" s="14">
        <f>equip.xml!K2048</f>
        <v>1500</v>
      </c>
      <c r="K2044" s="14">
        <f>equip.xml!L2048</f>
        <v>22500</v>
      </c>
      <c r="L2044" s="14" t="str">
        <f>equip.xml!M2048</f>
        <v>105_497_497</v>
      </c>
      <c r="M2044" s="17" t="str">
        <f>equip.xml!Q2048</f>
        <v>equipment/5012.png</v>
      </c>
      <c r="N2044" s="16" t="str">
        <f>equip.xml!P2048</f>
        <v>10000_1002_40000,30000_30001_1,30000_30002_1,30000_30003_1</v>
      </c>
      <c r="O2044">
        <f>equip.xml!R2048</f>
        <v>0</v>
      </c>
    </row>
    <row r="2045" spans="1:15">
      <c r="A2045" s="14" t="str">
        <f>equip.xml!A2049</f>
        <v>50400041</v>
      </c>
      <c r="B2045" s="14">
        <f>equip.xml!B2049</f>
        <v>0</v>
      </c>
      <c r="C2045" s="14" t="str">
        <f>equip.xml!C2049</f>
        <v>新兵外套</v>
      </c>
      <c r="D2045" s="14" t="str">
        <f>equip.xml!D2049</f>
        <v>胸甲</v>
      </c>
      <c r="E2045" s="14">
        <f>equip.xml!E2049</f>
        <v>4</v>
      </c>
      <c r="F2045" s="14">
        <f>equip.xml!F2049</f>
        <v>5</v>
      </c>
      <c r="G2045" s="14">
        <f>equip.xml!G2049</f>
        <v>40</v>
      </c>
      <c r="H2045" s="14">
        <f>equip.xml!H2049</f>
        <v>0</v>
      </c>
      <c r="I2045" s="14">
        <f>equip.xml!J2049</f>
        <v>150</v>
      </c>
      <c r="J2045" s="14">
        <f>equip.xml!K2049</f>
        <v>1500</v>
      </c>
      <c r="K2045" s="14">
        <f>equip.xml!L2049</f>
        <v>25000</v>
      </c>
      <c r="L2045" s="14" t="str">
        <f>equip.xml!M2049</f>
        <v>105_549_549</v>
      </c>
      <c r="M2045" s="17" t="str">
        <f>equip.xml!Q2049</f>
        <v>equipment/5001.png</v>
      </c>
      <c r="N2045" s="16" t="str">
        <f>equip.xml!P2049</f>
        <v>10000_1002_40000,30000_30001_1,30000_30002_1,30000_30003_1</v>
      </c>
      <c r="O2045">
        <f>equip.xml!R2049</f>
        <v>0</v>
      </c>
    </row>
    <row r="2046" spans="1:15">
      <c r="A2046" s="14" t="str">
        <f>equip.xml!A2050</f>
        <v>50400070</v>
      </c>
      <c r="B2046" s="14">
        <f>equip.xml!B2050</f>
        <v>1</v>
      </c>
      <c r="C2046" s="14" t="str">
        <f>equip.xml!C2050</f>
        <v>巨熊护腿</v>
      </c>
      <c r="D2046" s="14" t="str">
        <f>equip.xml!D2050</f>
        <v>护腿</v>
      </c>
      <c r="E2046" s="14">
        <f>equip.xml!E2050</f>
        <v>7</v>
      </c>
      <c r="F2046" s="14">
        <f>equip.xml!F2050</f>
        <v>5</v>
      </c>
      <c r="G2046" s="14">
        <f>equip.xml!G2050</f>
        <v>40</v>
      </c>
      <c r="H2046" s="14">
        <f>equip.xml!H2050</f>
        <v>0</v>
      </c>
      <c r="I2046" s="14">
        <f>equip.xml!J2050</f>
        <v>150</v>
      </c>
      <c r="J2046" s="14">
        <f>equip.xml!K2050</f>
        <v>1500</v>
      </c>
      <c r="K2046" s="14">
        <f>equip.xml!L2050</f>
        <v>22500</v>
      </c>
      <c r="L2046" s="14" t="str">
        <f>equip.xml!M2050</f>
        <v>105_387_387</v>
      </c>
      <c r="M2046" s="17" t="str">
        <f>equip.xml!Q2050</f>
        <v>equipment/7009.png</v>
      </c>
      <c r="N2046" s="16" t="str">
        <f>equip.xml!P2050</f>
        <v>10000_1002_40000,30000_30001_1,30000_30002_1,30000_30003_1</v>
      </c>
      <c r="O2046">
        <f>equip.xml!R2050</f>
        <v>0</v>
      </c>
    </row>
    <row r="2047" spans="1:15">
      <c r="A2047" s="14" t="str">
        <f>equip.xml!A2051</f>
        <v>50400071</v>
      </c>
      <c r="B2047" s="14">
        <f>equip.xml!B2051</f>
        <v>0</v>
      </c>
      <c r="C2047" s="14" t="str">
        <f>equip.xml!C2051</f>
        <v>学徒短裤</v>
      </c>
      <c r="D2047" s="14" t="str">
        <f>equip.xml!D2051</f>
        <v>护腿</v>
      </c>
      <c r="E2047" s="14">
        <f>equip.xml!E2051</f>
        <v>7</v>
      </c>
      <c r="F2047" s="14">
        <f>equip.xml!F2051</f>
        <v>5</v>
      </c>
      <c r="G2047" s="14">
        <f>equip.xml!G2051</f>
        <v>40</v>
      </c>
      <c r="H2047" s="14">
        <f>equip.xml!H2051</f>
        <v>0</v>
      </c>
      <c r="I2047" s="14">
        <f>equip.xml!J2051</f>
        <v>150</v>
      </c>
      <c r="J2047" s="14">
        <f>equip.xml!K2051</f>
        <v>1500</v>
      </c>
      <c r="K2047" s="14">
        <f>equip.xml!L2051</f>
        <v>25000</v>
      </c>
      <c r="L2047" s="14" t="str">
        <f>equip.xml!M2051</f>
        <v>105_431_431</v>
      </c>
      <c r="M2047" s="17" t="str">
        <f>equip.xml!Q2051</f>
        <v>equipment/7001.png</v>
      </c>
      <c r="N2047" s="16" t="str">
        <f>equip.xml!P2051</f>
        <v>10000_1002_40000,30000_30001_1,30000_30002_1,30000_30003_1</v>
      </c>
      <c r="O2047">
        <f>equip.xml!R2051</f>
        <v>0</v>
      </c>
    </row>
    <row r="2048" spans="1:15">
      <c r="A2048" s="14" t="str">
        <f>equip.xml!A2052</f>
        <v>50450010</v>
      </c>
      <c r="B2048" s="14">
        <f>equip.xml!B2052</f>
        <v>1</v>
      </c>
      <c r="C2048" s="14" t="str">
        <f>equip.xml!C2052</f>
        <v>战争头盔</v>
      </c>
      <c r="D2048" s="14" t="str">
        <f>equip.xml!D2052</f>
        <v>头盔</v>
      </c>
      <c r="E2048" s="14">
        <f>equip.xml!E2052</f>
        <v>1</v>
      </c>
      <c r="F2048" s="14">
        <f>equip.xml!F2052</f>
        <v>5</v>
      </c>
      <c r="G2048" s="14">
        <f>equip.xml!G2052</f>
        <v>45</v>
      </c>
      <c r="H2048" s="14">
        <f>equip.xml!H2052</f>
        <v>0</v>
      </c>
      <c r="I2048" s="14">
        <f>equip.xml!J2052</f>
        <v>150</v>
      </c>
      <c r="J2048" s="14">
        <f>equip.xml!K2052</f>
        <v>1500</v>
      </c>
      <c r="K2048" s="14">
        <f>equip.xml!L2052</f>
        <v>25000</v>
      </c>
      <c r="L2048" s="14" t="str">
        <f>equip.xml!M2052</f>
        <v>106_751_751</v>
      </c>
      <c r="M2048" s="17" t="str">
        <f>equip.xml!Q2052</f>
        <v>equipment/3003.png</v>
      </c>
      <c r="N2048" s="16" t="str">
        <f>equip.xml!P2052</f>
        <v>10000_1002_45000,30000_30001_1,30000_30002_1,30000_30003_1</v>
      </c>
      <c r="O2048">
        <f>equip.xml!R2052</f>
        <v>0</v>
      </c>
    </row>
    <row r="2049" spans="1:15">
      <c r="A2049" s="14" t="str">
        <f>equip.xml!A2053</f>
        <v>50450020</v>
      </c>
      <c r="B2049" s="14">
        <f>equip.xml!B2053</f>
        <v>1</v>
      </c>
      <c r="C2049" s="14" t="str">
        <f>equip.xml!C2053</f>
        <v>洞察指环</v>
      </c>
      <c r="D2049" s="14" t="str">
        <f>equip.xml!D2053</f>
        <v>戒指</v>
      </c>
      <c r="E2049" s="14">
        <f>equip.xml!E2053</f>
        <v>2</v>
      </c>
      <c r="F2049" s="14">
        <f>equip.xml!F2053</f>
        <v>5</v>
      </c>
      <c r="G2049" s="14">
        <f>equip.xml!G2053</f>
        <v>45</v>
      </c>
      <c r="H2049" s="14">
        <f>equip.xml!H2053</f>
        <v>0</v>
      </c>
      <c r="I2049" s="14">
        <f>equip.xml!J2053</f>
        <v>150</v>
      </c>
      <c r="J2049" s="14">
        <f>equip.xml!K2053</f>
        <v>1500</v>
      </c>
      <c r="K2049" s="14">
        <f>equip.xml!L2053</f>
        <v>25000</v>
      </c>
      <c r="L2049" s="14" t="str">
        <f>equip.xml!M2053</f>
        <v>102_740_740</v>
      </c>
      <c r="M2049" s="17" t="str">
        <f>equip.xml!Q2053</f>
        <v>equipment/14001.png</v>
      </c>
      <c r="N2049" s="16" t="str">
        <f>equip.xml!P2053</f>
        <v>10000_1002_45000,30000_30001_1,30000_30002_1,30000_30003_1</v>
      </c>
      <c r="O2049">
        <f>equip.xml!R2053</f>
        <v>0</v>
      </c>
    </row>
    <row r="2050" spans="1:15">
      <c r="A2050" s="14" t="str">
        <f>equip.xml!A2054</f>
        <v>50450030</v>
      </c>
      <c r="B2050" s="14">
        <f>equip.xml!B2054</f>
        <v>1</v>
      </c>
      <c r="C2050" s="14" t="str">
        <f>equip.xml!C2054</f>
        <v>督军腰带</v>
      </c>
      <c r="D2050" s="14" t="str">
        <f>equip.xml!D2054</f>
        <v>腰带</v>
      </c>
      <c r="E2050" s="14">
        <f>equip.xml!E2054</f>
        <v>3</v>
      </c>
      <c r="F2050" s="14">
        <f>equip.xml!F2054</f>
        <v>5</v>
      </c>
      <c r="G2050" s="14">
        <f>equip.xml!G2054</f>
        <v>45</v>
      </c>
      <c r="H2050" s="14">
        <f>equip.xml!H2054</f>
        <v>0</v>
      </c>
      <c r="I2050" s="14">
        <f>equip.xml!J2054</f>
        <v>150</v>
      </c>
      <c r="J2050" s="14">
        <f>equip.xml!K2054</f>
        <v>1500</v>
      </c>
      <c r="K2050" s="14">
        <f>equip.xml!L2054</f>
        <v>25000</v>
      </c>
      <c r="L2050" s="14" t="str">
        <f>equip.xml!M2054</f>
        <v>101_8840_8840</v>
      </c>
      <c r="M2050" s="17" t="str">
        <f>equip.xml!Q2054</f>
        <v>equipment/6008.png</v>
      </c>
      <c r="N2050" s="16" t="str">
        <f>equip.xml!P2054</f>
        <v>10000_1002_45000,30000_30001_1,30000_30002_1,30000_30003_1</v>
      </c>
      <c r="O2050">
        <f>equip.xml!R2054</f>
        <v>0</v>
      </c>
    </row>
    <row r="2051" spans="1:15">
      <c r="A2051" s="14" t="str">
        <f>equip.xml!A2055</f>
        <v>50450080</v>
      </c>
      <c r="B2051" s="14">
        <f>equip.xml!B2055</f>
        <v>1</v>
      </c>
      <c r="C2051" s="14" t="str">
        <f>equip.xml!C2055</f>
        <v>浩劫长靴</v>
      </c>
      <c r="D2051" s="14" t="str">
        <f>equip.xml!D2055</f>
        <v>鞋子</v>
      </c>
      <c r="E2051" s="14">
        <f>equip.xml!E2055</f>
        <v>8</v>
      </c>
      <c r="F2051" s="14">
        <f>equip.xml!F2055</f>
        <v>5</v>
      </c>
      <c r="G2051" s="14">
        <f>equip.xml!G2055</f>
        <v>45</v>
      </c>
      <c r="H2051" s="14">
        <f>equip.xml!H2055</f>
        <v>0</v>
      </c>
      <c r="I2051" s="14">
        <f>equip.xml!J2055</f>
        <v>150</v>
      </c>
      <c r="J2051" s="14">
        <f>equip.xml!K2055</f>
        <v>1500</v>
      </c>
      <c r="K2051" s="14">
        <f>equip.xml!L2055</f>
        <v>25000</v>
      </c>
      <c r="L2051" s="14" t="str">
        <f>equip.xml!M2055</f>
        <v>110_137_137</v>
      </c>
      <c r="M2051" s="17" t="str">
        <f>equip.xml!Q2055</f>
        <v>equipment/8008.png</v>
      </c>
      <c r="N2051" s="16" t="str">
        <f>equip.xml!P2055</f>
        <v>10000_1002_45000,30000_30001_1,30000_30002_1,30000_30003_1</v>
      </c>
      <c r="O2051">
        <f>equip.xml!R2055</f>
        <v>0</v>
      </c>
    </row>
    <row r="2052" spans="1:15">
      <c r="A2052" s="14" t="str">
        <f>equip.xml!A2056</f>
        <v>50450090</v>
      </c>
      <c r="B2052" s="14">
        <f>equip.xml!B2056</f>
        <v>1</v>
      </c>
      <c r="C2052" s="14" t="str">
        <f>equip.xml!C2056</f>
        <v>愤怒护手</v>
      </c>
      <c r="D2052" s="14" t="str">
        <f>equip.xml!D2056</f>
        <v>手套</v>
      </c>
      <c r="E2052" s="14">
        <f>equip.xml!E2056</f>
        <v>9</v>
      </c>
      <c r="F2052" s="14">
        <f>equip.xml!F2056</f>
        <v>5</v>
      </c>
      <c r="G2052" s="14">
        <f>equip.xml!G2056</f>
        <v>45</v>
      </c>
      <c r="H2052" s="14">
        <f>equip.xml!H2056</f>
        <v>0</v>
      </c>
      <c r="I2052" s="14">
        <f>equip.xml!J2056</f>
        <v>150</v>
      </c>
      <c r="J2052" s="14">
        <f>equip.xml!K2056</f>
        <v>1500</v>
      </c>
      <c r="K2052" s="14">
        <f>equip.xml!L2056</f>
        <v>25000</v>
      </c>
      <c r="L2052" s="14" t="str">
        <f>equip.xml!M2056</f>
        <v>108_1255_1255</v>
      </c>
      <c r="M2052" s="17" t="str">
        <f>equip.xml!Q2056</f>
        <v>equipment/10008.png</v>
      </c>
      <c r="N2052" s="16" t="str">
        <f>equip.xml!P2056</f>
        <v>10000_1002_45000,30000_30001_1,30000_30002_1,30000_30003_1</v>
      </c>
      <c r="O2052">
        <f>equip.xml!R2056</f>
        <v>0</v>
      </c>
    </row>
    <row r="2053" spans="1:15">
      <c r="A2053" s="14" t="str">
        <f>equip.xml!A2057</f>
        <v>50450100</v>
      </c>
      <c r="B2053" s="14">
        <f>equip.xml!B2057</f>
        <v>1</v>
      </c>
      <c r="C2053" s="14" t="str">
        <f>equip.xml!C2057</f>
        <v>新月项链</v>
      </c>
      <c r="D2053" s="14" t="str">
        <f>equip.xml!D2057</f>
        <v>项链</v>
      </c>
      <c r="E2053" s="14">
        <f>equip.xml!E2057</f>
        <v>10</v>
      </c>
      <c r="F2053" s="14">
        <f>equip.xml!F2057</f>
        <v>5</v>
      </c>
      <c r="G2053" s="14">
        <f>equip.xml!G2057</f>
        <v>45</v>
      </c>
      <c r="H2053" s="14">
        <f>equip.xml!H2057</f>
        <v>0</v>
      </c>
      <c r="I2053" s="14">
        <f>equip.xml!J2057</f>
        <v>150</v>
      </c>
      <c r="J2053" s="14">
        <f>equip.xml!K2057</f>
        <v>1500</v>
      </c>
      <c r="K2053" s="14">
        <f>equip.xml!L2057</f>
        <v>25000</v>
      </c>
      <c r="L2053" s="14" t="str">
        <f>equip.xml!M2057</f>
        <v>107_751_751</v>
      </c>
      <c r="M2053" s="17" t="str">
        <f>equip.xml!Q2057</f>
        <v>equipment/12007.png</v>
      </c>
      <c r="N2053" s="16" t="str">
        <f>equip.xml!P2057</f>
        <v>10000_1002_45000,30000_30001_1,30000_30002_1,30000_30003_1</v>
      </c>
      <c r="O2053">
        <f>equip.xml!R2057</f>
        <v>0</v>
      </c>
    </row>
    <row r="2054" spans="1:15">
      <c r="A2054" s="14" t="str">
        <f>equip.xml!A2058</f>
        <v>50451050</v>
      </c>
      <c r="B2054" s="14">
        <f>equip.xml!B2058</f>
        <v>1</v>
      </c>
      <c r="C2054" s="14" t="str">
        <f>equip.xml!C2058</f>
        <v>龙纹之刃</v>
      </c>
      <c r="D2054" s="14" t="str">
        <f>equip.xml!D2058</f>
        <v>主手武器</v>
      </c>
      <c r="E2054" s="14">
        <f>equip.xml!E2058</f>
        <v>5</v>
      </c>
      <c r="F2054" s="14">
        <f>equip.xml!F2058</f>
        <v>5</v>
      </c>
      <c r="G2054" s="14">
        <f>equip.xml!G2058</f>
        <v>45</v>
      </c>
      <c r="H2054" s="14" t="str">
        <f>equip.xml!H2058</f>
        <v>1,1001</v>
      </c>
      <c r="I2054" s="14">
        <f>equip.xml!J2058</f>
        <v>150</v>
      </c>
      <c r="J2054" s="14">
        <f>equip.xml!K2058</f>
        <v>1500</v>
      </c>
      <c r="K2054" s="14">
        <f>equip.xml!L2058</f>
        <v>25000</v>
      </c>
      <c r="L2054" s="14" t="str">
        <f>equip.xml!M2058</f>
        <v>103_854_854,104_1708_1708</v>
      </c>
      <c r="M2054" s="17" t="str">
        <f>equip.xml!Q2058</f>
        <v>equipment/1117.png</v>
      </c>
      <c r="N2054" s="16" t="str">
        <f>equip.xml!P2058</f>
        <v>10000_1002_45000,30000_30001_1,30000_30002_1,30000_30003_1</v>
      </c>
      <c r="O2054">
        <f>equip.xml!R2058</f>
        <v>0</v>
      </c>
    </row>
    <row r="2055" spans="1:15">
      <c r="A2055" s="14" t="str">
        <f>equip.xml!A2059</f>
        <v>50451051</v>
      </c>
      <c r="B2055" s="14">
        <f>equip.xml!B2059</f>
        <v>0</v>
      </c>
      <c r="C2055" s="14" t="str">
        <f>equip.xml!C2059</f>
        <v>军刀</v>
      </c>
      <c r="D2055" s="14" t="str">
        <f>equip.xml!D2059</f>
        <v>主手武器</v>
      </c>
      <c r="E2055" s="14">
        <f>equip.xml!E2059</f>
        <v>5</v>
      </c>
      <c r="F2055" s="14">
        <f>equip.xml!F2059</f>
        <v>5</v>
      </c>
      <c r="G2055" s="14">
        <f>equip.xml!G2059</f>
        <v>45</v>
      </c>
      <c r="H2055" s="14" t="str">
        <f>equip.xml!H2059</f>
        <v>1,1001</v>
      </c>
      <c r="I2055" s="14">
        <f>equip.xml!J2059</f>
        <v>150</v>
      </c>
      <c r="J2055" s="14">
        <f>equip.xml!K2059</f>
        <v>1500</v>
      </c>
      <c r="K2055" s="14">
        <f>equip.xml!L2059</f>
        <v>27500</v>
      </c>
      <c r="L2055" s="14" t="str">
        <f>equip.xml!M2059</f>
        <v>103_951_951,104_1902_1902</v>
      </c>
      <c r="M2055" s="17" t="str">
        <f>equip.xml!Q2059</f>
        <v>equipment/1101.png</v>
      </c>
      <c r="N2055" s="16" t="str">
        <f>equip.xml!P2059</f>
        <v>10000_1002_45000,30000_30001_1,30000_30002_1,30000_30003_1</v>
      </c>
      <c r="O2055">
        <f>equip.xml!R2059</f>
        <v>0</v>
      </c>
    </row>
    <row r="2056" spans="1:15">
      <c r="A2056" s="14" t="str">
        <f>equip.xml!A2060</f>
        <v>50451060</v>
      </c>
      <c r="B2056" s="14">
        <f>equip.xml!B2060</f>
        <v>1</v>
      </c>
      <c r="C2056" s="14" t="str">
        <f>equip.xml!C2060</f>
        <v>正义壁垒</v>
      </c>
      <c r="D2056" s="14" t="str">
        <f>equip.xml!D2060</f>
        <v>副手武器</v>
      </c>
      <c r="E2056" s="14">
        <f>equip.xml!E2060</f>
        <v>6</v>
      </c>
      <c r="F2056" s="14">
        <f>equip.xml!F2060</f>
        <v>5</v>
      </c>
      <c r="G2056" s="14">
        <f>equip.xml!G2060</f>
        <v>45</v>
      </c>
      <c r="H2056" s="14" t="str">
        <f>equip.xml!H2060</f>
        <v>1,1001</v>
      </c>
      <c r="I2056" s="14">
        <f>equip.xml!J2060</f>
        <v>150</v>
      </c>
      <c r="J2056" s="14">
        <f>equip.xml!K2060</f>
        <v>1500</v>
      </c>
      <c r="K2056" s="14">
        <f>equip.xml!L2060</f>
        <v>25000</v>
      </c>
      <c r="L2056" s="14" t="str">
        <f>equip.xml!M2060</f>
        <v>105_1253_1253</v>
      </c>
      <c r="M2056" s="17" t="str">
        <f>equip.xml!Q2060</f>
        <v>equipment/2110.png</v>
      </c>
      <c r="N2056" s="16" t="str">
        <f>equip.xml!P2060</f>
        <v>10000_1002_45000,30000_30001_1,30000_30002_1,30000_30003_1</v>
      </c>
      <c r="O2056">
        <f>equip.xml!R2060</f>
        <v>0</v>
      </c>
    </row>
    <row r="2057" spans="1:15">
      <c r="A2057" s="14" t="str">
        <f>equip.xml!A2061</f>
        <v>50451061</v>
      </c>
      <c r="B2057" s="14">
        <f>equip.xml!B2061</f>
        <v>0</v>
      </c>
      <c r="C2057" s="14" t="str">
        <f>equip.xml!C2061</f>
        <v>尖头盾</v>
      </c>
      <c r="D2057" s="14" t="str">
        <f>equip.xml!D2061</f>
        <v>副手武器</v>
      </c>
      <c r="E2057" s="14">
        <f>equip.xml!E2061</f>
        <v>6</v>
      </c>
      <c r="F2057" s="14">
        <f>equip.xml!F2061</f>
        <v>5</v>
      </c>
      <c r="G2057" s="14">
        <f>equip.xml!G2061</f>
        <v>45</v>
      </c>
      <c r="H2057" s="14" t="str">
        <f>equip.xml!H2061</f>
        <v>1,1001</v>
      </c>
      <c r="I2057" s="14">
        <f>equip.xml!J2061</f>
        <v>150</v>
      </c>
      <c r="J2057" s="14">
        <f>equip.xml!K2061</f>
        <v>1500</v>
      </c>
      <c r="K2057" s="14">
        <f>equip.xml!L2061</f>
        <v>27500</v>
      </c>
      <c r="L2057" s="14" t="str">
        <f>equip.xml!M2061</f>
        <v>105_1312_1312</v>
      </c>
      <c r="M2057" s="17" t="str">
        <f>equip.xml!Q2061</f>
        <v>equipment/2101.png</v>
      </c>
      <c r="N2057" s="16" t="str">
        <f>equip.xml!P2061</f>
        <v>10000_1002_45000,30000_30001_1,30000_30002_1,30000_30003_1</v>
      </c>
      <c r="O2057">
        <f>equip.xml!R2061</f>
        <v>0</v>
      </c>
    </row>
    <row r="2058" spans="1:15">
      <c r="A2058" s="14" t="str">
        <f>equip.xml!A2062</f>
        <v>50452050</v>
      </c>
      <c r="B2058" s="14">
        <f>equip.xml!B2062</f>
        <v>1</v>
      </c>
      <c r="C2058" s="14" t="str">
        <f>equip.xml!C2062</f>
        <v>霜语长弓</v>
      </c>
      <c r="D2058" s="14" t="str">
        <f>equip.xml!D2062</f>
        <v>主手武器</v>
      </c>
      <c r="E2058" s="14">
        <f>equip.xml!E2062</f>
        <v>5</v>
      </c>
      <c r="F2058" s="14">
        <f>equip.xml!F2062</f>
        <v>5</v>
      </c>
      <c r="G2058" s="14">
        <f>equip.xml!G2062</f>
        <v>45</v>
      </c>
      <c r="H2058" s="14" t="str">
        <f>equip.xml!H2062</f>
        <v>2,1002</v>
      </c>
      <c r="I2058" s="14">
        <f>equip.xml!J2062</f>
        <v>150</v>
      </c>
      <c r="J2058" s="14">
        <f>equip.xml!K2062</f>
        <v>1500</v>
      </c>
      <c r="K2058" s="14">
        <f>equip.xml!L2062</f>
        <v>25000</v>
      </c>
      <c r="L2058" s="14" t="str">
        <f>equip.xml!M2062</f>
        <v>103_854_854,104_1708_1708</v>
      </c>
      <c r="M2058" s="17" t="str">
        <f>equip.xml!Q2062</f>
        <v>equipment/1217.png</v>
      </c>
      <c r="N2058" s="16" t="str">
        <f>equip.xml!P2062</f>
        <v>10000_1002_45000,30000_30001_1,30000_30002_1,30000_30003_1</v>
      </c>
      <c r="O2058">
        <f>equip.xml!R2062</f>
        <v>0</v>
      </c>
    </row>
    <row r="2059" spans="1:15">
      <c r="A2059" s="14" t="str">
        <f>equip.xml!A2063</f>
        <v>50452051</v>
      </c>
      <c r="B2059" s="14">
        <f>equip.xml!B2063</f>
        <v>0</v>
      </c>
      <c r="C2059" s="14" t="str">
        <f>equip.xml!C2063</f>
        <v>棘木弓</v>
      </c>
      <c r="D2059" s="14" t="str">
        <f>equip.xml!D2063</f>
        <v>主手武器</v>
      </c>
      <c r="E2059" s="14">
        <f>equip.xml!E2063</f>
        <v>5</v>
      </c>
      <c r="F2059" s="14">
        <f>equip.xml!F2063</f>
        <v>5</v>
      </c>
      <c r="G2059" s="14">
        <f>equip.xml!G2063</f>
        <v>45</v>
      </c>
      <c r="H2059" s="14" t="str">
        <f>equip.xml!H2063</f>
        <v>2,1002</v>
      </c>
      <c r="I2059" s="14">
        <f>equip.xml!J2063</f>
        <v>150</v>
      </c>
      <c r="J2059" s="14">
        <f>equip.xml!K2063</f>
        <v>1500</v>
      </c>
      <c r="K2059" s="14">
        <f>equip.xml!L2063</f>
        <v>27500</v>
      </c>
      <c r="L2059" s="14" t="str">
        <f>equip.xml!M2063</f>
        <v>103_951_951,104_1902_1902</v>
      </c>
      <c r="M2059" s="17" t="str">
        <f>equip.xml!Q2063</f>
        <v>equipment/1201.png</v>
      </c>
      <c r="N2059" s="16" t="str">
        <f>equip.xml!P2063</f>
        <v>10000_1002_45000,30000_30001_1,30000_30002_1,30000_30003_1</v>
      </c>
      <c r="O2059">
        <f>equip.xml!R2063</f>
        <v>0</v>
      </c>
    </row>
    <row r="2060" spans="1:15">
      <c r="A2060" s="14" t="str">
        <f>equip.xml!A2064</f>
        <v>50452060</v>
      </c>
      <c r="B2060" s="14">
        <f>equip.xml!B2064</f>
        <v>1</v>
      </c>
      <c r="C2060" s="14" t="str">
        <f>equip.xml!C2064</f>
        <v>月沐箭筒</v>
      </c>
      <c r="D2060" s="14" t="str">
        <f>equip.xml!D2064</f>
        <v>副手武器</v>
      </c>
      <c r="E2060" s="14">
        <f>equip.xml!E2064</f>
        <v>6</v>
      </c>
      <c r="F2060" s="14">
        <f>equip.xml!F2064</f>
        <v>5</v>
      </c>
      <c r="G2060" s="14">
        <f>equip.xml!G2064</f>
        <v>45</v>
      </c>
      <c r="H2060" s="14" t="str">
        <f>equip.xml!H2064</f>
        <v>2,1002</v>
      </c>
      <c r="I2060" s="14">
        <f>equip.xml!J2064</f>
        <v>150</v>
      </c>
      <c r="J2060" s="14">
        <f>equip.xml!K2064</f>
        <v>1500</v>
      </c>
      <c r="K2060" s="14">
        <f>equip.xml!L2064</f>
        <v>25000</v>
      </c>
      <c r="L2060" s="14" t="str">
        <f>equip.xml!M2064</f>
        <v>108_1253_1253</v>
      </c>
      <c r="M2060" s="17" t="str">
        <f>equip.xml!Q2064</f>
        <v>equipment/2211.png</v>
      </c>
      <c r="N2060" s="16" t="str">
        <f>equip.xml!P2064</f>
        <v>10000_1002_45000,30000_30001_1,30000_30002_1,30000_30003_1</v>
      </c>
      <c r="O2060">
        <f>equip.xml!R2064</f>
        <v>0</v>
      </c>
    </row>
    <row r="2061" spans="1:15">
      <c r="A2061" s="14" t="str">
        <f>equip.xml!A2065</f>
        <v>50452061</v>
      </c>
      <c r="B2061" s="14">
        <f>equip.xml!B2065</f>
        <v>0</v>
      </c>
      <c r="C2061" s="14" t="str">
        <f>equip.xml!C2065</f>
        <v>箭筒</v>
      </c>
      <c r="D2061" s="14" t="str">
        <f>equip.xml!D2065</f>
        <v>副手武器</v>
      </c>
      <c r="E2061" s="14">
        <f>equip.xml!E2065</f>
        <v>6</v>
      </c>
      <c r="F2061" s="14">
        <f>equip.xml!F2065</f>
        <v>5</v>
      </c>
      <c r="G2061" s="14">
        <f>equip.xml!G2065</f>
        <v>45</v>
      </c>
      <c r="H2061" s="14" t="str">
        <f>equip.xml!H2065</f>
        <v>2,1002</v>
      </c>
      <c r="I2061" s="14">
        <f>equip.xml!J2065</f>
        <v>150</v>
      </c>
      <c r="J2061" s="14">
        <f>equip.xml!K2065</f>
        <v>1500</v>
      </c>
      <c r="K2061" s="14">
        <f>equip.xml!L2065</f>
        <v>27500</v>
      </c>
      <c r="L2061" s="14" t="str">
        <f>equip.xml!M2065</f>
        <v>108_1312_1312</v>
      </c>
      <c r="M2061" s="17" t="str">
        <f>equip.xml!Q2065</f>
        <v>equipment/2201.png</v>
      </c>
      <c r="N2061" s="16" t="str">
        <f>equip.xml!P2065</f>
        <v>10000_1002_45000,30000_30001_1,30000_30002_1,30000_30003_1</v>
      </c>
      <c r="O2061">
        <f>equip.xml!R2065</f>
        <v>0</v>
      </c>
    </row>
    <row r="2062" spans="1:15">
      <c r="A2062" s="14" t="str">
        <f>equip.xml!A2066</f>
        <v>50453050</v>
      </c>
      <c r="B2062" s="14">
        <f>equip.xml!B2066</f>
        <v>1</v>
      </c>
      <c r="C2062" s="14" t="str">
        <f>equip.xml!C2066</f>
        <v>皇权之杖</v>
      </c>
      <c r="D2062" s="14" t="str">
        <f>equip.xml!D2066</f>
        <v>主手武器</v>
      </c>
      <c r="E2062" s="14">
        <f>equip.xml!E2066</f>
        <v>5</v>
      </c>
      <c r="F2062" s="14">
        <f>equip.xml!F2066</f>
        <v>5</v>
      </c>
      <c r="G2062" s="14">
        <f>equip.xml!G2066</f>
        <v>45</v>
      </c>
      <c r="H2062" s="14" t="str">
        <f>equip.xml!H2066</f>
        <v>3,1003</v>
      </c>
      <c r="I2062" s="14">
        <f>equip.xml!J2066</f>
        <v>150</v>
      </c>
      <c r="J2062" s="14">
        <f>equip.xml!K2066</f>
        <v>1500</v>
      </c>
      <c r="K2062" s="14">
        <f>equip.xml!L2066</f>
        <v>25000</v>
      </c>
      <c r="L2062" s="14" t="str">
        <f>equip.xml!M2066</f>
        <v>103_854_854,104_1708_1708</v>
      </c>
      <c r="M2062" s="17" t="str">
        <f>equip.xml!Q2066</f>
        <v>equipment/1316.png</v>
      </c>
      <c r="N2062" s="16" t="str">
        <f>equip.xml!P2066</f>
        <v>10000_1002_45000,30000_30001_1,30000_30002_1,30000_30003_1</v>
      </c>
      <c r="O2062">
        <f>equip.xml!R2066</f>
        <v>0</v>
      </c>
    </row>
    <row r="2063" spans="1:15">
      <c r="A2063" s="14" t="str">
        <f>equip.xml!A2067</f>
        <v>50453051</v>
      </c>
      <c r="B2063" s="14">
        <f>equip.xml!B2067</f>
        <v>1</v>
      </c>
      <c r="C2063" s="14" t="str">
        <f>equip.xml!C2067</f>
        <v>圣晶权杖</v>
      </c>
      <c r="D2063" s="14" t="str">
        <f>equip.xml!D2067</f>
        <v>主手武器</v>
      </c>
      <c r="E2063" s="14">
        <f>equip.xml!E2067</f>
        <v>5</v>
      </c>
      <c r="F2063" s="14">
        <f>equip.xml!F2067</f>
        <v>5</v>
      </c>
      <c r="G2063" s="14">
        <f>equip.xml!G2067</f>
        <v>45</v>
      </c>
      <c r="H2063" s="14" t="str">
        <f>equip.xml!H2067</f>
        <v>3,1003</v>
      </c>
      <c r="I2063" s="14">
        <f>equip.xml!J2067</f>
        <v>150</v>
      </c>
      <c r="J2063" s="14">
        <f>equip.xml!K2067</f>
        <v>1500</v>
      </c>
      <c r="K2063" s="14">
        <f>equip.xml!L2067</f>
        <v>27500</v>
      </c>
      <c r="L2063" s="14" t="str">
        <f>equip.xml!M2067</f>
        <v>103_951_951,104_1902_1902</v>
      </c>
      <c r="M2063" s="17" t="str">
        <f>equip.xml!Q2067</f>
        <v>equipment/1318.png</v>
      </c>
      <c r="N2063" s="16" t="str">
        <f>equip.xml!P2067</f>
        <v>10000_1002_45000,30000_30001_1,30000_30002_1,30000_30003_1</v>
      </c>
      <c r="O2063">
        <f>equip.xml!R2067</f>
        <v>0</v>
      </c>
    </row>
    <row r="2064" spans="1:15">
      <c r="A2064" s="14" t="str">
        <f>equip.xml!A2068</f>
        <v>50453060</v>
      </c>
      <c r="B2064" s="14">
        <f>equip.xml!B2068</f>
        <v>1</v>
      </c>
      <c r="C2064" s="14" t="str">
        <f>equip.xml!C2068</f>
        <v>占卜魔典</v>
      </c>
      <c r="D2064" s="14" t="str">
        <f>equip.xml!D2068</f>
        <v>副手武器</v>
      </c>
      <c r="E2064" s="14">
        <f>equip.xml!E2068</f>
        <v>6</v>
      </c>
      <c r="F2064" s="14">
        <f>equip.xml!F2068</f>
        <v>5</v>
      </c>
      <c r="G2064" s="14">
        <f>equip.xml!G2068</f>
        <v>45</v>
      </c>
      <c r="H2064" s="14" t="str">
        <f>equip.xml!H2068</f>
        <v>3,1003</v>
      </c>
      <c r="I2064" s="14">
        <f>equip.xml!J2068</f>
        <v>150</v>
      </c>
      <c r="J2064" s="14">
        <f>equip.xml!K2068</f>
        <v>1500</v>
      </c>
      <c r="K2064" s="14">
        <f>equip.xml!L2068</f>
        <v>25000</v>
      </c>
      <c r="L2064" s="14" t="str">
        <f>equip.xml!M2068</f>
        <v>102_1320_1320</v>
      </c>
      <c r="M2064" s="17" t="str">
        <f>equip.xml!Q2068</f>
        <v>equipment/2310.png</v>
      </c>
      <c r="N2064" s="16" t="str">
        <f>equip.xml!P2068</f>
        <v>10000_1002_45000,30000_30001_1,30000_30002_1,30000_30003_1</v>
      </c>
      <c r="O2064">
        <f>equip.xml!R2068</f>
        <v>0</v>
      </c>
    </row>
    <row r="2065" spans="1:15">
      <c r="A2065" s="14" t="str">
        <f>equip.xml!A2069</f>
        <v>50453061</v>
      </c>
      <c r="B2065" s="14">
        <f>equip.xml!B2069</f>
        <v>0</v>
      </c>
      <c r="C2065" s="14" t="str">
        <f>equip.xml!C2069</f>
        <v>法术指南</v>
      </c>
      <c r="D2065" s="14" t="str">
        <f>equip.xml!D2069</f>
        <v>副手武器</v>
      </c>
      <c r="E2065" s="14">
        <f>equip.xml!E2069</f>
        <v>6</v>
      </c>
      <c r="F2065" s="14">
        <f>equip.xml!F2069</f>
        <v>5</v>
      </c>
      <c r="G2065" s="14">
        <f>equip.xml!G2069</f>
        <v>45</v>
      </c>
      <c r="H2065" s="14" t="str">
        <f>equip.xml!H2069</f>
        <v>3,1003</v>
      </c>
      <c r="I2065" s="14">
        <f>equip.xml!J2069</f>
        <v>150</v>
      </c>
      <c r="J2065" s="14">
        <f>equip.xml!K2069</f>
        <v>1500</v>
      </c>
      <c r="K2065" s="14">
        <f>equip.xml!L2069</f>
        <v>27500</v>
      </c>
      <c r="L2065" s="14" t="str">
        <f>equip.xml!M2069</f>
        <v>102_1312_1312</v>
      </c>
      <c r="M2065" s="17" t="str">
        <f>equip.xml!Q2069</f>
        <v>equipment/2301.png</v>
      </c>
      <c r="N2065" s="16" t="str">
        <f>equip.xml!P2069</f>
        <v>10000_1002_45000,30000_30001_1,30000_30002_1,30000_30003_1</v>
      </c>
      <c r="O2065">
        <f>equip.xml!R2069</f>
        <v>0</v>
      </c>
    </row>
    <row r="2066" spans="1:15">
      <c r="A2066" s="14" t="str">
        <f>equip.xml!A2070</f>
        <v>50450040</v>
      </c>
      <c r="B2066" s="14">
        <f>equip.xml!B2070</f>
        <v>1</v>
      </c>
      <c r="C2066" s="14" t="str">
        <f>equip.xml!C2070</f>
        <v>执政官胸甲</v>
      </c>
      <c r="D2066" s="14" t="str">
        <f>equip.xml!D2070</f>
        <v>胸甲</v>
      </c>
      <c r="E2066" s="14">
        <f>equip.xml!E2070</f>
        <v>4</v>
      </c>
      <c r="F2066" s="14">
        <f>equip.xml!F2070</f>
        <v>5</v>
      </c>
      <c r="G2066" s="14">
        <f>equip.xml!G2070</f>
        <v>45</v>
      </c>
      <c r="H2066" s="14">
        <f>equip.xml!H2070</f>
        <v>0</v>
      </c>
      <c r="I2066" s="14">
        <f>equip.xml!J2070</f>
        <v>150</v>
      </c>
      <c r="J2066" s="14">
        <f>equip.xml!K2070</f>
        <v>1500</v>
      </c>
      <c r="K2066" s="14">
        <f>equip.xml!L2070</f>
        <v>25000</v>
      </c>
      <c r="L2066" s="14" t="str">
        <f>equip.xml!M2070</f>
        <v>105_628_628</v>
      </c>
      <c r="M2066" s="17" t="str">
        <f>equip.xml!Q2070</f>
        <v>equipment/5013.png</v>
      </c>
      <c r="N2066" s="16" t="str">
        <f>equip.xml!P2070</f>
        <v>10000_1002_45000,30000_30001_1,30000_30002_1,30000_30003_1</v>
      </c>
      <c r="O2066">
        <f>equip.xml!R2070</f>
        <v>0</v>
      </c>
    </row>
    <row r="2067" spans="1:15">
      <c r="A2067" s="14" t="str">
        <f>equip.xml!A2071</f>
        <v>50450041</v>
      </c>
      <c r="B2067" s="14">
        <f>equip.xml!B2071</f>
        <v>1</v>
      </c>
      <c r="C2067" s="14" t="str">
        <f>equip.xml!C2071</f>
        <v>军团胸甲</v>
      </c>
      <c r="D2067" s="14" t="str">
        <f>equip.xml!D2071</f>
        <v>胸甲</v>
      </c>
      <c r="E2067" s="14">
        <f>equip.xml!E2071</f>
        <v>4</v>
      </c>
      <c r="F2067" s="14">
        <f>equip.xml!F2071</f>
        <v>5</v>
      </c>
      <c r="G2067" s="14">
        <f>equip.xml!G2071</f>
        <v>45</v>
      </c>
      <c r="H2067" s="14">
        <f>equip.xml!H2071</f>
        <v>0</v>
      </c>
      <c r="I2067" s="14">
        <f>equip.xml!J2071</f>
        <v>150</v>
      </c>
      <c r="J2067" s="14">
        <f>equip.xml!K2071</f>
        <v>1500</v>
      </c>
      <c r="K2067" s="14">
        <f>equip.xml!L2071</f>
        <v>27500</v>
      </c>
      <c r="L2067" s="14" t="str">
        <f>equip.xml!M2071</f>
        <v>105_689_689</v>
      </c>
      <c r="M2067" s="17" t="str">
        <f>equip.xml!Q2071</f>
        <v>equipment/5014.png</v>
      </c>
      <c r="N2067" s="16" t="str">
        <f>equip.xml!P2071</f>
        <v>10000_1002_45000,30000_30001_1,30000_30002_1,30000_30003_1</v>
      </c>
      <c r="O2067">
        <f>equip.xml!R2071</f>
        <v>0</v>
      </c>
    </row>
    <row r="2068" spans="1:15">
      <c r="A2068" s="14" t="str">
        <f>equip.xml!A2072</f>
        <v>50450070</v>
      </c>
      <c r="B2068" s="14">
        <f>equip.xml!B2072</f>
        <v>1</v>
      </c>
      <c r="C2068" s="14" t="str">
        <f>equip.xml!C2072</f>
        <v>冰铸腿铠</v>
      </c>
      <c r="D2068" s="14" t="str">
        <f>equip.xml!D2072</f>
        <v>护腿</v>
      </c>
      <c r="E2068" s="14">
        <f>equip.xml!E2072</f>
        <v>7</v>
      </c>
      <c r="F2068" s="14">
        <f>equip.xml!F2072</f>
        <v>5</v>
      </c>
      <c r="G2068" s="14">
        <f>equip.xml!G2072</f>
        <v>45</v>
      </c>
      <c r="H2068" s="14">
        <f>equip.xml!H2072</f>
        <v>0</v>
      </c>
      <c r="I2068" s="14">
        <f>equip.xml!J2072</f>
        <v>150</v>
      </c>
      <c r="J2068" s="14">
        <f>equip.xml!K2072</f>
        <v>1500</v>
      </c>
      <c r="K2068" s="14">
        <f>equip.xml!L2072</f>
        <v>25000</v>
      </c>
      <c r="L2068" s="14" t="str">
        <f>equip.xml!M2072</f>
        <v>105_497_497</v>
      </c>
      <c r="M2068" s="17" t="str">
        <f>equip.xml!Q2072</f>
        <v>equipment/7011.png</v>
      </c>
      <c r="N2068" s="16" t="str">
        <f>equip.xml!P2072</f>
        <v>10000_1002_45000,30000_30001_1,30000_30002_1,30000_30003_1</v>
      </c>
      <c r="O2068">
        <f>equip.xml!R2072</f>
        <v>0</v>
      </c>
    </row>
    <row r="2069" spans="1:15">
      <c r="A2069" s="14" t="str">
        <f>equip.xml!A2073</f>
        <v>50450071</v>
      </c>
      <c r="B2069" s="14">
        <f>equip.xml!B2073</f>
        <v>1</v>
      </c>
      <c r="C2069" s="14" t="str">
        <f>equip.xml!C2073</f>
        <v>织灵护腿</v>
      </c>
      <c r="D2069" s="14" t="str">
        <f>equip.xml!D2073</f>
        <v>护腿</v>
      </c>
      <c r="E2069" s="14">
        <f>equip.xml!E2073</f>
        <v>7</v>
      </c>
      <c r="F2069" s="14">
        <f>equip.xml!F2073</f>
        <v>5</v>
      </c>
      <c r="G2069" s="14">
        <f>equip.xml!G2073</f>
        <v>45</v>
      </c>
      <c r="H2069" s="14">
        <f>equip.xml!H2073</f>
        <v>0</v>
      </c>
      <c r="I2069" s="14">
        <f>equip.xml!J2073</f>
        <v>150</v>
      </c>
      <c r="J2069" s="14">
        <f>equip.xml!K2073</f>
        <v>1500</v>
      </c>
      <c r="K2069" s="14">
        <f>equip.xml!L2073</f>
        <v>27500</v>
      </c>
      <c r="L2069" s="14" t="str">
        <f>equip.xml!M2073</f>
        <v>105_549_549</v>
      </c>
      <c r="M2069" s="17" t="str">
        <f>equip.xml!Q2073</f>
        <v>equipment/7010.png</v>
      </c>
      <c r="N2069" s="16" t="str">
        <f>equip.xml!P2073</f>
        <v>10000_1002_45000,30000_30001_1,30000_30002_1,30000_30003_1</v>
      </c>
      <c r="O2069">
        <f>equip.xml!R2073</f>
        <v>0</v>
      </c>
    </row>
    <row r="2070" spans="1:15">
      <c r="A2070" s="14" t="str">
        <f>equip.xml!A2074</f>
        <v>50500010</v>
      </c>
      <c r="B2070" s="14">
        <f>equip.xml!B2074</f>
        <v>1</v>
      </c>
      <c r="C2070" s="14" t="str">
        <f>equip.xml!C2074</f>
        <v>战痕头盔</v>
      </c>
      <c r="D2070" s="14" t="str">
        <f>equip.xml!D2074</f>
        <v>头盔</v>
      </c>
      <c r="E2070" s="14">
        <f>equip.xml!E2074</f>
        <v>1</v>
      </c>
      <c r="F2070" s="14">
        <f>equip.xml!F2074</f>
        <v>5</v>
      </c>
      <c r="G2070" s="14">
        <f>equip.xml!G2074</f>
        <v>50</v>
      </c>
      <c r="H2070" s="14">
        <f>equip.xml!H2074</f>
        <v>0</v>
      </c>
      <c r="I2070" s="14">
        <f>equip.xml!J2074</f>
        <v>150</v>
      </c>
      <c r="J2070" s="14">
        <f>equip.xml!K2074</f>
        <v>1500</v>
      </c>
      <c r="K2070" s="14">
        <f>equip.xml!L2074</f>
        <v>27500</v>
      </c>
      <c r="L2070" s="14" t="str">
        <f>equip.xml!M2074</f>
        <v>106_1000_1000</v>
      </c>
      <c r="M2070" s="17" t="str">
        <f>equip.xml!Q2074</f>
        <v>equipment/3008.png</v>
      </c>
      <c r="N2070" s="16" t="str">
        <f>equip.xml!P2074</f>
        <v>10000_1002_50000,30000_30001_1,30000_30002_1,30000_30003_1</v>
      </c>
      <c r="O2070">
        <f>equip.xml!R2074</f>
        <v>0</v>
      </c>
    </row>
    <row r="2071" spans="1:15">
      <c r="A2071" s="14" t="str">
        <f>equip.xml!A2075</f>
        <v>50500020</v>
      </c>
      <c r="B2071" s="14">
        <f>equip.xml!B2075</f>
        <v>1</v>
      </c>
      <c r="C2071" s="14" t="str">
        <f>equip.xml!C2075</f>
        <v>灵风之戒</v>
      </c>
      <c r="D2071" s="14" t="str">
        <f>equip.xml!D2075</f>
        <v>戒指</v>
      </c>
      <c r="E2071" s="14">
        <f>equip.xml!E2075</f>
        <v>2</v>
      </c>
      <c r="F2071" s="14">
        <f>equip.xml!F2075</f>
        <v>5</v>
      </c>
      <c r="G2071" s="14">
        <f>equip.xml!G2075</f>
        <v>50</v>
      </c>
      <c r="H2071" s="14">
        <f>equip.xml!H2075</f>
        <v>0</v>
      </c>
      <c r="I2071" s="14">
        <f>equip.xml!J2075</f>
        <v>150</v>
      </c>
      <c r="J2071" s="14">
        <f>equip.xml!K2075</f>
        <v>1500</v>
      </c>
      <c r="K2071" s="14">
        <f>equip.xml!L2075</f>
        <v>27500</v>
      </c>
      <c r="L2071" s="14" t="str">
        <f>equip.xml!M2075</f>
        <v>102_975_975</v>
      </c>
      <c r="M2071" s="17" t="str">
        <f>equip.xml!Q2075</f>
        <v>equipment/14008.png</v>
      </c>
      <c r="N2071" s="16" t="str">
        <f>equip.xml!P2075</f>
        <v>10000_1002_50000,30000_30001_1,30000_30002_1,30000_30003_1</v>
      </c>
      <c r="O2071">
        <f>equip.xml!R2075</f>
        <v>0</v>
      </c>
    </row>
    <row r="2072" spans="1:15">
      <c r="A2072" s="14" t="str">
        <f>equip.xml!A2076</f>
        <v>50500030</v>
      </c>
      <c r="B2072" s="14">
        <f>equip.xml!B2076</f>
        <v>1</v>
      </c>
      <c r="C2072" s="14" t="str">
        <f>equip.xml!C2076</f>
        <v>生命腰带</v>
      </c>
      <c r="D2072" s="14" t="str">
        <f>equip.xml!D2076</f>
        <v>腰带</v>
      </c>
      <c r="E2072" s="14">
        <f>equip.xml!E2076</f>
        <v>3</v>
      </c>
      <c r="F2072" s="14">
        <f>equip.xml!F2076</f>
        <v>5</v>
      </c>
      <c r="G2072" s="14">
        <f>equip.xml!G2076</f>
        <v>50</v>
      </c>
      <c r="H2072" s="14">
        <f>equip.xml!H2076</f>
        <v>0</v>
      </c>
      <c r="I2072" s="14">
        <f>equip.xml!J2076</f>
        <v>150</v>
      </c>
      <c r="J2072" s="14">
        <f>equip.xml!K2076</f>
        <v>1500</v>
      </c>
      <c r="K2072" s="14">
        <f>equip.xml!L2076</f>
        <v>27500</v>
      </c>
      <c r="L2072" s="14" t="str">
        <f>equip.xml!M2076</f>
        <v>101_11560_11560</v>
      </c>
      <c r="M2072" s="17" t="str">
        <f>equip.xml!Q2076</f>
        <v>equipment/6009.png</v>
      </c>
      <c r="N2072" s="16" t="str">
        <f>equip.xml!P2076</f>
        <v>10000_1002_50000,30000_30001_1,30000_30002_1,30000_30003_1</v>
      </c>
      <c r="O2072">
        <f>equip.xml!R2076</f>
        <v>0</v>
      </c>
    </row>
    <row r="2073" spans="1:15">
      <c r="A2073" s="14" t="str">
        <f>equip.xml!A2077</f>
        <v>50500080</v>
      </c>
      <c r="B2073" s="14">
        <f>equip.xml!B2077</f>
        <v>1</v>
      </c>
      <c r="C2073" s="14" t="str">
        <f>equip.xml!C2077</f>
        <v>龙鳞护胫</v>
      </c>
      <c r="D2073" s="14" t="str">
        <f>equip.xml!D2077</f>
        <v>鞋子</v>
      </c>
      <c r="E2073" s="14">
        <f>equip.xml!E2077</f>
        <v>8</v>
      </c>
      <c r="F2073" s="14">
        <f>equip.xml!F2077</f>
        <v>5</v>
      </c>
      <c r="G2073" s="14">
        <f>equip.xml!G2077</f>
        <v>50</v>
      </c>
      <c r="H2073" s="14">
        <f>equip.xml!H2077</f>
        <v>0</v>
      </c>
      <c r="I2073" s="14">
        <f>equip.xml!J2077</f>
        <v>150</v>
      </c>
      <c r="J2073" s="14">
        <f>equip.xml!K2077</f>
        <v>1500</v>
      </c>
      <c r="K2073" s="14">
        <f>equip.xml!L2077</f>
        <v>27500</v>
      </c>
      <c r="L2073" s="14" t="str">
        <f>equip.xml!M2077</f>
        <v>110_172_172</v>
      </c>
      <c r="M2073" s="17" t="str">
        <f>equip.xml!Q2077</f>
        <v>equipment/8004.png</v>
      </c>
      <c r="N2073" s="16" t="str">
        <f>equip.xml!P2077</f>
        <v>10000_1002_50000,30000_30001_1,30000_30002_1,30000_30003_1</v>
      </c>
      <c r="O2073">
        <f>equip.xml!R2077</f>
        <v>0</v>
      </c>
    </row>
    <row r="2074" spans="1:15">
      <c r="A2074" s="14" t="str">
        <f>equip.xml!A2078</f>
        <v>50500090</v>
      </c>
      <c r="B2074" s="14">
        <f>equip.xml!B2078</f>
        <v>1</v>
      </c>
      <c r="C2074" s="14" t="str">
        <f>equip.xml!C2078</f>
        <v>血拳手套</v>
      </c>
      <c r="D2074" s="14" t="str">
        <f>equip.xml!D2078</f>
        <v>手套</v>
      </c>
      <c r="E2074" s="14">
        <f>equip.xml!E2078</f>
        <v>9</v>
      </c>
      <c r="F2074" s="14">
        <f>equip.xml!F2078</f>
        <v>5</v>
      </c>
      <c r="G2074" s="14">
        <f>equip.xml!G2078</f>
        <v>50</v>
      </c>
      <c r="H2074" s="14">
        <f>equip.xml!H2078</f>
        <v>0</v>
      </c>
      <c r="I2074" s="14">
        <f>equip.xml!J2078</f>
        <v>150</v>
      </c>
      <c r="J2074" s="14">
        <f>equip.xml!K2078</f>
        <v>1500</v>
      </c>
      <c r="K2074" s="14">
        <f>equip.xml!L2078</f>
        <v>27500</v>
      </c>
      <c r="L2074" s="14" t="str">
        <f>equip.xml!M2078</f>
        <v>108_1726_1726</v>
      </c>
      <c r="M2074" s="17" t="str">
        <f>equip.xml!Q2078</f>
        <v>equipment/10009.png</v>
      </c>
      <c r="N2074" s="16" t="str">
        <f>equip.xml!P2078</f>
        <v>10000_1002_50000,30000_30001_1,30000_30002_1,30000_30003_1</v>
      </c>
      <c r="O2074">
        <f>equip.xml!R2078</f>
        <v>0</v>
      </c>
    </row>
    <row r="2075" spans="1:15">
      <c r="A2075" s="14" t="str">
        <f>equip.xml!A2079</f>
        <v>50500100</v>
      </c>
      <c r="B2075" s="14">
        <f>equip.xml!B2079</f>
        <v>1</v>
      </c>
      <c r="C2075" s="14" t="str">
        <f>equip.xml!C2079</f>
        <v>誓言护坠</v>
      </c>
      <c r="D2075" s="14" t="str">
        <f>equip.xml!D2079</f>
        <v>项链</v>
      </c>
      <c r="E2075" s="14">
        <f>equip.xml!E2079</f>
        <v>10</v>
      </c>
      <c r="F2075" s="14">
        <f>equip.xml!F2079</f>
        <v>5</v>
      </c>
      <c r="G2075" s="14">
        <f>equip.xml!G2079</f>
        <v>50</v>
      </c>
      <c r="H2075" s="14">
        <f>equip.xml!H2079</f>
        <v>0</v>
      </c>
      <c r="I2075" s="14">
        <f>equip.xml!J2079</f>
        <v>150</v>
      </c>
      <c r="J2075" s="14">
        <f>equip.xml!K2079</f>
        <v>1500</v>
      </c>
      <c r="K2075" s="14">
        <f>equip.xml!L2079</f>
        <v>27500</v>
      </c>
      <c r="L2075" s="14" t="str">
        <f>equip.xml!M2079</f>
        <v>107_1000_1000</v>
      </c>
      <c r="M2075" s="17" t="str">
        <f>equip.xml!Q2079</f>
        <v>equipment/12008.png</v>
      </c>
      <c r="N2075" s="16" t="str">
        <f>equip.xml!P2079</f>
        <v>10000_1002_50000,30000_30001_1,30000_30002_1,30000_30003_1</v>
      </c>
      <c r="O2075">
        <f>equip.xml!R2079</f>
        <v>0</v>
      </c>
    </row>
    <row r="2076" spans="1:15">
      <c r="A2076" s="14" t="str">
        <f>equip.xml!A2080</f>
        <v>50501050</v>
      </c>
      <c r="B2076" s="14">
        <f>equip.xml!B2080</f>
        <v>1</v>
      </c>
      <c r="C2076" s="14" t="str">
        <f>equip.xml!C2080</f>
        <v>黎明之刃</v>
      </c>
      <c r="D2076" s="14" t="str">
        <f>equip.xml!D2080</f>
        <v>主手武器</v>
      </c>
      <c r="E2076" s="14">
        <f>equip.xml!E2080</f>
        <v>5</v>
      </c>
      <c r="F2076" s="14">
        <f>equip.xml!F2080</f>
        <v>5</v>
      </c>
      <c r="G2076" s="14">
        <f>equip.xml!G2080</f>
        <v>50</v>
      </c>
      <c r="H2076" s="14" t="str">
        <f>equip.xml!H2080</f>
        <v>1,1001</v>
      </c>
      <c r="I2076" s="14">
        <f>equip.xml!J2080</f>
        <v>150</v>
      </c>
      <c r="J2076" s="14">
        <f>equip.xml!K2080</f>
        <v>1500</v>
      </c>
      <c r="K2076" s="14">
        <f>equip.xml!L2080</f>
        <v>27500</v>
      </c>
      <c r="L2076" s="14" t="str">
        <f>equip.xml!M2080</f>
        <v>103_1097_1097,104_2194_2194</v>
      </c>
      <c r="M2076" s="17" t="str">
        <f>equip.xml!Q2080</f>
        <v>equipment/1119.png</v>
      </c>
      <c r="N2076" s="16" t="str">
        <f>equip.xml!P2080</f>
        <v>10000_1002_50000,30000_30001_1,30000_30002_1,30000_30003_1</v>
      </c>
      <c r="O2076">
        <f>equip.xml!R2080</f>
        <v>0</v>
      </c>
    </row>
    <row r="2077" spans="1:15">
      <c r="A2077" s="14" t="str">
        <f>equip.xml!A2081</f>
        <v>50501051</v>
      </c>
      <c r="B2077" s="14">
        <f>equip.xml!B2081</f>
        <v>1</v>
      </c>
      <c r="C2077" s="14" t="str">
        <f>equip.xml!C2081</f>
        <v>放逐者之刃</v>
      </c>
      <c r="D2077" s="14" t="str">
        <f>equip.xml!D2081</f>
        <v>主手武器</v>
      </c>
      <c r="E2077" s="14">
        <f>equip.xml!E2081</f>
        <v>5</v>
      </c>
      <c r="F2077" s="14">
        <f>equip.xml!F2081</f>
        <v>5</v>
      </c>
      <c r="G2077" s="14">
        <f>equip.xml!G2081</f>
        <v>50</v>
      </c>
      <c r="H2077" s="14" t="str">
        <f>equip.xml!H2081</f>
        <v>1,1001</v>
      </c>
      <c r="I2077" s="14">
        <f>equip.xml!J2081</f>
        <v>150</v>
      </c>
      <c r="J2077" s="14">
        <f>equip.xml!K2081</f>
        <v>1500</v>
      </c>
      <c r="K2077" s="14">
        <f>equip.xml!L2081</f>
        <v>30000</v>
      </c>
      <c r="L2077" s="14" t="str">
        <f>equip.xml!M2081</f>
        <v>103_1222_1222,104_2444_2444</v>
      </c>
      <c r="M2077" s="17" t="str">
        <f>equip.xml!Q2081</f>
        <v>equipment/1120.png</v>
      </c>
      <c r="N2077" s="16" t="str">
        <f>equip.xml!P2081</f>
        <v>10000_1002_50000,30000_30001_1,30000_30002_1,30000_30003_1</v>
      </c>
      <c r="O2077">
        <f>equip.xml!R2081</f>
        <v>0</v>
      </c>
    </row>
    <row r="2078" spans="1:15">
      <c r="A2078" s="14" t="str">
        <f>equip.xml!A2082</f>
        <v>50501060</v>
      </c>
      <c r="B2078" s="14">
        <f>equip.xml!B2082</f>
        <v>1</v>
      </c>
      <c r="C2078" s="14" t="str">
        <f>equip.xml!C2082</f>
        <v>魂祭之盾</v>
      </c>
      <c r="D2078" s="14" t="str">
        <f>equip.xml!D2082</f>
        <v>副手武器</v>
      </c>
      <c r="E2078" s="14">
        <f>equip.xml!E2082</f>
        <v>6</v>
      </c>
      <c r="F2078" s="14">
        <f>equip.xml!F2082</f>
        <v>5</v>
      </c>
      <c r="G2078" s="14">
        <f>equip.xml!G2082</f>
        <v>50</v>
      </c>
      <c r="H2078" s="14" t="str">
        <f>equip.xml!H2082</f>
        <v>1,1001</v>
      </c>
      <c r="I2078" s="14">
        <f>equip.xml!J2082</f>
        <v>150</v>
      </c>
      <c r="J2078" s="14">
        <f>equip.xml!K2082</f>
        <v>1500</v>
      </c>
      <c r="K2078" s="14">
        <f>equip.xml!L2082</f>
        <v>27500</v>
      </c>
      <c r="L2078" s="14" t="str">
        <f>equip.xml!M2082</f>
        <v>105_1401_1401</v>
      </c>
      <c r="M2078" s="17" t="str">
        <f>equip.xml!Q2082</f>
        <v>equipment/2111.png</v>
      </c>
      <c r="N2078" s="16" t="str">
        <f>equip.xml!P2082</f>
        <v>10000_1002_50000,30000_30001_1,30000_30002_1,30000_30003_1</v>
      </c>
      <c r="O2078">
        <f>equip.xml!R2082</f>
        <v>0</v>
      </c>
    </row>
    <row r="2079" spans="1:15">
      <c r="A2079" s="14" t="str">
        <f>equip.xml!A2083</f>
        <v>50501061</v>
      </c>
      <c r="B2079" s="14">
        <f>equip.xml!B2083</f>
        <v>1</v>
      </c>
      <c r="C2079" s="14" t="str">
        <f>equip.xml!C2083</f>
        <v>氪金大盾</v>
      </c>
      <c r="D2079" s="14" t="str">
        <f>equip.xml!D2083</f>
        <v>副手武器</v>
      </c>
      <c r="E2079" s="14">
        <f>equip.xml!E2083</f>
        <v>6</v>
      </c>
      <c r="F2079" s="14">
        <f>equip.xml!F2083</f>
        <v>5</v>
      </c>
      <c r="G2079" s="14">
        <f>equip.xml!G2083</f>
        <v>50</v>
      </c>
      <c r="H2079" s="14" t="str">
        <f>equip.xml!H2083</f>
        <v>1,1001</v>
      </c>
      <c r="I2079" s="14">
        <f>equip.xml!J2083</f>
        <v>150</v>
      </c>
      <c r="J2079" s="14">
        <f>equip.xml!K2083</f>
        <v>1500</v>
      </c>
      <c r="K2079" s="14">
        <f>equip.xml!L2083</f>
        <v>30000</v>
      </c>
      <c r="L2079" s="14" t="str">
        <f>equip.xml!M2083</f>
        <v>105_1633_1633</v>
      </c>
      <c r="M2079" s="17" t="str">
        <f>equip.xml!Q2083</f>
        <v>equipment/2112.png</v>
      </c>
      <c r="N2079" s="16" t="str">
        <f>equip.xml!P2083</f>
        <v>10000_1002_50000,30000_30001_1,30000_30002_1,30000_30003_1</v>
      </c>
      <c r="O2079">
        <f>equip.xml!R2083</f>
        <v>0</v>
      </c>
    </row>
    <row r="2080" spans="1:15">
      <c r="A2080" s="14" t="str">
        <f>equip.xml!A2084</f>
        <v>50502050</v>
      </c>
      <c r="B2080" s="14">
        <f>equip.xml!B2084</f>
        <v>1</v>
      </c>
      <c r="C2080" s="14" t="str">
        <f>equip.xml!C2084</f>
        <v>觅心者长弓</v>
      </c>
      <c r="D2080" s="14" t="str">
        <f>equip.xml!D2084</f>
        <v>主手武器</v>
      </c>
      <c r="E2080" s="14">
        <f>equip.xml!E2084</f>
        <v>5</v>
      </c>
      <c r="F2080" s="14">
        <f>equip.xml!F2084</f>
        <v>5</v>
      </c>
      <c r="G2080" s="14">
        <f>equip.xml!G2084</f>
        <v>50</v>
      </c>
      <c r="H2080" s="14" t="str">
        <f>equip.xml!H2084</f>
        <v>2,1002</v>
      </c>
      <c r="I2080" s="14">
        <f>equip.xml!J2084</f>
        <v>150</v>
      </c>
      <c r="J2080" s="14">
        <f>equip.xml!K2084</f>
        <v>1500</v>
      </c>
      <c r="K2080" s="14">
        <f>equip.xml!L2084</f>
        <v>27500</v>
      </c>
      <c r="L2080" s="14" t="str">
        <f>equip.xml!M2084</f>
        <v>103_1097_1097,104_2194_2194</v>
      </c>
      <c r="M2080" s="17" t="str">
        <f>equip.xml!Q2084</f>
        <v>equipment/1218.png</v>
      </c>
      <c r="N2080" s="16" t="str">
        <f>equip.xml!P2084</f>
        <v>10000_1002_50000,30000_30001_1,30000_30002_1,30000_30003_1</v>
      </c>
      <c r="O2080">
        <f>equip.xml!R2084</f>
        <v>0</v>
      </c>
    </row>
    <row r="2081" spans="1:15">
      <c r="A2081" s="14" t="str">
        <f>equip.xml!A2085</f>
        <v>50502051</v>
      </c>
      <c r="B2081" s="14">
        <f>equip.xml!B2085</f>
        <v>1</v>
      </c>
      <c r="C2081" s="14" t="str">
        <f>equip.xml!C2085</f>
        <v>阳炎之弓</v>
      </c>
      <c r="D2081" s="14" t="str">
        <f>equip.xml!D2085</f>
        <v>主手武器</v>
      </c>
      <c r="E2081" s="14">
        <f>equip.xml!E2085</f>
        <v>5</v>
      </c>
      <c r="F2081" s="14">
        <f>equip.xml!F2085</f>
        <v>5</v>
      </c>
      <c r="G2081" s="14">
        <f>equip.xml!G2085</f>
        <v>50</v>
      </c>
      <c r="H2081" s="14" t="str">
        <f>equip.xml!H2085</f>
        <v>2,1002</v>
      </c>
      <c r="I2081" s="14">
        <f>equip.xml!J2085</f>
        <v>150</v>
      </c>
      <c r="J2081" s="14">
        <f>equip.xml!K2085</f>
        <v>1500</v>
      </c>
      <c r="K2081" s="14">
        <f>equip.xml!L2085</f>
        <v>30000</v>
      </c>
      <c r="L2081" s="14" t="str">
        <f>equip.xml!M2085</f>
        <v>103_1222_1222,104_2444_2444</v>
      </c>
      <c r="M2081" s="17" t="str">
        <f>equip.xml!Q2085</f>
        <v>equipment/1221.png</v>
      </c>
      <c r="N2081" s="16" t="str">
        <f>equip.xml!P2085</f>
        <v>10000_1002_50000,30000_30001_1,30000_30002_1,30000_30003_1</v>
      </c>
      <c r="O2081">
        <f>equip.xml!R2085</f>
        <v>0</v>
      </c>
    </row>
    <row r="2082" spans="1:15">
      <c r="A2082" s="14" t="str">
        <f>equip.xml!A2086</f>
        <v>50502060</v>
      </c>
      <c r="B2082" s="14">
        <f>equip.xml!B2086</f>
        <v>1</v>
      </c>
      <c r="C2082" s="14" t="str">
        <f>equip.xml!C2086</f>
        <v>黑骨箭袋</v>
      </c>
      <c r="D2082" s="14" t="str">
        <f>equip.xml!D2086</f>
        <v>副手武器</v>
      </c>
      <c r="E2082" s="14">
        <f>equip.xml!E2086</f>
        <v>6</v>
      </c>
      <c r="F2082" s="14">
        <f>equip.xml!F2086</f>
        <v>5</v>
      </c>
      <c r="G2082" s="14">
        <f>equip.xml!G2086</f>
        <v>50</v>
      </c>
      <c r="H2082" s="14" t="str">
        <f>equip.xml!H2086</f>
        <v>2,1002</v>
      </c>
      <c r="I2082" s="14">
        <f>equip.xml!J2086</f>
        <v>150</v>
      </c>
      <c r="J2082" s="14">
        <f>equip.xml!K2086</f>
        <v>1500</v>
      </c>
      <c r="K2082" s="14">
        <f>equip.xml!L2086</f>
        <v>27500</v>
      </c>
      <c r="L2082" s="14" t="str">
        <f>equip.xml!M2086</f>
        <v>108_1401_1401</v>
      </c>
      <c r="M2082" s="17" t="str">
        <f>equip.xml!Q2086</f>
        <v>equipment/2210.png</v>
      </c>
      <c r="N2082" s="16" t="str">
        <f>equip.xml!P2086</f>
        <v>10000_1002_50000,30000_30001_1,30000_30002_1,30000_30003_1</v>
      </c>
      <c r="O2082">
        <f>equip.xml!R2086</f>
        <v>0</v>
      </c>
    </row>
    <row r="2083" spans="1:15">
      <c r="A2083" s="14" t="str">
        <f>equip.xml!A2087</f>
        <v>50502061</v>
      </c>
      <c r="B2083" s="14">
        <f>equip.xml!B2087</f>
        <v>1</v>
      </c>
      <c r="C2083" s="14" t="str">
        <f>equip.xml!C2087</f>
        <v>符文箭筒</v>
      </c>
      <c r="D2083" s="14" t="str">
        <f>equip.xml!D2087</f>
        <v>副手武器</v>
      </c>
      <c r="E2083" s="14">
        <f>equip.xml!E2087</f>
        <v>6</v>
      </c>
      <c r="F2083" s="14">
        <f>equip.xml!F2087</f>
        <v>5</v>
      </c>
      <c r="G2083" s="14">
        <f>equip.xml!G2087</f>
        <v>50</v>
      </c>
      <c r="H2083" s="14" t="str">
        <f>equip.xml!H2087</f>
        <v>2,1002</v>
      </c>
      <c r="I2083" s="14">
        <f>equip.xml!J2087</f>
        <v>150</v>
      </c>
      <c r="J2083" s="14">
        <f>equip.xml!K2087</f>
        <v>1500</v>
      </c>
      <c r="K2083" s="14">
        <f>equip.xml!L2087</f>
        <v>30000</v>
      </c>
      <c r="L2083" s="14" t="str">
        <f>equip.xml!M2087</f>
        <v>108_1633_1633</v>
      </c>
      <c r="M2083" s="17" t="str">
        <f>equip.xml!Q2087</f>
        <v>equipment/2212.png</v>
      </c>
      <c r="N2083" s="16" t="str">
        <f>equip.xml!P2087</f>
        <v>10000_1002_50000,30000_30001_1,30000_30002_1,30000_30003_1</v>
      </c>
      <c r="O2083">
        <f>equip.xml!R2087</f>
        <v>0</v>
      </c>
    </row>
    <row r="2084" spans="1:15">
      <c r="A2084" s="14" t="str">
        <f>equip.xml!A2088</f>
        <v>50503050</v>
      </c>
      <c r="B2084" s="14">
        <f>equip.xml!B2088</f>
        <v>1</v>
      </c>
      <c r="C2084" s="14" t="str">
        <f>equip.xml!C2088</f>
        <v>虚灵法杖</v>
      </c>
      <c r="D2084" s="14" t="str">
        <f>equip.xml!D2088</f>
        <v>主手武器</v>
      </c>
      <c r="E2084" s="14">
        <f>equip.xml!E2088</f>
        <v>5</v>
      </c>
      <c r="F2084" s="14">
        <f>equip.xml!F2088</f>
        <v>5</v>
      </c>
      <c r="G2084" s="14">
        <f>equip.xml!G2088</f>
        <v>50</v>
      </c>
      <c r="H2084" s="14" t="str">
        <f>equip.xml!H2088</f>
        <v>3,1003</v>
      </c>
      <c r="I2084" s="14">
        <f>equip.xml!J2088</f>
        <v>150</v>
      </c>
      <c r="J2084" s="14">
        <f>equip.xml!K2088</f>
        <v>1500</v>
      </c>
      <c r="K2084" s="14">
        <f>equip.xml!L2088</f>
        <v>27500</v>
      </c>
      <c r="L2084" s="14" t="str">
        <f>equip.xml!M2088</f>
        <v>103_1097_1097,104_2194_2194</v>
      </c>
      <c r="M2084" s="17" t="str">
        <f>equip.xml!Q2088</f>
        <v>equipment/1319.png</v>
      </c>
      <c r="N2084" s="16" t="str">
        <f>equip.xml!P2088</f>
        <v>10000_1002_50000,30000_30001_1,30000_30002_1,30000_30003_1</v>
      </c>
      <c r="O2084">
        <f>equip.xml!R2088</f>
        <v>0</v>
      </c>
    </row>
    <row r="2085" spans="1:15">
      <c r="A2085" s="14" t="str">
        <f>equip.xml!A2089</f>
        <v>50503051</v>
      </c>
      <c r="B2085" s="14">
        <f>equip.xml!B2089</f>
        <v>1</v>
      </c>
      <c r="C2085" s="14" t="str">
        <f>equip.xml!C2089</f>
        <v>恒光巨杖</v>
      </c>
      <c r="D2085" s="14" t="str">
        <f>equip.xml!D2089</f>
        <v>主手武器</v>
      </c>
      <c r="E2085" s="14">
        <f>equip.xml!E2089</f>
        <v>5</v>
      </c>
      <c r="F2085" s="14">
        <f>equip.xml!F2089</f>
        <v>5</v>
      </c>
      <c r="G2085" s="14">
        <f>equip.xml!G2089</f>
        <v>50</v>
      </c>
      <c r="H2085" s="14" t="str">
        <f>equip.xml!H2089</f>
        <v>3,1003</v>
      </c>
      <c r="I2085" s="14">
        <f>equip.xml!J2089</f>
        <v>150</v>
      </c>
      <c r="J2085" s="14">
        <f>equip.xml!K2089</f>
        <v>1500</v>
      </c>
      <c r="K2085" s="14">
        <f>equip.xml!L2089</f>
        <v>30000</v>
      </c>
      <c r="L2085" s="14" t="str">
        <f>equip.xml!M2089</f>
        <v>103_1222_1222,104_2444_2444</v>
      </c>
      <c r="M2085" s="17" t="str">
        <f>equip.xml!Q2089</f>
        <v>equipment/1320.png</v>
      </c>
      <c r="N2085" s="16" t="str">
        <f>equip.xml!P2089</f>
        <v>10000_1002_50000,30000_30001_1,30000_30002_1,30000_30003_1</v>
      </c>
      <c r="O2085">
        <f>equip.xml!R2089</f>
        <v>0</v>
      </c>
    </row>
    <row r="2086" spans="1:15">
      <c r="A2086" s="14" t="str">
        <f>equip.xml!A2090</f>
        <v>50503060</v>
      </c>
      <c r="B2086" s="14">
        <f>equip.xml!B2090</f>
        <v>1</v>
      </c>
      <c r="C2086" s="14" t="str">
        <f>equip.xml!C2090</f>
        <v>幻术之书</v>
      </c>
      <c r="D2086" s="14" t="str">
        <f>equip.xml!D2090</f>
        <v>副手武器</v>
      </c>
      <c r="E2086" s="14">
        <f>equip.xml!E2090</f>
        <v>6</v>
      </c>
      <c r="F2086" s="14">
        <f>equip.xml!F2090</f>
        <v>5</v>
      </c>
      <c r="G2086" s="14">
        <f>equip.xml!G2090</f>
        <v>50</v>
      </c>
      <c r="H2086" s="14" t="str">
        <f>equip.xml!H2090</f>
        <v>3,1003</v>
      </c>
      <c r="I2086" s="14">
        <f>equip.xml!J2090</f>
        <v>150</v>
      </c>
      <c r="J2086" s="14">
        <f>equip.xml!K2090</f>
        <v>1500</v>
      </c>
      <c r="K2086" s="14">
        <f>equip.xml!L2090</f>
        <v>27500</v>
      </c>
      <c r="L2086" s="14" t="str">
        <f>equip.xml!M2090</f>
        <v>102_1440_1440</v>
      </c>
      <c r="M2086" s="17" t="str">
        <f>equip.xml!Q2090</f>
        <v>equipment/2311.png</v>
      </c>
      <c r="N2086" s="16" t="str">
        <f>equip.xml!P2090</f>
        <v>10000_1002_50000,30000_30001_1,30000_30002_1,30000_30003_1</v>
      </c>
      <c r="O2086">
        <f>equip.xml!R2090</f>
        <v>0</v>
      </c>
    </row>
    <row r="2087" spans="1:15">
      <c r="A2087" s="14" t="str">
        <f>equip.xml!A2091</f>
        <v>50503061</v>
      </c>
      <c r="B2087" s="14">
        <f>equip.xml!B2091</f>
        <v>1</v>
      </c>
      <c r="C2087" s="14" t="str">
        <f>equip.xml!C2091</f>
        <v>护咒之书</v>
      </c>
      <c r="D2087" s="14" t="str">
        <f>equip.xml!D2091</f>
        <v>副手武器</v>
      </c>
      <c r="E2087" s="14">
        <f>equip.xml!E2091</f>
        <v>6</v>
      </c>
      <c r="F2087" s="14">
        <f>equip.xml!F2091</f>
        <v>5</v>
      </c>
      <c r="G2087" s="14">
        <f>equip.xml!G2091</f>
        <v>50</v>
      </c>
      <c r="H2087" s="14" t="str">
        <f>equip.xml!H2091</f>
        <v>3,1003</v>
      </c>
      <c r="I2087" s="14">
        <f>equip.xml!J2091</f>
        <v>150</v>
      </c>
      <c r="J2087" s="14">
        <f>equip.xml!K2091</f>
        <v>1500</v>
      </c>
      <c r="K2087" s="14">
        <f>equip.xml!L2091</f>
        <v>30000</v>
      </c>
      <c r="L2087" s="14" t="str">
        <f>equip.xml!M2091</f>
        <v>102_1633_1633</v>
      </c>
      <c r="M2087" s="17" t="str">
        <f>equip.xml!Q2091</f>
        <v>equipment/2312.png</v>
      </c>
      <c r="N2087" s="16" t="str">
        <f>equip.xml!P2091</f>
        <v>10000_1002_50000,30000_30001_1,30000_30002_1,30000_30003_1</v>
      </c>
      <c r="O2087">
        <f>equip.xml!R2091</f>
        <v>0</v>
      </c>
    </row>
    <row r="2088" spans="1:15">
      <c r="A2088" s="14" t="str">
        <f>equip.xml!A2092</f>
        <v>50500040</v>
      </c>
      <c r="B2088" s="14">
        <f>equip.xml!B2092</f>
        <v>1</v>
      </c>
      <c r="C2088" s="14" t="str">
        <f>equip.xml!C2092</f>
        <v>皇家护胸</v>
      </c>
      <c r="D2088" s="14" t="str">
        <f>equip.xml!D2092</f>
        <v>胸甲</v>
      </c>
      <c r="E2088" s="14">
        <f>equip.xml!E2092</f>
        <v>4</v>
      </c>
      <c r="F2088" s="14">
        <f>equip.xml!F2092</f>
        <v>5</v>
      </c>
      <c r="G2088" s="14">
        <f>equip.xml!G2092</f>
        <v>50</v>
      </c>
      <c r="H2088" s="14">
        <f>equip.xml!H2092</f>
        <v>0</v>
      </c>
      <c r="I2088" s="14">
        <f>equip.xml!J2092</f>
        <v>150</v>
      </c>
      <c r="J2088" s="14">
        <f>equip.xml!K2092</f>
        <v>1500</v>
      </c>
      <c r="K2088" s="14">
        <f>equip.xml!L2092</f>
        <v>27500</v>
      </c>
      <c r="L2088" s="14" t="str">
        <f>equip.xml!M2092</f>
        <v>105_780_780</v>
      </c>
      <c r="M2088" s="17" t="str">
        <f>equip.xml!Q2092</f>
        <v>equipment/5003.png</v>
      </c>
      <c r="N2088" s="16" t="str">
        <f>equip.xml!P2092</f>
        <v>10000_1002_50000,30000_30001_1,30000_30002_1,30000_30003_1</v>
      </c>
      <c r="O2088">
        <f>equip.xml!R2092</f>
        <v>0</v>
      </c>
    </row>
    <row r="2089" spans="1:15">
      <c r="A2089" s="14" t="str">
        <f>equip.xml!A2093</f>
        <v>50500041</v>
      </c>
      <c r="B2089" s="14">
        <f>equip.xml!B2093</f>
        <v>0</v>
      </c>
      <c r="C2089" s="14" t="str">
        <f>equip.xml!C2093</f>
        <v>新兵外套</v>
      </c>
      <c r="D2089" s="14" t="str">
        <f>equip.xml!D2093</f>
        <v>胸甲</v>
      </c>
      <c r="E2089" s="14">
        <f>equip.xml!E2093</f>
        <v>4</v>
      </c>
      <c r="F2089" s="14">
        <f>equip.xml!F2093</f>
        <v>5</v>
      </c>
      <c r="G2089" s="14">
        <f>equip.xml!G2093</f>
        <v>50</v>
      </c>
      <c r="H2089" s="14">
        <f>equip.xml!H2093</f>
        <v>0</v>
      </c>
      <c r="I2089" s="14">
        <f>equip.xml!J2093</f>
        <v>150</v>
      </c>
      <c r="J2089" s="14">
        <f>equip.xml!K2093</f>
        <v>1500</v>
      </c>
      <c r="K2089" s="14">
        <f>equip.xml!L2093</f>
        <v>30000</v>
      </c>
      <c r="L2089" s="14" t="str">
        <f>equip.xml!M2093</f>
        <v>105_929_929</v>
      </c>
      <c r="M2089" s="17" t="str">
        <f>equip.xml!Q2093</f>
        <v>equipment/5001.png</v>
      </c>
      <c r="N2089" s="16" t="str">
        <f>equip.xml!P2093</f>
        <v>10000_1002_50000,30000_30001_1,30000_30002_1,30000_30003_1</v>
      </c>
      <c r="O2089">
        <f>equip.xml!R2093</f>
        <v>0</v>
      </c>
    </row>
    <row r="2090" spans="1:15">
      <c r="A2090" s="14" t="str">
        <f>equip.xml!A2094</f>
        <v>50500070</v>
      </c>
      <c r="B2090" s="14">
        <f>equip.xml!B2094</f>
        <v>1</v>
      </c>
      <c r="C2090" s="14" t="str">
        <f>equip.xml!C2094</f>
        <v>凯旋腿甲</v>
      </c>
      <c r="D2090" s="14" t="str">
        <f>equip.xml!D2094</f>
        <v>护腿</v>
      </c>
      <c r="E2090" s="14">
        <f>equip.xml!E2094</f>
        <v>7</v>
      </c>
      <c r="F2090" s="14">
        <f>equip.xml!F2094</f>
        <v>5</v>
      </c>
      <c r="G2090" s="14">
        <f>equip.xml!G2094</f>
        <v>50</v>
      </c>
      <c r="H2090" s="14">
        <f>equip.xml!H2094</f>
        <v>0</v>
      </c>
      <c r="I2090" s="14">
        <f>equip.xml!J2094</f>
        <v>150</v>
      </c>
      <c r="J2090" s="14">
        <f>equip.xml!K2094</f>
        <v>1500</v>
      </c>
      <c r="K2090" s="14">
        <f>equip.xml!L2094</f>
        <v>27500</v>
      </c>
      <c r="L2090" s="14" t="str">
        <f>equip.xml!M2094</f>
        <v>105_628_628</v>
      </c>
      <c r="M2090" s="17" t="str">
        <f>equip.xml!Q2094</f>
        <v>equipment/7012.png</v>
      </c>
      <c r="N2090" s="16" t="str">
        <f>equip.xml!P2094</f>
        <v>10000_1002_50000,30000_30001_1,30000_30002_1,30000_30003_1</v>
      </c>
      <c r="O2090">
        <f>equip.xml!R2094</f>
        <v>0</v>
      </c>
    </row>
    <row r="2091" spans="1:15">
      <c r="A2091" s="14" t="str">
        <f>equip.xml!A2095</f>
        <v>50500071</v>
      </c>
      <c r="B2091" s="14">
        <f>equip.xml!B2095</f>
        <v>0</v>
      </c>
      <c r="C2091" s="14" t="str">
        <f>equip.xml!C2095</f>
        <v>学徒短裤</v>
      </c>
      <c r="D2091" s="14" t="str">
        <f>equip.xml!D2095</f>
        <v>护腿</v>
      </c>
      <c r="E2091" s="14">
        <f>equip.xml!E2095</f>
        <v>7</v>
      </c>
      <c r="F2091" s="14">
        <f>equip.xml!F2095</f>
        <v>5</v>
      </c>
      <c r="G2091" s="14">
        <f>equip.xml!G2095</f>
        <v>50</v>
      </c>
      <c r="H2091" s="14">
        <f>equip.xml!H2095</f>
        <v>0</v>
      </c>
      <c r="I2091" s="14">
        <f>equip.xml!J2095</f>
        <v>150</v>
      </c>
      <c r="J2091" s="14">
        <f>equip.xml!K2095</f>
        <v>1500</v>
      </c>
      <c r="K2091" s="14">
        <f>equip.xml!L2095</f>
        <v>30000</v>
      </c>
      <c r="L2091" s="14" t="str">
        <f>equip.xml!M2095</f>
        <v>105_689_689</v>
      </c>
      <c r="M2091" s="17" t="str">
        <f>equip.xml!Q2095</f>
        <v>equipment/7001.png</v>
      </c>
      <c r="N2091" s="16" t="str">
        <f>equip.xml!P2095</f>
        <v>10000_1002_50000,30000_30001_1,30000_30002_1,30000_30003_1</v>
      </c>
      <c r="O2091">
        <f>equip.xml!R2095</f>
        <v>0</v>
      </c>
    </row>
    <row r="2092" spans="1:15">
      <c r="A2092" s="14" t="str">
        <f>equip.xml!A2096</f>
        <v>50550010</v>
      </c>
      <c r="B2092" s="14">
        <f>equip.xml!B2096</f>
        <v>1</v>
      </c>
      <c r="C2092" s="14" t="str">
        <f>equip.xml!C2096</f>
        <v>银月头盔</v>
      </c>
      <c r="D2092" s="14" t="str">
        <f>equip.xml!D2096</f>
        <v>头盔</v>
      </c>
      <c r="E2092" s="14">
        <f>equip.xml!E2096</f>
        <v>1</v>
      </c>
      <c r="F2092" s="14">
        <f>equip.xml!F2096</f>
        <v>5</v>
      </c>
      <c r="G2092" s="14">
        <f>equip.xml!G2096</f>
        <v>55</v>
      </c>
      <c r="H2092" s="14">
        <f>equip.xml!H2096</f>
        <v>0</v>
      </c>
      <c r="I2092" s="14">
        <f>equip.xml!J2096</f>
        <v>150</v>
      </c>
      <c r="J2092" s="14">
        <f>equip.xml!K2096</f>
        <v>1500</v>
      </c>
      <c r="K2092" s="14">
        <f>equip.xml!L2096</f>
        <v>30000</v>
      </c>
      <c r="L2092" s="14" t="str">
        <f>equip.xml!M2096</f>
        <v>106_1291_1291</v>
      </c>
      <c r="M2092" s="17" t="str">
        <f>equip.xml!Q2096</f>
        <v>equipment/3009.png</v>
      </c>
      <c r="N2092" s="16" t="str">
        <f>equip.xml!P2096</f>
        <v>10000_1002_55000,30000_30001_1,30000_30002_1,30000_30003_1</v>
      </c>
      <c r="O2092">
        <f>equip.xml!R2096</f>
        <v>0</v>
      </c>
    </row>
    <row r="2093" spans="1:15">
      <c r="A2093" s="14" t="str">
        <f>equip.xml!A2097</f>
        <v>50550020</v>
      </c>
      <c r="B2093" s="14">
        <f>equip.xml!B2097</f>
        <v>1</v>
      </c>
      <c r="C2093" s="14" t="str">
        <f>equip.xml!C2097</f>
        <v>镇魂之戒</v>
      </c>
      <c r="D2093" s="14" t="str">
        <f>equip.xml!D2097</f>
        <v>戒指</v>
      </c>
      <c r="E2093" s="14">
        <f>equip.xml!E2097</f>
        <v>2</v>
      </c>
      <c r="F2093" s="14">
        <f>equip.xml!F2097</f>
        <v>5</v>
      </c>
      <c r="G2093" s="14">
        <f>equip.xml!G2097</f>
        <v>55</v>
      </c>
      <c r="H2093" s="14">
        <f>equip.xml!H2097</f>
        <v>0</v>
      </c>
      <c r="I2093" s="14">
        <f>equip.xml!J2097</f>
        <v>150</v>
      </c>
      <c r="J2093" s="14">
        <f>equip.xml!K2097</f>
        <v>1500</v>
      </c>
      <c r="K2093" s="14">
        <f>equip.xml!L2097</f>
        <v>30000</v>
      </c>
      <c r="L2093" s="14" t="str">
        <f>equip.xml!M2097</f>
        <v>102_1080_1080</v>
      </c>
      <c r="M2093" s="17" t="str">
        <f>equip.xml!Q2097</f>
        <v>equipment/14009.png</v>
      </c>
      <c r="N2093" s="16" t="str">
        <f>equip.xml!P2097</f>
        <v>10000_1002_55000,30000_30001_1,30000_30002_1,30000_30003_1</v>
      </c>
      <c r="O2093">
        <f>equip.xml!R2097</f>
        <v>0</v>
      </c>
    </row>
    <row r="2094" spans="1:15">
      <c r="A2094" s="14" t="str">
        <f>equip.xml!A2098</f>
        <v>50550030</v>
      </c>
      <c r="B2094" s="14">
        <f>equip.xml!B2098</f>
        <v>1</v>
      </c>
      <c r="C2094" s="14" t="str">
        <f>equip.xml!C2098</f>
        <v>魔鳞腰带</v>
      </c>
      <c r="D2094" s="14" t="str">
        <f>equip.xml!D2098</f>
        <v>腰带</v>
      </c>
      <c r="E2094" s="14">
        <f>equip.xml!E2098</f>
        <v>3</v>
      </c>
      <c r="F2094" s="14">
        <f>equip.xml!F2098</f>
        <v>5</v>
      </c>
      <c r="G2094" s="14">
        <f>equip.xml!G2098</f>
        <v>55</v>
      </c>
      <c r="H2094" s="14">
        <f>equip.xml!H2098</f>
        <v>0</v>
      </c>
      <c r="I2094" s="14">
        <f>equip.xml!J2098</f>
        <v>150</v>
      </c>
      <c r="J2094" s="14">
        <f>equip.xml!K2098</f>
        <v>1500</v>
      </c>
      <c r="K2094" s="14">
        <f>equip.xml!L2098</f>
        <v>30000</v>
      </c>
      <c r="L2094" s="14" t="str">
        <f>equip.xml!M2098</f>
        <v>101_12800_12800</v>
      </c>
      <c r="M2094" s="17" t="str">
        <f>equip.xml!Q2098</f>
        <v>equipment/6004.png</v>
      </c>
      <c r="N2094" s="16" t="str">
        <f>equip.xml!P2098</f>
        <v>10000_1002_55000,30000_30001_1,30000_30002_1,30000_30003_1</v>
      </c>
      <c r="O2094">
        <f>equip.xml!R2098</f>
        <v>0</v>
      </c>
    </row>
    <row r="2095" spans="1:15">
      <c r="A2095" s="14" t="str">
        <f>equip.xml!A2099</f>
        <v>50550080</v>
      </c>
      <c r="B2095" s="14">
        <f>equip.xml!B2099</f>
        <v>1</v>
      </c>
      <c r="C2095" s="14" t="str">
        <f>equip.xml!C2099</f>
        <v>天行者之靴</v>
      </c>
      <c r="D2095" s="14" t="str">
        <f>equip.xml!D2099</f>
        <v>鞋子</v>
      </c>
      <c r="E2095" s="14">
        <f>equip.xml!E2099</f>
        <v>8</v>
      </c>
      <c r="F2095" s="14">
        <f>equip.xml!F2099</f>
        <v>5</v>
      </c>
      <c r="G2095" s="14">
        <f>equip.xml!G2099</f>
        <v>55</v>
      </c>
      <c r="H2095" s="14">
        <f>equip.xml!H2099</f>
        <v>0</v>
      </c>
      <c r="I2095" s="14">
        <f>equip.xml!J2099</f>
        <v>150</v>
      </c>
      <c r="J2095" s="14">
        <f>equip.xml!K2099</f>
        <v>1500</v>
      </c>
      <c r="K2095" s="14">
        <f>equip.xml!L2099</f>
        <v>30000</v>
      </c>
      <c r="L2095" s="14" t="str">
        <f>equip.xml!M2099</f>
        <v>110_219_219</v>
      </c>
      <c r="M2095" s="17" t="str">
        <f>equip.xml!Q2099</f>
        <v>equipment/8009.png</v>
      </c>
      <c r="N2095" s="16" t="str">
        <f>equip.xml!P2099</f>
        <v>10000_1002_55000,30000_30001_1,30000_30002_1,30000_30003_1</v>
      </c>
      <c r="O2095">
        <f>equip.xml!R2099</f>
        <v>0</v>
      </c>
    </row>
    <row r="2096" spans="1:15">
      <c r="A2096" s="14">
        <f>equip.xml!A2100</f>
        <v>50550090</v>
      </c>
      <c r="B2096" s="14">
        <f>equip.xml!B2100</f>
        <v>0</v>
      </c>
      <c r="C2096" s="14" t="str">
        <f>equip.xml!C2100</f>
        <v>战火护手</v>
      </c>
      <c r="D2096" s="14" t="str">
        <f>equip.xml!D2100</f>
        <v>手套</v>
      </c>
      <c r="E2096" s="14">
        <f>equip.xml!E2100</f>
        <v>9</v>
      </c>
      <c r="F2096" s="14">
        <f>equip.xml!F2100</f>
        <v>5</v>
      </c>
      <c r="G2096" s="14">
        <f>equip.xml!G2100</f>
        <v>55</v>
      </c>
      <c r="H2096" s="14">
        <f>equip.xml!H2100</f>
        <v>0</v>
      </c>
      <c r="I2096" s="14">
        <f>equip.xml!J2100</f>
        <v>150</v>
      </c>
      <c r="J2096" s="14">
        <f>equip.xml!K2100</f>
        <v>1500</v>
      </c>
      <c r="K2096" s="14">
        <f>equip.xml!L2100</f>
        <v>30000</v>
      </c>
      <c r="L2096" s="14" t="str">
        <f>equip.xml!M2100</f>
        <v>108_1726_1726</v>
      </c>
      <c r="M2096" s="17" t="str">
        <f>equip.xml!Q2100</f>
        <v>equipment/10006.png</v>
      </c>
      <c r="N2096" s="16" t="str">
        <f>equip.xml!P2100</f>
        <v>10000_1002_55000,30000_30001_1,30000_30002_1,30000_30003_1</v>
      </c>
      <c r="O2096">
        <f>equip.xml!R2100</f>
        <v>0</v>
      </c>
    </row>
    <row r="2097" spans="1:15">
      <c r="A2097" s="14" t="str">
        <f>equip.xml!A2101</f>
        <v>50550100</v>
      </c>
      <c r="B2097" s="14">
        <f>equip.xml!B2101</f>
        <v>1</v>
      </c>
      <c r="C2097" s="14" t="str">
        <f>equip.xml!C2101</f>
        <v>遗忘石坠</v>
      </c>
      <c r="D2097" s="14" t="str">
        <f>equip.xml!D2101</f>
        <v>项链</v>
      </c>
      <c r="E2097" s="14">
        <f>equip.xml!E2101</f>
        <v>10</v>
      </c>
      <c r="F2097" s="14">
        <f>equip.xml!F2101</f>
        <v>5</v>
      </c>
      <c r="G2097" s="14">
        <f>equip.xml!G2101</f>
        <v>55</v>
      </c>
      <c r="H2097" s="14">
        <f>equip.xml!H2101</f>
        <v>0</v>
      </c>
      <c r="I2097" s="14">
        <f>equip.xml!J2101</f>
        <v>150</v>
      </c>
      <c r="J2097" s="14">
        <f>equip.xml!K2101</f>
        <v>1500</v>
      </c>
      <c r="K2097" s="14">
        <f>equip.xml!L2101</f>
        <v>30000</v>
      </c>
      <c r="L2097" s="14" t="str">
        <f>equip.xml!M2101</f>
        <v>107_1291_1291</v>
      </c>
      <c r="M2097" s="17" t="str">
        <f>equip.xml!Q2101</f>
        <v>equipment/12009.png</v>
      </c>
      <c r="N2097" s="16" t="str">
        <f>equip.xml!P2101</f>
        <v>10000_1002_55000,30000_30001_1,30000_30002_1,30000_30003_1</v>
      </c>
      <c r="O2097">
        <f>equip.xml!R2101</f>
        <v>0</v>
      </c>
    </row>
    <row r="2098" spans="1:15">
      <c r="A2098" s="14" t="str">
        <f>equip.xml!A2102</f>
        <v>50551050</v>
      </c>
      <c r="B2098" s="14">
        <f>equip.xml!B2102</f>
        <v>1</v>
      </c>
      <c r="C2098" s="14" t="str">
        <f>equip.xml!C2102</f>
        <v>噬魂符剑</v>
      </c>
      <c r="D2098" s="14" t="str">
        <f>equip.xml!D2102</f>
        <v>主手武器</v>
      </c>
      <c r="E2098" s="14">
        <f>equip.xml!E2102</f>
        <v>5</v>
      </c>
      <c r="F2098" s="14">
        <f>equip.xml!F2102</f>
        <v>5</v>
      </c>
      <c r="G2098" s="14">
        <f>equip.xml!G2102</f>
        <v>55</v>
      </c>
      <c r="H2098" s="14" t="str">
        <f>equip.xml!H2102</f>
        <v>1,1001</v>
      </c>
      <c r="I2098" s="14">
        <f>equip.xml!J2102</f>
        <v>150</v>
      </c>
      <c r="J2098" s="14">
        <f>equip.xml!K2102</f>
        <v>1500</v>
      </c>
      <c r="K2098" s="14">
        <f>equip.xml!L2102</f>
        <v>30000</v>
      </c>
      <c r="L2098" s="14" t="str">
        <f>equip.xml!M2102</f>
        <v>103_1409_1409,104_2818_2818</v>
      </c>
      <c r="M2098" s="17" t="str">
        <f>equip.xml!Q2102</f>
        <v>equipment/1121.png</v>
      </c>
      <c r="N2098" s="16" t="str">
        <f>equip.xml!P2102</f>
        <v>10000_1002_55000,30000_30001_1,30000_30002_1,30000_30003_1</v>
      </c>
      <c r="O2098">
        <f>equip.xml!R2102</f>
        <v>0</v>
      </c>
    </row>
    <row r="2099" spans="1:15">
      <c r="A2099" s="14" t="str">
        <f>equip.xml!A2103</f>
        <v>50551051</v>
      </c>
      <c r="B2099" s="14">
        <f>equip.xml!B2103</f>
        <v>0</v>
      </c>
      <c r="C2099" s="14" t="str">
        <f>equip.xml!C2103</f>
        <v>军刀</v>
      </c>
      <c r="D2099" s="14" t="str">
        <f>equip.xml!D2103</f>
        <v>主手武器</v>
      </c>
      <c r="E2099" s="14">
        <f>equip.xml!E2103</f>
        <v>5</v>
      </c>
      <c r="F2099" s="14">
        <f>equip.xml!F2103</f>
        <v>5</v>
      </c>
      <c r="G2099" s="14">
        <f>equip.xml!G2103</f>
        <v>55</v>
      </c>
      <c r="H2099" s="14" t="str">
        <f>equip.xml!H2103</f>
        <v>1,1001</v>
      </c>
      <c r="I2099" s="14">
        <f>equip.xml!J2103</f>
        <v>150</v>
      </c>
      <c r="J2099" s="14">
        <f>equip.xml!K2103</f>
        <v>1500</v>
      </c>
      <c r="K2099" s="14">
        <f>equip.xml!L2103</f>
        <v>32500</v>
      </c>
      <c r="L2099" s="14" t="str">
        <f>equip.xml!M2103</f>
        <v>103_1648_1648,104_3296_3296</v>
      </c>
      <c r="M2099" s="17" t="str">
        <f>equip.xml!Q2103</f>
        <v>equipment/1101.png</v>
      </c>
      <c r="N2099" s="16" t="str">
        <f>equip.xml!P2103</f>
        <v>10000_1002_55000,30000_30001_1,30000_30002_1,30000_30003_1</v>
      </c>
      <c r="O2099">
        <f>equip.xml!R2103</f>
        <v>0</v>
      </c>
    </row>
    <row r="2100" spans="1:15">
      <c r="A2100" s="14" t="str">
        <f>equip.xml!A2104</f>
        <v>50551060</v>
      </c>
      <c r="B2100" s="14">
        <f>equip.xml!B2104</f>
        <v>1</v>
      </c>
      <c r="C2100" s="14" t="str">
        <f>equip.xml!C2104</f>
        <v>反射壁垒</v>
      </c>
      <c r="D2100" s="14" t="str">
        <f>equip.xml!D2104</f>
        <v>副手武器</v>
      </c>
      <c r="E2100" s="14">
        <f>equip.xml!E2104</f>
        <v>6</v>
      </c>
      <c r="F2100" s="14">
        <f>equip.xml!F2104</f>
        <v>5</v>
      </c>
      <c r="G2100" s="14">
        <f>equip.xml!G2104</f>
        <v>55</v>
      </c>
      <c r="H2100" s="14" t="str">
        <f>equip.xml!H2104</f>
        <v>1,1001</v>
      </c>
      <c r="I2100" s="14">
        <f>equip.xml!J2104</f>
        <v>150</v>
      </c>
      <c r="J2100" s="14">
        <f>equip.xml!K2104</f>
        <v>1500</v>
      </c>
      <c r="K2100" s="14">
        <f>equip.xml!L2104</f>
        <v>30000</v>
      </c>
      <c r="L2100" s="14" t="str">
        <f>equip.xml!M2104</f>
        <v>105_1981_1981</v>
      </c>
      <c r="M2100" s="17" t="str">
        <f>equip.xml!Q2104</f>
        <v>equipment/2113.png</v>
      </c>
      <c r="N2100" s="16" t="str">
        <f>equip.xml!P2104</f>
        <v>10000_1002_55000,30000_30001_1,30000_30002_1,30000_30003_1</v>
      </c>
      <c r="O2100">
        <f>equip.xml!R2104</f>
        <v>0</v>
      </c>
    </row>
    <row r="2101" spans="1:15">
      <c r="A2101" s="14" t="str">
        <f>equip.xml!A2105</f>
        <v>50551061</v>
      </c>
      <c r="B2101" s="14">
        <f>equip.xml!B2105</f>
        <v>1</v>
      </c>
      <c r="C2101" s="14" t="str">
        <f>equip.xml!C2105</f>
        <v>巨龙之盾</v>
      </c>
      <c r="D2101" s="14" t="str">
        <f>equip.xml!D2105</f>
        <v>副手武器</v>
      </c>
      <c r="E2101" s="14">
        <f>equip.xml!E2105</f>
        <v>6</v>
      </c>
      <c r="F2101" s="14">
        <f>equip.xml!F2105</f>
        <v>5</v>
      </c>
      <c r="G2101" s="14">
        <f>equip.xml!G2105</f>
        <v>55</v>
      </c>
      <c r="H2101" s="14" t="str">
        <f>equip.xml!H2105</f>
        <v>1,1001</v>
      </c>
      <c r="I2101" s="14">
        <f>equip.xml!J2105</f>
        <v>150</v>
      </c>
      <c r="J2101" s="14">
        <f>equip.xml!K2105</f>
        <v>1500</v>
      </c>
      <c r="K2101" s="14">
        <f>equip.xml!L2105</f>
        <v>32500</v>
      </c>
      <c r="L2101" s="14" t="str">
        <f>equip.xml!M2105</f>
        <v>105_2195_2195</v>
      </c>
      <c r="M2101" s="17" t="str">
        <f>equip.xml!Q2105</f>
        <v>equipment/2114.png</v>
      </c>
      <c r="N2101" s="16" t="str">
        <f>equip.xml!P2105</f>
        <v>10000_1002_55000,30000_30001_1,30000_30002_1,30000_30003_1</v>
      </c>
      <c r="O2101">
        <f>equip.xml!R2105</f>
        <v>0</v>
      </c>
    </row>
    <row r="2102" spans="1:15">
      <c r="A2102" s="14" t="str">
        <f>equip.xml!A2106</f>
        <v>50552050</v>
      </c>
      <c r="B2102" s="14">
        <f>equip.xml!B2106</f>
        <v>1</v>
      </c>
      <c r="C2102" s="14" t="str">
        <f>equip.xml!C2106</f>
        <v>魂击长弓</v>
      </c>
      <c r="D2102" s="14" t="str">
        <f>equip.xml!D2106</f>
        <v>主手武器</v>
      </c>
      <c r="E2102" s="14">
        <f>equip.xml!E2106</f>
        <v>5</v>
      </c>
      <c r="F2102" s="14">
        <f>equip.xml!F2106</f>
        <v>5</v>
      </c>
      <c r="G2102" s="14">
        <f>equip.xml!G2106</f>
        <v>55</v>
      </c>
      <c r="H2102" s="14" t="str">
        <f>equip.xml!H2106</f>
        <v>2,1002</v>
      </c>
      <c r="I2102" s="14">
        <f>equip.xml!J2106</f>
        <v>150</v>
      </c>
      <c r="J2102" s="14">
        <f>equip.xml!K2106</f>
        <v>1500</v>
      </c>
      <c r="K2102" s="14">
        <f>equip.xml!L2106</f>
        <v>30000</v>
      </c>
      <c r="L2102" s="14" t="str">
        <f>equip.xml!M2106</f>
        <v>103_1409_1409,104_2818_2818</v>
      </c>
      <c r="M2102" s="17" t="str">
        <f>equip.xml!Q2106</f>
        <v>equipment/1219.png</v>
      </c>
      <c r="N2102" s="16" t="str">
        <f>equip.xml!P2106</f>
        <v>10000_1002_55000,30000_30001_1,30000_30002_1,30000_30003_1</v>
      </c>
      <c r="O2102">
        <f>equip.xml!R2106</f>
        <v>0</v>
      </c>
    </row>
    <row r="2103" spans="1:15">
      <c r="A2103" s="14" t="str">
        <f>equip.xml!A2107</f>
        <v>50552051</v>
      </c>
      <c r="B2103" s="14">
        <f>equip.xml!B2107</f>
        <v>0</v>
      </c>
      <c r="C2103" s="14" t="str">
        <f>equip.xml!C2107</f>
        <v>棘木弓</v>
      </c>
      <c r="D2103" s="14" t="str">
        <f>equip.xml!D2107</f>
        <v>主手武器</v>
      </c>
      <c r="E2103" s="14">
        <f>equip.xml!E2107</f>
        <v>5</v>
      </c>
      <c r="F2103" s="14">
        <f>equip.xml!F2107</f>
        <v>5</v>
      </c>
      <c r="G2103" s="14">
        <f>equip.xml!G2107</f>
        <v>55</v>
      </c>
      <c r="H2103" s="14" t="str">
        <f>equip.xml!H2107</f>
        <v>2,1002</v>
      </c>
      <c r="I2103" s="14">
        <f>equip.xml!J2107</f>
        <v>150</v>
      </c>
      <c r="J2103" s="14">
        <f>equip.xml!K2107</f>
        <v>1500</v>
      </c>
      <c r="K2103" s="14">
        <f>equip.xml!L2107</f>
        <v>32500</v>
      </c>
      <c r="L2103" s="14" t="str">
        <f>equip.xml!M2107</f>
        <v>103_1648_1648,104_3296_3296</v>
      </c>
      <c r="M2103" s="17" t="str">
        <f>equip.xml!Q2107</f>
        <v>equipment/1201.png</v>
      </c>
      <c r="N2103" s="16" t="str">
        <f>equip.xml!P2107</f>
        <v>10000_1002_55000,30000_30001_1,30000_30002_1,30000_30003_1</v>
      </c>
      <c r="O2103">
        <f>equip.xml!R2107</f>
        <v>0</v>
      </c>
    </row>
    <row r="2104" spans="1:15">
      <c r="A2104" s="14" t="str">
        <f>equip.xml!A2108</f>
        <v>50552060</v>
      </c>
      <c r="B2104" s="14">
        <f>equip.xml!B2108</f>
        <v>1</v>
      </c>
      <c r="C2104" s="14" t="str">
        <f>equip.xml!C2108</f>
        <v>银矢箭筒</v>
      </c>
      <c r="D2104" s="14" t="str">
        <f>equip.xml!D2108</f>
        <v>副手武器</v>
      </c>
      <c r="E2104" s="14">
        <f>equip.xml!E2108</f>
        <v>6</v>
      </c>
      <c r="F2104" s="14">
        <f>equip.xml!F2108</f>
        <v>5</v>
      </c>
      <c r="G2104" s="14">
        <f>equip.xml!G2108</f>
        <v>55</v>
      </c>
      <c r="H2104" s="14" t="str">
        <f>equip.xml!H2108</f>
        <v>2,1002</v>
      </c>
      <c r="I2104" s="14">
        <f>equip.xml!J2108</f>
        <v>150</v>
      </c>
      <c r="J2104" s="14">
        <f>equip.xml!K2108</f>
        <v>1500</v>
      </c>
      <c r="K2104" s="14">
        <f>equip.xml!L2108</f>
        <v>30000</v>
      </c>
      <c r="L2104" s="14" t="str">
        <f>equip.xml!M2108</f>
        <v>108_1981_1981</v>
      </c>
      <c r="M2104" s="17" t="str">
        <f>equip.xml!Q2108</f>
        <v>equipment/2213.png</v>
      </c>
      <c r="N2104" s="16" t="str">
        <f>equip.xml!P2108</f>
        <v>10000_1002_55000,30000_30001_1,30000_30002_1,30000_30003_1</v>
      </c>
      <c r="O2104">
        <f>equip.xml!R2108</f>
        <v>0</v>
      </c>
    </row>
    <row r="2105" spans="1:15">
      <c r="A2105" s="14" t="str">
        <f>equip.xml!A2109</f>
        <v>50552061</v>
      </c>
      <c r="B2105" s="14">
        <f>equip.xml!B2109</f>
        <v>1</v>
      </c>
      <c r="C2105" s="14" t="str">
        <f>equip.xml!C2109</f>
        <v>日怒箭筒</v>
      </c>
      <c r="D2105" s="14" t="str">
        <f>equip.xml!D2109</f>
        <v>副手武器</v>
      </c>
      <c r="E2105" s="14">
        <f>equip.xml!E2109</f>
        <v>6</v>
      </c>
      <c r="F2105" s="14">
        <f>equip.xml!F2109</f>
        <v>5</v>
      </c>
      <c r="G2105" s="14">
        <f>equip.xml!G2109</f>
        <v>55</v>
      </c>
      <c r="H2105" s="14" t="str">
        <f>equip.xml!H2109</f>
        <v>2,1002</v>
      </c>
      <c r="I2105" s="14">
        <f>equip.xml!J2109</f>
        <v>150</v>
      </c>
      <c r="J2105" s="14">
        <f>equip.xml!K2109</f>
        <v>1500</v>
      </c>
      <c r="K2105" s="14">
        <f>equip.xml!L2109</f>
        <v>32500</v>
      </c>
      <c r="L2105" s="14" t="str">
        <f>equip.xml!M2109</f>
        <v>108_2195_2195</v>
      </c>
      <c r="M2105" s="17" t="str">
        <f>equip.xml!Q2109</f>
        <v>equipment/2214.png</v>
      </c>
      <c r="N2105" s="16" t="str">
        <f>equip.xml!P2109</f>
        <v>10000_1002_55000,30000_30001_1,30000_30002_1,30000_30003_1</v>
      </c>
      <c r="O2105">
        <f>equip.xml!R2109</f>
        <v>0</v>
      </c>
    </row>
    <row r="2106" spans="1:15">
      <c r="A2106" s="14" t="str">
        <f>equip.xml!A2110</f>
        <v>50553050</v>
      </c>
      <c r="B2106" s="14">
        <f>equip.xml!B2110</f>
        <v>1</v>
      </c>
      <c r="C2106" s="14" t="str">
        <f>equip.xml!C2110</f>
        <v>寒霜之怒</v>
      </c>
      <c r="D2106" s="14" t="str">
        <f>equip.xml!D2110</f>
        <v>主手武器</v>
      </c>
      <c r="E2106" s="14">
        <f>equip.xml!E2110</f>
        <v>5</v>
      </c>
      <c r="F2106" s="14">
        <f>equip.xml!F2110</f>
        <v>5</v>
      </c>
      <c r="G2106" s="14">
        <f>equip.xml!G2110</f>
        <v>55</v>
      </c>
      <c r="H2106" s="14" t="str">
        <f>equip.xml!H2110</f>
        <v>3,1003</v>
      </c>
      <c r="I2106" s="14">
        <f>equip.xml!J2110</f>
        <v>150</v>
      </c>
      <c r="J2106" s="14">
        <f>equip.xml!K2110</f>
        <v>1500</v>
      </c>
      <c r="K2106" s="14">
        <f>equip.xml!L2110</f>
        <v>30000</v>
      </c>
      <c r="L2106" s="14" t="str">
        <f>equip.xml!M2110</f>
        <v>103_1409_1409,104_2818_2818</v>
      </c>
      <c r="M2106" s="17" t="str">
        <f>equip.xml!Q2110</f>
        <v>equipment/1321.png</v>
      </c>
      <c r="N2106" s="16" t="str">
        <f>equip.xml!P2110</f>
        <v>10000_1002_55000,30000_30001_1,30000_30002_1,30000_30003_1</v>
      </c>
      <c r="O2106">
        <f>equip.xml!R2110</f>
        <v>0</v>
      </c>
    </row>
    <row r="2107" spans="1:15">
      <c r="A2107" s="14" t="str">
        <f>equip.xml!A2111</f>
        <v>50553051</v>
      </c>
      <c r="B2107" s="14">
        <f>equip.xml!B2111</f>
        <v>0</v>
      </c>
      <c r="C2107" s="14" t="str">
        <f>equip.xml!C2111</f>
        <v>学徒法杖</v>
      </c>
      <c r="D2107" s="14" t="str">
        <f>equip.xml!D2111</f>
        <v>主手武器</v>
      </c>
      <c r="E2107" s="14">
        <f>equip.xml!E2111</f>
        <v>5</v>
      </c>
      <c r="F2107" s="14">
        <f>equip.xml!F2111</f>
        <v>5</v>
      </c>
      <c r="G2107" s="14">
        <f>equip.xml!G2111</f>
        <v>55</v>
      </c>
      <c r="H2107" s="14" t="str">
        <f>equip.xml!H2111</f>
        <v>3,1003</v>
      </c>
      <c r="I2107" s="14">
        <f>equip.xml!J2111</f>
        <v>150</v>
      </c>
      <c r="J2107" s="14">
        <f>equip.xml!K2111</f>
        <v>1500</v>
      </c>
      <c r="K2107" s="14">
        <f>equip.xml!L2111</f>
        <v>32500</v>
      </c>
      <c r="L2107" s="14" t="str">
        <f>equip.xml!M2111</f>
        <v>103_1648_1648,104_3296_3296</v>
      </c>
      <c r="M2107" s="17" t="str">
        <f>equip.xml!Q2111</f>
        <v>equipment/1301.png</v>
      </c>
      <c r="N2107" s="16" t="str">
        <f>equip.xml!P2111</f>
        <v>10000_1002_55000,30000_30001_1,30000_30002_1,30000_30003_1</v>
      </c>
      <c r="O2107">
        <f>equip.xml!R2111</f>
        <v>0</v>
      </c>
    </row>
    <row r="2108" spans="1:15">
      <c r="A2108" s="14" t="str">
        <f>equip.xml!A2112</f>
        <v>50553060</v>
      </c>
      <c r="B2108" s="14">
        <f>equip.xml!B2112</f>
        <v>1</v>
      </c>
      <c r="C2108" s="14" t="str">
        <f>equip.xml!C2112</f>
        <v>遗忘魔典</v>
      </c>
      <c r="D2108" s="14" t="str">
        <f>equip.xml!D2112</f>
        <v>副手武器</v>
      </c>
      <c r="E2108" s="14">
        <f>equip.xml!E2112</f>
        <v>6</v>
      </c>
      <c r="F2108" s="14">
        <f>equip.xml!F2112</f>
        <v>5</v>
      </c>
      <c r="G2108" s="14">
        <f>equip.xml!G2112</f>
        <v>55</v>
      </c>
      <c r="H2108" s="14" t="str">
        <f>equip.xml!H2112</f>
        <v>3,1003</v>
      </c>
      <c r="I2108" s="14">
        <f>equip.xml!J2112</f>
        <v>150</v>
      </c>
      <c r="J2108" s="14">
        <f>equip.xml!K2112</f>
        <v>1500</v>
      </c>
      <c r="K2108" s="14">
        <f>equip.xml!L2112</f>
        <v>30000</v>
      </c>
      <c r="L2108" s="14" t="str">
        <f>equip.xml!M2112</f>
        <v>102_1780_1780</v>
      </c>
      <c r="M2108" s="17" t="str">
        <f>equip.xml!Q2112</f>
        <v>equipment/2313.png</v>
      </c>
      <c r="N2108" s="16" t="str">
        <f>equip.xml!P2112</f>
        <v>10000_1002_55000,30000_30001_1,30000_30002_1,30000_30003_1</v>
      </c>
      <c r="O2108">
        <f>equip.xml!R2112</f>
        <v>0</v>
      </c>
    </row>
    <row r="2109" spans="1:15">
      <c r="A2109" s="14" t="str">
        <f>equip.xml!A2113</f>
        <v>50553061</v>
      </c>
      <c r="B2109" s="14">
        <f>equip.xml!B2113</f>
        <v>1</v>
      </c>
      <c r="C2109" s="14" t="str">
        <f>equip.xml!C2113</f>
        <v>龙语入门</v>
      </c>
      <c r="D2109" s="14" t="str">
        <f>equip.xml!D2113</f>
        <v>副手武器</v>
      </c>
      <c r="E2109" s="14">
        <f>equip.xml!E2113</f>
        <v>6</v>
      </c>
      <c r="F2109" s="14">
        <f>equip.xml!F2113</f>
        <v>5</v>
      </c>
      <c r="G2109" s="14">
        <f>equip.xml!G2113</f>
        <v>55</v>
      </c>
      <c r="H2109" s="14" t="str">
        <f>equip.xml!H2113</f>
        <v>3,1003</v>
      </c>
      <c r="I2109" s="14">
        <f>equip.xml!J2113</f>
        <v>150</v>
      </c>
      <c r="J2109" s="14">
        <f>equip.xml!K2113</f>
        <v>1500</v>
      </c>
      <c r="K2109" s="14">
        <f>equip.xml!L2113</f>
        <v>32500</v>
      </c>
      <c r="L2109" s="14" t="str">
        <f>equip.xml!M2113</f>
        <v>102_1972_1972</v>
      </c>
      <c r="M2109" s="17" t="str">
        <f>equip.xml!Q2113</f>
        <v>equipment/2316.png</v>
      </c>
      <c r="N2109" s="16" t="str">
        <f>equip.xml!P2113</f>
        <v>10000_1002_55000,30000_30001_1,30000_30002_1,30000_30003_1</v>
      </c>
      <c r="O2109">
        <f>equip.xml!R2113</f>
        <v>0</v>
      </c>
    </row>
    <row r="2110" spans="1:15">
      <c r="A2110" s="14" t="str">
        <f>equip.xml!A2114</f>
        <v>50550040</v>
      </c>
      <c r="B2110" s="14">
        <f>equip.xml!B2114</f>
        <v>1</v>
      </c>
      <c r="C2110" s="14" t="str">
        <f>equip.xml!C2114</f>
        <v>血卫胸甲</v>
      </c>
      <c r="D2110" s="14" t="str">
        <f>equip.xml!D2114</f>
        <v>胸甲</v>
      </c>
      <c r="E2110" s="14">
        <f>equip.xml!E2114</f>
        <v>4</v>
      </c>
      <c r="F2110" s="14">
        <f>equip.xml!F2114</f>
        <v>5</v>
      </c>
      <c r="G2110" s="14">
        <f>equip.xml!G2114</f>
        <v>55</v>
      </c>
      <c r="H2110" s="14">
        <f>equip.xml!H2114</f>
        <v>0</v>
      </c>
      <c r="I2110" s="14">
        <f>equip.xml!J2114</f>
        <v>150</v>
      </c>
      <c r="J2110" s="14">
        <f>equip.xml!K2114</f>
        <v>1500</v>
      </c>
      <c r="K2110" s="14">
        <f>equip.xml!L2114</f>
        <v>30000</v>
      </c>
      <c r="L2110" s="14" t="str">
        <f>equip.xml!M2114</f>
        <v>105_1153_1153</v>
      </c>
      <c r="M2110" s="17" t="str">
        <f>equip.xml!Q2114</f>
        <v>equipment/5015.png</v>
      </c>
      <c r="N2110" s="16" t="str">
        <f>equip.xml!P2114</f>
        <v>10000_1002_55000,30000_30001_1,30000_30002_1,30000_30003_1</v>
      </c>
      <c r="O2110">
        <f>equip.xml!R2114</f>
        <v>0</v>
      </c>
    </row>
    <row r="2111" spans="1:15">
      <c r="A2111" s="14" t="str">
        <f>equip.xml!A2115</f>
        <v>50550041</v>
      </c>
      <c r="B2111" s="14">
        <f>equip.xml!B2115</f>
        <v>0</v>
      </c>
      <c r="C2111" s="14" t="str">
        <f>equip.xml!C2115</f>
        <v>新兵外套</v>
      </c>
      <c r="D2111" s="14" t="str">
        <f>equip.xml!D2115</f>
        <v>胸甲</v>
      </c>
      <c r="E2111" s="14">
        <f>equip.xml!E2115</f>
        <v>4</v>
      </c>
      <c r="F2111" s="14">
        <f>equip.xml!F2115</f>
        <v>5</v>
      </c>
      <c r="G2111" s="14">
        <f>equip.xml!G2115</f>
        <v>55</v>
      </c>
      <c r="H2111" s="14">
        <f>equip.xml!H2115</f>
        <v>0</v>
      </c>
      <c r="I2111" s="14">
        <f>equip.xml!J2115</f>
        <v>150</v>
      </c>
      <c r="J2111" s="14">
        <f>equip.xml!K2115</f>
        <v>1500</v>
      </c>
      <c r="K2111" s="14">
        <f>equip.xml!L2115</f>
        <v>32500</v>
      </c>
      <c r="L2111" s="14" t="str">
        <f>equip.xml!M2115</f>
        <v>105_1243_1243</v>
      </c>
      <c r="M2111" s="17" t="str">
        <f>equip.xml!Q2115</f>
        <v>equipment/5001.png</v>
      </c>
      <c r="N2111" s="16" t="str">
        <f>equip.xml!P2115</f>
        <v>10000_1002_55000,30000_30001_1,30000_30002_1,30000_30003_1</v>
      </c>
      <c r="O2111">
        <f>equip.xml!R2115</f>
        <v>0</v>
      </c>
    </row>
    <row r="2112" spans="1:15">
      <c r="A2112" s="14" t="str">
        <f>equip.xml!A2116</f>
        <v>50550070</v>
      </c>
      <c r="B2112" s="14">
        <f>equip.xml!B2116</f>
        <v>1</v>
      </c>
      <c r="C2112" s="14" t="str">
        <f>equip.xml!C2116</f>
        <v>征服者护腿</v>
      </c>
      <c r="D2112" s="14" t="str">
        <f>equip.xml!D2116</f>
        <v>护腿</v>
      </c>
      <c r="E2112" s="14">
        <f>equip.xml!E2116</f>
        <v>7</v>
      </c>
      <c r="F2112" s="14">
        <f>equip.xml!F2116</f>
        <v>5</v>
      </c>
      <c r="G2112" s="14">
        <f>equip.xml!G2116</f>
        <v>55</v>
      </c>
      <c r="H2112" s="14">
        <f>equip.xml!H2116</f>
        <v>0</v>
      </c>
      <c r="I2112" s="14">
        <f>equip.xml!J2116</f>
        <v>150</v>
      </c>
      <c r="J2112" s="14">
        <f>equip.xml!K2116</f>
        <v>1500</v>
      </c>
      <c r="K2112" s="14">
        <f>equip.xml!L2116</f>
        <v>30000</v>
      </c>
      <c r="L2112" s="14" t="str">
        <f>equip.xml!M2116</f>
        <v>105_780_780</v>
      </c>
      <c r="M2112" s="17" t="str">
        <f>equip.xml!Q2116</f>
        <v>equipment/7013.png</v>
      </c>
      <c r="N2112" s="16" t="str">
        <f>equip.xml!P2116</f>
        <v>10000_1002_55000,30000_30001_1,30000_30002_1,30000_30003_1</v>
      </c>
      <c r="O2112">
        <f>equip.xml!R2116</f>
        <v>0</v>
      </c>
    </row>
    <row r="2113" spans="1:15">
      <c r="A2113" s="14" t="str">
        <f>equip.xml!A2117</f>
        <v>50550071</v>
      </c>
      <c r="B2113" s="14">
        <f>equip.xml!B2117</f>
        <v>0</v>
      </c>
      <c r="C2113" s="14" t="str">
        <f>equip.xml!C2117</f>
        <v>学徒短裤</v>
      </c>
      <c r="D2113" s="14" t="str">
        <f>equip.xml!D2117</f>
        <v>护腿</v>
      </c>
      <c r="E2113" s="14">
        <f>equip.xml!E2117</f>
        <v>7</v>
      </c>
      <c r="F2113" s="14">
        <f>equip.xml!F2117</f>
        <v>5</v>
      </c>
      <c r="G2113" s="14">
        <f>equip.xml!G2117</f>
        <v>55</v>
      </c>
      <c r="H2113" s="14">
        <f>equip.xml!H2117</f>
        <v>0</v>
      </c>
      <c r="I2113" s="14">
        <f>equip.xml!J2117</f>
        <v>150</v>
      </c>
      <c r="J2113" s="14">
        <f>equip.xml!K2117</f>
        <v>1500</v>
      </c>
      <c r="K2113" s="14">
        <f>equip.xml!L2117</f>
        <v>32500</v>
      </c>
      <c r="L2113" s="14" t="str">
        <f>equip.xml!M2117</f>
        <v>105_929_929</v>
      </c>
      <c r="M2113" s="17" t="str">
        <f>equip.xml!Q2117</f>
        <v>equipment/7001.png</v>
      </c>
      <c r="N2113" s="16" t="str">
        <f>equip.xml!P2117</f>
        <v>10000_1002_55000,30000_30001_1,30000_30002_1,30000_30003_1</v>
      </c>
      <c r="O2113">
        <f>equip.xml!R2117</f>
        <v>0</v>
      </c>
    </row>
    <row r="2114" spans="1:15">
      <c r="A2114" s="14" t="str">
        <f>equip.xml!A2118</f>
        <v>50600010</v>
      </c>
      <c r="B2114" s="14">
        <f>equip.xml!B2118</f>
        <v>1</v>
      </c>
      <c r="C2114" s="14" t="str">
        <f>equip.xml!C2118</f>
        <v>英勇战盔</v>
      </c>
      <c r="D2114" s="14" t="str">
        <f>equip.xml!D2118</f>
        <v>头盔</v>
      </c>
      <c r="E2114" s="14">
        <f>equip.xml!E2118</f>
        <v>1</v>
      </c>
      <c r="F2114" s="14">
        <f>equip.xml!F2118</f>
        <v>5</v>
      </c>
      <c r="G2114" s="14">
        <f>equip.xml!G2118</f>
        <v>60</v>
      </c>
      <c r="H2114" s="14">
        <f>equip.xml!H2118</f>
        <v>0</v>
      </c>
      <c r="I2114" s="14">
        <f>equip.xml!J2118</f>
        <v>150</v>
      </c>
      <c r="J2114" s="14">
        <f>equip.xml!K2118</f>
        <v>1500</v>
      </c>
      <c r="K2114" s="14">
        <f>equip.xml!L2118</f>
        <v>32500</v>
      </c>
      <c r="L2114" s="14" t="str">
        <f>equip.xml!M2118</f>
        <v>106_1628_1628</v>
      </c>
      <c r="M2114" s="17" t="str">
        <f>equip.xml!Q2118</f>
        <v>equipment/3010.png</v>
      </c>
      <c r="N2114" s="16" t="str">
        <f>equip.xml!P2118</f>
        <v>10000_1002_60000,30000_30001_1,30000_30002_1,30000_30003_1</v>
      </c>
      <c r="O2114">
        <f>equip.xml!R2118</f>
        <v>0</v>
      </c>
    </row>
    <row r="2115" spans="1:15">
      <c r="A2115" s="14" t="str">
        <f>equip.xml!A2119</f>
        <v>50600020</v>
      </c>
      <c r="B2115" s="14">
        <f>equip.xml!B2119</f>
        <v>1</v>
      </c>
      <c r="C2115" s="14" t="str">
        <f>equip.xml!C2119</f>
        <v>星宇指环</v>
      </c>
      <c r="D2115" s="14" t="str">
        <f>equip.xml!D2119</f>
        <v>戒指</v>
      </c>
      <c r="E2115" s="14">
        <f>equip.xml!E2119</f>
        <v>2</v>
      </c>
      <c r="F2115" s="14">
        <f>equip.xml!F2119</f>
        <v>5</v>
      </c>
      <c r="G2115" s="14">
        <f>equip.xml!G2119</f>
        <v>60</v>
      </c>
      <c r="H2115" s="14">
        <f>equip.xml!H2119</f>
        <v>0</v>
      </c>
      <c r="I2115" s="14">
        <f>equip.xml!J2119</f>
        <v>150</v>
      </c>
      <c r="J2115" s="14">
        <f>equip.xml!K2119</f>
        <v>1500</v>
      </c>
      <c r="K2115" s="14">
        <f>equip.xml!L2119</f>
        <v>32500</v>
      </c>
      <c r="L2115" s="14" t="str">
        <f>equip.xml!M2119</f>
        <v>102_1260_1260</v>
      </c>
      <c r="M2115" s="17" t="str">
        <f>equip.xml!Q2119</f>
        <v>equipment/14010.png</v>
      </c>
      <c r="N2115" s="16" t="str">
        <f>equip.xml!P2119</f>
        <v>10000_1002_60000,30000_30001_1,30000_30002_1,30000_30003_1</v>
      </c>
      <c r="O2115">
        <f>equip.xml!R2119</f>
        <v>0</v>
      </c>
    </row>
    <row r="2116" spans="1:15">
      <c r="A2116" s="14" t="str">
        <f>equip.xml!A2120</f>
        <v>50600030</v>
      </c>
      <c r="B2116" s="14">
        <f>equip.xml!B2120</f>
        <v>1</v>
      </c>
      <c r="C2116" s="14" t="str">
        <f>equip.xml!C2120</f>
        <v>远征腰带</v>
      </c>
      <c r="D2116" s="14" t="str">
        <f>equip.xml!D2120</f>
        <v>腰带</v>
      </c>
      <c r="E2116" s="14">
        <f>equip.xml!E2120</f>
        <v>3</v>
      </c>
      <c r="F2116" s="14">
        <f>equip.xml!F2120</f>
        <v>5</v>
      </c>
      <c r="G2116" s="14">
        <f>equip.xml!G2120</f>
        <v>60</v>
      </c>
      <c r="H2116" s="14">
        <f>equip.xml!H2120</f>
        <v>0</v>
      </c>
      <c r="I2116" s="14">
        <f>equip.xml!J2120</f>
        <v>150</v>
      </c>
      <c r="J2116" s="14">
        <f>equip.xml!K2120</f>
        <v>1500</v>
      </c>
      <c r="K2116" s="14">
        <f>equip.xml!L2120</f>
        <v>32500</v>
      </c>
      <c r="L2116" s="14" t="str">
        <f>equip.xml!M2120</f>
        <v>101_13920_13920</v>
      </c>
      <c r="M2116" s="17" t="str">
        <f>equip.xml!Q2120</f>
        <v>equipment/6010.png</v>
      </c>
      <c r="N2116" s="16" t="str">
        <f>equip.xml!P2120</f>
        <v>10000_1002_60000,30000_30001_1,30000_30002_1,30000_30003_1</v>
      </c>
      <c r="O2116">
        <f>equip.xml!R2120</f>
        <v>0</v>
      </c>
    </row>
    <row r="2117" spans="1:15">
      <c r="A2117" s="14" t="str">
        <f>equip.xml!A2121</f>
        <v>50600080</v>
      </c>
      <c r="B2117" s="14">
        <f>equip.xml!B2121</f>
        <v>1</v>
      </c>
      <c r="C2117" s="14" t="str">
        <f>equip.xml!C2121</f>
        <v>风暴长靴</v>
      </c>
      <c r="D2117" s="14" t="str">
        <f>equip.xml!D2121</f>
        <v>鞋子</v>
      </c>
      <c r="E2117" s="14">
        <f>equip.xml!E2121</f>
        <v>8</v>
      </c>
      <c r="F2117" s="14">
        <f>equip.xml!F2121</f>
        <v>5</v>
      </c>
      <c r="G2117" s="14">
        <f>equip.xml!G2121</f>
        <v>60</v>
      </c>
      <c r="H2117" s="14">
        <f>equip.xml!H2121</f>
        <v>0</v>
      </c>
      <c r="I2117" s="14">
        <f>equip.xml!J2121</f>
        <v>150</v>
      </c>
      <c r="J2117" s="14">
        <f>equip.xml!K2121</f>
        <v>1500</v>
      </c>
      <c r="K2117" s="14">
        <f>equip.xml!L2121</f>
        <v>32500</v>
      </c>
      <c r="L2117" s="14" t="str">
        <f>equip.xml!M2121</f>
        <v>110_271_271</v>
      </c>
      <c r="M2117" s="17" t="str">
        <f>equip.xml!Q2121</f>
        <v>equipment/8010.png</v>
      </c>
      <c r="N2117" s="16" t="str">
        <f>equip.xml!P2121</f>
        <v>10000_1002_60000,30000_30001_1,30000_30002_1,30000_30003_1</v>
      </c>
      <c r="O2117">
        <f>equip.xml!R2121</f>
        <v>0</v>
      </c>
    </row>
    <row r="2118" spans="1:15">
      <c r="A2118" s="14" t="str">
        <f>equip.xml!A2122</f>
        <v>50600090</v>
      </c>
      <c r="B2118" s="14">
        <f>equip.xml!B2122</f>
        <v>1</v>
      </c>
      <c r="C2118" s="14" t="str">
        <f>equip.xml!C2122</f>
        <v>远征军护手</v>
      </c>
      <c r="D2118" s="14" t="str">
        <f>equip.xml!D2122</f>
        <v>手套</v>
      </c>
      <c r="E2118" s="14">
        <f>equip.xml!E2122</f>
        <v>9</v>
      </c>
      <c r="F2118" s="14">
        <f>equip.xml!F2122</f>
        <v>5</v>
      </c>
      <c r="G2118" s="14">
        <f>equip.xml!G2122</f>
        <v>60</v>
      </c>
      <c r="H2118" s="14">
        <f>equip.xml!H2122</f>
        <v>0</v>
      </c>
      <c r="I2118" s="14">
        <f>equip.xml!J2122</f>
        <v>150</v>
      </c>
      <c r="J2118" s="14">
        <f>equip.xml!K2122</f>
        <v>1500</v>
      </c>
      <c r="K2118" s="14">
        <f>equip.xml!L2122</f>
        <v>32500</v>
      </c>
      <c r="L2118" s="14" t="str">
        <f>equip.xml!M2122</f>
        <v>108_2300_2300</v>
      </c>
      <c r="M2118" s="17" t="str">
        <f>equip.xml!Q2122</f>
        <v>equipment/10010.png</v>
      </c>
      <c r="N2118" s="16" t="str">
        <f>equip.xml!P2122</f>
        <v>10000_1002_60000,30000_30001_1,30000_30002_1,30000_30003_1</v>
      </c>
      <c r="O2118">
        <f>equip.xml!R2122</f>
        <v>0</v>
      </c>
    </row>
    <row r="2119" spans="1:15">
      <c r="A2119" s="14" t="str">
        <f>equip.xml!A2123</f>
        <v>50600100</v>
      </c>
      <c r="B2119" s="14">
        <f>equip.xml!B2123</f>
        <v>1</v>
      </c>
      <c r="C2119" s="14" t="str">
        <f>equip.xml!C2123</f>
        <v>悔恨之链</v>
      </c>
      <c r="D2119" s="14" t="str">
        <f>equip.xml!D2123</f>
        <v>项链</v>
      </c>
      <c r="E2119" s="14">
        <f>equip.xml!E2123</f>
        <v>10</v>
      </c>
      <c r="F2119" s="14">
        <f>equip.xml!F2123</f>
        <v>5</v>
      </c>
      <c r="G2119" s="14">
        <f>equip.xml!G2123</f>
        <v>60</v>
      </c>
      <c r="H2119" s="14">
        <f>equip.xml!H2123</f>
        <v>0</v>
      </c>
      <c r="I2119" s="14">
        <f>equip.xml!J2123</f>
        <v>150</v>
      </c>
      <c r="J2119" s="14">
        <f>equip.xml!K2123</f>
        <v>1500</v>
      </c>
      <c r="K2119" s="14">
        <f>equip.xml!L2123</f>
        <v>32500</v>
      </c>
      <c r="L2119" s="14" t="str">
        <f>equip.xml!M2123</f>
        <v>107_1628_1628</v>
      </c>
      <c r="M2119" s="17" t="str">
        <f>equip.xml!Q2123</f>
        <v>equipment/12010.png</v>
      </c>
      <c r="N2119" s="16" t="str">
        <f>equip.xml!P2123</f>
        <v>10000_1002_60000,30000_30001_1,30000_30002_1,30000_30003_1</v>
      </c>
      <c r="O2119">
        <f>equip.xml!R2123</f>
        <v>0</v>
      </c>
    </row>
    <row r="2120" spans="1:15">
      <c r="A2120" s="14" t="str">
        <f>equip.xml!A2124</f>
        <v>50601050</v>
      </c>
      <c r="B2120" s="14">
        <f>equip.xml!B2124</f>
        <v>1</v>
      </c>
      <c r="C2120" s="14" t="str">
        <f>equip.xml!C2124</f>
        <v>毁灭之刃</v>
      </c>
      <c r="D2120" s="14" t="str">
        <f>equip.xml!D2124</f>
        <v>主手武器</v>
      </c>
      <c r="E2120" s="14">
        <f>equip.xml!E2124</f>
        <v>5</v>
      </c>
      <c r="F2120" s="14">
        <f>equip.xml!F2124</f>
        <v>5</v>
      </c>
      <c r="G2120" s="14">
        <f>equip.xml!G2124</f>
        <v>60</v>
      </c>
      <c r="H2120" s="14" t="str">
        <f>equip.xml!H2124</f>
        <v>1,1001</v>
      </c>
      <c r="I2120" s="14">
        <f>equip.xml!J2124</f>
        <v>150</v>
      </c>
      <c r="J2120" s="14">
        <f>equip.xml!K2124</f>
        <v>1500</v>
      </c>
      <c r="K2120" s="14">
        <f>equip.xml!L2124</f>
        <v>32500</v>
      </c>
      <c r="L2120" s="14" t="str">
        <f>equip.xml!M2124</f>
        <v>103_2007_2007,104_4014_4014</v>
      </c>
      <c r="M2120" s="17" t="str">
        <f>equip.xml!Q2124</f>
        <v>equipment/1118.png</v>
      </c>
      <c r="N2120" s="16" t="str">
        <f>equip.xml!P2124</f>
        <v>10000_1002_60000,30000_30001_1,30000_30002_1,30000_30003_1</v>
      </c>
      <c r="O2120">
        <f>equip.xml!R2124</f>
        <v>0</v>
      </c>
    </row>
    <row r="2121" spans="1:15">
      <c r="A2121" s="14" t="str">
        <f>equip.xml!A2125</f>
        <v>50601051</v>
      </c>
      <c r="B2121" s="14">
        <f>equip.xml!B2125</f>
        <v>1</v>
      </c>
      <c r="C2121" s="14" t="str">
        <f>equip.xml!C2125</f>
        <v>逐光巨剑</v>
      </c>
      <c r="D2121" s="14" t="str">
        <f>equip.xml!D2125</f>
        <v>主手武器</v>
      </c>
      <c r="E2121" s="14">
        <f>equip.xml!E2125</f>
        <v>5</v>
      </c>
      <c r="F2121" s="14">
        <f>equip.xml!F2125</f>
        <v>5</v>
      </c>
      <c r="G2121" s="14">
        <f>equip.xml!G2125</f>
        <v>60</v>
      </c>
      <c r="H2121" s="14" t="str">
        <f>equip.xml!H2125</f>
        <v>1,1001</v>
      </c>
      <c r="I2121" s="14">
        <f>equip.xml!J2125</f>
        <v>150</v>
      </c>
      <c r="J2121" s="14">
        <f>equip.xml!K2125</f>
        <v>1500</v>
      </c>
      <c r="K2121" s="14">
        <f>equip.xml!L2125</f>
        <v>35000</v>
      </c>
      <c r="L2121" s="14" t="str">
        <f>equip.xml!M2125</f>
        <v>103_2252_2252,104_4504_4504</v>
      </c>
      <c r="M2121" s="17" t="str">
        <f>equip.xml!Q2125</f>
        <v>equipment/1122.png</v>
      </c>
      <c r="N2121" s="16" t="str">
        <f>equip.xml!P2125</f>
        <v>10000_1002_60000,30000_30001_1,30000_30002_1,30000_30003_1</v>
      </c>
      <c r="O2121">
        <f>equip.xml!R2125</f>
        <v>0</v>
      </c>
    </row>
    <row r="2122" spans="1:15">
      <c r="A2122" s="14" t="str">
        <f>equip.xml!A2126</f>
        <v>50601060</v>
      </c>
      <c r="B2122" s="14">
        <f>equip.xml!B2126</f>
        <v>1</v>
      </c>
      <c r="C2122" s="14" t="str">
        <f>equip.xml!C2126</f>
        <v>灵魂壁垒</v>
      </c>
      <c r="D2122" s="14" t="str">
        <f>equip.xml!D2126</f>
        <v>副手武器</v>
      </c>
      <c r="E2122" s="14">
        <f>equip.xml!E2126</f>
        <v>6</v>
      </c>
      <c r="F2122" s="14">
        <f>equip.xml!F2126</f>
        <v>5</v>
      </c>
      <c r="G2122" s="14">
        <f>equip.xml!G2126</f>
        <v>60</v>
      </c>
      <c r="H2122" s="14" t="str">
        <f>equip.xml!H2126</f>
        <v>1,1001</v>
      </c>
      <c r="I2122" s="14">
        <f>equip.xml!J2126</f>
        <v>150</v>
      </c>
      <c r="J2122" s="14">
        <f>equip.xml!K2126</f>
        <v>1500</v>
      </c>
      <c r="K2122" s="14">
        <f>equip.xml!L2126</f>
        <v>32500</v>
      </c>
      <c r="L2122" s="14" t="str">
        <f>equip.xml!M2126</f>
        <v>105_2515_2515</v>
      </c>
      <c r="M2122" s="17" t="str">
        <f>equip.xml!Q2126</f>
        <v>equipment/2115.png</v>
      </c>
      <c r="N2122" s="16" t="str">
        <f>equip.xml!P2126</f>
        <v>10000_1002_60000,30000_30001_1,30000_30002_1,30000_30003_1</v>
      </c>
      <c r="O2122">
        <f>equip.xml!R2126</f>
        <v>0</v>
      </c>
    </row>
    <row r="2123" spans="1:15">
      <c r="A2123" s="14" t="str">
        <f>equip.xml!A2127</f>
        <v>50601061</v>
      </c>
      <c r="B2123" s="14">
        <f>equip.xml!B2127</f>
        <v>0</v>
      </c>
      <c r="C2123" s="14" t="str">
        <f>equip.xml!C2127</f>
        <v>尖头盾</v>
      </c>
      <c r="D2123" s="14" t="str">
        <f>equip.xml!D2127</f>
        <v>副手武器</v>
      </c>
      <c r="E2123" s="14">
        <f>equip.xml!E2127</f>
        <v>6</v>
      </c>
      <c r="F2123" s="14">
        <f>equip.xml!F2127</f>
        <v>5</v>
      </c>
      <c r="G2123" s="14">
        <f>equip.xml!G2127</f>
        <v>60</v>
      </c>
      <c r="H2123" s="14" t="str">
        <f>equip.xml!H2127</f>
        <v>1,1001</v>
      </c>
      <c r="I2123" s="14">
        <f>equip.xml!J2127</f>
        <v>150</v>
      </c>
      <c r="J2123" s="14">
        <f>equip.xml!K2127</f>
        <v>1500</v>
      </c>
      <c r="K2123" s="14">
        <f>equip.xml!L2127</f>
        <v>35000</v>
      </c>
      <c r="L2123" s="14" t="str">
        <f>equip.xml!M2127</f>
        <v>105_2704_2704</v>
      </c>
      <c r="M2123" s="17" t="str">
        <f>equip.xml!Q2127</f>
        <v>equipment/2101.png</v>
      </c>
      <c r="N2123" s="16" t="str">
        <f>equip.xml!P2127</f>
        <v>10000_1002_60000,30000_30001_1,30000_30002_1,30000_30003_1</v>
      </c>
      <c r="O2123">
        <f>equip.xml!R2127</f>
        <v>0</v>
      </c>
    </row>
    <row r="2124" spans="1:15">
      <c r="A2124" s="14" t="str">
        <f>equip.xml!A2128</f>
        <v>50602050</v>
      </c>
      <c r="B2124" s="14">
        <f>equip.xml!B2128</f>
        <v>1</v>
      </c>
      <c r="C2124" s="14" t="str">
        <f>equip.xml!C2128</f>
        <v>暗之追猎者</v>
      </c>
      <c r="D2124" s="14" t="str">
        <f>equip.xml!D2128</f>
        <v>主手武器</v>
      </c>
      <c r="E2124" s="14">
        <f>equip.xml!E2128</f>
        <v>5</v>
      </c>
      <c r="F2124" s="14">
        <f>equip.xml!F2128</f>
        <v>5</v>
      </c>
      <c r="G2124" s="14">
        <f>equip.xml!G2128</f>
        <v>60</v>
      </c>
      <c r="H2124" s="14" t="str">
        <f>equip.xml!H2128</f>
        <v>2,1002</v>
      </c>
      <c r="I2124" s="14">
        <f>equip.xml!J2128</f>
        <v>150</v>
      </c>
      <c r="J2124" s="14">
        <f>equip.xml!K2128</f>
        <v>1500</v>
      </c>
      <c r="K2124" s="14">
        <f>equip.xml!L2128</f>
        <v>32500</v>
      </c>
      <c r="L2124" s="14" t="str">
        <f>equip.xml!M2128</f>
        <v>103_2007_2007,104_4014_4014</v>
      </c>
      <c r="M2124" s="17" t="str">
        <f>equip.xml!Q2128</f>
        <v>equipment/1220.png</v>
      </c>
      <c r="N2124" s="16" t="str">
        <f>equip.xml!P2128</f>
        <v>10000_1002_60000,30000_30001_1,30000_30002_1,30000_30003_1</v>
      </c>
      <c r="O2124">
        <f>equip.xml!R2128</f>
        <v>0</v>
      </c>
    </row>
    <row r="2125" spans="1:15">
      <c r="A2125" s="14" t="str">
        <f>equip.xml!A2129</f>
        <v>50602051</v>
      </c>
      <c r="B2125" s="14">
        <f>equip.xml!B2129</f>
        <v>0</v>
      </c>
      <c r="C2125" s="14" t="str">
        <f>equip.xml!C2129</f>
        <v>棘木弓</v>
      </c>
      <c r="D2125" s="14" t="str">
        <f>equip.xml!D2129</f>
        <v>主手武器</v>
      </c>
      <c r="E2125" s="14">
        <f>equip.xml!E2129</f>
        <v>5</v>
      </c>
      <c r="F2125" s="14">
        <f>equip.xml!F2129</f>
        <v>5</v>
      </c>
      <c r="G2125" s="14">
        <f>equip.xml!G2129</f>
        <v>60</v>
      </c>
      <c r="H2125" s="14" t="str">
        <f>equip.xml!H2129</f>
        <v>2,1002</v>
      </c>
      <c r="I2125" s="14">
        <f>equip.xml!J2129</f>
        <v>150</v>
      </c>
      <c r="J2125" s="14">
        <f>equip.xml!K2129</f>
        <v>1500</v>
      </c>
      <c r="K2125" s="14">
        <f>equip.xml!L2129</f>
        <v>35000</v>
      </c>
      <c r="L2125" s="14" t="str">
        <f>equip.xml!M2129</f>
        <v>103_2252_2252,104_4504_4504</v>
      </c>
      <c r="M2125" s="17" t="str">
        <f>equip.xml!Q2129</f>
        <v>equipment/1201.png</v>
      </c>
      <c r="N2125" s="16" t="str">
        <f>equip.xml!P2129</f>
        <v>10000_1002_60000,30000_30001_1,30000_30002_1,30000_30003_1</v>
      </c>
      <c r="O2125">
        <f>equip.xml!R2129</f>
        <v>0</v>
      </c>
    </row>
    <row r="2126" spans="1:15">
      <c r="A2126" s="14" t="str">
        <f>equip.xml!A2130</f>
        <v>50602060</v>
      </c>
      <c r="B2126" s="14">
        <f>equip.xml!B2130</f>
        <v>1</v>
      </c>
      <c r="C2126" s="14" t="str">
        <f>equip.xml!C2130</f>
        <v>猎星箭袋</v>
      </c>
      <c r="D2126" s="14" t="str">
        <f>equip.xml!D2130</f>
        <v>副手武器</v>
      </c>
      <c r="E2126" s="14">
        <f>equip.xml!E2130</f>
        <v>6</v>
      </c>
      <c r="F2126" s="14">
        <f>equip.xml!F2130</f>
        <v>5</v>
      </c>
      <c r="G2126" s="14">
        <f>equip.xml!G2130</f>
        <v>60</v>
      </c>
      <c r="H2126" s="14" t="str">
        <f>equip.xml!H2130</f>
        <v>2,1002</v>
      </c>
      <c r="I2126" s="14">
        <f>equip.xml!J2130</f>
        <v>150</v>
      </c>
      <c r="J2126" s="14">
        <f>equip.xml!K2130</f>
        <v>1500</v>
      </c>
      <c r="K2126" s="14">
        <f>equip.xml!L2130</f>
        <v>32500</v>
      </c>
      <c r="L2126" s="14" t="str">
        <f>equip.xml!M2130</f>
        <v>108_2515_2515</v>
      </c>
      <c r="M2126" s="17" t="str">
        <f>equip.xml!Q2130</f>
        <v>equipment/2215.png</v>
      </c>
      <c r="N2126" s="16" t="str">
        <f>equip.xml!P2130</f>
        <v>10000_1002_60000,30000_30001_1,30000_30002_1,30000_30003_1</v>
      </c>
      <c r="O2126">
        <f>equip.xml!R2130</f>
        <v>0</v>
      </c>
    </row>
    <row r="2127" spans="1:15">
      <c r="A2127" s="14" t="str">
        <f>equip.xml!A2131</f>
        <v>50602061</v>
      </c>
      <c r="B2127" s="14">
        <f>equip.xml!B2131</f>
        <v>0</v>
      </c>
      <c r="C2127" s="14" t="str">
        <f>equip.xml!C2131</f>
        <v>箭筒</v>
      </c>
      <c r="D2127" s="14" t="str">
        <f>equip.xml!D2131</f>
        <v>副手武器</v>
      </c>
      <c r="E2127" s="14">
        <f>equip.xml!E2131</f>
        <v>6</v>
      </c>
      <c r="F2127" s="14">
        <f>equip.xml!F2131</f>
        <v>5</v>
      </c>
      <c r="G2127" s="14">
        <f>equip.xml!G2131</f>
        <v>60</v>
      </c>
      <c r="H2127" s="14" t="str">
        <f>equip.xml!H2131</f>
        <v>2,1002</v>
      </c>
      <c r="I2127" s="14">
        <f>equip.xml!J2131</f>
        <v>150</v>
      </c>
      <c r="J2127" s="14">
        <f>equip.xml!K2131</f>
        <v>1500</v>
      </c>
      <c r="K2127" s="14">
        <f>equip.xml!L2131</f>
        <v>35000</v>
      </c>
      <c r="L2127" s="14" t="str">
        <f>equip.xml!M2131</f>
        <v>108_2704_2704</v>
      </c>
      <c r="M2127" s="17" t="str">
        <f>equip.xml!Q2131</f>
        <v>equipment/2201.png</v>
      </c>
      <c r="N2127" s="16" t="str">
        <f>equip.xml!P2131</f>
        <v>10000_1002_60000,30000_30001_1,30000_30002_1,30000_30003_1</v>
      </c>
      <c r="O2127">
        <f>equip.xml!R2131</f>
        <v>0</v>
      </c>
    </row>
    <row r="2128" spans="1:15">
      <c r="A2128" s="14" t="str">
        <f>equip.xml!A2132</f>
        <v>50603050</v>
      </c>
      <c r="B2128" s="14">
        <f>equip.xml!B2132</f>
        <v>1</v>
      </c>
      <c r="C2128" s="14" t="str">
        <f>equip.xml!C2132</f>
        <v>无尽回响之杖</v>
      </c>
      <c r="D2128" s="14" t="str">
        <f>equip.xml!D2132</f>
        <v>主手武器</v>
      </c>
      <c r="E2128" s="14">
        <f>equip.xml!E2132</f>
        <v>5</v>
      </c>
      <c r="F2128" s="14">
        <f>equip.xml!F2132</f>
        <v>5</v>
      </c>
      <c r="G2128" s="14">
        <f>equip.xml!G2132</f>
        <v>60</v>
      </c>
      <c r="H2128" s="14" t="str">
        <f>equip.xml!H2132</f>
        <v>3,1003</v>
      </c>
      <c r="I2128" s="14">
        <f>equip.xml!J2132</f>
        <v>150</v>
      </c>
      <c r="J2128" s="14">
        <f>equip.xml!K2132</f>
        <v>1500</v>
      </c>
      <c r="K2128" s="14">
        <f>equip.xml!L2132</f>
        <v>32500</v>
      </c>
      <c r="L2128" s="14" t="str">
        <f>equip.xml!M2132</f>
        <v>103_2007_2007,104_4014_4014</v>
      </c>
      <c r="M2128" s="17" t="str">
        <f>equip.xml!Q2132</f>
        <v>equipment/1322.png</v>
      </c>
      <c r="N2128" s="16" t="str">
        <f>equip.xml!P2132</f>
        <v>10000_1002_60000,30000_30001_1,30000_30002_1,30000_30003_1</v>
      </c>
      <c r="O2128">
        <f>equip.xml!R2132</f>
        <v>0</v>
      </c>
    </row>
    <row r="2129" spans="1:15">
      <c r="A2129" s="14" t="str">
        <f>equip.xml!A2133</f>
        <v>50603051</v>
      </c>
      <c r="B2129" s="14">
        <f>equip.xml!B2133</f>
        <v>0</v>
      </c>
      <c r="C2129" s="14" t="str">
        <f>equip.xml!C2133</f>
        <v>日辉法杖</v>
      </c>
      <c r="D2129" s="14" t="str">
        <f>equip.xml!D2133</f>
        <v>主手武器</v>
      </c>
      <c r="E2129" s="14">
        <f>equip.xml!E2133</f>
        <v>5</v>
      </c>
      <c r="F2129" s="14">
        <f>equip.xml!F2133</f>
        <v>5</v>
      </c>
      <c r="G2129" s="14">
        <f>equip.xml!G2133</f>
        <v>60</v>
      </c>
      <c r="H2129" s="14" t="str">
        <f>equip.xml!H2133</f>
        <v>3,1003</v>
      </c>
      <c r="I2129" s="14">
        <f>equip.xml!J2133</f>
        <v>150</v>
      </c>
      <c r="J2129" s="14">
        <f>equip.xml!K2133</f>
        <v>1500</v>
      </c>
      <c r="K2129" s="14">
        <f>equip.xml!L2133</f>
        <v>35000</v>
      </c>
      <c r="L2129" s="14" t="str">
        <f>equip.xml!M2133</f>
        <v>103_2252_2252,104_4504_4504</v>
      </c>
      <c r="M2129" s="17" t="str">
        <f>equip.xml!Q2133</f>
        <v>equipment/1301.png</v>
      </c>
      <c r="N2129" s="16" t="str">
        <f>equip.xml!P2133</f>
        <v>10000_1002_60000,30000_30001_1,30000_30002_1,30000_30003_1</v>
      </c>
      <c r="O2129">
        <f>equip.xml!R2133</f>
        <v>0</v>
      </c>
    </row>
    <row r="2130" spans="1:15">
      <c r="A2130" s="14" t="str">
        <f>equip.xml!A2134</f>
        <v>50603060</v>
      </c>
      <c r="B2130" s="14">
        <f>equip.xml!B2134</f>
        <v>1</v>
      </c>
      <c r="C2130" s="14" t="str">
        <f>equip.xml!C2134</f>
        <v>星图指南</v>
      </c>
      <c r="D2130" s="14" t="str">
        <f>equip.xml!D2134</f>
        <v>副手武器</v>
      </c>
      <c r="E2130" s="14">
        <f>equip.xml!E2134</f>
        <v>6</v>
      </c>
      <c r="F2130" s="14">
        <f>equip.xml!F2134</f>
        <v>5</v>
      </c>
      <c r="G2130" s="14">
        <f>equip.xml!G2134</f>
        <v>60</v>
      </c>
      <c r="H2130" s="14" t="str">
        <f>equip.xml!H2134</f>
        <v>3,1003</v>
      </c>
      <c r="I2130" s="14">
        <f>equip.xml!J2134</f>
        <v>150</v>
      </c>
      <c r="J2130" s="14">
        <f>equip.xml!K2134</f>
        <v>1500</v>
      </c>
      <c r="K2130" s="14">
        <f>equip.xml!L2134</f>
        <v>32500</v>
      </c>
      <c r="L2130" s="14" t="str">
        <f>equip.xml!M2134</f>
        <v>102_2260_2260</v>
      </c>
      <c r="M2130" s="17" t="str">
        <f>equip.xml!Q2134</f>
        <v>equipment/2315.png</v>
      </c>
      <c r="N2130" s="16" t="str">
        <f>equip.xml!P2134</f>
        <v>10000_1002_60000,30000_30001_1,30000_30002_1,30000_30003_1</v>
      </c>
      <c r="O2130">
        <f>equip.xml!R2134</f>
        <v>0</v>
      </c>
    </row>
    <row r="2131" spans="1:15">
      <c r="A2131" s="14" t="str">
        <f>equip.xml!A2135</f>
        <v>50603061</v>
      </c>
      <c r="B2131" s="14">
        <f>equip.xml!B2135</f>
        <v>0</v>
      </c>
      <c r="C2131" s="14" t="str">
        <f>equip.xml!C2135</f>
        <v>法术指南</v>
      </c>
      <c r="D2131" s="14" t="str">
        <f>equip.xml!D2135</f>
        <v>副手武器</v>
      </c>
      <c r="E2131" s="14">
        <f>equip.xml!E2135</f>
        <v>6</v>
      </c>
      <c r="F2131" s="14">
        <f>equip.xml!F2135</f>
        <v>5</v>
      </c>
      <c r="G2131" s="14">
        <f>equip.xml!G2135</f>
        <v>60</v>
      </c>
      <c r="H2131" s="14" t="str">
        <f>equip.xml!H2135</f>
        <v>3,1003</v>
      </c>
      <c r="I2131" s="14">
        <f>equip.xml!J2135</f>
        <v>150</v>
      </c>
      <c r="J2131" s="14">
        <f>equip.xml!K2135</f>
        <v>1500</v>
      </c>
      <c r="K2131" s="14">
        <f>equip.xml!L2135</f>
        <v>35000</v>
      </c>
      <c r="L2131" s="14" t="str">
        <f>equip.xml!M2135</f>
        <v>102_2704_2704</v>
      </c>
      <c r="M2131" s="17" t="str">
        <f>equip.xml!Q2135</f>
        <v>equipment/2301.png</v>
      </c>
      <c r="N2131" s="16" t="str">
        <f>equip.xml!P2135</f>
        <v>10000_1002_60000,30000_30001_1,30000_30002_1,30000_30003_1</v>
      </c>
      <c r="O2131">
        <f>equip.xml!R2135</f>
        <v>0</v>
      </c>
    </row>
    <row r="2132" spans="1:15">
      <c r="A2132" s="14" t="str">
        <f>equip.xml!A2136</f>
        <v>50600040</v>
      </c>
      <c r="B2132" s="14">
        <f>equip.xml!B2136</f>
        <v>1</v>
      </c>
      <c r="C2132" s="14" t="str">
        <f>equip.xml!C2136</f>
        <v>明光战甲</v>
      </c>
      <c r="D2132" s="14" t="str">
        <f>equip.xml!D2136</f>
        <v>胸甲</v>
      </c>
      <c r="E2132" s="14">
        <f>equip.xml!E2136</f>
        <v>4</v>
      </c>
      <c r="F2132" s="14">
        <f>equip.xml!F2136</f>
        <v>5</v>
      </c>
      <c r="G2132" s="14">
        <f>equip.xml!G2136</f>
        <v>60</v>
      </c>
      <c r="H2132" s="14">
        <f>equip.xml!H2136</f>
        <v>0</v>
      </c>
      <c r="I2132" s="14">
        <f>equip.xml!J2136</f>
        <v>150</v>
      </c>
      <c r="J2132" s="14">
        <f>equip.xml!K2136</f>
        <v>1500</v>
      </c>
      <c r="K2132" s="14">
        <f>equip.xml!L2136</f>
        <v>32500</v>
      </c>
      <c r="L2132" s="14" t="str">
        <f>equip.xml!M2136</f>
        <v>105_1377_1377</v>
      </c>
      <c r="M2132" s="17" t="str">
        <f>equip.xml!Q2136</f>
        <v>equipment/5016.png</v>
      </c>
      <c r="N2132" s="16" t="str">
        <f>equip.xml!P2136</f>
        <v>10000_1002_60000,30000_30001_1,30000_30002_1,30000_30003_1</v>
      </c>
      <c r="O2132">
        <f>equip.xml!R2136</f>
        <v>0</v>
      </c>
    </row>
    <row r="2133" spans="1:15">
      <c r="A2133" s="14" t="str">
        <f>equip.xml!A2137</f>
        <v>50600041</v>
      </c>
      <c r="B2133" s="14">
        <f>equip.xml!B2137</f>
        <v>0</v>
      </c>
      <c r="C2133" s="14" t="str">
        <f>equip.xml!C2137</f>
        <v>龙骑战甲</v>
      </c>
      <c r="D2133" s="14" t="str">
        <f>equip.xml!D2137</f>
        <v>胸甲</v>
      </c>
      <c r="E2133" s="14">
        <f>equip.xml!E2137</f>
        <v>4</v>
      </c>
      <c r="F2133" s="14">
        <f>equip.xml!F2137</f>
        <v>5</v>
      </c>
      <c r="G2133" s="14">
        <f>equip.xml!G2137</f>
        <v>60</v>
      </c>
      <c r="H2133" s="14">
        <f>equip.xml!H2137</f>
        <v>0</v>
      </c>
      <c r="I2133" s="14">
        <f>equip.xml!J2137</f>
        <v>150</v>
      </c>
      <c r="J2133" s="14">
        <f>equip.xml!K2137</f>
        <v>1500</v>
      </c>
      <c r="K2133" s="14">
        <f>equip.xml!L2137</f>
        <v>35000</v>
      </c>
      <c r="L2133" s="14" t="str">
        <f>equip.xml!M2137</f>
        <v>105_1477_1477</v>
      </c>
      <c r="M2133" s="17" t="str">
        <f>equip.xml!Q2137</f>
        <v>equipment/5001.png</v>
      </c>
      <c r="N2133" s="16" t="str">
        <f>equip.xml!P2137</f>
        <v>10000_1002_60000,30000_30001_1,30000_30002_1,30000_30003_1</v>
      </c>
      <c r="O2133">
        <f>equip.xml!R2137</f>
        <v>0</v>
      </c>
    </row>
    <row r="2134" spans="1:15">
      <c r="A2134" s="14" t="str">
        <f>equip.xml!A2138</f>
        <v>50600070</v>
      </c>
      <c r="B2134" s="14">
        <f>equip.xml!B2138</f>
        <v>1</v>
      </c>
      <c r="C2134" s="14" t="str">
        <f>equip.xml!C2138</f>
        <v>深渊护腿</v>
      </c>
      <c r="D2134" s="14" t="str">
        <f>equip.xml!D2138</f>
        <v>护腿</v>
      </c>
      <c r="E2134" s="14">
        <f>equip.xml!E2138</f>
        <v>7</v>
      </c>
      <c r="F2134" s="14">
        <f>equip.xml!F2138</f>
        <v>5</v>
      </c>
      <c r="G2134" s="14">
        <f>equip.xml!G2138</f>
        <v>60</v>
      </c>
      <c r="H2134" s="14">
        <f>equip.xml!H2138</f>
        <v>0</v>
      </c>
      <c r="I2134" s="14">
        <f>equip.xml!J2138</f>
        <v>150</v>
      </c>
      <c r="J2134" s="14">
        <f>equip.xml!K2138</f>
        <v>1500</v>
      </c>
      <c r="K2134" s="14">
        <f>equip.xml!L2138</f>
        <v>32500</v>
      </c>
      <c r="L2134" s="14" t="str">
        <f>equip.xml!M2138</f>
        <v>105_1152_1152</v>
      </c>
      <c r="M2134" s="17" t="str">
        <f>equip.xml!Q2138</f>
        <v>equipment/7014.png</v>
      </c>
      <c r="N2134" s="16" t="str">
        <f>equip.xml!P2138</f>
        <v>10000_1002_60000,30000_30001_1,30000_30002_1,30000_30003_1</v>
      </c>
      <c r="O2134">
        <f>equip.xml!R2138</f>
        <v>0</v>
      </c>
    </row>
    <row r="2135" spans="1:15">
      <c r="A2135" s="14" t="str">
        <f>equip.xml!A2139</f>
        <v>50600071</v>
      </c>
      <c r="B2135" s="14">
        <f>equip.xml!B2139</f>
        <v>1</v>
      </c>
      <c r="C2135" s="14" t="str">
        <f>equip.xml!C2139</f>
        <v>光耀腿甲</v>
      </c>
      <c r="D2135" s="14" t="str">
        <f>equip.xml!D2139</f>
        <v>护腿</v>
      </c>
      <c r="E2135" s="14">
        <f>equip.xml!E2139</f>
        <v>7</v>
      </c>
      <c r="F2135" s="14">
        <f>equip.xml!F2139</f>
        <v>5</v>
      </c>
      <c r="G2135" s="14">
        <f>equip.xml!G2139</f>
        <v>60</v>
      </c>
      <c r="H2135" s="14">
        <f>equip.xml!H2139</f>
        <v>0</v>
      </c>
      <c r="I2135" s="14">
        <f>equip.xml!J2139</f>
        <v>150</v>
      </c>
      <c r="J2135" s="14">
        <f>equip.xml!K2139</f>
        <v>1500</v>
      </c>
      <c r="K2135" s="14">
        <f>equip.xml!L2139</f>
        <v>35000</v>
      </c>
      <c r="L2135" s="14" t="str">
        <f>equip.xml!M2139</f>
        <v>105_1342_1342</v>
      </c>
      <c r="M2135" s="17" t="str">
        <f>equip.xml!Q2139</f>
        <v>equipment/7015.png</v>
      </c>
      <c r="N2135" s="16" t="str">
        <f>equip.xml!P2139</f>
        <v>10000_1002_60000,30000_30001_1,30000_30002_1,30000_30003_1</v>
      </c>
      <c r="O2135">
        <f>equip.xml!R2139</f>
        <v>0</v>
      </c>
    </row>
    <row r="2136" spans="1:15">
      <c r="A2136" s="14" t="str">
        <f>equip.xml!A2140</f>
        <v>50650010</v>
      </c>
      <c r="B2136" s="14">
        <f>equip.xml!B2140</f>
        <v>1</v>
      </c>
      <c r="C2136" s="14" t="str">
        <f>equip.xml!C2140</f>
        <v>虚空之冠</v>
      </c>
      <c r="D2136" s="14" t="str">
        <f>equip.xml!D2140</f>
        <v>头盔</v>
      </c>
      <c r="E2136" s="14">
        <f>equip.xml!E2140</f>
        <v>1</v>
      </c>
      <c r="F2136" s="14">
        <f>equip.xml!F2140</f>
        <v>5</v>
      </c>
      <c r="G2136" s="14">
        <f>equip.xml!G2140</f>
        <v>65</v>
      </c>
      <c r="H2136" s="14">
        <f>equip.xml!H2140</f>
        <v>0</v>
      </c>
      <c r="I2136" s="14">
        <f>equip.xml!J2140</f>
        <v>150</v>
      </c>
      <c r="J2136" s="14">
        <f>equip.xml!K2140</f>
        <v>1500</v>
      </c>
      <c r="K2136" s="14">
        <f>equip.xml!L2140</f>
        <v>35000</v>
      </c>
      <c r="L2136" s="14" t="str">
        <f>equip.xml!M2140</f>
        <v>106_2015_2015</v>
      </c>
      <c r="M2136" s="17" t="str">
        <f>equip.xml!Q2140</f>
        <v>equipment/3011.png</v>
      </c>
      <c r="N2136" s="16" t="str">
        <f>equip.xml!P2140</f>
        <v>10000_1002_65000,30000_30001_1,30000_30002_1,30000_30003_1</v>
      </c>
      <c r="O2136">
        <f>equip.xml!R2140</f>
        <v>0</v>
      </c>
    </row>
    <row r="2137" spans="1:15">
      <c r="A2137" s="14" t="str">
        <f>equip.xml!A2141</f>
        <v>50650020</v>
      </c>
      <c r="B2137" s="14">
        <f>equip.xml!B2141</f>
        <v>1</v>
      </c>
      <c r="C2137" s="14" t="str">
        <f>equip.xml!C2141</f>
        <v>圣火指环</v>
      </c>
      <c r="D2137" s="14" t="str">
        <f>equip.xml!D2141</f>
        <v>戒指</v>
      </c>
      <c r="E2137" s="14">
        <f>equip.xml!E2141</f>
        <v>2</v>
      </c>
      <c r="F2137" s="14">
        <f>equip.xml!F2141</f>
        <v>5</v>
      </c>
      <c r="G2137" s="14">
        <f>equip.xml!G2141</f>
        <v>65</v>
      </c>
      <c r="H2137" s="14">
        <f>equip.xml!H2141</f>
        <v>0</v>
      </c>
      <c r="I2137" s="14">
        <f>equip.xml!J2141</f>
        <v>150</v>
      </c>
      <c r="J2137" s="14">
        <f>equip.xml!K2141</f>
        <v>1500</v>
      </c>
      <c r="K2137" s="14">
        <f>equip.xml!L2141</f>
        <v>35000</v>
      </c>
      <c r="L2137" s="14" t="str">
        <f>equip.xml!M2141</f>
        <v>102_1470_1470</v>
      </c>
      <c r="M2137" s="17" t="str">
        <f>equip.xml!Q2141</f>
        <v>equipment/14011.png</v>
      </c>
      <c r="N2137" s="16" t="str">
        <f>equip.xml!P2141</f>
        <v>10000_1002_65000,30000_30001_1,30000_30002_1,30000_30003_1</v>
      </c>
      <c r="O2137">
        <f>equip.xml!R2141</f>
        <v>0</v>
      </c>
    </row>
    <row r="2138" spans="1:15">
      <c r="A2138" s="14" t="str">
        <f>equip.xml!A2142</f>
        <v>50650030</v>
      </c>
      <c r="B2138" s="14">
        <f>equip.xml!B2142</f>
        <v>1</v>
      </c>
      <c r="C2138" s="14" t="str">
        <f>equip.xml!C2142</f>
        <v>统御腰带</v>
      </c>
      <c r="D2138" s="14" t="str">
        <f>equip.xml!D2142</f>
        <v>腰带</v>
      </c>
      <c r="E2138" s="14">
        <f>equip.xml!E2142</f>
        <v>3</v>
      </c>
      <c r="F2138" s="14">
        <f>equip.xml!F2142</f>
        <v>5</v>
      </c>
      <c r="G2138" s="14">
        <f>equip.xml!G2142</f>
        <v>65</v>
      </c>
      <c r="H2138" s="14">
        <f>equip.xml!H2142</f>
        <v>0</v>
      </c>
      <c r="I2138" s="14">
        <f>equip.xml!J2142</f>
        <v>150</v>
      </c>
      <c r="J2138" s="14">
        <f>equip.xml!K2142</f>
        <v>1500</v>
      </c>
      <c r="K2138" s="14">
        <f>equip.xml!L2142</f>
        <v>35000</v>
      </c>
      <c r="L2138" s="14" t="str">
        <f>equip.xml!M2142</f>
        <v>101_16900_16900</v>
      </c>
      <c r="M2138" s="17" t="str">
        <f>equip.xml!Q2142</f>
        <v>equipment/6011.png</v>
      </c>
      <c r="N2138" s="16" t="str">
        <f>equip.xml!P2142</f>
        <v>10000_1002_65000,30000_30001_1,30000_30002_1,30000_30003_1</v>
      </c>
      <c r="O2138">
        <f>equip.xml!R2142</f>
        <v>0</v>
      </c>
    </row>
    <row r="2139" spans="1:15">
      <c r="A2139" s="14" t="str">
        <f>equip.xml!A2143</f>
        <v>50650080</v>
      </c>
      <c r="B2139" s="14">
        <f>equip.xml!B2143</f>
        <v>1</v>
      </c>
      <c r="C2139" s="14" t="str">
        <f>equip.xml!C2143</f>
        <v>狱火战靴</v>
      </c>
      <c r="D2139" s="14" t="str">
        <f>equip.xml!D2143</f>
        <v>鞋子</v>
      </c>
      <c r="E2139" s="14">
        <f>equip.xml!E2143</f>
        <v>8</v>
      </c>
      <c r="F2139" s="14">
        <f>equip.xml!F2143</f>
        <v>5</v>
      </c>
      <c r="G2139" s="14">
        <f>equip.xml!G2143</f>
        <v>65</v>
      </c>
      <c r="H2139" s="14">
        <f>equip.xml!H2143</f>
        <v>0</v>
      </c>
      <c r="I2139" s="14">
        <f>equip.xml!J2143</f>
        <v>150</v>
      </c>
      <c r="J2139" s="14">
        <f>equip.xml!K2143</f>
        <v>1500</v>
      </c>
      <c r="K2139" s="14">
        <f>equip.xml!L2143</f>
        <v>35000</v>
      </c>
      <c r="L2139" s="14" t="str">
        <f>equip.xml!M2143</f>
        <v>110_352_352</v>
      </c>
      <c r="M2139" s="17" t="str">
        <f>equip.xml!Q2143</f>
        <v>equipment/8011.png</v>
      </c>
      <c r="N2139" s="16" t="str">
        <f>equip.xml!P2143</f>
        <v>10000_1002_65000,30000_30001_1,30000_30002_1,30000_30003_1</v>
      </c>
      <c r="O2139">
        <f>equip.xml!R2143</f>
        <v>0</v>
      </c>
    </row>
    <row r="2140" spans="1:15">
      <c r="A2140" s="14" t="str">
        <f>equip.xml!A2144</f>
        <v>50650090</v>
      </c>
      <c r="B2140" s="14">
        <f>equip.xml!B2144</f>
        <v>1</v>
      </c>
      <c r="C2140" s="14" t="str">
        <f>equip.xml!C2144</f>
        <v>荣耀先驱护手</v>
      </c>
      <c r="D2140" s="14" t="str">
        <f>equip.xml!D2144</f>
        <v>手套</v>
      </c>
      <c r="E2140" s="14">
        <f>equip.xml!E2144</f>
        <v>9</v>
      </c>
      <c r="F2140" s="14">
        <f>equip.xml!F2144</f>
        <v>5</v>
      </c>
      <c r="G2140" s="14">
        <f>equip.xml!G2144</f>
        <v>65</v>
      </c>
      <c r="H2140" s="14">
        <f>equip.xml!H2144</f>
        <v>0</v>
      </c>
      <c r="I2140" s="14">
        <f>equip.xml!J2144</f>
        <v>150</v>
      </c>
      <c r="J2140" s="14">
        <f>equip.xml!K2144</f>
        <v>1500</v>
      </c>
      <c r="K2140" s="14">
        <f>equip.xml!L2144</f>
        <v>35000</v>
      </c>
      <c r="L2140" s="14" t="str">
        <f>equip.xml!M2144</f>
        <v>108_3884_3884</v>
      </c>
      <c r="M2140" s="17" t="str">
        <f>equip.xml!Q2144</f>
        <v>equipment/10011.png</v>
      </c>
      <c r="N2140" s="16" t="str">
        <f>equip.xml!P2144</f>
        <v>10000_1002_65000,30000_30001_1,30000_30002_1,30000_30003_1</v>
      </c>
      <c r="O2140">
        <f>equip.xml!R2144</f>
        <v>0</v>
      </c>
    </row>
    <row r="2141" spans="1:15">
      <c r="A2141" s="14" t="str">
        <f>equip.xml!A2145</f>
        <v>50650100</v>
      </c>
      <c r="B2141" s="14">
        <f>equip.xml!B2145</f>
        <v>1</v>
      </c>
      <c r="C2141" s="14" t="str">
        <f>equip.xml!C2145</f>
        <v>救赎坠饰</v>
      </c>
      <c r="D2141" s="14" t="str">
        <f>equip.xml!D2145</f>
        <v>项链</v>
      </c>
      <c r="E2141" s="14">
        <f>equip.xml!E2145</f>
        <v>10</v>
      </c>
      <c r="F2141" s="14">
        <f>equip.xml!F2145</f>
        <v>5</v>
      </c>
      <c r="G2141" s="14">
        <f>equip.xml!G2145</f>
        <v>65</v>
      </c>
      <c r="H2141" s="14">
        <f>equip.xml!H2145</f>
        <v>0</v>
      </c>
      <c r="I2141" s="14">
        <f>equip.xml!J2145</f>
        <v>150</v>
      </c>
      <c r="J2141" s="14">
        <f>equip.xml!K2145</f>
        <v>1500</v>
      </c>
      <c r="K2141" s="14">
        <f>equip.xml!L2145</f>
        <v>35000</v>
      </c>
      <c r="L2141" s="14" t="str">
        <f>equip.xml!M2145</f>
        <v>107_2015_2015</v>
      </c>
      <c r="M2141" s="17" t="str">
        <f>equip.xml!Q2145</f>
        <v>equipment/12011.png</v>
      </c>
      <c r="N2141" s="16" t="str">
        <f>equip.xml!P2145</f>
        <v>10000_1002_65000,30000_30001_1,30000_30002_1,30000_30003_1</v>
      </c>
      <c r="O2141">
        <f>equip.xml!R2145</f>
        <v>0</v>
      </c>
    </row>
    <row r="2142" spans="1:15">
      <c r="A2142" s="14" t="str">
        <f>equip.xml!A2146</f>
        <v>50651050</v>
      </c>
      <c r="B2142" s="14">
        <f>equip.xml!B2146</f>
        <v>1</v>
      </c>
      <c r="C2142" s="14" t="str">
        <f>equip.xml!C2146</f>
        <v>魂歌之刃</v>
      </c>
      <c r="D2142" s="14" t="str">
        <f>equip.xml!D2146</f>
        <v>主手武器</v>
      </c>
      <c r="E2142" s="14">
        <f>equip.xml!E2146</f>
        <v>5</v>
      </c>
      <c r="F2142" s="14">
        <f>equip.xml!F2146</f>
        <v>5</v>
      </c>
      <c r="G2142" s="14">
        <f>equip.xml!G2146</f>
        <v>65</v>
      </c>
      <c r="H2142" s="14" t="str">
        <f>equip.xml!H2146</f>
        <v>1,1001</v>
      </c>
      <c r="I2142" s="14">
        <f>equip.xml!J2146</f>
        <v>150</v>
      </c>
      <c r="J2142" s="14">
        <f>equip.xml!K2146</f>
        <v>1500</v>
      </c>
      <c r="K2142" s="14">
        <f>equip.xml!L2146</f>
        <v>35000</v>
      </c>
      <c r="L2142" s="14" t="str">
        <f>equip.xml!M2146</f>
        <v>103_2619_2619,104_5238_5238</v>
      </c>
      <c r="M2142" s="17" t="str">
        <f>equip.xml!Q2146</f>
        <v>equipment/1123.png</v>
      </c>
      <c r="N2142" s="16" t="str">
        <f>equip.xml!P2146</f>
        <v>10000_1002_65000,30000_30001_1,30000_30002_1,30000_30003_1</v>
      </c>
      <c r="O2142">
        <f>equip.xml!R2146</f>
        <v>0</v>
      </c>
    </row>
    <row r="2143" spans="1:15">
      <c r="A2143" s="14" t="str">
        <f>equip.xml!A2147</f>
        <v>50651051</v>
      </c>
      <c r="B2143" s="14">
        <f>equip.xml!B2147</f>
        <v>0</v>
      </c>
      <c r="C2143" s="14" t="str">
        <f>equip.xml!C2147</f>
        <v>命运</v>
      </c>
      <c r="D2143" s="14" t="str">
        <f>equip.xml!D2147</f>
        <v>主手武器</v>
      </c>
      <c r="E2143" s="14">
        <f>equip.xml!E2147</f>
        <v>5</v>
      </c>
      <c r="F2143" s="14">
        <f>equip.xml!F2147</f>
        <v>5</v>
      </c>
      <c r="G2143" s="14">
        <f>equip.xml!G2147</f>
        <v>65</v>
      </c>
      <c r="H2143" s="14" t="str">
        <f>equip.xml!H2147</f>
        <v>1,1001</v>
      </c>
      <c r="I2143" s="14">
        <f>equip.xml!J2147</f>
        <v>150</v>
      </c>
      <c r="J2143" s="14">
        <f>equip.xml!K2147</f>
        <v>1500</v>
      </c>
      <c r="K2143" s="14">
        <f>equip.xml!L2147</f>
        <v>37500</v>
      </c>
      <c r="L2143" s="14" t="str">
        <f>equip.xml!M2147</f>
        <v>103_2854_2854,104_5708_5708</v>
      </c>
      <c r="M2143" s="17" t="str">
        <f>equip.xml!Q2147</f>
        <v>equipment/1101.png</v>
      </c>
      <c r="N2143" s="16" t="str">
        <f>equip.xml!P2147</f>
        <v>10000_1002_65000,30000_30001_1,30000_30002_1,30000_30003_1</v>
      </c>
      <c r="O2143">
        <f>equip.xml!R2147</f>
        <v>0</v>
      </c>
    </row>
    <row r="2144" spans="1:15">
      <c r="A2144" s="14" t="str">
        <f>equip.xml!A2148</f>
        <v>50651060</v>
      </c>
      <c r="B2144" s="14">
        <f>equip.xml!B2148</f>
        <v>1</v>
      </c>
      <c r="C2144" s="14" t="str">
        <f>equip.xml!C2148</f>
        <v>日怒之盾</v>
      </c>
      <c r="D2144" s="14" t="str">
        <f>equip.xml!D2148</f>
        <v>副手武器</v>
      </c>
      <c r="E2144" s="14">
        <f>equip.xml!E2148</f>
        <v>6</v>
      </c>
      <c r="F2144" s="14">
        <f>equip.xml!F2148</f>
        <v>5</v>
      </c>
      <c r="G2144" s="14">
        <f>equip.xml!G2148</f>
        <v>65</v>
      </c>
      <c r="H2144" s="14" t="str">
        <f>equip.xml!H2148</f>
        <v>1,1001</v>
      </c>
      <c r="I2144" s="14">
        <f>equip.xml!J2148</f>
        <v>150</v>
      </c>
      <c r="J2144" s="14">
        <f>equip.xml!K2148</f>
        <v>1500</v>
      </c>
      <c r="K2144" s="14">
        <f>equip.xml!L2148</f>
        <v>35000</v>
      </c>
      <c r="L2144" s="14" t="str">
        <f>equip.xml!M2148</f>
        <v>105_2988_2988</v>
      </c>
      <c r="M2144" s="17" t="str">
        <f>equip.xml!Q2148</f>
        <v>equipment/2116.png</v>
      </c>
      <c r="N2144" s="16" t="str">
        <f>equip.xml!P2148</f>
        <v>10000_1002_65000,30000_30001_1,30000_30002_1,30000_30003_1</v>
      </c>
      <c r="O2144">
        <f>equip.xml!R2148</f>
        <v>0</v>
      </c>
    </row>
    <row r="2145" spans="1:15">
      <c r="A2145" s="14" t="str">
        <f>equip.xml!A2149</f>
        <v>50651061</v>
      </c>
      <c r="B2145" s="14">
        <f>equip.xml!B2149</f>
        <v>0</v>
      </c>
      <c r="C2145" s="14" t="str">
        <f>equip.xml!C2149</f>
        <v>尖头盾</v>
      </c>
      <c r="D2145" s="14" t="str">
        <f>equip.xml!D2149</f>
        <v>副手武器</v>
      </c>
      <c r="E2145" s="14">
        <f>equip.xml!E2149</f>
        <v>6</v>
      </c>
      <c r="F2145" s="14">
        <f>equip.xml!F2149</f>
        <v>5</v>
      </c>
      <c r="G2145" s="14">
        <f>equip.xml!G2149</f>
        <v>65</v>
      </c>
      <c r="H2145" s="14" t="str">
        <f>equip.xml!H2149</f>
        <v>1,1001</v>
      </c>
      <c r="I2145" s="14">
        <f>equip.xml!J2149</f>
        <v>150</v>
      </c>
      <c r="J2145" s="14">
        <f>equip.xml!K2149</f>
        <v>1500</v>
      </c>
      <c r="K2145" s="14">
        <f>equip.xml!L2149</f>
        <v>37500</v>
      </c>
      <c r="L2145" s="14" t="str">
        <f>equip.xml!M2149</f>
        <v>105_2988_2988</v>
      </c>
      <c r="M2145" s="17" t="str">
        <f>equip.xml!Q2149</f>
        <v>equipment/2101.png</v>
      </c>
      <c r="N2145" s="16" t="str">
        <f>equip.xml!P2149</f>
        <v>10000_1002_65000,30000_30001_1,30000_30002_1,30000_30003_1</v>
      </c>
      <c r="O2145">
        <f>equip.xml!R2149</f>
        <v>0</v>
      </c>
    </row>
    <row r="2146" spans="1:15">
      <c r="A2146" s="14" t="str">
        <f>equip.xml!A2150</f>
        <v>50652050</v>
      </c>
      <c r="B2146" s="14">
        <f>equip.xml!B2150</f>
        <v>1</v>
      </c>
      <c r="C2146" s="14" t="str">
        <f>equip.xml!C2150</f>
        <v>憎恨之击</v>
      </c>
      <c r="D2146" s="14" t="str">
        <f>equip.xml!D2150</f>
        <v>主手武器</v>
      </c>
      <c r="E2146" s="14">
        <f>equip.xml!E2150</f>
        <v>5</v>
      </c>
      <c r="F2146" s="14">
        <f>equip.xml!F2150</f>
        <v>5</v>
      </c>
      <c r="G2146" s="14">
        <f>equip.xml!G2150</f>
        <v>65</v>
      </c>
      <c r="H2146" s="14" t="str">
        <f>equip.xml!H2150</f>
        <v>2,1002</v>
      </c>
      <c r="I2146" s="14">
        <f>equip.xml!J2150</f>
        <v>150</v>
      </c>
      <c r="J2146" s="14">
        <f>equip.xml!K2150</f>
        <v>1500</v>
      </c>
      <c r="K2146" s="14">
        <f>equip.xml!L2150</f>
        <v>35000</v>
      </c>
      <c r="L2146" s="14" t="str">
        <f>equip.xml!M2150</f>
        <v>103_2619_2619,104_5238_5238</v>
      </c>
      <c r="M2146" s="17" t="str">
        <f>equip.xml!Q2150</f>
        <v>equipment/1224.png</v>
      </c>
      <c r="N2146" s="16" t="str">
        <f>equip.xml!P2150</f>
        <v>10000_1002_65000,30000_30001_1,30000_30002_1,30000_30003_1</v>
      </c>
      <c r="O2146">
        <f>equip.xml!R2150</f>
        <v>0</v>
      </c>
    </row>
    <row r="2147" spans="1:15">
      <c r="A2147" s="14" t="str">
        <f>equip.xml!A2151</f>
        <v>50652051</v>
      </c>
      <c r="B2147" s="14">
        <f>equip.xml!B2151</f>
        <v>0</v>
      </c>
      <c r="C2147" s="14" t="str">
        <f>equip.xml!C2151</f>
        <v>日怒凰弓</v>
      </c>
      <c r="D2147" s="14" t="str">
        <f>equip.xml!D2151</f>
        <v>主手武器</v>
      </c>
      <c r="E2147" s="14">
        <f>equip.xml!E2151</f>
        <v>5</v>
      </c>
      <c r="F2147" s="14">
        <f>equip.xml!F2151</f>
        <v>5</v>
      </c>
      <c r="G2147" s="14">
        <f>equip.xml!G2151</f>
        <v>65</v>
      </c>
      <c r="H2147" s="14" t="str">
        <f>equip.xml!H2151</f>
        <v>2,1002</v>
      </c>
      <c r="I2147" s="14">
        <f>equip.xml!J2151</f>
        <v>150</v>
      </c>
      <c r="J2147" s="14">
        <f>equip.xml!K2151</f>
        <v>1500</v>
      </c>
      <c r="K2147" s="14">
        <f>equip.xml!L2151</f>
        <v>37500</v>
      </c>
      <c r="L2147" s="14" t="str">
        <f>equip.xml!M2151</f>
        <v>103_2854_2854,104_5708_5708</v>
      </c>
      <c r="M2147" s="17" t="str">
        <f>equip.xml!Q2151</f>
        <v>equipment/1201.png</v>
      </c>
      <c r="N2147" s="16" t="str">
        <f>equip.xml!P2151</f>
        <v>10000_1002_65000,30000_30001_1,30000_30002_1,30000_30003_1</v>
      </c>
      <c r="O2147">
        <f>equip.xml!R2151</f>
        <v>0</v>
      </c>
    </row>
    <row r="2148" spans="1:15">
      <c r="A2148" s="14" t="str">
        <f>equip.xml!A2152</f>
        <v>50652060</v>
      </c>
      <c r="B2148" s="14">
        <f>equip.xml!B2152</f>
        <v>1</v>
      </c>
      <c r="C2148" s="14" t="str">
        <f>equip.xml!C2152</f>
        <v>追噬之矢</v>
      </c>
      <c r="D2148" s="14" t="str">
        <f>equip.xml!D2152</f>
        <v>副手武器</v>
      </c>
      <c r="E2148" s="14">
        <f>equip.xml!E2152</f>
        <v>6</v>
      </c>
      <c r="F2148" s="14">
        <f>equip.xml!F2152</f>
        <v>5</v>
      </c>
      <c r="G2148" s="14">
        <f>equip.xml!G2152</f>
        <v>65</v>
      </c>
      <c r="H2148" s="14" t="str">
        <f>equip.xml!H2152</f>
        <v>2,1002</v>
      </c>
      <c r="I2148" s="14">
        <f>equip.xml!J2152</f>
        <v>150</v>
      </c>
      <c r="J2148" s="14">
        <f>equip.xml!K2152</f>
        <v>1500</v>
      </c>
      <c r="K2148" s="14">
        <f>equip.xml!L2152</f>
        <v>35000</v>
      </c>
      <c r="L2148" s="14" t="str">
        <f>equip.xml!M2152</f>
        <v>108_2988_2988</v>
      </c>
      <c r="M2148" s="17" t="str">
        <f>equip.xml!Q2152</f>
        <v>equipment/2216.png</v>
      </c>
      <c r="N2148" s="16" t="str">
        <f>equip.xml!P2152</f>
        <v>10000_1002_65000,30000_30001_1,30000_30002_1,30000_30003_1</v>
      </c>
      <c r="O2148">
        <f>equip.xml!R2152</f>
        <v>0</v>
      </c>
    </row>
    <row r="2149" spans="1:15">
      <c r="A2149" s="14" t="str">
        <f>equip.xml!A2153</f>
        <v>50652061</v>
      </c>
      <c r="B2149" s="14">
        <f>equip.xml!B2153</f>
        <v>0</v>
      </c>
      <c r="C2149" s="14" t="str">
        <f>equip.xml!C2153</f>
        <v>箭筒</v>
      </c>
      <c r="D2149" s="14" t="str">
        <f>equip.xml!D2153</f>
        <v>副手武器</v>
      </c>
      <c r="E2149" s="14">
        <f>equip.xml!E2153</f>
        <v>6</v>
      </c>
      <c r="F2149" s="14">
        <f>equip.xml!F2153</f>
        <v>5</v>
      </c>
      <c r="G2149" s="14">
        <f>equip.xml!G2153</f>
        <v>65</v>
      </c>
      <c r="H2149" s="14" t="str">
        <f>equip.xml!H2153</f>
        <v>2,1002</v>
      </c>
      <c r="I2149" s="14">
        <f>equip.xml!J2153</f>
        <v>150</v>
      </c>
      <c r="J2149" s="14">
        <f>equip.xml!K2153</f>
        <v>1500</v>
      </c>
      <c r="K2149" s="14">
        <f>equip.xml!L2153</f>
        <v>37500</v>
      </c>
      <c r="L2149" s="14" t="str">
        <f>equip.xml!M2153</f>
        <v>108_2988_2988</v>
      </c>
      <c r="M2149" s="17" t="str">
        <f>equip.xml!Q2153</f>
        <v>equipment/2201.png</v>
      </c>
      <c r="N2149" s="16" t="str">
        <f>equip.xml!P2153</f>
        <v>10000_1002_65000,30000_30001_1,30000_30002_1,30000_30003_1</v>
      </c>
      <c r="O2149">
        <f>equip.xml!R2153</f>
        <v>0</v>
      </c>
    </row>
    <row r="2150" spans="1:15">
      <c r="A2150" s="14" t="str">
        <f>equip.xml!A2154</f>
        <v>50653050</v>
      </c>
      <c r="B2150" s="14">
        <f>equip.xml!B2154</f>
        <v>1</v>
      </c>
      <c r="C2150" s="14" t="str">
        <f>equip.xml!C2154</f>
        <v>时轮金杖</v>
      </c>
      <c r="D2150" s="14" t="str">
        <f>equip.xml!D2154</f>
        <v>主手武器</v>
      </c>
      <c r="E2150" s="14">
        <f>equip.xml!E2154</f>
        <v>5</v>
      </c>
      <c r="F2150" s="14">
        <f>equip.xml!F2154</f>
        <v>5</v>
      </c>
      <c r="G2150" s="14">
        <f>equip.xml!G2154</f>
        <v>65</v>
      </c>
      <c r="H2150" s="14" t="str">
        <f>equip.xml!H2154</f>
        <v>3,1003</v>
      </c>
      <c r="I2150" s="14">
        <f>equip.xml!J2154</f>
        <v>150</v>
      </c>
      <c r="J2150" s="14">
        <f>equip.xml!K2154</f>
        <v>1500</v>
      </c>
      <c r="K2150" s="14">
        <f>equip.xml!L2154</f>
        <v>35000</v>
      </c>
      <c r="L2150" s="14" t="str">
        <f>equip.xml!M2154</f>
        <v>103_2619_2619,104_5238_5238</v>
      </c>
      <c r="M2150" s="17" t="str">
        <f>equip.xml!Q2154</f>
        <v>equipment/1323.png</v>
      </c>
      <c r="N2150" s="16" t="str">
        <f>equip.xml!P2154</f>
        <v>10000_1002_65000,30000_30001_1,30000_30002_1,30000_30003_1</v>
      </c>
      <c r="O2150">
        <f>equip.xml!R2154</f>
        <v>0</v>
      </c>
    </row>
    <row r="2151" spans="1:15">
      <c r="A2151" s="14" t="str">
        <f>equip.xml!A2155</f>
        <v>50653051</v>
      </c>
      <c r="B2151" s="14">
        <f>equip.xml!B2155</f>
        <v>0</v>
      </c>
      <c r="C2151" s="14" t="str">
        <f>equip.xml!C2155</f>
        <v>学徒法杖</v>
      </c>
      <c r="D2151" s="14" t="str">
        <f>equip.xml!D2155</f>
        <v>主手武器</v>
      </c>
      <c r="E2151" s="14">
        <f>equip.xml!E2155</f>
        <v>5</v>
      </c>
      <c r="F2151" s="14">
        <f>equip.xml!F2155</f>
        <v>5</v>
      </c>
      <c r="G2151" s="14">
        <f>equip.xml!G2155</f>
        <v>65</v>
      </c>
      <c r="H2151" s="14" t="str">
        <f>equip.xml!H2155</f>
        <v>3,1003</v>
      </c>
      <c r="I2151" s="14">
        <f>equip.xml!J2155</f>
        <v>150</v>
      </c>
      <c r="J2151" s="14">
        <f>equip.xml!K2155</f>
        <v>1500</v>
      </c>
      <c r="K2151" s="14">
        <f>equip.xml!L2155</f>
        <v>37500</v>
      </c>
      <c r="L2151" s="14" t="str">
        <f>equip.xml!M2155</f>
        <v>103_2854_2854,104_5708_5708</v>
      </c>
      <c r="M2151" s="17" t="str">
        <f>equip.xml!Q2155</f>
        <v>equipment/1301.png</v>
      </c>
      <c r="N2151" s="16" t="str">
        <f>equip.xml!P2155</f>
        <v>10000_1002_65000,30000_30001_1,30000_30002_1,30000_30003_1</v>
      </c>
      <c r="O2151">
        <f>equip.xml!R2155</f>
        <v>0</v>
      </c>
    </row>
    <row r="2152" spans="1:15">
      <c r="A2152" s="14" t="str">
        <f>equip.xml!A2156</f>
        <v>50653060</v>
      </c>
      <c r="B2152" s="14">
        <f>equip.xml!B2156</f>
        <v>1</v>
      </c>
      <c r="C2152" s="14" t="str">
        <f>equip.xml!C2156</f>
        <v>龙语秘典</v>
      </c>
      <c r="D2152" s="14" t="str">
        <f>equip.xml!D2156</f>
        <v>副手武器</v>
      </c>
      <c r="E2152" s="14">
        <f>equip.xml!E2156</f>
        <v>6</v>
      </c>
      <c r="F2152" s="14">
        <f>equip.xml!F2156</f>
        <v>5</v>
      </c>
      <c r="G2152" s="14">
        <f>equip.xml!G2156</f>
        <v>65</v>
      </c>
      <c r="H2152" s="14" t="str">
        <f>equip.xml!H2156</f>
        <v>3,1003</v>
      </c>
      <c r="I2152" s="14">
        <f>equip.xml!J2156</f>
        <v>150</v>
      </c>
      <c r="J2152" s="14">
        <f>equip.xml!K2156</f>
        <v>1500</v>
      </c>
      <c r="K2152" s="14">
        <f>equip.xml!L2156</f>
        <v>35000</v>
      </c>
      <c r="L2152" s="14" t="str">
        <f>equip.xml!M2156</f>
        <v>102_2620_2620</v>
      </c>
      <c r="M2152" s="17" t="str">
        <f>equip.xml!Q2156</f>
        <v>equipment/2317.png</v>
      </c>
      <c r="N2152" s="16" t="str">
        <f>equip.xml!P2156</f>
        <v>10000_1002_65000,30000_30001_1,30000_30002_1,30000_30003_1</v>
      </c>
      <c r="O2152">
        <f>equip.xml!R2156</f>
        <v>0</v>
      </c>
    </row>
    <row r="2153" spans="1:15">
      <c r="A2153" s="14" t="str">
        <f>equip.xml!A2157</f>
        <v>50653061</v>
      </c>
      <c r="B2153" s="14">
        <f>equip.xml!B2157</f>
        <v>0</v>
      </c>
      <c r="C2153" s="14" t="str">
        <f>equip.xml!C2157</f>
        <v>法术指南</v>
      </c>
      <c r="D2153" s="14" t="str">
        <f>equip.xml!D2157</f>
        <v>副手武器</v>
      </c>
      <c r="E2153" s="14">
        <f>equip.xml!E2157</f>
        <v>6</v>
      </c>
      <c r="F2153" s="14">
        <f>equip.xml!F2157</f>
        <v>5</v>
      </c>
      <c r="G2153" s="14">
        <f>equip.xml!G2157</f>
        <v>65</v>
      </c>
      <c r="H2153" s="14" t="str">
        <f>equip.xml!H2157</f>
        <v>3,1003</v>
      </c>
      <c r="I2153" s="14">
        <f>equip.xml!J2157</f>
        <v>150</v>
      </c>
      <c r="J2153" s="14">
        <f>equip.xml!K2157</f>
        <v>1500</v>
      </c>
      <c r="K2153" s="14">
        <f>equip.xml!L2157</f>
        <v>37500</v>
      </c>
      <c r="L2153" s="14" t="str">
        <f>equip.xml!M2157</f>
        <v>102_2988_2988</v>
      </c>
      <c r="M2153" s="17" t="str">
        <f>equip.xml!Q2157</f>
        <v>equipment/2301.png</v>
      </c>
      <c r="N2153" s="16" t="str">
        <f>equip.xml!P2157</f>
        <v>10000_1002_65000,30000_30001_1,30000_30002_1,30000_30003_1</v>
      </c>
      <c r="O2153">
        <f>equip.xml!R2157</f>
        <v>0</v>
      </c>
    </row>
    <row r="2154" spans="1:15">
      <c r="A2154" s="14" t="str">
        <f>equip.xml!A2158</f>
        <v>50650040</v>
      </c>
      <c r="B2154" s="14">
        <f>equip.xml!B2158</f>
        <v>1</v>
      </c>
      <c r="C2154" s="14" t="str">
        <f>equip.xml!C2158</f>
        <v>末世胸铠</v>
      </c>
      <c r="D2154" s="14" t="str">
        <f>equip.xml!D2158</f>
        <v>胸甲</v>
      </c>
      <c r="E2154" s="14">
        <f>equip.xml!E2158</f>
        <v>4</v>
      </c>
      <c r="F2154" s="14">
        <f>equip.xml!F2158</f>
        <v>5</v>
      </c>
      <c r="G2154" s="14">
        <f>equip.xml!G2158</f>
        <v>65</v>
      </c>
      <c r="H2154" s="14">
        <f>equip.xml!H2158</f>
        <v>0</v>
      </c>
      <c r="I2154" s="14">
        <f>equip.xml!J2158</f>
        <v>150</v>
      </c>
      <c r="J2154" s="14">
        <f>equip.xml!K2158</f>
        <v>1500</v>
      </c>
      <c r="K2154" s="14">
        <f>equip.xml!L2158</f>
        <v>35000</v>
      </c>
      <c r="L2154" s="14" t="str">
        <f>equip.xml!M2158</f>
        <v>105_1628_1628</v>
      </c>
      <c r="M2154" s="17" t="str">
        <f>equip.xml!Q2158</f>
        <v>equipment/5017.png</v>
      </c>
      <c r="N2154" s="16" t="str">
        <f>equip.xml!P2158</f>
        <v>10000_1002_65000,30000_30001_1,30000_30002_1,30000_30003_1</v>
      </c>
      <c r="O2154">
        <f>equip.xml!R2158</f>
        <v>0</v>
      </c>
    </row>
    <row r="2155" spans="1:15">
      <c r="A2155" s="14" t="str">
        <f>equip.xml!A2159</f>
        <v>50650041</v>
      </c>
      <c r="B2155" s="14">
        <f>equip.xml!B2159</f>
        <v>0</v>
      </c>
      <c r="C2155" s="14" t="str">
        <f>equip.xml!C2159</f>
        <v>新兵外套</v>
      </c>
      <c r="D2155" s="14" t="str">
        <f>equip.xml!D2159</f>
        <v>胸甲</v>
      </c>
      <c r="E2155" s="14">
        <f>equip.xml!E2159</f>
        <v>4</v>
      </c>
      <c r="F2155" s="14">
        <f>equip.xml!F2159</f>
        <v>5</v>
      </c>
      <c r="G2155" s="14">
        <f>equip.xml!G2159</f>
        <v>65</v>
      </c>
      <c r="H2155" s="14">
        <f>equip.xml!H2159</f>
        <v>0</v>
      </c>
      <c r="I2155" s="14">
        <f>equip.xml!J2159</f>
        <v>150</v>
      </c>
      <c r="J2155" s="14">
        <f>equip.xml!K2159</f>
        <v>1500</v>
      </c>
      <c r="K2155" s="14">
        <f>equip.xml!L2159</f>
        <v>37500</v>
      </c>
      <c r="L2155" s="14" t="str">
        <f>equip.xml!M2159</f>
        <v>105_1628_1628</v>
      </c>
      <c r="M2155" s="17" t="str">
        <f>equip.xml!Q2159</f>
        <v>equipment/5001.png</v>
      </c>
      <c r="N2155" s="16" t="str">
        <f>equip.xml!P2159</f>
        <v>10000_1002_65000,30000_30001_1,30000_30002_1,30000_30003_1</v>
      </c>
      <c r="O2155">
        <f>equip.xml!R2159</f>
        <v>0</v>
      </c>
    </row>
    <row r="2156" spans="1:15">
      <c r="A2156" s="14" t="str">
        <f>equip.xml!A2160</f>
        <v>50650070</v>
      </c>
      <c r="B2156" s="14">
        <f>equip.xml!B2160</f>
        <v>1</v>
      </c>
      <c r="C2156" s="14" t="str">
        <f>equip.xml!C2160</f>
        <v>止战腿甲</v>
      </c>
      <c r="D2156" s="14" t="str">
        <f>equip.xml!D2160</f>
        <v>护腿</v>
      </c>
      <c r="E2156" s="14">
        <f>equip.xml!E2160</f>
        <v>7</v>
      </c>
      <c r="F2156" s="14">
        <f>equip.xml!F2160</f>
        <v>5</v>
      </c>
      <c r="G2156" s="14">
        <f>equip.xml!G2160</f>
        <v>65</v>
      </c>
      <c r="H2156" s="14">
        <f>equip.xml!H2160</f>
        <v>0</v>
      </c>
      <c r="I2156" s="14">
        <f>equip.xml!J2160</f>
        <v>150</v>
      </c>
      <c r="J2156" s="14">
        <f>equip.xml!K2160</f>
        <v>1500</v>
      </c>
      <c r="K2156" s="14">
        <f>equip.xml!L2160</f>
        <v>35000</v>
      </c>
      <c r="L2156" s="14" t="str">
        <f>equip.xml!M2160</f>
        <v>105_1627_1627</v>
      </c>
      <c r="M2156" s="17" t="str">
        <f>equip.xml!Q2160</f>
        <v>equipment/7017.png</v>
      </c>
      <c r="N2156" s="16" t="str">
        <f>equip.xml!P2160</f>
        <v>10000_1002_65000,30000_30001_1,30000_30002_1,30000_30003_1</v>
      </c>
      <c r="O2156">
        <f>equip.xml!R2160</f>
        <v>0</v>
      </c>
    </row>
    <row r="2157" spans="1:15">
      <c r="A2157" s="14" t="str">
        <f>equip.xml!A2161</f>
        <v>50650071</v>
      </c>
      <c r="B2157" s="14">
        <f>equip.xml!B2161</f>
        <v>0</v>
      </c>
      <c r="C2157" s="14" t="str">
        <f>equip.xml!C2161</f>
        <v>学徒短裤</v>
      </c>
      <c r="D2157" s="14" t="str">
        <f>equip.xml!D2161</f>
        <v>护腿</v>
      </c>
      <c r="E2157" s="14">
        <f>equip.xml!E2161</f>
        <v>7</v>
      </c>
      <c r="F2157" s="14">
        <f>equip.xml!F2161</f>
        <v>5</v>
      </c>
      <c r="G2157" s="14">
        <f>equip.xml!G2161</f>
        <v>65</v>
      </c>
      <c r="H2157" s="14">
        <f>equip.xml!H2161</f>
        <v>0</v>
      </c>
      <c r="I2157" s="14">
        <f>equip.xml!J2161</f>
        <v>150</v>
      </c>
      <c r="J2157" s="14">
        <f>equip.xml!K2161</f>
        <v>1500</v>
      </c>
      <c r="K2157" s="14">
        <f>equip.xml!L2161</f>
        <v>37500</v>
      </c>
      <c r="L2157" s="14" t="str">
        <f>equip.xml!M2161</f>
        <v>105_1627_1627</v>
      </c>
      <c r="M2157" s="17" t="str">
        <f>equip.xml!Q2161</f>
        <v>equipment/7001.png</v>
      </c>
      <c r="N2157" s="16" t="str">
        <f>equip.xml!P2161</f>
        <v>10000_1002_65000,30000_30001_1,30000_30002_1,30000_30003_1</v>
      </c>
      <c r="O2157">
        <f>equip.xml!R2161</f>
        <v>0</v>
      </c>
    </row>
    <row r="2158" spans="1:15">
      <c r="A2158" s="14" t="str">
        <f>equip.xml!A2162</f>
        <v>50700010</v>
      </c>
      <c r="B2158" s="14">
        <f>equip.xml!B2162</f>
        <v>1</v>
      </c>
      <c r="C2158" s="14" t="str">
        <f>equip.xml!C2162</f>
        <v>破碎之冠</v>
      </c>
      <c r="D2158" s="14" t="str">
        <f>equip.xml!D2162</f>
        <v>头盔</v>
      </c>
      <c r="E2158" s="14">
        <f>equip.xml!E2162</f>
        <v>1</v>
      </c>
      <c r="F2158" s="14">
        <f>equip.xml!F2162</f>
        <v>5</v>
      </c>
      <c r="G2158" s="14">
        <f>equip.xml!G2162</f>
        <v>70</v>
      </c>
      <c r="H2158" s="14">
        <f>equip.xml!H2162</f>
        <v>0</v>
      </c>
      <c r="I2158" s="14">
        <f>equip.xml!J2162</f>
        <v>150</v>
      </c>
      <c r="J2158" s="14">
        <f>equip.xml!K2162</f>
        <v>1500</v>
      </c>
      <c r="K2158" s="14">
        <f>equip.xml!L2162</f>
        <v>37500</v>
      </c>
      <c r="L2158" s="14" t="str">
        <f>equip.xml!M2162</f>
        <v>106_2256_2256</v>
      </c>
      <c r="M2158" s="17" t="str">
        <f>equip.xml!Q2162</f>
        <v>equipment/3014.png</v>
      </c>
      <c r="N2158" s="16" t="str">
        <f>equip.xml!P2162</f>
        <v>10000_1002_70000,30000_30001_1,30000_30002_1,30000_30003_1</v>
      </c>
      <c r="O2158">
        <f>equip.xml!R2162</f>
        <v>0</v>
      </c>
    </row>
    <row r="2159" spans="1:15">
      <c r="A2159" s="14" t="str">
        <f>equip.xml!A2163</f>
        <v>50700020</v>
      </c>
      <c r="B2159" s="14">
        <f>equip.xml!B2163</f>
        <v>1</v>
      </c>
      <c r="C2159" s="14" t="str">
        <f>equip.xml!C2163</f>
        <v>灵谕之戒</v>
      </c>
      <c r="D2159" s="14" t="str">
        <f>equip.xml!D2163</f>
        <v>戒指</v>
      </c>
      <c r="E2159" s="14">
        <f>equip.xml!E2163</f>
        <v>2</v>
      </c>
      <c r="F2159" s="14">
        <f>equip.xml!F2163</f>
        <v>5</v>
      </c>
      <c r="G2159" s="14">
        <f>equip.xml!G2163</f>
        <v>70</v>
      </c>
      <c r="H2159" s="14">
        <f>equip.xml!H2163</f>
        <v>0</v>
      </c>
      <c r="I2159" s="14">
        <f>equip.xml!J2163</f>
        <v>150</v>
      </c>
      <c r="J2159" s="14">
        <f>equip.xml!K2163</f>
        <v>1500</v>
      </c>
      <c r="K2159" s="14">
        <f>equip.xml!L2163</f>
        <v>37500</v>
      </c>
      <c r="L2159" s="14" t="str">
        <f>equip.xml!M2163</f>
        <v>102_1620_1620</v>
      </c>
      <c r="M2159" s="17" t="str">
        <f>equip.xml!Q2163</f>
        <v>equipment/14012.png</v>
      </c>
      <c r="N2159" s="16" t="str">
        <f>equip.xml!P2163</f>
        <v>10000_1002_70000,30000_30001_1,30000_30002_1,30000_30003_1</v>
      </c>
      <c r="O2159">
        <f>equip.xml!R2163</f>
        <v>0</v>
      </c>
    </row>
    <row r="2160" spans="1:15">
      <c r="A2160" s="14" t="str">
        <f>equip.xml!A2164</f>
        <v>50700030</v>
      </c>
      <c r="B2160" s="14">
        <f>equip.xml!B2164</f>
        <v>1</v>
      </c>
      <c r="C2160" s="14" t="str">
        <f>equip.xml!C2164</f>
        <v>怒涛腰带</v>
      </c>
      <c r="D2160" s="14" t="str">
        <f>equip.xml!D2164</f>
        <v>腰带</v>
      </c>
      <c r="E2160" s="14">
        <f>equip.xml!E2164</f>
        <v>3</v>
      </c>
      <c r="F2160" s="14">
        <f>equip.xml!F2164</f>
        <v>5</v>
      </c>
      <c r="G2160" s="14">
        <f>equip.xml!G2164</f>
        <v>70</v>
      </c>
      <c r="H2160" s="14">
        <f>equip.xml!H2164</f>
        <v>0</v>
      </c>
      <c r="I2160" s="14">
        <f>equip.xml!J2164</f>
        <v>150</v>
      </c>
      <c r="J2160" s="14">
        <f>equip.xml!K2164</f>
        <v>1500</v>
      </c>
      <c r="K2160" s="14">
        <f>equip.xml!L2164</f>
        <v>37500</v>
      </c>
      <c r="L2160" s="14" t="str">
        <f>equip.xml!M2164</f>
        <v>101_19200_19200</v>
      </c>
      <c r="M2160" s="17" t="str">
        <f>equip.xml!Q2164</f>
        <v>equipment/6013.png</v>
      </c>
      <c r="N2160" s="16" t="str">
        <f>equip.xml!P2164</f>
        <v>10000_1002_70000,30000_30001_1,30000_30002_1,30000_30003_1</v>
      </c>
      <c r="O2160">
        <f>equip.xml!R2164</f>
        <v>0</v>
      </c>
    </row>
    <row r="2161" spans="1:15">
      <c r="A2161" s="14" t="str">
        <f>equip.xml!A2165</f>
        <v>50700080</v>
      </c>
      <c r="B2161" s="14">
        <f>equip.xml!B2165</f>
        <v>1</v>
      </c>
      <c r="C2161" s="14" t="str">
        <f>equip.xml!C2165</f>
        <v>无影轻靴</v>
      </c>
      <c r="D2161" s="14" t="str">
        <f>equip.xml!D2165</f>
        <v>鞋子</v>
      </c>
      <c r="E2161" s="14">
        <f>equip.xml!E2165</f>
        <v>8</v>
      </c>
      <c r="F2161" s="14">
        <f>equip.xml!F2165</f>
        <v>5</v>
      </c>
      <c r="G2161" s="14">
        <f>equip.xml!G2165</f>
        <v>70</v>
      </c>
      <c r="H2161" s="14">
        <f>equip.xml!H2165</f>
        <v>0</v>
      </c>
      <c r="I2161" s="14">
        <f>equip.xml!J2165</f>
        <v>150</v>
      </c>
      <c r="J2161" s="14">
        <f>equip.xml!K2165</f>
        <v>1500</v>
      </c>
      <c r="K2161" s="14">
        <f>equip.xml!L2165</f>
        <v>37500</v>
      </c>
      <c r="L2161" s="14" t="str">
        <f>equip.xml!M2165</f>
        <v>110_442_442</v>
      </c>
      <c r="M2161" s="17" t="str">
        <f>equip.xml!Q2165</f>
        <v>equipment/8012.png</v>
      </c>
      <c r="N2161" s="16" t="str">
        <f>equip.xml!P2165</f>
        <v>10000_1002_70000,30000_30001_1,30000_30002_1,30000_30003_1</v>
      </c>
      <c r="O2161">
        <f>equip.xml!R2165</f>
        <v>0</v>
      </c>
    </row>
    <row r="2162" spans="1:15">
      <c r="A2162" s="14" t="str">
        <f>equip.xml!A2166</f>
        <v>50700090</v>
      </c>
      <c r="B2162" s="14">
        <f>equip.xml!B2166</f>
        <v>1</v>
      </c>
      <c r="C2162" s="14" t="str">
        <f>equip.xml!C2166</f>
        <v>裂隙之手</v>
      </c>
      <c r="D2162" s="14" t="str">
        <f>equip.xml!D2166</f>
        <v>手套</v>
      </c>
      <c r="E2162" s="14">
        <f>equip.xml!E2166</f>
        <v>9</v>
      </c>
      <c r="F2162" s="14">
        <f>equip.xml!F2166</f>
        <v>5</v>
      </c>
      <c r="G2162" s="14">
        <f>equip.xml!G2166</f>
        <v>70</v>
      </c>
      <c r="H2162" s="14">
        <f>equip.xml!H2166</f>
        <v>0</v>
      </c>
      <c r="I2162" s="14">
        <f>equip.xml!J2166</f>
        <v>150</v>
      </c>
      <c r="J2162" s="14">
        <f>equip.xml!K2166</f>
        <v>1500</v>
      </c>
      <c r="K2162" s="14">
        <f>equip.xml!L2166</f>
        <v>37500</v>
      </c>
      <c r="L2162" s="14" t="str">
        <f>equip.xml!M2166</f>
        <v>108_4189_4189</v>
      </c>
      <c r="M2162" s="17" t="str">
        <f>equip.xml!Q2166</f>
        <v>equipment/10013.png</v>
      </c>
      <c r="N2162" s="16" t="str">
        <f>equip.xml!P2166</f>
        <v>10000_1002_70000,30000_30001_1,30000_30002_1,30000_30003_1</v>
      </c>
      <c r="O2162">
        <f>equip.xml!R2166</f>
        <v>0</v>
      </c>
    </row>
    <row r="2163" spans="1:15">
      <c r="A2163" s="14" t="str">
        <f>equip.xml!A2167</f>
        <v>50700100</v>
      </c>
      <c r="B2163" s="14">
        <f>equip.xml!B2167</f>
        <v>1</v>
      </c>
      <c r="C2163" s="14" t="str">
        <f>equip.xml!C2167</f>
        <v>岁月永恒护符</v>
      </c>
      <c r="D2163" s="14" t="str">
        <f>equip.xml!D2167</f>
        <v>项链</v>
      </c>
      <c r="E2163" s="14">
        <f>equip.xml!E2167</f>
        <v>10</v>
      </c>
      <c r="F2163" s="14">
        <f>equip.xml!F2167</f>
        <v>5</v>
      </c>
      <c r="G2163" s="14">
        <f>equip.xml!G2167</f>
        <v>70</v>
      </c>
      <c r="H2163" s="14">
        <f>equip.xml!H2167</f>
        <v>0</v>
      </c>
      <c r="I2163" s="14">
        <f>equip.xml!J2167</f>
        <v>150</v>
      </c>
      <c r="J2163" s="14">
        <f>equip.xml!K2167</f>
        <v>1500</v>
      </c>
      <c r="K2163" s="14">
        <f>equip.xml!L2167</f>
        <v>37500</v>
      </c>
      <c r="L2163" s="14" t="str">
        <f>equip.xml!M2167</f>
        <v>107_2256_2256</v>
      </c>
      <c r="M2163" s="17" t="str">
        <f>equip.xml!Q2167</f>
        <v>equipment/12014.png</v>
      </c>
      <c r="N2163" s="16" t="str">
        <f>equip.xml!P2167</f>
        <v>10000_1002_70000,30000_30001_1,30000_30002_1,30000_30003_1</v>
      </c>
      <c r="O2163">
        <f>equip.xml!R2167</f>
        <v>0</v>
      </c>
    </row>
    <row r="2164" spans="1:15">
      <c r="A2164" s="14" t="str">
        <f>equip.xml!A2168</f>
        <v>50701050</v>
      </c>
      <c r="B2164" s="14">
        <f>equip.xml!B2168</f>
        <v>1</v>
      </c>
      <c r="C2164" s="14" t="str">
        <f>equip.xml!C2168</f>
        <v>命运</v>
      </c>
      <c r="D2164" s="14" t="str">
        <f>equip.xml!D2168</f>
        <v>主手武器</v>
      </c>
      <c r="E2164" s="14">
        <f>equip.xml!E2168</f>
        <v>5</v>
      </c>
      <c r="F2164" s="14">
        <f>equip.xml!F2168</f>
        <v>5</v>
      </c>
      <c r="G2164" s="14">
        <f>equip.xml!G2168</f>
        <v>70</v>
      </c>
      <c r="H2164" s="14" t="str">
        <f>equip.xml!H2168</f>
        <v>1,1001</v>
      </c>
      <c r="I2164" s="14">
        <f>equip.xml!J2168</f>
        <v>150</v>
      </c>
      <c r="J2164" s="14">
        <f>equip.xml!K2168</f>
        <v>1500</v>
      </c>
      <c r="K2164" s="14">
        <f>equip.xml!L2168</f>
        <v>37500</v>
      </c>
      <c r="L2164" s="14" t="str">
        <f>equip.xml!M2168</f>
        <v>103_3269_3269,104_6538_6538</v>
      </c>
      <c r="M2164" s="17" t="str">
        <f>equip.xml!Q2168</f>
        <v>equipment/1124.png</v>
      </c>
      <c r="N2164" s="16" t="str">
        <f>equip.xml!P2168</f>
        <v>10000_1002_70000,30000_30001_1,30000_30002_1,30000_30003_1</v>
      </c>
      <c r="O2164">
        <f>equip.xml!R2168</f>
        <v>0</v>
      </c>
    </row>
    <row r="2165" spans="1:15">
      <c r="A2165" s="14" t="str">
        <f>equip.xml!A2169</f>
        <v>50701051</v>
      </c>
      <c r="B2165" s="14">
        <f>equip.xml!B2169</f>
        <v>0</v>
      </c>
      <c r="C2165" s="14" t="str">
        <f>equip.xml!C2169</f>
        <v>灰烬使者</v>
      </c>
      <c r="D2165" s="14" t="str">
        <f>equip.xml!D2169</f>
        <v>主手武器</v>
      </c>
      <c r="E2165" s="14">
        <f>equip.xml!E2169</f>
        <v>5</v>
      </c>
      <c r="F2165" s="14">
        <f>equip.xml!F2169</f>
        <v>5</v>
      </c>
      <c r="G2165" s="14">
        <f>equip.xml!G2169</f>
        <v>70</v>
      </c>
      <c r="H2165" s="14" t="str">
        <f>equip.xml!H2169</f>
        <v>1,1001</v>
      </c>
      <c r="I2165" s="14">
        <f>equip.xml!J2169</f>
        <v>150</v>
      </c>
      <c r="J2165" s="14">
        <f>equip.xml!K2169</f>
        <v>1500</v>
      </c>
      <c r="K2165" s="14">
        <f>equip.xml!L2169</f>
        <v>40000</v>
      </c>
      <c r="L2165" s="14" t="str">
        <f>equip.xml!M2169</f>
        <v>103_3269_3269,104_6538_6538</v>
      </c>
      <c r="M2165" s="17" t="str">
        <f>equip.xml!Q2169</f>
        <v>equipment/1101.png</v>
      </c>
      <c r="N2165" s="16" t="str">
        <f>equip.xml!P2169</f>
        <v>10000_1002_70000,30000_30001_1,30000_30002_1,30000_30003_1</v>
      </c>
      <c r="O2165">
        <f>equip.xml!R2169</f>
        <v>0</v>
      </c>
    </row>
    <row r="2166" spans="1:15">
      <c r="A2166" s="14" t="str">
        <f>equip.xml!A2170</f>
        <v>50701060</v>
      </c>
      <c r="B2166" s="14">
        <f>equip.xml!B2170</f>
        <v>1</v>
      </c>
      <c r="C2166" s="14" t="str">
        <f>equip.xml!C2170</f>
        <v>永恒之盾</v>
      </c>
      <c r="D2166" s="14" t="str">
        <f>equip.xml!D2170</f>
        <v>副手武器</v>
      </c>
      <c r="E2166" s="14">
        <f>equip.xml!E2170</f>
        <v>6</v>
      </c>
      <c r="F2166" s="14">
        <f>equip.xml!F2170</f>
        <v>5</v>
      </c>
      <c r="G2166" s="14">
        <f>equip.xml!G2170</f>
        <v>70</v>
      </c>
      <c r="H2166" s="14" t="str">
        <f>equip.xml!H2170</f>
        <v>1,1001</v>
      </c>
      <c r="I2166" s="14">
        <f>equip.xml!J2170</f>
        <v>150</v>
      </c>
      <c r="J2166" s="14">
        <f>equip.xml!K2170</f>
        <v>1500</v>
      </c>
      <c r="K2166" s="14">
        <f>equip.xml!L2170</f>
        <v>37500</v>
      </c>
      <c r="L2166" s="14" t="str">
        <f>equip.xml!M2170</f>
        <v>105_3522_3522</v>
      </c>
      <c r="M2166" s="17" t="str">
        <f>equip.xml!Q2170</f>
        <v>equipment/2118.png</v>
      </c>
      <c r="N2166" s="16" t="str">
        <f>equip.xml!P2170</f>
        <v>10000_1002_70000,30000_30001_1,30000_30002_1,30000_30003_1</v>
      </c>
      <c r="O2166">
        <f>equip.xml!R2170</f>
        <v>0</v>
      </c>
    </row>
    <row r="2167" spans="1:15">
      <c r="A2167" s="14" t="str">
        <f>equip.xml!A2171</f>
        <v>50701061</v>
      </c>
      <c r="B2167" s="14">
        <f>equip.xml!B2171</f>
        <v>0</v>
      </c>
      <c r="C2167" s="14" t="str">
        <f>equip.xml!C2171</f>
        <v>相位壁垒</v>
      </c>
      <c r="D2167" s="14" t="str">
        <f>equip.xml!D2171</f>
        <v>副手武器</v>
      </c>
      <c r="E2167" s="14">
        <f>equip.xml!E2171</f>
        <v>6</v>
      </c>
      <c r="F2167" s="14">
        <f>equip.xml!F2171</f>
        <v>5</v>
      </c>
      <c r="G2167" s="14">
        <f>equip.xml!G2171</f>
        <v>70</v>
      </c>
      <c r="H2167" s="14" t="str">
        <f>equip.xml!H2171</f>
        <v>1,1001</v>
      </c>
      <c r="I2167" s="14">
        <f>equip.xml!J2171</f>
        <v>150</v>
      </c>
      <c r="J2167" s="14">
        <f>equip.xml!K2171</f>
        <v>1500</v>
      </c>
      <c r="K2167" s="14">
        <f>equip.xml!L2171</f>
        <v>40000</v>
      </c>
      <c r="L2167" s="14" t="str">
        <f>equip.xml!M2171</f>
        <v>105_3522_3522</v>
      </c>
      <c r="M2167" s="17" t="str">
        <f>equip.xml!Q2171</f>
        <v>equipment/2101.png</v>
      </c>
      <c r="N2167" s="16" t="str">
        <f>equip.xml!P2171</f>
        <v>10000_1002_70000,30000_30001_1,30000_30002_1,30000_30003_1</v>
      </c>
      <c r="O2167">
        <f>equip.xml!R2171</f>
        <v>0</v>
      </c>
    </row>
    <row r="2168" spans="1:15">
      <c r="A2168" s="14" t="str">
        <f>equip.xml!A2172</f>
        <v>50702050</v>
      </c>
      <c r="B2168" s="14">
        <f>equip.xml!B2172</f>
        <v>1</v>
      </c>
      <c r="C2168" s="14" t="str">
        <f>equip.xml!C2172</f>
        <v>日怒凰弓</v>
      </c>
      <c r="D2168" s="14" t="str">
        <f>equip.xml!D2172</f>
        <v>主手武器</v>
      </c>
      <c r="E2168" s="14">
        <f>equip.xml!E2172</f>
        <v>5</v>
      </c>
      <c r="F2168" s="14">
        <f>equip.xml!F2172</f>
        <v>5</v>
      </c>
      <c r="G2168" s="14">
        <f>equip.xml!G2172</f>
        <v>70</v>
      </c>
      <c r="H2168" s="14" t="str">
        <f>equip.xml!H2172</f>
        <v>2,1002</v>
      </c>
      <c r="I2168" s="14">
        <f>equip.xml!J2172</f>
        <v>150</v>
      </c>
      <c r="J2168" s="14">
        <f>equip.xml!K2172</f>
        <v>1500</v>
      </c>
      <c r="K2168" s="14">
        <f>equip.xml!L2172</f>
        <v>37500</v>
      </c>
      <c r="L2168" s="14" t="str">
        <f>equip.xml!M2172</f>
        <v>103_3269_3269,104_6538_6538</v>
      </c>
      <c r="M2168" s="17" t="str">
        <f>equip.xml!Q2172</f>
        <v>equipment/1222.png</v>
      </c>
      <c r="N2168" s="16" t="str">
        <f>equip.xml!P2172</f>
        <v>10000_1002_70000,30000_30001_1,30000_30002_1,30000_30003_1</v>
      </c>
      <c r="O2168">
        <f>equip.xml!R2172</f>
        <v>0</v>
      </c>
    </row>
    <row r="2169" spans="1:15">
      <c r="A2169" s="14" t="str">
        <f>equip.xml!A2173</f>
        <v>50702051</v>
      </c>
      <c r="B2169" s="14">
        <f>equip.xml!B2173</f>
        <v>0</v>
      </c>
      <c r="C2169" s="14" t="str">
        <f>equip.xml!C2173</f>
        <v>群星之怒</v>
      </c>
      <c r="D2169" s="14" t="str">
        <f>equip.xml!D2173</f>
        <v>主手武器</v>
      </c>
      <c r="E2169" s="14">
        <f>equip.xml!E2173</f>
        <v>5</v>
      </c>
      <c r="F2169" s="14">
        <f>equip.xml!F2173</f>
        <v>5</v>
      </c>
      <c r="G2169" s="14">
        <f>equip.xml!G2173</f>
        <v>70</v>
      </c>
      <c r="H2169" s="14" t="str">
        <f>equip.xml!H2173</f>
        <v>2,1002</v>
      </c>
      <c r="I2169" s="14">
        <f>equip.xml!J2173</f>
        <v>150</v>
      </c>
      <c r="J2169" s="14">
        <f>equip.xml!K2173</f>
        <v>1500</v>
      </c>
      <c r="K2169" s="14">
        <f>equip.xml!L2173</f>
        <v>40000</v>
      </c>
      <c r="L2169" s="14" t="str">
        <f>equip.xml!M2173</f>
        <v>103_3269_3269,104_6538_6538</v>
      </c>
      <c r="M2169" s="17" t="str">
        <f>equip.xml!Q2173</f>
        <v>equipment/1201.png</v>
      </c>
      <c r="N2169" s="16" t="str">
        <f>equip.xml!P2173</f>
        <v>10000_1002_70000,30000_30001_1,30000_30002_1,30000_30003_1</v>
      </c>
      <c r="O2169">
        <f>equip.xml!R2173</f>
        <v>0</v>
      </c>
    </row>
    <row r="2170" spans="1:15">
      <c r="A2170" s="14" t="str">
        <f>equip.xml!A2174</f>
        <v>50702060</v>
      </c>
      <c r="B2170" s="14">
        <f>equip.xml!B2174</f>
        <v>1</v>
      </c>
      <c r="C2170" s="14" t="str">
        <f>equip.xml!C2174</f>
        <v>逐日之矢</v>
      </c>
      <c r="D2170" s="14" t="str">
        <f>equip.xml!D2174</f>
        <v>副手武器</v>
      </c>
      <c r="E2170" s="14">
        <f>equip.xml!E2174</f>
        <v>6</v>
      </c>
      <c r="F2170" s="14">
        <f>equip.xml!F2174</f>
        <v>5</v>
      </c>
      <c r="G2170" s="14">
        <f>equip.xml!G2174</f>
        <v>70</v>
      </c>
      <c r="H2170" s="14" t="str">
        <f>equip.xml!H2174</f>
        <v>2,1002</v>
      </c>
      <c r="I2170" s="14">
        <f>equip.xml!J2174</f>
        <v>150</v>
      </c>
      <c r="J2170" s="14">
        <f>equip.xml!K2174</f>
        <v>1500</v>
      </c>
      <c r="K2170" s="14">
        <f>equip.xml!L2174</f>
        <v>37500</v>
      </c>
      <c r="L2170" s="14" t="str">
        <f>equip.xml!M2174</f>
        <v>108_3522_3522</v>
      </c>
      <c r="M2170" s="17" t="str">
        <f>equip.xml!Q2174</f>
        <v>equipment/2218.png</v>
      </c>
      <c r="N2170" s="16" t="str">
        <f>equip.xml!P2174</f>
        <v>10000_1002_70000,30000_30001_1,30000_30002_1,30000_30003_1</v>
      </c>
      <c r="O2170">
        <f>equip.xml!R2174</f>
        <v>0</v>
      </c>
    </row>
    <row r="2171" spans="1:15">
      <c r="A2171" s="14" t="str">
        <f>equip.xml!A2175</f>
        <v>50702061</v>
      </c>
      <c r="B2171" s="14">
        <f>equip.xml!B2175</f>
        <v>0</v>
      </c>
      <c r="C2171" s="14" t="str">
        <f>equip.xml!C2175</f>
        <v>箭筒</v>
      </c>
      <c r="D2171" s="14" t="str">
        <f>equip.xml!D2175</f>
        <v>副手武器</v>
      </c>
      <c r="E2171" s="14">
        <f>equip.xml!E2175</f>
        <v>6</v>
      </c>
      <c r="F2171" s="14">
        <f>equip.xml!F2175</f>
        <v>5</v>
      </c>
      <c r="G2171" s="14">
        <f>equip.xml!G2175</f>
        <v>70</v>
      </c>
      <c r="H2171" s="14" t="str">
        <f>equip.xml!H2175</f>
        <v>2,1002</v>
      </c>
      <c r="I2171" s="14">
        <f>equip.xml!J2175</f>
        <v>150</v>
      </c>
      <c r="J2171" s="14">
        <f>equip.xml!K2175</f>
        <v>1500</v>
      </c>
      <c r="K2171" s="14">
        <f>equip.xml!L2175</f>
        <v>40000</v>
      </c>
      <c r="L2171" s="14" t="str">
        <f>equip.xml!M2175</f>
        <v>108_3522_3522</v>
      </c>
      <c r="M2171" s="17" t="str">
        <f>equip.xml!Q2175</f>
        <v>equipment/2201.png</v>
      </c>
      <c r="N2171" s="16" t="str">
        <f>equip.xml!P2175</f>
        <v>10000_1002_70000,30000_30001_1,30000_30002_1,30000_30003_1</v>
      </c>
      <c r="O2171">
        <f>equip.xml!R2175</f>
        <v>0</v>
      </c>
    </row>
    <row r="2172" spans="1:15">
      <c r="A2172" s="14" t="str">
        <f>equip.xml!A2176</f>
        <v>50703050</v>
      </c>
      <c r="B2172" s="14">
        <f>equip.xml!B2176</f>
        <v>1</v>
      </c>
      <c r="C2172" s="14" t="str">
        <f>equip.xml!C2176</f>
        <v>瓦解法杖</v>
      </c>
      <c r="D2172" s="14" t="str">
        <f>equip.xml!D2176</f>
        <v>主手武器</v>
      </c>
      <c r="E2172" s="14">
        <f>equip.xml!E2176</f>
        <v>5</v>
      </c>
      <c r="F2172" s="14">
        <f>equip.xml!F2176</f>
        <v>5</v>
      </c>
      <c r="G2172" s="14">
        <f>equip.xml!G2176</f>
        <v>70</v>
      </c>
      <c r="H2172" s="14" t="str">
        <f>equip.xml!H2176</f>
        <v>3,1003</v>
      </c>
      <c r="I2172" s="14">
        <f>equip.xml!J2176</f>
        <v>150</v>
      </c>
      <c r="J2172" s="14">
        <f>equip.xml!K2176</f>
        <v>1500</v>
      </c>
      <c r="K2172" s="14">
        <f>equip.xml!L2176</f>
        <v>37500</v>
      </c>
      <c r="L2172" s="14" t="str">
        <f>equip.xml!M2176</f>
        <v>103_3269_3269,104_6538_6538</v>
      </c>
      <c r="M2172" s="17" t="str">
        <f>equip.xml!Q2176</f>
        <v>equipment/1324.png</v>
      </c>
      <c r="N2172" s="16" t="str">
        <f>equip.xml!P2176</f>
        <v>10000_1002_70000,30000_30001_1,30000_30002_1,30000_30003_1</v>
      </c>
      <c r="O2172">
        <f>equip.xml!R2176</f>
        <v>0</v>
      </c>
    </row>
    <row r="2173" spans="1:15">
      <c r="A2173" s="14" t="str">
        <f>equip.xml!A2177</f>
        <v>50703051</v>
      </c>
      <c r="B2173" s="14">
        <f>equip.xml!B2177</f>
        <v>0</v>
      </c>
      <c r="C2173" s="14" t="str">
        <f>equip.xml!C2177</f>
        <v>守护者之杖</v>
      </c>
      <c r="D2173" s="14" t="str">
        <f>equip.xml!D2177</f>
        <v>主手武器</v>
      </c>
      <c r="E2173" s="14">
        <f>equip.xml!E2177</f>
        <v>5</v>
      </c>
      <c r="F2173" s="14">
        <f>equip.xml!F2177</f>
        <v>5</v>
      </c>
      <c r="G2173" s="14">
        <f>equip.xml!G2177</f>
        <v>70</v>
      </c>
      <c r="H2173" s="14" t="str">
        <f>equip.xml!H2177</f>
        <v>3,1003</v>
      </c>
      <c r="I2173" s="14">
        <f>equip.xml!J2177</f>
        <v>150</v>
      </c>
      <c r="J2173" s="14">
        <f>equip.xml!K2177</f>
        <v>1500</v>
      </c>
      <c r="K2173" s="14">
        <f>equip.xml!L2177</f>
        <v>40000</v>
      </c>
      <c r="L2173" s="14" t="str">
        <f>equip.xml!M2177</f>
        <v>103_3269_3269,104_6538_6538</v>
      </c>
      <c r="M2173" s="17" t="str">
        <f>equip.xml!Q2177</f>
        <v>equipment/1301.png</v>
      </c>
      <c r="N2173" s="16" t="str">
        <f>equip.xml!P2177</f>
        <v>10000_1002_70000,30000_30001_1,30000_30002_1,30000_30003_1</v>
      </c>
      <c r="O2173">
        <f>equip.xml!R2177</f>
        <v>0</v>
      </c>
    </row>
    <row r="2174" spans="1:15">
      <c r="A2174" s="14" t="str">
        <f>equip.xml!A2178</f>
        <v>50703060</v>
      </c>
      <c r="B2174" s="14">
        <f>equip.xml!B2178</f>
        <v>1</v>
      </c>
      <c r="C2174" s="14" t="str">
        <f>equip.xml!C2178</f>
        <v>虚空魔典</v>
      </c>
      <c r="D2174" s="14" t="str">
        <f>equip.xml!D2178</f>
        <v>副手武器</v>
      </c>
      <c r="E2174" s="14">
        <f>equip.xml!E2178</f>
        <v>6</v>
      </c>
      <c r="F2174" s="14">
        <f>equip.xml!F2178</f>
        <v>5</v>
      </c>
      <c r="G2174" s="14">
        <f>equip.xml!G2178</f>
        <v>70</v>
      </c>
      <c r="H2174" s="14" t="str">
        <f>equip.xml!H2178</f>
        <v>3,1003</v>
      </c>
      <c r="I2174" s="14">
        <f>equip.xml!J2178</f>
        <v>150</v>
      </c>
      <c r="J2174" s="14">
        <f>equip.xml!K2178</f>
        <v>1500</v>
      </c>
      <c r="K2174" s="14">
        <f>equip.xml!L2178</f>
        <v>37500</v>
      </c>
      <c r="L2174" s="14" t="str">
        <f>equip.xml!M2178</f>
        <v>102_3080_3080</v>
      </c>
      <c r="M2174" s="17" t="str">
        <f>equip.xml!Q2178</f>
        <v>equipment/2318.png</v>
      </c>
      <c r="N2174" s="16" t="str">
        <f>equip.xml!P2178</f>
        <v>10000_1002_70000,30000_30001_1,30000_30002_1,30000_30003_1</v>
      </c>
      <c r="O2174">
        <f>equip.xml!R2178</f>
        <v>0</v>
      </c>
    </row>
    <row r="2175" spans="1:15">
      <c r="A2175" s="14" t="str">
        <f>equip.xml!A2179</f>
        <v>50703061</v>
      </c>
      <c r="B2175" s="14">
        <f>equip.xml!B2179</f>
        <v>0</v>
      </c>
      <c r="C2175" s="14" t="str">
        <f>equip.xml!C2179</f>
        <v>星界之书</v>
      </c>
      <c r="D2175" s="14" t="str">
        <f>equip.xml!D2179</f>
        <v>副手武器</v>
      </c>
      <c r="E2175" s="14">
        <f>equip.xml!E2179</f>
        <v>6</v>
      </c>
      <c r="F2175" s="14">
        <f>equip.xml!F2179</f>
        <v>5</v>
      </c>
      <c r="G2175" s="14">
        <f>equip.xml!G2179</f>
        <v>70</v>
      </c>
      <c r="H2175" s="14" t="str">
        <f>equip.xml!H2179</f>
        <v>3,1003</v>
      </c>
      <c r="I2175" s="14">
        <f>equip.xml!J2179</f>
        <v>150</v>
      </c>
      <c r="J2175" s="14">
        <f>equip.xml!K2179</f>
        <v>1500</v>
      </c>
      <c r="K2175" s="14">
        <f>equip.xml!L2179</f>
        <v>40000</v>
      </c>
      <c r="L2175" s="14" t="str">
        <f>equip.xml!M2179</f>
        <v>102_3080_3080</v>
      </c>
      <c r="M2175" s="17" t="str">
        <f>equip.xml!Q2179</f>
        <v>equipment/2301.png</v>
      </c>
      <c r="N2175" s="16" t="str">
        <f>equip.xml!P2179</f>
        <v>10000_1002_70000,30000_30001_1,30000_30002_1,30000_30003_1</v>
      </c>
      <c r="O2175">
        <f>equip.xml!R2179</f>
        <v>0</v>
      </c>
    </row>
    <row r="2176" spans="1:15">
      <c r="A2176" s="14" t="str">
        <f>equip.xml!A2180</f>
        <v>50700040</v>
      </c>
      <c r="B2176" s="14">
        <f>equip.xml!B2180</f>
        <v>1</v>
      </c>
      <c r="C2176" s="14" t="str">
        <f>equip.xml!C2180</f>
        <v>光铸胸甲</v>
      </c>
      <c r="D2176" s="14" t="str">
        <f>equip.xml!D2180</f>
        <v>胸甲</v>
      </c>
      <c r="E2176" s="14">
        <f>equip.xml!E2180</f>
        <v>4</v>
      </c>
      <c r="F2176" s="14">
        <f>equip.xml!F2180</f>
        <v>5</v>
      </c>
      <c r="G2176" s="14">
        <f>equip.xml!G2180</f>
        <v>70</v>
      </c>
      <c r="H2176" s="14">
        <f>equip.xml!H2180</f>
        <v>0</v>
      </c>
      <c r="I2176" s="14">
        <f>equip.xml!J2180</f>
        <v>150</v>
      </c>
      <c r="J2176" s="14">
        <f>equip.xml!K2180</f>
        <v>1500</v>
      </c>
      <c r="K2176" s="14">
        <f>equip.xml!L2180</f>
        <v>37500</v>
      </c>
      <c r="L2176" s="14" t="str">
        <f>equip.xml!M2180</f>
        <v>105_1844_1844</v>
      </c>
      <c r="M2176" s="17" t="str">
        <f>equip.xml!Q2180</f>
        <v>equipment/5018.png</v>
      </c>
      <c r="N2176" s="16" t="str">
        <f>equip.xml!P2180</f>
        <v>10000_1002_70000,30000_30001_1,30000_30002_1,30000_30003_1</v>
      </c>
      <c r="O2176">
        <f>equip.xml!R2180</f>
        <v>0</v>
      </c>
    </row>
    <row r="2177" spans="1:15">
      <c r="A2177" s="14" t="str">
        <f>equip.xml!A2181</f>
        <v>50700041</v>
      </c>
      <c r="B2177" s="14">
        <f>equip.xml!B2181</f>
        <v>0</v>
      </c>
      <c r="C2177" s="14" t="str">
        <f>equip.xml!C2181</f>
        <v>碎界之铠</v>
      </c>
      <c r="D2177" s="14" t="str">
        <f>equip.xml!D2181</f>
        <v>胸甲</v>
      </c>
      <c r="E2177" s="14">
        <f>equip.xml!E2181</f>
        <v>4</v>
      </c>
      <c r="F2177" s="14">
        <f>equip.xml!F2181</f>
        <v>5</v>
      </c>
      <c r="G2177" s="14">
        <f>equip.xml!G2181</f>
        <v>70</v>
      </c>
      <c r="H2177" s="14">
        <f>equip.xml!H2181</f>
        <v>0</v>
      </c>
      <c r="I2177" s="14">
        <f>equip.xml!J2181</f>
        <v>150</v>
      </c>
      <c r="J2177" s="14">
        <f>equip.xml!K2181</f>
        <v>1500</v>
      </c>
      <c r="K2177" s="14">
        <f>equip.xml!L2181</f>
        <v>40000</v>
      </c>
      <c r="L2177" s="14" t="str">
        <f>equip.xml!M2181</f>
        <v>105_0_0</v>
      </c>
      <c r="M2177" s="17" t="str">
        <f>equip.xml!Q2181</f>
        <v>equipment/5001.png</v>
      </c>
      <c r="N2177" s="16" t="str">
        <f>equip.xml!P2181</f>
        <v>10000_1002_70000,30000_30001_1,30000_30002_1,30000_30003_1</v>
      </c>
      <c r="O2177">
        <f>equip.xml!R2181</f>
        <v>0</v>
      </c>
    </row>
    <row r="2178" spans="1:15">
      <c r="A2178" s="14" t="str">
        <f>equip.xml!A2182</f>
        <v>50700070</v>
      </c>
      <c r="B2178" s="14">
        <f>equip.xml!B2182</f>
        <v>1</v>
      </c>
      <c r="C2178" s="14" t="str">
        <f>equip.xml!C2182</f>
        <v>虚灵护腿</v>
      </c>
      <c r="D2178" s="14" t="str">
        <f>equip.xml!D2182</f>
        <v>护腿</v>
      </c>
      <c r="E2178" s="14">
        <f>equip.xml!E2182</f>
        <v>7</v>
      </c>
      <c r="F2178" s="14">
        <f>equip.xml!F2182</f>
        <v>5</v>
      </c>
      <c r="G2178" s="14">
        <f>equip.xml!G2182</f>
        <v>70</v>
      </c>
      <c r="H2178" s="14">
        <f>equip.xml!H2182</f>
        <v>0</v>
      </c>
      <c r="I2178" s="14">
        <f>equip.xml!J2182</f>
        <v>150</v>
      </c>
      <c r="J2178" s="14">
        <f>equip.xml!K2182</f>
        <v>1500</v>
      </c>
      <c r="K2178" s="14">
        <f>equip.xml!L2182</f>
        <v>37500</v>
      </c>
      <c r="L2178" s="14" t="str">
        <f>equip.xml!M2182</f>
        <v>105_1844_1844</v>
      </c>
      <c r="M2178" s="17" t="str">
        <f>equip.xml!Q2182</f>
        <v>equipment/7018.png</v>
      </c>
      <c r="N2178" s="16" t="str">
        <f>equip.xml!P2182</f>
        <v>10000_1002_70000,30000_30001_1,30000_30002_1,30000_30003_1</v>
      </c>
      <c r="O2178">
        <f>equip.xml!R2182</f>
        <v>0</v>
      </c>
    </row>
    <row r="2179" spans="1:15">
      <c r="A2179" s="14" t="str">
        <f>equip.xml!A2183</f>
        <v>50700071</v>
      </c>
      <c r="B2179" s="14">
        <f>equip.xml!B2183</f>
        <v>0</v>
      </c>
      <c r="C2179" s="14" t="str">
        <f>equip.xml!C2183</f>
        <v>不朽护腿</v>
      </c>
      <c r="D2179" s="14" t="str">
        <f>equip.xml!D2183</f>
        <v>护腿</v>
      </c>
      <c r="E2179" s="14">
        <f>equip.xml!E2183</f>
        <v>7</v>
      </c>
      <c r="F2179" s="14">
        <f>equip.xml!F2183</f>
        <v>5</v>
      </c>
      <c r="G2179" s="14">
        <f>equip.xml!G2183</f>
        <v>70</v>
      </c>
      <c r="H2179" s="14">
        <f>equip.xml!H2183</f>
        <v>0</v>
      </c>
      <c r="I2179" s="14">
        <f>equip.xml!J2183</f>
        <v>150</v>
      </c>
      <c r="J2179" s="14">
        <f>equip.xml!K2183</f>
        <v>1500</v>
      </c>
      <c r="K2179" s="14">
        <f>equip.xml!L2183</f>
        <v>40000</v>
      </c>
      <c r="L2179" s="14" t="str">
        <f>equip.xml!M2183</f>
        <v>105_0_0</v>
      </c>
      <c r="M2179" s="17" t="str">
        <f>equip.xml!Q2183</f>
        <v>equipment/7001.png</v>
      </c>
      <c r="N2179" s="16" t="str">
        <f>equip.xml!P2183</f>
        <v>10000_1002_70000,30000_30001_1,30000_30002_1,30000_30003_1</v>
      </c>
      <c r="O2179">
        <f>equip.xml!R2183</f>
        <v>0</v>
      </c>
    </row>
    <row r="2180" spans="1:15">
      <c r="A2180" s="14">
        <f>equip.xml!A2184</f>
        <v>50750010</v>
      </c>
      <c r="B2180" s="14">
        <f>equip.xml!B2184</f>
        <v>1</v>
      </c>
      <c r="C2180" s="14" t="str">
        <f>equip.xml!C2184</f>
        <v>凛冬头盔</v>
      </c>
      <c r="D2180" s="14" t="str">
        <f>equip.xml!D2184</f>
        <v>头盔</v>
      </c>
      <c r="E2180" s="14">
        <f>equip.xml!E2184</f>
        <v>1</v>
      </c>
      <c r="F2180" s="14">
        <f>equip.xml!F2184</f>
        <v>5</v>
      </c>
      <c r="G2180" s="14">
        <f>equip.xml!G2184</f>
        <v>75</v>
      </c>
      <c r="H2180" s="14">
        <f>equip.xml!H2184</f>
        <v>0</v>
      </c>
      <c r="I2180" s="14">
        <f>equip.xml!J2184</f>
        <v>150</v>
      </c>
      <c r="J2180" s="14">
        <f>equip.xml!K2184</f>
        <v>1500</v>
      </c>
      <c r="K2180" s="14">
        <f>equip.xml!L2184</f>
        <v>40000</v>
      </c>
      <c r="L2180" s="14" t="str">
        <f>equip.xml!M2184</f>
        <v>106_2633_2633</v>
      </c>
      <c r="M2180" s="17" t="str">
        <f>equip.xml!Q2184</f>
        <v>equipment/3013.png</v>
      </c>
      <c r="N2180" s="16" t="str">
        <f>equip.xml!P2184</f>
        <v>10000_1002_70000,30000_30001_1,30000_30002_1,30000_30003_1</v>
      </c>
      <c r="O2180">
        <f>equip.xml!R2184</f>
        <v>0</v>
      </c>
    </row>
    <row r="2181" spans="1:15">
      <c r="A2181" s="14">
        <f>equip.xml!A2185</f>
        <v>50750020</v>
      </c>
      <c r="B2181" s="14">
        <f>equip.xml!B2185</f>
        <v>1</v>
      </c>
      <c r="C2181" s="14" t="str">
        <f>equip.xml!C2185</f>
        <v>地脉之环</v>
      </c>
      <c r="D2181" s="14" t="str">
        <f>equip.xml!D2185</f>
        <v>戒指</v>
      </c>
      <c r="E2181" s="14">
        <f>equip.xml!E2185</f>
        <v>2</v>
      </c>
      <c r="F2181" s="14">
        <f>equip.xml!F2185</f>
        <v>5</v>
      </c>
      <c r="G2181" s="14">
        <f>equip.xml!G2185</f>
        <v>75</v>
      </c>
      <c r="H2181" s="14">
        <f>equip.xml!H2185</f>
        <v>0</v>
      </c>
      <c r="I2181" s="14">
        <f>equip.xml!J2185</f>
        <v>150</v>
      </c>
      <c r="J2181" s="14">
        <f>equip.xml!K2185</f>
        <v>1500</v>
      </c>
      <c r="K2181" s="14">
        <f>equip.xml!L2185</f>
        <v>40000</v>
      </c>
      <c r="L2181" s="14" t="str">
        <f>equip.xml!M2185</f>
        <v>102_1760_1760</v>
      </c>
      <c r="M2181" s="17" t="str">
        <f>equip.xml!Q2185</f>
        <v>equipment/14013.png</v>
      </c>
      <c r="N2181" s="16" t="str">
        <f>equip.xml!P2185</f>
        <v>10000_1002_70000,30000_30001_1,30000_30002_1,30000_30003_1</v>
      </c>
      <c r="O2181">
        <f>equip.xml!R2185</f>
        <v>0</v>
      </c>
    </row>
    <row r="2182" spans="1:15">
      <c r="A2182" s="14">
        <f>equip.xml!A2186</f>
        <v>50750030</v>
      </c>
      <c r="B2182" s="14">
        <f>equip.xml!B2186</f>
        <v>1</v>
      </c>
      <c r="C2182" s="14" t="str">
        <f>equip.xml!C2186</f>
        <v>缚誓护腰</v>
      </c>
      <c r="D2182" s="14" t="str">
        <f>equip.xml!D2186</f>
        <v>腰带</v>
      </c>
      <c r="E2182" s="14">
        <f>equip.xml!E2186</f>
        <v>3</v>
      </c>
      <c r="F2182" s="14">
        <f>equip.xml!F2186</f>
        <v>5</v>
      </c>
      <c r="G2182" s="14">
        <f>equip.xml!G2186</f>
        <v>75</v>
      </c>
      <c r="H2182" s="14">
        <f>equip.xml!H2186</f>
        <v>0</v>
      </c>
      <c r="I2182" s="14">
        <f>equip.xml!J2186</f>
        <v>150</v>
      </c>
      <c r="J2182" s="14">
        <f>equip.xml!K2186</f>
        <v>1500</v>
      </c>
      <c r="K2182" s="14">
        <f>equip.xml!L2186</f>
        <v>40000</v>
      </c>
      <c r="L2182" s="14" t="str">
        <f>equip.xml!M2186</f>
        <v>101_21600_21600</v>
      </c>
      <c r="M2182" s="17" t="str">
        <f>equip.xml!Q2186</f>
        <v>equipment/6014.png</v>
      </c>
      <c r="N2182" s="16" t="str">
        <f>equip.xml!P2186</f>
        <v>10000_1002_70000,30000_30001_1,30000_30002_1,30000_30003_1</v>
      </c>
      <c r="O2182">
        <f>equip.xml!R2186</f>
        <v>0</v>
      </c>
    </row>
    <row r="2183" spans="1:15">
      <c r="A2183" s="14">
        <f>equip.xml!A2187</f>
        <v>50750080</v>
      </c>
      <c r="B2183" s="14">
        <f>equip.xml!B2187</f>
        <v>1</v>
      </c>
      <c r="C2183" s="14" t="str">
        <f>equip.xml!C2187</f>
        <v>踏冰长靴</v>
      </c>
      <c r="D2183" s="14" t="str">
        <f>equip.xml!D2187</f>
        <v>鞋子</v>
      </c>
      <c r="E2183" s="14">
        <f>equip.xml!E2187</f>
        <v>8</v>
      </c>
      <c r="F2183" s="14">
        <f>equip.xml!F2187</f>
        <v>5</v>
      </c>
      <c r="G2183" s="14">
        <f>equip.xml!G2187</f>
        <v>75</v>
      </c>
      <c r="H2183" s="14">
        <f>equip.xml!H2187</f>
        <v>0</v>
      </c>
      <c r="I2183" s="14">
        <f>equip.xml!J2187</f>
        <v>150</v>
      </c>
      <c r="J2183" s="14">
        <f>equip.xml!K2187</f>
        <v>1500</v>
      </c>
      <c r="K2183" s="14">
        <f>equip.xml!L2187</f>
        <v>40000</v>
      </c>
      <c r="L2183" s="14" t="str">
        <f>equip.xml!M2187</f>
        <v>110_515_515</v>
      </c>
      <c r="M2183" s="17" t="str">
        <f>equip.xml!Q2187</f>
        <v>equipment/8014.png</v>
      </c>
      <c r="N2183" s="16" t="str">
        <f>equip.xml!P2187</f>
        <v>10000_1002_70000,30000_30001_1,30000_30002_1,30000_30003_1</v>
      </c>
      <c r="O2183">
        <f>equip.xml!R2187</f>
        <v>0</v>
      </c>
    </row>
    <row r="2184" spans="1:15">
      <c r="A2184" s="14">
        <f>equip.xml!A2188</f>
        <v>50750090</v>
      </c>
      <c r="B2184" s="14">
        <f>equip.xml!B2188</f>
        <v>1</v>
      </c>
      <c r="C2184" s="14" t="str">
        <f>equip.xml!C2188</f>
        <v>薄霜护手</v>
      </c>
      <c r="D2184" s="14" t="str">
        <f>equip.xml!D2188</f>
        <v>手套</v>
      </c>
      <c r="E2184" s="14">
        <f>equip.xml!E2188</f>
        <v>9</v>
      </c>
      <c r="F2184" s="14">
        <f>equip.xml!F2188</f>
        <v>5</v>
      </c>
      <c r="G2184" s="14">
        <f>equip.xml!G2188</f>
        <v>75</v>
      </c>
      <c r="H2184" s="14">
        <f>equip.xml!H2188</f>
        <v>0</v>
      </c>
      <c r="I2184" s="14">
        <f>equip.xml!J2188</f>
        <v>150</v>
      </c>
      <c r="J2184" s="14">
        <f>equip.xml!K2188</f>
        <v>1500</v>
      </c>
      <c r="K2184" s="14">
        <f>equip.xml!L2188</f>
        <v>40000</v>
      </c>
      <c r="L2184" s="14" t="str">
        <f>equip.xml!M2188</f>
        <v>108_4631_4631</v>
      </c>
      <c r="M2184" s="17" t="str">
        <f>equip.xml!Q2188</f>
        <v>equipment/10012.png</v>
      </c>
      <c r="N2184" s="16" t="str">
        <f>equip.xml!P2188</f>
        <v>10000_1002_70000,30000_30001_1,30000_30002_1,30000_30003_1</v>
      </c>
      <c r="O2184">
        <f>equip.xml!R2188</f>
        <v>0</v>
      </c>
    </row>
    <row r="2185" spans="1:15">
      <c r="A2185" s="14">
        <f>equip.xml!A2189</f>
        <v>50750100</v>
      </c>
      <c r="B2185" s="14">
        <f>equip.xml!B2189</f>
        <v>1</v>
      </c>
      <c r="C2185" s="14" t="str">
        <f>equip.xml!C2189</f>
        <v>极光挂坠</v>
      </c>
      <c r="D2185" s="14" t="str">
        <f>equip.xml!D2189</f>
        <v>项链</v>
      </c>
      <c r="E2185" s="14">
        <f>equip.xml!E2189</f>
        <v>10</v>
      </c>
      <c r="F2185" s="14">
        <f>equip.xml!F2189</f>
        <v>5</v>
      </c>
      <c r="G2185" s="14">
        <f>equip.xml!G2189</f>
        <v>75</v>
      </c>
      <c r="H2185" s="14">
        <f>equip.xml!H2189</f>
        <v>0</v>
      </c>
      <c r="I2185" s="14">
        <f>equip.xml!J2189</f>
        <v>150</v>
      </c>
      <c r="J2185" s="14">
        <f>equip.xml!K2189</f>
        <v>1500</v>
      </c>
      <c r="K2185" s="14">
        <f>equip.xml!L2189</f>
        <v>40000</v>
      </c>
      <c r="L2185" s="14" t="str">
        <f>equip.xml!M2189</f>
        <v>107_2633_2633</v>
      </c>
      <c r="M2185" s="17" t="str">
        <f>equip.xml!Q2189</f>
        <v>equipment/12013.png</v>
      </c>
      <c r="N2185" s="16" t="str">
        <f>equip.xml!P2189</f>
        <v>10000_1002_70000,30000_30001_1,30000_30002_1,30000_30003_1</v>
      </c>
      <c r="O2185">
        <f>equip.xml!R2189</f>
        <v>0</v>
      </c>
    </row>
    <row r="2186" spans="1:15">
      <c r="A2186" s="14">
        <f>equip.xml!A2190</f>
        <v>50751050</v>
      </c>
      <c r="B2186" s="14">
        <f>equip.xml!B2190</f>
        <v>1</v>
      </c>
      <c r="C2186" s="14" t="str">
        <f>equip.xml!C2190</f>
        <v>凌风之刃</v>
      </c>
      <c r="D2186" s="14" t="str">
        <f>equip.xml!D2190</f>
        <v>主手武器</v>
      </c>
      <c r="E2186" s="14">
        <f>equip.xml!E2190</f>
        <v>5</v>
      </c>
      <c r="F2186" s="14">
        <f>equip.xml!F2190</f>
        <v>5</v>
      </c>
      <c r="G2186" s="14">
        <f>equip.xml!G2190</f>
        <v>75</v>
      </c>
      <c r="H2186" s="14" t="str">
        <f>equip.xml!H2190</f>
        <v>1,1001</v>
      </c>
      <c r="I2186" s="14">
        <f>equip.xml!J2190</f>
        <v>150</v>
      </c>
      <c r="J2186" s="14">
        <f>equip.xml!K2190</f>
        <v>1500</v>
      </c>
      <c r="K2186" s="14">
        <f>equip.xml!L2190</f>
        <v>40000</v>
      </c>
      <c r="L2186" s="14" t="str">
        <f>equip.xml!M2190</f>
        <v>103_3811_3811,104_7622_7622</v>
      </c>
      <c r="M2186" s="17" t="str">
        <f>equip.xml!Q2190</f>
        <v>equipment/1126.png</v>
      </c>
      <c r="N2186" s="16" t="str">
        <f>equip.xml!P2190</f>
        <v>10000_1002_70000,30000_30001_1,30000_30002_1,30000_30003_1</v>
      </c>
      <c r="O2186">
        <f>equip.xml!R2190</f>
        <v>0</v>
      </c>
    </row>
    <row r="2187" spans="1:15">
      <c r="A2187" s="14">
        <f>equip.xml!A2191</f>
        <v>50751051</v>
      </c>
      <c r="B2187" s="14">
        <f>equip.xml!B2191</f>
        <v>1</v>
      </c>
      <c r="C2187" s="14" t="str">
        <f>equip.xml!C2191</f>
        <v>鸣醒之剑</v>
      </c>
      <c r="D2187" s="14" t="str">
        <f>equip.xml!D2191</f>
        <v>主手武器</v>
      </c>
      <c r="E2187" s="14">
        <f>equip.xml!E2191</f>
        <v>5</v>
      </c>
      <c r="F2187" s="14">
        <f>equip.xml!F2191</f>
        <v>5</v>
      </c>
      <c r="G2187" s="14">
        <f>equip.xml!G2191</f>
        <v>75</v>
      </c>
      <c r="H2187" s="14" t="str">
        <f>equip.xml!H2191</f>
        <v>1,1001</v>
      </c>
      <c r="I2187" s="14">
        <f>equip.xml!J2191</f>
        <v>150</v>
      </c>
      <c r="J2187" s="14">
        <f>equip.xml!K2191</f>
        <v>1500</v>
      </c>
      <c r="K2187" s="14">
        <f>equip.xml!L2191</f>
        <v>42500</v>
      </c>
      <c r="L2187" s="14" t="str">
        <f>equip.xml!M2191</f>
        <v>103_4019_4019,104_8038_8038</v>
      </c>
      <c r="M2187" s="17" t="str">
        <f>equip.xml!Q2191</f>
        <v>equipment/1127.png</v>
      </c>
      <c r="N2187" s="16" t="str">
        <f>equip.xml!P2191</f>
        <v>10000_1002_70000,30000_30001_1,30000_30002_1,30000_30003_1</v>
      </c>
      <c r="O2187">
        <f>equip.xml!R2191</f>
        <v>0</v>
      </c>
    </row>
    <row r="2188" spans="1:15">
      <c r="A2188" s="14">
        <f>equip.xml!A2192</f>
        <v>50751060</v>
      </c>
      <c r="B2188" s="14">
        <f>equip.xml!B2192</f>
        <v>1</v>
      </c>
      <c r="C2188" s="14" t="str">
        <f>equip.xml!C2192</f>
        <v>凯旋护盾</v>
      </c>
      <c r="D2188" s="14" t="str">
        <f>equip.xml!D2192</f>
        <v>副手武器</v>
      </c>
      <c r="E2188" s="14">
        <f>equip.xml!E2192</f>
        <v>6</v>
      </c>
      <c r="F2188" s="14">
        <f>equip.xml!F2192</f>
        <v>5</v>
      </c>
      <c r="G2188" s="14">
        <f>equip.xml!G2192</f>
        <v>75</v>
      </c>
      <c r="H2188" s="14" t="str">
        <f>equip.xml!H2192</f>
        <v>1,1001</v>
      </c>
      <c r="I2188" s="14">
        <f>equip.xml!J2192</f>
        <v>150</v>
      </c>
      <c r="J2188" s="14">
        <f>equip.xml!K2192</f>
        <v>1500</v>
      </c>
      <c r="K2188" s="14">
        <f>equip.xml!L2192</f>
        <v>40000</v>
      </c>
      <c r="L2188" s="14" t="str">
        <f>equip.xml!M2192</f>
        <v>105_3945_3945</v>
      </c>
      <c r="M2188" s="17" t="str">
        <f>equip.xml!Q2192</f>
        <v>equipment/2121.png</v>
      </c>
      <c r="N2188" s="16" t="str">
        <f>equip.xml!P2192</f>
        <v>10000_1002_70000,30000_30001_1,30000_30002_1,30000_30003_1</v>
      </c>
      <c r="O2188">
        <f>equip.xml!R2192</f>
        <v>0</v>
      </c>
    </row>
    <row r="2189" spans="1:15">
      <c r="A2189" s="14">
        <f>equip.xml!A2193</f>
        <v>50751061</v>
      </c>
      <c r="B2189" s="14">
        <f>equip.xml!B2193</f>
        <v>1</v>
      </c>
      <c r="C2189" s="14" t="str">
        <f>equip.xml!C2193</f>
        <v>集结护盾</v>
      </c>
      <c r="D2189" s="14" t="str">
        <f>equip.xml!D2193</f>
        <v>副手武器</v>
      </c>
      <c r="E2189" s="14">
        <f>equip.xml!E2193</f>
        <v>6</v>
      </c>
      <c r="F2189" s="14">
        <f>equip.xml!F2193</f>
        <v>5</v>
      </c>
      <c r="G2189" s="14">
        <f>equip.xml!G2193</f>
        <v>75</v>
      </c>
      <c r="H2189" s="14" t="str">
        <f>equip.xml!H2193</f>
        <v>1,1001</v>
      </c>
      <c r="I2189" s="14">
        <f>equip.xml!J2193</f>
        <v>150</v>
      </c>
      <c r="J2189" s="14">
        <f>equip.xml!K2193</f>
        <v>1500</v>
      </c>
      <c r="K2189" s="14">
        <f>equip.xml!L2193</f>
        <v>42500</v>
      </c>
      <c r="L2189" s="14" t="str">
        <f>equip.xml!M2193</f>
        <v>105_4082_4082</v>
      </c>
      <c r="M2189" s="17" t="str">
        <f>equip.xml!Q2193</f>
        <v>equipment/2123.png</v>
      </c>
      <c r="N2189" s="16" t="str">
        <f>equip.xml!P2193</f>
        <v>10000_1002_70000,30000_30001_1,30000_30002_1,30000_30003_1</v>
      </c>
      <c r="O2189">
        <f>equip.xml!R2193</f>
        <v>0</v>
      </c>
    </row>
    <row r="2190" spans="1:15">
      <c r="A2190" s="14">
        <f>equip.xml!A2194</f>
        <v>50752050</v>
      </c>
      <c r="B2190" s="14">
        <f>equip.xml!B2194</f>
        <v>1</v>
      </c>
      <c r="C2190" s="14" t="str">
        <f>equip.xml!C2194</f>
        <v>嚎风之息</v>
      </c>
      <c r="D2190" s="14" t="str">
        <f>equip.xml!D2194</f>
        <v>主手武器</v>
      </c>
      <c r="E2190" s="14">
        <f>equip.xml!E2194</f>
        <v>5</v>
      </c>
      <c r="F2190" s="14">
        <f>equip.xml!F2194</f>
        <v>5</v>
      </c>
      <c r="G2190" s="14">
        <f>equip.xml!G2194</f>
        <v>75</v>
      </c>
      <c r="H2190" s="14" t="str">
        <f>equip.xml!H2194</f>
        <v>2,1002</v>
      </c>
      <c r="I2190" s="14">
        <f>equip.xml!J2194</f>
        <v>150</v>
      </c>
      <c r="J2190" s="14">
        <f>equip.xml!K2194</f>
        <v>1500</v>
      </c>
      <c r="K2190" s="14">
        <f>equip.xml!L2194</f>
        <v>40000</v>
      </c>
      <c r="L2190" s="14" t="str">
        <f>equip.xml!M2194</f>
        <v>103_3811_3811,104_7622_7622</v>
      </c>
      <c r="M2190" s="17" t="str">
        <f>equip.xml!Q2194</f>
        <v>equipment/1225.png</v>
      </c>
      <c r="N2190" s="16" t="str">
        <f>equip.xml!P2194</f>
        <v>10000_1002_70000,30000_30001_1,30000_30002_1,30000_30003_1</v>
      </c>
      <c r="O2190">
        <f>equip.xml!R2194</f>
        <v>0</v>
      </c>
    </row>
    <row r="2191" spans="1:15">
      <c r="A2191" s="14">
        <f>equip.xml!A2195</f>
        <v>50752051</v>
      </c>
      <c r="B2191" s="14">
        <f>equip.xml!B2195</f>
        <v>1</v>
      </c>
      <c r="C2191" s="14" t="str">
        <f>equip.xml!C2195</f>
        <v>瞭天长弓</v>
      </c>
      <c r="D2191" s="14" t="str">
        <f>equip.xml!D2195</f>
        <v>主手武器</v>
      </c>
      <c r="E2191" s="14">
        <f>equip.xml!E2195</f>
        <v>5</v>
      </c>
      <c r="F2191" s="14">
        <f>equip.xml!F2195</f>
        <v>5</v>
      </c>
      <c r="G2191" s="14">
        <f>equip.xml!G2195</f>
        <v>75</v>
      </c>
      <c r="H2191" s="14" t="str">
        <f>equip.xml!H2195</f>
        <v>2,1002</v>
      </c>
      <c r="I2191" s="14">
        <f>equip.xml!J2195</f>
        <v>150</v>
      </c>
      <c r="J2191" s="14">
        <f>equip.xml!K2195</f>
        <v>1500</v>
      </c>
      <c r="K2191" s="14">
        <f>equip.xml!L2195</f>
        <v>42500</v>
      </c>
      <c r="L2191" s="14" t="str">
        <f>equip.xml!M2195</f>
        <v>103_4019_4019,104_8038_8038</v>
      </c>
      <c r="M2191" s="17" t="str">
        <f>equip.xml!Q2195</f>
        <v>equipment/1226.png</v>
      </c>
      <c r="N2191" s="16" t="str">
        <f>equip.xml!P2195</f>
        <v>10000_1002_70000,30000_30001_1,30000_30002_1,30000_30003_1</v>
      </c>
      <c r="O2191">
        <f>equip.xml!R2195</f>
        <v>0</v>
      </c>
    </row>
    <row r="2192" spans="1:15">
      <c r="A2192" s="14">
        <f>equip.xml!A2196</f>
        <v>50752060</v>
      </c>
      <c r="B2192" s="14">
        <f>equip.xml!B2196</f>
        <v>1</v>
      </c>
      <c r="C2192" s="14" t="str">
        <f>equip.xml!C2196</f>
        <v>疾鹰箭袋</v>
      </c>
      <c r="D2192" s="14" t="str">
        <f>equip.xml!D2196</f>
        <v>副手武器</v>
      </c>
      <c r="E2192" s="14">
        <f>equip.xml!E2196</f>
        <v>6</v>
      </c>
      <c r="F2192" s="14">
        <f>equip.xml!F2196</f>
        <v>5</v>
      </c>
      <c r="G2192" s="14">
        <f>equip.xml!G2196</f>
        <v>75</v>
      </c>
      <c r="H2192" s="14" t="str">
        <f>equip.xml!H2196</f>
        <v>2,1002</v>
      </c>
      <c r="I2192" s="14">
        <f>equip.xml!J2196</f>
        <v>150</v>
      </c>
      <c r="J2192" s="14">
        <f>equip.xml!K2196</f>
        <v>1500</v>
      </c>
      <c r="K2192" s="14">
        <f>equip.xml!L2196</f>
        <v>40000</v>
      </c>
      <c r="L2192" s="14" t="str">
        <f>equip.xml!M2196</f>
        <v>108_3945_3945</v>
      </c>
      <c r="M2192" s="17" t="str">
        <f>equip.xml!Q2196</f>
        <v>equipment/2219.png</v>
      </c>
      <c r="N2192" s="16" t="str">
        <f>equip.xml!P2196</f>
        <v>10000_1002_70000,30000_30001_1,30000_30002_1,30000_30003_1</v>
      </c>
      <c r="O2192">
        <f>equip.xml!R2196</f>
        <v>0</v>
      </c>
    </row>
    <row r="2193" spans="1:15">
      <c r="A2193" s="14">
        <f>equip.xml!A2197</f>
        <v>50752061</v>
      </c>
      <c r="B2193" s="14">
        <f>equip.xml!B2197</f>
        <v>1</v>
      </c>
      <c r="C2193" s="14" t="str">
        <f>equip.xml!C2197</f>
        <v>灵犀箭筒</v>
      </c>
      <c r="D2193" s="14" t="str">
        <f>equip.xml!D2197</f>
        <v>副手武器</v>
      </c>
      <c r="E2193" s="14">
        <f>equip.xml!E2197</f>
        <v>6</v>
      </c>
      <c r="F2193" s="14">
        <f>equip.xml!F2197</f>
        <v>5</v>
      </c>
      <c r="G2193" s="14">
        <f>equip.xml!G2197</f>
        <v>75</v>
      </c>
      <c r="H2193" s="14" t="str">
        <f>equip.xml!H2197</f>
        <v>2,1002</v>
      </c>
      <c r="I2193" s="14">
        <f>equip.xml!J2197</f>
        <v>150</v>
      </c>
      <c r="J2193" s="14">
        <f>equip.xml!K2197</f>
        <v>1500</v>
      </c>
      <c r="K2193" s="14">
        <f>equip.xml!L2197</f>
        <v>42500</v>
      </c>
      <c r="L2193" s="14" t="str">
        <f>equip.xml!M2197</f>
        <v>108_4082_4082</v>
      </c>
      <c r="M2193" s="17" t="str">
        <f>equip.xml!Q2197</f>
        <v>equipment/2220.png</v>
      </c>
      <c r="N2193" s="16" t="str">
        <f>equip.xml!P2197</f>
        <v>10000_1002_70000,30000_30001_1,30000_30002_1,30000_30003_1</v>
      </c>
      <c r="O2193">
        <f>equip.xml!R2197</f>
        <v>0</v>
      </c>
    </row>
    <row r="2194" spans="1:15">
      <c r="A2194" s="14">
        <f>equip.xml!A2198</f>
        <v>50753050</v>
      </c>
      <c r="B2194" s="14">
        <f>equip.xml!B2198</f>
        <v>1</v>
      </c>
      <c r="C2194" s="14" t="str">
        <f>equip.xml!C2198</f>
        <v>唤海长杖</v>
      </c>
      <c r="D2194" s="14" t="str">
        <f>equip.xml!D2198</f>
        <v>主手武器</v>
      </c>
      <c r="E2194" s="14">
        <f>equip.xml!E2198</f>
        <v>5</v>
      </c>
      <c r="F2194" s="14">
        <f>equip.xml!F2198</f>
        <v>5</v>
      </c>
      <c r="G2194" s="14">
        <f>equip.xml!G2198</f>
        <v>75</v>
      </c>
      <c r="H2194" s="14" t="str">
        <f>equip.xml!H2198</f>
        <v>3,1003</v>
      </c>
      <c r="I2194" s="14">
        <f>equip.xml!J2198</f>
        <v>150</v>
      </c>
      <c r="J2194" s="14">
        <f>equip.xml!K2198</f>
        <v>1500</v>
      </c>
      <c r="K2194" s="14">
        <f>equip.xml!L2198</f>
        <v>40000</v>
      </c>
      <c r="L2194" s="14" t="str">
        <f>equip.xml!M2198</f>
        <v>103_3811_3811,104_7622_7622</v>
      </c>
      <c r="M2194" s="17" t="str">
        <f>equip.xml!Q2198</f>
        <v>equipment/1326.png</v>
      </c>
      <c r="N2194" s="16" t="str">
        <f>equip.xml!P2198</f>
        <v>10000_1002_70000,30000_30001_1,30000_30002_1,30000_30003_1</v>
      </c>
      <c r="O2194">
        <f>equip.xml!R2198</f>
        <v>0</v>
      </c>
    </row>
    <row r="2195" spans="1:15">
      <c r="A2195" s="14">
        <f>equip.xml!A2199</f>
        <v>50753051</v>
      </c>
      <c r="B2195" s="14">
        <f>equip.xml!B2199</f>
        <v>1</v>
      </c>
      <c r="C2195" s="14" t="str">
        <f>equip.xml!C2199</f>
        <v>奥核之杖</v>
      </c>
      <c r="D2195" s="14" t="str">
        <f>equip.xml!D2199</f>
        <v>主手武器</v>
      </c>
      <c r="E2195" s="14">
        <f>equip.xml!E2199</f>
        <v>5</v>
      </c>
      <c r="F2195" s="14">
        <f>equip.xml!F2199</f>
        <v>5</v>
      </c>
      <c r="G2195" s="14">
        <f>equip.xml!G2199</f>
        <v>75</v>
      </c>
      <c r="H2195" s="14" t="str">
        <f>equip.xml!H2199</f>
        <v>3,1003</v>
      </c>
      <c r="I2195" s="14">
        <f>equip.xml!J2199</f>
        <v>150</v>
      </c>
      <c r="J2195" s="14">
        <f>equip.xml!K2199</f>
        <v>1500</v>
      </c>
      <c r="K2195" s="14">
        <f>equip.xml!L2199</f>
        <v>42500</v>
      </c>
      <c r="L2195" s="14" t="str">
        <f>equip.xml!M2199</f>
        <v>103_4019_4019,104_8038_8038</v>
      </c>
      <c r="M2195" s="17" t="str">
        <f>equip.xml!Q2199</f>
        <v>equipment/1325.png</v>
      </c>
      <c r="N2195" s="16" t="str">
        <f>equip.xml!P2199</f>
        <v>10000_1002_70000,30000_30001_1,30000_30002_1,30000_30003_1</v>
      </c>
      <c r="O2195">
        <f>equip.xml!R2199</f>
        <v>0</v>
      </c>
    </row>
    <row r="2196" spans="1:15">
      <c r="A2196" s="14">
        <f>equip.xml!A2200</f>
        <v>50753060</v>
      </c>
      <c r="B2196" s="14">
        <f>equip.xml!B2200</f>
        <v>1</v>
      </c>
      <c r="C2196" s="14" t="str">
        <f>equip.xml!C2200</f>
        <v>尘封遗典</v>
      </c>
      <c r="D2196" s="14" t="str">
        <f>equip.xml!D2200</f>
        <v>副手武器</v>
      </c>
      <c r="E2196" s="14">
        <f>equip.xml!E2200</f>
        <v>6</v>
      </c>
      <c r="F2196" s="14">
        <f>equip.xml!F2200</f>
        <v>5</v>
      </c>
      <c r="G2196" s="14">
        <f>equip.xml!G2200</f>
        <v>75</v>
      </c>
      <c r="H2196" s="14" t="str">
        <f>equip.xml!H2200</f>
        <v>3,1003</v>
      </c>
      <c r="I2196" s="14">
        <f>equip.xml!J2200</f>
        <v>150</v>
      </c>
      <c r="J2196" s="14">
        <f>equip.xml!K2200</f>
        <v>1500</v>
      </c>
      <c r="K2196" s="14">
        <f>equip.xml!L2200</f>
        <v>40000</v>
      </c>
      <c r="L2196" s="14" t="str">
        <f>equip.xml!M2200</f>
        <v>102_3350_3350</v>
      </c>
      <c r="M2196" s="17" t="str">
        <f>equip.xml!Q2200</f>
        <v>equipment/2319.png</v>
      </c>
      <c r="N2196" s="16" t="str">
        <f>equip.xml!P2200</f>
        <v>10000_1002_70000,30000_30001_1,30000_30002_1,30000_30003_1</v>
      </c>
      <c r="O2196">
        <f>equip.xml!R2200</f>
        <v>0</v>
      </c>
    </row>
    <row r="2197" spans="1:15">
      <c r="A2197" s="14">
        <f>equip.xml!A2201</f>
        <v>50753061</v>
      </c>
      <c r="B2197" s="14">
        <f>equip.xml!B2201</f>
        <v>1</v>
      </c>
      <c r="C2197" s="14" t="str">
        <f>equip.xml!C2201</f>
        <v>魔枢秘典</v>
      </c>
      <c r="D2197" s="14" t="str">
        <f>equip.xml!D2201</f>
        <v>副手武器</v>
      </c>
      <c r="E2197" s="14">
        <f>equip.xml!E2201</f>
        <v>6</v>
      </c>
      <c r="F2197" s="14">
        <f>equip.xml!F2201</f>
        <v>5</v>
      </c>
      <c r="G2197" s="14">
        <f>equip.xml!G2201</f>
        <v>75</v>
      </c>
      <c r="H2197" s="14" t="str">
        <f>equip.xml!H2201</f>
        <v>3,1003</v>
      </c>
      <c r="I2197" s="14">
        <f>equip.xml!J2201</f>
        <v>150</v>
      </c>
      <c r="J2197" s="14">
        <f>equip.xml!K2201</f>
        <v>1500</v>
      </c>
      <c r="K2197" s="14">
        <f>equip.xml!L2201</f>
        <v>42500</v>
      </c>
      <c r="L2197" s="14" t="str">
        <f>equip.xml!M2201</f>
        <v>102_3450_3450</v>
      </c>
      <c r="M2197" s="17" t="str">
        <f>equip.xml!Q2201</f>
        <v>equipment/2321.png</v>
      </c>
      <c r="N2197" s="16" t="str">
        <f>equip.xml!P2201</f>
        <v>10000_1002_70000,30000_30001_1,30000_30002_1,30000_30003_1</v>
      </c>
      <c r="O2197">
        <f>equip.xml!R2201</f>
        <v>0</v>
      </c>
    </row>
    <row r="2198" spans="1:15">
      <c r="A2198" s="14">
        <f>equip.xml!A2202</f>
        <v>50750040</v>
      </c>
      <c r="B2198" s="14">
        <f>equip.xml!B2202</f>
        <v>1</v>
      </c>
      <c r="C2198" s="14" t="str">
        <f>equip.xml!C2202</f>
        <v>守望胸甲</v>
      </c>
      <c r="D2198" s="14" t="str">
        <f>equip.xml!D2202</f>
        <v>胸甲</v>
      </c>
      <c r="E2198" s="14">
        <f>equip.xml!E2202</f>
        <v>4</v>
      </c>
      <c r="F2198" s="14">
        <f>equip.xml!F2202</f>
        <v>5</v>
      </c>
      <c r="G2198" s="14">
        <f>equip.xml!G2202</f>
        <v>75</v>
      </c>
      <c r="H2198" s="14">
        <f>equip.xml!H2202</f>
        <v>0</v>
      </c>
      <c r="I2198" s="14">
        <f>equip.xml!J2202</f>
        <v>150</v>
      </c>
      <c r="J2198" s="14">
        <f>equip.xml!K2202</f>
        <v>1500</v>
      </c>
      <c r="K2198" s="14">
        <f>equip.xml!L2202</f>
        <v>40000</v>
      </c>
      <c r="L2198" s="14" t="str">
        <f>equip.xml!M2202</f>
        <v>105_2195_2195</v>
      </c>
      <c r="M2198" s="17" t="str">
        <f>equip.xml!Q2202</f>
        <v>equipment/5019.png</v>
      </c>
      <c r="N2198" s="16" t="str">
        <f>equip.xml!P2202</f>
        <v>10000_1002_70000,30000_30001_1,30000_30002_1,30000_30003_1</v>
      </c>
      <c r="O2198">
        <f>equip.xml!R2202</f>
        <v>0</v>
      </c>
    </row>
    <row r="2199" spans="1:15">
      <c r="A2199" s="14">
        <f>equip.xml!A2203</f>
        <v>50750041</v>
      </c>
      <c r="B2199" s="14">
        <f>equip.xml!B2203</f>
        <v>1</v>
      </c>
      <c r="C2199" s="14" t="str">
        <f>equip.xml!C2203</f>
        <v>冥铸之铠</v>
      </c>
      <c r="D2199" s="14" t="str">
        <f>equip.xml!D2203</f>
        <v>胸甲</v>
      </c>
      <c r="E2199" s="14">
        <f>equip.xml!E2203</f>
        <v>4</v>
      </c>
      <c r="F2199" s="14">
        <f>equip.xml!F2203</f>
        <v>5</v>
      </c>
      <c r="G2199" s="14">
        <f>equip.xml!G2203</f>
        <v>75</v>
      </c>
      <c r="H2199" s="14">
        <f>equip.xml!H2203</f>
        <v>0</v>
      </c>
      <c r="I2199" s="14">
        <f>equip.xml!J2203</f>
        <v>150</v>
      </c>
      <c r="J2199" s="14">
        <f>equip.xml!K2203</f>
        <v>1500</v>
      </c>
      <c r="K2199" s="14">
        <f>equip.xml!L2203</f>
        <v>42500</v>
      </c>
      <c r="L2199" s="14" t="str">
        <f>equip.xml!M2203</f>
        <v>105_2346_2346</v>
      </c>
      <c r="M2199" s="17" t="str">
        <f>equip.xml!Q2203</f>
        <v>equipment/5020.png</v>
      </c>
      <c r="N2199" s="16" t="str">
        <f>equip.xml!P2203</f>
        <v>10000_1002_70000,30000_30001_1,30000_30002_1,30000_30003_1</v>
      </c>
      <c r="O2199">
        <f>equip.xml!R2203</f>
        <v>0</v>
      </c>
    </row>
    <row r="2200" spans="1:15">
      <c r="A2200" s="14">
        <f>equip.xml!A2204</f>
        <v>50750070</v>
      </c>
      <c r="B2200" s="14">
        <f>equip.xml!B2204</f>
        <v>1</v>
      </c>
      <c r="C2200" s="14" t="str">
        <f>equip.xml!C2204</f>
        <v>怜悯护腿</v>
      </c>
      <c r="D2200" s="14" t="str">
        <f>equip.xml!D2204</f>
        <v>护腿</v>
      </c>
      <c r="E2200" s="14">
        <f>equip.xml!E2204</f>
        <v>7</v>
      </c>
      <c r="F2200" s="14">
        <f>equip.xml!F2204</f>
        <v>5</v>
      </c>
      <c r="G2200" s="14">
        <f>equip.xml!G2204</f>
        <v>75</v>
      </c>
      <c r="H2200" s="14">
        <f>equip.xml!H2204</f>
        <v>0</v>
      </c>
      <c r="I2200" s="14">
        <f>equip.xml!J2204</f>
        <v>150</v>
      </c>
      <c r="J2200" s="14">
        <f>equip.xml!K2204</f>
        <v>1500</v>
      </c>
      <c r="K2200" s="14">
        <f>equip.xml!L2204</f>
        <v>40000</v>
      </c>
      <c r="L2200" s="14" t="str">
        <f>equip.xml!M2204</f>
        <v>105_2195_2195</v>
      </c>
      <c r="M2200" s="17" t="str">
        <f>equip.xml!Q2204</f>
        <v>equipment/7019.png</v>
      </c>
      <c r="N2200" s="16" t="str">
        <f>equip.xml!P2204</f>
        <v>10000_1002_70000,30000_30001_1,30000_30002_1,30000_30003_1</v>
      </c>
      <c r="O2200">
        <f>equip.xml!R2204</f>
        <v>0</v>
      </c>
    </row>
    <row r="2201" spans="1:15">
      <c r="A2201" s="14">
        <f>equip.xml!A2205</f>
        <v>50750071</v>
      </c>
      <c r="B2201" s="14">
        <f>equip.xml!B2205</f>
        <v>1</v>
      </c>
      <c r="C2201" s="14" t="str">
        <f>equip.xml!C2205</f>
        <v>魔痕护腿</v>
      </c>
      <c r="D2201" s="14" t="str">
        <f>equip.xml!D2205</f>
        <v>护腿</v>
      </c>
      <c r="E2201" s="14">
        <f>equip.xml!E2205</f>
        <v>7</v>
      </c>
      <c r="F2201" s="14">
        <f>equip.xml!F2205</f>
        <v>5</v>
      </c>
      <c r="G2201" s="14">
        <f>equip.xml!G2205</f>
        <v>75</v>
      </c>
      <c r="H2201" s="14">
        <f>equip.xml!H2205</f>
        <v>0</v>
      </c>
      <c r="I2201" s="14">
        <f>equip.xml!J2205</f>
        <v>150</v>
      </c>
      <c r="J2201" s="14">
        <f>equip.xml!K2205</f>
        <v>1500</v>
      </c>
      <c r="K2201" s="14">
        <f>equip.xml!L2205</f>
        <v>42500</v>
      </c>
      <c r="L2201" s="14" t="str">
        <f>equip.xml!M2205</f>
        <v>105_2346_2346</v>
      </c>
      <c r="M2201" s="17" t="str">
        <f>equip.xml!Q2205</f>
        <v>equipment/7020.png</v>
      </c>
      <c r="N2201" s="16" t="str">
        <f>equip.xml!P2205</f>
        <v>10000_1002_70000,30000_30001_1,30000_30002_1,30000_30003_1</v>
      </c>
      <c r="O2201">
        <f>equip.xml!R2205</f>
        <v>0</v>
      </c>
    </row>
    <row r="2202" spans="1:15">
      <c r="A2202" s="14">
        <f>equip.xml!A2206</f>
        <v>50800010</v>
      </c>
      <c r="B2202" s="14">
        <f>equip.xml!B2206</f>
        <v>1</v>
      </c>
      <c r="C2202" s="14" t="str">
        <f>equip.xml!C2206</f>
        <v>浴火战盔</v>
      </c>
      <c r="D2202" s="14" t="str">
        <f>equip.xml!D2206</f>
        <v>头盔</v>
      </c>
      <c r="E2202" s="14">
        <f>equip.xml!E2206</f>
        <v>1</v>
      </c>
      <c r="F2202" s="14">
        <f>equip.xml!F2206</f>
        <v>5</v>
      </c>
      <c r="G2202" s="14">
        <f>equip.xml!G2206</f>
        <v>80</v>
      </c>
      <c r="H2202" s="14">
        <f>equip.xml!H2206</f>
        <v>0</v>
      </c>
      <c r="I2202" s="14">
        <f>equip.xml!J2206</f>
        <v>150</v>
      </c>
      <c r="J2202" s="14">
        <f>equip.xml!K2206</f>
        <v>1500</v>
      </c>
      <c r="K2202" s="14">
        <f>equip.xml!L2206</f>
        <v>42500</v>
      </c>
      <c r="L2202" s="14" t="str">
        <f>equip.xml!M2206</f>
        <v>106_3066_3066</v>
      </c>
      <c r="M2202" s="17" t="str">
        <f>equip.xml!Q2206</f>
        <v>equipment/3015.png</v>
      </c>
      <c r="N2202" s="16" t="str">
        <f>equip.xml!P2206</f>
        <v>10000_1002_70000,30000_30001_1,30000_30002_1,30000_30003_1</v>
      </c>
      <c r="O2202">
        <f>equip.xml!R2206</f>
        <v>0</v>
      </c>
    </row>
    <row r="2203" spans="1:15">
      <c r="A2203" s="14">
        <f>equip.xml!A2207</f>
        <v>50800020</v>
      </c>
      <c r="B2203" s="14">
        <f>equip.xml!B2207</f>
        <v>1</v>
      </c>
      <c r="C2203" s="14" t="str">
        <f>equip.xml!C2207</f>
        <v>联合徽记</v>
      </c>
      <c r="D2203" s="14" t="str">
        <f>equip.xml!D2207</f>
        <v>戒指</v>
      </c>
      <c r="E2203" s="14">
        <f>equip.xml!E2207</f>
        <v>2</v>
      </c>
      <c r="F2203" s="14">
        <f>equip.xml!F2207</f>
        <v>5</v>
      </c>
      <c r="G2203" s="14">
        <f>equip.xml!G2207</f>
        <v>80</v>
      </c>
      <c r="H2203" s="14">
        <f>equip.xml!H2207</f>
        <v>0</v>
      </c>
      <c r="I2203" s="14">
        <f>equip.xml!J2207</f>
        <v>150</v>
      </c>
      <c r="J2203" s="14">
        <f>equip.xml!K2207</f>
        <v>1500</v>
      </c>
      <c r="K2203" s="14">
        <f>equip.xml!L2207</f>
        <v>42500</v>
      </c>
      <c r="L2203" s="14" t="str">
        <f>equip.xml!M2207</f>
        <v>102_1900_1900</v>
      </c>
      <c r="M2203" s="17" t="str">
        <f>equip.xml!Q2207</f>
        <v>equipment/14014.png</v>
      </c>
      <c r="N2203" s="16" t="str">
        <f>equip.xml!P2207</f>
        <v>10000_1002_70000,30000_30001_1,30000_30002_1,30000_30003_1</v>
      </c>
      <c r="O2203">
        <f>equip.xml!R2207</f>
        <v>0</v>
      </c>
    </row>
    <row r="2204" spans="1:15">
      <c r="A2204" s="14">
        <f>equip.xml!A2208</f>
        <v>50800030</v>
      </c>
      <c r="B2204" s="14">
        <f>equip.xml!B2208</f>
        <v>1</v>
      </c>
      <c r="C2204" s="14" t="str">
        <f>equip.xml!C2208</f>
        <v>怒岩腰带</v>
      </c>
      <c r="D2204" s="14" t="str">
        <f>equip.xml!D2208</f>
        <v>腰带</v>
      </c>
      <c r="E2204" s="14">
        <f>equip.xml!E2208</f>
        <v>3</v>
      </c>
      <c r="F2204" s="14">
        <f>equip.xml!F2208</f>
        <v>5</v>
      </c>
      <c r="G2204" s="14">
        <f>equip.xml!G2208</f>
        <v>80</v>
      </c>
      <c r="H2204" s="14">
        <f>equip.xml!H2208</f>
        <v>0</v>
      </c>
      <c r="I2204" s="14">
        <f>equip.xml!J2208</f>
        <v>150</v>
      </c>
      <c r="J2204" s="14">
        <f>equip.xml!K2208</f>
        <v>1500</v>
      </c>
      <c r="K2204" s="14">
        <f>equip.xml!L2208</f>
        <v>42500</v>
      </c>
      <c r="L2204" s="14" t="str">
        <f>equip.xml!M2208</f>
        <v>101_24080_24080</v>
      </c>
      <c r="M2204" s="17" t="str">
        <f>equip.xml!Q2208</f>
        <v>equipment/6015.png</v>
      </c>
      <c r="N2204" s="16" t="str">
        <f>equip.xml!P2208</f>
        <v>10000_1002_70000,30000_30001_1,30000_30002_1,30000_30003_1</v>
      </c>
      <c r="O2204">
        <f>equip.xml!R2208</f>
        <v>0</v>
      </c>
    </row>
    <row r="2205" spans="1:15">
      <c r="A2205" s="14">
        <f>equip.xml!A2209</f>
        <v>50800080</v>
      </c>
      <c r="B2205" s="14">
        <f>equip.xml!B2209</f>
        <v>1</v>
      </c>
      <c r="C2205" s="14" t="str">
        <f>equip.xml!C2209</f>
        <v>缚法之靴</v>
      </c>
      <c r="D2205" s="14" t="str">
        <f>equip.xml!D2209</f>
        <v>鞋子</v>
      </c>
      <c r="E2205" s="14">
        <f>equip.xml!E2209</f>
        <v>8</v>
      </c>
      <c r="F2205" s="14">
        <f>equip.xml!F2209</f>
        <v>5</v>
      </c>
      <c r="G2205" s="14">
        <f>equip.xml!G2209</f>
        <v>80</v>
      </c>
      <c r="H2205" s="14">
        <f>equip.xml!H2209</f>
        <v>0</v>
      </c>
      <c r="I2205" s="14">
        <f>equip.xml!J2209</f>
        <v>150</v>
      </c>
      <c r="J2205" s="14">
        <f>equip.xml!K2209</f>
        <v>1500</v>
      </c>
      <c r="K2205" s="14">
        <f>equip.xml!L2209</f>
        <v>42500</v>
      </c>
      <c r="L2205" s="14" t="str">
        <f>equip.xml!M2209</f>
        <v>110_568_568</v>
      </c>
      <c r="M2205" s="17" t="str">
        <f>equip.xml!Q2209</f>
        <v>equipment/8015.png</v>
      </c>
      <c r="N2205" s="16" t="str">
        <f>equip.xml!P2209</f>
        <v>10000_1002_70000,30000_30001_1,30000_30002_1,30000_30003_1</v>
      </c>
      <c r="O2205">
        <f>equip.xml!R2209</f>
        <v>0</v>
      </c>
    </row>
    <row r="2206" spans="1:15">
      <c r="A2206" s="14">
        <f>equip.xml!A2210</f>
        <v>50800090</v>
      </c>
      <c r="B2206" s="14">
        <f>equip.xml!B2210</f>
        <v>1</v>
      </c>
      <c r="C2206" s="14" t="str">
        <f>equip.xml!C2210</f>
        <v>梦境护手</v>
      </c>
      <c r="D2206" s="14" t="str">
        <f>equip.xml!D2210</f>
        <v>手套</v>
      </c>
      <c r="E2206" s="14">
        <f>equip.xml!E2210</f>
        <v>9</v>
      </c>
      <c r="F2206" s="14">
        <f>equip.xml!F2210</f>
        <v>5</v>
      </c>
      <c r="G2206" s="14">
        <f>equip.xml!G2210</f>
        <v>80</v>
      </c>
      <c r="H2206" s="14">
        <f>equip.xml!H2210</f>
        <v>0</v>
      </c>
      <c r="I2206" s="14">
        <f>equip.xml!J2210</f>
        <v>150</v>
      </c>
      <c r="J2206" s="14">
        <f>equip.xml!K2210</f>
        <v>1500</v>
      </c>
      <c r="K2206" s="14">
        <f>equip.xml!L2210</f>
        <v>42500</v>
      </c>
      <c r="L2206" s="14" t="str">
        <f>equip.xml!M2210</f>
        <v>108_5067_5067</v>
      </c>
      <c r="M2206" s="17" t="str">
        <f>equip.xml!Q2210</f>
        <v>equipment/10016.png</v>
      </c>
      <c r="N2206" s="16" t="str">
        <f>equip.xml!P2210</f>
        <v>10000_1002_70000,30000_30001_1,30000_30002_1,30000_30003_1</v>
      </c>
      <c r="O2206">
        <f>equip.xml!R2210</f>
        <v>0</v>
      </c>
    </row>
    <row r="2207" spans="1:15">
      <c r="A2207" s="14">
        <f>equip.xml!A2211</f>
        <v>50800100</v>
      </c>
      <c r="B2207" s="14">
        <f>equip.xml!B2211</f>
        <v>1</v>
      </c>
      <c r="C2207" s="14" t="str">
        <f>equip.xml!C2211</f>
        <v>亏蚀项链</v>
      </c>
      <c r="D2207" s="14" t="str">
        <f>equip.xml!D2211</f>
        <v>项链</v>
      </c>
      <c r="E2207" s="14">
        <f>equip.xml!E2211</f>
        <v>10</v>
      </c>
      <c r="F2207" s="14">
        <f>equip.xml!F2211</f>
        <v>5</v>
      </c>
      <c r="G2207" s="14">
        <f>equip.xml!G2211</f>
        <v>80</v>
      </c>
      <c r="H2207" s="14">
        <f>equip.xml!H2211</f>
        <v>0</v>
      </c>
      <c r="I2207" s="14">
        <f>equip.xml!J2211</f>
        <v>150</v>
      </c>
      <c r="J2207" s="14">
        <f>equip.xml!K2211</f>
        <v>1500</v>
      </c>
      <c r="K2207" s="14">
        <f>equip.xml!L2211</f>
        <v>42500</v>
      </c>
      <c r="L2207" s="14" t="str">
        <f>equip.xml!M2211</f>
        <v>107_3066_3066</v>
      </c>
      <c r="M2207" s="17" t="str">
        <f>equip.xml!Q2211</f>
        <v>equipment/12015.png</v>
      </c>
      <c r="N2207" s="16" t="str">
        <f>equip.xml!P2211</f>
        <v>10000_1002_70000,30000_30001_1,30000_30002_1,30000_30003_1</v>
      </c>
      <c r="O2207">
        <f>equip.xml!R2211</f>
        <v>0</v>
      </c>
    </row>
    <row r="2208" spans="1:15">
      <c r="A2208" s="14">
        <f>equip.xml!A2212</f>
        <v>50801050</v>
      </c>
      <c r="B2208" s="14">
        <f>equip.xml!B2212</f>
        <v>1</v>
      </c>
      <c r="C2208" s="14" t="str">
        <f>equip.xml!C2212</f>
        <v>死寂之剑</v>
      </c>
      <c r="D2208" s="14" t="str">
        <f>equip.xml!D2212</f>
        <v>主手武器</v>
      </c>
      <c r="E2208" s="14">
        <f>equip.xml!E2212</f>
        <v>5</v>
      </c>
      <c r="F2208" s="14">
        <f>equip.xml!F2212</f>
        <v>5</v>
      </c>
      <c r="G2208" s="14">
        <f>equip.xml!G2212</f>
        <v>80</v>
      </c>
      <c r="H2208" s="14" t="str">
        <f>equip.xml!H2212</f>
        <v>1,1001</v>
      </c>
      <c r="I2208" s="14">
        <f>equip.xml!J2212</f>
        <v>150</v>
      </c>
      <c r="J2208" s="14">
        <f>equip.xml!K2212</f>
        <v>1500</v>
      </c>
      <c r="K2208" s="14">
        <f>equip.xml!L2212</f>
        <v>42500</v>
      </c>
      <c r="L2208" s="14" t="str">
        <f>equip.xml!M2212</f>
        <v>103_4331_4331,104_8662_8662</v>
      </c>
      <c r="M2208" s="17" t="str">
        <f>equip.xml!Q2212</f>
        <v>equipment/1130.png</v>
      </c>
      <c r="N2208" s="16" t="str">
        <f>equip.xml!P2212</f>
        <v>10000_1002_70000,30000_30001_1,30000_30002_1,30000_30003_1</v>
      </c>
      <c r="O2208">
        <f>equip.xml!R2212</f>
        <v>0</v>
      </c>
    </row>
    <row r="2209" spans="1:15">
      <c r="A2209" s="14">
        <f>equip.xml!A2213</f>
        <v>50801051</v>
      </c>
      <c r="B2209" s="14">
        <f>equip.xml!B2213</f>
        <v>1</v>
      </c>
      <c r="C2209" s="14" t="str">
        <f>equip.xml!C2213</f>
        <v>千魂之刃</v>
      </c>
      <c r="D2209" s="14" t="str">
        <f>equip.xml!D2213</f>
        <v>主手武器</v>
      </c>
      <c r="E2209" s="14">
        <f>equip.xml!E2213</f>
        <v>5</v>
      </c>
      <c r="F2209" s="14">
        <f>equip.xml!F2213</f>
        <v>5</v>
      </c>
      <c r="G2209" s="14">
        <f>equip.xml!G2213</f>
        <v>80</v>
      </c>
      <c r="H2209" s="14" t="str">
        <f>equip.xml!H2213</f>
        <v>1,1001</v>
      </c>
      <c r="I2209" s="14">
        <f>equip.xml!J2213</f>
        <v>150</v>
      </c>
      <c r="J2209" s="14">
        <f>equip.xml!K2213</f>
        <v>1500</v>
      </c>
      <c r="K2209" s="14">
        <f>equip.xml!L2213</f>
        <v>45000</v>
      </c>
      <c r="L2209" s="14" t="str">
        <f>equip.xml!M2213</f>
        <v>103_4552_4552,104_9105_9105</v>
      </c>
      <c r="M2209" s="17" t="str">
        <f>equip.xml!Q2213</f>
        <v>equipment/1125.png</v>
      </c>
      <c r="N2209" s="16" t="str">
        <f>equip.xml!P2213</f>
        <v>10000_1002_70000,30000_30001_1,30000_30002_1,30000_30003_1</v>
      </c>
      <c r="O2209">
        <f>equip.xml!R2213</f>
        <v>0</v>
      </c>
    </row>
    <row r="2210" spans="1:15">
      <c r="A2210" s="14">
        <f>equip.xml!A2214</f>
        <v>50801060</v>
      </c>
      <c r="B2210" s="14">
        <f>equip.xml!B2214</f>
        <v>1</v>
      </c>
      <c r="C2210" s="14" t="str">
        <f>equip.xml!C2214</f>
        <v>折戟之盾</v>
      </c>
      <c r="D2210" s="14" t="str">
        <f>equip.xml!D2214</f>
        <v>副手武器</v>
      </c>
      <c r="E2210" s="14">
        <f>equip.xml!E2214</f>
        <v>6</v>
      </c>
      <c r="F2210" s="14">
        <f>equip.xml!F2214</f>
        <v>5</v>
      </c>
      <c r="G2210" s="14">
        <f>equip.xml!G2214</f>
        <v>80</v>
      </c>
      <c r="H2210" s="14" t="str">
        <f>equip.xml!H2214</f>
        <v>1,1001</v>
      </c>
      <c r="I2210" s="14">
        <f>equip.xml!J2214</f>
        <v>150</v>
      </c>
      <c r="J2210" s="14">
        <f>equip.xml!K2214</f>
        <v>1500</v>
      </c>
      <c r="K2210" s="14">
        <f>equip.xml!L2214</f>
        <v>42500</v>
      </c>
      <c r="L2210" s="14" t="str">
        <f>equip.xml!M2214</f>
        <v>105_4288_4288</v>
      </c>
      <c r="M2210" s="17" t="str">
        <f>equip.xml!Q2214</f>
        <v>equipment/2122.png</v>
      </c>
      <c r="N2210" s="16" t="str">
        <f>equip.xml!P2214</f>
        <v>10000_1002_70000,30000_30001_1,30000_30002_1,30000_30003_1</v>
      </c>
      <c r="O2210">
        <f>equip.xml!R2214</f>
        <v>0</v>
      </c>
    </row>
    <row r="2211" spans="1:15">
      <c r="A2211" s="14">
        <f>equip.xml!A2215</f>
        <v>50801061</v>
      </c>
      <c r="B2211" s="14">
        <f>equip.xml!B2215</f>
        <v>1</v>
      </c>
      <c r="C2211" s="14" t="str">
        <f>equip.xml!C2215</f>
        <v>古石壁垒</v>
      </c>
      <c r="D2211" s="14" t="str">
        <f>equip.xml!D2215</f>
        <v>副手武器</v>
      </c>
      <c r="E2211" s="14">
        <f>equip.xml!E2215</f>
        <v>6</v>
      </c>
      <c r="F2211" s="14">
        <f>equip.xml!F2215</f>
        <v>5</v>
      </c>
      <c r="G2211" s="14">
        <f>equip.xml!G2215</f>
        <v>80</v>
      </c>
      <c r="H2211" s="14" t="str">
        <f>equip.xml!H2215</f>
        <v>1,1001</v>
      </c>
      <c r="I2211" s="14">
        <f>equip.xml!J2215</f>
        <v>150</v>
      </c>
      <c r="J2211" s="14">
        <f>equip.xml!K2215</f>
        <v>1500</v>
      </c>
      <c r="K2211" s="14">
        <f>equip.xml!L2215</f>
        <v>45000</v>
      </c>
      <c r="L2211" s="14" t="str">
        <f>equip.xml!M2215</f>
        <v>105_4419_4419</v>
      </c>
      <c r="M2211" s="17" t="str">
        <f>equip.xml!Q2215</f>
        <v>equipment/2120.png</v>
      </c>
      <c r="N2211" s="16" t="str">
        <f>equip.xml!P2215</f>
        <v>10000_1002_70000,30000_30001_1,30000_30002_1,30000_30003_1</v>
      </c>
      <c r="O2211">
        <f>equip.xml!R2215</f>
        <v>0</v>
      </c>
    </row>
    <row r="2212" spans="1:15">
      <c r="A2212" s="14">
        <f>equip.xml!A2216</f>
        <v>50802050</v>
      </c>
      <c r="B2212" s="14">
        <f>equip.xml!B2216</f>
        <v>1</v>
      </c>
      <c r="C2212" s="14" t="str">
        <f>equip.xml!C2216</f>
        <v>龙骨弯弓</v>
      </c>
      <c r="D2212" s="14" t="str">
        <f>equip.xml!D2216</f>
        <v>主手武器</v>
      </c>
      <c r="E2212" s="14">
        <f>equip.xml!E2216</f>
        <v>5</v>
      </c>
      <c r="F2212" s="14">
        <f>equip.xml!F2216</f>
        <v>5</v>
      </c>
      <c r="G2212" s="14">
        <f>equip.xml!G2216</f>
        <v>80</v>
      </c>
      <c r="H2212" s="14" t="str">
        <f>equip.xml!H2216</f>
        <v>2,1002</v>
      </c>
      <c r="I2212" s="14">
        <f>equip.xml!J2216</f>
        <v>150</v>
      </c>
      <c r="J2212" s="14">
        <f>equip.xml!K2216</f>
        <v>1500</v>
      </c>
      <c r="K2212" s="14">
        <f>equip.xml!L2216</f>
        <v>42500</v>
      </c>
      <c r="L2212" s="14" t="str">
        <f>equip.xml!M2216</f>
        <v>103_4331_4331,104_8662_8662</v>
      </c>
      <c r="M2212" s="17" t="str">
        <f>equip.xml!Q2216</f>
        <v>equipment/1227.png</v>
      </c>
      <c r="N2212" s="16" t="str">
        <f>equip.xml!P2216</f>
        <v>10000_1002_70000,30000_30001_1,30000_30002_1,30000_30003_1</v>
      </c>
      <c r="O2212">
        <f>equip.xml!R2216</f>
        <v>0</v>
      </c>
    </row>
    <row r="2213" spans="1:15">
      <c r="A2213" s="14">
        <f>equip.xml!A2217</f>
        <v>50802051</v>
      </c>
      <c r="B2213" s="14">
        <f>equip.xml!B2217</f>
        <v>1</v>
      </c>
      <c r="C2213" s="14" t="str">
        <f>equip.xml!C2217</f>
        <v>川流长弓</v>
      </c>
      <c r="D2213" s="14" t="str">
        <f>equip.xml!D2217</f>
        <v>主手武器</v>
      </c>
      <c r="E2213" s="14">
        <f>equip.xml!E2217</f>
        <v>5</v>
      </c>
      <c r="F2213" s="14">
        <f>equip.xml!F2217</f>
        <v>5</v>
      </c>
      <c r="G2213" s="14">
        <f>equip.xml!G2217</f>
        <v>80</v>
      </c>
      <c r="H2213" s="14" t="str">
        <f>equip.xml!H2217</f>
        <v>2,1002</v>
      </c>
      <c r="I2213" s="14">
        <f>equip.xml!J2217</f>
        <v>150</v>
      </c>
      <c r="J2213" s="14">
        <f>equip.xml!K2217</f>
        <v>1500</v>
      </c>
      <c r="K2213" s="14">
        <f>equip.xml!L2217</f>
        <v>45000</v>
      </c>
      <c r="L2213" s="14" t="str">
        <f>equip.xml!M2217</f>
        <v>103_4552_4552,104_9105_9105</v>
      </c>
      <c r="M2213" s="17" t="str">
        <f>equip.xml!Q2217</f>
        <v>equipment/1229.png</v>
      </c>
      <c r="N2213" s="16" t="str">
        <f>equip.xml!P2217</f>
        <v>10000_1002_70000,30000_30001_1,30000_30002_1,30000_30003_1</v>
      </c>
      <c r="O2213">
        <f>equip.xml!R2217</f>
        <v>0</v>
      </c>
    </row>
    <row r="2214" spans="1:15">
      <c r="A2214" s="14">
        <f>equip.xml!A2218</f>
        <v>50802060</v>
      </c>
      <c r="B2214" s="14">
        <f>equip.xml!B2218</f>
        <v>1</v>
      </c>
      <c r="C2214" s="14" t="str">
        <f>equip.xml!C2218</f>
        <v>荒原箭袋</v>
      </c>
      <c r="D2214" s="14" t="str">
        <f>equip.xml!D2218</f>
        <v>副手武器</v>
      </c>
      <c r="E2214" s="14">
        <f>equip.xml!E2218</f>
        <v>6</v>
      </c>
      <c r="F2214" s="14">
        <f>equip.xml!F2218</f>
        <v>5</v>
      </c>
      <c r="G2214" s="14">
        <f>equip.xml!G2218</f>
        <v>80</v>
      </c>
      <c r="H2214" s="14" t="str">
        <f>equip.xml!H2218</f>
        <v>2,1002</v>
      </c>
      <c r="I2214" s="14">
        <f>equip.xml!J2218</f>
        <v>150</v>
      </c>
      <c r="J2214" s="14">
        <f>equip.xml!K2218</f>
        <v>1500</v>
      </c>
      <c r="K2214" s="14">
        <f>equip.xml!L2218</f>
        <v>42500</v>
      </c>
      <c r="L2214" s="14" t="str">
        <f>equip.xml!M2218</f>
        <v>108_4288_4288</v>
      </c>
      <c r="M2214" s="17" t="str">
        <f>equip.xml!Q2218</f>
        <v>equipment/2222.png</v>
      </c>
      <c r="N2214" s="16" t="str">
        <f>equip.xml!P2218</f>
        <v>10000_1002_70000,30000_30001_1,30000_30002_1,30000_30003_1</v>
      </c>
      <c r="O2214">
        <f>equip.xml!R2218</f>
        <v>0</v>
      </c>
    </row>
    <row r="2215" spans="1:15">
      <c r="A2215" s="14">
        <f>equip.xml!A2219</f>
        <v>50802061</v>
      </c>
      <c r="B2215" s="14">
        <f>equip.xml!B2219</f>
        <v>1</v>
      </c>
      <c r="C2215" s="14" t="str">
        <f>equip.xml!C2219</f>
        <v>追逝箭袋</v>
      </c>
      <c r="D2215" s="14" t="str">
        <f>equip.xml!D2219</f>
        <v>副手武器</v>
      </c>
      <c r="E2215" s="14">
        <f>equip.xml!E2219</f>
        <v>6</v>
      </c>
      <c r="F2215" s="14">
        <f>equip.xml!F2219</f>
        <v>5</v>
      </c>
      <c r="G2215" s="14">
        <f>equip.xml!G2219</f>
        <v>80</v>
      </c>
      <c r="H2215" s="14" t="str">
        <f>equip.xml!H2219</f>
        <v>2,1002</v>
      </c>
      <c r="I2215" s="14">
        <f>equip.xml!J2219</f>
        <v>150</v>
      </c>
      <c r="J2215" s="14">
        <f>equip.xml!K2219</f>
        <v>1500</v>
      </c>
      <c r="K2215" s="14">
        <f>equip.xml!L2219</f>
        <v>45000</v>
      </c>
      <c r="L2215" s="14" t="str">
        <f>equip.xml!M2219</f>
        <v>108_4419_4419</v>
      </c>
      <c r="M2215" s="17" t="str">
        <f>equip.xml!Q2219</f>
        <v>equipment/2223.png</v>
      </c>
      <c r="N2215" s="16" t="str">
        <f>equip.xml!P2219</f>
        <v>10000_1002_70000,30000_30001_1,30000_30002_1,30000_30003_1</v>
      </c>
      <c r="O2215">
        <f>equip.xml!R2219</f>
        <v>0</v>
      </c>
    </row>
    <row r="2216" spans="1:15">
      <c r="A2216" s="14">
        <f>equip.xml!A2220</f>
        <v>50803050</v>
      </c>
      <c r="B2216" s="14">
        <f>equip.xml!B2220</f>
        <v>1</v>
      </c>
      <c r="C2216" s="14" t="str">
        <f>equip.xml!C2220</f>
        <v>显像符杖</v>
      </c>
      <c r="D2216" s="14" t="str">
        <f>equip.xml!D2220</f>
        <v>主手武器</v>
      </c>
      <c r="E2216" s="14">
        <f>equip.xml!E2220</f>
        <v>5</v>
      </c>
      <c r="F2216" s="14">
        <f>equip.xml!F2220</f>
        <v>5</v>
      </c>
      <c r="G2216" s="14">
        <f>equip.xml!G2220</f>
        <v>80</v>
      </c>
      <c r="H2216" s="14" t="str">
        <f>equip.xml!H2220</f>
        <v>3,1003</v>
      </c>
      <c r="I2216" s="14">
        <f>equip.xml!J2220</f>
        <v>150</v>
      </c>
      <c r="J2216" s="14">
        <f>equip.xml!K2220</f>
        <v>1500</v>
      </c>
      <c r="K2216" s="14">
        <f>equip.xml!L2220</f>
        <v>42500</v>
      </c>
      <c r="L2216" s="14" t="str">
        <f>equip.xml!M2220</f>
        <v>103_4331_4331,104_8662_8662</v>
      </c>
      <c r="M2216" s="17" t="str">
        <f>equip.xml!Q2220</f>
        <v>equipment/1327.png</v>
      </c>
      <c r="N2216" s="16" t="str">
        <f>equip.xml!P2220</f>
        <v>10000_1002_70000,30000_30001_1,30000_30002_1,30000_30003_1</v>
      </c>
      <c r="O2216">
        <f>equip.xml!R2220</f>
        <v>0</v>
      </c>
    </row>
    <row r="2217" spans="1:15">
      <c r="A2217" s="14">
        <f>equip.xml!A2221</f>
        <v>50803051</v>
      </c>
      <c r="B2217" s="14">
        <f>equip.xml!B2221</f>
        <v>1</v>
      </c>
      <c r="C2217" s="14" t="str">
        <f>equip.xml!C2221</f>
        <v>幻灭之杖</v>
      </c>
      <c r="D2217" s="14" t="str">
        <f>equip.xml!D2221</f>
        <v>主手武器</v>
      </c>
      <c r="E2217" s="14">
        <f>equip.xml!E2221</f>
        <v>5</v>
      </c>
      <c r="F2217" s="14">
        <f>equip.xml!F2221</f>
        <v>5</v>
      </c>
      <c r="G2217" s="14">
        <f>equip.xml!G2221</f>
        <v>80</v>
      </c>
      <c r="H2217" s="14" t="str">
        <f>equip.xml!H2221</f>
        <v>3,1003</v>
      </c>
      <c r="I2217" s="14">
        <f>equip.xml!J2221</f>
        <v>150</v>
      </c>
      <c r="J2217" s="14">
        <f>equip.xml!K2221</f>
        <v>1500</v>
      </c>
      <c r="K2217" s="14">
        <f>equip.xml!L2221</f>
        <v>45000</v>
      </c>
      <c r="L2217" s="14" t="str">
        <f>equip.xml!M2221</f>
        <v>103_4552_4552,104_9105_9105</v>
      </c>
      <c r="M2217" s="17" t="str">
        <f>equip.xml!Q2221</f>
        <v>equipment/1329.png</v>
      </c>
      <c r="N2217" s="16" t="str">
        <f>equip.xml!P2221</f>
        <v>10000_1002_70000,30000_30001_1,30000_30002_1,30000_30003_1</v>
      </c>
      <c r="O2217">
        <f>equip.xml!R2221</f>
        <v>0</v>
      </c>
    </row>
    <row r="2218" spans="1:15">
      <c r="A2218" s="14">
        <f>equip.xml!A2222</f>
        <v>50803060</v>
      </c>
      <c r="B2218" s="14">
        <f>equip.xml!B2222</f>
        <v>1</v>
      </c>
      <c r="C2218" s="14" t="str">
        <f>equip.xml!C2222</f>
        <v>王国古书</v>
      </c>
      <c r="D2218" s="14" t="str">
        <f>equip.xml!D2222</f>
        <v>副手武器</v>
      </c>
      <c r="E2218" s="14">
        <f>equip.xml!E2222</f>
        <v>6</v>
      </c>
      <c r="F2218" s="14">
        <f>equip.xml!F2222</f>
        <v>5</v>
      </c>
      <c r="G2218" s="14">
        <f>equip.xml!G2222</f>
        <v>80</v>
      </c>
      <c r="H2218" s="14" t="str">
        <f>equip.xml!H2222</f>
        <v>3,1003</v>
      </c>
      <c r="I2218" s="14">
        <f>equip.xml!J2222</f>
        <v>150</v>
      </c>
      <c r="J2218" s="14">
        <f>equip.xml!K2222</f>
        <v>1500</v>
      </c>
      <c r="K2218" s="14">
        <f>equip.xml!L2222</f>
        <v>42500</v>
      </c>
      <c r="L2218" s="14" t="str">
        <f>equip.xml!M2222</f>
        <v>102_3610_3610</v>
      </c>
      <c r="M2218" s="17" t="str">
        <f>equip.xml!Q2222</f>
        <v>equipment/2320.png</v>
      </c>
      <c r="N2218" s="16" t="str">
        <f>equip.xml!P2222</f>
        <v>10000_1002_70000,30000_30001_1,30000_30002_1,30000_30003_1</v>
      </c>
      <c r="O2218">
        <f>equip.xml!R2222</f>
        <v>0</v>
      </c>
    </row>
    <row r="2219" spans="1:15">
      <c r="A2219" s="14">
        <f>equip.xml!A2223</f>
        <v>50803061</v>
      </c>
      <c r="B2219" s="14">
        <f>equip.xml!B2223</f>
        <v>1</v>
      </c>
      <c r="C2219" s="14" t="str">
        <f>equip.xml!C2223</f>
        <v>上古纪事</v>
      </c>
      <c r="D2219" s="14" t="str">
        <f>equip.xml!D2223</f>
        <v>副手武器</v>
      </c>
      <c r="E2219" s="14">
        <f>equip.xml!E2223</f>
        <v>6</v>
      </c>
      <c r="F2219" s="14">
        <f>equip.xml!F2223</f>
        <v>5</v>
      </c>
      <c r="G2219" s="14">
        <f>equip.xml!G2223</f>
        <v>80</v>
      </c>
      <c r="H2219" s="14" t="str">
        <f>equip.xml!H2223</f>
        <v>3,1003</v>
      </c>
      <c r="I2219" s="14">
        <f>equip.xml!J2223</f>
        <v>150</v>
      </c>
      <c r="J2219" s="14">
        <f>equip.xml!K2223</f>
        <v>1500</v>
      </c>
      <c r="K2219" s="14">
        <f>equip.xml!L2223</f>
        <v>45000</v>
      </c>
      <c r="L2219" s="14" t="str">
        <f>equip.xml!M2223</f>
        <v>102_3680_3680</v>
      </c>
      <c r="M2219" s="17" t="str">
        <f>equip.xml!Q2223</f>
        <v>equipment/2322.png</v>
      </c>
      <c r="N2219" s="16" t="str">
        <f>equip.xml!P2223</f>
        <v>10000_1002_70000,30000_30001_1,30000_30002_1,30000_30003_1</v>
      </c>
      <c r="O2219">
        <f>equip.xml!R2223</f>
        <v>0</v>
      </c>
    </row>
    <row r="2220" spans="1:15">
      <c r="A2220" s="14">
        <f>equip.xml!A2224</f>
        <v>50800040</v>
      </c>
      <c r="B2220" s="14">
        <f>equip.xml!B2224</f>
        <v>1</v>
      </c>
      <c r="C2220" s="14" t="str">
        <f>equip.xml!C2224</f>
        <v>复仇战甲</v>
      </c>
      <c r="D2220" s="14" t="str">
        <f>equip.xml!D2224</f>
        <v>胸甲</v>
      </c>
      <c r="E2220" s="14">
        <f>equip.xml!E2224</f>
        <v>4</v>
      </c>
      <c r="F2220" s="14">
        <f>equip.xml!F2224</f>
        <v>5</v>
      </c>
      <c r="G2220" s="14">
        <f>equip.xml!G2224</f>
        <v>80</v>
      </c>
      <c r="H2220" s="14">
        <f>equip.xml!H2224</f>
        <v>0</v>
      </c>
      <c r="I2220" s="14">
        <f>equip.xml!J2224</f>
        <v>150</v>
      </c>
      <c r="J2220" s="14">
        <f>equip.xml!K2224</f>
        <v>1500</v>
      </c>
      <c r="K2220" s="14">
        <f>equip.xml!L2224</f>
        <v>42500</v>
      </c>
      <c r="L2220" s="14" t="str">
        <f>equip.xml!M2224</f>
        <v>105_2573_2573</v>
      </c>
      <c r="M2220" s="17" t="str">
        <f>equip.xml!Q2224</f>
        <v>equipment/5021.png</v>
      </c>
      <c r="N2220" s="16" t="str">
        <f>equip.xml!P2224</f>
        <v>10000_1002_70000,30000_30001_1,30000_30002_1,30000_30003_1</v>
      </c>
      <c r="O2220">
        <f>equip.xml!R2224</f>
        <v>0</v>
      </c>
    </row>
    <row r="2221" spans="1:15">
      <c r="A2221" s="14">
        <f>equip.xml!A2225</f>
        <v>50800041</v>
      </c>
      <c r="B2221" s="14">
        <f>equip.xml!B2225</f>
        <v>1</v>
      </c>
      <c r="C2221" s="14" t="str">
        <f>equip.xml!C2225</f>
        <v>预兆胸甲</v>
      </c>
      <c r="D2221" s="14" t="str">
        <f>equip.xml!D2225</f>
        <v>胸甲</v>
      </c>
      <c r="E2221" s="14">
        <f>equip.xml!E2225</f>
        <v>4</v>
      </c>
      <c r="F2221" s="14">
        <f>equip.xml!F2225</f>
        <v>5</v>
      </c>
      <c r="G2221" s="14">
        <f>equip.xml!G2225</f>
        <v>80</v>
      </c>
      <c r="H2221" s="14">
        <f>equip.xml!H2225</f>
        <v>0</v>
      </c>
      <c r="I2221" s="14">
        <f>equip.xml!J2225</f>
        <v>150</v>
      </c>
      <c r="J2221" s="14">
        <f>equip.xml!K2225</f>
        <v>1500</v>
      </c>
      <c r="K2221" s="14">
        <f>equip.xml!L2225</f>
        <v>45000</v>
      </c>
      <c r="L2221" s="14" t="str">
        <f>equip.xml!M2225</f>
        <v>105_2739_2739</v>
      </c>
      <c r="M2221" s="17" t="str">
        <f>equip.xml!Q2225</f>
        <v>equipment/5022.png</v>
      </c>
      <c r="N2221" s="16" t="str">
        <f>equip.xml!P2225</f>
        <v>10000_1002_70000,30000_30001_1,30000_30002_1,30000_30003_1</v>
      </c>
      <c r="O2221">
        <f>equip.xml!R2225</f>
        <v>0</v>
      </c>
    </row>
    <row r="2222" spans="1:15">
      <c r="A2222" s="14">
        <f>equip.xml!A2226</f>
        <v>50800070</v>
      </c>
      <c r="B2222" s="14">
        <f>equip.xml!B2226</f>
        <v>1</v>
      </c>
      <c r="C2222" s="14" t="str">
        <f>equip.xml!C2226</f>
        <v>迷失护腿</v>
      </c>
      <c r="D2222" s="14" t="str">
        <f>equip.xml!D2226</f>
        <v>护腿</v>
      </c>
      <c r="E2222" s="14">
        <f>equip.xml!E2226</f>
        <v>7</v>
      </c>
      <c r="F2222" s="14">
        <f>equip.xml!F2226</f>
        <v>5</v>
      </c>
      <c r="G2222" s="14">
        <f>equip.xml!G2226</f>
        <v>80</v>
      </c>
      <c r="H2222" s="14">
        <f>equip.xml!H2226</f>
        <v>0</v>
      </c>
      <c r="I2222" s="14">
        <f>equip.xml!J2226</f>
        <v>150</v>
      </c>
      <c r="J2222" s="14">
        <f>equip.xml!K2226</f>
        <v>1500</v>
      </c>
      <c r="K2222" s="14">
        <f>equip.xml!L2226</f>
        <v>42500</v>
      </c>
      <c r="L2222" s="14" t="str">
        <f>equip.xml!M2226</f>
        <v>105_2573_2573</v>
      </c>
      <c r="M2222" s="17" t="str">
        <f>equip.xml!Q2226</f>
        <v>equipment/7022.png</v>
      </c>
      <c r="N2222" s="16" t="str">
        <f>equip.xml!P2226</f>
        <v>10000_1002_70000,30000_30001_1,30000_30002_1,30000_30003_1</v>
      </c>
      <c r="O2222">
        <f>equip.xml!R2226</f>
        <v>0</v>
      </c>
    </row>
    <row r="2223" spans="1:15">
      <c r="A2223" s="14">
        <f>equip.xml!A2227</f>
        <v>50800071</v>
      </c>
      <c r="B2223" s="14">
        <f>equip.xml!B2227</f>
        <v>1</v>
      </c>
      <c r="C2223" s="14" t="str">
        <f>equip.xml!C2227</f>
        <v>幽影腿甲</v>
      </c>
      <c r="D2223" s="14" t="str">
        <f>equip.xml!D2227</f>
        <v>护腿</v>
      </c>
      <c r="E2223" s="14">
        <f>equip.xml!E2227</f>
        <v>7</v>
      </c>
      <c r="F2223" s="14">
        <f>equip.xml!F2227</f>
        <v>5</v>
      </c>
      <c r="G2223" s="14">
        <f>equip.xml!G2227</f>
        <v>80</v>
      </c>
      <c r="H2223" s="14">
        <f>equip.xml!H2227</f>
        <v>0</v>
      </c>
      <c r="I2223" s="14">
        <f>equip.xml!J2227</f>
        <v>150</v>
      </c>
      <c r="J2223" s="14">
        <f>equip.xml!K2227</f>
        <v>1500</v>
      </c>
      <c r="K2223" s="14">
        <f>equip.xml!L2227</f>
        <v>45000</v>
      </c>
      <c r="L2223" s="14" t="str">
        <f>equip.xml!M2227</f>
        <v>105_2739_2739</v>
      </c>
      <c r="M2223" s="17" t="str">
        <f>equip.xml!Q2227</f>
        <v>equipment/7021.png</v>
      </c>
      <c r="N2223" s="16" t="str">
        <f>equip.xml!P2227</f>
        <v>10000_1002_70000,30000_30001_1,30000_30002_1,30000_30003_1</v>
      </c>
      <c r="O2223">
        <f>equip.xml!R2227</f>
        <v>0</v>
      </c>
    </row>
    <row r="2224" spans="1:15">
      <c r="A2224" s="14">
        <f>equip.xml!A2228</f>
        <v>50850010</v>
      </c>
      <c r="B2224" s="14">
        <f>equip.xml!B2228</f>
        <v>1</v>
      </c>
      <c r="C2224" s="14" t="str">
        <f>equip.xml!C2228</f>
        <v>低语之冠</v>
      </c>
      <c r="D2224" s="14" t="str">
        <f>equip.xml!D2228</f>
        <v>头盔</v>
      </c>
      <c r="E2224" s="14">
        <f>equip.xml!E2228</f>
        <v>1</v>
      </c>
      <c r="F2224" s="14">
        <f>equip.xml!F2228</f>
        <v>5</v>
      </c>
      <c r="G2224" s="14">
        <f>equip.xml!G2228</f>
        <v>85</v>
      </c>
      <c r="H2224" s="14">
        <f>equip.xml!H2228</f>
        <v>0</v>
      </c>
      <c r="I2224" s="14">
        <f>equip.xml!J2228</f>
        <v>150</v>
      </c>
      <c r="J2224" s="14">
        <f>equip.xml!K2228</f>
        <v>1500</v>
      </c>
      <c r="K2224" s="14">
        <f>equip.xml!L2228</f>
        <v>45000</v>
      </c>
      <c r="L2224" s="14" t="str">
        <f>equip.xml!M2228</f>
        <v>106_3672_3672</v>
      </c>
      <c r="M2224" s="17" t="str">
        <f>equip.xml!Q2228</f>
        <v>equipment/3012.png</v>
      </c>
      <c r="N2224" s="16" t="str">
        <f>equip.xml!P2228</f>
        <v>10000_1002_70000,30000_30001_1,30000_30002_1,30000_30003_1</v>
      </c>
      <c r="O2224">
        <f>equip.xml!R2228</f>
        <v>0</v>
      </c>
    </row>
    <row r="2225" spans="1:15">
      <c r="A2225" s="14">
        <f>equip.xml!A2229</f>
        <v>50850020</v>
      </c>
      <c r="B2225" s="14">
        <f>equip.xml!B2229</f>
        <v>1</v>
      </c>
      <c r="C2225" s="14" t="str">
        <f>equip.xml!C2229</f>
        <v>神迹指环</v>
      </c>
      <c r="D2225" s="14" t="str">
        <f>equip.xml!D2229</f>
        <v>戒指</v>
      </c>
      <c r="E2225" s="14">
        <f>equip.xml!E2229</f>
        <v>2</v>
      </c>
      <c r="F2225" s="14">
        <f>equip.xml!F2229</f>
        <v>5</v>
      </c>
      <c r="G2225" s="14">
        <f>equip.xml!G2229</f>
        <v>85</v>
      </c>
      <c r="H2225" s="14">
        <f>equip.xml!H2229</f>
        <v>0</v>
      </c>
      <c r="I2225" s="14">
        <f>equip.xml!J2229</f>
        <v>150</v>
      </c>
      <c r="J2225" s="14">
        <f>equip.xml!K2229</f>
        <v>1500</v>
      </c>
      <c r="K2225" s="14">
        <f>equip.xml!L2229</f>
        <v>45000</v>
      </c>
      <c r="L2225" s="14" t="str">
        <f>equip.xml!M2229</f>
        <v>102_2020_2020</v>
      </c>
      <c r="M2225" s="17" t="str">
        <f>equip.xml!Q2229</f>
        <v>equipment/14016.png</v>
      </c>
      <c r="N2225" s="16" t="str">
        <f>equip.xml!P2229</f>
        <v>10000_1002_70000,30000_30001_1,30000_30002_1,30000_30003_1</v>
      </c>
      <c r="O2225">
        <f>equip.xml!R2229</f>
        <v>0</v>
      </c>
    </row>
    <row r="2226" spans="1:15">
      <c r="A2226" s="14">
        <f>equip.xml!A2230</f>
        <v>50850030</v>
      </c>
      <c r="B2226" s="14">
        <f>equip.xml!B2230</f>
        <v>1</v>
      </c>
      <c r="C2226" s="14" t="str">
        <f>equip.xml!C2230</f>
        <v>威严腰带</v>
      </c>
      <c r="D2226" s="14" t="str">
        <f>equip.xml!D2230</f>
        <v>腰带</v>
      </c>
      <c r="E2226" s="14">
        <f>equip.xml!E2230</f>
        <v>3</v>
      </c>
      <c r="F2226" s="14">
        <f>equip.xml!F2230</f>
        <v>5</v>
      </c>
      <c r="G2226" s="14">
        <f>equip.xml!G2230</f>
        <v>85</v>
      </c>
      <c r="H2226" s="14">
        <f>equip.xml!H2230</f>
        <v>0</v>
      </c>
      <c r="I2226" s="14">
        <f>equip.xml!J2230</f>
        <v>150</v>
      </c>
      <c r="J2226" s="14">
        <f>equip.xml!K2230</f>
        <v>1500</v>
      </c>
      <c r="K2226" s="14">
        <f>equip.xml!L2230</f>
        <v>45000</v>
      </c>
      <c r="L2226" s="14" t="str">
        <f>equip.xml!M2230</f>
        <v>101_27040_27040</v>
      </c>
      <c r="M2226" s="17" t="str">
        <f>equip.xml!Q2230</f>
        <v>equipment/6017.png</v>
      </c>
      <c r="N2226" s="16" t="str">
        <f>equip.xml!P2230</f>
        <v>10000_1002_70000,30000_30001_1,30000_30002_1,30000_30003_1</v>
      </c>
      <c r="O2226">
        <f>equip.xml!R2230</f>
        <v>0</v>
      </c>
    </row>
    <row r="2227" spans="1:15">
      <c r="A2227" s="14">
        <f>equip.xml!A2231</f>
        <v>50850080</v>
      </c>
      <c r="B2227" s="14">
        <f>equip.xml!B2231</f>
        <v>1</v>
      </c>
      <c r="C2227" s="14" t="str">
        <f>equip.xml!C2231</f>
        <v>统治长靴</v>
      </c>
      <c r="D2227" s="14" t="str">
        <f>equip.xml!D2231</f>
        <v>鞋子</v>
      </c>
      <c r="E2227" s="14">
        <f>equip.xml!E2231</f>
        <v>8</v>
      </c>
      <c r="F2227" s="14">
        <f>equip.xml!F2231</f>
        <v>5</v>
      </c>
      <c r="G2227" s="14">
        <f>equip.xml!G2231</f>
        <v>85</v>
      </c>
      <c r="H2227" s="14">
        <f>equip.xml!H2231</f>
        <v>0</v>
      </c>
      <c r="I2227" s="14">
        <f>equip.xml!J2231</f>
        <v>150</v>
      </c>
      <c r="J2227" s="14">
        <f>equip.xml!K2231</f>
        <v>1500</v>
      </c>
      <c r="K2227" s="14">
        <f>equip.xml!L2231</f>
        <v>45000</v>
      </c>
      <c r="L2227" s="14" t="str">
        <f>equip.xml!M2231</f>
        <v>110_661_661</v>
      </c>
      <c r="M2227" s="17" t="str">
        <f>equip.xml!Q2231</f>
        <v>equipment/8016.png</v>
      </c>
      <c r="N2227" s="16" t="str">
        <f>equip.xml!P2231</f>
        <v>10000_1002_70000,30000_30001_1,30000_30002_1,30000_30003_1</v>
      </c>
      <c r="O2227">
        <f>equip.xml!R2231</f>
        <v>0</v>
      </c>
    </row>
    <row r="2228" spans="1:15">
      <c r="A2228" s="14">
        <f>equip.xml!A2232</f>
        <v>50850090</v>
      </c>
      <c r="B2228" s="14">
        <f>equip.xml!B2232</f>
        <v>1</v>
      </c>
      <c r="C2228" s="14" t="str">
        <f>equip.xml!C2232</f>
        <v>誓烈手甲</v>
      </c>
      <c r="D2228" s="14" t="str">
        <f>equip.xml!D2232</f>
        <v>手套</v>
      </c>
      <c r="E2228" s="14">
        <f>equip.xml!E2232</f>
        <v>9</v>
      </c>
      <c r="F2228" s="14">
        <f>equip.xml!F2232</f>
        <v>5</v>
      </c>
      <c r="G2228" s="14">
        <f>equip.xml!G2232</f>
        <v>85</v>
      </c>
      <c r="H2228" s="14">
        <f>equip.xml!H2232</f>
        <v>0</v>
      </c>
      <c r="I2228" s="14">
        <f>equip.xml!J2232</f>
        <v>150</v>
      </c>
      <c r="J2228" s="14">
        <f>equip.xml!K2232</f>
        <v>1500</v>
      </c>
      <c r="K2228" s="14">
        <f>equip.xml!L2232</f>
        <v>45000</v>
      </c>
      <c r="L2228" s="14" t="str">
        <f>equip.xml!M2232</f>
        <v>108_5495_5495</v>
      </c>
      <c r="M2228" s="17" t="str">
        <f>equip.xml!Q2232</f>
        <v>equipment/10014.png</v>
      </c>
      <c r="N2228" s="16" t="str">
        <f>equip.xml!P2232</f>
        <v>10000_1002_70000,30000_30001_1,30000_30002_1,30000_30003_1</v>
      </c>
      <c r="O2228">
        <f>equip.xml!R2232</f>
        <v>0</v>
      </c>
    </row>
    <row r="2229" spans="1:15">
      <c r="A2229" s="14">
        <f>equip.xml!A2233</f>
        <v>50850100</v>
      </c>
      <c r="B2229" s="14">
        <f>equip.xml!B2233</f>
        <v>1</v>
      </c>
      <c r="C2229" s="14" t="str">
        <f>equip.xml!C2233</f>
        <v>漂泊者之链</v>
      </c>
      <c r="D2229" s="14" t="str">
        <f>equip.xml!D2233</f>
        <v>项链</v>
      </c>
      <c r="E2229" s="14">
        <f>equip.xml!E2233</f>
        <v>10</v>
      </c>
      <c r="F2229" s="14">
        <f>equip.xml!F2233</f>
        <v>5</v>
      </c>
      <c r="G2229" s="14">
        <f>equip.xml!G2233</f>
        <v>85</v>
      </c>
      <c r="H2229" s="14">
        <f>equip.xml!H2233</f>
        <v>0</v>
      </c>
      <c r="I2229" s="14">
        <f>equip.xml!J2233</f>
        <v>150</v>
      </c>
      <c r="J2229" s="14">
        <f>equip.xml!K2233</f>
        <v>1500</v>
      </c>
      <c r="K2229" s="14">
        <f>equip.xml!L2233</f>
        <v>45000</v>
      </c>
      <c r="L2229" s="14" t="str">
        <f>equip.xml!M2233</f>
        <v>107_3672_3672</v>
      </c>
      <c r="M2229" s="17" t="str">
        <f>equip.xml!Q2233</f>
        <v>equipment/12016.png</v>
      </c>
      <c r="N2229" s="16" t="str">
        <f>equip.xml!P2233</f>
        <v>10000_1002_70000,30000_30001_1,30000_30002_1,30000_30003_1</v>
      </c>
      <c r="O2229">
        <f>equip.xml!R2233</f>
        <v>0</v>
      </c>
    </row>
    <row r="2230" spans="1:15">
      <c r="A2230" s="14">
        <f>equip.xml!A2234</f>
        <v>50851050</v>
      </c>
      <c r="B2230" s="14">
        <f>equip.xml!B2234</f>
        <v>1</v>
      </c>
      <c r="C2230" s="14" t="str">
        <f>equip.xml!C2234</f>
        <v>谦逊之剑</v>
      </c>
      <c r="D2230" s="14" t="str">
        <f>equip.xml!D2234</f>
        <v>主手武器</v>
      </c>
      <c r="E2230" s="14">
        <f>equip.xml!E2234</f>
        <v>5</v>
      </c>
      <c r="F2230" s="14">
        <f>equip.xml!F2234</f>
        <v>5</v>
      </c>
      <c r="G2230" s="14">
        <f>equip.xml!G2234</f>
        <v>85</v>
      </c>
      <c r="H2230" s="14" t="str">
        <f>equip.xml!H2234</f>
        <v>1,1001</v>
      </c>
      <c r="I2230" s="14">
        <f>equip.xml!J2234</f>
        <v>150</v>
      </c>
      <c r="J2230" s="14">
        <f>equip.xml!K2234</f>
        <v>1500</v>
      </c>
      <c r="K2230" s="14">
        <f>equip.xml!L2234</f>
        <v>45000</v>
      </c>
      <c r="L2230" s="14" t="str">
        <f>equip.xml!M2234</f>
        <v>103_4884_4884,104_9769_9769</v>
      </c>
      <c r="M2230" s="17" t="str">
        <f>equip.xml!Q2234</f>
        <v>equipment/1128.png</v>
      </c>
      <c r="N2230" s="16" t="str">
        <f>equip.xml!P2234</f>
        <v>10000_1002_70000,30000_30001_1,30000_30002_1,30000_30003_1</v>
      </c>
      <c r="O2230">
        <f>equip.xml!R2234</f>
        <v>0</v>
      </c>
    </row>
    <row r="2231" spans="1:15">
      <c r="A2231" s="14">
        <f>equip.xml!A2235</f>
        <v>50851051</v>
      </c>
      <c r="B2231" s="14">
        <f>equip.xml!B2235</f>
        <v>0</v>
      </c>
      <c r="C2231" s="14" t="str">
        <f>equip.xml!C2235</f>
        <v>破壁之刃</v>
      </c>
      <c r="D2231" s="14" t="str">
        <f>equip.xml!D2235</f>
        <v>主手武器</v>
      </c>
      <c r="E2231" s="14">
        <f>equip.xml!E2235</f>
        <v>5</v>
      </c>
      <c r="F2231" s="14">
        <f>equip.xml!F2235</f>
        <v>5</v>
      </c>
      <c r="G2231" s="14">
        <f>equip.xml!G2235</f>
        <v>85</v>
      </c>
      <c r="H2231" s="14" t="str">
        <f>equip.xml!H2235</f>
        <v>1,1001</v>
      </c>
      <c r="I2231" s="14">
        <f>equip.xml!J2235</f>
        <v>150</v>
      </c>
      <c r="J2231" s="14">
        <f>equip.xml!K2235</f>
        <v>1500</v>
      </c>
      <c r="K2231" s="14">
        <f>equip.xml!L2235</f>
        <v>47500</v>
      </c>
      <c r="L2231" s="14" t="str">
        <f>equip.xml!M2235</f>
        <v>103_5119_5119,104_10238_10238</v>
      </c>
      <c r="M2231" s="17" t="str">
        <f>equip.xml!Q2235</f>
        <v>equipment/1129.png</v>
      </c>
      <c r="N2231" s="16" t="str">
        <f>equip.xml!P2235</f>
        <v>10000_1002_70000,30000_30001_1,30000_30002_1,30000_30003_1</v>
      </c>
      <c r="O2231">
        <f>equip.xml!R2235</f>
        <v>0</v>
      </c>
    </row>
    <row r="2232" spans="1:15">
      <c r="A2232" s="14">
        <f>equip.xml!A2236</f>
        <v>50851060</v>
      </c>
      <c r="B2232" s="14">
        <f>equip.xml!B2236</f>
        <v>1</v>
      </c>
      <c r="C2232" s="14" t="str">
        <f>equip.xml!C2236</f>
        <v>邪铁盾牌</v>
      </c>
      <c r="D2232" s="14" t="str">
        <f>equip.xml!D2236</f>
        <v>副手武器</v>
      </c>
      <c r="E2232" s="14">
        <f>equip.xml!E2236</f>
        <v>6</v>
      </c>
      <c r="F2232" s="14">
        <f>equip.xml!F2236</f>
        <v>5</v>
      </c>
      <c r="G2232" s="14">
        <f>equip.xml!G2236</f>
        <v>85</v>
      </c>
      <c r="H2232" s="14" t="str">
        <f>equip.xml!H2236</f>
        <v>1,1001</v>
      </c>
      <c r="I2232" s="14">
        <f>equip.xml!J2236</f>
        <v>150</v>
      </c>
      <c r="J2232" s="14">
        <f>equip.xml!K2236</f>
        <v>1500</v>
      </c>
      <c r="K2232" s="14">
        <f>equip.xml!L2236</f>
        <v>45000</v>
      </c>
      <c r="L2232" s="14" t="str">
        <f>equip.xml!M2236</f>
        <v>105_4616_4616</v>
      </c>
      <c r="M2232" s="17" t="str">
        <f>equip.xml!Q2236</f>
        <v>equipment/2124.png</v>
      </c>
      <c r="N2232" s="16" t="str">
        <f>equip.xml!P2236</f>
        <v>10000_1002_70000,30000_30001_1,30000_30002_1,30000_30003_1</v>
      </c>
      <c r="O2232">
        <f>equip.xml!R2236</f>
        <v>0</v>
      </c>
    </row>
    <row r="2233" spans="1:15">
      <c r="A2233" s="14">
        <f>equip.xml!A2237</f>
        <v>50851061</v>
      </c>
      <c r="B2233" s="14">
        <f>equip.xml!B2237</f>
        <v>0</v>
      </c>
      <c r="C2233" s="14" t="str">
        <f>equip.xml!C2237</f>
        <v>埋骨之盾</v>
      </c>
      <c r="D2233" s="14" t="str">
        <f>equip.xml!D2237</f>
        <v>副手武器</v>
      </c>
      <c r="E2233" s="14">
        <f>equip.xml!E2237</f>
        <v>6</v>
      </c>
      <c r="F2233" s="14">
        <f>equip.xml!F2237</f>
        <v>5</v>
      </c>
      <c r="G2233" s="14">
        <f>equip.xml!G2237</f>
        <v>85</v>
      </c>
      <c r="H2233" s="14" t="str">
        <f>equip.xml!H2237</f>
        <v>1,1001</v>
      </c>
      <c r="I2233" s="14">
        <f>equip.xml!J2237</f>
        <v>150</v>
      </c>
      <c r="J2233" s="14">
        <f>equip.xml!K2237</f>
        <v>1500</v>
      </c>
      <c r="K2233" s="14">
        <f>equip.xml!L2237</f>
        <v>47500</v>
      </c>
      <c r="L2233" s="14" t="str">
        <f>equip.xml!M2237</f>
        <v>105_4739_4739</v>
      </c>
      <c r="M2233" s="17" t="str">
        <f>equip.xml!Q2237</f>
        <v>equipment/2119.png</v>
      </c>
      <c r="N2233" s="16" t="str">
        <f>equip.xml!P2237</f>
        <v>10000_1002_70000,30000_30001_1,30000_30002_1,30000_30003_1</v>
      </c>
      <c r="O2233">
        <f>equip.xml!R2237</f>
        <v>0</v>
      </c>
    </row>
    <row r="2234" spans="1:15">
      <c r="A2234" s="14">
        <f>equip.xml!A2238</f>
        <v>50852050</v>
      </c>
      <c r="B2234" s="14">
        <f>equip.xml!B2238</f>
        <v>1</v>
      </c>
      <c r="C2234" s="14" t="str">
        <f>equip.xml!C2238</f>
        <v>悔恨长弓</v>
      </c>
      <c r="D2234" s="14" t="str">
        <f>equip.xml!D2238</f>
        <v>主手武器</v>
      </c>
      <c r="E2234" s="14">
        <f>equip.xml!E2238</f>
        <v>5</v>
      </c>
      <c r="F2234" s="14">
        <f>equip.xml!F2238</f>
        <v>5</v>
      </c>
      <c r="G2234" s="14">
        <f>equip.xml!G2238</f>
        <v>85</v>
      </c>
      <c r="H2234" s="14" t="str">
        <f>equip.xml!H2238</f>
        <v>2,1002</v>
      </c>
      <c r="I2234" s="14">
        <f>equip.xml!J2238</f>
        <v>150</v>
      </c>
      <c r="J2234" s="14">
        <f>equip.xml!K2238</f>
        <v>1500</v>
      </c>
      <c r="K2234" s="14">
        <f>equip.xml!L2238</f>
        <v>45000</v>
      </c>
      <c r="L2234" s="14" t="str">
        <f>equip.xml!M2238</f>
        <v>103_4884_4884,104_9769_9769</v>
      </c>
      <c r="M2234" s="17" t="str">
        <f>equip.xml!Q2238</f>
        <v>equipment/1228.png</v>
      </c>
      <c r="N2234" s="16" t="str">
        <f>equip.xml!P2238</f>
        <v>10000_1002_70000,30000_30001_1,30000_30002_1,30000_30003_1</v>
      </c>
      <c r="O2234">
        <f>equip.xml!R2238</f>
        <v>0</v>
      </c>
    </row>
    <row r="2235" spans="1:15">
      <c r="A2235" s="14">
        <f>equip.xml!A2239</f>
        <v>50852051</v>
      </c>
      <c r="B2235" s="14">
        <f>equip.xml!B2239</f>
        <v>0</v>
      </c>
      <c r="C2235" s="14" t="str">
        <f>equip.xml!C2239</f>
        <v>祈圣之弓</v>
      </c>
      <c r="D2235" s="14" t="str">
        <f>equip.xml!D2239</f>
        <v>主手武器</v>
      </c>
      <c r="E2235" s="14">
        <f>equip.xml!E2239</f>
        <v>5</v>
      </c>
      <c r="F2235" s="14">
        <f>equip.xml!F2239</f>
        <v>5</v>
      </c>
      <c r="G2235" s="14">
        <f>equip.xml!G2239</f>
        <v>85</v>
      </c>
      <c r="H2235" s="14" t="str">
        <f>equip.xml!H2239</f>
        <v>2,1002</v>
      </c>
      <c r="I2235" s="14">
        <f>equip.xml!J2239</f>
        <v>150</v>
      </c>
      <c r="J2235" s="14">
        <f>equip.xml!K2239</f>
        <v>1500</v>
      </c>
      <c r="K2235" s="14">
        <f>equip.xml!L2239</f>
        <v>47500</v>
      </c>
      <c r="L2235" s="14" t="str">
        <f>equip.xml!M2239</f>
        <v>103_5119_5119,104_10238_10238</v>
      </c>
      <c r="M2235" s="17" t="str">
        <f>equip.xml!Q2239</f>
        <v>equipment/1230.png</v>
      </c>
      <c r="N2235" s="16" t="str">
        <f>equip.xml!P2239</f>
        <v>10000_1002_70000,30000_30001_1,30000_30002_1,30000_30003_1</v>
      </c>
      <c r="O2235">
        <f>equip.xml!R2239</f>
        <v>0</v>
      </c>
    </row>
    <row r="2236" spans="1:15">
      <c r="A2236" s="14">
        <f>equip.xml!A2240</f>
        <v>50852060</v>
      </c>
      <c r="B2236" s="14">
        <f>equip.xml!B2240</f>
        <v>1</v>
      </c>
      <c r="C2236" s="14" t="str">
        <f>equip.xml!C2240</f>
        <v>悲鸣箭筒</v>
      </c>
      <c r="D2236" s="14" t="str">
        <f>equip.xml!D2240</f>
        <v>副手武器</v>
      </c>
      <c r="E2236" s="14">
        <f>equip.xml!E2240</f>
        <v>6</v>
      </c>
      <c r="F2236" s="14">
        <f>equip.xml!F2240</f>
        <v>5</v>
      </c>
      <c r="G2236" s="14">
        <f>equip.xml!G2240</f>
        <v>85</v>
      </c>
      <c r="H2236" s="14" t="str">
        <f>equip.xml!H2240</f>
        <v>2,1002</v>
      </c>
      <c r="I2236" s="14">
        <f>equip.xml!J2240</f>
        <v>150</v>
      </c>
      <c r="J2236" s="14">
        <f>equip.xml!K2240</f>
        <v>1500</v>
      </c>
      <c r="K2236" s="14">
        <f>equip.xml!L2240</f>
        <v>45000</v>
      </c>
      <c r="L2236" s="14" t="str">
        <f>equip.xml!M2240</f>
        <v>108_4616_4616</v>
      </c>
      <c r="M2236" s="17" t="str">
        <f>equip.xml!Q2240</f>
        <v>equipment/2224.png</v>
      </c>
      <c r="N2236" s="16" t="str">
        <f>equip.xml!P2240</f>
        <v>10000_1002_70000,30000_30001_1,30000_30002_1,30000_30003_1</v>
      </c>
      <c r="O2236">
        <f>equip.xml!R2240</f>
        <v>0</v>
      </c>
    </row>
    <row r="2237" spans="1:15">
      <c r="A2237" s="14">
        <f>equip.xml!A2241</f>
        <v>50852061</v>
      </c>
      <c r="B2237" s="14">
        <f>equip.xml!B2241</f>
        <v>0</v>
      </c>
      <c r="C2237" s="14" t="str">
        <f>equip.xml!C2241</f>
        <v>咒逐箭筒</v>
      </c>
      <c r="D2237" s="14" t="str">
        <f>equip.xml!D2241</f>
        <v>副手武器</v>
      </c>
      <c r="E2237" s="14">
        <f>equip.xml!E2241</f>
        <v>6</v>
      </c>
      <c r="F2237" s="14">
        <f>equip.xml!F2241</f>
        <v>5</v>
      </c>
      <c r="G2237" s="14">
        <f>equip.xml!G2241</f>
        <v>85</v>
      </c>
      <c r="H2237" s="14" t="str">
        <f>equip.xml!H2241</f>
        <v>2,1002</v>
      </c>
      <c r="I2237" s="14">
        <f>equip.xml!J2241</f>
        <v>150</v>
      </c>
      <c r="J2237" s="14">
        <f>equip.xml!K2241</f>
        <v>1500</v>
      </c>
      <c r="K2237" s="14">
        <f>equip.xml!L2241</f>
        <v>47500</v>
      </c>
      <c r="L2237" s="14" t="str">
        <f>equip.xml!M2241</f>
        <v>108_4739_4739</v>
      </c>
      <c r="M2237" s="17" t="str">
        <f>equip.xml!Q2241</f>
        <v>equipment/2221.png</v>
      </c>
      <c r="N2237" s="16" t="str">
        <f>equip.xml!P2241</f>
        <v>10000_1002_70000,30000_30001_1,30000_30002_1,30000_30003_1</v>
      </c>
      <c r="O2237">
        <f>equip.xml!R2241</f>
        <v>0</v>
      </c>
    </row>
    <row r="2238" spans="1:15">
      <c r="A2238" s="14">
        <f>equip.xml!A2242</f>
        <v>50853050</v>
      </c>
      <c r="B2238" s="14">
        <f>equip.xml!B2242</f>
        <v>1</v>
      </c>
      <c r="C2238" s="14" t="str">
        <f>equip.xml!C2242</f>
        <v>归还法杖</v>
      </c>
      <c r="D2238" s="14" t="str">
        <f>equip.xml!D2242</f>
        <v>主手武器</v>
      </c>
      <c r="E2238" s="14">
        <f>equip.xml!E2242</f>
        <v>5</v>
      </c>
      <c r="F2238" s="14">
        <f>equip.xml!F2242</f>
        <v>5</v>
      </c>
      <c r="G2238" s="14">
        <f>equip.xml!G2242</f>
        <v>85</v>
      </c>
      <c r="H2238" s="14" t="str">
        <f>equip.xml!H2242</f>
        <v>3,1003</v>
      </c>
      <c r="I2238" s="14">
        <f>equip.xml!J2242</f>
        <v>150</v>
      </c>
      <c r="J2238" s="14">
        <f>equip.xml!K2242</f>
        <v>1500</v>
      </c>
      <c r="K2238" s="14">
        <f>equip.xml!L2242</f>
        <v>45000</v>
      </c>
      <c r="L2238" s="14" t="str">
        <f>equip.xml!M2242</f>
        <v>103_4884_4884,104_9769_9769</v>
      </c>
      <c r="M2238" s="17" t="str">
        <f>equip.xml!Q2242</f>
        <v>equipment/1329.png</v>
      </c>
      <c r="N2238" s="16" t="str">
        <f>equip.xml!P2242</f>
        <v>10000_1002_70000,30000_30001_1,30000_30002_1,30000_30003_1</v>
      </c>
      <c r="O2238">
        <f>equip.xml!R2242</f>
        <v>0</v>
      </c>
    </row>
    <row r="2239" spans="1:15">
      <c r="A2239" s="14">
        <f>equip.xml!A2243</f>
        <v>50853051</v>
      </c>
      <c r="B2239" s="14">
        <f>equip.xml!B2243</f>
        <v>0</v>
      </c>
      <c r="C2239" s="14" t="str">
        <f>equip.xml!C2243</f>
        <v>荒寂之杖</v>
      </c>
      <c r="D2239" s="14" t="str">
        <f>equip.xml!D2243</f>
        <v>主手武器</v>
      </c>
      <c r="E2239" s="14">
        <f>equip.xml!E2243</f>
        <v>5</v>
      </c>
      <c r="F2239" s="14">
        <f>equip.xml!F2243</f>
        <v>5</v>
      </c>
      <c r="G2239" s="14">
        <f>equip.xml!G2243</f>
        <v>85</v>
      </c>
      <c r="H2239" s="14" t="str">
        <f>equip.xml!H2243</f>
        <v>3,1003</v>
      </c>
      <c r="I2239" s="14">
        <f>equip.xml!J2243</f>
        <v>150</v>
      </c>
      <c r="J2239" s="14">
        <f>equip.xml!K2243</f>
        <v>1500</v>
      </c>
      <c r="K2239" s="14">
        <f>equip.xml!L2243</f>
        <v>47500</v>
      </c>
      <c r="L2239" s="14" t="str">
        <f>equip.xml!M2243</f>
        <v>103_5119_5119,104_10238_10238</v>
      </c>
      <c r="M2239" s="17" t="str">
        <f>equip.xml!Q2243</f>
        <v>equipment/1331.png</v>
      </c>
      <c r="N2239" s="16" t="str">
        <f>equip.xml!P2243</f>
        <v>10000_1002_70000,30000_30001_1,30000_30002_1,30000_30003_1</v>
      </c>
      <c r="O2239">
        <f>equip.xml!R2243</f>
        <v>0</v>
      </c>
    </row>
    <row r="2240" spans="1:15">
      <c r="A2240" s="14">
        <f>equip.xml!A2244</f>
        <v>50853060</v>
      </c>
      <c r="B2240" s="14">
        <f>equip.xml!B2244</f>
        <v>1</v>
      </c>
      <c r="C2240" s="14" t="str">
        <f>equip.xml!C2244</f>
        <v>幻咒秘语</v>
      </c>
      <c r="D2240" s="14" t="str">
        <f>equip.xml!D2244</f>
        <v>副手武器</v>
      </c>
      <c r="E2240" s="14">
        <f>equip.xml!E2244</f>
        <v>6</v>
      </c>
      <c r="F2240" s="14">
        <f>equip.xml!F2244</f>
        <v>5</v>
      </c>
      <c r="G2240" s="14">
        <f>equip.xml!G2244</f>
        <v>85</v>
      </c>
      <c r="H2240" s="14" t="str">
        <f>equip.xml!H2244</f>
        <v>3,1003</v>
      </c>
      <c r="I2240" s="14">
        <f>equip.xml!J2244</f>
        <v>150</v>
      </c>
      <c r="J2240" s="14">
        <f>equip.xml!K2244</f>
        <v>1500</v>
      </c>
      <c r="K2240" s="14">
        <f>equip.xml!L2244</f>
        <v>45000</v>
      </c>
      <c r="L2240" s="14" t="str">
        <f>equip.xml!M2244</f>
        <v>102_3790_3790</v>
      </c>
      <c r="M2240" s="17" t="str">
        <f>equip.xml!Q2244</f>
        <v>equipment/102301.png</v>
      </c>
      <c r="N2240" s="16" t="str">
        <f>equip.xml!P2244</f>
        <v>10000_1002_70000,30000_30001_1,30000_30002_1,30000_30003_1</v>
      </c>
      <c r="O2240">
        <f>equip.xml!R2244</f>
        <v>0</v>
      </c>
    </row>
    <row r="2241" spans="1:15">
      <c r="A2241" s="14">
        <f>equip.xml!A2245</f>
        <v>50853061</v>
      </c>
      <c r="B2241" s="14">
        <f>equip.xml!B2245</f>
        <v>0</v>
      </c>
      <c r="C2241" s="14" t="str">
        <f>equip.xml!C2245</f>
        <v>岁月之书</v>
      </c>
      <c r="D2241" s="14" t="str">
        <f>equip.xml!D2245</f>
        <v>副手武器</v>
      </c>
      <c r="E2241" s="14">
        <f>equip.xml!E2245</f>
        <v>6</v>
      </c>
      <c r="F2241" s="14">
        <f>equip.xml!F2245</f>
        <v>5</v>
      </c>
      <c r="G2241" s="14">
        <f>equip.xml!G2245</f>
        <v>85</v>
      </c>
      <c r="H2241" s="14" t="str">
        <f>equip.xml!H2245</f>
        <v>3,1003</v>
      </c>
      <c r="I2241" s="14">
        <f>equip.xml!J2245</f>
        <v>150</v>
      </c>
      <c r="J2241" s="14">
        <f>equip.xml!K2245</f>
        <v>1500</v>
      </c>
      <c r="K2241" s="14">
        <f>equip.xml!L2245</f>
        <v>47500</v>
      </c>
      <c r="L2241" s="14" t="str">
        <f>equip.xml!M2245</f>
        <v>102_3890_3890</v>
      </c>
      <c r="M2241" s="17" t="str">
        <f>equip.xml!Q2245</f>
        <v>equipment/2323.png</v>
      </c>
      <c r="N2241" s="16" t="str">
        <f>equip.xml!P2245</f>
        <v>10000_1002_70000,30000_30001_1,30000_30002_1,30000_30003_1</v>
      </c>
      <c r="O2241">
        <f>equip.xml!R2245</f>
        <v>0</v>
      </c>
    </row>
    <row r="2242" spans="1:15">
      <c r="A2242" s="14">
        <f>equip.xml!A2246</f>
        <v>50850040</v>
      </c>
      <c r="B2242" s="14">
        <f>equip.xml!B2246</f>
        <v>1</v>
      </c>
      <c r="C2242" s="14" t="str">
        <f>equip.xml!C2246</f>
        <v>梦魇胸甲</v>
      </c>
      <c r="D2242" s="14" t="str">
        <f>equip.xml!D2246</f>
        <v>胸甲</v>
      </c>
      <c r="E2242" s="14">
        <f>equip.xml!E2246</f>
        <v>4</v>
      </c>
      <c r="F2242" s="14">
        <f>equip.xml!F2246</f>
        <v>5</v>
      </c>
      <c r="G2242" s="14">
        <f>equip.xml!G2246</f>
        <v>85</v>
      </c>
      <c r="H2242" s="14">
        <f>equip.xml!H2246</f>
        <v>0</v>
      </c>
      <c r="I2242" s="14">
        <f>equip.xml!J2246</f>
        <v>150</v>
      </c>
      <c r="J2242" s="14">
        <f>equip.xml!K2246</f>
        <v>1500</v>
      </c>
      <c r="K2242" s="14">
        <f>equip.xml!L2246</f>
        <v>45000</v>
      </c>
      <c r="L2242" s="14" t="str">
        <f>equip.xml!M2246</f>
        <v>105_2989_2989</v>
      </c>
      <c r="M2242" s="17" t="str">
        <f>equip.xml!Q2246</f>
        <v>equipment/105001.png</v>
      </c>
      <c r="N2242" s="16" t="str">
        <f>equip.xml!P2246</f>
        <v>10000_1002_70000,30000_30001_1,30000_30002_1,30000_30003_1</v>
      </c>
      <c r="O2242">
        <f>equip.xml!R2246</f>
        <v>0</v>
      </c>
    </row>
    <row r="2243" spans="1:15">
      <c r="A2243" s="14">
        <f>equip.xml!A2247</f>
        <v>50850041</v>
      </c>
      <c r="B2243" s="14">
        <f>equip.xml!B2247</f>
        <v>0</v>
      </c>
      <c r="C2243" s="14" t="str">
        <f>equip.xml!C2247</f>
        <v>鬼域战铠</v>
      </c>
      <c r="D2243" s="14" t="str">
        <f>equip.xml!D2247</f>
        <v>胸甲</v>
      </c>
      <c r="E2243" s="14">
        <f>equip.xml!E2247</f>
        <v>4</v>
      </c>
      <c r="F2243" s="14">
        <f>equip.xml!F2247</f>
        <v>5</v>
      </c>
      <c r="G2243" s="14">
        <f>equip.xml!G2247</f>
        <v>85</v>
      </c>
      <c r="H2243" s="14">
        <f>equip.xml!H2247</f>
        <v>0</v>
      </c>
      <c r="I2243" s="14">
        <f>equip.xml!J2247</f>
        <v>150</v>
      </c>
      <c r="J2243" s="14">
        <f>equip.xml!K2247</f>
        <v>1500</v>
      </c>
      <c r="K2243" s="14">
        <f>equip.xml!L2247</f>
        <v>47500</v>
      </c>
      <c r="L2243" s="14" t="str">
        <f>equip.xml!M2247</f>
        <v>105_3172_3172</v>
      </c>
      <c r="M2243" s="17" t="str">
        <f>equip.xml!Q2247</f>
        <v>equipment/5023.png</v>
      </c>
      <c r="N2243" s="16" t="str">
        <f>equip.xml!P2247</f>
        <v>10000_1002_70000,30000_30001_1,30000_30002_1,30000_30003_1</v>
      </c>
      <c r="O2243">
        <f>equip.xml!R2247</f>
        <v>0</v>
      </c>
    </row>
    <row r="2244" spans="1:15">
      <c r="A2244" s="14">
        <f>equip.xml!A2248</f>
        <v>50850070</v>
      </c>
      <c r="B2244" s="14">
        <f>equip.xml!B2248</f>
        <v>1</v>
      </c>
      <c r="C2244" s="14" t="str">
        <f>equip.xml!C2248</f>
        <v>逝亡护腿</v>
      </c>
      <c r="D2244" s="14" t="str">
        <f>equip.xml!D2248</f>
        <v>护腿</v>
      </c>
      <c r="E2244" s="14">
        <f>equip.xml!E2248</f>
        <v>7</v>
      </c>
      <c r="F2244" s="14">
        <f>equip.xml!F2248</f>
        <v>5</v>
      </c>
      <c r="G2244" s="14">
        <f>equip.xml!G2248</f>
        <v>85</v>
      </c>
      <c r="H2244" s="14">
        <f>equip.xml!H2248</f>
        <v>0</v>
      </c>
      <c r="I2244" s="14">
        <f>equip.xml!J2248</f>
        <v>150</v>
      </c>
      <c r="J2244" s="14">
        <f>equip.xml!K2248</f>
        <v>1500</v>
      </c>
      <c r="K2244" s="14">
        <f>equip.xml!L2248</f>
        <v>45000</v>
      </c>
      <c r="L2244" s="14" t="str">
        <f>equip.xml!M2248</f>
        <v>105_2989_2989</v>
      </c>
      <c r="M2244" s="17" t="str">
        <f>equip.xml!Q2248</f>
        <v>equipment/7023.png</v>
      </c>
      <c r="N2244" s="16" t="str">
        <f>equip.xml!P2248</f>
        <v>10000_1002_70000,30000_30001_1,30000_30002_1,30000_30003_1</v>
      </c>
      <c r="O2244">
        <f>equip.xml!R2248</f>
        <v>0</v>
      </c>
    </row>
    <row r="2245" spans="1:15">
      <c r="A2245" s="14">
        <f>equip.xml!A2249</f>
        <v>50850071</v>
      </c>
      <c r="B2245" s="14">
        <f>equip.xml!B2249</f>
        <v>0</v>
      </c>
      <c r="C2245" s="14" t="str">
        <f>equip.xml!C2249</f>
        <v>泯灭护腿</v>
      </c>
      <c r="D2245" s="14" t="str">
        <f>equip.xml!D2249</f>
        <v>护腿</v>
      </c>
      <c r="E2245" s="14">
        <f>equip.xml!E2249</f>
        <v>7</v>
      </c>
      <c r="F2245" s="14">
        <f>equip.xml!F2249</f>
        <v>5</v>
      </c>
      <c r="G2245" s="14">
        <f>equip.xml!G2249</f>
        <v>85</v>
      </c>
      <c r="H2245" s="14">
        <f>equip.xml!H2249</f>
        <v>0</v>
      </c>
      <c r="I2245" s="14">
        <f>equip.xml!J2249</f>
        <v>150</v>
      </c>
      <c r="J2245" s="14">
        <f>equip.xml!K2249</f>
        <v>1500</v>
      </c>
      <c r="K2245" s="14">
        <f>equip.xml!L2249</f>
        <v>47500</v>
      </c>
      <c r="L2245" s="14" t="str">
        <f>equip.xml!M2249</f>
        <v>105_3172_3172</v>
      </c>
      <c r="M2245" s="17" t="str">
        <f>equip.xml!Q2249</f>
        <v>equipment/107001.png</v>
      </c>
      <c r="N2245" s="16" t="str">
        <f>equip.xml!P2249</f>
        <v>10000_1002_70000,30000_30001_1,30000_30002_1,30000_30003_1</v>
      </c>
      <c r="O2245">
        <f>equip.xml!R2249</f>
        <v>0</v>
      </c>
    </row>
    <row r="2246" spans="1:15">
      <c r="A2246" s="14">
        <f>equip.xml!A2250</f>
        <v>50900010</v>
      </c>
      <c r="B2246" s="14">
        <f>equip.xml!B2250</f>
        <v>1</v>
      </c>
      <c r="C2246" s="14" t="str">
        <f>equip.xml!C2250</f>
        <v>风暴之冠</v>
      </c>
      <c r="D2246" s="14" t="str">
        <f>equip.xml!D2250</f>
        <v>头盔</v>
      </c>
      <c r="E2246" s="14">
        <f>equip.xml!E2250</f>
        <v>1</v>
      </c>
      <c r="F2246" s="14">
        <f>equip.xml!F2250</f>
        <v>5</v>
      </c>
      <c r="G2246" s="14">
        <f>equip.xml!G2250</f>
        <v>90</v>
      </c>
      <c r="H2246" s="14">
        <f>equip.xml!H2250</f>
        <v>0</v>
      </c>
      <c r="I2246" s="14">
        <f>equip.xml!J2250</f>
        <v>150</v>
      </c>
      <c r="J2246" s="14">
        <f>equip.xml!K2250</f>
        <v>1500</v>
      </c>
      <c r="K2246" s="14">
        <f>equip.xml!L2250</f>
        <v>47500</v>
      </c>
      <c r="L2246" s="14" t="str">
        <f>equip.xml!M2250</f>
        <v>106_4428_4428</v>
      </c>
      <c r="M2246" s="17" t="str">
        <f>equip.xml!Q2250</f>
        <v>equipment/3017.png</v>
      </c>
      <c r="N2246" s="16" t="str">
        <f>equip.xml!P2250</f>
        <v>10000_1002_70000,30000_30001_1,30000_30002_1,30000_30003_1</v>
      </c>
      <c r="O2246">
        <f>equip.xml!R2250</f>
        <v>0</v>
      </c>
    </row>
    <row r="2247" spans="1:15">
      <c r="A2247" s="14">
        <f>equip.xml!A2251</f>
        <v>50900020</v>
      </c>
      <c r="B2247" s="14">
        <f>equip.xml!B2251</f>
        <v>1</v>
      </c>
      <c r="C2247" s="14" t="str">
        <f>equip.xml!C2251</f>
        <v>无尽智慧指环</v>
      </c>
      <c r="D2247" s="14" t="str">
        <f>equip.xml!D2251</f>
        <v>戒指</v>
      </c>
      <c r="E2247" s="14">
        <f>equip.xml!E2251</f>
        <v>2</v>
      </c>
      <c r="F2247" s="14">
        <f>equip.xml!F2251</f>
        <v>5</v>
      </c>
      <c r="G2247" s="14">
        <f>equip.xml!G2251</f>
        <v>90</v>
      </c>
      <c r="H2247" s="14">
        <f>equip.xml!H2251</f>
        <v>0</v>
      </c>
      <c r="I2247" s="14">
        <f>equip.xml!J2251</f>
        <v>150</v>
      </c>
      <c r="J2247" s="14">
        <f>equip.xml!K2251</f>
        <v>1500</v>
      </c>
      <c r="K2247" s="14">
        <f>equip.xml!L2251</f>
        <v>47500</v>
      </c>
      <c r="L2247" s="14" t="str">
        <f>equip.xml!M2251</f>
        <v>102_2150_2150</v>
      </c>
      <c r="M2247" s="17" t="str">
        <f>equip.xml!Q2251</f>
        <v>equipment/14015.png</v>
      </c>
      <c r="N2247" s="16" t="str">
        <f>equip.xml!P2251</f>
        <v>10000_1002_70000,30000_30001_1,30000_30002_1,30000_30003_1</v>
      </c>
      <c r="O2247">
        <f>equip.xml!R2251</f>
        <v>0</v>
      </c>
    </row>
    <row r="2248" spans="1:15">
      <c r="A2248" s="14">
        <f>equip.xml!A2252</f>
        <v>50900030</v>
      </c>
      <c r="B2248" s="14">
        <f>equip.xml!B2252</f>
        <v>1</v>
      </c>
      <c r="C2248" s="14" t="str">
        <f>equip.xml!C2252</f>
        <v>丰饶腰带</v>
      </c>
      <c r="D2248" s="14" t="str">
        <f>equip.xml!D2252</f>
        <v>腰带</v>
      </c>
      <c r="E2248" s="14">
        <f>equip.xml!E2252</f>
        <v>3</v>
      </c>
      <c r="F2248" s="14">
        <f>equip.xml!F2252</f>
        <v>5</v>
      </c>
      <c r="G2248" s="14">
        <f>equip.xml!G2252</f>
        <v>90</v>
      </c>
      <c r="H2248" s="14">
        <f>equip.xml!H2252</f>
        <v>0</v>
      </c>
      <c r="I2248" s="14">
        <f>equip.xml!J2252</f>
        <v>150</v>
      </c>
      <c r="J2248" s="14">
        <f>equip.xml!K2252</f>
        <v>1500</v>
      </c>
      <c r="K2248" s="14">
        <f>equip.xml!L2252</f>
        <v>47500</v>
      </c>
      <c r="L2248" s="14" t="str">
        <f>equip.xml!M2252</f>
        <v>101_29800_29800</v>
      </c>
      <c r="M2248" s="17" t="str">
        <f>equip.xml!Q2252</f>
        <v>equipment/6016.png</v>
      </c>
      <c r="N2248" s="16" t="str">
        <f>equip.xml!P2252</f>
        <v>10000_1002_70000,30000_30001_1,30000_30002_1,30000_30003_1</v>
      </c>
      <c r="O2248">
        <f>equip.xml!R2252</f>
        <v>0</v>
      </c>
    </row>
    <row r="2249" spans="1:15">
      <c r="A2249" s="14">
        <f>equip.xml!A2253</f>
        <v>50900080</v>
      </c>
      <c r="B2249" s="14">
        <f>equip.xml!B2253</f>
        <v>1</v>
      </c>
      <c r="C2249" s="14" t="str">
        <f>equip.xml!C2253</f>
        <v>秩序战靴</v>
      </c>
      <c r="D2249" s="14" t="str">
        <f>equip.xml!D2253</f>
        <v>鞋子</v>
      </c>
      <c r="E2249" s="14">
        <f>equip.xml!E2253</f>
        <v>8</v>
      </c>
      <c r="F2249" s="14">
        <f>equip.xml!F2253</f>
        <v>5</v>
      </c>
      <c r="G2249" s="14">
        <f>equip.xml!G2253</f>
        <v>90</v>
      </c>
      <c r="H2249" s="14">
        <f>equip.xml!H2253</f>
        <v>0</v>
      </c>
      <c r="I2249" s="14">
        <f>equip.xml!J2253</f>
        <v>150</v>
      </c>
      <c r="J2249" s="14">
        <f>equip.xml!K2253</f>
        <v>1500</v>
      </c>
      <c r="K2249" s="14">
        <f>equip.xml!L2253</f>
        <v>47500</v>
      </c>
      <c r="L2249" s="14" t="str">
        <f>equip.xml!M2253</f>
        <v>110_715_715</v>
      </c>
      <c r="M2249" s="17" t="str">
        <f>equip.xml!Q2253</f>
        <v>equipment/8017.png</v>
      </c>
      <c r="N2249" s="16" t="str">
        <f>equip.xml!P2253</f>
        <v>10000_1002_70000,30000_30001_1,30000_30002_1,30000_30003_1</v>
      </c>
      <c r="O2249">
        <f>equip.xml!R2253</f>
        <v>0</v>
      </c>
    </row>
    <row r="2250" spans="1:15">
      <c r="A2250" s="14">
        <f>equip.xml!A2254</f>
        <v>50900090</v>
      </c>
      <c r="B2250" s="14">
        <f>equip.xml!B2254</f>
        <v>1</v>
      </c>
      <c r="C2250" s="14" t="str">
        <f>equip.xml!C2254</f>
        <v>超载护手</v>
      </c>
      <c r="D2250" s="14" t="str">
        <f>equip.xml!D2254</f>
        <v>手套</v>
      </c>
      <c r="E2250" s="14">
        <f>equip.xml!E2254</f>
        <v>9</v>
      </c>
      <c r="F2250" s="14">
        <f>equip.xml!F2254</f>
        <v>5</v>
      </c>
      <c r="G2250" s="14">
        <f>equip.xml!G2254</f>
        <v>90</v>
      </c>
      <c r="H2250" s="14">
        <f>equip.xml!H2254</f>
        <v>0</v>
      </c>
      <c r="I2250" s="14">
        <f>equip.xml!J2254</f>
        <v>150</v>
      </c>
      <c r="J2250" s="14">
        <f>equip.xml!K2254</f>
        <v>1500</v>
      </c>
      <c r="K2250" s="14">
        <f>equip.xml!L2254</f>
        <v>47500</v>
      </c>
      <c r="L2250" s="14" t="str">
        <f>equip.xml!M2254</f>
        <v>108_6155_6155</v>
      </c>
      <c r="M2250" s="17" t="str">
        <f>equip.xml!Q2254</f>
        <v>equipment/10017.png</v>
      </c>
      <c r="N2250" s="16" t="str">
        <f>equip.xml!P2254</f>
        <v>10000_1002_70000,30000_30001_1,30000_30002_1,30000_30003_1</v>
      </c>
      <c r="O2250">
        <f>equip.xml!R2254</f>
        <v>0</v>
      </c>
    </row>
    <row r="2251" spans="1:15">
      <c r="A2251" s="14">
        <f>equip.xml!A2255</f>
        <v>50900100</v>
      </c>
      <c r="B2251" s="14">
        <f>equip.xml!B2255</f>
        <v>1</v>
      </c>
      <c r="C2251" s="14" t="str">
        <f>equip.xml!C2255</f>
        <v>寒霜之心</v>
      </c>
      <c r="D2251" s="14" t="str">
        <f>equip.xml!D2255</f>
        <v>项链</v>
      </c>
      <c r="E2251" s="14">
        <f>equip.xml!E2255</f>
        <v>10</v>
      </c>
      <c r="F2251" s="14">
        <f>equip.xml!F2255</f>
        <v>5</v>
      </c>
      <c r="G2251" s="14">
        <f>equip.xml!G2255</f>
        <v>90</v>
      </c>
      <c r="H2251" s="14">
        <f>equip.xml!H2255</f>
        <v>0</v>
      </c>
      <c r="I2251" s="14">
        <f>equip.xml!J2255</f>
        <v>150</v>
      </c>
      <c r="J2251" s="14">
        <f>equip.xml!K2255</f>
        <v>1500</v>
      </c>
      <c r="K2251" s="14">
        <f>equip.xml!L2255</f>
        <v>47500</v>
      </c>
      <c r="L2251" s="14" t="str">
        <f>equip.xml!M2255</f>
        <v>107_4428_4428</v>
      </c>
      <c r="M2251" s="17" t="str">
        <f>equip.xml!Q2255</f>
        <v>equipment/12017.png</v>
      </c>
      <c r="N2251" s="16" t="str">
        <f>equip.xml!P2255</f>
        <v>10000_1002_70000,30000_30001_1,30000_30002_1,30000_30003_1</v>
      </c>
      <c r="O2251">
        <f>equip.xml!R2255</f>
        <v>0</v>
      </c>
    </row>
    <row r="2252" spans="1:15">
      <c r="A2252" s="14">
        <f>equip.xml!A2256</f>
        <v>50901050</v>
      </c>
      <c r="B2252" s="14">
        <f>equip.xml!B2256</f>
        <v>1</v>
      </c>
      <c r="C2252" s="14" t="str">
        <f>equip.xml!C2256</f>
        <v>湮灭之剑</v>
      </c>
      <c r="D2252" s="14" t="str">
        <f>equip.xml!D2256</f>
        <v>主手武器</v>
      </c>
      <c r="E2252" s="14">
        <f>equip.xml!E2256</f>
        <v>5</v>
      </c>
      <c r="F2252" s="14">
        <f>equip.xml!F2256</f>
        <v>5</v>
      </c>
      <c r="G2252" s="14">
        <f>equip.xml!G2256</f>
        <v>90</v>
      </c>
      <c r="H2252" s="14" t="str">
        <f>equip.xml!H2256</f>
        <v>1,1001</v>
      </c>
      <c r="I2252" s="14">
        <f>equip.xml!J2256</f>
        <v>150</v>
      </c>
      <c r="J2252" s="14">
        <f>equip.xml!K2256</f>
        <v>1500</v>
      </c>
      <c r="K2252" s="14">
        <f>equip.xml!L2256</f>
        <v>47500</v>
      </c>
      <c r="L2252" s="14" t="str">
        <f>equip.xml!M2256</f>
        <v>103_5471_5471,104_10942_10942</v>
      </c>
      <c r="M2252" s="17" t="str">
        <f>equip.xml!Q2256</f>
        <v>equipment/101101.png</v>
      </c>
      <c r="N2252" s="16" t="str">
        <f>equip.xml!P2256</f>
        <v>10000_1002_70000,30000_30001_1,30000_30002_1,30000_30003_1</v>
      </c>
      <c r="O2252">
        <f>equip.xml!R2256</f>
        <v>0</v>
      </c>
    </row>
    <row r="2253" spans="1:15">
      <c r="A2253" s="14">
        <f>equip.xml!A2257</f>
        <v>50901051</v>
      </c>
      <c r="B2253" s="14">
        <f>equip.xml!B2257</f>
        <v>0</v>
      </c>
      <c r="C2253" s="14" t="str">
        <f>equip.xml!C2257</f>
        <v>封印之剑</v>
      </c>
      <c r="D2253" s="14" t="str">
        <f>equip.xml!D2257</f>
        <v>主手武器</v>
      </c>
      <c r="E2253" s="14">
        <f>equip.xml!E2257</f>
        <v>5</v>
      </c>
      <c r="F2253" s="14">
        <f>equip.xml!F2257</f>
        <v>5</v>
      </c>
      <c r="G2253" s="14">
        <f>equip.xml!G2257</f>
        <v>90</v>
      </c>
      <c r="H2253" s="14" t="str">
        <f>equip.xml!H2257</f>
        <v>1,1001</v>
      </c>
      <c r="I2253" s="14">
        <f>equip.xml!J2257</f>
        <v>150</v>
      </c>
      <c r="J2253" s="14">
        <f>equip.xml!K2257</f>
        <v>1500</v>
      </c>
      <c r="K2253" s="14">
        <f>equip.xml!L2257</f>
        <v>50000</v>
      </c>
      <c r="L2253" s="14" t="str">
        <f>equip.xml!M2257</f>
        <v>103_5719_5719,104_11438_11438</v>
      </c>
      <c r="M2253" s="17" t="str">
        <f>equip.xml!Q2257</f>
        <v>equipment/1131.png</v>
      </c>
      <c r="N2253" s="16" t="str">
        <f>equip.xml!P2257</f>
        <v>10000_1002_70000,30000_30001_1,30000_30002_1,30000_30003_1</v>
      </c>
      <c r="O2253">
        <f>equip.xml!R2257</f>
        <v>0</v>
      </c>
    </row>
    <row r="2254" spans="1:15">
      <c r="A2254" s="14">
        <f>equip.xml!A2258</f>
        <v>50901060</v>
      </c>
      <c r="B2254" s="14">
        <f>equip.xml!B2258</f>
        <v>1</v>
      </c>
      <c r="C2254" s="14" t="str">
        <f>equip.xml!C2258</f>
        <v>灾祸之盾</v>
      </c>
      <c r="D2254" s="14" t="str">
        <f>equip.xml!D2258</f>
        <v>副手武器</v>
      </c>
      <c r="E2254" s="14">
        <f>equip.xml!E2258</f>
        <v>6</v>
      </c>
      <c r="F2254" s="14">
        <f>equip.xml!F2258</f>
        <v>5</v>
      </c>
      <c r="G2254" s="14">
        <f>equip.xml!G2258</f>
        <v>90</v>
      </c>
      <c r="H2254" s="14" t="str">
        <f>equip.xml!H2258</f>
        <v>1,1001</v>
      </c>
      <c r="I2254" s="14">
        <f>equip.xml!J2258</f>
        <v>150</v>
      </c>
      <c r="J2254" s="14">
        <f>equip.xml!K2258</f>
        <v>1500</v>
      </c>
      <c r="K2254" s="14">
        <f>equip.xml!L2258</f>
        <v>47500</v>
      </c>
      <c r="L2254" s="14" t="str">
        <f>equip.xml!M2258</f>
        <v>105_4924_4924</v>
      </c>
      <c r="M2254" s="17" t="str">
        <f>equip.xml!Q2258</f>
        <v>equipment/2125.png</v>
      </c>
      <c r="N2254" s="16" t="str">
        <f>equip.xml!P2258</f>
        <v>10000_1002_70000,30000_30001_1,30000_30002_1,30000_30003_1</v>
      </c>
      <c r="O2254">
        <f>equip.xml!R2258</f>
        <v>0</v>
      </c>
    </row>
    <row r="2255" spans="1:15">
      <c r="A2255" s="14">
        <f>equip.xml!A2259</f>
        <v>50901061</v>
      </c>
      <c r="B2255" s="14">
        <f>equip.xml!B2259</f>
        <v>0</v>
      </c>
      <c r="C2255" s="14" t="str">
        <f>equip.xml!C2259</f>
        <v>堕神之盾</v>
      </c>
      <c r="D2255" s="14" t="str">
        <f>equip.xml!D2259</f>
        <v>副手武器</v>
      </c>
      <c r="E2255" s="14">
        <f>equip.xml!E2259</f>
        <v>6</v>
      </c>
      <c r="F2255" s="14">
        <f>equip.xml!F2259</f>
        <v>5</v>
      </c>
      <c r="G2255" s="14">
        <f>equip.xml!G2259</f>
        <v>90</v>
      </c>
      <c r="H2255" s="14" t="str">
        <f>equip.xml!H2259</f>
        <v>1,1001</v>
      </c>
      <c r="I2255" s="14">
        <f>equip.xml!J2259</f>
        <v>150</v>
      </c>
      <c r="J2255" s="14">
        <f>equip.xml!K2259</f>
        <v>1500</v>
      </c>
      <c r="K2255" s="14">
        <f>equip.xml!L2259</f>
        <v>50000</v>
      </c>
      <c r="L2255" s="14" t="str">
        <f>equip.xml!M2259</f>
        <v>105_5147_5147</v>
      </c>
      <c r="M2255" s="17" t="str">
        <f>equip.xml!Q2259</f>
        <v>equipment/102101.png</v>
      </c>
      <c r="N2255" s="16" t="str">
        <f>equip.xml!P2259</f>
        <v>10000_1002_70000,30000_30001_1,30000_30002_1,30000_30003_1</v>
      </c>
      <c r="O2255">
        <f>equip.xml!R2259</f>
        <v>0</v>
      </c>
    </row>
    <row r="2256" spans="1:15">
      <c r="A2256" s="14">
        <f>equip.xml!A2260</f>
        <v>50902050</v>
      </c>
      <c r="B2256" s="14">
        <f>equip.xml!B2260</f>
        <v>1</v>
      </c>
      <c r="C2256" s="14" t="str">
        <f>equip.xml!C2260</f>
        <v>破晓之弓</v>
      </c>
      <c r="D2256" s="14" t="str">
        <f>equip.xml!D2260</f>
        <v>主手武器</v>
      </c>
      <c r="E2256" s="14">
        <f>equip.xml!E2260</f>
        <v>5</v>
      </c>
      <c r="F2256" s="14">
        <f>equip.xml!F2260</f>
        <v>5</v>
      </c>
      <c r="G2256" s="14">
        <f>equip.xml!G2260</f>
        <v>90</v>
      </c>
      <c r="H2256" s="14" t="str">
        <f>equip.xml!H2260</f>
        <v>2,1002</v>
      </c>
      <c r="I2256" s="14">
        <f>equip.xml!J2260</f>
        <v>150</v>
      </c>
      <c r="J2256" s="14">
        <f>equip.xml!K2260</f>
        <v>1500</v>
      </c>
      <c r="K2256" s="14">
        <f>equip.xml!L2260</f>
        <v>47500</v>
      </c>
      <c r="L2256" s="14" t="str">
        <f>equip.xml!M2260</f>
        <v>103_5471_5471,104_10942_10942</v>
      </c>
      <c r="M2256" s="17" t="str">
        <f>equip.xml!Q2260</f>
        <v>equipment/1231.png</v>
      </c>
      <c r="N2256" s="16" t="str">
        <f>equip.xml!P2260</f>
        <v>10000_1002_70000,30000_30001_1,30000_30002_1,30000_30003_1</v>
      </c>
      <c r="O2256">
        <f>equip.xml!R2260</f>
        <v>0</v>
      </c>
    </row>
    <row r="2257" spans="1:15">
      <c r="A2257" s="14">
        <f>equip.xml!A2261</f>
        <v>50902051</v>
      </c>
      <c r="B2257" s="14">
        <f>equip.xml!B2261</f>
        <v>0</v>
      </c>
      <c r="C2257" s="14" t="str">
        <f>equip.xml!C2261</f>
        <v>彗星之击</v>
      </c>
      <c r="D2257" s="14" t="str">
        <f>equip.xml!D2261</f>
        <v>主手武器</v>
      </c>
      <c r="E2257" s="14">
        <f>equip.xml!E2261</f>
        <v>5</v>
      </c>
      <c r="F2257" s="14">
        <f>equip.xml!F2261</f>
        <v>5</v>
      </c>
      <c r="G2257" s="14">
        <f>equip.xml!G2261</f>
        <v>90</v>
      </c>
      <c r="H2257" s="14" t="str">
        <f>equip.xml!H2261</f>
        <v>2,1002</v>
      </c>
      <c r="I2257" s="14">
        <f>equip.xml!J2261</f>
        <v>150</v>
      </c>
      <c r="J2257" s="14">
        <f>equip.xml!K2261</f>
        <v>1500</v>
      </c>
      <c r="K2257" s="14">
        <f>equip.xml!L2261</f>
        <v>50000</v>
      </c>
      <c r="L2257" s="14" t="str">
        <f>equip.xml!M2261</f>
        <v>103_5719_5719,104_11438_11438</v>
      </c>
      <c r="M2257" s="17" t="str">
        <f>equip.xml!Q2261</f>
        <v>equipment/101201.png</v>
      </c>
      <c r="N2257" s="16" t="str">
        <f>equip.xml!P2261</f>
        <v>10000_1002_70000,30000_30001_1,30000_30002_1,30000_30003_1</v>
      </c>
      <c r="O2257">
        <f>equip.xml!R2261</f>
        <v>0</v>
      </c>
    </row>
    <row r="2258" spans="1:15">
      <c r="A2258" s="14">
        <f>equip.xml!A2262</f>
        <v>50902060</v>
      </c>
      <c r="B2258" s="14">
        <f>equip.xml!B2262</f>
        <v>1</v>
      </c>
      <c r="C2258" s="14" t="str">
        <f>equip.xml!C2262</f>
        <v>灵痕箭袋</v>
      </c>
      <c r="D2258" s="14" t="str">
        <f>equip.xml!D2262</f>
        <v>副手武器</v>
      </c>
      <c r="E2258" s="14">
        <f>equip.xml!E2262</f>
        <v>6</v>
      </c>
      <c r="F2258" s="14">
        <f>equip.xml!F2262</f>
        <v>5</v>
      </c>
      <c r="G2258" s="14">
        <f>equip.xml!G2262</f>
        <v>90</v>
      </c>
      <c r="H2258" s="14" t="str">
        <f>equip.xml!H2262</f>
        <v>2,1002</v>
      </c>
      <c r="I2258" s="14">
        <f>equip.xml!J2262</f>
        <v>150</v>
      </c>
      <c r="J2258" s="14">
        <f>equip.xml!K2262</f>
        <v>1500</v>
      </c>
      <c r="K2258" s="14">
        <f>equip.xml!L2262</f>
        <v>47500</v>
      </c>
      <c r="L2258" s="14" t="str">
        <f>equip.xml!M2262</f>
        <v>108_4924_4924</v>
      </c>
      <c r="M2258" s="17" t="str">
        <f>equip.xml!Q2262</f>
        <v>equipment/2225.png</v>
      </c>
      <c r="N2258" s="16" t="str">
        <f>equip.xml!P2262</f>
        <v>10000_1002_70000,30000_30001_1,30000_30002_1,30000_30003_1</v>
      </c>
      <c r="O2258">
        <f>equip.xml!R2262</f>
        <v>0</v>
      </c>
    </row>
    <row r="2259" spans="1:15">
      <c r="A2259" s="14">
        <f>equip.xml!A2263</f>
        <v>50902061</v>
      </c>
      <c r="B2259" s="14">
        <f>equip.xml!B2263</f>
        <v>0</v>
      </c>
      <c r="C2259" s="14" t="str">
        <f>equip.xml!C2263</f>
        <v>星坠箭筒</v>
      </c>
      <c r="D2259" s="14" t="str">
        <f>equip.xml!D2263</f>
        <v>副手武器</v>
      </c>
      <c r="E2259" s="14">
        <f>equip.xml!E2263</f>
        <v>6</v>
      </c>
      <c r="F2259" s="14">
        <f>equip.xml!F2263</f>
        <v>5</v>
      </c>
      <c r="G2259" s="14">
        <f>equip.xml!G2263</f>
        <v>90</v>
      </c>
      <c r="H2259" s="14" t="str">
        <f>equip.xml!H2263</f>
        <v>2,1002</v>
      </c>
      <c r="I2259" s="14">
        <f>equip.xml!J2263</f>
        <v>150</v>
      </c>
      <c r="J2259" s="14">
        <f>equip.xml!K2263</f>
        <v>1500</v>
      </c>
      <c r="K2259" s="14">
        <f>equip.xml!L2263</f>
        <v>50000</v>
      </c>
      <c r="L2259" s="14" t="str">
        <f>equip.xml!M2263</f>
        <v>108_5147_5147</v>
      </c>
      <c r="M2259" s="17" t="str">
        <f>equip.xml!Q2263</f>
        <v>equipment/2217.png</v>
      </c>
      <c r="N2259" s="16" t="str">
        <f>equip.xml!P2263</f>
        <v>10000_1002_70000,30000_30001_1,30000_30002_1,30000_30003_1</v>
      </c>
      <c r="O2259">
        <f>equip.xml!R2263</f>
        <v>0</v>
      </c>
    </row>
    <row r="2260" spans="1:15">
      <c r="A2260" s="14">
        <f>equip.xml!A2264</f>
        <v>50903050</v>
      </c>
      <c r="B2260" s="14">
        <f>equip.xml!B2264</f>
        <v>1</v>
      </c>
      <c r="C2260" s="14" t="str">
        <f>equip.xml!C2264</f>
        <v>观察者之杖</v>
      </c>
      <c r="D2260" s="14" t="str">
        <f>equip.xml!D2264</f>
        <v>主手武器</v>
      </c>
      <c r="E2260" s="14">
        <f>equip.xml!E2264</f>
        <v>5</v>
      </c>
      <c r="F2260" s="14">
        <f>equip.xml!F2264</f>
        <v>5</v>
      </c>
      <c r="G2260" s="14">
        <f>equip.xml!G2264</f>
        <v>90</v>
      </c>
      <c r="H2260" s="14" t="str">
        <f>equip.xml!H2264</f>
        <v>3,1003</v>
      </c>
      <c r="I2260" s="14">
        <f>equip.xml!J2264</f>
        <v>150</v>
      </c>
      <c r="J2260" s="14">
        <f>equip.xml!K2264</f>
        <v>1500</v>
      </c>
      <c r="K2260" s="14">
        <f>equip.xml!L2264</f>
        <v>47500</v>
      </c>
      <c r="L2260" s="14" t="str">
        <f>equip.xml!M2264</f>
        <v>103_5471_5471,104_10942_10942</v>
      </c>
      <c r="M2260" s="17" t="str">
        <f>equip.xml!Q2264</f>
        <v>equipment/1330.png</v>
      </c>
      <c r="N2260" s="16" t="str">
        <f>equip.xml!P2264</f>
        <v>10000_1002_70000,30000_30001_1,30000_30002_1,30000_30003_1</v>
      </c>
      <c r="O2260">
        <f>equip.xml!R2264</f>
        <v>0</v>
      </c>
    </row>
    <row r="2261" spans="1:15">
      <c r="A2261" s="14">
        <f>equip.xml!A2265</f>
        <v>50903051</v>
      </c>
      <c r="B2261" s="14">
        <f>equip.xml!B2265</f>
        <v>0</v>
      </c>
      <c r="C2261" s="14" t="str">
        <f>equip.xml!C2265</f>
        <v>星辰权杖</v>
      </c>
      <c r="D2261" s="14" t="str">
        <f>equip.xml!D2265</f>
        <v>主手武器</v>
      </c>
      <c r="E2261" s="14">
        <f>equip.xml!E2265</f>
        <v>5</v>
      </c>
      <c r="F2261" s="14">
        <f>equip.xml!F2265</f>
        <v>5</v>
      </c>
      <c r="G2261" s="14">
        <f>equip.xml!G2265</f>
        <v>90</v>
      </c>
      <c r="H2261" s="14" t="str">
        <f>equip.xml!H2265</f>
        <v>3,1003</v>
      </c>
      <c r="I2261" s="14">
        <f>equip.xml!J2265</f>
        <v>150</v>
      </c>
      <c r="J2261" s="14">
        <f>equip.xml!K2265</f>
        <v>1500</v>
      </c>
      <c r="K2261" s="14">
        <f>equip.xml!L2265</f>
        <v>50000</v>
      </c>
      <c r="L2261" s="14" t="str">
        <f>equip.xml!M2265</f>
        <v>103_5719_5719,104_11438_11438</v>
      </c>
      <c r="M2261" s="17" t="str">
        <f>equip.xml!Q2265</f>
        <v>equipment/1328.png</v>
      </c>
      <c r="N2261" s="16" t="str">
        <f>equip.xml!P2265</f>
        <v>10000_1002_70000,30000_30001_1,30000_30002_1,30000_30003_1</v>
      </c>
      <c r="O2261">
        <f>equip.xml!R2265</f>
        <v>0</v>
      </c>
    </row>
    <row r="2262" spans="1:15">
      <c r="A2262" s="14">
        <f>equip.xml!A2266</f>
        <v>50903060</v>
      </c>
      <c r="B2262" s="14">
        <f>equip.xml!B2266</f>
        <v>1</v>
      </c>
      <c r="C2262" s="14" t="str">
        <f>equip.xml!C2266</f>
        <v>云河指南</v>
      </c>
      <c r="D2262" s="14" t="str">
        <f>equip.xml!D2266</f>
        <v>副手武器</v>
      </c>
      <c r="E2262" s="14">
        <f>equip.xml!E2266</f>
        <v>6</v>
      </c>
      <c r="F2262" s="14">
        <f>equip.xml!F2266</f>
        <v>5</v>
      </c>
      <c r="G2262" s="14">
        <f>equip.xml!G2266</f>
        <v>90</v>
      </c>
      <c r="H2262" s="14" t="str">
        <f>equip.xml!H2266</f>
        <v>3,1003</v>
      </c>
      <c r="I2262" s="14">
        <f>equip.xml!J2266</f>
        <v>150</v>
      </c>
      <c r="J2262" s="14">
        <f>equip.xml!K2266</f>
        <v>1500</v>
      </c>
      <c r="K2262" s="14">
        <f>equip.xml!L2266</f>
        <v>47500</v>
      </c>
      <c r="L2262" s="14" t="str">
        <f>equip.xml!M2266</f>
        <v>102_4040_4040</v>
      </c>
      <c r="M2262" s="17" t="str">
        <f>equip.xml!Q2266</f>
        <v>equipment/2325.png</v>
      </c>
      <c r="N2262" s="16" t="str">
        <f>equip.xml!P2266</f>
        <v>10000_1002_70000,30000_30001_1,30000_30002_1,30000_30003_1</v>
      </c>
      <c r="O2262">
        <f>equip.xml!R2266</f>
        <v>0</v>
      </c>
    </row>
    <row r="2263" spans="1:15">
      <c r="A2263" s="14">
        <f>equip.xml!A2267</f>
        <v>50903061</v>
      </c>
      <c r="B2263" s="14">
        <f>equip.xml!B2267</f>
        <v>0</v>
      </c>
      <c r="C2263" s="14" t="str">
        <f>equip.xml!C2267</f>
        <v>星界之书</v>
      </c>
      <c r="D2263" s="14" t="str">
        <f>equip.xml!D2267</f>
        <v>副手武器</v>
      </c>
      <c r="E2263" s="14">
        <f>equip.xml!E2267</f>
        <v>6</v>
      </c>
      <c r="F2263" s="14">
        <f>equip.xml!F2267</f>
        <v>5</v>
      </c>
      <c r="G2263" s="14">
        <f>equip.xml!G2267</f>
        <v>90</v>
      </c>
      <c r="H2263" s="14" t="str">
        <f>equip.xml!H2267</f>
        <v>3,1003</v>
      </c>
      <c r="I2263" s="14">
        <f>equip.xml!J2267</f>
        <v>150</v>
      </c>
      <c r="J2263" s="14">
        <f>equip.xml!K2267</f>
        <v>1500</v>
      </c>
      <c r="K2263" s="14">
        <f>equip.xml!L2267</f>
        <v>50000</v>
      </c>
      <c r="L2263" s="14" t="str">
        <f>equip.xml!M2267</f>
        <v>102_4140_4140</v>
      </c>
      <c r="M2263" s="17" t="str">
        <f>equip.xml!Q2267</f>
        <v>equipment/2324.png</v>
      </c>
      <c r="N2263" s="16" t="str">
        <f>equip.xml!P2267</f>
        <v>10000_1002_70000,30000_30001_1,30000_30002_1,30000_30003_1</v>
      </c>
      <c r="O2263">
        <f>equip.xml!R2267</f>
        <v>0</v>
      </c>
    </row>
    <row r="2264" spans="1:15">
      <c r="A2264" s="14">
        <f>equip.xml!A2268</f>
        <v>50900040</v>
      </c>
      <c r="B2264" s="14">
        <f>equip.xml!B2268</f>
        <v>1</v>
      </c>
      <c r="C2264" s="14" t="str">
        <f>equip.xml!C2268</f>
        <v>坚毅胸甲</v>
      </c>
      <c r="D2264" s="14" t="str">
        <f>equip.xml!D2268</f>
        <v>胸甲</v>
      </c>
      <c r="E2264" s="14">
        <f>equip.xml!E2268</f>
        <v>4</v>
      </c>
      <c r="F2264" s="14">
        <f>equip.xml!F2268</f>
        <v>5</v>
      </c>
      <c r="G2264" s="14">
        <f>equip.xml!G2268</f>
        <v>90</v>
      </c>
      <c r="H2264" s="14">
        <f>equip.xml!H2268</f>
        <v>0</v>
      </c>
      <c r="I2264" s="14">
        <f>equip.xml!J2268</f>
        <v>150</v>
      </c>
      <c r="J2264" s="14">
        <f>equip.xml!K2268</f>
        <v>1500</v>
      </c>
      <c r="K2264" s="14">
        <f>equip.xml!L2268</f>
        <v>47500</v>
      </c>
      <c r="L2264" s="14" t="str">
        <f>equip.xml!M2268</f>
        <v>105_3447_3447</v>
      </c>
      <c r="M2264" s="17" t="str">
        <f>equip.xml!Q2268</f>
        <v>equipment/5024.png</v>
      </c>
      <c r="N2264" s="16" t="str">
        <f>equip.xml!P2268</f>
        <v>10000_1002_70000,30000_30001_1,30000_30002_1,30000_30003_1</v>
      </c>
      <c r="O2264">
        <f>equip.xml!R2268</f>
        <v>0</v>
      </c>
    </row>
    <row r="2265" spans="1:15">
      <c r="A2265" s="14">
        <f>equip.xml!A2269</f>
        <v>50900041</v>
      </c>
      <c r="B2265" s="14">
        <f>equip.xml!B2269</f>
        <v>0</v>
      </c>
      <c r="C2265" s="14" t="str">
        <f>equip.xml!C2269</f>
        <v>群山之拥</v>
      </c>
      <c r="D2265" s="14" t="str">
        <f>equip.xml!D2269</f>
        <v>胸甲</v>
      </c>
      <c r="E2265" s="14">
        <f>equip.xml!E2269</f>
        <v>4</v>
      </c>
      <c r="F2265" s="14">
        <f>equip.xml!F2269</f>
        <v>5</v>
      </c>
      <c r="G2265" s="14">
        <f>equip.xml!G2269</f>
        <v>90</v>
      </c>
      <c r="H2265" s="14">
        <f>equip.xml!H2269</f>
        <v>0</v>
      </c>
      <c r="I2265" s="14">
        <f>equip.xml!J2269</f>
        <v>150</v>
      </c>
      <c r="J2265" s="14">
        <f>equip.xml!K2269</f>
        <v>1500</v>
      </c>
      <c r="K2265" s="14">
        <f>equip.xml!L2269</f>
        <v>50000</v>
      </c>
      <c r="L2265" s="14" t="str">
        <f>equip.xml!M2269</f>
        <v>105_3603_3603</v>
      </c>
      <c r="M2265" s="17" t="str">
        <f>equip.xml!Q2269</f>
        <v>equipment/5001.png</v>
      </c>
      <c r="N2265" s="16" t="str">
        <f>equip.xml!P2269</f>
        <v>10000_1002_70000,30000_30001_1,30000_30002_1,30000_30003_1</v>
      </c>
      <c r="O2265">
        <f>equip.xml!R2269</f>
        <v>0</v>
      </c>
    </row>
    <row r="2266" spans="1:15">
      <c r="A2266" s="14">
        <f>equip.xml!A2270</f>
        <v>50900070</v>
      </c>
      <c r="B2266" s="14">
        <f>equip.xml!B2270</f>
        <v>1</v>
      </c>
      <c r="C2266" s="14" t="str">
        <f>equip.xml!C2270</f>
        <v>复苏护腿</v>
      </c>
      <c r="D2266" s="14" t="str">
        <f>equip.xml!D2270</f>
        <v>护腿</v>
      </c>
      <c r="E2266" s="14">
        <f>equip.xml!E2270</f>
        <v>7</v>
      </c>
      <c r="F2266" s="14">
        <f>equip.xml!F2270</f>
        <v>5</v>
      </c>
      <c r="G2266" s="14">
        <f>equip.xml!G2270</f>
        <v>90</v>
      </c>
      <c r="H2266" s="14">
        <f>equip.xml!H2270</f>
        <v>0</v>
      </c>
      <c r="I2266" s="14">
        <f>equip.xml!J2270</f>
        <v>150</v>
      </c>
      <c r="J2266" s="14">
        <f>equip.xml!K2270</f>
        <v>1500</v>
      </c>
      <c r="K2266" s="14">
        <f>equip.xml!L2270</f>
        <v>47500</v>
      </c>
      <c r="L2266" s="14" t="str">
        <f>equip.xml!M2270</f>
        <v>105_3447_3447</v>
      </c>
      <c r="M2266" s="17" t="str">
        <f>equip.xml!Q2270</f>
        <v>equipment/7016.png</v>
      </c>
      <c r="N2266" s="16" t="str">
        <f>equip.xml!P2270</f>
        <v>10000_1002_70000,30000_30001_1,30000_30002_1,30000_30003_1</v>
      </c>
      <c r="O2266">
        <f>equip.xml!R2270</f>
        <v>0</v>
      </c>
    </row>
    <row r="2267" spans="1:15">
      <c r="A2267" s="14">
        <f>equip.xml!A2271</f>
        <v>50900071</v>
      </c>
      <c r="B2267" s="14">
        <f>equip.xml!B2271</f>
        <v>0</v>
      </c>
      <c r="C2267" s="14" t="str">
        <f>equip.xml!C2271</f>
        <v>虔信腿甲</v>
      </c>
      <c r="D2267" s="14" t="str">
        <f>equip.xml!D2271</f>
        <v>护腿</v>
      </c>
      <c r="E2267" s="14">
        <f>equip.xml!E2271</f>
        <v>7</v>
      </c>
      <c r="F2267" s="14">
        <f>equip.xml!F2271</f>
        <v>5</v>
      </c>
      <c r="G2267" s="14">
        <f>equip.xml!G2271</f>
        <v>90</v>
      </c>
      <c r="H2267" s="14">
        <f>equip.xml!H2271</f>
        <v>0</v>
      </c>
      <c r="I2267" s="14">
        <f>equip.xml!J2271</f>
        <v>150</v>
      </c>
      <c r="J2267" s="14">
        <f>equip.xml!K2271</f>
        <v>1500</v>
      </c>
      <c r="K2267" s="14">
        <f>equip.xml!L2271</f>
        <v>50000</v>
      </c>
      <c r="L2267" s="14" t="str">
        <f>equip.xml!M2271</f>
        <v>105_3603_3603</v>
      </c>
      <c r="M2267" s="17" t="str">
        <f>equip.xml!Q2271</f>
        <v>equipment/7001.png</v>
      </c>
      <c r="N2267" s="16" t="str">
        <f>equip.xml!P2271</f>
        <v>10000_1002_70000,30000_30001_1,30000_30002_1,30000_30003_1</v>
      </c>
      <c r="O2267">
        <f>equip.xml!R2271</f>
        <v>0</v>
      </c>
    </row>
    <row r="2268" spans="1:15">
      <c r="A2268" s="14">
        <f>equip.xml!A2272</f>
        <v>50950010</v>
      </c>
      <c r="B2268" s="14">
        <f>equip.xml!B2272</f>
        <v>1</v>
      </c>
      <c r="C2268" s="14" t="str">
        <f>equip.xml!C2272</f>
        <v>魂铸头盔</v>
      </c>
      <c r="D2268" s="14" t="str">
        <f>equip.xml!D2272</f>
        <v>头盔</v>
      </c>
      <c r="E2268" s="14">
        <f>equip.xml!E2272</f>
        <v>1</v>
      </c>
      <c r="F2268" s="14">
        <f>equip.xml!F2272</f>
        <v>5</v>
      </c>
      <c r="G2268" s="14">
        <f>equip.xml!G2272</f>
        <v>95</v>
      </c>
      <c r="H2268" s="14">
        <f>equip.xml!H2272</f>
        <v>0</v>
      </c>
      <c r="I2268" s="14">
        <f>equip.xml!J2272</f>
        <v>150</v>
      </c>
      <c r="J2268" s="14">
        <f>equip.xml!K2272</f>
        <v>1500</v>
      </c>
      <c r="K2268" s="14">
        <f>equip.xml!L2272</f>
        <v>50000</v>
      </c>
      <c r="L2268" s="14" t="str">
        <f>equip.xml!M2272</f>
        <v>106_5346_5346</v>
      </c>
      <c r="M2268" s="17" t="str">
        <f>equip.xml!Q2272</f>
        <v>equipment/3001.png</v>
      </c>
      <c r="N2268" s="16" t="str">
        <f>equip.xml!P2272</f>
        <v>10000_1002_70000,30000_30001_1,30000_30002_1,30000_30003_1</v>
      </c>
      <c r="O2268">
        <f>equip.xml!R2272</f>
        <v>0</v>
      </c>
    </row>
    <row r="2269" spans="1:15">
      <c r="A2269" s="14">
        <f>equip.xml!A2273</f>
        <v>50950020</v>
      </c>
      <c r="B2269" s="14">
        <f>equip.xml!B2273</f>
        <v>1</v>
      </c>
      <c r="C2269" s="14" t="str">
        <f>equip.xml!C2273</f>
        <v>云霄之环</v>
      </c>
      <c r="D2269" s="14" t="str">
        <f>equip.xml!D2273</f>
        <v>戒指</v>
      </c>
      <c r="E2269" s="14">
        <f>equip.xml!E2273</f>
        <v>2</v>
      </c>
      <c r="F2269" s="14">
        <f>equip.xml!F2273</f>
        <v>5</v>
      </c>
      <c r="G2269" s="14">
        <f>equip.xml!G2273</f>
        <v>95</v>
      </c>
      <c r="H2269" s="14">
        <f>equip.xml!H2273</f>
        <v>0</v>
      </c>
      <c r="I2269" s="14">
        <f>equip.xml!J2273</f>
        <v>150</v>
      </c>
      <c r="J2269" s="14">
        <f>equip.xml!K2273</f>
        <v>1500</v>
      </c>
      <c r="K2269" s="14">
        <f>equip.xml!L2273</f>
        <v>50000</v>
      </c>
      <c r="L2269" s="14" t="str">
        <f>equip.xml!M2273</f>
        <v>102_2240_2240</v>
      </c>
      <c r="M2269" s="17" t="str">
        <f>equip.xml!Q2273</f>
        <v>equipment/14001.png</v>
      </c>
      <c r="N2269" s="16" t="str">
        <f>equip.xml!P2273</f>
        <v>10000_1002_70000,30000_30001_1,30000_30002_1,30000_30003_1</v>
      </c>
      <c r="O2269">
        <f>equip.xml!R2273</f>
        <v>0</v>
      </c>
    </row>
    <row r="2270" spans="1:15">
      <c r="A2270" s="14">
        <f>equip.xml!A2274</f>
        <v>50950030</v>
      </c>
      <c r="B2270" s="14">
        <f>equip.xml!B2274</f>
        <v>1</v>
      </c>
      <c r="C2270" s="14" t="str">
        <f>equip.xml!C2274</f>
        <v>破天者腰带</v>
      </c>
      <c r="D2270" s="14" t="str">
        <f>equip.xml!D2274</f>
        <v>腰带</v>
      </c>
      <c r="E2270" s="14">
        <f>equip.xml!E2274</f>
        <v>3</v>
      </c>
      <c r="F2270" s="14">
        <f>equip.xml!F2274</f>
        <v>5</v>
      </c>
      <c r="G2270" s="14">
        <f>equip.xml!G2274</f>
        <v>95</v>
      </c>
      <c r="H2270" s="14">
        <f>equip.xml!H2274</f>
        <v>0</v>
      </c>
      <c r="I2270" s="14">
        <f>equip.xml!J2274</f>
        <v>150</v>
      </c>
      <c r="J2270" s="14">
        <f>equip.xml!K2274</f>
        <v>1500</v>
      </c>
      <c r="K2270" s="14">
        <f>equip.xml!L2274</f>
        <v>50000</v>
      </c>
      <c r="L2270" s="14" t="str">
        <f>equip.xml!M2274</f>
        <v>101_32760_32760</v>
      </c>
      <c r="M2270" s="17" t="str">
        <f>equip.xml!Q2274</f>
        <v>equipment/6001.png</v>
      </c>
      <c r="N2270" s="16" t="str">
        <f>equip.xml!P2274</f>
        <v>10000_1002_70000,30000_30001_1,30000_30002_1,30000_30003_1</v>
      </c>
      <c r="O2270">
        <f>equip.xml!R2274</f>
        <v>0</v>
      </c>
    </row>
    <row r="2271" spans="1:15">
      <c r="A2271" s="14">
        <f>equip.xml!A2275</f>
        <v>50950080</v>
      </c>
      <c r="B2271" s="14">
        <f>equip.xml!B2275</f>
        <v>1</v>
      </c>
      <c r="C2271" s="14" t="str">
        <f>equip.xml!C2275</f>
        <v>圣洁怒火之靴</v>
      </c>
      <c r="D2271" s="14" t="str">
        <f>equip.xml!D2275</f>
        <v>鞋子</v>
      </c>
      <c r="E2271" s="14">
        <f>equip.xml!E2275</f>
        <v>8</v>
      </c>
      <c r="F2271" s="14">
        <f>equip.xml!F2275</f>
        <v>5</v>
      </c>
      <c r="G2271" s="14">
        <f>equip.xml!G2275</f>
        <v>95</v>
      </c>
      <c r="H2271" s="14">
        <f>equip.xml!H2275</f>
        <v>0</v>
      </c>
      <c r="I2271" s="14">
        <f>equip.xml!J2275</f>
        <v>150</v>
      </c>
      <c r="J2271" s="14">
        <f>equip.xml!K2275</f>
        <v>1500</v>
      </c>
      <c r="K2271" s="14">
        <f>equip.xml!L2275</f>
        <v>50000</v>
      </c>
      <c r="L2271" s="14" t="str">
        <f>equip.xml!M2275</f>
        <v>110_786_786</v>
      </c>
      <c r="M2271" s="17" t="str">
        <f>equip.xml!Q2275</f>
        <v>equipment/8001.png</v>
      </c>
      <c r="N2271" s="16" t="str">
        <f>equip.xml!P2275</f>
        <v>10000_1002_70000,30000_30001_1,30000_30002_1,30000_30003_1</v>
      </c>
      <c r="O2271">
        <f>equip.xml!R2275</f>
        <v>0</v>
      </c>
    </row>
    <row r="2272" spans="1:15">
      <c r="A2272" s="14">
        <f>equip.xml!A2276</f>
        <v>50950090</v>
      </c>
      <c r="B2272" s="14">
        <f>equip.xml!B2276</f>
        <v>1</v>
      </c>
      <c r="C2272" s="14" t="str">
        <f>equip.xml!C2276</f>
        <v>破灭之手</v>
      </c>
      <c r="D2272" s="14" t="str">
        <f>equip.xml!D2276</f>
        <v>手套</v>
      </c>
      <c r="E2272" s="14">
        <f>equip.xml!E2276</f>
        <v>9</v>
      </c>
      <c r="F2272" s="14">
        <f>equip.xml!F2276</f>
        <v>5</v>
      </c>
      <c r="G2272" s="14">
        <f>equip.xml!G2276</f>
        <v>95</v>
      </c>
      <c r="H2272" s="14">
        <f>equip.xml!H2276</f>
        <v>0</v>
      </c>
      <c r="I2272" s="14">
        <f>equip.xml!J2276</f>
        <v>150</v>
      </c>
      <c r="J2272" s="14">
        <f>equip.xml!K2276</f>
        <v>1500</v>
      </c>
      <c r="K2272" s="14">
        <f>equip.xml!L2276</f>
        <v>50000</v>
      </c>
      <c r="L2272" s="14" t="str">
        <f>equip.xml!M2276</f>
        <v>108_6853_6853</v>
      </c>
      <c r="M2272" s="17" t="str">
        <f>equip.xml!Q2276</f>
        <v>equipment/10001.png</v>
      </c>
      <c r="N2272" s="16" t="str">
        <f>equip.xml!P2276</f>
        <v>10000_1002_70000,30000_30001_1,30000_30002_1,30000_30003_1</v>
      </c>
      <c r="O2272">
        <f>equip.xml!R2276</f>
        <v>0</v>
      </c>
    </row>
    <row r="2273" spans="1:15">
      <c r="A2273" s="14">
        <f>equip.xml!A2277</f>
        <v>50950100</v>
      </c>
      <c r="B2273" s="14">
        <f>equip.xml!B2277</f>
        <v>1</v>
      </c>
      <c r="C2273" s="14" t="str">
        <f>equip.xml!C2277</f>
        <v>圣灵之佑</v>
      </c>
      <c r="D2273" s="14" t="str">
        <f>equip.xml!D2277</f>
        <v>项链</v>
      </c>
      <c r="E2273" s="14">
        <f>equip.xml!E2277</f>
        <v>10</v>
      </c>
      <c r="F2273" s="14">
        <f>equip.xml!F2277</f>
        <v>5</v>
      </c>
      <c r="G2273" s="14">
        <f>equip.xml!G2277</f>
        <v>95</v>
      </c>
      <c r="H2273" s="14">
        <f>equip.xml!H2277</f>
        <v>0</v>
      </c>
      <c r="I2273" s="14">
        <f>equip.xml!J2277</f>
        <v>150</v>
      </c>
      <c r="J2273" s="14">
        <f>equip.xml!K2277</f>
        <v>1500</v>
      </c>
      <c r="K2273" s="14">
        <f>equip.xml!L2277</f>
        <v>50000</v>
      </c>
      <c r="L2273" s="14" t="str">
        <f>equip.xml!M2277</f>
        <v>107_5346_5346</v>
      </c>
      <c r="M2273" s="17" t="str">
        <f>equip.xml!Q2277</f>
        <v>equipment/12001.png</v>
      </c>
      <c r="N2273" s="16" t="str">
        <f>equip.xml!P2277</f>
        <v>10000_1002_70000,30000_30001_1,30000_30002_1,30000_30003_1</v>
      </c>
      <c r="O2273">
        <f>equip.xml!R2277</f>
        <v>0</v>
      </c>
    </row>
    <row r="2274" spans="1:15">
      <c r="A2274" s="14">
        <f>equip.xml!A2278</f>
        <v>50951050</v>
      </c>
      <c r="B2274" s="14">
        <f>equip.xml!B2278</f>
        <v>1</v>
      </c>
      <c r="C2274" s="14" t="str">
        <f>equip.xml!C2278</f>
        <v>云颠之剑</v>
      </c>
      <c r="D2274" s="14" t="str">
        <f>equip.xml!D2278</f>
        <v>主手武器</v>
      </c>
      <c r="E2274" s="14">
        <f>equip.xml!E2278</f>
        <v>5</v>
      </c>
      <c r="F2274" s="14">
        <f>equip.xml!F2278</f>
        <v>5</v>
      </c>
      <c r="G2274" s="14">
        <f>equip.xml!G2278</f>
        <v>95</v>
      </c>
      <c r="H2274" s="14" t="str">
        <f>equip.xml!H2278</f>
        <v>1,1001</v>
      </c>
      <c r="I2274" s="14">
        <f>equip.xml!J2278</f>
        <v>150</v>
      </c>
      <c r="J2274" s="14">
        <f>equip.xml!K2278</f>
        <v>1500</v>
      </c>
      <c r="K2274" s="14">
        <f>equip.xml!L2278</f>
        <v>50000</v>
      </c>
      <c r="L2274" s="14" t="str">
        <f>equip.xml!M2278</f>
        <v>103_6091_6091,104_12182_12182</v>
      </c>
      <c r="M2274" s="17" t="str">
        <f>equip.xml!Q2278</f>
        <v>equipment/1124.png</v>
      </c>
      <c r="N2274" s="16" t="str">
        <f>equip.xml!P2278</f>
        <v>10000_1002_70000,30000_30001_1,30000_30002_1,30000_30003_1</v>
      </c>
      <c r="O2274">
        <f>equip.xml!R2278</f>
        <v>0</v>
      </c>
    </row>
    <row r="2275" spans="1:15">
      <c r="A2275" s="14">
        <f>equip.xml!A2279</f>
        <v>50951051</v>
      </c>
      <c r="B2275" s="14">
        <f>equip.xml!B2279</f>
        <v>0</v>
      </c>
      <c r="C2275" s="14" t="str">
        <f>equip.xml!C2279</f>
        <v>血色黎明</v>
      </c>
      <c r="D2275" s="14" t="str">
        <f>equip.xml!D2279</f>
        <v>主手武器</v>
      </c>
      <c r="E2275" s="14">
        <f>equip.xml!E2279</f>
        <v>5</v>
      </c>
      <c r="F2275" s="14">
        <f>equip.xml!F2279</f>
        <v>5</v>
      </c>
      <c r="G2275" s="14">
        <f>equip.xml!G2279</f>
        <v>95</v>
      </c>
      <c r="H2275" s="14" t="str">
        <f>equip.xml!H2279</f>
        <v>1,1001</v>
      </c>
      <c r="I2275" s="14">
        <f>equip.xml!J2279</f>
        <v>150</v>
      </c>
      <c r="J2275" s="14">
        <f>equip.xml!K2279</f>
        <v>1500</v>
      </c>
      <c r="K2275" s="14">
        <f>equip.xml!L2279</f>
        <v>52500</v>
      </c>
      <c r="L2275" s="14" t="str">
        <f>equip.xml!M2279</f>
        <v>103_6352_6352,104_12705_12705</v>
      </c>
      <c r="M2275" s="17" t="str">
        <f>equip.xml!Q2279</f>
        <v>equipment/1101.png</v>
      </c>
      <c r="N2275" s="16" t="str">
        <f>equip.xml!P2279</f>
        <v>10000_1002_70000,30000_30001_1,30000_30002_1,30000_30003_1</v>
      </c>
      <c r="O2275">
        <f>equip.xml!R2279</f>
        <v>0</v>
      </c>
    </row>
    <row r="2276" spans="1:15">
      <c r="A2276" s="14">
        <f>equip.xml!A2280</f>
        <v>50951060</v>
      </c>
      <c r="B2276" s="14">
        <f>equip.xml!B2280</f>
        <v>1</v>
      </c>
      <c r="C2276" s="14" t="str">
        <f>equip.xml!C2280</f>
        <v>荣耀壁垒</v>
      </c>
      <c r="D2276" s="14" t="str">
        <f>equip.xml!D2280</f>
        <v>副手武器</v>
      </c>
      <c r="E2276" s="14">
        <f>equip.xml!E2280</f>
        <v>6</v>
      </c>
      <c r="F2276" s="14">
        <f>equip.xml!F2280</f>
        <v>5</v>
      </c>
      <c r="G2276" s="14">
        <f>equip.xml!G2280</f>
        <v>95</v>
      </c>
      <c r="H2276" s="14" t="str">
        <f>equip.xml!H2280</f>
        <v>1,1001</v>
      </c>
      <c r="I2276" s="14">
        <f>equip.xml!J2280</f>
        <v>150</v>
      </c>
      <c r="J2276" s="14">
        <f>equip.xml!K2280</f>
        <v>1500</v>
      </c>
      <c r="K2276" s="14">
        <f>equip.xml!L2280</f>
        <v>50000</v>
      </c>
      <c r="L2276" s="14" t="str">
        <f>equip.xml!M2280</f>
        <v>105_5482_5482</v>
      </c>
      <c r="M2276" s="17" t="str">
        <f>equip.xml!Q2280</f>
        <v>equipment/2118.png</v>
      </c>
      <c r="N2276" s="16" t="str">
        <f>equip.xml!P2280</f>
        <v>10000_1002_70000,30000_30001_1,30000_30002_1,30000_30003_1</v>
      </c>
      <c r="O2276">
        <f>equip.xml!R2280</f>
        <v>0</v>
      </c>
    </row>
    <row r="2277" spans="1:15">
      <c r="A2277" s="14">
        <f>equip.xml!A2281</f>
        <v>50951061</v>
      </c>
      <c r="B2277" s="14">
        <f>equip.xml!B2281</f>
        <v>0</v>
      </c>
      <c r="C2277" s="14" t="str">
        <f>equip.xml!C2281</f>
        <v>曙光之盾</v>
      </c>
      <c r="D2277" s="14" t="str">
        <f>equip.xml!D2281</f>
        <v>副手武器</v>
      </c>
      <c r="E2277" s="14">
        <f>equip.xml!E2281</f>
        <v>6</v>
      </c>
      <c r="F2277" s="14">
        <f>equip.xml!F2281</f>
        <v>5</v>
      </c>
      <c r="G2277" s="14">
        <f>equip.xml!G2281</f>
        <v>95</v>
      </c>
      <c r="H2277" s="14" t="str">
        <f>equip.xml!H2281</f>
        <v>1,1001</v>
      </c>
      <c r="I2277" s="14">
        <f>equip.xml!J2281</f>
        <v>150</v>
      </c>
      <c r="J2277" s="14">
        <f>equip.xml!K2281</f>
        <v>1500</v>
      </c>
      <c r="K2277" s="14">
        <f>equip.xml!L2281</f>
        <v>52500</v>
      </c>
      <c r="L2277" s="14" t="str">
        <f>equip.xml!M2281</f>
        <v>105_5717_5717</v>
      </c>
      <c r="M2277" s="17" t="str">
        <f>equip.xml!Q2281</f>
        <v>equipment/2101.png</v>
      </c>
      <c r="N2277" s="16" t="str">
        <f>equip.xml!P2281</f>
        <v>10000_1002_70000,30000_30001_1,30000_30002_1,30000_30003_1</v>
      </c>
      <c r="O2277">
        <f>equip.xml!R2281</f>
        <v>0</v>
      </c>
    </row>
    <row r="2278" spans="1:15">
      <c r="A2278" s="14">
        <f>equip.xml!A2282</f>
        <v>50952050</v>
      </c>
      <c r="B2278" s="14">
        <f>equip.xml!B2282</f>
        <v>1</v>
      </c>
      <c r="C2278" s="14" t="str">
        <f>equip.xml!C2282</f>
        <v>灵魂之弦</v>
      </c>
      <c r="D2278" s="14" t="str">
        <f>equip.xml!D2282</f>
        <v>主手武器</v>
      </c>
      <c r="E2278" s="14">
        <f>equip.xml!E2282</f>
        <v>5</v>
      </c>
      <c r="F2278" s="14">
        <f>equip.xml!F2282</f>
        <v>5</v>
      </c>
      <c r="G2278" s="14">
        <f>equip.xml!G2282</f>
        <v>95</v>
      </c>
      <c r="H2278" s="14" t="str">
        <f>equip.xml!H2282</f>
        <v>2,1002</v>
      </c>
      <c r="I2278" s="14">
        <f>equip.xml!J2282</f>
        <v>150</v>
      </c>
      <c r="J2278" s="14">
        <f>equip.xml!K2282</f>
        <v>1500</v>
      </c>
      <c r="K2278" s="14">
        <f>equip.xml!L2282</f>
        <v>50000</v>
      </c>
      <c r="L2278" s="14" t="str">
        <f>equip.xml!M2282</f>
        <v>103_6091_6091,104_12182_12182</v>
      </c>
      <c r="M2278" s="17" t="str">
        <f>equip.xml!Q2282</f>
        <v>equipment/1222.png</v>
      </c>
      <c r="N2278" s="16" t="str">
        <f>equip.xml!P2282</f>
        <v>10000_1002_70000,30000_30001_1,30000_30002_1,30000_30003_1</v>
      </c>
      <c r="O2278">
        <f>equip.xml!R2282</f>
        <v>0</v>
      </c>
    </row>
    <row r="2279" spans="1:15">
      <c r="A2279" s="14">
        <f>equip.xml!A2283</f>
        <v>50952051</v>
      </c>
      <c r="B2279" s="14">
        <f>equip.xml!B2283</f>
        <v>0</v>
      </c>
      <c r="C2279" s="14" t="str">
        <f>equip.xml!C2283</f>
        <v>风暴凝视</v>
      </c>
      <c r="D2279" s="14" t="str">
        <f>equip.xml!D2283</f>
        <v>主手武器</v>
      </c>
      <c r="E2279" s="14">
        <f>equip.xml!E2283</f>
        <v>5</v>
      </c>
      <c r="F2279" s="14">
        <f>equip.xml!F2283</f>
        <v>5</v>
      </c>
      <c r="G2279" s="14">
        <f>equip.xml!G2283</f>
        <v>95</v>
      </c>
      <c r="H2279" s="14" t="str">
        <f>equip.xml!H2283</f>
        <v>2,1002</v>
      </c>
      <c r="I2279" s="14">
        <f>equip.xml!J2283</f>
        <v>150</v>
      </c>
      <c r="J2279" s="14">
        <f>equip.xml!K2283</f>
        <v>1500</v>
      </c>
      <c r="K2279" s="14">
        <f>equip.xml!L2283</f>
        <v>52500</v>
      </c>
      <c r="L2279" s="14" t="str">
        <f>equip.xml!M2283</f>
        <v>103_6352_6352,104_12705_12705</v>
      </c>
      <c r="M2279" s="17" t="str">
        <f>equip.xml!Q2283</f>
        <v>equipment/1201.png</v>
      </c>
      <c r="N2279" s="16" t="str">
        <f>equip.xml!P2283</f>
        <v>10000_1002_70000,30000_30001_1,30000_30002_1,30000_30003_1</v>
      </c>
      <c r="O2279">
        <f>equip.xml!R2283</f>
        <v>0</v>
      </c>
    </row>
    <row r="2280" spans="1:15">
      <c r="A2280" s="14">
        <f>equip.xml!A2284</f>
        <v>50952060</v>
      </c>
      <c r="B2280" s="14">
        <f>equip.xml!B2284</f>
        <v>1</v>
      </c>
      <c r="C2280" s="14" t="str">
        <f>equip.xml!C2284</f>
        <v>魂织箭袋</v>
      </c>
      <c r="D2280" s="14" t="str">
        <f>equip.xml!D2284</f>
        <v>副手武器</v>
      </c>
      <c r="E2280" s="14">
        <f>equip.xml!E2284</f>
        <v>6</v>
      </c>
      <c r="F2280" s="14">
        <f>equip.xml!F2284</f>
        <v>5</v>
      </c>
      <c r="G2280" s="14">
        <f>equip.xml!G2284</f>
        <v>95</v>
      </c>
      <c r="H2280" s="14" t="str">
        <f>equip.xml!H2284</f>
        <v>2,1002</v>
      </c>
      <c r="I2280" s="14">
        <f>equip.xml!J2284</f>
        <v>150</v>
      </c>
      <c r="J2280" s="14">
        <f>equip.xml!K2284</f>
        <v>1500</v>
      </c>
      <c r="K2280" s="14">
        <f>equip.xml!L2284</f>
        <v>50000</v>
      </c>
      <c r="L2280" s="14" t="str">
        <f>equip.xml!M2284</f>
        <v>108_5482_5482</v>
      </c>
      <c r="M2280" s="17" t="str">
        <f>equip.xml!Q2284</f>
        <v>equipment/2218.png</v>
      </c>
      <c r="N2280" s="16" t="str">
        <f>equip.xml!P2284</f>
        <v>10000_1002_70000,30000_30001_1,30000_30002_1,30000_30003_1</v>
      </c>
      <c r="O2280">
        <f>equip.xml!R2284</f>
        <v>0</v>
      </c>
    </row>
    <row r="2281" spans="1:15">
      <c r="A2281" s="14">
        <f>equip.xml!A2285</f>
        <v>50952061</v>
      </c>
      <c r="B2281" s="14">
        <f>equip.xml!B2285</f>
        <v>0</v>
      </c>
      <c r="C2281" s="14" t="str">
        <f>equip.xml!C2285</f>
        <v>闪电之矢</v>
      </c>
      <c r="D2281" s="14" t="str">
        <f>equip.xml!D2285</f>
        <v>副手武器</v>
      </c>
      <c r="E2281" s="14">
        <f>equip.xml!E2285</f>
        <v>6</v>
      </c>
      <c r="F2281" s="14">
        <f>equip.xml!F2285</f>
        <v>5</v>
      </c>
      <c r="G2281" s="14">
        <f>equip.xml!G2285</f>
        <v>95</v>
      </c>
      <c r="H2281" s="14" t="str">
        <f>equip.xml!H2285</f>
        <v>2,1002</v>
      </c>
      <c r="I2281" s="14">
        <f>equip.xml!J2285</f>
        <v>150</v>
      </c>
      <c r="J2281" s="14">
        <f>equip.xml!K2285</f>
        <v>1500</v>
      </c>
      <c r="K2281" s="14">
        <f>equip.xml!L2285</f>
        <v>52500</v>
      </c>
      <c r="L2281" s="14" t="str">
        <f>equip.xml!M2285</f>
        <v>108_5717_5717</v>
      </c>
      <c r="M2281" s="17" t="str">
        <f>equip.xml!Q2285</f>
        <v>equipment/2201.png</v>
      </c>
      <c r="N2281" s="16" t="str">
        <f>equip.xml!P2285</f>
        <v>10000_1002_70000,30000_30001_1,30000_30002_1,30000_30003_1</v>
      </c>
      <c r="O2281">
        <f>equip.xml!R2285</f>
        <v>0</v>
      </c>
    </row>
    <row r="2282" spans="1:15">
      <c r="A2282" s="14">
        <f>equip.xml!A2286</f>
        <v>50953050</v>
      </c>
      <c r="B2282" s="14">
        <f>equip.xml!B2286</f>
        <v>1</v>
      </c>
      <c r="C2282" s="14" t="str">
        <f>equip.xml!C2286</f>
        <v>歼灭之杖</v>
      </c>
      <c r="D2282" s="14" t="str">
        <f>equip.xml!D2286</f>
        <v>主手武器</v>
      </c>
      <c r="E2282" s="14">
        <f>equip.xml!E2286</f>
        <v>5</v>
      </c>
      <c r="F2282" s="14">
        <f>equip.xml!F2286</f>
        <v>5</v>
      </c>
      <c r="G2282" s="14">
        <f>equip.xml!G2286</f>
        <v>95</v>
      </c>
      <c r="H2282" s="14" t="str">
        <f>equip.xml!H2286</f>
        <v>3,1003</v>
      </c>
      <c r="I2282" s="14">
        <f>equip.xml!J2286</f>
        <v>150</v>
      </c>
      <c r="J2282" s="14">
        <f>equip.xml!K2286</f>
        <v>1500</v>
      </c>
      <c r="K2282" s="14">
        <f>equip.xml!L2286</f>
        <v>50000</v>
      </c>
      <c r="L2282" s="14" t="str">
        <f>equip.xml!M2286</f>
        <v>103_6091_6091,104_12182_12182</v>
      </c>
      <c r="M2282" s="17" t="str">
        <f>equip.xml!Q2286</f>
        <v>equipment/1324.png</v>
      </c>
      <c r="N2282" s="16" t="str">
        <f>equip.xml!P2286</f>
        <v>10000_1002_70000,30000_30001_1,30000_30002_1,30000_30003_1</v>
      </c>
      <c r="O2282">
        <f>equip.xml!R2286</f>
        <v>0</v>
      </c>
    </row>
    <row r="2283" spans="1:15">
      <c r="A2283" s="14">
        <f>equip.xml!A2287</f>
        <v>50953051</v>
      </c>
      <c r="B2283" s="14">
        <f>equip.xml!B2287</f>
        <v>0</v>
      </c>
      <c r="C2283" s="14" t="str">
        <f>equip.xml!C2287</f>
        <v>末日降临</v>
      </c>
      <c r="D2283" s="14" t="str">
        <f>equip.xml!D2287</f>
        <v>主手武器</v>
      </c>
      <c r="E2283" s="14">
        <f>equip.xml!E2287</f>
        <v>5</v>
      </c>
      <c r="F2283" s="14">
        <f>equip.xml!F2287</f>
        <v>5</v>
      </c>
      <c r="G2283" s="14">
        <f>equip.xml!G2287</f>
        <v>95</v>
      </c>
      <c r="H2283" s="14" t="str">
        <f>equip.xml!H2287</f>
        <v>3,1003</v>
      </c>
      <c r="I2283" s="14">
        <f>equip.xml!J2287</f>
        <v>150</v>
      </c>
      <c r="J2283" s="14">
        <f>equip.xml!K2287</f>
        <v>1500</v>
      </c>
      <c r="K2283" s="14">
        <f>equip.xml!L2287</f>
        <v>52500</v>
      </c>
      <c r="L2283" s="14" t="str">
        <f>equip.xml!M2287</f>
        <v>103_6352_6352,104_12705_12705</v>
      </c>
      <c r="M2283" s="17" t="str">
        <f>equip.xml!Q2287</f>
        <v>equipment/1301.png</v>
      </c>
      <c r="N2283" s="16" t="str">
        <f>equip.xml!P2287</f>
        <v>10000_1002_70000,30000_30001_1,30000_30002_1,30000_30003_1</v>
      </c>
      <c r="O2283">
        <f>equip.xml!R2287</f>
        <v>0</v>
      </c>
    </row>
    <row r="2284" spans="1:15">
      <c r="A2284" s="14">
        <f>equip.xml!A2288</f>
        <v>50953060</v>
      </c>
      <c r="B2284" s="14">
        <f>equip.xml!B2288</f>
        <v>1</v>
      </c>
      <c r="C2284" s="14" t="str">
        <f>equip.xml!C2288</f>
        <v>聚能魔典</v>
      </c>
      <c r="D2284" s="14" t="str">
        <f>equip.xml!D2288</f>
        <v>副手武器</v>
      </c>
      <c r="E2284" s="14">
        <f>equip.xml!E2288</f>
        <v>6</v>
      </c>
      <c r="F2284" s="14">
        <f>equip.xml!F2288</f>
        <v>5</v>
      </c>
      <c r="G2284" s="14">
        <f>equip.xml!G2288</f>
        <v>95</v>
      </c>
      <c r="H2284" s="14" t="str">
        <f>equip.xml!H2288</f>
        <v>3,1003</v>
      </c>
      <c r="I2284" s="14">
        <f>equip.xml!J2288</f>
        <v>150</v>
      </c>
      <c r="J2284" s="14">
        <f>equip.xml!K2288</f>
        <v>1500</v>
      </c>
      <c r="K2284" s="14">
        <f>equip.xml!L2288</f>
        <v>50000</v>
      </c>
      <c r="L2284" s="14" t="str">
        <f>equip.xml!M2288</f>
        <v>102_4280_4280</v>
      </c>
      <c r="M2284" s="17" t="str">
        <f>equip.xml!Q2288</f>
        <v>equipment/2318.png</v>
      </c>
      <c r="N2284" s="16" t="str">
        <f>equip.xml!P2288</f>
        <v>10000_1002_70000,30000_30001_1,30000_30002_1,30000_30003_1</v>
      </c>
      <c r="O2284">
        <f>equip.xml!R2288</f>
        <v>0</v>
      </c>
    </row>
    <row r="2285" spans="1:15">
      <c r="A2285" s="14">
        <f>equip.xml!A2289</f>
        <v>50953061</v>
      </c>
      <c r="B2285" s="14">
        <f>equip.xml!B2289</f>
        <v>0</v>
      </c>
      <c r="C2285" s="14" t="str">
        <f>equip.xml!C2289</f>
        <v>启示圣典</v>
      </c>
      <c r="D2285" s="14" t="str">
        <f>equip.xml!D2289</f>
        <v>副手武器</v>
      </c>
      <c r="E2285" s="14">
        <f>equip.xml!E2289</f>
        <v>6</v>
      </c>
      <c r="F2285" s="14">
        <f>equip.xml!F2289</f>
        <v>5</v>
      </c>
      <c r="G2285" s="14">
        <f>equip.xml!G2289</f>
        <v>95</v>
      </c>
      <c r="H2285" s="14" t="str">
        <f>equip.xml!H2289</f>
        <v>3,1003</v>
      </c>
      <c r="I2285" s="14">
        <f>equip.xml!J2289</f>
        <v>150</v>
      </c>
      <c r="J2285" s="14">
        <f>equip.xml!K2289</f>
        <v>1500</v>
      </c>
      <c r="K2285" s="14">
        <f>equip.xml!L2289</f>
        <v>52500</v>
      </c>
      <c r="L2285" s="14" t="str">
        <f>equip.xml!M2289</f>
        <v>102_4390_4390</v>
      </c>
      <c r="M2285" s="17" t="str">
        <f>equip.xml!Q2289</f>
        <v>equipment/2301.png</v>
      </c>
      <c r="N2285" s="16" t="str">
        <f>equip.xml!P2289</f>
        <v>10000_1002_70000,30000_30001_1,30000_30002_1,30000_30003_1</v>
      </c>
      <c r="O2285">
        <f>equip.xml!R2289</f>
        <v>0</v>
      </c>
    </row>
    <row r="2286" spans="1:15">
      <c r="A2286" s="14">
        <f>equip.xml!A2290</f>
        <v>50950040</v>
      </c>
      <c r="B2286" s="14">
        <f>equip.xml!B2290</f>
        <v>1</v>
      </c>
      <c r="C2286" s="14" t="str">
        <f>equip.xml!C2290</f>
        <v>湮没胸甲</v>
      </c>
      <c r="D2286" s="14" t="str">
        <f>equip.xml!D2290</f>
        <v>胸甲</v>
      </c>
      <c r="E2286" s="14">
        <f>equip.xml!E2290</f>
        <v>4</v>
      </c>
      <c r="F2286" s="14">
        <f>equip.xml!F2290</f>
        <v>5</v>
      </c>
      <c r="G2286" s="14">
        <f>equip.xml!G2290</f>
        <v>95</v>
      </c>
      <c r="H2286" s="14">
        <f>equip.xml!H2290</f>
        <v>0</v>
      </c>
      <c r="I2286" s="14">
        <f>equip.xml!J2290</f>
        <v>150</v>
      </c>
      <c r="J2286" s="14">
        <f>equip.xml!K2290</f>
        <v>1500</v>
      </c>
      <c r="K2286" s="14">
        <f>equip.xml!L2290</f>
        <v>50000</v>
      </c>
      <c r="L2286" s="14" t="str">
        <f>equip.xml!M2290</f>
        <v>105_3837_3837</v>
      </c>
      <c r="M2286" s="17" t="str">
        <f>equip.xml!Q2290</f>
        <v>equipment/5001.png</v>
      </c>
      <c r="N2286" s="16" t="str">
        <f>equip.xml!P2290</f>
        <v>10000_1002_70000,30000_30001_1,30000_30002_1,30000_30003_1</v>
      </c>
      <c r="O2286">
        <f>equip.xml!R2290</f>
        <v>0</v>
      </c>
    </row>
    <row r="2287" spans="1:15">
      <c r="A2287" s="14">
        <f>equip.xml!A2291</f>
        <v>50950041</v>
      </c>
      <c r="B2287" s="14">
        <f>equip.xml!B2291</f>
        <v>0</v>
      </c>
      <c r="C2287" s="14" t="str">
        <f>equip.xml!C2291</f>
        <v>诸王战铠</v>
      </c>
      <c r="D2287" s="14" t="str">
        <f>equip.xml!D2291</f>
        <v>胸甲</v>
      </c>
      <c r="E2287" s="14">
        <f>equip.xml!E2291</f>
        <v>4</v>
      </c>
      <c r="F2287" s="14">
        <f>equip.xml!F2291</f>
        <v>5</v>
      </c>
      <c r="G2287" s="14">
        <f>equip.xml!G2291</f>
        <v>95</v>
      </c>
      <c r="H2287" s="14">
        <f>equip.xml!H2291</f>
        <v>0</v>
      </c>
      <c r="I2287" s="14">
        <f>equip.xml!J2291</f>
        <v>150</v>
      </c>
      <c r="J2287" s="14">
        <f>equip.xml!K2291</f>
        <v>1500</v>
      </c>
      <c r="K2287" s="14">
        <f>equip.xml!L2291</f>
        <v>52500</v>
      </c>
      <c r="L2287" s="14" t="str">
        <f>equip.xml!M2291</f>
        <v>105_4002_4002</v>
      </c>
      <c r="M2287" s="17" t="str">
        <f>equip.xml!Q2291</f>
        <v>equipment/5001.png</v>
      </c>
      <c r="N2287" s="16" t="str">
        <f>equip.xml!P2291</f>
        <v>10000_1002_70000,30000_30001_1,30000_30002_1,30000_30003_1</v>
      </c>
      <c r="O2287">
        <f>equip.xml!R2291</f>
        <v>0</v>
      </c>
    </row>
    <row r="2288" spans="1:15">
      <c r="A2288" s="14">
        <f>equip.xml!A2292</f>
        <v>50950070</v>
      </c>
      <c r="B2288" s="14">
        <f>equip.xml!B2292</f>
        <v>1</v>
      </c>
      <c r="C2288" s="14" t="str">
        <f>equip.xml!C2292</f>
        <v>魂卫护腿</v>
      </c>
      <c r="D2288" s="14" t="str">
        <f>equip.xml!D2292</f>
        <v>护腿</v>
      </c>
      <c r="E2288" s="14">
        <f>equip.xml!E2292</f>
        <v>7</v>
      </c>
      <c r="F2288" s="14">
        <f>equip.xml!F2292</f>
        <v>5</v>
      </c>
      <c r="G2288" s="14">
        <f>equip.xml!G2292</f>
        <v>95</v>
      </c>
      <c r="H2288" s="14">
        <f>equip.xml!H2292</f>
        <v>0</v>
      </c>
      <c r="I2288" s="14">
        <f>equip.xml!J2292</f>
        <v>150</v>
      </c>
      <c r="J2288" s="14">
        <f>equip.xml!K2292</f>
        <v>1500</v>
      </c>
      <c r="K2288" s="14">
        <f>equip.xml!L2292</f>
        <v>50000</v>
      </c>
      <c r="L2288" s="14" t="str">
        <f>equip.xml!M2292</f>
        <v>105_3837_3837</v>
      </c>
      <c r="M2288" s="17" t="str">
        <f>equip.xml!Q2292</f>
        <v>equipment/7001.png</v>
      </c>
      <c r="N2288" s="16" t="str">
        <f>equip.xml!P2292</f>
        <v>10000_1002_70000,30000_30001_1,30000_30002_1,30000_30003_1</v>
      </c>
      <c r="O2288">
        <f>equip.xml!R2292</f>
        <v>0</v>
      </c>
    </row>
    <row r="2289" spans="1:15">
      <c r="A2289" s="14">
        <f>equip.xml!A2293</f>
        <v>50950071</v>
      </c>
      <c r="B2289" s="14">
        <f>equip.xml!B2293</f>
        <v>0</v>
      </c>
      <c r="C2289" s="14" t="str">
        <f>equip.xml!C2293</f>
        <v>不朽护腿</v>
      </c>
      <c r="D2289" s="14" t="str">
        <f>equip.xml!D2293</f>
        <v>护腿</v>
      </c>
      <c r="E2289" s="14">
        <f>equip.xml!E2293</f>
        <v>7</v>
      </c>
      <c r="F2289" s="14">
        <f>equip.xml!F2293</f>
        <v>5</v>
      </c>
      <c r="G2289" s="14">
        <f>equip.xml!G2293</f>
        <v>95</v>
      </c>
      <c r="H2289" s="14">
        <f>equip.xml!H2293</f>
        <v>0</v>
      </c>
      <c r="I2289" s="14">
        <f>equip.xml!J2293</f>
        <v>150</v>
      </c>
      <c r="J2289" s="14">
        <f>equip.xml!K2293</f>
        <v>1500</v>
      </c>
      <c r="K2289" s="14">
        <f>equip.xml!L2293</f>
        <v>52500</v>
      </c>
      <c r="L2289" s="14" t="str">
        <f>equip.xml!M2293</f>
        <v>105_4002_4002</v>
      </c>
      <c r="M2289" s="17" t="str">
        <f>equip.xml!Q2293</f>
        <v>equipment/7001.png</v>
      </c>
      <c r="N2289" s="16" t="str">
        <f>equip.xml!P2293</f>
        <v>10000_1002_70000,30000_30001_1,30000_30002_1,30000_30003_1</v>
      </c>
      <c r="O2289">
        <f>equip.xml!R2293</f>
        <v>0</v>
      </c>
    </row>
    <row r="2290" spans="1:15">
      <c r="A2290" s="14">
        <f>equip.xml!A2294</f>
        <v>51000010</v>
      </c>
      <c r="B2290" s="14">
        <f>equip.xml!B2294</f>
        <v>0</v>
      </c>
      <c r="C2290" s="14" t="str">
        <f>equip.xml!C2294</f>
        <v>天灾统领</v>
      </c>
      <c r="D2290" s="14" t="str">
        <f>equip.xml!D2294</f>
        <v>头盔</v>
      </c>
      <c r="E2290" s="14">
        <f>equip.xml!E2294</f>
        <v>1</v>
      </c>
      <c r="F2290" s="14">
        <f>equip.xml!F2294</f>
        <v>5</v>
      </c>
      <c r="G2290" s="14">
        <f>equip.xml!G2294</f>
        <v>100</v>
      </c>
      <c r="H2290" s="14">
        <f>equip.xml!H2294</f>
        <v>0</v>
      </c>
      <c r="I2290" s="14">
        <f>equip.xml!J2294</f>
        <v>150</v>
      </c>
      <c r="J2290" s="14">
        <f>equip.xml!K2294</f>
        <v>1500</v>
      </c>
      <c r="K2290" s="14">
        <f>equip.xml!L2294</f>
        <v>52500</v>
      </c>
      <c r="L2290" s="14" t="str">
        <f>equip.xml!M2294</f>
        <v>106_6460_6460</v>
      </c>
      <c r="M2290" s="17" t="str">
        <f>equip.xml!Q2294</f>
        <v>equipment/3001.png</v>
      </c>
      <c r="N2290" s="16" t="str">
        <f>equip.xml!P2294</f>
        <v>10000_1002_70000,30000_30001_1,30000_30002_1,30000_30003_1</v>
      </c>
      <c r="O2290">
        <f>equip.xml!R2294</f>
        <v>0</v>
      </c>
    </row>
    <row r="2291" spans="1:15">
      <c r="A2291" s="14">
        <f>equip.xml!A2295</f>
        <v>51000020</v>
      </c>
      <c r="B2291" s="14">
        <f>equip.xml!B2295</f>
        <v>0</v>
      </c>
      <c r="C2291" s="14" t="str">
        <f>equip.xml!C2295</f>
        <v>镇魂挽歌</v>
      </c>
      <c r="D2291" s="14" t="str">
        <f>equip.xml!D2295</f>
        <v>戒指</v>
      </c>
      <c r="E2291" s="14">
        <f>equip.xml!E2295</f>
        <v>2</v>
      </c>
      <c r="F2291" s="14">
        <f>equip.xml!F2295</f>
        <v>5</v>
      </c>
      <c r="G2291" s="14">
        <f>equip.xml!G2295</f>
        <v>100</v>
      </c>
      <c r="H2291" s="14">
        <f>equip.xml!H2295</f>
        <v>0</v>
      </c>
      <c r="I2291" s="14">
        <f>equip.xml!J2295</f>
        <v>150</v>
      </c>
      <c r="J2291" s="14">
        <f>equip.xml!K2295</f>
        <v>1500</v>
      </c>
      <c r="K2291" s="14">
        <f>equip.xml!L2295</f>
        <v>52500</v>
      </c>
      <c r="L2291" s="14" t="str">
        <f>equip.xml!M2295</f>
        <v>102_2360_2360</v>
      </c>
      <c r="M2291" s="17" t="str">
        <f>equip.xml!Q2295</f>
        <v>equipment/14001.png</v>
      </c>
      <c r="N2291" s="16" t="str">
        <f>equip.xml!P2295</f>
        <v>10000_1002_70000,30000_30001_1,30000_30002_1,30000_30003_1</v>
      </c>
      <c r="O2291">
        <f>equip.xml!R2295</f>
        <v>0</v>
      </c>
    </row>
    <row r="2292" spans="1:15">
      <c r="A2292" s="14">
        <f>equip.xml!A2296</f>
        <v>51000030</v>
      </c>
      <c r="B2292" s="14">
        <f>equip.xml!B2296</f>
        <v>0</v>
      </c>
      <c r="C2292" s="14" t="str">
        <f>equip.xml!C2296</f>
        <v>雷霆护腰</v>
      </c>
      <c r="D2292" s="14" t="str">
        <f>equip.xml!D2296</f>
        <v>腰带</v>
      </c>
      <c r="E2292" s="14">
        <f>equip.xml!E2296</f>
        <v>3</v>
      </c>
      <c r="F2292" s="14">
        <f>equip.xml!F2296</f>
        <v>5</v>
      </c>
      <c r="G2292" s="14">
        <f>equip.xml!G2296</f>
        <v>100</v>
      </c>
      <c r="H2292" s="14">
        <f>equip.xml!H2296</f>
        <v>0</v>
      </c>
      <c r="I2292" s="14">
        <f>equip.xml!J2296</f>
        <v>150</v>
      </c>
      <c r="J2292" s="14">
        <f>equip.xml!K2296</f>
        <v>1500</v>
      </c>
      <c r="K2292" s="14">
        <f>equip.xml!L2296</f>
        <v>52500</v>
      </c>
      <c r="L2292" s="14" t="str">
        <f>equip.xml!M2296</f>
        <v>101_36120_36120</v>
      </c>
      <c r="M2292" s="17" t="str">
        <f>equip.xml!Q2296</f>
        <v>equipment/6001.png</v>
      </c>
      <c r="N2292" s="16" t="str">
        <f>equip.xml!P2296</f>
        <v>10000_1002_70000,30000_30001_1,30000_30002_1,30000_30003_1</v>
      </c>
      <c r="O2292">
        <f>equip.xml!R2296</f>
        <v>0</v>
      </c>
    </row>
    <row r="2293" spans="1:15">
      <c r="A2293" s="14">
        <f>equip.xml!A2297</f>
        <v>51000080</v>
      </c>
      <c r="B2293" s="14">
        <f>equip.xml!B2297</f>
        <v>0</v>
      </c>
      <c r="C2293" s="14" t="str">
        <f>equip.xml!C2297</f>
        <v>星旅之靴</v>
      </c>
      <c r="D2293" s="14" t="str">
        <f>equip.xml!D2297</f>
        <v>鞋子</v>
      </c>
      <c r="E2293" s="14">
        <f>equip.xml!E2297</f>
        <v>8</v>
      </c>
      <c r="F2293" s="14">
        <f>equip.xml!F2297</f>
        <v>5</v>
      </c>
      <c r="G2293" s="14">
        <f>equip.xml!G2297</f>
        <v>100</v>
      </c>
      <c r="H2293" s="14">
        <f>equip.xml!H2297</f>
        <v>0</v>
      </c>
      <c r="I2293" s="14">
        <f>equip.xml!J2297</f>
        <v>150</v>
      </c>
      <c r="J2293" s="14">
        <f>equip.xml!K2297</f>
        <v>1500</v>
      </c>
      <c r="K2293" s="14">
        <f>equip.xml!L2297</f>
        <v>52500</v>
      </c>
      <c r="L2293" s="14" t="str">
        <f>equip.xml!M2297</f>
        <v>110_871_871</v>
      </c>
      <c r="M2293" s="17" t="str">
        <f>equip.xml!Q2297</f>
        <v>equipment/8001.png</v>
      </c>
      <c r="N2293" s="16" t="str">
        <f>equip.xml!P2297</f>
        <v>10000_1002_70000,30000_30001_1,30000_30002_1,30000_30003_1</v>
      </c>
      <c r="O2293">
        <f>equip.xml!R2297</f>
        <v>0</v>
      </c>
    </row>
    <row r="2294" spans="1:15">
      <c r="A2294" s="14">
        <f>equip.xml!A2298</f>
        <v>51000090</v>
      </c>
      <c r="B2294" s="14">
        <f>equip.xml!B2298</f>
        <v>0</v>
      </c>
      <c r="C2294" s="14" t="str">
        <f>equip.xml!C2298</f>
        <v>泰坦之拳</v>
      </c>
      <c r="D2294" s="14" t="str">
        <f>equip.xml!D2298</f>
        <v>手套</v>
      </c>
      <c r="E2294" s="14">
        <f>equip.xml!E2298</f>
        <v>9</v>
      </c>
      <c r="F2294" s="14">
        <f>equip.xml!F2298</f>
        <v>5</v>
      </c>
      <c r="G2294" s="14">
        <f>equip.xml!G2298</f>
        <v>100</v>
      </c>
      <c r="H2294" s="14">
        <f>equip.xml!H2298</f>
        <v>0</v>
      </c>
      <c r="I2294" s="14">
        <f>equip.xml!J2298</f>
        <v>150</v>
      </c>
      <c r="J2294" s="14">
        <f>equip.xml!K2298</f>
        <v>1500</v>
      </c>
      <c r="K2294" s="14">
        <f>equip.xml!L2298</f>
        <v>52500</v>
      </c>
      <c r="L2294" s="14" t="str">
        <f>equip.xml!M2298</f>
        <v>108_7588_7588</v>
      </c>
      <c r="M2294" s="17" t="str">
        <f>equip.xml!Q2298</f>
        <v>equipment/10001.png</v>
      </c>
      <c r="N2294" s="16" t="str">
        <f>equip.xml!P2298</f>
        <v>10000_1002_70000,30000_30001_1,30000_30002_1,30000_30003_1</v>
      </c>
      <c r="O2294">
        <f>equip.xml!R2298</f>
        <v>0</v>
      </c>
    </row>
    <row r="2295" spans="1:15">
      <c r="A2295" s="14">
        <f>equip.xml!A2299</f>
        <v>51000100</v>
      </c>
      <c r="B2295" s="14">
        <f>equip.xml!B2299</f>
        <v>0</v>
      </c>
      <c r="C2295" s="14" t="str">
        <f>equip.xml!C2299</f>
        <v>永志不渝</v>
      </c>
      <c r="D2295" s="14" t="str">
        <f>equip.xml!D2299</f>
        <v>项链</v>
      </c>
      <c r="E2295" s="14">
        <f>equip.xml!E2299</f>
        <v>10</v>
      </c>
      <c r="F2295" s="14">
        <f>equip.xml!F2299</f>
        <v>5</v>
      </c>
      <c r="G2295" s="14">
        <f>equip.xml!G2299</f>
        <v>100</v>
      </c>
      <c r="H2295" s="14">
        <f>equip.xml!H2299</f>
        <v>0</v>
      </c>
      <c r="I2295" s="14">
        <f>equip.xml!J2299</f>
        <v>150</v>
      </c>
      <c r="J2295" s="14">
        <f>equip.xml!K2299</f>
        <v>1500</v>
      </c>
      <c r="K2295" s="14">
        <f>equip.xml!L2299</f>
        <v>52500</v>
      </c>
      <c r="L2295" s="14" t="str">
        <f>equip.xml!M2299</f>
        <v>107_6460_6460</v>
      </c>
      <c r="M2295" s="17" t="str">
        <f>equip.xml!Q2299</f>
        <v>equipment/12001.png</v>
      </c>
      <c r="N2295" s="16" t="str">
        <f>equip.xml!P2299</f>
        <v>10000_1002_70000,30000_30001_1,30000_30002_1,30000_30003_1</v>
      </c>
      <c r="O2295">
        <f>equip.xml!R2299</f>
        <v>0</v>
      </c>
    </row>
    <row r="2296" spans="1:15">
      <c r="A2296" s="14">
        <f>equip.xml!A2300</f>
        <v>51001050</v>
      </c>
      <c r="B2296" s="14">
        <f>equip.xml!B2300</f>
        <v>0</v>
      </c>
      <c r="C2296" s="14" t="str">
        <f>equip.xml!C2300</f>
        <v>毁天灭地</v>
      </c>
      <c r="D2296" s="14" t="str">
        <f>equip.xml!D2300</f>
        <v>主手武器</v>
      </c>
      <c r="E2296" s="14">
        <f>equip.xml!E2300</f>
        <v>5</v>
      </c>
      <c r="F2296" s="14">
        <f>equip.xml!F2300</f>
        <v>5</v>
      </c>
      <c r="G2296" s="14">
        <f>equip.xml!G2300</f>
        <v>100</v>
      </c>
      <c r="H2296" s="14" t="str">
        <f>equip.xml!H2300</f>
        <v>1,1001</v>
      </c>
      <c r="I2296" s="14">
        <f>equip.xml!J2300</f>
        <v>150</v>
      </c>
      <c r="J2296" s="14">
        <f>equip.xml!K2300</f>
        <v>1500</v>
      </c>
      <c r="K2296" s="14">
        <f>equip.xml!L2300</f>
        <v>52500</v>
      </c>
      <c r="L2296" s="14" t="str">
        <f>equip.xml!M2300</f>
        <v>103_6744_6744,104_13489_13489</v>
      </c>
      <c r="M2296" s="17" t="str">
        <f>equip.xml!Q2300</f>
        <v>equipment/1124.png</v>
      </c>
      <c r="N2296" s="16" t="str">
        <f>equip.xml!P2300</f>
        <v>10000_1002_70000,30000_30001_1,30000_30002_1,30000_30003_1</v>
      </c>
      <c r="O2296">
        <f>equip.xml!R2300</f>
        <v>0</v>
      </c>
    </row>
    <row r="2297" spans="1:15">
      <c r="A2297" s="14">
        <f>equip.xml!A2301</f>
        <v>51001051</v>
      </c>
      <c r="B2297" s="14">
        <f>equip.xml!B2301</f>
        <v>0</v>
      </c>
      <c r="C2297" s="14" t="str">
        <f>equip.xml!C2301</f>
        <v>灰烬使者</v>
      </c>
      <c r="D2297" s="14" t="str">
        <f>equip.xml!D2301</f>
        <v>主手武器</v>
      </c>
      <c r="E2297" s="14">
        <f>equip.xml!E2301</f>
        <v>5</v>
      </c>
      <c r="F2297" s="14">
        <f>equip.xml!F2301</f>
        <v>5</v>
      </c>
      <c r="G2297" s="14">
        <f>equip.xml!G2301</f>
        <v>100</v>
      </c>
      <c r="H2297" s="14" t="str">
        <f>equip.xml!H2301</f>
        <v>1,1001</v>
      </c>
      <c r="I2297" s="14">
        <f>equip.xml!J2301</f>
        <v>150</v>
      </c>
      <c r="J2297" s="14">
        <f>equip.xml!K2301</f>
        <v>1500</v>
      </c>
      <c r="K2297" s="14">
        <f>equip.xml!L2301</f>
        <v>55000</v>
      </c>
      <c r="L2297" s="14" t="str">
        <f>equip.xml!M2301</f>
        <v>103_0_0</v>
      </c>
      <c r="M2297" s="17" t="str">
        <f>equip.xml!Q2301</f>
        <v>equipment/1101.png</v>
      </c>
      <c r="N2297" s="16" t="str">
        <f>equip.xml!P2301</f>
        <v>10000_1002_70000,30000_30001_1,30000_30002_1,30000_30003_1</v>
      </c>
      <c r="O2297">
        <f>equip.xml!R2301</f>
        <v>0</v>
      </c>
    </row>
    <row r="2298" spans="1:15">
      <c r="A2298" s="14">
        <f>equip.xml!A2302</f>
        <v>51001060</v>
      </c>
      <c r="B2298" s="14">
        <f>equip.xml!B2302</f>
        <v>0</v>
      </c>
      <c r="C2298" s="14" t="str">
        <f>equip.xml!C2302</f>
        <v>叹息之墙</v>
      </c>
      <c r="D2298" s="14" t="str">
        <f>equip.xml!D2302</f>
        <v>副手武器</v>
      </c>
      <c r="E2298" s="14">
        <f>equip.xml!E2302</f>
        <v>6</v>
      </c>
      <c r="F2298" s="14">
        <f>equip.xml!F2302</f>
        <v>5</v>
      </c>
      <c r="G2298" s="14">
        <f>equip.xml!G2302</f>
        <v>100</v>
      </c>
      <c r="H2298" s="14" t="str">
        <f>equip.xml!H2302</f>
        <v>1,1001</v>
      </c>
      <c r="I2298" s="14">
        <f>equip.xml!J2302</f>
        <v>150</v>
      </c>
      <c r="J2298" s="14">
        <f>equip.xml!K2302</f>
        <v>1500</v>
      </c>
      <c r="K2298" s="14">
        <f>equip.xml!L2302</f>
        <v>52500</v>
      </c>
      <c r="L2298" s="14" t="str">
        <f>equip.xml!M2302</f>
        <v>105_6070_6070</v>
      </c>
      <c r="M2298" s="17" t="str">
        <f>equip.xml!Q2302</f>
        <v>equipment/2118.png</v>
      </c>
      <c r="N2298" s="16" t="str">
        <f>equip.xml!P2302</f>
        <v>10000_1002_70000,30000_30001_1,30000_30002_1,30000_30003_1</v>
      </c>
      <c r="O2298">
        <f>equip.xml!R2302</f>
        <v>0</v>
      </c>
    </row>
    <row r="2299" spans="1:15">
      <c r="A2299" s="14">
        <f>equip.xml!A2303</f>
        <v>51001061</v>
      </c>
      <c r="B2299" s="14">
        <f>equip.xml!B2303</f>
        <v>0</v>
      </c>
      <c r="C2299" s="14" t="str">
        <f>equip.xml!C2303</f>
        <v>叹息之墙</v>
      </c>
      <c r="D2299" s="14" t="str">
        <f>equip.xml!D2303</f>
        <v>副手武器</v>
      </c>
      <c r="E2299" s="14">
        <f>equip.xml!E2303</f>
        <v>6</v>
      </c>
      <c r="F2299" s="14">
        <f>equip.xml!F2303</f>
        <v>5</v>
      </c>
      <c r="G2299" s="14">
        <f>equip.xml!G2303</f>
        <v>100</v>
      </c>
      <c r="H2299" s="14" t="str">
        <f>equip.xml!H2303</f>
        <v>1,1001</v>
      </c>
      <c r="I2299" s="14">
        <f>equip.xml!J2303</f>
        <v>150</v>
      </c>
      <c r="J2299" s="14">
        <f>equip.xml!K2303</f>
        <v>1500</v>
      </c>
      <c r="K2299" s="14">
        <f>equip.xml!L2303</f>
        <v>55000</v>
      </c>
      <c r="L2299" s="14" t="str">
        <f>equip.xml!M2303</f>
        <v>105_0_0</v>
      </c>
      <c r="M2299" s="17" t="str">
        <f>equip.xml!Q2303</f>
        <v>equipment/2101.png</v>
      </c>
      <c r="N2299" s="16" t="str">
        <f>equip.xml!P2303</f>
        <v>10000_1002_70000,30000_30001_1,30000_30002_1,30000_30003_1</v>
      </c>
      <c r="O2299">
        <f>equip.xml!R2303</f>
        <v>0</v>
      </c>
    </row>
    <row r="2300" spans="1:15">
      <c r="A2300" s="14">
        <f>equip.xml!A2304</f>
        <v>51002050</v>
      </c>
      <c r="B2300" s="14">
        <f>equip.xml!B2304</f>
        <v>0</v>
      </c>
      <c r="C2300" s="14" t="str">
        <f>equip.xml!C2304</f>
        <v>苍穹怒火</v>
      </c>
      <c r="D2300" s="14" t="str">
        <f>equip.xml!D2304</f>
        <v>主手武器</v>
      </c>
      <c r="E2300" s="14">
        <f>equip.xml!E2304</f>
        <v>5</v>
      </c>
      <c r="F2300" s="14">
        <f>equip.xml!F2304</f>
        <v>5</v>
      </c>
      <c r="G2300" s="14">
        <f>equip.xml!G2304</f>
        <v>100</v>
      </c>
      <c r="H2300" s="14" t="str">
        <f>equip.xml!H2304</f>
        <v>2,1002</v>
      </c>
      <c r="I2300" s="14">
        <f>equip.xml!J2304</f>
        <v>150</v>
      </c>
      <c r="J2300" s="14">
        <f>equip.xml!K2304</f>
        <v>1500</v>
      </c>
      <c r="K2300" s="14">
        <f>equip.xml!L2304</f>
        <v>52500</v>
      </c>
      <c r="L2300" s="14" t="str">
        <f>equip.xml!M2304</f>
        <v>103_6744_6744,104_13489_13489</v>
      </c>
      <c r="M2300" s="17" t="str">
        <f>equip.xml!Q2304</f>
        <v>equipment/1222.png</v>
      </c>
      <c r="N2300" s="16" t="str">
        <f>equip.xml!P2304</f>
        <v>10000_1002_70000,30000_30001_1,30000_30002_1,30000_30003_1</v>
      </c>
      <c r="O2300">
        <f>equip.xml!R2304</f>
        <v>0</v>
      </c>
    </row>
    <row r="2301" spans="1:15">
      <c r="A2301" s="14">
        <f>equip.xml!A2305</f>
        <v>51002051</v>
      </c>
      <c r="B2301" s="14">
        <f>equip.xml!B2305</f>
        <v>0</v>
      </c>
      <c r="C2301" s="14" t="str">
        <f>equip.xml!C2305</f>
        <v>群星之怒</v>
      </c>
      <c r="D2301" s="14" t="str">
        <f>equip.xml!D2305</f>
        <v>主手武器</v>
      </c>
      <c r="E2301" s="14">
        <f>equip.xml!E2305</f>
        <v>5</v>
      </c>
      <c r="F2301" s="14">
        <f>equip.xml!F2305</f>
        <v>5</v>
      </c>
      <c r="G2301" s="14">
        <f>equip.xml!G2305</f>
        <v>100</v>
      </c>
      <c r="H2301" s="14" t="str">
        <f>equip.xml!H2305</f>
        <v>2,1002</v>
      </c>
      <c r="I2301" s="14">
        <f>equip.xml!J2305</f>
        <v>150</v>
      </c>
      <c r="J2301" s="14">
        <f>equip.xml!K2305</f>
        <v>1500</v>
      </c>
      <c r="K2301" s="14">
        <f>equip.xml!L2305</f>
        <v>55000</v>
      </c>
      <c r="L2301" s="14" t="str">
        <f>equip.xml!M2305</f>
        <v>103_0_0</v>
      </c>
      <c r="M2301" s="17" t="str">
        <f>equip.xml!Q2305</f>
        <v>equipment/1201.png</v>
      </c>
      <c r="N2301" s="16" t="str">
        <f>equip.xml!P2305</f>
        <v>10000_1002_70000,30000_30001_1,30000_30002_1,30000_30003_1</v>
      </c>
      <c r="O2301">
        <f>equip.xml!R2305</f>
        <v>0</v>
      </c>
    </row>
    <row r="2302" spans="1:15">
      <c r="A2302" s="14">
        <f>equip.xml!A2306</f>
        <v>51002060</v>
      </c>
      <c r="B2302" s="14">
        <f>equip.xml!B2306</f>
        <v>0</v>
      </c>
      <c r="C2302" s="14" t="str">
        <f>equip.xml!C2306</f>
        <v>天际之矢</v>
      </c>
      <c r="D2302" s="14" t="str">
        <f>equip.xml!D2306</f>
        <v>副手武器</v>
      </c>
      <c r="E2302" s="14">
        <f>equip.xml!E2306</f>
        <v>6</v>
      </c>
      <c r="F2302" s="14">
        <f>equip.xml!F2306</f>
        <v>5</v>
      </c>
      <c r="G2302" s="14">
        <f>equip.xml!G2306</f>
        <v>100</v>
      </c>
      <c r="H2302" s="14" t="str">
        <f>equip.xml!H2306</f>
        <v>2,1002</v>
      </c>
      <c r="I2302" s="14">
        <f>equip.xml!J2306</f>
        <v>150</v>
      </c>
      <c r="J2302" s="14">
        <f>equip.xml!K2306</f>
        <v>1500</v>
      </c>
      <c r="K2302" s="14">
        <f>equip.xml!L2306</f>
        <v>52500</v>
      </c>
      <c r="L2302" s="14" t="str">
        <f>equip.xml!M2306</f>
        <v>108_6070_6070</v>
      </c>
      <c r="M2302" s="17" t="str">
        <f>equip.xml!Q2306</f>
        <v>equipment/2218.png</v>
      </c>
      <c r="N2302" s="16" t="str">
        <f>equip.xml!P2306</f>
        <v>10000_1002_70000,30000_30001_1,30000_30002_1,30000_30003_1</v>
      </c>
      <c r="O2302">
        <f>equip.xml!R2306</f>
        <v>0</v>
      </c>
    </row>
    <row r="2303" spans="1:15">
      <c r="A2303" s="14">
        <f>equip.xml!A2307</f>
        <v>51002061</v>
      </c>
      <c r="B2303" s="14">
        <f>equip.xml!B2307</f>
        <v>0</v>
      </c>
      <c r="C2303" s="14" t="str">
        <f>equip.xml!C2307</f>
        <v>天际之矢</v>
      </c>
      <c r="D2303" s="14" t="str">
        <f>equip.xml!D2307</f>
        <v>副手武器</v>
      </c>
      <c r="E2303" s="14">
        <f>equip.xml!E2307</f>
        <v>6</v>
      </c>
      <c r="F2303" s="14">
        <f>equip.xml!F2307</f>
        <v>5</v>
      </c>
      <c r="G2303" s="14">
        <f>equip.xml!G2307</f>
        <v>100</v>
      </c>
      <c r="H2303" s="14" t="str">
        <f>equip.xml!H2307</f>
        <v>2,1002</v>
      </c>
      <c r="I2303" s="14">
        <f>equip.xml!J2307</f>
        <v>150</v>
      </c>
      <c r="J2303" s="14">
        <f>equip.xml!K2307</f>
        <v>1500</v>
      </c>
      <c r="K2303" s="14">
        <f>equip.xml!L2307</f>
        <v>55000</v>
      </c>
      <c r="L2303" s="14" t="str">
        <f>equip.xml!M2307</f>
        <v>108_0_0</v>
      </c>
      <c r="M2303" s="17" t="str">
        <f>equip.xml!Q2307</f>
        <v>equipment/2201.png</v>
      </c>
      <c r="N2303" s="16" t="str">
        <f>equip.xml!P2307</f>
        <v>10000_1002_70000,30000_30001_1,30000_30002_1,30000_30003_1</v>
      </c>
      <c r="O2303">
        <f>equip.xml!R2307</f>
        <v>0</v>
      </c>
    </row>
    <row r="2304" spans="1:15">
      <c r="A2304" s="14">
        <f>equip.xml!A2308</f>
        <v>51003050</v>
      </c>
      <c r="B2304" s="14">
        <f>equip.xml!B2308</f>
        <v>0</v>
      </c>
      <c r="C2304" s="14" t="str">
        <f>equip.xml!C2308</f>
        <v>混沌终幕</v>
      </c>
      <c r="D2304" s="14" t="str">
        <f>equip.xml!D2308</f>
        <v>主手武器</v>
      </c>
      <c r="E2304" s="14">
        <f>equip.xml!E2308</f>
        <v>5</v>
      </c>
      <c r="F2304" s="14">
        <f>equip.xml!F2308</f>
        <v>5</v>
      </c>
      <c r="G2304" s="14">
        <f>equip.xml!G2308</f>
        <v>100</v>
      </c>
      <c r="H2304" s="14" t="str">
        <f>equip.xml!H2308</f>
        <v>3,1003</v>
      </c>
      <c r="I2304" s="14">
        <f>equip.xml!J2308</f>
        <v>150</v>
      </c>
      <c r="J2304" s="14">
        <f>equip.xml!K2308</f>
        <v>1500</v>
      </c>
      <c r="K2304" s="14">
        <f>equip.xml!L2308</f>
        <v>52500</v>
      </c>
      <c r="L2304" s="14" t="str">
        <f>equip.xml!M2308</f>
        <v>103_6744_6744,104_13489_13489</v>
      </c>
      <c r="M2304" s="17" t="str">
        <f>equip.xml!Q2308</f>
        <v>equipment/1324.png</v>
      </c>
      <c r="N2304" s="16" t="str">
        <f>equip.xml!P2308</f>
        <v>10000_1002_70000,30000_30001_1,30000_30002_1,30000_30003_1</v>
      </c>
      <c r="O2304">
        <f>equip.xml!R2308</f>
        <v>0</v>
      </c>
    </row>
    <row r="2305" spans="1:15">
      <c r="A2305" s="14">
        <f>equip.xml!A2309</f>
        <v>51003051</v>
      </c>
      <c r="B2305" s="14">
        <f>equip.xml!B2309</f>
        <v>0</v>
      </c>
      <c r="C2305" s="14" t="str">
        <f>equip.xml!C2309</f>
        <v>埃提耶什，守护者的传说之杖</v>
      </c>
      <c r="D2305" s="14" t="str">
        <f>equip.xml!D2309</f>
        <v>主手武器</v>
      </c>
      <c r="E2305" s="14">
        <f>equip.xml!E2309</f>
        <v>5</v>
      </c>
      <c r="F2305" s="14">
        <f>equip.xml!F2309</f>
        <v>5</v>
      </c>
      <c r="G2305" s="14">
        <f>equip.xml!G2309</f>
        <v>100</v>
      </c>
      <c r="H2305" s="14" t="str">
        <f>equip.xml!H2309</f>
        <v>3,1003</v>
      </c>
      <c r="I2305" s="14">
        <f>equip.xml!J2309</f>
        <v>150</v>
      </c>
      <c r="J2305" s="14">
        <f>equip.xml!K2309</f>
        <v>1500</v>
      </c>
      <c r="K2305" s="14">
        <f>equip.xml!L2309</f>
        <v>55000</v>
      </c>
      <c r="L2305" s="14" t="str">
        <f>equip.xml!M2309</f>
        <v>103_0_0</v>
      </c>
      <c r="M2305" s="17" t="str">
        <f>equip.xml!Q2309</f>
        <v>equipment/1301.png</v>
      </c>
      <c r="N2305" s="16" t="str">
        <f>equip.xml!P2309</f>
        <v>10000_1002_70000,30000_30001_1,30000_30002_1,30000_30003_1</v>
      </c>
      <c r="O2305">
        <f>equip.xml!R2309</f>
        <v>0</v>
      </c>
    </row>
    <row r="2306" spans="1:15">
      <c r="A2306" s="14">
        <f>equip.xml!A2310</f>
        <v>51003060</v>
      </c>
      <c r="B2306" s="14">
        <f>equip.xml!B2310</f>
        <v>0</v>
      </c>
      <c r="C2306" s="14" t="str">
        <f>equip.xml!C2310</f>
        <v>决战之书</v>
      </c>
      <c r="D2306" s="14" t="str">
        <f>equip.xml!D2310</f>
        <v>副手武器</v>
      </c>
      <c r="E2306" s="14">
        <f>equip.xml!E2310</f>
        <v>6</v>
      </c>
      <c r="F2306" s="14">
        <f>equip.xml!F2310</f>
        <v>5</v>
      </c>
      <c r="G2306" s="14">
        <f>equip.xml!G2310</f>
        <v>100</v>
      </c>
      <c r="H2306" s="14" t="str">
        <f>equip.xml!H2310</f>
        <v>3,1003</v>
      </c>
      <c r="I2306" s="14">
        <f>equip.xml!J2310</f>
        <v>150</v>
      </c>
      <c r="J2306" s="14">
        <f>equip.xml!K2310</f>
        <v>1500</v>
      </c>
      <c r="K2306" s="14">
        <f>equip.xml!L2310</f>
        <v>52500</v>
      </c>
      <c r="L2306" s="14" t="str">
        <f>equip.xml!M2310</f>
        <v>102_4560_4560</v>
      </c>
      <c r="M2306" s="17" t="str">
        <f>equip.xml!Q2310</f>
        <v>equipment/2318.png</v>
      </c>
      <c r="N2306" s="16" t="str">
        <f>equip.xml!P2310</f>
        <v>10000_1002_70000,30000_30001_1,30000_30002_1,30000_30003_1</v>
      </c>
      <c r="O2306">
        <f>equip.xml!R2310</f>
        <v>0</v>
      </c>
    </row>
    <row r="2307" spans="1:15">
      <c r="A2307" s="14">
        <f>equip.xml!A2311</f>
        <v>51003061</v>
      </c>
      <c r="B2307" s="14">
        <f>equip.xml!B2311</f>
        <v>0</v>
      </c>
      <c r="C2307" s="14" t="str">
        <f>equip.xml!C2311</f>
        <v>诸界流声</v>
      </c>
      <c r="D2307" s="14" t="str">
        <f>equip.xml!D2311</f>
        <v>副手武器</v>
      </c>
      <c r="E2307" s="14">
        <f>equip.xml!E2311</f>
        <v>6</v>
      </c>
      <c r="F2307" s="14">
        <f>equip.xml!F2311</f>
        <v>5</v>
      </c>
      <c r="G2307" s="14">
        <f>equip.xml!G2311</f>
        <v>100</v>
      </c>
      <c r="H2307" s="14" t="str">
        <f>equip.xml!H2311</f>
        <v>3,1003</v>
      </c>
      <c r="I2307" s="14">
        <f>equip.xml!J2311</f>
        <v>150</v>
      </c>
      <c r="J2307" s="14">
        <f>equip.xml!K2311</f>
        <v>1500</v>
      </c>
      <c r="K2307" s="14">
        <f>equip.xml!L2311</f>
        <v>55000</v>
      </c>
      <c r="L2307" s="14" t="str">
        <f>equip.xml!M2311</f>
        <v>102_0_0</v>
      </c>
      <c r="M2307" s="17" t="str">
        <f>equip.xml!Q2311</f>
        <v>equipment/2301.png</v>
      </c>
      <c r="N2307" s="16" t="str">
        <f>equip.xml!P2311</f>
        <v>10000_1002_70000,30000_30001_1,30000_30002_1,30000_30003_1</v>
      </c>
      <c r="O2307">
        <f>equip.xml!R2311</f>
        <v>0</v>
      </c>
    </row>
    <row r="2308" spans="1:15">
      <c r="A2308" s="14">
        <f>equip.xml!A2312</f>
        <v>51000040</v>
      </c>
      <c r="B2308" s="14">
        <f>equip.xml!B2312</f>
        <v>0</v>
      </c>
      <c r="C2308" s="14" t="str">
        <f>equip.xml!C2312</f>
        <v>光明圣铠</v>
      </c>
      <c r="D2308" s="14" t="str">
        <f>equip.xml!D2312</f>
        <v>胸甲</v>
      </c>
      <c r="E2308" s="14">
        <f>equip.xml!E2312</f>
        <v>4</v>
      </c>
      <c r="F2308" s="14">
        <f>equip.xml!F2312</f>
        <v>5</v>
      </c>
      <c r="G2308" s="14">
        <f>equip.xml!G2312</f>
        <v>100</v>
      </c>
      <c r="H2308" s="14">
        <f>equip.xml!H2312</f>
        <v>0</v>
      </c>
      <c r="I2308" s="14">
        <f>equip.xml!J2312</f>
        <v>150</v>
      </c>
      <c r="J2308" s="14">
        <f>equip.xml!K2312</f>
        <v>1500</v>
      </c>
      <c r="K2308" s="14">
        <f>equip.xml!L2312</f>
        <v>52500</v>
      </c>
      <c r="L2308" s="14" t="str">
        <f>equip.xml!M2312</f>
        <v>105_4249_4249</v>
      </c>
      <c r="M2308" s="17" t="str">
        <f>equip.xml!Q2312</f>
        <v>equipment/5001.png</v>
      </c>
      <c r="N2308" s="16" t="str">
        <f>equip.xml!P2312</f>
        <v>10000_1002_70000,30000_30001_1,30000_30002_1,30000_30003_1</v>
      </c>
      <c r="O2308">
        <f>equip.xml!R2312</f>
        <v>0</v>
      </c>
    </row>
    <row r="2309" spans="1:15">
      <c r="A2309" s="14">
        <f>equip.xml!A2313</f>
        <v>51000041</v>
      </c>
      <c r="B2309" s="14">
        <f>equip.xml!B2313</f>
        <v>0</v>
      </c>
      <c r="C2309" s="14" t="str">
        <f>equip.xml!C2313</f>
        <v>碎界之铠</v>
      </c>
      <c r="D2309" s="14" t="str">
        <f>equip.xml!D2313</f>
        <v>胸甲</v>
      </c>
      <c r="E2309" s="14">
        <f>equip.xml!E2313</f>
        <v>4</v>
      </c>
      <c r="F2309" s="14">
        <f>equip.xml!F2313</f>
        <v>5</v>
      </c>
      <c r="G2309" s="14">
        <f>equip.xml!G2313</f>
        <v>100</v>
      </c>
      <c r="H2309" s="14">
        <f>equip.xml!H2313</f>
        <v>0</v>
      </c>
      <c r="I2309" s="14">
        <f>equip.xml!J2313</f>
        <v>150</v>
      </c>
      <c r="J2309" s="14">
        <f>equip.xml!K2313</f>
        <v>1500</v>
      </c>
      <c r="K2309" s="14">
        <f>equip.xml!L2313</f>
        <v>55000</v>
      </c>
      <c r="L2309" s="14" t="str">
        <f>equip.xml!M2313</f>
        <v>105_0_0</v>
      </c>
      <c r="M2309" s="17" t="str">
        <f>equip.xml!Q2313</f>
        <v>equipment/5001.png</v>
      </c>
      <c r="N2309" s="16" t="str">
        <f>equip.xml!P2313</f>
        <v>10000_1002_70000,30000_30001_1,30000_30002_1,30000_30003_1</v>
      </c>
      <c r="O2309">
        <f>equip.xml!R2313</f>
        <v>0</v>
      </c>
    </row>
    <row r="2310" spans="1:15">
      <c r="A2310" s="14">
        <f>equip.xml!A2314</f>
        <v>51000070</v>
      </c>
      <c r="B2310" s="14">
        <f>equip.xml!B2314</f>
        <v>0</v>
      </c>
      <c r="C2310" s="14" t="str">
        <f>equip.xml!C2314</f>
        <v>渡魂护腿</v>
      </c>
      <c r="D2310" s="14" t="str">
        <f>equip.xml!D2314</f>
        <v>护腿</v>
      </c>
      <c r="E2310" s="14">
        <f>equip.xml!E2314</f>
        <v>7</v>
      </c>
      <c r="F2310" s="14">
        <f>equip.xml!F2314</f>
        <v>5</v>
      </c>
      <c r="G2310" s="14">
        <f>equip.xml!G2314</f>
        <v>100</v>
      </c>
      <c r="H2310" s="14">
        <f>equip.xml!H2314</f>
        <v>0</v>
      </c>
      <c r="I2310" s="14">
        <f>equip.xml!J2314</f>
        <v>150</v>
      </c>
      <c r="J2310" s="14">
        <f>equip.xml!K2314</f>
        <v>1500</v>
      </c>
      <c r="K2310" s="14">
        <f>equip.xml!L2314</f>
        <v>52500</v>
      </c>
      <c r="L2310" s="14" t="str">
        <f>equip.xml!M2314</f>
        <v>105_4249_4249</v>
      </c>
      <c r="M2310" s="17" t="str">
        <f>equip.xml!Q2314</f>
        <v>equipment/7001.png</v>
      </c>
      <c r="N2310" s="16" t="str">
        <f>equip.xml!P2314</f>
        <v>10000_1002_70000,30000_30001_1,30000_30002_1,30000_30003_1</v>
      </c>
      <c r="O2310">
        <f>equip.xml!R2314</f>
        <v>0</v>
      </c>
    </row>
    <row r="2311" spans="1:15">
      <c r="A2311" s="14">
        <f>equip.xml!A2315</f>
        <v>51000071</v>
      </c>
      <c r="B2311" s="14">
        <f>equip.xml!B2315</f>
        <v>0</v>
      </c>
      <c r="C2311" s="14" t="str">
        <f>equip.xml!C2315</f>
        <v>涅磐腿甲</v>
      </c>
      <c r="D2311" s="14" t="str">
        <f>equip.xml!D2315</f>
        <v>护腿</v>
      </c>
      <c r="E2311" s="14">
        <f>equip.xml!E2315</f>
        <v>7</v>
      </c>
      <c r="F2311" s="14">
        <f>equip.xml!F2315</f>
        <v>5</v>
      </c>
      <c r="G2311" s="14">
        <f>equip.xml!G2315</f>
        <v>100</v>
      </c>
      <c r="H2311" s="14">
        <f>equip.xml!H2315</f>
        <v>0</v>
      </c>
      <c r="I2311" s="14">
        <f>equip.xml!J2315</f>
        <v>150</v>
      </c>
      <c r="J2311" s="14">
        <f>equip.xml!K2315</f>
        <v>1500</v>
      </c>
      <c r="K2311" s="14">
        <f>equip.xml!L2315</f>
        <v>55000</v>
      </c>
      <c r="L2311" s="14" t="str">
        <f>equip.xml!M2315</f>
        <v>105_0_0</v>
      </c>
      <c r="M2311" s="17" t="str">
        <f>equip.xml!Q2315</f>
        <v>equipment/7001.png</v>
      </c>
      <c r="N2311" s="16" t="str">
        <f>equip.xml!P2315</f>
        <v>10000_1002_70000,30000_30001_1,30000_30002_1,30000_30003_1</v>
      </c>
      <c r="O2311">
        <f>equip.xml!R2315</f>
        <v>0</v>
      </c>
    </row>
    <row r="2312" spans="1:15">
      <c r="A2312" s="14">
        <f>equip.xml!A2316</f>
        <v>50010015</v>
      </c>
      <c r="B2312" s="14">
        <f>equip.xml!B2316</f>
        <v>0</v>
      </c>
      <c r="C2312" s="14" t="str">
        <f>equip.xml!C2316</f>
        <v>纹饰帽</v>
      </c>
      <c r="D2312" s="14" t="str">
        <f>equip.xml!D2316</f>
        <v>头盔</v>
      </c>
      <c r="E2312" s="14">
        <f>equip.xml!E2316</f>
        <v>1</v>
      </c>
      <c r="F2312" s="14">
        <f>equip.xml!F2316</f>
        <v>5</v>
      </c>
      <c r="G2312" s="14">
        <f>equip.xml!G2316</f>
        <v>1</v>
      </c>
      <c r="H2312" s="14">
        <f>equip.xml!H2316</f>
        <v>0</v>
      </c>
      <c r="I2312" s="14">
        <f>equip.xml!J2316</f>
        <v>150</v>
      </c>
      <c r="J2312" s="14">
        <f>equip.xml!K2316</f>
        <v>1500</v>
      </c>
      <c r="K2312" s="14">
        <f>equip.xml!L2316</f>
        <v>0</v>
      </c>
      <c r="L2312" s="14" t="str">
        <f>equip.xml!M2316</f>
        <v>106_0_0</v>
      </c>
      <c r="M2312" s="17" t="str">
        <f>equip.xml!Q2316</f>
        <v>equipment/3001.png</v>
      </c>
      <c r="N2312" s="16" t="str">
        <f>equip.xml!P2316</f>
        <v>10000_1002_1000,30000_30001_1,30000_30002_1,30000_30003_1</v>
      </c>
      <c r="O2312">
        <f>equip.xml!R2316</f>
        <v>1</v>
      </c>
    </row>
    <row r="2313" spans="1:15">
      <c r="A2313" s="14">
        <f>equip.xml!A2317</f>
        <v>50010025</v>
      </c>
      <c r="B2313" s="14">
        <f>equip.xml!B2317</f>
        <v>0</v>
      </c>
      <c r="C2313" s="14" t="str">
        <f>equip.xml!C2317</f>
        <v>金戒指</v>
      </c>
      <c r="D2313" s="14" t="str">
        <f>equip.xml!D2317</f>
        <v>戒指</v>
      </c>
      <c r="E2313" s="14">
        <f>equip.xml!E2317</f>
        <v>2</v>
      </c>
      <c r="F2313" s="14">
        <f>equip.xml!F2317</f>
        <v>5</v>
      </c>
      <c r="G2313" s="14">
        <f>equip.xml!G2317</f>
        <v>1</v>
      </c>
      <c r="H2313" s="14">
        <f>equip.xml!H2317</f>
        <v>0</v>
      </c>
      <c r="I2313" s="14">
        <f>equip.xml!J2317</f>
        <v>150</v>
      </c>
      <c r="J2313" s="14">
        <f>equip.xml!K2317</f>
        <v>1500</v>
      </c>
      <c r="K2313" s="14">
        <f>equip.xml!L2317</f>
        <v>0</v>
      </c>
      <c r="L2313" s="14" t="str">
        <f>equip.xml!M2317</f>
        <v>102_20_20</v>
      </c>
      <c r="M2313" s="17" t="str">
        <f>equip.xml!Q2317</f>
        <v>equipment/14001.png</v>
      </c>
      <c r="N2313" s="16" t="str">
        <f>equip.xml!P2317</f>
        <v>10000_1002_1000,30000_30001_1,30000_30002_1,30000_30003_1</v>
      </c>
      <c r="O2313">
        <f>equip.xml!R2317</f>
        <v>1</v>
      </c>
    </row>
    <row r="2314" spans="1:15">
      <c r="A2314" s="14">
        <f>equip.xml!A2318</f>
        <v>50010035</v>
      </c>
      <c r="B2314" s="14">
        <f>equip.xml!B2318</f>
        <v>0</v>
      </c>
      <c r="C2314" s="14" t="str">
        <f>equip.xml!C2318</f>
        <v>兽皮腰带</v>
      </c>
      <c r="D2314" s="14" t="str">
        <f>equip.xml!D2318</f>
        <v>腰带</v>
      </c>
      <c r="E2314" s="14">
        <f>equip.xml!E2318</f>
        <v>3</v>
      </c>
      <c r="F2314" s="14">
        <f>equip.xml!F2318</f>
        <v>5</v>
      </c>
      <c r="G2314" s="14">
        <f>equip.xml!G2318</f>
        <v>1</v>
      </c>
      <c r="H2314" s="14">
        <f>equip.xml!H2318</f>
        <v>0</v>
      </c>
      <c r="I2314" s="14">
        <f>equip.xml!J2318</f>
        <v>150</v>
      </c>
      <c r="J2314" s="14">
        <f>equip.xml!K2318</f>
        <v>1500</v>
      </c>
      <c r="K2314" s="14">
        <f>equip.xml!L2318</f>
        <v>0</v>
      </c>
      <c r="L2314" s="14" t="str">
        <f>equip.xml!M2318</f>
        <v>101_100_100</v>
      </c>
      <c r="M2314" s="17" t="str">
        <f>equip.xml!Q2318</f>
        <v>equipment/6001.png</v>
      </c>
      <c r="N2314" s="16" t="str">
        <f>equip.xml!P2318</f>
        <v>10000_1002_1000,30000_30001_1,30000_30002_1,30000_30003_1</v>
      </c>
      <c r="O2314">
        <f>equip.xml!R2318</f>
        <v>1</v>
      </c>
    </row>
    <row r="2315" spans="1:15">
      <c r="A2315" s="14">
        <f>equip.xml!A2319</f>
        <v>50010085</v>
      </c>
      <c r="B2315" s="14">
        <f>equip.xml!B2319</f>
        <v>0</v>
      </c>
      <c r="C2315" s="14" t="str">
        <f>equip.xml!C2319</f>
        <v>皮靴</v>
      </c>
      <c r="D2315" s="14" t="str">
        <f>equip.xml!D2319</f>
        <v>鞋子</v>
      </c>
      <c r="E2315" s="14">
        <f>equip.xml!E2319</f>
        <v>8</v>
      </c>
      <c r="F2315" s="14">
        <f>equip.xml!F2319</f>
        <v>5</v>
      </c>
      <c r="G2315" s="14">
        <f>equip.xml!G2319</f>
        <v>1</v>
      </c>
      <c r="H2315" s="14">
        <f>equip.xml!H2319</f>
        <v>0</v>
      </c>
      <c r="I2315" s="14">
        <f>equip.xml!J2319</f>
        <v>150</v>
      </c>
      <c r="J2315" s="14">
        <f>equip.xml!K2319</f>
        <v>1500</v>
      </c>
      <c r="K2315" s="14">
        <f>equip.xml!L2319</f>
        <v>0</v>
      </c>
      <c r="L2315" s="14" t="str">
        <f>equip.xml!M2319</f>
        <v>110_4_4</v>
      </c>
      <c r="M2315" s="17" t="str">
        <f>equip.xml!Q2319</f>
        <v>equipment/8001.png</v>
      </c>
      <c r="N2315" s="16" t="str">
        <f>equip.xml!P2319</f>
        <v>10000_1002_1000,30000_30001_1,30000_30002_1,30000_30003_1</v>
      </c>
      <c r="O2315">
        <f>equip.xml!R2319</f>
        <v>1</v>
      </c>
    </row>
    <row r="2316" spans="1:15">
      <c r="A2316" s="14">
        <f>equip.xml!A2320</f>
        <v>50010095</v>
      </c>
      <c r="B2316" s="14">
        <f>equip.xml!B2320</f>
        <v>0</v>
      </c>
      <c r="C2316" s="14" t="str">
        <f>equip.xml!C2320</f>
        <v>轻布手套</v>
      </c>
      <c r="D2316" s="14" t="str">
        <f>equip.xml!D2320</f>
        <v>手套</v>
      </c>
      <c r="E2316" s="14">
        <f>equip.xml!E2320</f>
        <v>9</v>
      </c>
      <c r="F2316" s="14">
        <f>equip.xml!F2320</f>
        <v>5</v>
      </c>
      <c r="G2316" s="14">
        <f>equip.xml!G2320</f>
        <v>1</v>
      </c>
      <c r="H2316" s="14">
        <f>equip.xml!H2320</f>
        <v>0</v>
      </c>
      <c r="I2316" s="14">
        <f>equip.xml!J2320</f>
        <v>150</v>
      </c>
      <c r="J2316" s="14">
        <f>equip.xml!K2320</f>
        <v>1500</v>
      </c>
      <c r="K2316" s="14">
        <f>equip.xml!L2320</f>
        <v>0</v>
      </c>
      <c r="L2316" s="14" t="str">
        <f>equip.xml!M2320</f>
        <v>108_9_9</v>
      </c>
      <c r="M2316" s="17" t="str">
        <f>equip.xml!Q2320</f>
        <v>equipment/10001.png</v>
      </c>
      <c r="N2316" s="16" t="str">
        <f>equip.xml!P2320</f>
        <v>10000_1002_1000,30000_30001_1,30000_30002_1,30000_30003_1</v>
      </c>
      <c r="O2316">
        <f>equip.xml!R2320</f>
        <v>1</v>
      </c>
    </row>
    <row r="2317" spans="1:15">
      <c r="A2317" s="14">
        <f>equip.xml!A2321</f>
        <v>50010105</v>
      </c>
      <c r="B2317" s="14">
        <f>equip.xml!B2321</f>
        <v>0</v>
      </c>
      <c r="C2317" s="14" t="str">
        <f>equip.xml!C2321</f>
        <v>贝壳项链</v>
      </c>
      <c r="D2317" s="14" t="str">
        <f>equip.xml!D2321</f>
        <v>项链</v>
      </c>
      <c r="E2317" s="14">
        <f>equip.xml!E2321</f>
        <v>10</v>
      </c>
      <c r="F2317" s="14">
        <f>equip.xml!F2321</f>
        <v>5</v>
      </c>
      <c r="G2317" s="14">
        <f>equip.xml!G2321</f>
        <v>1</v>
      </c>
      <c r="H2317" s="14">
        <f>equip.xml!H2321</f>
        <v>0</v>
      </c>
      <c r="I2317" s="14">
        <f>equip.xml!J2321</f>
        <v>150</v>
      </c>
      <c r="J2317" s="14">
        <f>equip.xml!K2321</f>
        <v>1500</v>
      </c>
      <c r="K2317" s="14">
        <f>equip.xml!L2321</f>
        <v>0</v>
      </c>
      <c r="L2317" s="14" t="str">
        <f>equip.xml!M2321</f>
        <v>107_0_0</v>
      </c>
      <c r="M2317" s="17" t="str">
        <f>equip.xml!Q2321</f>
        <v>equipment/12001.png</v>
      </c>
      <c r="N2317" s="16" t="str">
        <f>equip.xml!P2321</f>
        <v>10000_1002_1000,30000_30001_1,30000_30002_1,30000_30003_1</v>
      </c>
      <c r="O2317">
        <f>equip.xml!R2321</f>
        <v>1</v>
      </c>
    </row>
    <row r="2318" spans="1:15">
      <c r="A2318" s="14">
        <f>equip.xml!A2322</f>
        <v>50011055</v>
      </c>
      <c r="B2318" s="14">
        <f>equip.xml!B2322</f>
        <v>0</v>
      </c>
      <c r="C2318" s="14" t="str">
        <f>equip.xml!C2322</f>
        <v>短剑</v>
      </c>
      <c r="D2318" s="14" t="str">
        <f>equip.xml!D2322</f>
        <v>主手武器</v>
      </c>
      <c r="E2318" s="14">
        <f>equip.xml!E2322</f>
        <v>5</v>
      </c>
      <c r="F2318" s="14">
        <f>equip.xml!F2322</f>
        <v>5</v>
      </c>
      <c r="G2318" s="14">
        <f>equip.xml!G2322</f>
        <v>1</v>
      </c>
      <c r="H2318" s="14" t="str">
        <f>equip.xml!H2322</f>
        <v>1,1001</v>
      </c>
      <c r="I2318" s="14">
        <f>equip.xml!J2322</f>
        <v>150</v>
      </c>
      <c r="J2318" s="14">
        <f>equip.xml!K2322</f>
        <v>1500</v>
      </c>
      <c r="K2318" s="14">
        <f>equip.xml!L2322</f>
        <v>0</v>
      </c>
      <c r="L2318" s="14" t="str">
        <f>equip.xml!M2322</f>
        <v>103_2_2,104_6_6</v>
      </c>
      <c r="M2318" s="17" t="str">
        <f>equip.xml!Q2322</f>
        <v>equipment/1101.png</v>
      </c>
      <c r="N2318" s="16" t="str">
        <f>equip.xml!P2322</f>
        <v>10000_1002_1000,30000_30001_1,30000_30002_1,30000_30003_1</v>
      </c>
      <c r="O2318">
        <f>equip.xml!R2322</f>
        <v>1</v>
      </c>
    </row>
    <row r="2319" spans="1:15">
      <c r="A2319" s="14">
        <f>equip.xml!A2323</f>
        <v>50011056</v>
      </c>
      <c r="B2319" s="14">
        <f>equip.xml!B2323</f>
        <v>0</v>
      </c>
      <c r="C2319" s="14" t="str">
        <f>equip.xml!C2323</f>
        <v>军刀</v>
      </c>
      <c r="D2319" s="14" t="str">
        <f>equip.xml!D2323</f>
        <v>主手武器</v>
      </c>
      <c r="E2319" s="14">
        <f>equip.xml!E2323</f>
        <v>5</v>
      </c>
      <c r="F2319" s="14">
        <f>equip.xml!F2323</f>
        <v>5</v>
      </c>
      <c r="G2319" s="14">
        <f>equip.xml!G2323</f>
        <v>1</v>
      </c>
      <c r="H2319" s="14" t="str">
        <f>equip.xml!H2323</f>
        <v>1,1001</v>
      </c>
      <c r="I2319" s="14">
        <f>equip.xml!J2323</f>
        <v>150</v>
      </c>
      <c r="J2319" s="14">
        <f>equip.xml!K2323</f>
        <v>1500</v>
      </c>
      <c r="K2319" s="14">
        <f>equip.xml!L2323</f>
        <v>0</v>
      </c>
      <c r="L2319" s="14" t="str">
        <f>equip.xml!M2323</f>
        <v>103_5_5,104_12_12</v>
      </c>
      <c r="M2319" s="17" t="str">
        <f>equip.xml!Q2323</f>
        <v>equipment/1102.png</v>
      </c>
      <c r="N2319" s="16" t="str">
        <f>equip.xml!P2323</f>
        <v>10000_1002_1000,30000_30001_1,30000_30002_1,30000_30003_1</v>
      </c>
      <c r="O2319">
        <f>equip.xml!R2323</f>
        <v>1</v>
      </c>
    </row>
    <row r="2320" spans="1:15">
      <c r="A2320" s="14">
        <f>equip.xml!A2324</f>
        <v>50011065</v>
      </c>
      <c r="B2320" s="14">
        <f>equip.xml!B2324</f>
        <v>0</v>
      </c>
      <c r="C2320" s="14" t="str">
        <f>equip.xml!C2324</f>
        <v>小圆盾</v>
      </c>
      <c r="D2320" s="14" t="str">
        <f>equip.xml!D2324</f>
        <v>副手武器</v>
      </c>
      <c r="E2320" s="14">
        <f>equip.xml!E2324</f>
        <v>6</v>
      </c>
      <c r="F2320" s="14">
        <f>equip.xml!F2324</f>
        <v>5</v>
      </c>
      <c r="G2320" s="14">
        <f>equip.xml!G2324</f>
        <v>1</v>
      </c>
      <c r="H2320" s="14" t="str">
        <f>equip.xml!H2324</f>
        <v>1,1001</v>
      </c>
      <c r="I2320" s="14">
        <f>equip.xml!J2324</f>
        <v>150</v>
      </c>
      <c r="J2320" s="14">
        <f>equip.xml!K2324</f>
        <v>1500</v>
      </c>
      <c r="K2320" s="14">
        <f>equip.xml!L2324</f>
        <v>0</v>
      </c>
      <c r="L2320" s="14" t="str">
        <f>equip.xml!M2324</f>
        <v>105_4_4</v>
      </c>
      <c r="M2320" s="17" t="str">
        <f>equip.xml!Q2324</f>
        <v>equipment/2101.png</v>
      </c>
      <c r="N2320" s="16" t="str">
        <f>equip.xml!P2324</f>
        <v>10000_1002_1000,30000_30001_1,30000_30002_1,30000_30003_1</v>
      </c>
      <c r="O2320">
        <f>equip.xml!R2324</f>
        <v>1</v>
      </c>
    </row>
    <row r="2321" spans="1:15">
      <c r="A2321" s="14">
        <f>equip.xml!A2325</f>
        <v>50011066</v>
      </c>
      <c r="B2321" s="14">
        <f>equip.xml!B2325</f>
        <v>0</v>
      </c>
      <c r="C2321" s="14" t="str">
        <f>equip.xml!C2325</f>
        <v>尖头盾</v>
      </c>
      <c r="D2321" s="14" t="str">
        <f>equip.xml!D2325</f>
        <v>副手武器</v>
      </c>
      <c r="E2321" s="14">
        <f>equip.xml!E2325</f>
        <v>6</v>
      </c>
      <c r="F2321" s="14">
        <f>equip.xml!F2325</f>
        <v>5</v>
      </c>
      <c r="G2321" s="14">
        <f>equip.xml!G2325</f>
        <v>1</v>
      </c>
      <c r="H2321" s="14" t="str">
        <f>equip.xml!H2325</f>
        <v>1,1001</v>
      </c>
      <c r="I2321" s="14">
        <f>equip.xml!J2325</f>
        <v>150</v>
      </c>
      <c r="J2321" s="14">
        <f>equip.xml!K2325</f>
        <v>1500</v>
      </c>
      <c r="K2321" s="14">
        <f>equip.xml!L2325</f>
        <v>0</v>
      </c>
      <c r="L2321" s="14" t="str">
        <f>equip.xml!M2325</f>
        <v>105_7_7</v>
      </c>
      <c r="M2321" s="17" t="str">
        <f>equip.xml!Q2325</f>
        <v>equipment/2101.png</v>
      </c>
      <c r="N2321" s="16" t="str">
        <f>equip.xml!P2325</f>
        <v>10000_1002_1000,30000_30001_1,30000_30002_1,30000_30003_1</v>
      </c>
      <c r="O2321">
        <f>equip.xml!R2325</f>
        <v>1</v>
      </c>
    </row>
    <row r="2322" spans="1:15">
      <c r="A2322" s="14">
        <f>equip.xml!A2326</f>
        <v>50012055</v>
      </c>
      <c r="B2322" s="14">
        <f>equip.xml!B2326</f>
        <v>0</v>
      </c>
      <c r="C2322" s="14" t="str">
        <f>equip.xml!C2326</f>
        <v>短弓</v>
      </c>
      <c r="D2322" s="14" t="str">
        <f>equip.xml!D2326</f>
        <v>主手武器</v>
      </c>
      <c r="E2322" s="14">
        <f>equip.xml!E2326</f>
        <v>5</v>
      </c>
      <c r="F2322" s="14">
        <f>equip.xml!F2326</f>
        <v>5</v>
      </c>
      <c r="G2322" s="14">
        <f>equip.xml!G2326</f>
        <v>1</v>
      </c>
      <c r="H2322" s="14" t="str">
        <f>equip.xml!H2326</f>
        <v>2,1002</v>
      </c>
      <c r="I2322" s="14">
        <f>equip.xml!J2326</f>
        <v>150</v>
      </c>
      <c r="J2322" s="14">
        <f>equip.xml!K2326</f>
        <v>1500</v>
      </c>
      <c r="K2322" s="14">
        <f>equip.xml!L2326</f>
        <v>0</v>
      </c>
      <c r="L2322" s="14" t="str">
        <f>equip.xml!M2326</f>
        <v>103_2_2,104_6_6</v>
      </c>
      <c r="M2322" s="17" t="str">
        <f>equip.xml!Q2326</f>
        <v>equipment/1201.png</v>
      </c>
      <c r="N2322" s="16" t="str">
        <f>equip.xml!P2326</f>
        <v>10000_1002_1000,30000_30001_1,30000_30002_1,30000_30003_1</v>
      </c>
      <c r="O2322">
        <f>equip.xml!R2326</f>
        <v>1</v>
      </c>
    </row>
    <row r="2323" spans="1:15">
      <c r="A2323" s="14">
        <f>equip.xml!A2327</f>
        <v>50012056</v>
      </c>
      <c r="B2323" s="14">
        <f>equip.xml!B2327</f>
        <v>0</v>
      </c>
      <c r="C2323" s="14" t="str">
        <f>equip.xml!C2327</f>
        <v>棘木弓</v>
      </c>
      <c r="D2323" s="14" t="str">
        <f>equip.xml!D2327</f>
        <v>主手武器</v>
      </c>
      <c r="E2323" s="14">
        <f>equip.xml!E2327</f>
        <v>5</v>
      </c>
      <c r="F2323" s="14">
        <f>equip.xml!F2327</f>
        <v>5</v>
      </c>
      <c r="G2323" s="14">
        <f>equip.xml!G2327</f>
        <v>1</v>
      </c>
      <c r="H2323" s="14" t="str">
        <f>equip.xml!H2327</f>
        <v>2,1002</v>
      </c>
      <c r="I2323" s="14">
        <f>equip.xml!J2327</f>
        <v>150</v>
      </c>
      <c r="J2323" s="14">
        <f>equip.xml!K2327</f>
        <v>1500</v>
      </c>
      <c r="K2323" s="14">
        <f>equip.xml!L2327</f>
        <v>0</v>
      </c>
      <c r="L2323" s="14" t="str">
        <f>equip.xml!M2327</f>
        <v>103_5_5,104_12_12</v>
      </c>
      <c r="M2323" s="17" t="str">
        <f>equip.xml!Q2327</f>
        <v>equipment/1202.png</v>
      </c>
      <c r="N2323" s="16" t="str">
        <f>equip.xml!P2327</f>
        <v>10000_1002_1000,30000_30001_1,30000_30002_1,30000_30003_1</v>
      </c>
      <c r="O2323">
        <f>equip.xml!R2327</f>
        <v>1</v>
      </c>
    </row>
    <row r="2324" spans="1:15">
      <c r="A2324" s="14">
        <f>equip.xml!A2328</f>
        <v>50012065</v>
      </c>
      <c r="B2324" s="14">
        <f>equip.xml!B2328</f>
        <v>0</v>
      </c>
      <c r="C2324" s="14" t="str">
        <f>equip.xml!C2328</f>
        <v>小箭筒</v>
      </c>
      <c r="D2324" s="14" t="str">
        <f>equip.xml!D2328</f>
        <v>副手武器</v>
      </c>
      <c r="E2324" s="14">
        <f>equip.xml!E2328</f>
        <v>6</v>
      </c>
      <c r="F2324" s="14">
        <f>equip.xml!F2328</f>
        <v>5</v>
      </c>
      <c r="G2324" s="14">
        <f>equip.xml!G2328</f>
        <v>1</v>
      </c>
      <c r="H2324" s="14" t="str">
        <f>equip.xml!H2328</f>
        <v>2,1002</v>
      </c>
      <c r="I2324" s="14">
        <f>equip.xml!J2328</f>
        <v>150</v>
      </c>
      <c r="J2324" s="14">
        <f>equip.xml!K2328</f>
        <v>1500</v>
      </c>
      <c r="K2324" s="14">
        <f>equip.xml!L2328</f>
        <v>0</v>
      </c>
      <c r="L2324" s="14" t="str">
        <f>equip.xml!M2328</f>
        <v>108_4_4</v>
      </c>
      <c r="M2324" s="17" t="str">
        <f>equip.xml!Q2328</f>
        <v>equipment/2201.png</v>
      </c>
      <c r="N2324" s="16" t="str">
        <f>equip.xml!P2328</f>
        <v>10000_1002_1000,30000_30001_1,30000_30002_1,30000_30003_1</v>
      </c>
      <c r="O2324">
        <f>equip.xml!R2328</f>
        <v>1</v>
      </c>
    </row>
    <row r="2325" spans="1:15">
      <c r="A2325" s="14">
        <f>equip.xml!A2329</f>
        <v>50012066</v>
      </c>
      <c r="B2325" s="14">
        <f>equip.xml!B2329</f>
        <v>0</v>
      </c>
      <c r="C2325" s="14" t="str">
        <f>equip.xml!C2329</f>
        <v>箭筒</v>
      </c>
      <c r="D2325" s="14" t="str">
        <f>equip.xml!D2329</f>
        <v>副手武器</v>
      </c>
      <c r="E2325" s="14">
        <f>equip.xml!E2329</f>
        <v>6</v>
      </c>
      <c r="F2325" s="14">
        <f>equip.xml!F2329</f>
        <v>5</v>
      </c>
      <c r="G2325" s="14">
        <f>equip.xml!G2329</f>
        <v>1</v>
      </c>
      <c r="H2325" s="14" t="str">
        <f>equip.xml!H2329</f>
        <v>2,1002</v>
      </c>
      <c r="I2325" s="14">
        <f>equip.xml!J2329</f>
        <v>150</v>
      </c>
      <c r="J2325" s="14">
        <f>equip.xml!K2329</f>
        <v>1500</v>
      </c>
      <c r="K2325" s="14">
        <f>equip.xml!L2329</f>
        <v>0</v>
      </c>
      <c r="L2325" s="14" t="str">
        <f>equip.xml!M2329</f>
        <v>108_7_7</v>
      </c>
      <c r="M2325" s="17" t="str">
        <f>equip.xml!Q2329</f>
        <v>equipment/2201.png</v>
      </c>
      <c r="N2325" s="16" t="str">
        <f>equip.xml!P2329</f>
        <v>10000_1002_1000,30000_30001_1,30000_30002_1,30000_30003_1</v>
      </c>
      <c r="O2325">
        <f>equip.xml!R2329</f>
        <v>1</v>
      </c>
    </row>
    <row r="2326" spans="1:15">
      <c r="A2326" s="14">
        <f>equip.xml!A2330</f>
        <v>50013055</v>
      </c>
      <c r="B2326" s="14">
        <f>equip.xml!B2330</f>
        <v>0</v>
      </c>
      <c r="C2326" s="14" t="str">
        <f>equip.xml!C2330</f>
        <v>训练用杖</v>
      </c>
      <c r="D2326" s="14" t="str">
        <f>equip.xml!D2330</f>
        <v>主手武器</v>
      </c>
      <c r="E2326" s="14">
        <f>equip.xml!E2330</f>
        <v>5</v>
      </c>
      <c r="F2326" s="14">
        <f>equip.xml!F2330</f>
        <v>5</v>
      </c>
      <c r="G2326" s="14">
        <f>equip.xml!G2330</f>
        <v>1</v>
      </c>
      <c r="H2326" s="14" t="str">
        <f>equip.xml!H2330</f>
        <v>3,1003</v>
      </c>
      <c r="I2326" s="14">
        <f>equip.xml!J2330</f>
        <v>150</v>
      </c>
      <c r="J2326" s="14">
        <f>equip.xml!K2330</f>
        <v>1500</v>
      </c>
      <c r="K2326" s="14">
        <f>equip.xml!L2330</f>
        <v>0</v>
      </c>
      <c r="L2326" s="14" t="str">
        <f>equip.xml!M2330</f>
        <v>103_2_2,104_6_6</v>
      </c>
      <c r="M2326" s="17" t="str">
        <f>equip.xml!Q2330</f>
        <v>equipment/1301.png</v>
      </c>
      <c r="N2326" s="16" t="str">
        <f>equip.xml!P2330</f>
        <v>10000_1002_1000,30000_30001_1,30000_30002_1,30000_30003_1</v>
      </c>
      <c r="O2326">
        <f>equip.xml!R2330</f>
        <v>1</v>
      </c>
    </row>
    <row r="2327" spans="1:15">
      <c r="A2327" s="14">
        <f>equip.xml!A2331</f>
        <v>50013056</v>
      </c>
      <c r="B2327" s="14">
        <f>equip.xml!B2331</f>
        <v>0</v>
      </c>
      <c r="C2327" s="14" t="str">
        <f>equip.xml!C2331</f>
        <v>学徒法杖</v>
      </c>
      <c r="D2327" s="14" t="str">
        <f>equip.xml!D2331</f>
        <v>主手武器</v>
      </c>
      <c r="E2327" s="14">
        <f>equip.xml!E2331</f>
        <v>5</v>
      </c>
      <c r="F2327" s="14">
        <f>equip.xml!F2331</f>
        <v>5</v>
      </c>
      <c r="G2327" s="14">
        <f>equip.xml!G2331</f>
        <v>1</v>
      </c>
      <c r="H2327" s="14" t="str">
        <f>equip.xml!H2331</f>
        <v>3,1003</v>
      </c>
      <c r="I2327" s="14">
        <f>equip.xml!J2331</f>
        <v>150</v>
      </c>
      <c r="J2327" s="14">
        <f>equip.xml!K2331</f>
        <v>1500</v>
      </c>
      <c r="K2327" s="14">
        <f>equip.xml!L2331</f>
        <v>0</v>
      </c>
      <c r="L2327" s="14" t="str">
        <f>equip.xml!M2331</f>
        <v>103_5_5,104_12_12</v>
      </c>
      <c r="M2327" s="17" t="str">
        <f>equip.xml!Q2331</f>
        <v>equipment/1302.png</v>
      </c>
      <c r="N2327" s="16" t="str">
        <f>equip.xml!P2331</f>
        <v>10000_1002_1000,30000_30001_1,30000_30002_1,30000_30003_1</v>
      </c>
      <c r="O2327">
        <f>equip.xml!R2331</f>
        <v>1</v>
      </c>
    </row>
    <row r="2328" spans="1:15">
      <c r="A2328" s="14">
        <f>equip.xml!A2332</f>
        <v>50013065</v>
      </c>
      <c r="B2328" s="14">
        <f>equip.xml!B2332</f>
        <v>0</v>
      </c>
      <c r="C2328" s="14" t="str">
        <f>equip.xml!C2332</f>
        <v>学徒手册</v>
      </c>
      <c r="D2328" s="14" t="str">
        <f>equip.xml!D2332</f>
        <v>副手武器</v>
      </c>
      <c r="E2328" s="14">
        <f>equip.xml!E2332</f>
        <v>6</v>
      </c>
      <c r="F2328" s="14">
        <f>equip.xml!F2332</f>
        <v>5</v>
      </c>
      <c r="G2328" s="14">
        <f>equip.xml!G2332</f>
        <v>1</v>
      </c>
      <c r="H2328" s="14" t="str">
        <f>equip.xml!H2332</f>
        <v>3,1003</v>
      </c>
      <c r="I2328" s="14">
        <f>equip.xml!J2332</f>
        <v>150</v>
      </c>
      <c r="J2328" s="14">
        <f>equip.xml!K2332</f>
        <v>1500</v>
      </c>
      <c r="K2328" s="14">
        <f>equip.xml!L2332</f>
        <v>0</v>
      </c>
      <c r="L2328" s="14" t="str">
        <f>equip.xml!M2332</f>
        <v>102_30_30</v>
      </c>
      <c r="M2328" s="17" t="str">
        <f>equip.xml!Q2332</f>
        <v>equipment/2301.png</v>
      </c>
      <c r="N2328" s="16" t="str">
        <f>equip.xml!P2332</f>
        <v>10000_1002_1000,30000_30001_1,30000_30002_1,30000_30003_1</v>
      </c>
      <c r="O2328">
        <f>equip.xml!R2332</f>
        <v>1</v>
      </c>
    </row>
    <row r="2329" spans="1:15">
      <c r="A2329" s="14">
        <f>equip.xml!A2333</f>
        <v>50013066</v>
      </c>
      <c r="B2329" s="14">
        <f>equip.xml!B2333</f>
        <v>0</v>
      </c>
      <c r="C2329" s="14" t="str">
        <f>equip.xml!C2333</f>
        <v>法术指南</v>
      </c>
      <c r="D2329" s="14" t="str">
        <f>equip.xml!D2333</f>
        <v>副手武器</v>
      </c>
      <c r="E2329" s="14">
        <f>equip.xml!E2333</f>
        <v>6</v>
      </c>
      <c r="F2329" s="14">
        <f>equip.xml!F2333</f>
        <v>5</v>
      </c>
      <c r="G2329" s="14">
        <f>equip.xml!G2333</f>
        <v>1</v>
      </c>
      <c r="H2329" s="14" t="str">
        <f>equip.xml!H2333</f>
        <v>3,1003</v>
      </c>
      <c r="I2329" s="14">
        <f>equip.xml!J2333</f>
        <v>150</v>
      </c>
      <c r="J2329" s="14">
        <f>equip.xml!K2333</f>
        <v>1500</v>
      </c>
      <c r="K2329" s="14">
        <f>equip.xml!L2333</f>
        <v>0</v>
      </c>
      <c r="L2329" s="14" t="str">
        <f>equip.xml!M2333</f>
        <v>102_7_7</v>
      </c>
      <c r="M2329" s="17" t="str">
        <f>equip.xml!Q2333</f>
        <v>equipment/2301.png</v>
      </c>
      <c r="N2329" s="16" t="str">
        <f>equip.xml!P2333</f>
        <v>10000_1002_1000,30000_30001_1,30000_30002_1,30000_30003_1</v>
      </c>
      <c r="O2329">
        <f>equip.xml!R2333</f>
        <v>1</v>
      </c>
    </row>
    <row r="2330" spans="1:15">
      <c r="A2330" s="14">
        <f>equip.xml!A2334</f>
        <v>50010045</v>
      </c>
      <c r="B2330" s="14">
        <f>equip.xml!B2334</f>
        <v>0</v>
      </c>
      <c r="C2330" s="14" t="str">
        <f>equip.xml!C2334</f>
        <v>新兵外套</v>
      </c>
      <c r="D2330" s="14" t="str">
        <f>equip.xml!D2334</f>
        <v>胸甲</v>
      </c>
      <c r="E2330" s="14">
        <f>equip.xml!E2334</f>
        <v>4</v>
      </c>
      <c r="F2330" s="14">
        <f>equip.xml!F2334</f>
        <v>5</v>
      </c>
      <c r="G2330" s="14">
        <f>equip.xml!G2334</f>
        <v>1</v>
      </c>
      <c r="H2330" s="14">
        <f>equip.xml!H2334</f>
        <v>0</v>
      </c>
      <c r="I2330" s="14">
        <f>equip.xml!J2334</f>
        <v>150</v>
      </c>
      <c r="J2330" s="14">
        <f>equip.xml!K2334</f>
        <v>1500</v>
      </c>
      <c r="K2330" s="14">
        <f>equip.xml!L2334</f>
        <v>0</v>
      </c>
      <c r="L2330" s="14" t="str">
        <f>equip.xml!M2334</f>
        <v>105_3_3</v>
      </c>
      <c r="M2330" s="17" t="str">
        <f>equip.xml!Q2334</f>
        <v>equipment/5001.png</v>
      </c>
      <c r="N2330" s="16" t="str">
        <f>equip.xml!P2334</f>
        <v>10000_1002_1000,30000_30001_1,30000_30002_1,30000_30003_1</v>
      </c>
      <c r="O2330">
        <f>equip.xml!R2334</f>
        <v>1</v>
      </c>
    </row>
    <row r="2331" spans="1:15">
      <c r="A2331" s="14">
        <f>equip.xml!A2335</f>
        <v>50010046</v>
      </c>
      <c r="B2331" s="14">
        <f>equip.xml!B2335</f>
        <v>0</v>
      </c>
      <c r="C2331" s="14" t="str">
        <f>equip.xml!C2335</f>
        <v>新兵外套</v>
      </c>
      <c r="D2331" s="14" t="str">
        <f>equip.xml!D2335</f>
        <v>胸甲</v>
      </c>
      <c r="E2331" s="14">
        <f>equip.xml!E2335</f>
        <v>4</v>
      </c>
      <c r="F2331" s="14">
        <f>equip.xml!F2335</f>
        <v>5</v>
      </c>
      <c r="G2331" s="14">
        <f>equip.xml!G2335</f>
        <v>1</v>
      </c>
      <c r="H2331" s="14">
        <f>equip.xml!H2335</f>
        <v>0</v>
      </c>
      <c r="I2331" s="14">
        <f>equip.xml!J2335</f>
        <v>150</v>
      </c>
      <c r="J2331" s="14">
        <f>equip.xml!K2335</f>
        <v>1500</v>
      </c>
      <c r="K2331" s="14">
        <f>equip.xml!L2335</f>
        <v>0</v>
      </c>
      <c r="L2331" s="14" t="str">
        <f>equip.xml!M2335</f>
        <v>105_5_5</v>
      </c>
      <c r="M2331" s="17" t="str">
        <f>equip.xml!Q2335</f>
        <v>equipment/5001.png</v>
      </c>
      <c r="N2331" s="16" t="str">
        <f>equip.xml!P2335</f>
        <v>10000_1002_1000,30000_30001_1,30000_30002_1,30000_30003_1</v>
      </c>
      <c r="O2331">
        <f>equip.xml!R2335</f>
        <v>1</v>
      </c>
    </row>
    <row r="2332" spans="1:15">
      <c r="A2332" s="14">
        <f>equip.xml!A2336</f>
        <v>50010075</v>
      </c>
      <c r="B2332" s="14">
        <f>equip.xml!B2336</f>
        <v>0</v>
      </c>
      <c r="C2332" s="14" t="str">
        <f>equip.xml!C2336</f>
        <v>皮甲短裤</v>
      </c>
      <c r="D2332" s="14" t="str">
        <f>equip.xml!D2336</f>
        <v>护腿</v>
      </c>
      <c r="E2332" s="14">
        <f>equip.xml!E2336</f>
        <v>7</v>
      </c>
      <c r="F2332" s="14">
        <f>equip.xml!F2336</f>
        <v>5</v>
      </c>
      <c r="G2332" s="14">
        <f>equip.xml!G2336</f>
        <v>1</v>
      </c>
      <c r="H2332" s="14">
        <f>equip.xml!H2336</f>
        <v>0</v>
      </c>
      <c r="I2332" s="14">
        <f>equip.xml!J2336</f>
        <v>150</v>
      </c>
      <c r="J2332" s="14">
        <f>equip.xml!K2336</f>
        <v>1500</v>
      </c>
      <c r="K2332" s="14">
        <f>equip.xml!L2336</f>
        <v>0</v>
      </c>
      <c r="L2332" s="14" t="str">
        <f>equip.xml!M2336</f>
        <v>105_0_0</v>
      </c>
      <c r="M2332" s="17" t="str">
        <f>equip.xml!Q2336</f>
        <v>equipment/7001.png</v>
      </c>
      <c r="N2332" s="16" t="str">
        <f>equip.xml!P2336</f>
        <v>10000_1002_1000,30000_30001_1,30000_30002_1,30000_30003_1</v>
      </c>
      <c r="O2332">
        <f>equip.xml!R2336</f>
        <v>1</v>
      </c>
    </row>
    <row r="2333" spans="1:15">
      <c r="A2333" s="14">
        <f>equip.xml!A2337</f>
        <v>50010076</v>
      </c>
      <c r="B2333" s="14">
        <f>equip.xml!B2337</f>
        <v>0</v>
      </c>
      <c r="C2333" s="14" t="str">
        <f>equip.xml!C2337</f>
        <v>学徒短裤</v>
      </c>
      <c r="D2333" s="14" t="str">
        <f>equip.xml!D2337</f>
        <v>护腿</v>
      </c>
      <c r="E2333" s="14">
        <f>equip.xml!E2337</f>
        <v>7</v>
      </c>
      <c r="F2333" s="14">
        <f>equip.xml!F2337</f>
        <v>5</v>
      </c>
      <c r="G2333" s="14">
        <f>equip.xml!G2337</f>
        <v>1</v>
      </c>
      <c r="H2333" s="14">
        <f>equip.xml!H2337</f>
        <v>0</v>
      </c>
      <c r="I2333" s="14">
        <f>equip.xml!J2337</f>
        <v>150</v>
      </c>
      <c r="J2333" s="14">
        <f>equip.xml!K2337</f>
        <v>1500</v>
      </c>
      <c r="K2333" s="14">
        <f>equip.xml!L2337</f>
        <v>0</v>
      </c>
      <c r="L2333" s="14" t="str">
        <f>equip.xml!M2337</f>
        <v>105_1_1</v>
      </c>
      <c r="M2333" s="17" t="str">
        <f>equip.xml!Q2337</f>
        <v>equipment/7001.png</v>
      </c>
      <c r="N2333" s="16" t="str">
        <f>equip.xml!P2337</f>
        <v>10000_1002_1000,30000_30001_1,30000_30002_1,30000_30003_1</v>
      </c>
      <c r="O2333">
        <f>equip.xml!R2337</f>
        <v>1</v>
      </c>
    </row>
    <row r="2334" spans="1:15">
      <c r="A2334" s="14">
        <f>equip.xml!A2338</f>
        <v>50050015</v>
      </c>
      <c r="B2334" s="14">
        <f>equip.xml!B2338</f>
        <v>0</v>
      </c>
      <c r="C2334" s="14" t="str">
        <f>equip.xml!C2338</f>
        <v>纹饰帽</v>
      </c>
      <c r="D2334" s="14" t="str">
        <f>equip.xml!D2338</f>
        <v>头盔</v>
      </c>
      <c r="E2334" s="14">
        <f>equip.xml!E2338</f>
        <v>1</v>
      </c>
      <c r="F2334" s="14">
        <f>equip.xml!F2338</f>
        <v>5</v>
      </c>
      <c r="G2334" s="14">
        <f>equip.xml!G2338</f>
        <v>5</v>
      </c>
      <c r="H2334" s="14">
        <f>equip.xml!H2338</f>
        <v>0</v>
      </c>
      <c r="I2334" s="14">
        <f>equip.xml!J2338</f>
        <v>150</v>
      </c>
      <c r="J2334" s="14">
        <f>equip.xml!K2338</f>
        <v>1500</v>
      </c>
      <c r="K2334" s="14">
        <f>equip.xml!L2338</f>
        <v>0</v>
      </c>
      <c r="L2334" s="14" t="str">
        <f>equip.xml!M2338</f>
        <v>106_20_20</v>
      </c>
      <c r="M2334" s="17" t="str">
        <f>equip.xml!Q2338</f>
        <v>equipment/3001.png</v>
      </c>
      <c r="N2334" s="16" t="str">
        <f>equip.xml!P2338</f>
        <v>10000_1002_5000,30000_30001_1,30000_30002_1,30000_30003_1</v>
      </c>
      <c r="O2334">
        <f>equip.xml!R2338</f>
        <v>1</v>
      </c>
    </row>
    <row r="2335" spans="1:15">
      <c r="A2335" s="14">
        <f>equip.xml!A2339</f>
        <v>50050025</v>
      </c>
      <c r="B2335" s="14">
        <f>equip.xml!B2339</f>
        <v>0</v>
      </c>
      <c r="C2335" s="14" t="str">
        <f>equip.xml!C2339</f>
        <v>金戒指</v>
      </c>
      <c r="D2335" s="14" t="str">
        <f>equip.xml!D2339</f>
        <v>戒指</v>
      </c>
      <c r="E2335" s="14">
        <f>equip.xml!E2339</f>
        <v>2</v>
      </c>
      <c r="F2335" s="14">
        <f>equip.xml!F2339</f>
        <v>5</v>
      </c>
      <c r="G2335" s="14">
        <f>equip.xml!G2339</f>
        <v>5</v>
      </c>
      <c r="H2335" s="14">
        <f>equip.xml!H2339</f>
        <v>0</v>
      </c>
      <c r="I2335" s="14">
        <f>equip.xml!J2339</f>
        <v>150</v>
      </c>
      <c r="J2335" s="14">
        <f>equip.xml!K2339</f>
        <v>1500</v>
      </c>
      <c r="K2335" s="14">
        <f>equip.xml!L2339</f>
        <v>0</v>
      </c>
      <c r="L2335" s="14" t="str">
        <f>equip.xml!M2339</f>
        <v>102_80_80</v>
      </c>
      <c r="M2335" s="17" t="str">
        <f>equip.xml!Q2339</f>
        <v>equipment/14001.png</v>
      </c>
      <c r="N2335" s="16" t="str">
        <f>equip.xml!P2339</f>
        <v>10000_1002_5000,30000_30001_1,30000_30002_1,30000_30003_1</v>
      </c>
      <c r="O2335">
        <f>equip.xml!R2339</f>
        <v>1</v>
      </c>
    </row>
    <row r="2336" spans="1:15">
      <c r="A2336" s="14">
        <f>equip.xml!A2340</f>
        <v>50050035</v>
      </c>
      <c r="B2336" s="14">
        <f>equip.xml!B2340</f>
        <v>0</v>
      </c>
      <c r="C2336" s="14" t="str">
        <f>equip.xml!C2340</f>
        <v>兽皮腰带</v>
      </c>
      <c r="D2336" s="14" t="str">
        <f>equip.xml!D2340</f>
        <v>腰带</v>
      </c>
      <c r="E2336" s="14">
        <f>equip.xml!E2340</f>
        <v>3</v>
      </c>
      <c r="F2336" s="14">
        <f>equip.xml!F2340</f>
        <v>5</v>
      </c>
      <c r="G2336" s="14">
        <f>equip.xml!G2340</f>
        <v>5</v>
      </c>
      <c r="H2336" s="14">
        <f>equip.xml!H2340</f>
        <v>0</v>
      </c>
      <c r="I2336" s="14">
        <f>equip.xml!J2340</f>
        <v>150</v>
      </c>
      <c r="J2336" s="14">
        <f>equip.xml!K2340</f>
        <v>1500</v>
      </c>
      <c r="K2336" s="14">
        <f>equip.xml!L2340</f>
        <v>0</v>
      </c>
      <c r="L2336" s="14" t="str">
        <f>equip.xml!M2340</f>
        <v>101_100_100</v>
      </c>
      <c r="M2336" s="17" t="str">
        <f>equip.xml!Q2340</f>
        <v>equipment/6001.png</v>
      </c>
      <c r="N2336" s="16" t="str">
        <f>equip.xml!P2340</f>
        <v>10000_1002_5000,30000_30001_1,30000_30002_1,30000_30003_1</v>
      </c>
      <c r="O2336">
        <f>equip.xml!R2340</f>
        <v>1</v>
      </c>
    </row>
    <row r="2337" spans="1:15">
      <c r="A2337" s="14">
        <f>equip.xml!A2341</f>
        <v>50050085</v>
      </c>
      <c r="B2337" s="14">
        <f>equip.xml!B2341</f>
        <v>0</v>
      </c>
      <c r="C2337" s="14" t="str">
        <f>equip.xml!C2341</f>
        <v>皮靴</v>
      </c>
      <c r="D2337" s="14" t="str">
        <f>equip.xml!D2341</f>
        <v>鞋子</v>
      </c>
      <c r="E2337" s="14">
        <f>equip.xml!E2341</f>
        <v>8</v>
      </c>
      <c r="F2337" s="14">
        <f>equip.xml!F2341</f>
        <v>5</v>
      </c>
      <c r="G2337" s="14">
        <f>equip.xml!G2341</f>
        <v>5</v>
      </c>
      <c r="H2337" s="14">
        <f>equip.xml!H2341</f>
        <v>0</v>
      </c>
      <c r="I2337" s="14">
        <f>equip.xml!J2341</f>
        <v>150</v>
      </c>
      <c r="J2337" s="14">
        <f>equip.xml!K2341</f>
        <v>1500</v>
      </c>
      <c r="K2337" s="14">
        <f>equip.xml!L2341</f>
        <v>0</v>
      </c>
      <c r="L2337" s="14" t="str">
        <f>equip.xml!M2341</f>
        <v>110_7_7</v>
      </c>
      <c r="M2337" s="17" t="str">
        <f>equip.xml!Q2341</f>
        <v>equipment/8001.png</v>
      </c>
      <c r="N2337" s="16" t="str">
        <f>equip.xml!P2341</f>
        <v>10000_1002_5000,30000_30001_1,30000_30002_1,30000_30003_1</v>
      </c>
      <c r="O2337">
        <f>equip.xml!R2341</f>
        <v>1</v>
      </c>
    </row>
    <row r="2338" spans="1:15">
      <c r="A2338" s="14">
        <f>equip.xml!A2342</f>
        <v>50050095</v>
      </c>
      <c r="B2338" s="14">
        <f>equip.xml!B2342</f>
        <v>0</v>
      </c>
      <c r="C2338" s="14" t="str">
        <f>equip.xml!C2342</f>
        <v>轻布手套</v>
      </c>
      <c r="D2338" s="14" t="str">
        <f>equip.xml!D2342</f>
        <v>手套</v>
      </c>
      <c r="E2338" s="14">
        <f>equip.xml!E2342</f>
        <v>9</v>
      </c>
      <c r="F2338" s="14">
        <f>equip.xml!F2342</f>
        <v>5</v>
      </c>
      <c r="G2338" s="14">
        <f>equip.xml!G2342</f>
        <v>5</v>
      </c>
      <c r="H2338" s="14">
        <f>equip.xml!H2342</f>
        <v>0</v>
      </c>
      <c r="I2338" s="14">
        <f>equip.xml!J2342</f>
        <v>150</v>
      </c>
      <c r="J2338" s="14">
        <f>equip.xml!K2342</f>
        <v>1500</v>
      </c>
      <c r="K2338" s="14">
        <f>equip.xml!L2342</f>
        <v>0</v>
      </c>
      <c r="L2338" s="14" t="str">
        <f>equip.xml!M2342</f>
        <v>108_23_23</v>
      </c>
      <c r="M2338" s="17" t="str">
        <f>equip.xml!Q2342</f>
        <v>equipment/10001.png</v>
      </c>
      <c r="N2338" s="16" t="str">
        <f>equip.xml!P2342</f>
        <v>10000_1002_5000,30000_30001_1,30000_30002_1,30000_30003_1</v>
      </c>
      <c r="O2338">
        <f>equip.xml!R2342</f>
        <v>1</v>
      </c>
    </row>
    <row r="2339" spans="1:15">
      <c r="A2339" s="14">
        <f>equip.xml!A2343</f>
        <v>50050105</v>
      </c>
      <c r="B2339" s="14">
        <f>equip.xml!B2343</f>
        <v>0</v>
      </c>
      <c r="C2339" s="14" t="str">
        <f>equip.xml!C2343</f>
        <v>贝壳项链</v>
      </c>
      <c r="D2339" s="14" t="str">
        <f>equip.xml!D2343</f>
        <v>项链</v>
      </c>
      <c r="E2339" s="14">
        <f>equip.xml!E2343</f>
        <v>10</v>
      </c>
      <c r="F2339" s="14">
        <f>equip.xml!F2343</f>
        <v>5</v>
      </c>
      <c r="G2339" s="14">
        <f>equip.xml!G2343</f>
        <v>5</v>
      </c>
      <c r="H2339" s="14">
        <f>equip.xml!H2343</f>
        <v>0</v>
      </c>
      <c r="I2339" s="14">
        <f>equip.xml!J2343</f>
        <v>150</v>
      </c>
      <c r="J2339" s="14">
        <f>equip.xml!K2343</f>
        <v>1500</v>
      </c>
      <c r="K2339" s="14">
        <f>equip.xml!L2343</f>
        <v>0</v>
      </c>
      <c r="L2339" s="14" t="str">
        <f>equip.xml!M2343</f>
        <v>107_20_20</v>
      </c>
      <c r="M2339" s="17" t="str">
        <f>equip.xml!Q2343</f>
        <v>equipment/12001.png</v>
      </c>
      <c r="N2339" s="16" t="str">
        <f>equip.xml!P2343</f>
        <v>10000_1002_5000,30000_30001_1,30000_30002_1,30000_30003_1</v>
      </c>
      <c r="O2339">
        <f>equip.xml!R2343</f>
        <v>1</v>
      </c>
    </row>
    <row r="2340" spans="1:15">
      <c r="A2340" s="14">
        <f>equip.xml!A2344</f>
        <v>50051055</v>
      </c>
      <c r="B2340" s="14">
        <f>equip.xml!B2344</f>
        <v>0</v>
      </c>
      <c r="C2340" s="14" t="str">
        <f>equip.xml!C2344</f>
        <v>长剑</v>
      </c>
      <c r="D2340" s="14" t="str">
        <f>equip.xml!D2344</f>
        <v>主手武器</v>
      </c>
      <c r="E2340" s="14">
        <f>equip.xml!E2344</f>
        <v>5</v>
      </c>
      <c r="F2340" s="14">
        <f>equip.xml!F2344</f>
        <v>5</v>
      </c>
      <c r="G2340" s="14">
        <f>equip.xml!G2344</f>
        <v>5</v>
      </c>
      <c r="H2340" s="14" t="str">
        <f>equip.xml!H2344</f>
        <v>1,1001</v>
      </c>
      <c r="I2340" s="14">
        <f>equip.xml!J2344</f>
        <v>150</v>
      </c>
      <c r="J2340" s="14">
        <f>equip.xml!K2344</f>
        <v>1500</v>
      </c>
      <c r="K2340" s="14">
        <f>equip.xml!L2344</f>
        <v>0</v>
      </c>
      <c r="L2340" s="14" t="str">
        <f>equip.xml!M2344</f>
        <v>103_10_10,104_20_20</v>
      </c>
      <c r="M2340" s="17" t="str">
        <f>equip.xml!Q2344</f>
        <v>equipment/1103.png</v>
      </c>
      <c r="N2340" s="16" t="str">
        <f>equip.xml!P2344</f>
        <v>10000_1002_5000,30000_30001_1,30000_30002_1,30000_30003_1</v>
      </c>
      <c r="O2340">
        <f>equip.xml!R2344</f>
        <v>1</v>
      </c>
    </row>
    <row r="2341" spans="1:15">
      <c r="A2341" s="14">
        <f>equip.xml!A2345</f>
        <v>50051056</v>
      </c>
      <c r="B2341" s="14">
        <f>equip.xml!B2345</f>
        <v>0</v>
      </c>
      <c r="C2341" s="14" t="str">
        <f>equip.xml!C2345</f>
        <v>双刃剑</v>
      </c>
      <c r="D2341" s="14" t="str">
        <f>equip.xml!D2345</f>
        <v>主手武器</v>
      </c>
      <c r="E2341" s="14">
        <f>equip.xml!E2345</f>
        <v>5</v>
      </c>
      <c r="F2341" s="14">
        <f>equip.xml!F2345</f>
        <v>5</v>
      </c>
      <c r="G2341" s="14">
        <f>equip.xml!G2345</f>
        <v>5</v>
      </c>
      <c r="H2341" s="14" t="str">
        <f>equip.xml!H2345</f>
        <v>1,1001</v>
      </c>
      <c r="I2341" s="14">
        <f>equip.xml!J2345</f>
        <v>150</v>
      </c>
      <c r="J2341" s="14">
        <f>equip.xml!K2345</f>
        <v>1500</v>
      </c>
      <c r="K2341" s="14">
        <f>equip.xml!L2345</f>
        <v>0</v>
      </c>
      <c r="L2341" s="14" t="str">
        <f>equip.xml!M2345</f>
        <v>103_18_18,104_38_38</v>
      </c>
      <c r="M2341" s="17" t="str">
        <f>equip.xml!Q2345</f>
        <v>equipment/1104.png</v>
      </c>
      <c r="N2341" s="16" t="str">
        <f>equip.xml!P2345</f>
        <v>10000_1002_5000,30000_30001_1,30000_30002_1,30000_30003_1</v>
      </c>
      <c r="O2341">
        <f>equip.xml!R2345</f>
        <v>1</v>
      </c>
    </row>
    <row r="2342" spans="1:15">
      <c r="A2342" s="14">
        <f>equip.xml!A2346</f>
        <v>50051065</v>
      </c>
      <c r="B2342" s="14">
        <f>equip.xml!B2346</f>
        <v>0</v>
      </c>
      <c r="C2342" s="14" t="str">
        <f>equip.xml!C2346</f>
        <v>尖头盾</v>
      </c>
      <c r="D2342" s="14" t="str">
        <f>equip.xml!D2346</f>
        <v>副手武器</v>
      </c>
      <c r="E2342" s="14">
        <f>equip.xml!E2346</f>
        <v>6</v>
      </c>
      <c r="F2342" s="14">
        <f>equip.xml!F2346</f>
        <v>5</v>
      </c>
      <c r="G2342" s="14">
        <f>equip.xml!G2346</f>
        <v>5</v>
      </c>
      <c r="H2342" s="14" t="str">
        <f>equip.xml!H2346</f>
        <v>1,1001</v>
      </c>
      <c r="I2342" s="14">
        <f>equip.xml!J2346</f>
        <v>150</v>
      </c>
      <c r="J2342" s="14">
        <f>equip.xml!K2346</f>
        <v>1500</v>
      </c>
      <c r="K2342" s="14">
        <f>equip.xml!L2346</f>
        <v>0</v>
      </c>
      <c r="L2342" s="14" t="str">
        <f>equip.xml!M2346</f>
        <v>105_12_12</v>
      </c>
      <c r="M2342" s="17" t="str">
        <f>equip.xml!Q2346</f>
        <v>equipment/2102.png</v>
      </c>
      <c r="N2342" s="16" t="str">
        <f>equip.xml!P2346</f>
        <v>10000_1002_5000,30000_30001_1,30000_30002_1,30000_30003_1</v>
      </c>
      <c r="O2342">
        <f>equip.xml!R2346</f>
        <v>1</v>
      </c>
    </row>
    <row r="2343" spans="1:15">
      <c r="A2343" s="14">
        <f>equip.xml!A2347</f>
        <v>50051066</v>
      </c>
      <c r="B2343" s="14">
        <f>equip.xml!B2347</f>
        <v>0</v>
      </c>
      <c r="C2343" s="14" t="str">
        <f>equip.xml!C2347</f>
        <v>尖头盾</v>
      </c>
      <c r="D2343" s="14" t="str">
        <f>equip.xml!D2347</f>
        <v>副手武器</v>
      </c>
      <c r="E2343" s="14">
        <f>equip.xml!E2347</f>
        <v>6</v>
      </c>
      <c r="F2343" s="14">
        <f>equip.xml!F2347</f>
        <v>5</v>
      </c>
      <c r="G2343" s="14">
        <f>equip.xml!G2347</f>
        <v>5</v>
      </c>
      <c r="H2343" s="14" t="str">
        <f>equip.xml!H2347</f>
        <v>1,1001</v>
      </c>
      <c r="I2343" s="14">
        <f>equip.xml!J2347</f>
        <v>150</v>
      </c>
      <c r="J2343" s="14">
        <f>equip.xml!K2347</f>
        <v>1500</v>
      </c>
      <c r="K2343" s="14">
        <f>equip.xml!L2347</f>
        <v>0</v>
      </c>
      <c r="L2343" s="14" t="str">
        <f>equip.xml!M2347</f>
        <v>105_19_19</v>
      </c>
      <c r="M2343" s="17" t="str">
        <f>equip.xml!Q2347</f>
        <v>equipment/2101.png</v>
      </c>
      <c r="N2343" s="16" t="str">
        <f>equip.xml!P2347</f>
        <v>10000_1002_5000,30000_30001_1,30000_30002_1,30000_30003_1</v>
      </c>
      <c r="O2343">
        <f>equip.xml!R2347</f>
        <v>1</v>
      </c>
    </row>
    <row r="2344" spans="1:15">
      <c r="A2344" s="14">
        <f>equip.xml!A2348</f>
        <v>50052055</v>
      </c>
      <c r="B2344" s="14">
        <f>equip.xml!B2348</f>
        <v>0</v>
      </c>
      <c r="C2344" s="14" t="str">
        <f>equip.xml!C2348</f>
        <v>硬弓</v>
      </c>
      <c r="D2344" s="14" t="str">
        <f>equip.xml!D2348</f>
        <v>主手武器</v>
      </c>
      <c r="E2344" s="14">
        <f>equip.xml!E2348</f>
        <v>5</v>
      </c>
      <c r="F2344" s="14">
        <f>equip.xml!F2348</f>
        <v>5</v>
      </c>
      <c r="G2344" s="14">
        <f>equip.xml!G2348</f>
        <v>5</v>
      </c>
      <c r="H2344" s="14" t="str">
        <f>equip.xml!H2348</f>
        <v>2,1002</v>
      </c>
      <c r="I2344" s="14">
        <f>equip.xml!J2348</f>
        <v>150</v>
      </c>
      <c r="J2344" s="14">
        <f>equip.xml!K2348</f>
        <v>1500</v>
      </c>
      <c r="K2344" s="14">
        <f>equip.xml!L2348</f>
        <v>0</v>
      </c>
      <c r="L2344" s="14" t="str">
        <f>equip.xml!M2348</f>
        <v>103_10_10,104_20_20</v>
      </c>
      <c r="M2344" s="17" t="str">
        <f>equip.xml!Q2348</f>
        <v>equipment/1204.png</v>
      </c>
      <c r="N2344" s="16" t="str">
        <f>equip.xml!P2348</f>
        <v>10000_1002_5000,30000_30001_1,30000_30002_1,30000_30003_1</v>
      </c>
      <c r="O2344">
        <f>equip.xml!R2348</f>
        <v>1</v>
      </c>
    </row>
    <row r="2345" spans="1:15">
      <c r="A2345" s="14">
        <f>equip.xml!A2349</f>
        <v>50052056</v>
      </c>
      <c r="B2345" s="14">
        <f>equip.xml!B2349</f>
        <v>0</v>
      </c>
      <c r="C2345" s="14" t="str">
        <f>equip.xml!C2349</f>
        <v>反曲弓</v>
      </c>
      <c r="D2345" s="14" t="str">
        <f>equip.xml!D2349</f>
        <v>主手武器</v>
      </c>
      <c r="E2345" s="14">
        <f>equip.xml!E2349</f>
        <v>5</v>
      </c>
      <c r="F2345" s="14">
        <f>equip.xml!F2349</f>
        <v>5</v>
      </c>
      <c r="G2345" s="14">
        <f>equip.xml!G2349</f>
        <v>5</v>
      </c>
      <c r="H2345" s="14" t="str">
        <f>equip.xml!H2349</f>
        <v>2,1002</v>
      </c>
      <c r="I2345" s="14">
        <f>equip.xml!J2349</f>
        <v>150</v>
      </c>
      <c r="J2345" s="14">
        <f>equip.xml!K2349</f>
        <v>1500</v>
      </c>
      <c r="K2345" s="14">
        <f>equip.xml!L2349</f>
        <v>0</v>
      </c>
      <c r="L2345" s="14" t="str">
        <f>equip.xml!M2349</f>
        <v>103_18_18,104_38_38</v>
      </c>
      <c r="M2345" s="17" t="str">
        <f>equip.xml!Q2349</f>
        <v>equipment/1203.png</v>
      </c>
      <c r="N2345" s="16" t="str">
        <f>equip.xml!P2349</f>
        <v>10000_1002_5000,30000_30001_1,30000_30002_1,30000_30003_1</v>
      </c>
      <c r="O2345">
        <f>equip.xml!R2349</f>
        <v>1</v>
      </c>
    </row>
    <row r="2346" spans="1:15">
      <c r="A2346" s="14">
        <f>equip.xml!A2350</f>
        <v>50052065</v>
      </c>
      <c r="B2346" s="14">
        <f>equip.xml!B2350</f>
        <v>0</v>
      </c>
      <c r="C2346" s="14" t="str">
        <f>equip.xml!C2350</f>
        <v>箭筒</v>
      </c>
      <c r="D2346" s="14" t="str">
        <f>equip.xml!D2350</f>
        <v>副手武器</v>
      </c>
      <c r="E2346" s="14">
        <f>equip.xml!E2350</f>
        <v>6</v>
      </c>
      <c r="F2346" s="14">
        <f>equip.xml!F2350</f>
        <v>5</v>
      </c>
      <c r="G2346" s="14">
        <f>equip.xml!G2350</f>
        <v>5</v>
      </c>
      <c r="H2346" s="14" t="str">
        <f>equip.xml!H2350</f>
        <v>2,1002</v>
      </c>
      <c r="I2346" s="14">
        <f>equip.xml!J2350</f>
        <v>150</v>
      </c>
      <c r="J2346" s="14">
        <f>equip.xml!K2350</f>
        <v>1500</v>
      </c>
      <c r="K2346" s="14">
        <f>equip.xml!L2350</f>
        <v>0</v>
      </c>
      <c r="L2346" s="14" t="str">
        <f>equip.xml!M2350</f>
        <v>108_12_12</v>
      </c>
      <c r="M2346" s="17" t="str">
        <f>equip.xml!Q2350</f>
        <v>equipment/2202.png</v>
      </c>
      <c r="N2346" s="16" t="str">
        <f>equip.xml!P2350</f>
        <v>10000_1002_5000,30000_30001_1,30000_30002_1,30000_30003_1</v>
      </c>
      <c r="O2346">
        <f>equip.xml!R2350</f>
        <v>1</v>
      </c>
    </row>
    <row r="2347" spans="1:15">
      <c r="A2347" s="14">
        <f>equip.xml!A2351</f>
        <v>50052066</v>
      </c>
      <c r="B2347" s="14">
        <f>equip.xml!B2351</f>
        <v>0</v>
      </c>
      <c r="C2347" s="14" t="str">
        <f>equip.xml!C2351</f>
        <v>箭筒</v>
      </c>
      <c r="D2347" s="14" t="str">
        <f>equip.xml!D2351</f>
        <v>副手武器</v>
      </c>
      <c r="E2347" s="14">
        <f>equip.xml!E2351</f>
        <v>6</v>
      </c>
      <c r="F2347" s="14">
        <f>equip.xml!F2351</f>
        <v>5</v>
      </c>
      <c r="G2347" s="14">
        <f>equip.xml!G2351</f>
        <v>5</v>
      </c>
      <c r="H2347" s="14" t="str">
        <f>equip.xml!H2351</f>
        <v>2,1002</v>
      </c>
      <c r="I2347" s="14">
        <f>equip.xml!J2351</f>
        <v>150</v>
      </c>
      <c r="J2347" s="14">
        <f>equip.xml!K2351</f>
        <v>1500</v>
      </c>
      <c r="K2347" s="14">
        <f>equip.xml!L2351</f>
        <v>0</v>
      </c>
      <c r="L2347" s="14" t="str">
        <f>equip.xml!M2351</f>
        <v>108_19_19</v>
      </c>
      <c r="M2347" s="17" t="str">
        <f>equip.xml!Q2351</f>
        <v>equipment/2201.png</v>
      </c>
      <c r="N2347" s="16" t="str">
        <f>equip.xml!P2351</f>
        <v>10000_1002_5000,30000_30001_1,30000_30002_1,30000_30003_1</v>
      </c>
      <c r="O2347">
        <f>equip.xml!R2351</f>
        <v>1</v>
      </c>
    </row>
    <row r="2348" spans="1:15">
      <c r="A2348" s="14">
        <f>equip.xml!A2352</f>
        <v>50053055</v>
      </c>
      <c r="B2348" s="14">
        <f>equip.xml!B2352</f>
        <v>0</v>
      </c>
      <c r="C2348" s="14" t="str">
        <f>equip.xml!C2352</f>
        <v>巫术之杖</v>
      </c>
      <c r="D2348" s="14" t="str">
        <f>equip.xml!D2352</f>
        <v>主手武器</v>
      </c>
      <c r="E2348" s="14">
        <f>equip.xml!E2352</f>
        <v>5</v>
      </c>
      <c r="F2348" s="14">
        <f>equip.xml!F2352</f>
        <v>5</v>
      </c>
      <c r="G2348" s="14">
        <f>equip.xml!G2352</f>
        <v>5</v>
      </c>
      <c r="H2348" s="14" t="str">
        <f>equip.xml!H2352</f>
        <v>3,1003</v>
      </c>
      <c r="I2348" s="14">
        <f>equip.xml!J2352</f>
        <v>150</v>
      </c>
      <c r="J2348" s="14">
        <f>equip.xml!K2352</f>
        <v>1500</v>
      </c>
      <c r="K2348" s="14">
        <f>equip.xml!L2352</f>
        <v>0</v>
      </c>
      <c r="L2348" s="14" t="str">
        <f>equip.xml!M2352</f>
        <v>103_10_10,104_20_20</v>
      </c>
      <c r="M2348" s="17" t="str">
        <f>equip.xml!Q2352</f>
        <v>equipment/1303.png</v>
      </c>
      <c r="N2348" s="16" t="str">
        <f>equip.xml!P2352</f>
        <v>10000_1002_5000,30000_30001_1,30000_30002_1,30000_30003_1</v>
      </c>
      <c r="O2348">
        <f>equip.xml!R2352</f>
        <v>1</v>
      </c>
    </row>
    <row r="2349" spans="1:15">
      <c r="A2349" s="14">
        <f>equip.xml!A2353</f>
        <v>50053056</v>
      </c>
      <c r="B2349" s="14">
        <f>equip.xml!B2353</f>
        <v>0</v>
      </c>
      <c r="C2349" s="14" t="str">
        <f>equip.xml!C2353</f>
        <v>秘术法杖</v>
      </c>
      <c r="D2349" s="14" t="str">
        <f>equip.xml!D2353</f>
        <v>主手武器</v>
      </c>
      <c r="E2349" s="14">
        <f>equip.xml!E2353</f>
        <v>5</v>
      </c>
      <c r="F2349" s="14">
        <f>equip.xml!F2353</f>
        <v>5</v>
      </c>
      <c r="G2349" s="14">
        <f>equip.xml!G2353</f>
        <v>5</v>
      </c>
      <c r="H2349" s="14" t="str">
        <f>equip.xml!H2353</f>
        <v>3,1003</v>
      </c>
      <c r="I2349" s="14">
        <f>equip.xml!J2353</f>
        <v>150</v>
      </c>
      <c r="J2349" s="14">
        <f>equip.xml!K2353</f>
        <v>1500</v>
      </c>
      <c r="K2349" s="14">
        <f>equip.xml!L2353</f>
        <v>0</v>
      </c>
      <c r="L2349" s="14" t="str">
        <f>equip.xml!M2353</f>
        <v>103_18_18,104_38_38</v>
      </c>
      <c r="M2349" s="17" t="str">
        <f>equip.xml!Q2353</f>
        <v>equipment/1304.png</v>
      </c>
      <c r="N2349" s="16" t="str">
        <f>equip.xml!P2353</f>
        <v>10000_1002_5000,30000_30001_1,30000_30002_1,30000_30003_1</v>
      </c>
      <c r="O2349">
        <f>equip.xml!R2353</f>
        <v>1</v>
      </c>
    </row>
    <row r="2350" spans="1:15">
      <c r="A2350" s="14">
        <f>equip.xml!A2354</f>
        <v>50053065</v>
      </c>
      <c r="B2350" s="14">
        <f>equip.xml!B2354</f>
        <v>0</v>
      </c>
      <c r="C2350" s="14" t="str">
        <f>equip.xml!C2354</f>
        <v>法术指南</v>
      </c>
      <c r="D2350" s="14" t="str">
        <f>equip.xml!D2354</f>
        <v>副手武器</v>
      </c>
      <c r="E2350" s="14">
        <f>equip.xml!E2354</f>
        <v>6</v>
      </c>
      <c r="F2350" s="14">
        <f>equip.xml!F2354</f>
        <v>5</v>
      </c>
      <c r="G2350" s="14">
        <f>equip.xml!G2354</f>
        <v>5</v>
      </c>
      <c r="H2350" s="14" t="str">
        <f>equip.xml!H2354</f>
        <v>3,1003</v>
      </c>
      <c r="I2350" s="14">
        <f>equip.xml!J2354</f>
        <v>150</v>
      </c>
      <c r="J2350" s="14">
        <f>equip.xml!K2354</f>
        <v>1500</v>
      </c>
      <c r="K2350" s="14">
        <f>equip.xml!L2354</f>
        <v>0</v>
      </c>
      <c r="L2350" s="14" t="str">
        <f>equip.xml!M2354</f>
        <v>102_110_110</v>
      </c>
      <c r="M2350" s="17" t="str">
        <f>equip.xml!Q2354</f>
        <v>equipment/2302.png</v>
      </c>
      <c r="N2350" s="16" t="str">
        <f>equip.xml!P2354</f>
        <v>10000_1002_5000,30000_30001_1,30000_30002_1,30000_30003_1</v>
      </c>
      <c r="O2350">
        <f>equip.xml!R2354</f>
        <v>1</v>
      </c>
    </row>
    <row r="2351" spans="1:15">
      <c r="A2351" s="14">
        <f>equip.xml!A2355</f>
        <v>50053066</v>
      </c>
      <c r="B2351" s="14">
        <f>equip.xml!B2355</f>
        <v>0</v>
      </c>
      <c r="C2351" s="14" t="str">
        <f>equip.xml!C2355</f>
        <v>法术指南</v>
      </c>
      <c r="D2351" s="14" t="str">
        <f>equip.xml!D2355</f>
        <v>副手武器</v>
      </c>
      <c r="E2351" s="14">
        <f>equip.xml!E2355</f>
        <v>6</v>
      </c>
      <c r="F2351" s="14">
        <f>equip.xml!F2355</f>
        <v>5</v>
      </c>
      <c r="G2351" s="14">
        <f>equip.xml!G2355</f>
        <v>5</v>
      </c>
      <c r="H2351" s="14" t="str">
        <f>equip.xml!H2355</f>
        <v>3,1003</v>
      </c>
      <c r="I2351" s="14">
        <f>equip.xml!J2355</f>
        <v>150</v>
      </c>
      <c r="J2351" s="14">
        <f>equip.xml!K2355</f>
        <v>1500</v>
      </c>
      <c r="K2351" s="14">
        <f>equip.xml!L2355</f>
        <v>0</v>
      </c>
      <c r="L2351" s="14" t="str">
        <f>equip.xml!M2355</f>
        <v>102_19_19</v>
      </c>
      <c r="M2351" s="17" t="str">
        <f>equip.xml!Q2355</f>
        <v>equipment/2301.png</v>
      </c>
      <c r="N2351" s="16" t="str">
        <f>equip.xml!P2355</f>
        <v>10000_1002_5000,30000_30001_1,30000_30002_1,30000_30003_1</v>
      </c>
      <c r="O2351">
        <f>equip.xml!R2355</f>
        <v>1</v>
      </c>
    </row>
    <row r="2352" spans="1:15">
      <c r="A2352" s="14">
        <f>equip.xml!A2356</f>
        <v>50050045</v>
      </c>
      <c r="B2352" s="14">
        <f>equip.xml!B2356</f>
        <v>0</v>
      </c>
      <c r="C2352" s="14" t="str">
        <f>equip.xml!C2356</f>
        <v>锁甲外套</v>
      </c>
      <c r="D2352" s="14" t="str">
        <f>equip.xml!D2356</f>
        <v>胸甲</v>
      </c>
      <c r="E2352" s="14">
        <f>equip.xml!E2356</f>
        <v>4</v>
      </c>
      <c r="F2352" s="14">
        <f>equip.xml!F2356</f>
        <v>5</v>
      </c>
      <c r="G2352" s="14">
        <f>equip.xml!G2356</f>
        <v>5</v>
      </c>
      <c r="H2352" s="14">
        <f>equip.xml!H2356</f>
        <v>0</v>
      </c>
      <c r="I2352" s="14">
        <f>equip.xml!J2356</f>
        <v>150</v>
      </c>
      <c r="J2352" s="14">
        <f>equip.xml!K2356</f>
        <v>1500</v>
      </c>
      <c r="K2352" s="14">
        <f>equip.xml!L2356</f>
        <v>0</v>
      </c>
      <c r="L2352" s="14" t="str">
        <f>equip.xml!M2356</f>
        <v>105_9_9</v>
      </c>
      <c r="M2352" s="17" t="str">
        <f>equip.xml!Q2356</f>
        <v>equipment/5002.png</v>
      </c>
      <c r="N2352" s="16" t="str">
        <f>equip.xml!P2356</f>
        <v>10000_1002_5000,30000_30001_1,30000_30002_1,30000_30003_1</v>
      </c>
      <c r="O2352">
        <f>equip.xml!R2356</f>
        <v>1</v>
      </c>
    </row>
    <row r="2353" spans="1:15">
      <c r="A2353" s="14">
        <f>equip.xml!A2357</f>
        <v>50050046</v>
      </c>
      <c r="B2353" s="14">
        <f>equip.xml!B2357</f>
        <v>0</v>
      </c>
      <c r="C2353" s="14" t="str">
        <f>equip.xml!C2357</f>
        <v>战士胸甲</v>
      </c>
      <c r="D2353" s="14" t="str">
        <f>equip.xml!D2357</f>
        <v>胸甲</v>
      </c>
      <c r="E2353" s="14">
        <f>equip.xml!E2357</f>
        <v>4</v>
      </c>
      <c r="F2353" s="14">
        <f>equip.xml!F2357</f>
        <v>5</v>
      </c>
      <c r="G2353" s="14">
        <f>equip.xml!G2357</f>
        <v>5</v>
      </c>
      <c r="H2353" s="14">
        <f>equip.xml!H2357</f>
        <v>0</v>
      </c>
      <c r="I2353" s="14">
        <f>equip.xml!J2357</f>
        <v>150</v>
      </c>
      <c r="J2353" s="14">
        <f>equip.xml!K2357</f>
        <v>1500</v>
      </c>
      <c r="K2353" s="14">
        <f>equip.xml!L2357</f>
        <v>0</v>
      </c>
      <c r="L2353" s="14" t="str">
        <f>equip.xml!M2357</f>
        <v>105_13_13</v>
      </c>
      <c r="M2353" s="17" t="str">
        <f>equip.xml!Q2357</f>
        <v>equipment/5003.png</v>
      </c>
      <c r="N2353" s="16" t="str">
        <f>equip.xml!P2357</f>
        <v>10000_1002_5000,30000_30001_1,30000_30002_1,30000_30003_1</v>
      </c>
      <c r="O2353">
        <f>equip.xml!R2357</f>
        <v>1</v>
      </c>
    </row>
    <row r="2354" spans="1:15">
      <c r="A2354" s="14">
        <f>equip.xml!A2358</f>
        <v>50050075</v>
      </c>
      <c r="B2354" s="14">
        <f>equip.xml!B2358</f>
        <v>0</v>
      </c>
      <c r="C2354" s="14" t="str">
        <f>equip.xml!C2358</f>
        <v>皮甲短裤</v>
      </c>
      <c r="D2354" s="14" t="str">
        <f>equip.xml!D2358</f>
        <v>护腿</v>
      </c>
      <c r="E2354" s="14">
        <f>equip.xml!E2358</f>
        <v>7</v>
      </c>
      <c r="F2354" s="14">
        <f>equip.xml!F2358</f>
        <v>5</v>
      </c>
      <c r="G2354" s="14">
        <f>equip.xml!G2358</f>
        <v>5</v>
      </c>
      <c r="H2354" s="14">
        <f>equip.xml!H2358</f>
        <v>0</v>
      </c>
      <c r="I2354" s="14">
        <f>equip.xml!J2358</f>
        <v>150</v>
      </c>
      <c r="J2354" s="14">
        <f>equip.xml!K2358</f>
        <v>1500</v>
      </c>
      <c r="K2354" s="14">
        <f>equip.xml!L2358</f>
        <v>0</v>
      </c>
      <c r="L2354" s="14" t="str">
        <f>equip.xml!M2358</f>
        <v>105_3_3</v>
      </c>
      <c r="M2354" s="17" t="str">
        <f>equip.xml!Q2358</f>
        <v>equipment/7001.png</v>
      </c>
      <c r="N2354" s="16" t="str">
        <f>equip.xml!P2358</f>
        <v>10000_1002_5000,30000_30001_1,30000_30002_1,30000_30003_1</v>
      </c>
      <c r="O2354">
        <f>equip.xml!R2358</f>
        <v>1</v>
      </c>
    </row>
    <row r="2355" spans="1:15">
      <c r="A2355" s="14">
        <f>equip.xml!A2359</f>
        <v>50050076</v>
      </c>
      <c r="B2355" s="14">
        <f>equip.xml!B2359</f>
        <v>0</v>
      </c>
      <c r="C2355" s="14" t="str">
        <f>equip.xml!C2359</f>
        <v>学徒短裤</v>
      </c>
      <c r="D2355" s="14" t="str">
        <f>equip.xml!D2359</f>
        <v>护腿</v>
      </c>
      <c r="E2355" s="14">
        <f>equip.xml!E2359</f>
        <v>7</v>
      </c>
      <c r="F2355" s="14">
        <f>equip.xml!F2359</f>
        <v>5</v>
      </c>
      <c r="G2355" s="14">
        <f>equip.xml!G2359</f>
        <v>5</v>
      </c>
      <c r="H2355" s="14">
        <f>equip.xml!H2359</f>
        <v>0</v>
      </c>
      <c r="I2355" s="14">
        <f>equip.xml!J2359</f>
        <v>150</v>
      </c>
      <c r="J2355" s="14">
        <f>equip.xml!K2359</f>
        <v>1500</v>
      </c>
      <c r="K2355" s="14">
        <f>equip.xml!L2359</f>
        <v>0</v>
      </c>
      <c r="L2355" s="14" t="str">
        <f>equip.xml!M2359</f>
        <v>105_10_10</v>
      </c>
      <c r="M2355" s="17" t="str">
        <f>equip.xml!Q2359</f>
        <v>equipment/7002.png</v>
      </c>
      <c r="N2355" s="16" t="str">
        <f>equip.xml!P2359</f>
        <v>10000_1002_5000,30000_30001_1,30000_30002_1,30000_30003_1</v>
      </c>
      <c r="O2355">
        <f>equip.xml!R2359</f>
        <v>1</v>
      </c>
    </row>
    <row r="2356" spans="1:15">
      <c r="A2356" s="14">
        <f>equip.xml!A2360</f>
        <v>50100015</v>
      </c>
      <c r="B2356" s="14">
        <f>equip.xml!B2360</f>
        <v>0</v>
      </c>
      <c r="C2356" s="14" t="str">
        <f>equip.xml!C2360</f>
        <v>轻便头盔</v>
      </c>
      <c r="D2356" s="14" t="str">
        <f>equip.xml!D2360</f>
        <v>头盔</v>
      </c>
      <c r="E2356" s="14">
        <f>equip.xml!E2360</f>
        <v>1</v>
      </c>
      <c r="F2356" s="14">
        <f>equip.xml!F2360</f>
        <v>5</v>
      </c>
      <c r="G2356" s="14">
        <f>equip.xml!G2360</f>
        <v>10</v>
      </c>
      <c r="H2356" s="14">
        <f>equip.xml!H2360</f>
        <v>0</v>
      </c>
      <c r="I2356" s="14">
        <f>equip.xml!J2360</f>
        <v>150</v>
      </c>
      <c r="J2356" s="14">
        <f>equip.xml!K2360</f>
        <v>1500</v>
      </c>
      <c r="K2356" s="14">
        <f>equip.xml!L2360</f>
        <v>7500</v>
      </c>
      <c r="L2356" s="14" t="str">
        <f>equip.xml!M2360</f>
        <v>106_64_64</v>
      </c>
      <c r="M2356" s="17" t="str">
        <f>equip.xml!Q2360</f>
        <v>equipment/3002.png</v>
      </c>
      <c r="N2356" s="16" t="str">
        <f>equip.xml!P2360</f>
        <v>10000_1002_10000,30000_30001_1,30000_30002_1,30000_30003_1</v>
      </c>
      <c r="O2356">
        <f>equip.xml!R2360</f>
        <v>1</v>
      </c>
    </row>
    <row r="2357" spans="1:15">
      <c r="A2357" s="14">
        <f>equip.xml!A2361</f>
        <v>50100025</v>
      </c>
      <c r="B2357" s="14">
        <f>equip.xml!B2361</f>
        <v>0</v>
      </c>
      <c r="C2357" s="14" t="str">
        <f>equip.xml!C2361</f>
        <v>宝石戒指</v>
      </c>
      <c r="D2357" s="14" t="str">
        <f>equip.xml!D2361</f>
        <v>戒指</v>
      </c>
      <c r="E2357" s="14">
        <f>equip.xml!E2361</f>
        <v>2</v>
      </c>
      <c r="F2357" s="14">
        <f>equip.xml!F2361</f>
        <v>5</v>
      </c>
      <c r="G2357" s="14">
        <f>equip.xml!G2361</f>
        <v>10</v>
      </c>
      <c r="H2357" s="14">
        <f>equip.xml!H2361</f>
        <v>0</v>
      </c>
      <c r="I2357" s="14">
        <f>equip.xml!J2361</f>
        <v>150</v>
      </c>
      <c r="J2357" s="14">
        <f>equip.xml!K2361</f>
        <v>1500</v>
      </c>
      <c r="K2357" s="14">
        <f>equip.xml!L2361</f>
        <v>7500</v>
      </c>
      <c r="L2357" s="14" t="str">
        <f>equip.xml!M2361</f>
        <v>102_150_150</v>
      </c>
      <c r="M2357" s="17" t="str">
        <f>equip.xml!Q2361</f>
        <v>equipment/14002.png</v>
      </c>
      <c r="N2357" s="16" t="str">
        <f>equip.xml!P2361</f>
        <v>10000_1002_10000,30000_30001_1,30000_30002_1,30000_30003_1</v>
      </c>
      <c r="O2357">
        <f>equip.xml!R2361</f>
        <v>1</v>
      </c>
    </row>
    <row r="2358" spans="1:15">
      <c r="A2358" s="14">
        <f>equip.xml!A2362</f>
        <v>50100035</v>
      </c>
      <c r="B2358" s="14">
        <f>equip.xml!B2362</f>
        <v>0</v>
      </c>
      <c r="C2358" s="14" t="str">
        <f>equip.xml!C2362</f>
        <v>坚硬皮带</v>
      </c>
      <c r="D2358" s="14" t="str">
        <f>equip.xml!D2362</f>
        <v>腰带</v>
      </c>
      <c r="E2358" s="14">
        <f>equip.xml!E2362</f>
        <v>3</v>
      </c>
      <c r="F2358" s="14">
        <f>equip.xml!F2362</f>
        <v>5</v>
      </c>
      <c r="G2358" s="14">
        <f>equip.xml!G2362</f>
        <v>10</v>
      </c>
      <c r="H2358" s="14">
        <f>equip.xml!H2362</f>
        <v>0</v>
      </c>
      <c r="I2358" s="14">
        <f>equip.xml!J2362</f>
        <v>150</v>
      </c>
      <c r="J2358" s="14">
        <f>equip.xml!K2362</f>
        <v>1500</v>
      </c>
      <c r="K2358" s="14">
        <f>equip.xml!L2362</f>
        <v>7500</v>
      </c>
      <c r="L2358" s="14" t="str">
        <f>equip.xml!M2362</f>
        <v>101_480_480</v>
      </c>
      <c r="M2358" s="17" t="str">
        <f>equip.xml!Q2362</f>
        <v>equipment/6002.png</v>
      </c>
      <c r="N2358" s="16" t="str">
        <f>equip.xml!P2362</f>
        <v>10000_1002_10000,30000_30001_1,30000_30002_1,30000_30003_1</v>
      </c>
      <c r="O2358">
        <f>equip.xml!R2362</f>
        <v>1</v>
      </c>
    </row>
    <row r="2359" spans="1:15">
      <c r="A2359" s="14">
        <f>equip.xml!A2363</f>
        <v>50100085</v>
      </c>
      <c r="B2359" s="14">
        <f>equip.xml!B2363</f>
        <v>0</v>
      </c>
      <c r="C2359" s="14" t="str">
        <f>equip.xml!C2363</f>
        <v>软垫靴</v>
      </c>
      <c r="D2359" s="14" t="str">
        <f>equip.xml!D2363</f>
        <v>鞋子</v>
      </c>
      <c r="E2359" s="14">
        <f>equip.xml!E2363</f>
        <v>8</v>
      </c>
      <c r="F2359" s="14">
        <f>equip.xml!F2363</f>
        <v>5</v>
      </c>
      <c r="G2359" s="14">
        <f>equip.xml!G2363</f>
        <v>10</v>
      </c>
      <c r="H2359" s="14">
        <f>equip.xml!H2363</f>
        <v>0</v>
      </c>
      <c r="I2359" s="14">
        <f>equip.xml!J2363</f>
        <v>150</v>
      </c>
      <c r="J2359" s="14">
        <f>equip.xml!K2363</f>
        <v>1500</v>
      </c>
      <c r="K2359" s="14">
        <f>equip.xml!L2363</f>
        <v>7500</v>
      </c>
      <c r="L2359" s="14" t="str">
        <f>equip.xml!M2363</f>
        <v>110_12_12</v>
      </c>
      <c r="M2359" s="17" t="str">
        <f>equip.xml!Q2363</f>
        <v>equipment/8002.png</v>
      </c>
      <c r="N2359" s="16" t="str">
        <f>equip.xml!P2363</f>
        <v>10000_1002_10000,30000_30001_1,30000_30002_1,30000_30003_1</v>
      </c>
      <c r="O2359">
        <f>equip.xml!R2363</f>
        <v>1</v>
      </c>
    </row>
    <row r="2360" spans="1:15">
      <c r="A2360" s="14">
        <f>equip.xml!A2364</f>
        <v>50100095</v>
      </c>
      <c r="B2360" s="14">
        <f>equip.xml!B2364</f>
        <v>0</v>
      </c>
      <c r="C2360" s="14" t="str">
        <f>equip.xml!C2364</f>
        <v>步兵护手</v>
      </c>
      <c r="D2360" s="14" t="str">
        <f>equip.xml!D2364</f>
        <v>手套</v>
      </c>
      <c r="E2360" s="14">
        <f>equip.xml!E2364</f>
        <v>9</v>
      </c>
      <c r="F2360" s="14">
        <f>equip.xml!F2364</f>
        <v>5</v>
      </c>
      <c r="G2360" s="14">
        <f>equip.xml!G2364</f>
        <v>10</v>
      </c>
      <c r="H2360" s="14">
        <f>equip.xml!H2364</f>
        <v>0</v>
      </c>
      <c r="I2360" s="14">
        <f>equip.xml!J2364</f>
        <v>150</v>
      </c>
      <c r="J2360" s="14">
        <f>equip.xml!K2364</f>
        <v>1500</v>
      </c>
      <c r="K2360" s="14">
        <f>equip.xml!L2364</f>
        <v>7500</v>
      </c>
      <c r="L2360" s="14" t="str">
        <f>equip.xml!M2364</f>
        <v>108_43_43</v>
      </c>
      <c r="M2360" s="17" t="str">
        <f>equip.xml!Q2364</f>
        <v>equipment/10002.png</v>
      </c>
      <c r="N2360" s="16" t="str">
        <f>equip.xml!P2364</f>
        <v>10000_1002_10000,30000_30001_1,30000_30002_1,30000_30003_1</v>
      </c>
      <c r="O2360">
        <f>equip.xml!R2364</f>
        <v>1</v>
      </c>
    </row>
    <row r="2361" spans="1:15">
      <c r="A2361" s="14">
        <f>equip.xml!A2365</f>
        <v>50100105</v>
      </c>
      <c r="B2361" s="14">
        <f>equip.xml!B2365</f>
        <v>0</v>
      </c>
      <c r="C2361" s="14" t="str">
        <f>equip.xml!C2365</f>
        <v>贝壳项链</v>
      </c>
      <c r="D2361" s="14" t="str">
        <f>equip.xml!D2365</f>
        <v>项链</v>
      </c>
      <c r="E2361" s="14">
        <f>equip.xml!E2365</f>
        <v>10</v>
      </c>
      <c r="F2361" s="14">
        <f>equip.xml!F2365</f>
        <v>5</v>
      </c>
      <c r="G2361" s="14">
        <f>equip.xml!G2365</f>
        <v>10</v>
      </c>
      <c r="H2361" s="14">
        <f>equip.xml!H2365</f>
        <v>0</v>
      </c>
      <c r="I2361" s="14">
        <f>equip.xml!J2365</f>
        <v>150</v>
      </c>
      <c r="J2361" s="14">
        <f>equip.xml!K2365</f>
        <v>1500</v>
      </c>
      <c r="K2361" s="14">
        <f>equip.xml!L2365</f>
        <v>7500</v>
      </c>
      <c r="L2361" s="14" t="str">
        <f>equip.xml!M2365</f>
        <v>107_20_20</v>
      </c>
      <c r="M2361" s="17" t="str">
        <f>equip.xml!Q2365</f>
        <v>equipment/12001.png</v>
      </c>
      <c r="N2361" s="16" t="str">
        <f>equip.xml!P2365</f>
        <v>10000_1002_10000,30000_30001_1,30000_30002_1,30000_30003_1</v>
      </c>
      <c r="O2361">
        <f>equip.xml!R2365</f>
        <v>1</v>
      </c>
    </row>
    <row r="2362" spans="1:15">
      <c r="A2362" s="14">
        <f>equip.xml!A2366</f>
        <v>50101055</v>
      </c>
      <c r="B2362" s="14">
        <f>equip.xml!B2366</f>
        <v>0</v>
      </c>
      <c r="C2362" s="14" t="str">
        <f>equip.xml!C2366</f>
        <v>护卫之刃</v>
      </c>
      <c r="D2362" s="14" t="str">
        <f>equip.xml!D2366</f>
        <v>主手武器</v>
      </c>
      <c r="E2362" s="14">
        <f>equip.xml!E2366</f>
        <v>5</v>
      </c>
      <c r="F2362" s="14">
        <f>equip.xml!F2366</f>
        <v>5</v>
      </c>
      <c r="G2362" s="14">
        <f>equip.xml!G2366</f>
        <v>10</v>
      </c>
      <c r="H2362" s="14" t="str">
        <f>equip.xml!H2366</f>
        <v>1,1001</v>
      </c>
      <c r="I2362" s="14">
        <f>equip.xml!J2366</f>
        <v>150</v>
      </c>
      <c r="J2362" s="14">
        <f>equip.xml!K2366</f>
        <v>1500</v>
      </c>
      <c r="K2362" s="14">
        <f>equip.xml!L2366</f>
        <v>7500</v>
      </c>
      <c r="L2362" s="14" t="str">
        <f>equip.xml!M2366</f>
        <v>103_32_32,104_64_64</v>
      </c>
      <c r="M2362" s="17" t="str">
        <f>equip.xml!Q2366</f>
        <v>equipment/1105.png</v>
      </c>
      <c r="N2362" s="16" t="str">
        <f>equip.xml!P2366</f>
        <v>10000_1002_10000,30000_30001_1,30000_30002_1,30000_30003_1</v>
      </c>
      <c r="O2362">
        <f>equip.xml!R2366</f>
        <v>1</v>
      </c>
    </row>
    <row r="2363" spans="1:15">
      <c r="A2363" s="14">
        <f>equip.xml!A2367</f>
        <v>50101056</v>
      </c>
      <c r="B2363" s="14">
        <f>equip.xml!B2367</f>
        <v>0</v>
      </c>
      <c r="C2363" s="14" t="str">
        <f>equip.xml!C2367</f>
        <v>铜铸重剑</v>
      </c>
      <c r="D2363" s="14" t="str">
        <f>equip.xml!D2367</f>
        <v>主手武器</v>
      </c>
      <c r="E2363" s="14">
        <f>equip.xml!E2367</f>
        <v>5</v>
      </c>
      <c r="F2363" s="14">
        <f>equip.xml!F2367</f>
        <v>5</v>
      </c>
      <c r="G2363" s="14">
        <f>equip.xml!G2367</f>
        <v>10</v>
      </c>
      <c r="H2363" s="14" t="str">
        <f>equip.xml!H2367</f>
        <v>1,1001</v>
      </c>
      <c r="I2363" s="14">
        <f>equip.xml!J2367</f>
        <v>150</v>
      </c>
      <c r="J2363" s="14">
        <f>equip.xml!K2367</f>
        <v>1500</v>
      </c>
      <c r="K2363" s="14">
        <f>equip.xml!L2367</f>
        <v>10000</v>
      </c>
      <c r="L2363" s="14" t="str">
        <f>equip.xml!M2367</f>
        <v>103_40_40,104_80_80</v>
      </c>
      <c r="M2363" s="17" t="str">
        <f>equip.xml!Q2367</f>
        <v>equipment/1106.png</v>
      </c>
      <c r="N2363" s="16" t="str">
        <f>equip.xml!P2367</f>
        <v>10000_1002_10000,30000_30001_1,30000_30002_1,30000_30003_1</v>
      </c>
      <c r="O2363">
        <f>equip.xml!R2367</f>
        <v>1</v>
      </c>
    </row>
    <row r="2364" spans="1:15">
      <c r="A2364" s="14">
        <f>equip.xml!A2368</f>
        <v>50101065</v>
      </c>
      <c r="B2364" s="14">
        <f>equip.xml!B2368</f>
        <v>0</v>
      </c>
      <c r="C2364" s="14" t="str">
        <f>equip.xml!C2368</f>
        <v>金属大盾</v>
      </c>
      <c r="D2364" s="14" t="str">
        <f>equip.xml!D2368</f>
        <v>副手武器</v>
      </c>
      <c r="E2364" s="14">
        <f>equip.xml!E2368</f>
        <v>6</v>
      </c>
      <c r="F2364" s="14">
        <f>equip.xml!F2368</f>
        <v>5</v>
      </c>
      <c r="G2364" s="14">
        <f>equip.xml!G2368</f>
        <v>10</v>
      </c>
      <c r="H2364" s="14" t="str">
        <f>equip.xml!H2368</f>
        <v>1,1001</v>
      </c>
      <c r="I2364" s="14">
        <f>equip.xml!J2368</f>
        <v>150</v>
      </c>
      <c r="J2364" s="14">
        <f>equip.xml!K2368</f>
        <v>1500</v>
      </c>
      <c r="K2364" s="14">
        <f>equip.xml!L2368</f>
        <v>7500</v>
      </c>
      <c r="L2364" s="14" t="str">
        <f>equip.xml!M2368</f>
        <v>105_30_30</v>
      </c>
      <c r="M2364" s="17" t="str">
        <f>equip.xml!Q2368</f>
        <v>equipment/2103.png</v>
      </c>
      <c r="N2364" s="16" t="str">
        <f>equip.xml!P2368</f>
        <v>10000_1002_10000,30000_30001_1,30000_30002_1,30000_30003_1</v>
      </c>
      <c r="O2364">
        <f>equip.xml!R2368</f>
        <v>1</v>
      </c>
    </row>
    <row r="2365" spans="1:15">
      <c r="A2365" s="14">
        <f>equip.xml!A2369</f>
        <v>50101066</v>
      </c>
      <c r="B2365" s="14">
        <f>equip.xml!B2369</f>
        <v>0</v>
      </c>
      <c r="C2365" s="14" t="str">
        <f>equip.xml!C2369</f>
        <v>尖头盾</v>
      </c>
      <c r="D2365" s="14" t="str">
        <f>equip.xml!D2369</f>
        <v>副手武器</v>
      </c>
      <c r="E2365" s="14">
        <f>equip.xml!E2369</f>
        <v>6</v>
      </c>
      <c r="F2365" s="14">
        <f>equip.xml!F2369</f>
        <v>5</v>
      </c>
      <c r="G2365" s="14">
        <f>equip.xml!G2369</f>
        <v>10</v>
      </c>
      <c r="H2365" s="14" t="str">
        <f>equip.xml!H2369</f>
        <v>1,1001</v>
      </c>
      <c r="I2365" s="14">
        <f>equip.xml!J2369</f>
        <v>150</v>
      </c>
      <c r="J2365" s="14">
        <f>equip.xml!K2369</f>
        <v>1500</v>
      </c>
      <c r="K2365" s="14">
        <f>equip.xml!L2369</f>
        <v>10000</v>
      </c>
      <c r="L2365" s="14" t="str">
        <f>equip.xml!M2369</f>
        <v>105_59_59</v>
      </c>
      <c r="M2365" s="17" t="str">
        <f>equip.xml!Q2369</f>
        <v>equipment/2101.png</v>
      </c>
      <c r="N2365" s="16" t="str">
        <f>equip.xml!P2369</f>
        <v>10000_1002_10000,30000_30001_1,30000_30002_1,30000_30003_1</v>
      </c>
      <c r="O2365">
        <f>equip.xml!R2369</f>
        <v>1</v>
      </c>
    </row>
    <row r="2366" spans="1:15">
      <c r="A2366" s="14">
        <f>equip.xml!A2370</f>
        <v>50102055</v>
      </c>
      <c r="B2366" s="14">
        <f>equip.xml!B2370</f>
        <v>0</v>
      </c>
      <c r="C2366" s="14" t="str">
        <f>equip.xml!C2370</f>
        <v>猎手强弓</v>
      </c>
      <c r="D2366" s="14" t="str">
        <f>equip.xml!D2370</f>
        <v>主手武器</v>
      </c>
      <c r="E2366" s="14">
        <f>equip.xml!E2370</f>
        <v>5</v>
      </c>
      <c r="F2366" s="14">
        <f>equip.xml!F2370</f>
        <v>5</v>
      </c>
      <c r="G2366" s="14">
        <f>equip.xml!G2370</f>
        <v>10</v>
      </c>
      <c r="H2366" s="14" t="str">
        <f>equip.xml!H2370</f>
        <v>2,1002</v>
      </c>
      <c r="I2366" s="14">
        <f>equip.xml!J2370</f>
        <v>150</v>
      </c>
      <c r="J2366" s="14">
        <f>equip.xml!K2370</f>
        <v>1500</v>
      </c>
      <c r="K2366" s="14">
        <f>equip.xml!L2370</f>
        <v>7500</v>
      </c>
      <c r="L2366" s="14" t="str">
        <f>equip.xml!M2370</f>
        <v>103_32_32,104_64_64</v>
      </c>
      <c r="M2366" s="17" t="str">
        <f>equip.xml!Q2370</f>
        <v>equipment/1205.png</v>
      </c>
      <c r="N2366" s="16" t="str">
        <f>equip.xml!P2370</f>
        <v>10000_1002_10000,30000_30001_1,30000_30002_1,30000_30003_1</v>
      </c>
      <c r="O2366">
        <f>equip.xml!R2370</f>
        <v>1</v>
      </c>
    </row>
    <row r="2367" spans="1:15">
      <c r="A2367" s="14">
        <f>equip.xml!A2371</f>
        <v>50102056</v>
      </c>
      <c r="B2367" s="14">
        <f>equip.xml!B2371</f>
        <v>0</v>
      </c>
      <c r="C2367" s="14" t="str">
        <f>equip.xml!C2371</f>
        <v>灰木弓</v>
      </c>
      <c r="D2367" s="14" t="str">
        <f>equip.xml!D2371</f>
        <v>主手武器</v>
      </c>
      <c r="E2367" s="14">
        <f>equip.xml!E2371</f>
        <v>5</v>
      </c>
      <c r="F2367" s="14">
        <f>equip.xml!F2371</f>
        <v>5</v>
      </c>
      <c r="G2367" s="14">
        <f>equip.xml!G2371</f>
        <v>10</v>
      </c>
      <c r="H2367" s="14" t="str">
        <f>equip.xml!H2371</f>
        <v>2,1002</v>
      </c>
      <c r="I2367" s="14">
        <f>equip.xml!J2371</f>
        <v>150</v>
      </c>
      <c r="J2367" s="14">
        <f>equip.xml!K2371</f>
        <v>1500</v>
      </c>
      <c r="K2367" s="14">
        <f>equip.xml!L2371</f>
        <v>10000</v>
      </c>
      <c r="L2367" s="14" t="str">
        <f>equip.xml!M2371</f>
        <v>103_40_40,104_80_80</v>
      </c>
      <c r="M2367" s="17" t="str">
        <f>equip.xml!Q2371</f>
        <v>equipment/1206.png</v>
      </c>
      <c r="N2367" s="16" t="str">
        <f>equip.xml!P2371</f>
        <v>10000_1002_10000,30000_30001_1,30000_30002_1,30000_30003_1</v>
      </c>
      <c r="O2367">
        <f>equip.xml!R2371</f>
        <v>1</v>
      </c>
    </row>
    <row r="2368" spans="1:15">
      <c r="A2368" s="14">
        <f>equip.xml!A2372</f>
        <v>50102065</v>
      </c>
      <c r="B2368" s="14">
        <f>equip.xml!B2372</f>
        <v>0</v>
      </c>
      <c r="C2368" s="14" t="str">
        <f>equip.xml!C2372</f>
        <v>帆布箭筒</v>
      </c>
      <c r="D2368" s="14" t="str">
        <f>equip.xml!D2372</f>
        <v>副手武器</v>
      </c>
      <c r="E2368" s="14">
        <f>equip.xml!E2372</f>
        <v>6</v>
      </c>
      <c r="F2368" s="14">
        <f>equip.xml!F2372</f>
        <v>5</v>
      </c>
      <c r="G2368" s="14">
        <f>equip.xml!G2372</f>
        <v>10</v>
      </c>
      <c r="H2368" s="14" t="str">
        <f>equip.xml!H2372</f>
        <v>2,1002</v>
      </c>
      <c r="I2368" s="14">
        <f>equip.xml!J2372</f>
        <v>150</v>
      </c>
      <c r="J2368" s="14">
        <f>equip.xml!K2372</f>
        <v>1500</v>
      </c>
      <c r="K2368" s="14">
        <f>equip.xml!L2372</f>
        <v>7500</v>
      </c>
      <c r="L2368" s="14" t="str">
        <f>equip.xml!M2372</f>
        <v>108_30_30</v>
      </c>
      <c r="M2368" s="17" t="str">
        <f>equip.xml!Q2372</f>
        <v>equipment/2203.png</v>
      </c>
      <c r="N2368" s="16" t="str">
        <f>equip.xml!P2372</f>
        <v>10000_1002_10000,30000_30001_1,30000_30002_1,30000_30003_1</v>
      </c>
      <c r="O2368">
        <f>equip.xml!R2372</f>
        <v>1</v>
      </c>
    </row>
    <row r="2369" spans="1:15">
      <c r="A2369" s="14">
        <f>equip.xml!A2373</f>
        <v>50102066</v>
      </c>
      <c r="B2369" s="14">
        <f>equip.xml!B2373</f>
        <v>0</v>
      </c>
      <c r="C2369" s="14" t="str">
        <f>equip.xml!C2373</f>
        <v>箭筒</v>
      </c>
      <c r="D2369" s="14" t="str">
        <f>equip.xml!D2373</f>
        <v>副手武器</v>
      </c>
      <c r="E2369" s="14">
        <f>equip.xml!E2373</f>
        <v>6</v>
      </c>
      <c r="F2369" s="14">
        <f>equip.xml!F2373</f>
        <v>5</v>
      </c>
      <c r="G2369" s="14">
        <f>equip.xml!G2373</f>
        <v>10</v>
      </c>
      <c r="H2369" s="14" t="str">
        <f>equip.xml!H2373</f>
        <v>2,1002</v>
      </c>
      <c r="I2369" s="14">
        <f>equip.xml!J2373</f>
        <v>150</v>
      </c>
      <c r="J2369" s="14">
        <f>equip.xml!K2373</f>
        <v>1500</v>
      </c>
      <c r="K2369" s="14">
        <f>equip.xml!L2373</f>
        <v>10000</v>
      </c>
      <c r="L2369" s="14" t="str">
        <f>equip.xml!M2373</f>
        <v>108_59_59</v>
      </c>
      <c r="M2369" s="17" t="str">
        <f>equip.xml!Q2373</f>
        <v>equipment/2201.png</v>
      </c>
      <c r="N2369" s="16" t="str">
        <f>equip.xml!P2373</f>
        <v>10000_1002_10000,30000_30001_1,30000_30002_1,30000_30003_1</v>
      </c>
      <c r="O2369">
        <f>equip.xml!R2373</f>
        <v>1</v>
      </c>
    </row>
    <row r="2370" spans="1:15">
      <c r="A2370" s="14">
        <f>equip.xml!A2374</f>
        <v>50103055</v>
      </c>
      <c r="B2370" s="14">
        <f>equip.xml!B2374</f>
        <v>0</v>
      </c>
      <c r="C2370" s="14" t="str">
        <f>equip.xml!C2374</f>
        <v>附魔银棒</v>
      </c>
      <c r="D2370" s="14" t="str">
        <f>equip.xml!D2374</f>
        <v>主手武器</v>
      </c>
      <c r="E2370" s="14">
        <f>equip.xml!E2374</f>
        <v>5</v>
      </c>
      <c r="F2370" s="14">
        <f>equip.xml!F2374</f>
        <v>5</v>
      </c>
      <c r="G2370" s="14">
        <f>equip.xml!G2374</f>
        <v>10</v>
      </c>
      <c r="H2370" s="14" t="str">
        <f>equip.xml!H2374</f>
        <v>3,1003</v>
      </c>
      <c r="I2370" s="14">
        <f>equip.xml!J2374</f>
        <v>150</v>
      </c>
      <c r="J2370" s="14">
        <f>equip.xml!K2374</f>
        <v>1500</v>
      </c>
      <c r="K2370" s="14">
        <f>equip.xml!L2374</f>
        <v>7500</v>
      </c>
      <c r="L2370" s="14" t="str">
        <f>equip.xml!M2374</f>
        <v>103_32_32,104_64_64</v>
      </c>
      <c r="M2370" s="17" t="str">
        <f>equip.xml!Q2374</f>
        <v>equipment/1305.png</v>
      </c>
      <c r="N2370" s="16" t="str">
        <f>equip.xml!P2374</f>
        <v>10000_1002_10000,30000_30001_1,30000_30002_1,30000_30003_1</v>
      </c>
      <c r="O2370">
        <f>equip.xml!R2374</f>
        <v>1</v>
      </c>
    </row>
    <row r="2371" spans="1:15">
      <c r="A2371" s="14">
        <f>equip.xml!A2375</f>
        <v>50103056</v>
      </c>
      <c r="B2371" s="14">
        <f>equip.xml!B2375</f>
        <v>0</v>
      </c>
      <c r="C2371" s="14" t="str">
        <f>equip.xml!C2375</f>
        <v>魔导法杖</v>
      </c>
      <c r="D2371" s="14" t="str">
        <f>equip.xml!D2375</f>
        <v>主手武器</v>
      </c>
      <c r="E2371" s="14">
        <f>equip.xml!E2375</f>
        <v>5</v>
      </c>
      <c r="F2371" s="14">
        <f>equip.xml!F2375</f>
        <v>5</v>
      </c>
      <c r="G2371" s="14">
        <f>equip.xml!G2375</f>
        <v>10</v>
      </c>
      <c r="H2371" s="14" t="str">
        <f>equip.xml!H2375</f>
        <v>3,1003</v>
      </c>
      <c r="I2371" s="14">
        <f>equip.xml!J2375</f>
        <v>150</v>
      </c>
      <c r="J2371" s="14">
        <f>equip.xml!K2375</f>
        <v>1500</v>
      </c>
      <c r="K2371" s="14">
        <f>equip.xml!L2375</f>
        <v>10000</v>
      </c>
      <c r="L2371" s="14" t="str">
        <f>equip.xml!M2375</f>
        <v>103_40_40,104_80_80</v>
      </c>
      <c r="M2371" s="17" t="str">
        <f>equip.xml!Q2375</f>
        <v>equipment/1306.png</v>
      </c>
      <c r="N2371" s="16" t="str">
        <f>equip.xml!P2375</f>
        <v>10000_1002_10000,30000_30001_1,30000_30002_1,30000_30003_1</v>
      </c>
      <c r="O2371">
        <f>equip.xml!R2375</f>
        <v>1</v>
      </c>
    </row>
    <row r="2372" spans="1:15">
      <c r="A2372" s="14">
        <f>equip.xml!A2376</f>
        <v>50103065</v>
      </c>
      <c r="B2372" s="14">
        <f>equip.xml!B2376</f>
        <v>0</v>
      </c>
      <c r="C2372" s="14" t="str">
        <f>equip.xml!C2376</f>
        <v>奥术典籍</v>
      </c>
      <c r="D2372" s="14" t="str">
        <f>equip.xml!D2376</f>
        <v>副手武器</v>
      </c>
      <c r="E2372" s="14">
        <f>equip.xml!E2376</f>
        <v>6</v>
      </c>
      <c r="F2372" s="14">
        <f>equip.xml!F2376</f>
        <v>5</v>
      </c>
      <c r="G2372" s="14">
        <f>equip.xml!G2376</f>
        <v>10</v>
      </c>
      <c r="H2372" s="14" t="str">
        <f>equip.xml!H2376</f>
        <v>3,1003</v>
      </c>
      <c r="I2372" s="14">
        <f>equip.xml!J2376</f>
        <v>150</v>
      </c>
      <c r="J2372" s="14">
        <f>equip.xml!K2376</f>
        <v>1500</v>
      </c>
      <c r="K2372" s="14">
        <f>equip.xml!L2376</f>
        <v>7500</v>
      </c>
      <c r="L2372" s="14" t="str">
        <f>equip.xml!M2376</f>
        <v>102_240_240</v>
      </c>
      <c r="M2372" s="17" t="str">
        <f>equip.xml!Q2376</f>
        <v>equipment/2303.png</v>
      </c>
      <c r="N2372" s="16" t="str">
        <f>equip.xml!P2376</f>
        <v>10000_1002_10000,30000_30001_1,30000_30002_1,30000_30003_1</v>
      </c>
      <c r="O2372">
        <f>equip.xml!R2376</f>
        <v>1</v>
      </c>
    </row>
    <row r="2373" spans="1:15">
      <c r="A2373" s="14">
        <f>equip.xml!A2377</f>
        <v>50103066</v>
      </c>
      <c r="B2373" s="14">
        <f>equip.xml!B2377</f>
        <v>0</v>
      </c>
      <c r="C2373" s="14" t="str">
        <f>equip.xml!C2377</f>
        <v>法术指南</v>
      </c>
      <c r="D2373" s="14" t="str">
        <f>equip.xml!D2377</f>
        <v>副手武器</v>
      </c>
      <c r="E2373" s="14">
        <f>equip.xml!E2377</f>
        <v>6</v>
      </c>
      <c r="F2373" s="14">
        <f>equip.xml!F2377</f>
        <v>5</v>
      </c>
      <c r="G2373" s="14">
        <f>equip.xml!G2377</f>
        <v>10</v>
      </c>
      <c r="H2373" s="14" t="str">
        <f>equip.xml!H2377</f>
        <v>3,1003</v>
      </c>
      <c r="I2373" s="14">
        <f>equip.xml!J2377</f>
        <v>150</v>
      </c>
      <c r="J2373" s="14">
        <f>equip.xml!K2377</f>
        <v>1500</v>
      </c>
      <c r="K2373" s="14">
        <f>equip.xml!L2377</f>
        <v>10000</v>
      </c>
      <c r="L2373" s="14" t="str">
        <f>equip.xml!M2377</f>
        <v>102_59_59</v>
      </c>
      <c r="M2373" s="17" t="str">
        <f>equip.xml!Q2377</f>
        <v>equipment/2301.png</v>
      </c>
      <c r="N2373" s="16" t="str">
        <f>equip.xml!P2377</f>
        <v>10000_1002_10000,30000_30001_1,30000_30002_1,30000_30003_1</v>
      </c>
      <c r="O2373">
        <f>equip.xml!R2377</f>
        <v>1</v>
      </c>
    </row>
    <row r="2374" spans="1:15">
      <c r="A2374" s="14">
        <f>equip.xml!A2378</f>
        <v>50100045</v>
      </c>
      <c r="B2374" s="14">
        <f>equip.xml!B2378</f>
        <v>0</v>
      </c>
      <c r="C2374" s="14" t="str">
        <f>equip.xml!C2378</f>
        <v>硬皮外套</v>
      </c>
      <c r="D2374" s="14" t="str">
        <f>equip.xml!D2378</f>
        <v>胸甲</v>
      </c>
      <c r="E2374" s="14">
        <f>equip.xml!E2378</f>
        <v>4</v>
      </c>
      <c r="F2374" s="14">
        <f>equip.xml!F2378</f>
        <v>5</v>
      </c>
      <c r="G2374" s="14">
        <f>equip.xml!G2378</f>
        <v>10</v>
      </c>
      <c r="H2374" s="14">
        <f>equip.xml!H2378</f>
        <v>0</v>
      </c>
      <c r="I2374" s="14">
        <f>equip.xml!J2378</f>
        <v>150</v>
      </c>
      <c r="J2374" s="14">
        <f>equip.xml!K2378</f>
        <v>1500</v>
      </c>
      <c r="K2374" s="14">
        <f>equip.xml!L2378</f>
        <v>7500</v>
      </c>
      <c r="L2374" s="14" t="str">
        <f>equip.xml!M2378</f>
        <v>105_20_20</v>
      </c>
      <c r="M2374" s="17" t="str">
        <f>equip.xml!Q2378</f>
        <v>equipment/5003.png</v>
      </c>
      <c r="N2374" s="16" t="str">
        <f>equip.xml!P2378</f>
        <v>10000_1002_10000,30000_30001_1,30000_30002_1,30000_30003_1</v>
      </c>
      <c r="O2374">
        <f>equip.xml!R2378</f>
        <v>1</v>
      </c>
    </row>
    <row r="2375" spans="1:15">
      <c r="A2375" s="14">
        <f>equip.xml!A2379</f>
        <v>50100046</v>
      </c>
      <c r="B2375" s="14">
        <f>equip.xml!B2379</f>
        <v>0</v>
      </c>
      <c r="C2375" s="14" t="str">
        <f>equip.xml!C2379</f>
        <v>新兵外套</v>
      </c>
      <c r="D2375" s="14" t="str">
        <f>equip.xml!D2379</f>
        <v>胸甲</v>
      </c>
      <c r="E2375" s="14">
        <f>equip.xml!E2379</f>
        <v>4</v>
      </c>
      <c r="F2375" s="14">
        <f>equip.xml!F2379</f>
        <v>5</v>
      </c>
      <c r="G2375" s="14">
        <f>equip.xml!G2379</f>
        <v>10</v>
      </c>
      <c r="H2375" s="14">
        <f>equip.xml!H2379</f>
        <v>0</v>
      </c>
      <c r="I2375" s="14">
        <f>equip.xml!J2379</f>
        <v>150</v>
      </c>
      <c r="J2375" s="14">
        <f>equip.xml!K2379</f>
        <v>1500</v>
      </c>
      <c r="K2375" s="14">
        <f>equip.xml!L2379</f>
        <v>10000</v>
      </c>
      <c r="L2375" s="14" t="str">
        <f>equip.xml!M2379</f>
        <v>105_28_28</v>
      </c>
      <c r="M2375" s="17" t="str">
        <f>equip.xml!Q2379</f>
        <v>equipment/5001.png</v>
      </c>
      <c r="N2375" s="16" t="str">
        <f>equip.xml!P2379</f>
        <v>10000_1002_10000,30000_30001_1,30000_30002_1,30000_30003_1</v>
      </c>
      <c r="O2375">
        <f>equip.xml!R2379</f>
        <v>1</v>
      </c>
    </row>
    <row r="2376" spans="1:15">
      <c r="A2376" s="14">
        <f>equip.xml!A2380</f>
        <v>50100075</v>
      </c>
      <c r="B2376" s="14">
        <f>equip.xml!B2380</f>
        <v>0</v>
      </c>
      <c r="C2376" s="14" t="str">
        <f>equip.xml!C2380</f>
        <v>护卫短裤</v>
      </c>
      <c r="D2376" s="14" t="str">
        <f>equip.xml!D2380</f>
        <v>护腿</v>
      </c>
      <c r="E2376" s="14">
        <f>equip.xml!E2380</f>
        <v>7</v>
      </c>
      <c r="F2376" s="14">
        <f>equip.xml!F2380</f>
        <v>5</v>
      </c>
      <c r="G2376" s="14">
        <f>equip.xml!G2380</f>
        <v>10</v>
      </c>
      <c r="H2376" s="14">
        <f>equip.xml!H2380</f>
        <v>0</v>
      </c>
      <c r="I2376" s="14">
        <f>equip.xml!J2380</f>
        <v>150</v>
      </c>
      <c r="J2376" s="14">
        <f>equip.xml!K2380</f>
        <v>1500</v>
      </c>
      <c r="K2376" s="14">
        <f>equip.xml!L2380</f>
        <v>7500</v>
      </c>
      <c r="L2376" s="14" t="str">
        <f>equip.xml!M2380</f>
        <v>105_20_20</v>
      </c>
      <c r="M2376" s="17" t="str">
        <f>equip.xml!Q2380</f>
        <v>equipment/7003.png</v>
      </c>
      <c r="N2376" s="16" t="str">
        <f>equip.xml!P2380</f>
        <v>10000_1002_10000,30000_30001_1,30000_30002_1,30000_30003_1</v>
      </c>
      <c r="O2376">
        <f>equip.xml!R2380</f>
        <v>1</v>
      </c>
    </row>
    <row r="2377" spans="1:15">
      <c r="A2377" s="14">
        <f>equip.xml!A2381</f>
        <v>50100076</v>
      </c>
      <c r="B2377" s="14">
        <f>equip.xml!B2381</f>
        <v>0</v>
      </c>
      <c r="C2377" s="14" t="str">
        <f>equip.xml!C2381</f>
        <v>学徒短裤</v>
      </c>
      <c r="D2377" s="14" t="str">
        <f>equip.xml!D2381</f>
        <v>护腿</v>
      </c>
      <c r="E2377" s="14">
        <f>equip.xml!E2381</f>
        <v>7</v>
      </c>
      <c r="F2377" s="14">
        <f>equip.xml!F2381</f>
        <v>5</v>
      </c>
      <c r="G2377" s="14">
        <f>equip.xml!G2381</f>
        <v>10</v>
      </c>
      <c r="H2377" s="14">
        <f>equip.xml!H2381</f>
        <v>0</v>
      </c>
      <c r="I2377" s="14">
        <f>equip.xml!J2381</f>
        <v>150</v>
      </c>
      <c r="J2377" s="14">
        <f>equip.xml!K2381</f>
        <v>1500</v>
      </c>
      <c r="K2377" s="14">
        <f>equip.xml!L2381</f>
        <v>10000</v>
      </c>
      <c r="L2377" s="14" t="str">
        <f>equip.xml!M2381</f>
        <v>105_28_28</v>
      </c>
      <c r="M2377" s="17" t="str">
        <f>equip.xml!Q2381</f>
        <v>equipment/7001.png</v>
      </c>
      <c r="N2377" s="16" t="str">
        <f>equip.xml!P2381</f>
        <v>10000_1002_10000,30000_30001_1,30000_30002_1,30000_30003_1</v>
      </c>
      <c r="O2377">
        <f>equip.xml!R2381</f>
        <v>1</v>
      </c>
    </row>
    <row r="2378" spans="1:15">
      <c r="A2378" s="14">
        <f>equip.xml!A2382</f>
        <v>50150015</v>
      </c>
      <c r="B2378" s="14">
        <f>equip.xml!B2382</f>
        <v>0</v>
      </c>
      <c r="C2378" s="14" t="str">
        <f>equip.xml!C2382</f>
        <v>纹饰帽</v>
      </c>
      <c r="D2378" s="14" t="str">
        <f>equip.xml!D2382</f>
        <v>头盔</v>
      </c>
      <c r="E2378" s="14">
        <f>equip.xml!E2382</f>
        <v>1</v>
      </c>
      <c r="F2378" s="14">
        <f>equip.xml!F2382</f>
        <v>5</v>
      </c>
      <c r="G2378" s="14">
        <f>equip.xml!G2382</f>
        <v>15</v>
      </c>
      <c r="H2378" s="14">
        <f>equip.xml!H2382</f>
        <v>0</v>
      </c>
      <c r="I2378" s="14">
        <f>equip.xml!J2382</f>
        <v>150</v>
      </c>
      <c r="J2378" s="14">
        <f>equip.xml!K2382</f>
        <v>1500</v>
      </c>
      <c r="K2378" s="14">
        <f>equip.xml!L2382</f>
        <v>10000</v>
      </c>
      <c r="L2378" s="14" t="str">
        <f>equip.xml!M2382</f>
        <v>106_64_64</v>
      </c>
      <c r="M2378" s="17" t="str">
        <f>equip.xml!Q2382</f>
        <v>equipment/3001.png</v>
      </c>
      <c r="N2378" s="16" t="str">
        <f>equip.xml!P2382</f>
        <v>10000_1002_15000,30000_30001_1,30000_30002_1,30000_30003_1</v>
      </c>
      <c r="O2378">
        <f>equip.xml!R2382</f>
        <v>1</v>
      </c>
    </row>
    <row r="2379" spans="1:15">
      <c r="A2379" s="14">
        <f>equip.xml!A2383</f>
        <v>50150025</v>
      </c>
      <c r="B2379" s="14">
        <f>equip.xml!B2383</f>
        <v>0</v>
      </c>
      <c r="C2379" s="14" t="str">
        <f>equip.xml!C2383</f>
        <v>金戒指</v>
      </c>
      <c r="D2379" s="14" t="str">
        <f>equip.xml!D2383</f>
        <v>戒指</v>
      </c>
      <c r="E2379" s="14">
        <f>equip.xml!E2383</f>
        <v>2</v>
      </c>
      <c r="F2379" s="14">
        <f>equip.xml!F2383</f>
        <v>5</v>
      </c>
      <c r="G2379" s="14">
        <f>equip.xml!G2383</f>
        <v>15</v>
      </c>
      <c r="H2379" s="14">
        <f>equip.xml!H2383</f>
        <v>0</v>
      </c>
      <c r="I2379" s="14">
        <f>equip.xml!J2383</f>
        <v>150</v>
      </c>
      <c r="J2379" s="14">
        <f>equip.xml!K2383</f>
        <v>1500</v>
      </c>
      <c r="K2379" s="14">
        <f>equip.xml!L2383</f>
        <v>10000</v>
      </c>
      <c r="L2379" s="14" t="str">
        <f>equip.xml!M2383</f>
        <v>102_185_185</v>
      </c>
      <c r="M2379" s="17" t="str">
        <f>equip.xml!Q2383</f>
        <v>equipment/14001.png</v>
      </c>
      <c r="N2379" s="16" t="str">
        <f>equip.xml!P2383</f>
        <v>10000_1002_15000,30000_30001_1,30000_30002_1,30000_30003_1</v>
      </c>
      <c r="O2379">
        <f>equip.xml!R2383</f>
        <v>1</v>
      </c>
    </row>
    <row r="2380" spans="1:15">
      <c r="A2380" s="14">
        <f>equip.xml!A2384</f>
        <v>50150035</v>
      </c>
      <c r="B2380" s="14">
        <f>equip.xml!B2384</f>
        <v>0</v>
      </c>
      <c r="C2380" s="14" t="str">
        <f>equip.xml!C2384</f>
        <v>铁锁腰带</v>
      </c>
      <c r="D2380" s="14" t="str">
        <f>equip.xml!D2384</f>
        <v>腰带</v>
      </c>
      <c r="E2380" s="14">
        <f>equip.xml!E2384</f>
        <v>3</v>
      </c>
      <c r="F2380" s="14">
        <f>equip.xml!F2384</f>
        <v>5</v>
      </c>
      <c r="G2380" s="14">
        <f>equip.xml!G2384</f>
        <v>15</v>
      </c>
      <c r="H2380" s="14">
        <f>equip.xml!H2384</f>
        <v>0</v>
      </c>
      <c r="I2380" s="14">
        <f>equip.xml!J2384</f>
        <v>150</v>
      </c>
      <c r="J2380" s="14">
        <f>equip.xml!K2384</f>
        <v>1500</v>
      </c>
      <c r="K2380" s="14">
        <f>equip.xml!L2384</f>
        <v>10000</v>
      </c>
      <c r="L2380" s="14" t="str">
        <f>equip.xml!M2384</f>
        <v>101_1160_1160</v>
      </c>
      <c r="M2380" s="17" t="str">
        <f>equip.xml!Q2384</f>
        <v>equipment/6003.png</v>
      </c>
      <c r="N2380" s="16" t="str">
        <f>equip.xml!P2384</f>
        <v>10000_1002_15000,30000_30001_1,30000_30002_1,30000_30003_1</v>
      </c>
      <c r="O2380">
        <f>equip.xml!R2384</f>
        <v>1</v>
      </c>
    </row>
    <row r="2381" spans="1:15">
      <c r="A2381" s="14">
        <f>equip.xml!A2385</f>
        <v>50150085</v>
      </c>
      <c r="B2381" s="14">
        <f>equip.xml!B2385</f>
        <v>0</v>
      </c>
      <c r="C2381" s="14" t="str">
        <f>equip.xml!C2385</f>
        <v>链甲战靴</v>
      </c>
      <c r="D2381" s="14" t="str">
        <f>equip.xml!D2385</f>
        <v>鞋子</v>
      </c>
      <c r="E2381" s="14">
        <f>equip.xml!E2385</f>
        <v>8</v>
      </c>
      <c r="F2381" s="14">
        <f>equip.xml!F2385</f>
        <v>5</v>
      </c>
      <c r="G2381" s="14">
        <f>equip.xml!G2385</f>
        <v>15</v>
      </c>
      <c r="H2381" s="14">
        <f>equip.xml!H2385</f>
        <v>0</v>
      </c>
      <c r="I2381" s="14">
        <f>equip.xml!J2385</f>
        <v>150</v>
      </c>
      <c r="J2381" s="14">
        <f>equip.xml!K2385</f>
        <v>1500</v>
      </c>
      <c r="K2381" s="14">
        <f>equip.xml!L2385</f>
        <v>10000</v>
      </c>
      <c r="L2381" s="14" t="str">
        <f>equip.xml!M2385</f>
        <v>110_27_27</v>
      </c>
      <c r="M2381" s="17" t="str">
        <f>equip.xml!Q2385</f>
        <v>equipment/8003.png</v>
      </c>
      <c r="N2381" s="16" t="str">
        <f>equip.xml!P2385</f>
        <v>10000_1002_15000,30000_30001_1,30000_30002_1,30000_30003_1</v>
      </c>
      <c r="O2381">
        <f>equip.xml!R2385</f>
        <v>1</v>
      </c>
    </row>
    <row r="2382" spans="1:15">
      <c r="A2382" s="14">
        <f>equip.xml!A2386</f>
        <v>50150095</v>
      </c>
      <c r="B2382" s="14">
        <f>equip.xml!B2386</f>
        <v>0</v>
      </c>
      <c r="C2382" s="14" t="str">
        <f>equip.xml!C2386</f>
        <v>战痕手套</v>
      </c>
      <c r="D2382" s="14" t="str">
        <f>equip.xml!D2386</f>
        <v>手套</v>
      </c>
      <c r="E2382" s="14">
        <f>equip.xml!E2386</f>
        <v>9</v>
      </c>
      <c r="F2382" s="14">
        <f>equip.xml!F2386</f>
        <v>5</v>
      </c>
      <c r="G2382" s="14">
        <f>equip.xml!G2386</f>
        <v>15</v>
      </c>
      <c r="H2382" s="14">
        <f>equip.xml!H2386</f>
        <v>0</v>
      </c>
      <c r="I2382" s="14">
        <f>equip.xml!J2386</f>
        <v>150</v>
      </c>
      <c r="J2382" s="14">
        <f>equip.xml!K2386</f>
        <v>1500</v>
      </c>
      <c r="K2382" s="14">
        <f>equip.xml!L2386</f>
        <v>10000</v>
      </c>
      <c r="L2382" s="14" t="str">
        <f>equip.xml!M2386</f>
        <v>108_106_106</v>
      </c>
      <c r="M2382" s="17" t="str">
        <f>equip.xml!Q2386</f>
        <v>equipment/10003.png</v>
      </c>
      <c r="N2382" s="16" t="str">
        <f>equip.xml!P2386</f>
        <v>10000_1002_15000,30000_30001_1,30000_30002_1,30000_30003_1</v>
      </c>
      <c r="O2382">
        <f>equip.xml!R2386</f>
        <v>1</v>
      </c>
    </row>
    <row r="2383" spans="1:15">
      <c r="A2383" s="14">
        <f>equip.xml!A2387</f>
        <v>50150105</v>
      </c>
      <c r="B2383" s="14">
        <f>equip.xml!B2387</f>
        <v>0</v>
      </c>
      <c r="C2383" s="14" t="str">
        <f>equip.xml!C2387</f>
        <v>使者项链</v>
      </c>
      <c r="D2383" s="14" t="str">
        <f>equip.xml!D2387</f>
        <v>项链</v>
      </c>
      <c r="E2383" s="14">
        <f>equip.xml!E2387</f>
        <v>10</v>
      </c>
      <c r="F2383" s="14">
        <f>equip.xml!F2387</f>
        <v>5</v>
      </c>
      <c r="G2383" s="14">
        <f>equip.xml!G2387</f>
        <v>15</v>
      </c>
      <c r="H2383" s="14">
        <f>equip.xml!H2387</f>
        <v>0</v>
      </c>
      <c r="I2383" s="14">
        <f>equip.xml!J2387</f>
        <v>150</v>
      </c>
      <c r="J2383" s="14">
        <f>equip.xml!K2387</f>
        <v>1500</v>
      </c>
      <c r="K2383" s="14">
        <f>equip.xml!L2387</f>
        <v>10000</v>
      </c>
      <c r="L2383" s="14" t="str">
        <f>equip.xml!M2387</f>
        <v>107_64_64</v>
      </c>
      <c r="M2383" s="17" t="str">
        <f>equip.xml!Q2387</f>
        <v>equipment/12002.png</v>
      </c>
      <c r="N2383" s="16" t="str">
        <f>equip.xml!P2387</f>
        <v>10000_1002_15000,30000_30001_1,30000_30002_1,30000_30003_1</v>
      </c>
      <c r="O2383">
        <f>equip.xml!R2387</f>
        <v>1</v>
      </c>
    </row>
    <row r="2384" spans="1:15">
      <c r="A2384" s="14">
        <f>equip.xml!A2388</f>
        <v>50151055</v>
      </c>
      <c r="B2384" s="14">
        <f>equip.xml!B2388</f>
        <v>0</v>
      </c>
      <c r="C2384" s="14" t="str">
        <f>equip.xml!C2388</f>
        <v>宽刃剑</v>
      </c>
      <c r="D2384" s="14" t="str">
        <f>equip.xml!D2388</f>
        <v>主手武器</v>
      </c>
      <c r="E2384" s="14">
        <f>equip.xml!E2388</f>
        <v>5</v>
      </c>
      <c r="F2384" s="14">
        <f>equip.xml!F2388</f>
        <v>5</v>
      </c>
      <c r="G2384" s="14">
        <f>equip.xml!G2388</f>
        <v>15</v>
      </c>
      <c r="H2384" s="14" t="str">
        <f>equip.xml!H2388</f>
        <v>1,1001</v>
      </c>
      <c r="I2384" s="14">
        <f>equip.xml!J2388</f>
        <v>150</v>
      </c>
      <c r="J2384" s="14">
        <f>equip.xml!K2388</f>
        <v>1500</v>
      </c>
      <c r="K2384" s="14">
        <f>equip.xml!L2388</f>
        <v>10000</v>
      </c>
      <c r="L2384" s="14" t="str">
        <f>equip.xml!M2388</f>
        <v>103_52_52,104_104_104</v>
      </c>
      <c r="M2384" s="17" t="str">
        <f>equip.xml!Q2388</f>
        <v>equipment/1108.png</v>
      </c>
      <c r="N2384" s="16" t="str">
        <f>equip.xml!P2388</f>
        <v>10000_1002_15000,30000_30001_1,30000_30002_1,30000_30003_1</v>
      </c>
      <c r="O2384">
        <f>equip.xml!R2388</f>
        <v>1</v>
      </c>
    </row>
    <row r="2385" spans="1:15">
      <c r="A2385" s="14">
        <f>equip.xml!A2389</f>
        <v>50151056</v>
      </c>
      <c r="B2385" s="14">
        <f>equip.xml!B2389</f>
        <v>0</v>
      </c>
      <c r="C2385" s="14" t="str">
        <f>equip.xml!C2389</f>
        <v>游侠之刃</v>
      </c>
      <c r="D2385" s="14" t="str">
        <f>equip.xml!D2389</f>
        <v>主手武器</v>
      </c>
      <c r="E2385" s="14">
        <f>equip.xml!E2389</f>
        <v>5</v>
      </c>
      <c r="F2385" s="14">
        <f>equip.xml!F2389</f>
        <v>5</v>
      </c>
      <c r="G2385" s="14">
        <f>equip.xml!G2389</f>
        <v>15</v>
      </c>
      <c r="H2385" s="14" t="str">
        <f>equip.xml!H2389</f>
        <v>1,1001</v>
      </c>
      <c r="I2385" s="14">
        <f>equip.xml!J2389</f>
        <v>150</v>
      </c>
      <c r="J2385" s="14">
        <f>equip.xml!K2389</f>
        <v>1500</v>
      </c>
      <c r="K2385" s="14">
        <f>equip.xml!L2389</f>
        <v>12500</v>
      </c>
      <c r="L2385" s="14" t="str">
        <f>equip.xml!M2389</f>
        <v>103_76_76,104_152_152</v>
      </c>
      <c r="M2385" s="17" t="str">
        <f>equip.xml!Q2389</f>
        <v>equipment/1107.png</v>
      </c>
      <c r="N2385" s="16" t="str">
        <f>equip.xml!P2389</f>
        <v>10000_1002_15000,30000_30001_1,30000_30002_1,30000_30003_1</v>
      </c>
      <c r="O2385">
        <f>equip.xml!R2389</f>
        <v>1</v>
      </c>
    </row>
    <row r="2386" spans="1:15">
      <c r="A2386" s="14">
        <f>equip.xml!A2390</f>
        <v>50151065</v>
      </c>
      <c r="B2386" s="14">
        <f>equip.xml!B2390</f>
        <v>0</v>
      </c>
      <c r="C2386" s="14" t="str">
        <f>equip.xml!C2390</f>
        <v>鸢盾</v>
      </c>
      <c r="D2386" s="14" t="str">
        <f>equip.xml!D2390</f>
        <v>副手武器</v>
      </c>
      <c r="E2386" s="14">
        <f>equip.xml!E2390</f>
        <v>6</v>
      </c>
      <c r="F2386" s="14">
        <f>equip.xml!F2390</f>
        <v>5</v>
      </c>
      <c r="G2386" s="14">
        <f>equip.xml!G2390</f>
        <v>15</v>
      </c>
      <c r="H2386" s="14" t="str">
        <f>equip.xml!H2390</f>
        <v>1,1001</v>
      </c>
      <c r="I2386" s="14">
        <f>equip.xml!J2390</f>
        <v>150</v>
      </c>
      <c r="J2386" s="14">
        <f>equip.xml!K2390</f>
        <v>1500</v>
      </c>
      <c r="K2386" s="14">
        <f>equip.xml!L2390</f>
        <v>10000</v>
      </c>
      <c r="L2386" s="14" t="str">
        <f>equip.xml!M2390</f>
        <v>105_103_103</v>
      </c>
      <c r="M2386" s="17" t="str">
        <f>equip.xml!Q2390</f>
        <v>equipment/2105.png</v>
      </c>
      <c r="N2386" s="16" t="str">
        <f>equip.xml!P2390</f>
        <v>10000_1002_15000,30000_30001_1,30000_30002_1,30000_30003_1</v>
      </c>
      <c r="O2386">
        <f>equip.xml!R2390</f>
        <v>1</v>
      </c>
    </row>
    <row r="2387" spans="1:15">
      <c r="A2387" s="14">
        <f>equip.xml!A2391</f>
        <v>50151066</v>
      </c>
      <c r="B2387" s="14">
        <f>equip.xml!B2391</f>
        <v>0</v>
      </c>
      <c r="C2387" s="14" t="str">
        <f>equip.xml!C2391</f>
        <v>尖头盾</v>
      </c>
      <c r="D2387" s="14" t="str">
        <f>equip.xml!D2391</f>
        <v>副手武器</v>
      </c>
      <c r="E2387" s="14">
        <f>equip.xml!E2391</f>
        <v>6</v>
      </c>
      <c r="F2387" s="14">
        <f>equip.xml!F2391</f>
        <v>5</v>
      </c>
      <c r="G2387" s="14">
        <f>equip.xml!G2391</f>
        <v>15</v>
      </c>
      <c r="H2387" s="14" t="str">
        <f>equip.xml!H2391</f>
        <v>1,1001</v>
      </c>
      <c r="I2387" s="14">
        <f>equip.xml!J2391</f>
        <v>150</v>
      </c>
      <c r="J2387" s="14">
        <f>equip.xml!K2391</f>
        <v>1500</v>
      </c>
      <c r="K2387" s="14">
        <f>equip.xml!L2391</f>
        <v>12500</v>
      </c>
      <c r="L2387" s="14" t="str">
        <f>equip.xml!M2391</f>
        <v>105_130_130</v>
      </c>
      <c r="M2387" s="17" t="str">
        <f>equip.xml!Q2391</f>
        <v>equipment/2101.png</v>
      </c>
      <c r="N2387" s="16" t="str">
        <f>equip.xml!P2391</f>
        <v>10000_1002_15000,30000_30001_1,30000_30002_1,30000_30003_1</v>
      </c>
      <c r="O2387">
        <f>equip.xml!R2391</f>
        <v>1</v>
      </c>
    </row>
    <row r="2388" spans="1:15">
      <c r="A2388" s="14">
        <f>equip.xml!A2392</f>
        <v>50152055</v>
      </c>
      <c r="B2388" s="14">
        <f>equip.xml!B2392</f>
        <v>0</v>
      </c>
      <c r="C2388" s="14" t="str">
        <f>equip.xml!C2392</f>
        <v>狩猎之弓</v>
      </c>
      <c r="D2388" s="14" t="str">
        <f>equip.xml!D2392</f>
        <v>主手武器</v>
      </c>
      <c r="E2388" s="14">
        <f>equip.xml!E2392</f>
        <v>5</v>
      </c>
      <c r="F2388" s="14">
        <f>equip.xml!F2392</f>
        <v>5</v>
      </c>
      <c r="G2388" s="14">
        <f>equip.xml!G2392</f>
        <v>15</v>
      </c>
      <c r="H2388" s="14" t="str">
        <f>equip.xml!H2392</f>
        <v>2,1002</v>
      </c>
      <c r="I2388" s="14">
        <f>equip.xml!J2392</f>
        <v>150</v>
      </c>
      <c r="J2388" s="14">
        <f>equip.xml!K2392</f>
        <v>1500</v>
      </c>
      <c r="K2388" s="14">
        <f>equip.xml!L2392</f>
        <v>10000</v>
      </c>
      <c r="L2388" s="14" t="str">
        <f>equip.xml!M2392</f>
        <v>103_52_52,104_104_104</v>
      </c>
      <c r="M2388" s="17" t="str">
        <f>equip.xml!Q2392</f>
        <v>equipment/1207.png</v>
      </c>
      <c r="N2388" s="16" t="str">
        <f>equip.xml!P2392</f>
        <v>10000_1002_15000,30000_30001_1,30000_30002_1,30000_30003_1</v>
      </c>
      <c r="O2388">
        <f>equip.xml!R2392</f>
        <v>1</v>
      </c>
    </row>
    <row r="2389" spans="1:15">
      <c r="A2389" s="14">
        <f>equip.xml!A2393</f>
        <v>50152056</v>
      </c>
      <c r="B2389" s="14">
        <f>equip.xml!B2393</f>
        <v>0</v>
      </c>
      <c r="C2389" s="14" t="str">
        <f>equip.xml!C2393</f>
        <v>半人马长弓</v>
      </c>
      <c r="D2389" s="14" t="str">
        <f>equip.xml!D2393</f>
        <v>主手武器</v>
      </c>
      <c r="E2389" s="14">
        <f>equip.xml!E2393</f>
        <v>5</v>
      </c>
      <c r="F2389" s="14">
        <f>equip.xml!F2393</f>
        <v>5</v>
      </c>
      <c r="G2389" s="14">
        <f>equip.xml!G2393</f>
        <v>15</v>
      </c>
      <c r="H2389" s="14" t="str">
        <f>equip.xml!H2393</f>
        <v>2,1002</v>
      </c>
      <c r="I2389" s="14">
        <f>equip.xml!J2393</f>
        <v>150</v>
      </c>
      <c r="J2389" s="14">
        <f>equip.xml!K2393</f>
        <v>1500</v>
      </c>
      <c r="K2389" s="14">
        <f>equip.xml!L2393</f>
        <v>12500</v>
      </c>
      <c r="L2389" s="14" t="str">
        <f>equip.xml!M2393</f>
        <v>103_76_76,104_152_152</v>
      </c>
      <c r="M2389" s="17" t="str">
        <f>equip.xml!Q2393</f>
        <v>equipment/1208.png</v>
      </c>
      <c r="N2389" s="16" t="str">
        <f>equip.xml!P2393</f>
        <v>10000_1002_15000,30000_30001_1,30000_30002_1,30000_30003_1</v>
      </c>
      <c r="O2389">
        <f>equip.xml!R2393</f>
        <v>1</v>
      </c>
    </row>
    <row r="2390" spans="1:15">
      <c r="A2390" s="14">
        <f>equip.xml!A2394</f>
        <v>50152065</v>
      </c>
      <c r="B2390" s="14">
        <f>equip.xml!B2394</f>
        <v>0</v>
      </c>
      <c r="C2390" s="14" t="str">
        <f>equip.xml!C2394</f>
        <v>皮革箭筒</v>
      </c>
      <c r="D2390" s="14" t="str">
        <f>equip.xml!D2394</f>
        <v>副手武器</v>
      </c>
      <c r="E2390" s="14">
        <f>equip.xml!E2394</f>
        <v>6</v>
      </c>
      <c r="F2390" s="14">
        <f>equip.xml!F2394</f>
        <v>5</v>
      </c>
      <c r="G2390" s="14">
        <f>equip.xml!G2394</f>
        <v>15</v>
      </c>
      <c r="H2390" s="14" t="str">
        <f>equip.xml!H2394</f>
        <v>2,1002</v>
      </c>
      <c r="I2390" s="14">
        <f>equip.xml!J2394</f>
        <v>150</v>
      </c>
      <c r="J2390" s="14">
        <f>equip.xml!K2394</f>
        <v>1500</v>
      </c>
      <c r="K2390" s="14">
        <f>equip.xml!L2394</f>
        <v>10000</v>
      </c>
      <c r="L2390" s="14" t="str">
        <f>equip.xml!M2394</f>
        <v>108_103_103</v>
      </c>
      <c r="M2390" s="17" t="str">
        <f>equip.xml!Q2394</f>
        <v>equipment/2204.png</v>
      </c>
      <c r="N2390" s="16" t="str">
        <f>equip.xml!P2394</f>
        <v>10000_1002_15000,30000_30001_1,30000_30002_1,30000_30003_1</v>
      </c>
      <c r="O2390">
        <f>equip.xml!R2394</f>
        <v>1</v>
      </c>
    </row>
    <row r="2391" spans="1:15">
      <c r="A2391" s="14">
        <f>equip.xml!A2395</f>
        <v>50152066</v>
      </c>
      <c r="B2391" s="14">
        <f>equip.xml!B2395</f>
        <v>0</v>
      </c>
      <c r="C2391" s="14" t="str">
        <f>equip.xml!C2395</f>
        <v>箭筒</v>
      </c>
      <c r="D2391" s="14" t="str">
        <f>equip.xml!D2395</f>
        <v>副手武器</v>
      </c>
      <c r="E2391" s="14">
        <f>equip.xml!E2395</f>
        <v>6</v>
      </c>
      <c r="F2391" s="14">
        <f>equip.xml!F2395</f>
        <v>5</v>
      </c>
      <c r="G2391" s="14">
        <f>equip.xml!G2395</f>
        <v>15</v>
      </c>
      <c r="H2391" s="14" t="str">
        <f>equip.xml!H2395</f>
        <v>2,1002</v>
      </c>
      <c r="I2391" s="14">
        <f>equip.xml!J2395</f>
        <v>150</v>
      </c>
      <c r="J2391" s="14">
        <f>equip.xml!K2395</f>
        <v>1500</v>
      </c>
      <c r="K2391" s="14">
        <f>equip.xml!L2395</f>
        <v>12500</v>
      </c>
      <c r="L2391" s="14" t="str">
        <f>equip.xml!M2395</f>
        <v>108_130_130</v>
      </c>
      <c r="M2391" s="17" t="str">
        <f>equip.xml!Q2395</f>
        <v>equipment/2201.png</v>
      </c>
      <c r="N2391" s="16" t="str">
        <f>equip.xml!P2395</f>
        <v>10000_1002_15000,30000_30001_1,30000_30002_1,30000_30003_1</v>
      </c>
      <c r="O2391">
        <f>equip.xml!R2395</f>
        <v>1</v>
      </c>
    </row>
    <row r="2392" spans="1:15">
      <c r="A2392" s="14">
        <f>equip.xml!A2396</f>
        <v>50153055</v>
      </c>
      <c r="B2392" s="14">
        <f>equip.xml!B2396</f>
        <v>0</v>
      </c>
      <c r="C2392" s="14" t="str">
        <f>equip.xml!C2396</f>
        <v>风灵法杖</v>
      </c>
      <c r="D2392" s="14" t="str">
        <f>equip.xml!D2396</f>
        <v>主手武器</v>
      </c>
      <c r="E2392" s="14">
        <f>equip.xml!E2396</f>
        <v>5</v>
      </c>
      <c r="F2392" s="14">
        <f>equip.xml!F2396</f>
        <v>5</v>
      </c>
      <c r="G2392" s="14">
        <f>equip.xml!G2396</f>
        <v>15</v>
      </c>
      <c r="H2392" s="14" t="str">
        <f>equip.xml!H2396</f>
        <v>3,1003</v>
      </c>
      <c r="I2392" s="14">
        <f>equip.xml!J2396</f>
        <v>150</v>
      </c>
      <c r="J2392" s="14">
        <f>equip.xml!K2396</f>
        <v>1500</v>
      </c>
      <c r="K2392" s="14">
        <f>equip.xml!L2396</f>
        <v>10000</v>
      </c>
      <c r="L2392" s="14" t="str">
        <f>equip.xml!M2396</f>
        <v>103_52_52,104_104_104</v>
      </c>
      <c r="M2392" s="17" t="str">
        <f>equip.xml!Q2396</f>
        <v>equipment/1307.png</v>
      </c>
      <c r="N2392" s="16" t="str">
        <f>equip.xml!P2396</f>
        <v>10000_1002_15000,30000_30001_1,30000_30002_1,30000_30003_1</v>
      </c>
      <c r="O2392">
        <f>equip.xml!R2396</f>
        <v>1</v>
      </c>
    </row>
    <row r="2393" spans="1:15">
      <c r="A2393" s="14">
        <f>equip.xml!A2397</f>
        <v>50153056</v>
      </c>
      <c r="B2393" s="14">
        <f>equip.xml!B2397</f>
        <v>0</v>
      </c>
      <c r="C2393" s="14" t="str">
        <f>equip.xml!C2397</f>
        <v>禁锢之杖</v>
      </c>
      <c r="D2393" s="14" t="str">
        <f>equip.xml!D2397</f>
        <v>主手武器</v>
      </c>
      <c r="E2393" s="14">
        <f>equip.xml!E2397</f>
        <v>5</v>
      </c>
      <c r="F2393" s="14">
        <f>equip.xml!F2397</f>
        <v>5</v>
      </c>
      <c r="G2393" s="14">
        <f>equip.xml!G2397</f>
        <v>15</v>
      </c>
      <c r="H2393" s="14" t="str">
        <f>equip.xml!H2397</f>
        <v>3,1003</v>
      </c>
      <c r="I2393" s="14">
        <f>equip.xml!J2397</f>
        <v>150</v>
      </c>
      <c r="J2393" s="14">
        <f>equip.xml!K2397</f>
        <v>1500</v>
      </c>
      <c r="K2393" s="14">
        <f>equip.xml!L2397</f>
        <v>12500</v>
      </c>
      <c r="L2393" s="14" t="str">
        <f>equip.xml!M2397</f>
        <v>103_76_76,104_152_152</v>
      </c>
      <c r="M2393" s="17" t="str">
        <f>equip.xml!Q2397</f>
        <v>equipment/1308.png</v>
      </c>
      <c r="N2393" s="16" t="str">
        <f>equip.xml!P2397</f>
        <v>10000_1002_15000,30000_30001_1,30000_30002_1,30000_30003_1</v>
      </c>
      <c r="O2393">
        <f>equip.xml!R2397</f>
        <v>1</v>
      </c>
    </row>
    <row r="2394" spans="1:15">
      <c r="A2394" s="14">
        <f>equip.xml!A2398</f>
        <v>50153065</v>
      </c>
      <c r="B2394" s="14">
        <f>equip.xml!B2398</f>
        <v>0</v>
      </c>
      <c r="C2394" s="14" t="str">
        <f>equip.xml!C2398</f>
        <v>秘法之书</v>
      </c>
      <c r="D2394" s="14" t="str">
        <f>equip.xml!D2398</f>
        <v>副手武器</v>
      </c>
      <c r="E2394" s="14">
        <f>equip.xml!E2398</f>
        <v>6</v>
      </c>
      <c r="F2394" s="14">
        <f>equip.xml!F2398</f>
        <v>5</v>
      </c>
      <c r="G2394" s="14">
        <f>equip.xml!G2398</f>
        <v>15</v>
      </c>
      <c r="H2394" s="14" t="str">
        <f>equip.xml!H2398</f>
        <v>3,1003</v>
      </c>
      <c r="I2394" s="14">
        <f>equip.xml!J2398</f>
        <v>150</v>
      </c>
      <c r="J2394" s="14">
        <f>equip.xml!K2398</f>
        <v>1500</v>
      </c>
      <c r="K2394" s="14">
        <f>equip.xml!L2398</f>
        <v>10000</v>
      </c>
      <c r="L2394" s="14" t="str">
        <f>equip.xml!M2398</f>
        <v>102_420_420</v>
      </c>
      <c r="M2394" s="17" t="str">
        <f>equip.xml!Q2398</f>
        <v>equipment/2304.png</v>
      </c>
      <c r="N2394" s="16" t="str">
        <f>equip.xml!P2398</f>
        <v>10000_1002_15000,30000_30001_1,30000_30002_1,30000_30003_1</v>
      </c>
      <c r="O2394">
        <f>equip.xml!R2398</f>
        <v>1</v>
      </c>
    </row>
    <row r="2395" spans="1:15">
      <c r="A2395" s="14">
        <f>equip.xml!A2399</f>
        <v>50153066</v>
      </c>
      <c r="B2395" s="14">
        <f>equip.xml!B2399</f>
        <v>0</v>
      </c>
      <c r="C2395" s="14" t="str">
        <f>equip.xml!C2399</f>
        <v>法术指南</v>
      </c>
      <c r="D2395" s="14" t="str">
        <f>equip.xml!D2399</f>
        <v>副手武器</v>
      </c>
      <c r="E2395" s="14">
        <f>equip.xml!E2399</f>
        <v>6</v>
      </c>
      <c r="F2395" s="14">
        <f>equip.xml!F2399</f>
        <v>5</v>
      </c>
      <c r="G2395" s="14">
        <f>equip.xml!G2399</f>
        <v>15</v>
      </c>
      <c r="H2395" s="14" t="str">
        <f>equip.xml!H2399</f>
        <v>3,1003</v>
      </c>
      <c r="I2395" s="14">
        <f>equip.xml!J2399</f>
        <v>150</v>
      </c>
      <c r="J2395" s="14">
        <f>equip.xml!K2399</f>
        <v>1500</v>
      </c>
      <c r="K2395" s="14">
        <f>equip.xml!L2399</f>
        <v>12500</v>
      </c>
      <c r="L2395" s="14" t="str">
        <f>equip.xml!M2399</f>
        <v>102_472_472</v>
      </c>
      <c r="M2395" s="17" t="str">
        <f>equip.xml!Q2399</f>
        <v>equipment/2301.png</v>
      </c>
      <c r="N2395" s="16" t="str">
        <f>equip.xml!P2399</f>
        <v>10000_1002_15000,30000_30001_1,30000_30002_1,30000_30003_1</v>
      </c>
      <c r="O2395">
        <f>equip.xml!R2399</f>
        <v>1</v>
      </c>
    </row>
    <row r="2396" spans="1:15">
      <c r="A2396" s="14">
        <f>equip.xml!A2400</f>
        <v>50150045</v>
      </c>
      <c r="B2396" s="14">
        <f>equip.xml!B2400</f>
        <v>0</v>
      </c>
      <c r="C2396" s="14" t="str">
        <f>equip.xml!C2400</f>
        <v>暗石胸甲</v>
      </c>
      <c r="D2396" s="14" t="str">
        <f>equip.xml!D2400</f>
        <v>胸甲</v>
      </c>
      <c r="E2396" s="14">
        <f>equip.xml!E2400</f>
        <v>4</v>
      </c>
      <c r="F2396" s="14">
        <f>equip.xml!F2400</f>
        <v>5</v>
      </c>
      <c r="G2396" s="14">
        <f>equip.xml!G2400</f>
        <v>15</v>
      </c>
      <c r="H2396" s="14">
        <f>equip.xml!H2400</f>
        <v>0</v>
      </c>
      <c r="I2396" s="14">
        <f>equip.xml!J2400</f>
        <v>150</v>
      </c>
      <c r="J2396" s="14">
        <f>equip.xml!K2400</f>
        <v>1500</v>
      </c>
      <c r="K2396" s="14">
        <f>equip.xml!L2400</f>
        <v>10000</v>
      </c>
      <c r="L2396" s="14" t="str">
        <f>equip.xml!M2400</f>
        <v>105_39_39</v>
      </c>
      <c r="M2396" s="17" t="str">
        <f>equip.xml!Q2400</f>
        <v>equipment/5005.png</v>
      </c>
      <c r="N2396" s="16" t="str">
        <f>equip.xml!P2400</f>
        <v>10000_1002_15000,30000_30001_1,30000_30002_1,30000_30003_1</v>
      </c>
      <c r="O2396">
        <f>equip.xml!R2400</f>
        <v>1</v>
      </c>
    </row>
    <row r="2397" spans="1:15">
      <c r="A2397" s="14">
        <f>equip.xml!A2401</f>
        <v>50150046</v>
      </c>
      <c r="B2397" s="14">
        <f>equip.xml!B2401</f>
        <v>0</v>
      </c>
      <c r="C2397" s="14" t="str">
        <f>equip.xml!C2401</f>
        <v>新兵外套</v>
      </c>
      <c r="D2397" s="14" t="str">
        <f>equip.xml!D2401</f>
        <v>胸甲</v>
      </c>
      <c r="E2397" s="14">
        <f>equip.xml!E2401</f>
        <v>4</v>
      </c>
      <c r="F2397" s="14">
        <f>equip.xml!F2401</f>
        <v>5</v>
      </c>
      <c r="G2397" s="14">
        <f>equip.xml!G2401</f>
        <v>15</v>
      </c>
      <c r="H2397" s="14">
        <f>equip.xml!H2401</f>
        <v>0</v>
      </c>
      <c r="I2397" s="14">
        <f>equip.xml!J2401</f>
        <v>150</v>
      </c>
      <c r="J2397" s="14">
        <f>equip.xml!K2401</f>
        <v>1500</v>
      </c>
      <c r="K2397" s="14">
        <f>equip.xml!L2401</f>
        <v>12500</v>
      </c>
      <c r="L2397" s="14" t="str">
        <f>equip.xml!M2401</f>
        <v>105_64_64</v>
      </c>
      <c r="M2397" s="17" t="str">
        <f>equip.xml!Q2401</f>
        <v>equipment/5001.png</v>
      </c>
      <c r="N2397" s="16" t="str">
        <f>equip.xml!P2401</f>
        <v>10000_1002_15000,30000_30001_1,30000_30002_1,30000_30003_1</v>
      </c>
      <c r="O2397">
        <f>equip.xml!R2401</f>
        <v>1</v>
      </c>
    </row>
    <row r="2398" spans="1:15">
      <c r="A2398" s="14">
        <f>equip.xml!A2402</f>
        <v>50150075</v>
      </c>
      <c r="B2398" s="14">
        <f>equip.xml!B2402</f>
        <v>0</v>
      </c>
      <c r="C2398" s="14" t="str">
        <f>equip.xml!C2402</f>
        <v>荒野马裤</v>
      </c>
      <c r="D2398" s="14" t="str">
        <f>equip.xml!D2402</f>
        <v>护腿</v>
      </c>
      <c r="E2398" s="14">
        <f>equip.xml!E2402</f>
        <v>7</v>
      </c>
      <c r="F2398" s="14">
        <f>equip.xml!F2402</f>
        <v>5</v>
      </c>
      <c r="G2398" s="14">
        <f>equip.xml!G2402</f>
        <v>15</v>
      </c>
      <c r="H2398" s="14">
        <f>equip.xml!H2402</f>
        <v>0</v>
      </c>
      <c r="I2398" s="14">
        <f>equip.xml!J2402</f>
        <v>150</v>
      </c>
      <c r="J2398" s="14">
        <f>equip.xml!K2402</f>
        <v>1500</v>
      </c>
      <c r="K2398" s="14">
        <f>equip.xml!L2402</f>
        <v>10000</v>
      </c>
      <c r="L2398" s="14" t="str">
        <f>equip.xml!M2402</f>
        <v>105_39_39</v>
      </c>
      <c r="M2398" s="17" t="str">
        <f>equip.xml!Q2402</f>
        <v>equipment/7003.png</v>
      </c>
      <c r="N2398" s="16" t="str">
        <f>equip.xml!P2402</f>
        <v>10000_1002_15000,30000_30001_1,30000_30002_1,30000_30003_1</v>
      </c>
      <c r="O2398">
        <f>equip.xml!R2402</f>
        <v>1</v>
      </c>
    </row>
    <row r="2399" spans="1:15">
      <c r="A2399" s="14">
        <f>equip.xml!A2403</f>
        <v>50150076</v>
      </c>
      <c r="B2399" s="14">
        <f>equip.xml!B2403</f>
        <v>0</v>
      </c>
      <c r="C2399" s="14" t="str">
        <f>equip.xml!C2403</f>
        <v>学徒短裤</v>
      </c>
      <c r="D2399" s="14" t="str">
        <f>equip.xml!D2403</f>
        <v>护腿</v>
      </c>
      <c r="E2399" s="14">
        <f>equip.xml!E2403</f>
        <v>7</v>
      </c>
      <c r="F2399" s="14">
        <f>equip.xml!F2403</f>
        <v>5</v>
      </c>
      <c r="G2399" s="14">
        <f>equip.xml!G2403</f>
        <v>15</v>
      </c>
      <c r="H2399" s="14">
        <f>equip.xml!H2403</f>
        <v>0</v>
      </c>
      <c r="I2399" s="14">
        <f>equip.xml!J2403</f>
        <v>150</v>
      </c>
      <c r="J2399" s="14">
        <f>equip.xml!K2403</f>
        <v>1500</v>
      </c>
      <c r="K2399" s="14">
        <f>equip.xml!L2403</f>
        <v>12500</v>
      </c>
      <c r="L2399" s="14" t="str">
        <f>equip.xml!M2403</f>
        <v>105_50_50</v>
      </c>
      <c r="M2399" s="17" t="str">
        <f>equip.xml!Q2403</f>
        <v>equipment/7001.png</v>
      </c>
      <c r="N2399" s="16" t="str">
        <f>equip.xml!P2403</f>
        <v>10000_1002_15000,30000_30001_1,30000_30002_1,30000_30003_1</v>
      </c>
      <c r="O2399">
        <f>equip.xml!R2403</f>
        <v>1</v>
      </c>
    </row>
    <row r="2400" spans="1:15">
      <c r="A2400" s="14">
        <f>equip.xml!A2404</f>
        <v>50200015</v>
      </c>
      <c r="B2400" s="14">
        <f>equip.xml!B2404</f>
        <v>0</v>
      </c>
      <c r="C2400" s="14" t="str">
        <f>equip.xml!C2404</f>
        <v>卫士头盔</v>
      </c>
      <c r="D2400" s="14" t="str">
        <f>equip.xml!D2404</f>
        <v>头盔</v>
      </c>
      <c r="E2400" s="14">
        <f>equip.xml!E2404</f>
        <v>1</v>
      </c>
      <c r="F2400" s="14">
        <f>equip.xml!F2404</f>
        <v>5</v>
      </c>
      <c r="G2400" s="14">
        <f>equip.xml!G2404</f>
        <v>20</v>
      </c>
      <c r="H2400" s="14">
        <f>equip.xml!H2404</f>
        <v>0</v>
      </c>
      <c r="I2400" s="14">
        <f>equip.xml!J2404</f>
        <v>150</v>
      </c>
      <c r="J2400" s="14">
        <f>equip.xml!K2404</f>
        <v>1500</v>
      </c>
      <c r="K2400" s="14">
        <f>equip.xml!L2404</f>
        <v>12500</v>
      </c>
      <c r="L2400" s="14" t="str">
        <f>equip.xml!M2404</f>
        <v>106_136_136</v>
      </c>
      <c r="M2400" s="17" t="str">
        <f>equip.xml!Q2404</f>
        <v>equipment/3003.png</v>
      </c>
      <c r="N2400" s="16" t="str">
        <f>equip.xml!P2404</f>
        <v>10000_1002_20000,30000_30001_1,30000_30002_1,30000_30003_1</v>
      </c>
      <c r="O2400">
        <f>equip.xml!R2404</f>
        <v>1</v>
      </c>
    </row>
    <row r="2401" spans="1:15">
      <c r="A2401" s="14">
        <f>equip.xml!A2405</f>
        <v>50200025</v>
      </c>
      <c r="B2401" s="14">
        <f>equip.xml!B2405</f>
        <v>0</v>
      </c>
      <c r="C2401" s="14" t="str">
        <f>equip.xml!C2405</f>
        <v>石岩指环</v>
      </c>
      <c r="D2401" s="14" t="str">
        <f>equip.xml!D2405</f>
        <v>戒指</v>
      </c>
      <c r="E2401" s="14">
        <f>equip.xml!E2405</f>
        <v>2</v>
      </c>
      <c r="F2401" s="14">
        <f>equip.xml!F2405</f>
        <v>5</v>
      </c>
      <c r="G2401" s="14">
        <f>equip.xml!G2405</f>
        <v>20</v>
      </c>
      <c r="H2401" s="14">
        <f>equip.xml!H2405</f>
        <v>0</v>
      </c>
      <c r="I2401" s="14">
        <f>equip.xml!J2405</f>
        <v>150</v>
      </c>
      <c r="J2401" s="14">
        <f>equip.xml!K2405</f>
        <v>1500</v>
      </c>
      <c r="K2401" s="14">
        <f>equip.xml!L2405</f>
        <v>12500</v>
      </c>
      <c r="L2401" s="14" t="str">
        <f>equip.xml!M2405</f>
        <v>102_240_240</v>
      </c>
      <c r="M2401" s="17" t="str">
        <f>equip.xml!Q2405</f>
        <v>equipment/14003.png</v>
      </c>
      <c r="N2401" s="16" t="str">
        <f>equip.xml!P2405</f>
        <v>10000_1002_20000,30000_30001_1,30000_30002_1,30000_30003_1</v>
      </c>
      <c r="O2401">
        <f>equip.xml!R2405</f>
        <v>1</v>
      </c>
    </row>
    <row r="2402" spans="1:15">
      <c r="A2402" s="14">
        <f>equip.xml!A2406</f>
        <v>50200035</v>
      </c>
      <c r="B2402" s="14">
        <f>equip.xml!B2406</f>
        <v>0</v>
      </c>
      <c r="C2402" s="14" t="str">
        <f>equip.xml!C2406</f>
        <v>勇者束带</v>
      </c>
      <c r="D2402" s="14" t="str">
        <f>equip.xml!D2406</f>
        <v>腰带</v>
      </c>
      <c r="E2402" s="14">
        <f>equip.xml!E2406</f>
        <v>3</v>
      </c>
      <c r="F2402" s="14">
        <f>equip.xml!F2406</f>
        <v>5</v>
      </c>
      <c r="G2402" s="14">
        <f>equip.xml!G2406</f>
        <v>20</v>
      </c>
      <c r="H2402" s="14">
        <f>equip.xml!H2406</f>
        <v>0</v>
      </c>
      <c r="I2402" s="14">
        <f>equip.xml!J2406</f>
        <v>150</v>
      </c>
      <c r="J2402" s="14">
        <f>equip.xml!K2406</f>
        <v>1500</v>
      </c>
      <c r="K2402" s="14">
        <f>equip.xml!L2406</f>
        <v>12500</v>
      </c>
      <c r="L2402" s="14" t="str">
        <f>equip.xml!M2406</f>
        <v>101_2120_2120</v>
      </c>
      <c r="M2402" s="17" t="str">
        <f>equip.xml!Q2406</f>
        <v>equipment/6004.png</v>
      </c>
      <c r="N2402" s="16" t="str">
        <f>equip.xml!P2406</f>
        <v>10000_1002_20000,30000_30001_1,30000_30002_1,30000_30003_1</v>
      </c>
      <c r="O2402">
        <f>equip.xml!R2406</f>
        <v>1</v>
      </c>
    </row>
    <row r="2403" spans="1:15">
      <c r="A2403" s="14">
        <f>equip.xml!A2407</f>
        <v>50200085</v>
      </c>
      <c r="B2403" s="14">
        <f>equip.xml!B2407</f>
        <v>0</v>
      </c>
      <c r="C2403" s="14" t="str">
        <f>equip.xml!C2407</f>
        <v>冒险长靴</v>
      </c>
      <c r="D2403" s="14" t="str">
        <f>equip.xml!D2407</f>
        <v>鞋子</v>
      </c>
      <c r="E2403" s="14">
        <f>equip.xml!E2407</f>
        <v>8</v>
      </c>
      <c r="F2403" s="14">
        <f>equip.xml!F2407</f>
        <v>5</v>
      </c>
      <c r="G2403" s="14">
        <f>equip.xml!G2407</f>
        <v>20</v>
      </c>
      <c r="H2403" s="14">
        <f>equip.xml!H2407</f>
        <v>0</v>
      </c>
      <c r="I2403" s="14">
        <f>equip.xml!J2407</f>
        <v>150</v>
      </c>
      <c r="J2403" s="14">
        <f>equip.xml!K2407</f>
        <v>1500</v>
      </c>
      <c r="K2403" s="14">
        <f>equip.xml!L2407</f>
        <v>12500</v>
      </c>
      <c r="L2403" s="14" t="str">
        <f>equip.xml!M2407</f>
        <v>110_32_32</v>
      </c>
      <c r="M2403" s="17" t="str">
        <f>equip.xml!Q2407</f>
        <v>equipment/8003.png</v>
      </c>
      <c r="N2403" s="16" t="str">
        <f>equip.xml!P2407</f>
        <v>10000_1002_20000,30000_30001_1,30000_30002_1,30000_30003_1</v>
      </c>
      <c r="O2403">
        <f>equip.xml!R2407</f>
        <v>1</v>
      </c>
    </row>
    <row r="2404" spans="1:15">
      <c r="A2404" s="14">
        <f>equip.xml!A2408</f>
        <v>50200095</v>
      </c>
      <c r="B2404" s="14">
        <f>equip.xml!B2408</f>
        <v>0</v>
      </c>
      <c r="C2404" s="14" t="str">
        <f>equip.xml!C2408</f>
        <v>工程手套</v>
      </c>
      <c r="D2404" s="14" t="str">
        <f>equip.xml!D2408</f>
        <v>手套</v>
      </c>
      <c r="E2404" s="14">
        <f>equip.xml!E2408</f>
        <v>9</v>
      </c>
      <c r="F2404" s="14">
        <f>equip.xml!F2408</f>
        <v>5</v>
      </c>
      <c r="G2404" s="14">
        <f>equip.xml!G2408</f>
        <v>20</v>
      </c>
      <c r="H2404" s="14">
        <f>equip.xml!H2408</f>
        <v>0</v>
      </c>
      <c r="I2404" s="14">
        <f>equip.xml!J2408</f>
        <v>150</v>
      </c>
      <c r="J2404" s="14">
        <f>equip.xml!K2408</f>
        <v>1500</v>
      </c>
      <c r="K2404" s="14">
        <f>equip.xml!L2408</f>
        <v>12500</v>
      </c>
      <c r="L2404" s="14" t="str">
        <f>equip.xml!M2408</f>
        <v>108_211_211</v>
      </c>
      <c r="M2404" s="17" t="str">
        <f>equip.xml!Q2408</f>
        <v>equipment/10004.png</v>
      </c>
      <c r="N2404" s="16" t="str">
        <f>equip.xml!P2408</f>
        <v>10000_1002_20000,30000_30001_1,30000_30002_1,30000_30003_1</v>
      </c>
      <c r="O2404">
        <f>equip.xml!R2408</f>
        <v>1</v>
      </c>
    </row>
    <row r="2405" spans="1:15">
      <c r="A2405" s="14">
        <f>equip.xml!A2409</f>
        <v>50200105</v>
      </c>
      <c r="B2405" s="14">
        <f>equip.xml!B2409</f>
        <v>0</v>
      </c>
      <c r="C2405" s="14" t="str">
        <f>equip.xml!C2409</f>
        <v>翡翠项链</v>
      </c>
      <c r="D2405" s="14" t="str">
        <f>equip.xml!D2409</f>
        <v>项链</v>
      </c>
      <c r="E2405" s="14">
        <f>equip.xml!E2409</f>
        <v>10</v>
      </c>
      <c r="F2405" s="14">
        <f>equip.xml!F2409</f>
        <v>5</v>
      </c>
      <c r="G2405" s="14">
        <f>equip.xml!G2409</f>
        <v>20</v>
      </c>
      <c r="H2405" s="14">
        <f>equip.xml!H2409</f>
        <v>0</v>
      </c>
      <c r="I2405" s="14">
        <f>equip.xml!J2409</f>
        <v>150</v>
      </c>
      <c r="J2405" s="14">
        <f>equip.xml!K2409</f>
        <v>1500</v>
      </c>
      <c r="K2405" s="14">
        <f>equip.xml!L2409</f>
        <v>12500</v>
      </c>
      <c r="L2405" s="14" t="str">
        <f>equip.xml!M2409</f>
        <v>107_136_136</v>
      </c>
      <c r="M2405" s="17" t="str">
        <f>equip.xml!Q2409</f>
        <v>equipment/12003.png</v>
      </c>
      <c r="N2405" s="16" t="str">
        <f>equip.xml!P2409</f>
        <v>10000_1002_20000,30000_30001_1,30000_30002_1,30000_30003_1</v>
      </c>
      <c r="O2405">
        <f>equip.xml!R2409</f>
        <v>1</v>
      </c>
    </row>
    <row r="2406" spans="1:15">
      <c r="A2406" s="14">
        <f>equip.xml!A2410</f>
        <v>50201055</v>
      </c>
      <c r="B2406" s="14">
        <f>equip.xml!B2410</f>
        <v>0</v>
      </c>
      <c r="C2406" s="14" t="str">
        <f>equip.xml!C2410</f>
        <v>勇者长剑</v>
      </c>
      <c r="D2406" s="14" t="str">
        <f>equip.xml!D2410</f>
        <v>主手武器</v>
      </c>
      <c r="E2406" s="14">
        <f>equip.xml!E2410</f>
        <v>5</v>
      </c>
      <c r="F2406" s="14">
        <f>equip.xml!F2410</f>
        <v>5</v>
      </c>
      <c r="G2406" s="14">
        <f>equip.xml!G2410</f>
        <v>20</v>
      </c>
      <c r="H2406" s="14" t="str">
        <f>equip.xml!H2410</f>
        <v>1,1001</v>
      </c>
      <c r="I2406" s="14">
        <f>equip.xml!J2410</f>
        <v>150</v>
      </c>
      <c r="J2406" s="14">
        <f>equip.xml!K2410</f>
        <v>1500</v>
      </c>
      <c r="K2406" s="14">
        <f>equip.xml!L2410</f>
        <v>12500</v>
      </c>
      <c r="L2406" s="14" t="str">
        <f>equip.xml!M2410</f>
        <v>103_113_113,104_226_226</v>
      </c>
      <c r="M2406" s="17" t="str">
        <f>equip.xml!Q2410</f>
        <v>equipment/1109.png</v>
      </c>
      <c r="N2406" s="16" t="str">
        <f>equip.xml!P2410</f>
        <v>10000_1002_20000,30000_30001_1,30000_30002_1,30000_30003_1</v>
      </c>
      <c r="O2406">
        <f>equip.xml!R2410</f>
        <v>1</v>
      </c>
    </row>
    <row r="2407" spans="1:15">
      <c r="A2407" s="14">
        <f>equip.xml!A2411</f>
        <v>50201056</v>
      </c>
      <c r="B2407" s="14">
        <f>equip.xml!B2411</f>
        <v>0</v>
      </c>
      <c r="C2407" s="14" t="str">
        <f>equip.xml!C2411</f>
        <v>军刀</v>
      </c>
      <c r="D2407" s="14" t="str">
        <f>equip.xml!D2411</f>
        <v>主手武器</v>
      </c>
      <c r="E2407" s="14">
        <f>equip.xml!E2411</f>
        <v>5</v>
      </c>
      <c r="F2407" s="14">
        <f>equip.xml!F2411</f>
        <v>5</v>
      </c>
      <c r="G2407" s="14">
        <f>equip.xml!G2411</f>
        <v>20</v>
      </c>
      <c r="H2407" s="14" t="str">
        <f>equip.xml!H2411</f>
        <v>1,1001</v>
      </c>
      <c r="I2407" s="14">
        <f>equip.xml!J2411</f>
        <v>150</v>
      </c>
      <c r="J2407" s="14">
        <f>equip.xml!K2411</f>
        <v>1500</v>
      </c>
      <c r="K2407" s="14">
        <f>equip.xml!L2411</f>
        <v>15000</v>
      </c>
      <c r="L2407" s="14" t="str">
        <f>equip.xml!M2411</f>
        <v>103_138_138,104_276_276</v>
      </c>
      <c r="M2407" s="17" t="str">
        <f>equip.xml!Q2411</f>
        <v>equipment/1101.png</v>
      </c>
      <c r="N2407" s="16" t="str">
        <f>equip.xml!P2411</f>
        <v>10000_1002_20000,30000_30001_1,30000_30002_1,30000_30003_1</v>
      </c>
      <c r="O2407">
        <f>equip.xml!R2411</f>
        <v>1</v>
      </c>
    </row>
    <row r="2408" spans="1:15">
      <c r="A2408" s="14">
        <f>equip.xml!A2412</f>
        <v>50201065</v>
      </c>
      <c r="B2408" s="14">
        <f>equip.xml!B2412</f>
        <v>0</v>
      </c>
      <c r="C2408" s="14" t="str">
        <f>equip.xml!C2412</f>
        <v>护卫之盾</v>
      </c>
      <c r="D2408" s="14" t="str">
        <f>equip.xml!D2412</f>
        <v>副手武器</v>
      </c>
      <c r="E2408" s="14">
        <f>equip.xml!E2412</f>
        <v>6</v>
      </c>
      <c r="F2408" s="14">
        <f>equip.xml!F2412</f>
        <v>5</v>
      </c>
      <c r="G2408" s="14">
        <f>equip.xml!G2412</f>
        <v>20</v>
      </c>
      <c r="H2408" s="14" t="str">
        <f>equip.xml!H2412</f>
        <v>1,1001</v>
      </c>
      <c r="I2408" s="14">
        <f>equip.xml!J2412</f>
        <v>150</v>
      </c>
      <c r="J2408" s="14">
        <f>equip.xml!K2412</f>
        <v>1500</v>
      </c>
      <c r="K2408" s="14">
        <f>equip.xml!L2412</f>
        <v>12500</v>
      </c>
      <c r="L2408" s="14" t="str">
        <f>equip.xml!M2412</f>
        <v>105_171_171</v>
      </c>
      <c r="M2408" s="17" t="str">
        <f>equip.xml!Q2412</f>
        <v>equipment/2104.png</v>
      </c>
      <c r="N2408" s="16" t="str">
        <f>equip.xml!P2412</f>
        <v>10000_1002_20000,30000_30001_1,30000_30002_1,30000_30003_1</v>
      </c>
      <c r="O2408">
        <f>equip.xml!R2412</f>
        <v>1</v>
      </c>
    </row>
    <row r="2409" spans="1:15">
      <c r="A2409" s="14">
        <f>equip.xml!A2413</f>
        <v>50201066</v>
      </c>
      <c r="B2409" s="14">
        <f>equip.xml!B2413</f>
        <v>0</v>
      </c>
      <c r="C2409" s="14" t="str">
        <f>equip.xml!C2413</f>
        <v>尖头盾</v>
      </c>
      <c r="D2409" s="14" t="str">
        <f>equip.xml!D2413</f>
        <v>副手武器</v>
      </c>
      <c r="E2409" s="14">
        <f>equip.xml!E2413</f>
        <v>6</v>
      </c>
      <c r="F2409" s="14">
        <f>equip.xml!F2413</f>
        <v>5</v>
      </c>
      <c r="G2409" s="14">
        <f>equip.xml!G2413</f>
        <v>20</v>
      </c>
      <c r="H2409" s="14" t="str">
        <f>equip.xml!H2413</f>
        <v>1,1001</v>
      </c>
      <c r="I2409" s="14">
        <f>equip.xml!J2413</f>
        <v>150</v>
      </c>
      <c r="J2409" s="14">
        <f>equip.xml!K2413</f>
        <v>1500</v>
      </c>
      <c r="K2409" s="14">
        <f>equip.xml!L2413</f>
        <v>15000</v>
      </c>
      <c r="L2409" s="14" t="str">
        <f>equip.xml!M2413</f>
        <v>105_205_205</v>
      </c>
      <c r="M2409" s="17" t="str">
        <f>equip.xml!Q2413</f>
        <v>equipment/2101.png</v>
      </c>
      <c r="N2409" s="16" t="str">
        <f>equip.xml!P2413</f>
        <v>10000_1002_20000,30000_30001_1,30000_30002_1,30000_30003_1</v>
      </c>
      <c r="O2409">
        <f>equip.xml!R2413</f>
        <v>1</v>
      </c>
    </row>
    <row r="2410" spans="1:15">
      <c r="A2410" s="14">
        <f>equip.xml!A2414</f>
        <v>50202055</v>
      </c>
      <c r="B2410" s="14">
        <f>equip.xml!B2414</f>
        <v>0</v>
      </c>
      <c r="C2410" s="14" t="str">
        <f>equip.xml!C2414</f>
        <v>护卫之弓</v>
      </c>
      <c r="D2410" s="14" t="str">
        <f>equip.xml!D2414</f>
        <v>主手武器</v>
      </c>
      <c r="E2410" s="14">
        <f>equip.xml!E2414</f>
        <v>5</v>
      </c>
      <c r="F2410" s="14">
        <f>equip.xml!F2414</f>
        <v>5</v>
      </c>
      <c r="G2410" s="14">
        <f>equip.xml!G2414</f>
        <v>20</v>
      </c>
      <c r="H2410" s="14" t="str">
        <f>equip.xml!H2414</f>
        <v>2,1002</v>
      </c>
      <c r="I2410" s="14">
        <f>equip.xml!J2414</f>
        <v>150</v>
      </c>
      <c r="J2410" s="14">
        <f>equip.xml!K2414</f>
        <v>1500</v>
      </c>
      <c r="K2410" s="14">
        <f>equip.xml!L2414</f>
        <v>12500</v>
      </c>
      <c r="L2410" s="14" t="str">
        <f>equip.xml!M2414</f>
        <v>103_113_113,104_226_226</v>
      </c>
      <c r="M2410" s="17" t="str">
        <f>equip.xml!Q2414</f>
        <v>equipment/1209.png</v>
      </c>
      <c r="N2410" s="16" t="str">
        <f>equip.xml!P2414</f>
        <v>10000_1002_20000,30000_30001_1,30000_30002_1,30000_30003_1</v>
      </c>
      <c r="O2410">
        <f>equip.xml!R2414</f>
        <v>1</v>
      </c>
    </row>
    <row r="2411" spans="1:15">
      <c r="A2411" s="14">
        <f>equip.xml!A2415</f>
        <v>50202056</v>
      </c>
      <c r="B2411" s="14">
        <f>equip.xml!B2415</f>
        <v>0</v>
      </c>
      <c r="C2411" s="14" t="str">
        <f>equip.xml!C2415</f>
        <v>棘木弓</v>
      </c>
      <c r="D2411" s="14" t="str">
        <f>equip.xml!D2415</f>
        <v>主手武器</v>
      </c>
      <c r="E2411" s="14">
        <f>equip.xml!E2415</f>
        <v>5</v>
      </c>
      <c r="F2411" s="14">
        <f>equip.xml!F2415</f>
        <v>5</v>
      </c>
      <c r="G2411" s="14">
        <f>equip.xml!G2415</f>
        <v>20</v>
      </c>
      <c r="H2411" s="14" t="str">
        <f>equip.xml!H2415</f>
        <v>2,1002</v>
      </c>
      <c r="I2411" s="14">
        <f>equip.xml!J2415</f>
        <v>150</v>
      </c>
      <c r="J2411" s="14">
        <f>equip.xml!K2415</f>
        <v>1500</v>
      </c>
      <c r="K2411" s="14">
        <f>equip.xml!L2415</f>
        <v>15000</v>
      </c>
      <c r="L2411" s="14" t="str">
        <f>equip.xml!M2415</f>
        <v>103_138_138,104_276_276</v>
      </c>
      <c r="M2411" s="17" t="str">
        <f>equip.xml!Q2415</f>
        <v>equipment/1201.png</v>
      </c>
      <c r="N2411" s="16" t="str">
        <f>equip.xml!P2415</f>
        <v>10000_1002_20000,30000_30001_1,30000_30002_1,30000_30003_1</v>
      </c>
      <c r="O2411">
        <f>equip.xml!R2415</f>
        <v>1</v>
      </c>
    </row>
    <row r="2412" spans="1:15">
      <c r="A2412" s="14">
        <f>equip.xml!A2416</f>
        <v>50202065</v>
      </c>
      <c r="B2412" s="14">
        <f>equip.xml!B2416</f>
        <v>0</v>
      </c>
      <c r="C2412" s="14" t="str">
        <f>equip.xml!C2416</f>
        <v>狩猎箭筒</v>
      </c>
      <c r="D2412" s="14" t="str">
        <f>equip.xml!D2416</f>
        <v>副手武器</v>
      </c>
      <c r="E2412" s="14">
        <f>equip.xml!E2416</f>
        <v>6</v>
      </c>
      <c r="F2412" s="14">
        <f>equip.xml!F2416</f>
        <v>5</v>
      </c>
      <c r="G2412" s="14">
        <f>equip.xml!G2416</f>
        <v>20</v>
      </c>
      <c r="H2412" s="14" t="str">
        <f>equip.xml!H2416</f>
        <v>2,1002</v>
      </c>
      <c r="I2412" s="14">
        <f>equip.xml!J2416</f>
        <v>150</v>
      </c>
      <c r="J2412" s="14">
        <f>equip.xml!K2416</f>
        <v>1500</v>
      </c>
      <c r="K2412" s="14">
        <f>equip.xml!L2416</f>
        <v>12500</v>
      </c>
      <c r="L2412" s="14" t="str">
        <f>equip.xml!M2416</f>
        <v>108_171_171</v>
      </c>
      <c r="M2412" s="17" t="str">
        <f>equip.xml!Q2416</f>
        <v>equipment/2205.png</v>
      </c>
      <c r="N2412" s="16" t="str">
        <f>equip.xml!P2416</f>
        <v>10000_1002_20000,30000_30001_1,30000_30002_1,30000_30003_1</v>
      </c>
      <c r="O2412">
        <f>equip.xml!R2416</f>
        <v>1</v>
      </c>
    </row>
    <row r="2413" spans="1:15">
      <c r="A2413" s="14">
        <f>equip.xml!A2417</f>
        <v>50202066</v>
      </c>
      <c r="B2413" s="14">
        <f>equip.xml!B2417</f>
        <v>0</v>
      </c>
      <c r="C2413" s="14" t="str">
        <f>equip.xml!C2417</f>
        <v>箭筒</v>
      </c>
      <c r="D2413" s="14" t="str">
        <f>equip.xml!D2417</f>
        <v>副手武器</v>
      </c>
      <c r="E2413" s="14">
        <f>equip.xml!E2417</f>
        <v>6</v>
      </c>
      <c r="F2413" s="14">
        <f>equip.xml!F2417</f>
        <v>5</v>
      </c>
      <c r="G2413" s="14">
        <f>equip.xml!G2417</f>
        <v>20</v>
      </c>
      <c r="H2413" s="14" t="str">
        <f>equip.xml!H2417</f>
        <v>2,1002</v>
      </c>
      <c r="I2413" s="14">
        <f>equip.xml!J2417</f>
        <v>150</v>
      </c>
      <c r="J2413" s="14">
        <f>equip.xml!K2417</f>
        <v>1500</v>
      </c>
      <c r="K2413" s="14">
        <f>equip.xml!L2417</f>
        <v>15000</v>
      </c>
      <c r="L2413" s="14" t="str">
        <f>equip.xml!M2417</f>
        <v>108_205_205</v>
      </c>
      <c r="M2413" s="17" t="str">
        <f>equip.xml!Q2417</f>
        <v>equipment/2201.png</v>
      </c>
      <c r="N2413" s="16" t="str">
        <f>equip.xml!P2417</f>
        <v>10000_1002_20000,30000_30001_1,30000_30002_1,30000_30003_1</v>
      </c>
      <c r="O2413">
        <f>equip.xml!R2417</f>
        <v>1</v>
      </c>
    </row>
    <row r="2414" spans="1:15">
      <c r="A2414" s="14">
        <f>equip.xml!A2418</f>
        <v>50203055</v>
      </c>
      <c r="B2414" s="14">
        <f>equip.xml!B2418</f>
        <v>0</v>
      </c>
      <c r="C2414" s="14" t="str">
        <f>equip.xml!C2418</f>
        <v>保护法杖</v>
      </c>
      <c r="D2414" s="14" t="str">
        <f>equip.xml!D2418</f>
        <v>主手武器</v>
      </c>
      <c r="E2414" s="14">
        <f>equip.xml!E2418</f>
        <v>5</v>
      </c>
      <c r="F2414" s="14">
        <f>equip.xml!F2418</f>
        <v>5</v>
      </c>
      <c r="G2414" s="14">
        <f>equip.xml!G2418</f>
        <v>20</v>
      </c>
      <c r="H2414" s="14" t="str">
        <f>equip.xml!H2418</f>
        <v>3,1003</v>
      </c>
      <c r="I2414" s="14">
        <f>equip.xml!J2418</f>
        <v>150</v>
      </c>
      <c r="J2414" s="14">
        <f>equip.xml!K2418</f>
        <v>1500</v>
      </c>
      <c r="K2414" s="14">
        <f>equip.xml!L2418</f>
        <v>12500</v>
      </c>
      <c r="L2414" s="14" t="str">
        <f>equip.xml!M2418</f>
        <v>103_113_113,104_226_226</v>
      </c>
      <c r="M2414" s="17" t="str">
        <f>equip.xml!Q2418</f>
        <v>equipment/1309.png</v>
      </c>
      <c r="N2414" s="16" t="str">
        <f>equip.xml!P2418</f>
        <v>10000_1002_20000,30000_30001_1,30000_30002_1,30000_30003_1</v>
      </c>
      <c r="O2414">
        <f>equip.xml!R2418</f>
        <v>1</v>
      </c>
    </row>
    <row r="2415" spans="1:15">
      <c r="A2415" s="14">
        <f>equip.xml!A2419</f>
        <v>50203056</v>
      </c>
      <c r="B2415" s="14">
        <f>equip.xml!B2419</f>
        <v>0</v>
      </c>
      <c r="C2415" s="14" t="str">
        <f>equip.xml!C2419</f>
        <v>火石法杖</v>
      </c>
      <c r="D2415" s="14" t="str">
        <f>equip.xml!D2419</f>
        <v>主手武器</v>
      </c>
      <c r="E2415" s="14">
        <f>equip.xml!E2419</f>
        <v>5</v>
      </c>
      <c r="F2415" s="14">
        <f>equip.xml!F2419</f>
        <v>5</v>
      </c>
      <c r="G2415" s="14">
        <f>equip.xml!G2419</f>
        <v>20</v>
      </c>
      <c r="H2415" s="14" t="str">
        <f>equip.xml!H2419</f>
        <v>3,1003</v>
      </c>
      <c r="I2415" s="14">
        <f>equip.xml!J2419</f>
        <v>150</v>
      </c>
      <c r="J2415" s="14">
        <f>equip.xml!K2419</f>
        <v>1500</v>
      </c>
      <c r="K2415" s="14">
        <f>equip.xml!L2419</f>
        <v>15000</v>
      </c>
      <c r="L2415" s="14" t="str">
        <f>equip.xml!M2419</f>
        <v>103_138_138,104_276_276</v>
      </c>
      <c r="M2415" s="17" t="str">
        <f>equip.xml!Q2419</f>
        <v>equipment/1310.png</v>
      </c>
      <c r="N2415" s="16" t="str">
        <f>equip.xml!P2419</f>
        <v>10000_1002_20000,30000_30001_1,30000_30002_1,30000_30003_1</v>
      </c>
      <c r="O2415">
        <f>equip.xml!R2419</f>
        <v>1</v>
      </c>
    </row>
    <row r="2416" spans="1:15">
      <c r="A2416" s="14">
        <f>equip.xml!A2420</f>
        <v>50203065</v>
      </c>
      <c r="B2416" s="14">
        <f>equip.xml!B2420</f>
        <v>0</v>
      </c>
      <c r="C2416" s="14" t="str">
        <f>equip.xml!C2420</f>
        <v>奥义之书</v>
      </c>
      <c r="D2416" s="14" t="str">
        <f>equip.xml!D2420</f>
        <v>副手武器</v>
      </c>
      <c r="E2416" s="14">
        <f>equip.xml!E2420</f>
        <v>6</v>
      </c>
      <c r="F2416" s="14">
        <f>equip.xml!F2420</f>
        <v>5</v>
      </c>
      <c r="G2416" s="14">
        <f>equip.xml!G2420</f>
        <v>20</v>
      </c>
      <c r="H2416" s="14" t="str">
        <f>equip.xml!H2420</f>
        <v>3,1003</v>
      </c>
      <c r="I2416" s="14">
        <f>equip.xml!J2420</f>
        <v>150</v>
      </c>
      <c r="J2416" s="14">
        <f>equip.xml!K2420</f>
        <v>1500</v>
      </c>
      <c r="K2416" s="14">
        <f>equip.xml!L2420</f>
        <v>12500</v>
      </c>
      <c r="L2416" s="14" t="str">
        <f>equip.xml!M2420</f>
        <v>102_550_550</v>
      </c>
      <c r="M2416" s="17" t="str">
        <f>equip.xml!Q2420</f>
        <v>equipment/2305.png</v>
      </c>
      <c r="N2416" s="16" t="str">
        <f>equip.xml!P2420</f>
        <v>10000_1002_20000,30000_30001_1,30000_30002_1,30000_30003_1</v>
      </c>
      <c r="O2416">
        <f>equip.xml!R2420</f>
        <v>1</v>
      </c>
    </row>
    <row r="2417" spans="1:15">
      <c r="A2417" s="14">
        <f>equip.xml!A2421</f>
        <v>50203066</v>
      </c>
      <c r="B2417" s="14">
        <f>equip.xml!B2421</f>
        <v>0</v>
      </c>
      <c r="C2417" s="14" t="str">
        <f>equip.xml!C2421</f>
        <v>法术指南</v>
      </c>
      <c r="D2417" s="14" t="str">
        <f>equip.xml!D2421</f>
        <v>副手武器</v>
      </c>
      <c r="E2417" s="14">
        <f>equip.xml!E2421</f>
        <v>6</v>
      </c>
      <c r="F2417" s="14">
        <f>equip.xml!F2421</f>
        <v>5</v>
      </c>
      <c r="G2417" s="14">
        <f>equip.xml!G2421</f>
        <v>20</v>
      </c>
      <c r="H2417" s="14" t="str">
        <f>equip.xml!H2421</f>
        <v>3,1003</v>
      </c>
      <c r="I2417" s="14">
        <f>equip.xml!J2421</f>
        <v>150</v>
      </c>
      <c r="J2417" s="14">
        <f>equip.xml!K2421</f>
        <v>1500</v>
      </c>
      <c r="K2417" s="14">
        <f>equip.xml!L2421</f>
        <v>15000</v>
      </c>
      <c r="L2417" s="14" t="str">
        <f>equip.xml!M2421</f>
        <v>102_606_606</v>
      </c>
      <c r="M2417" s="17" t="str">
        <f>equip.xml!Q2421</f>
        <v>equipment/2301.png</v>
      </c>
      <c r="N2417" s="16" t="str">
        <f>equip.xml!P2421</f>
        <v>10000_1002_20000,30000_30001_1,30000_30002_1,30000_30003_1</v>
      </c>
      <c r="O2417">
        <f>equip.xml!R2421</f>
        <v>1</v>
      </c>
    </row>
    <row r="2418" spans="1:15">
      <c r="A2418" s="14">
        <f>equip.xml!A2422</f>
        <v>50200045</v>
      </c>
      <c r="B2418" s="14">
        <f>equip.xml!B2422</f>
        <v>0</v>
      </c>
      <c r="C2418" s="14" t="str">
        <f>equip.xml!C2422</f>
        <v>卫兵胸甲</v>
      </c>
      <c r="D2418" s="14" t="str">
        <f>equip.xml!D2422</f>
        <v>胸甲</v>
      </c>
      <c r="E2418" s="14">
        <f>equip.xml!E2422</f>
        <v>4</v>
      </c>
      <c r="F2418" s="14">
        <f>equip.xml!F2422</f>
        <v>5</v>
      </c>
      <c r="G2418" s="14">
        <f>equip.xml!G2422</f>
        <v>20</v>
      </c>
      <c r="H2418" s="14">
        <f>equip.xml!H2422</f>
        <v>0</v>
      </c>
      <c r="I2418" s="14">
        <f>equip.xml!J2422</f>
        <v>150</v>
      </c>
      <c r="J2418" s="14">
        <f>equip.xml!K2422</f>
        <v>1500</v>
      </c>
      <c r="K2418" s="14">
        <f>equip.xml!L2422</f>
        <v>12500</v>
      </c>
      <c r="L2418" s="14" t="str">
        <f>equip.xml!M2422</f>
        <v>105_102_102</v>
      </c>
      <c r="M2418" s="17" t="str">
        <f>equip.xml!Q2422</f>
        <v>equipment/5004.png</v>
      </c>
      <c r="N2418" s="16" t="str">
        <f>equip.xml!P2422</f>
        <v>10000_1002_20000,30000_30001_1,30000_30002_1,30000_30003_1</v>
      </c>
      <c r="O2418">
        <f>equip.xml!R2422</f>
        <v>1</v>
      </c>
    </row>
    <row r="2419" spans="1:15">
      <c r="A2419" s="14">
        <f>equip.xml!A2423</f>
        <v>50200046</v>
      </c>
      <c r="B2419" s="14">
        <f>equip.xml!B2423</f>
        <v>0</v>
      </c>
      <c r="C2419" s="14" t="str">
        <f>equip.xml!C2423</f>
        <v>银月护甲</v>
      </c>
      <c r="D2419" s="14" t="str">
        <f>equip.xml!D2423</f>
        <v>胸甲</v>
      </c>
      <c r="E2419" s="14">
        <f>equip.xml!E2423</f>
        <v>4</v>
      </c>
      <c r="F2419" s="14">
        <f>equip.xml!F2423</f>
        <v>5</v>
      </c>
      <c r="G2419" s="14">
        <f>equip.xml!G2423</f>
        <v>20</v>
      </c>
      <c r="H2419" s="14">
        <f>equip.xml!H2423</f>
        <v>0</v>
      </c>
      <c r="I2419" s="14">
        <f>equip.xml!J2423</f>
        <v>150</v>
      </c>
      <c r="J2419" s="14">
        <f>equip.xml!K2423</f>
        <v>1500</v>
      </c>
      <c r="K2419" s="14">
        <f>equip.xml!L2423</f>
        <v>15000</v>
      </c>
      <c r="L2419" s="14" t="str">
        <f>equip.xml!M2423</f>
        <v>105_122_122</v>
      </c>
      <c r="M2419" s="17" t="str">
        <f>equip.xml!Q2423</f>
        <v>equipment/5006.png</v>
      </c>
      <c r="N2419" s="16" t="str">
        <f>equip.xml!P2423</f>
        <v>10000_1002_20000,30000_30001_1,30000_30002_1,30000_30003_1</v>
      </c>
      <c r="O2419">
        <f>equip.xml!R2423</f>
        <v>1</v>
      </c>
    </row>
    <row r="2420" spans="1:15">
      <c r="A2420" s="14">
        <f>equip.xml!A2424</f>
        <v>50200075</v>
      </c>
      <c r="B2420" s="14">
        <f>equip.xml!B2424</f>
        <v>0</v>
      </c>
      <c r="C2420" s="14" t="str">
        <f>equip.xml!C2424</f>
        <v>手工长裤</v>
      </c>
      <c r="D2420" s="14" t="str">
        <f>equip.xml!D2424</f>
        <v>护腿</v>
      </c>
      <c r="E2420" s="14">
        <f>equip.xml!E2424</f>
        <v>7</v>
      </c>
      <c r="F2420" s="14">
        <f>equip.xml!F2424</f>
        <v>5</v>
      </c>
      <c r="G2420" s="14">
        <f>equip.xml!G2424</f>
        <v>20</v>
      </c>
      <c r="H2420" s="14">
        <f>equip.xml!H2424</f>
        <v>0</v>
      </c>
      <c r="I2420" s="14">
        <f>equip.xml!J2424</f>
        <v>150</v>
      </c>
      <c r="J2420" s="14">
        <f>equip.xml!K2424</f>
        <v>1500</v>
      </c>
      <c r="K2420" s="14">
        <f>equip.xml!L2424</f>
        <v>12500</v>
      </c>
      <c r="L2420" s="14" t="str">
        <f>equip.xml!M2424</f>
        <v>105_66_66</v>
      </c>
      <c r="M2420" s="17" t="str">
        <f>equip.xml!Q2424</f>
        <v>equipment/7005.png</v>
      </c>
      <c r="N2420" s="16" t="str">
        <f>equip.xml!P2424</f>
        <v>10000_1002_20000,30000_30001_1,30000_30002_1,30000_30003_1</v>
      </c>
      <c r="O2420">
        <f>equip.xml!R2424</f>
        <v>1</v>
      </c>
    </row>
    <row r="2421" spans="1:15">
      <c r="A2421" s="14">
        <f>equip.xml!A2425</f>
        <v>50200076</v>
      </c>
      <c r="B2421" s="14">
        <f>equip.xml!B2425</f>
        <v>0</v>
      </c>
      <c r="C2421" s="14" t="str">
        <f>equip.xml!C2425</f>
        <v>链甲护腿</v>
      </c>
      <c r="D2421" s="14" t="str">
        <f>equip.xml!D2425</f>
        <v>护腿</v>
      </c>
      <c r="E2421" s="14">
        <f>equip.xml!E2425</f>
        <v>7</v>
      </c>
      <c r="F2421" s="14">
        <f>equip.xml!F2425</f>
        <v>5</v>
      </c>
      <c r="G2421" s="14">
        <f>equip.xml!G2425</f>
        <v>20</v>
      </c>
      <c r="H2421" s="14">
        <f>equip.xml!H2425</f>
        <v>0</v>
      </c>
      <c r="I2421" s="14">
        <f>equip.xml!J2425</f>
        <v>150</v>
      </c>
      <c r="J2421" s="14">
        <f>equip.xml!K2425</f>
        <v>1500</v>
      </c>
      <c r="K2421" s="14">
        <f>equip.xml!L2425</f>
        <v>15000</v>
      </c>
      <c r="L2421" s="14" t="str">
        <f>equip.xml!M2425</f>
        <v>105_81_81</v>
      </c>
      <c r="M2421" s="17" t="str">
        <f>equip.xml!Q2425</f>
        <v>equipment/7004.png</v>
      </c>
      <c r="N2421" s="16" t="str">
        <f>equip.xml!P2425</f>
        <v>10000_1002_20000,30000_30001_1,30000_30002_1,30000_30003_1</v>
      </c>
      <c r="O2421">
        <f>equip.xml!R2425</f>
        <v>1</v>
      </c>
    </row>
    <row r="2422" spans="1:15">
      <c r="A2422" s="14">
        <f>equip.xml!A2426</f>
        <v>50250015</v>
      </c>
      <c r="B2422" s="14">
        <f>equip.xml!B2426</f>
        <v>0</v>
      </c>
      <c r="C2422" s="14" t="str">
        <f>equip.xml!C2426</f>
        <v>盔帽</v>
      </c>
      <c r="D2422" s="14" t="str">
        <f>equip.xml!D2426</f>
        <v>头盔</v>
      </c>
      <c r="E2422" s="14">
        <f>equip.xml!E2426</f>
        <v>1</v>
      </c>
      <c r="F2422" s="14">
        <f>equip.xml!F2426</f>
        <v>5</v>
      </c>
      <c r="G2422" s="14">
        <f>equip.xml!G2426</f>
        <v>25</v>
      </c>
      <c r="H2422" s="14">
        <f>equip.xml!H2426</f>
        <v>0</v>
      </c>
      <c r="I2422" s="14">
        <f>equip.xml!J2426</f>
        <v>150</v>
      </c>
      <c r="J2422" s="14">
        <f>equip.xml!K2426</f>
        <v>1500</v>
      </c>
      <c r="K2422" s="14">
        <f>equip.xml!L2426</f>
        <v>15000</v>
      </c>
      <c r="L2422" s="14" t="str">
        <f>equip.xml!M2426</f>
        <v>106_237_237</v>
      </c>
      <c r="M2422" s="17" t="str">
        <f>equip.xml!Q2426</f>
        <v>equipment/3005.png</v>
      </c>
      <c r="N2422" s="16" t="str">
        <f>equip.xml!P2426</f>
        <v>10000_1002_25000,30000_30001_1,30000_30002_1,30000_30003_1</v>
      </c>
      <c r="O2422">
        <f>equip.xml!R2426</f>
        <v>1</v>
      </c>
    </row>
    <row r="2423" spans="1:15">
      <c r="A2423" s="14">
        <f>equip.xml!A2427</f>
        <v>50250025</v>
      </c>
      <c r="B2423" s="14">
        <f>equip.xml!B2427</f>
        <v>0</v>
      </c>
      <c r="C2423" s="14" t="str">
        <f>equip.xml!C2427</f>
        <v>血岩戒指</v>
      </c>
      <c r="D2423" s="14" t="str">
        <f>equip.xml!D2427</f>
        <v>戒指</v>
      </c>
      <c r="E2423" s="14">
        <f>equip.xml!E2427</f>
        <v>2</v>
      </c>
      <c r="F2423" s="14">
        <f>equip.xml!F2427</f>
        <v>5</v>
      </c>
      <c r="G2423" s="14">
        <f>equip.xml!G2427</f>
        <v>25</v>
      </c>
      <c r="H2423" s="14">
        <f>equip.xml!H2427</f>
        <v>0</v>
      </c>
      <c r="I2423" s="14">
        <f>equip.xml!J2427</f>
        <v>150</v>
      </c>
      <c r="J2423" s="14">
        <f>equip.xml!K2427</f>
        <v>1500</v>
      </c>
      <c r="K2423" s="14">
        <f>equip.xml!L2427</f>
        <v>15000</v>
      </c>
      <c r="L2423" s="14" t="str">
        <f>equip.xml!M2427</f>
        <v>102_330_330</v>
      </c>
      <c r="M2423" s="17" t="str">
        <f>equip.xml!Q2427</f>
        <v>equipment/14004.png</v>
      </c>
      <c r="N2423" s="16" t="str">
        <f>equip.xml!P2427</f>
        <v>10000_1002_25000,30000_30001_1,30000_30002_1,30000_30003_1</v>
      </c>
      <c r="O2423">
        <f>equip.xml!R2427</f>
        <v>1</v>
      </c>
    </row>
    <row r="2424" spans="1:15">
      <c r="A2424" s="14">
        <f>equip.xml!A2428</f>
        <v>50250035</v>
      </c>
      <c r="B2424" s="14">
        <f>equip.xml!B2428</f>
        <v>0</v>
      </c>
      <c r="C2424" s="14" t="str">
        <f>equip.xml!C2428</f>
        <v>前锋腰带</v>
      </c>
      <c r="D2424" s="14" t="str">
        <f>equip.xml!D2428</f>
        <v>腰带</v>
      </c>
      <c r="E2424" s="14">
        <f>equip.xml!E2428</f>
        <v>3</v>
      </c>
      <c r="F2424" s="14">
        <f>equip.xml!F2428</f>
        <v>5</v>
      </c>
      <c r="G2424" s="14">
        <f>equip.xml!G2428</f>
        <v>25</v>
      </c>
      <c r="H2424" s="14">
        <f>equip.xml!H2428</f>
        <v>0</v>
      </c>
      <c r="I2424" s="14">
        <f>equip.xml!J2428</f>
        <v>150</v>
      </c>
      <c r="J2424" s="14">
        <f>equip.xml!K2428</f>
        <v>1500</v>
      </c>
      <c r="K2424" s="14">
        <f>equip.xml!L2428</f>
        <v>15000</v>
      </c>
      <c r="L2424" s="14" t="str">
        <f>equip.xml!M2428</f>
        <v>101_3360_3360</v>
      </c>
      <c r="M2424" s="17" t="str">
        <f>equip.xml!Q2428</f>
        <v>equipment/6005.png</v>
      </c>
      <c r="N2424" s="16" t="str">
        <f>equip.xml!P2428</f>
        <v>10000_1002_25000,30000_30001_1,30000_30002_1,30000_30003_1</v>
      </c>
      <c r="O2424">
        <f>equip.xml!R2428</f>
        <v>1</v>
      </c>
    </row>
    <row r="2425" spans="1:15">
      <c r="A2425" s="14">
        <f>equip.xml!A2429</f>
        <v>50250085</v>
      </c>
      <c r="B2425" s="14">
        <f>equip.xml!B2429</f>
        <v>0</v>
      </c>
      <c r="C2425" s="14" t="str">
        <f>equip.xml!C2429</f>
        <v>探寻者之靴</v>
      </c>
      <c r="D2425" s="14" t="str">
        <f>equip.xml!D2429</f>
        <v>鞋子</v>
      </c>
      <c r="E2425" s="14">
        <f>equip.xml!E2429</f>
        <v>8</v>
      </c>
      <c r="F2425" s="14">
        <f>equip.xml!F2429</f>
        <v>5</v>
      </c>
      <c r="G2425" s="14">
        <f>equip.xml!G2429</f>
        <v>25</v>
      </c>
      <c r="H2425" s="14">
        <f>equip.xml!H2429</f>
        <v>0</v>
      </c>
      <c r="I2425" s="14">
        <f>equip.xml!J2429</f>
        <v>150</v>
      </c>
      <c r="J2425" s="14">
        <f>equip.xml!K2429</f>
        <v>1500</v>
      </c>
      <c r="K2425" s="14">
        <f>equip.xml!L2429</f>
        <v>15000</v>
      </c>
      <c r="L2425" s="14" t="str">
        <f>equip.xml!M2429</f>
        <v>110_40_40</v>
      </c>
      <c r="M2425" s="17" t="str">
        <f>equip.xml!Q2429</f>
        <v>equipment/8004.png</v>
      </c>
      <c r="N2425" s="16" t="str">
        <f>equip.xml!P2429</f>
        <v>10000_1002_25000,30000_30001_1,30000_30002_1,30000_30003_1</v>
      </c>
      <c r="O2425">
        <f>equip.xml!R2429</f>
        <v>1</v>
      </c>
    </row>
    <row r="2426" spans="1:15">
      <c r="A2426" s="14">
        <f>equip.xml!A2430</f>
        <v>50250095</v>
      </c>
      <c r="B2426" s="14">
        <f>equip.xml!B2430</f>
        <v>0</v>
      </c>
      <c r="C2426" s="14" t="str">
        <f>equip.xml!C2430</f>
        <v>轻型手套</v>
      </c>
      <c r="D2426" s="14" t="str">
        <f>equip.xml!D2430</f>
        <v>手套</v>
      </c>
      <c r="E2426" s="14">
        <f>equip.xml!E2430</f>
        <v>9</v>
      </c>
      <c r="F2426" s="14">
        <f>equip.xml!F2430</f>
        <v>5</v>
      </c>
      <c r="G2426" s="14">
        <f>equip.xml!G2430</f>
        <v>25</v>
      </c>
      <c r="H2426" s="14">
        <f>equip.xml!H2430</f>
        <v>0</v>
      </c>
      <c r="I2426" s="14">
        <f>equip.xml!J2430</f>
        <v>150</v>
      </c>
      <c r="J2426" s="14">
        <f>equip.xml!K2430</f>
        <v>1500</v>
      </c>
      <c r="K2426" s="14">
        <f>equip.xml!L2430</f>
        <v>15000</v>
      </c>
      <c r="L2426" s="14" t="str">
        <f>equip.xml!M2430</f>
        <v>108_286_286</v>
      </c>
      <c r="M2426" s="17" t="str">
        <f>equip.xml!Q2430</f>
        <v>equipment/10003.png</v>
      </c>
      <c r="N2426" s="16" t="str">
        <f>equip.xml!P2430</f>
        <v>10000_1002_25000,30000_30001_1,30000_30002_1,30000_30003_1</v>
      </c>
      <c r="O2426">
        <f>equip.xml!R2430</f>
        <v>1</v>
      </c>
    </row>
    <row r="2427" spans="1:15">
      <c r="A2427" s="14">
        <f>equip.xml!A2431</f>
        <v>50250105</v>
      </c>
      <c r="B2427" s="14">
        <f>equip.xml!B2431</f>
        <v>0</v>
      </c>
      <c r="C2427" s="14" t="str">
        <f>equip.xml!C2431</f>
        <v>魔光项链</v>
      </c>
      <c r="D2427" s="14" t="str">
        <f>equip.xml!D2431</f>
        <v>项链</v>
      </c>
      <c r="E2427" s="14">
        <f>equip.xml!E2431</f>
        <v>10</v>
      </c>
      <c r="F2427" s="14">
        <f>equip.xml!F2431</f>
        <v>5</v>
      </c>
      <c r="G2427" s="14">
        <f>equip.xml!G2431</f>
        <v>25</v>
      </c>
      <c r="H2427" s="14">
        <f>equip.xml!H2431</f>
        <v>0</v>
      </c>
      <c r="I2427" s="14">
        <f>equip.xml!J2431</f>
        <v>150</v>
      </c>
      <c r="J2427" s="14">
        <f>equip.xml!K2431</f>
        <v>1500</v>
      </c>
      <c r="K2427" s="14">
        <f>equip.xml!L2431</f>
        <v>15000</v>
      </c>
      <c r="L2427" s="14" t="str">
        <f>equip.xml!M2431</f>
        <v>107_237_237</v>
      </c>
      <c r="M2427" s="17" t="str">
        <f>equip.xml!Q2431</f>
        <v>equipment/12004.png</v>
      </c>
      <c r="N2427" s="16" t="str">
        <f>equip.xml!P2431</f>
        <v>10000_1002_25000,30000_30001_1,30000_30002_1,30000_30003_1</v>
      </c>
      <c r="O2427">
        <f>equip.xml!R2431</f>
        <v>1</v>
      </c>
    </row>
    <row r="2428" spans="1:15">
      <c r="A2428" s="14">
        <f>equip.xml!A2432</f>
        <v>50251055</v>
      </c>
      <c r="B2428" s="14">
        <f>equip.xml!B2432</f>
        <v>0</v>
      </c>
      <c r="C2428" s="14" t="str">
        <f>equip.xml!C2432</f>
        <v>血刃</v>
      </c>
      <c r="D2428" s="14" t="str">
        <f>equip.xml!D2432</f>
        <v>主手武器</v>
      </c>
      <c r="E2428" s="14">
        <f>equip.xml!E2432</f>
        <v>5</v>
      </c>
      <c r="F2428" s="14">
        <f>equip.xml!F2432</f>
        <v>5</v>
      </c>
      <c r="G2428" s="14">
        <f>equip.xml!G2432</f>
        <v>25</v>
      </c>
      <c r="H2428" s="14" t="str">
        <f>equip.xml!H2432</f>
        <v>1,1001</v>
      </c>
      <c r="I2428" s="14">
        <f>equip.xml!J2432</f>
        <v>150</v>
      </c>
      <c r="J2428" s="14">
        <f>equip.xml!K2432</f>
        <v>1500</v>
      </c>
      <c r="K2428" s="14">
        <f>equip.xml!L2432</f>
        <v>15000</v>
      </c>
      <c r="L2428" s="14" t="str">
        <f>equip.xml!M2432</f>
        <v>103_177_177,104_354_354</v>
      </c>
      <c r="M2428" s="17" t="str">
        <f>equip.xml!Q2432</f>
        <v>equipment/1110.png</v>
      </c>
      <c r="N2428" s="16" t="str">
        <f>equip.xml!P2432</f>
        <v>10000_1002_25000,30000_30001_1,30000_30002_1,30000_30003_1</v>
      </c>
      <c r="O2428">
        <f>equip.xml!R2432</f>
        <v>1</v>
      </c>
    </row>
    <row r="2429" spans="1:15">
      <c r="A2429" s="14">
        <f>equip.xml!A2433</f>
        <v>50251056</v>
      </c>
      <c r="B2429" s="14">
        <f>equip.xml!B2433</f>
        <v>0</v>
      </c>
      <c r="C2429" s="14" t="str">
        <f>equip.xml!C2433</f>
        <v>游侠利刃</v>
      </c>
      <c r="D2429" s="14" t="str">
        <f>equip.xml!D2433</f>
        <v>主手武器</v>
      </c>
      <c r="E2429" s="14">
        <f>equip.xml!E2433</f>
        <v>5</v>
      </c>
      <c r="F2429" s="14">
        <f>equip.xml!F2433</f>
        <v>5</v>
      </c>
      <c r="G2429" s="14">
        <f>equip.xml!G2433</f>
        <v>25</v>
      </c>
      <c r="H2429" s="14" t="str">
        <f>equip.xml!H2433</f>
        <v>1,1001</v>
      </c>
      <c r="I2429" s="14">
        <f>equip.xml!J2433</f>
        <v>150</v>
      </c>
      <c r="J2429" s="14">
        <f>equip.xml!K2433</f>
        <v>1500</v>
      </c>
      <c r="K2429" s="14">
        <f>equip.xml!L2433</f>
        <v>17500</v>
      </c>
      <c r="L2429" s="14" t="str">
        <f>equip.xml!M2433</f>
        <v>103_216_216,104_432_432</v>
      </c>
      <c r="M2429" s="17" t="str">
        <f>equip.xml!Q2433</f>
        <v>equipment/1111.png</v>
      </c>
      <c r="N2429" s="16" t="str">
        <f>equip.xml!P2433</f>
        <v>10000_1002_25000,30000_30001_1,30000_30002_1,30000_30003_1</v>
      </c>
      <c r="O2429">
        <f>equip.xml!R2433</f>
        <v>1</v>
      </c>
    </row>
    <row r="2430" spans="1:15">
      <c r="A2430" s="14">
        <f>equip.xml!A2434</f>
        <v>50251065</v>
      </c>
      <c r="B2430" s="14">
        <f>equip.xml!B2434</f>
        <v>0</v>
      </c>
      <c r="C2430" s="14" t="str">
        <f>equip.xml!C2434</f>
        <v>坚固重盾</v>
      </c>
      <c r="D2430" s="14" t="str">
        <f>equip.xml!D2434</f>
        <v>副手武器</v>
      </c>
      <c r="E2430" s="14">
        <f>equip.xml!E2434</f>
        <v>6</v>
      </c>
      <c r="F2430" s="14">
        <f>equip.xml!F2434</f>
        <v>5</v>
      </c>
      <c r="G2430" s="14">
        <f>equip.xml!G2434</f>
        <v>25</v>
      </c>
      <c r="H2430" s="14" t="str">
        <f>equip.xml!H2434</f>
        <v>1,1001</v>
      </c>
      <c r="I2430" s="14">
        <f>equip.xml!J2434</f>
        <v>150</v>
      </c>
      <c r="J2430" s="14">
        <f>equip.xml!K2434</f>
        <v>1500</v>
      </c>
      <c r="K2430" s="14">
        <f>equip.xml!L2434</f>
        <v>15000</v>
      </c>
      <c r="L2430" s="14" t="str">
        <f>equip.xml!M2434</f>
        <v>105_256_256</v>
      </c>
      <c r="M2430" s="17" t="str">
        <f>equip.xml!Q2434</f>
        <v>equipment/2106.png</v>
      </c>
      <c r="N2430" s="16" t="str">
        <f>equip.xml!P2434</f>
        <v>10000_1002_25000,30000_30001_1,30000_30002_1,30000_30003_1</v>
      </c>
      <c r="O2430">
        <f>equip.xml!R2434</f>
        <v>1</v>
      </c>
    </row>
    <row r="2431" spans="1:15">
      <c r="A2431" s="14">
        <f>equip.xml!A2435</f>
        <v>50251066</v>
      </c>
      <c r="B2431" s="14">
        <f>equip.xml!B2435</f>
        <v>0</v>
      </c>
      <c r="C2431" s="14" t="str">
        <f>equip.xml!C2435</f>
        <v>尖头盾</v>
      </c>
      <c r="D2431" s="14" t="str">
        <f>equip.xml!D2435</f>
        <v>副手武器</v>
      </c>
      <c r="E2431" s="14">
        <f>equip.xml!E2435</f>
        <v>6</v>
      </c>
      <c r="F2431" s="14">
        <f>equip.xml!F2435</f>
        <v>5</v>
      </c>
      <c r="G2431" s="14">
        <f>equip.xml!G2435</f>
        <v>25</v>
      </c>
      <c r="H2431" s="14" t="str">
        <f>equip.xml!H2435</f>
        <v>1,1001</v>
      </c>
      <c r="I2431" s="14">
        <f>equip.xml!J2435</f>
        <v>150</v>
      </c>
      <c r="J2431" s="14">
        <f>equip.xml!K2435</f>
        <v>1500</v>
      </c>
      <c r="K2431" s="14">
        <f>equip.xml!L2435</f>
        <v>17500</v>
      </c>
      <c r="L2431" s="14" t="str">
        <f>equip.xml!M2435</f>
        <v>105_301_301</v>
      </c>
      <c r="M2431" s="17" t="str">
        <f>equip.xml!Q2435</f>
        <v>equipment/2101.png</v>
      </c>
      <c r="N2431" s="16" t="str">
        <f>equip.xml!P2435</f>
        <v>10000_1002_25000,30000_30001_1,30000_30002_1,30000_30003_1</v>
      </c>
      <c r="O2431">
        <f>equip.xml!R2435</f>
        <v>1</v>
      </c>
    </row>
    <row r="2432" spans="1:15">
      <c r="A2432" s="14">
        <f>equip.xml!A2436</f>
        <v>50252055</v>
      </c>
      <c r="B2432" s="14">
        <f>equip.xml!B2436</f>
        <v>0</v>
      </c>
      <c r="C2432" s="14" t="str">
        <f>equip.xml!C2436</f>
        <v>精准之弓</v>
      </c>
      <c r="D2432" s="14" t="str">
        <f>equip.xml!D2436</f>
        <v>主手武器</v>
      </c>
      <c r="E2432" s="14">
        <f>equip.xml!E2436</f>
        <v>5</v>
      </c>
      <c r="F2432" s="14">
        <f>equip.xml!F2436</f>
        <v>5</v>
      </c>
      <c r="G2432" s="14">
        <f>equip.xml!G2436</f>
        <v>25</v>
      </c>
      <c r="H2432" s="14" t="str">
        <f>equip.xml!H2436</f>
        <v>2,1002</v>
      </c>
      <c r="I2432" s="14">
        <f>equip.xml!J2436</f>
        <v>150</v>
      </c>
      <c r="J2432" s="14">
        <f>equip.xml!K2436</f>
        <v>1500</v>
      </c>
      <c r="K2432" s="14">
        <f>equip.xml!L2436</f>
        <v>15000</v>
      </c>
      <c r="L2432" s="14" t="str">
        <f>equip.xml!M2436</f>
        <v>103_177_177,104_354_354</v>
      </c>
      <c r="M2432" s="17" t="str">
        <f>equip.xml!Q2436</f>
        <v>equipment/1210.png</v>
      </c>
      <c r="N2432" s="16" t="str">
        <f>equip.xml!P2436</f>
        <v>10000_1002_25000,30000_30001_1,30000_30002_1,30000_30003_1</v>
      </c>
      <c r="O2432">
        <f>equip.xml!R2436</f>
        <v>1</v>
      </c>
    </row>
    <row r="2433" spans="1:15">
      <c r="A2433" s="14">
        <f>equip.xml!A2437</f>
        <v>50252056</v>
      </c>
      <c r="B2433" s="14">
        <f>equip.xml!B2437</f>
        <v>0</v>
      </c>
      <c r="C2433" s="14" t="str">
        <f>equip.xml!C2437</f>
        <v>行者弯弓</v>
      </c>
      <c r="D2433" s="14" t="str">
        <f>equip.xml!D2437</f>
        <v>主手武器</v>
      </c>
      <c r="E2433" s="14">
        <f>equip.xml!E2437</f>
        <v>5</v>
      </c>
      <c r="F2433" s="14">
        <f>equip.xml!F2437</f>
        <v>5</v>
      </c>
      <c r="G2433" s="14">
        <f>equip.xml!G2437</f>
        <v>25</v>
      </c>
      <c r="H2433" s="14" t="str">
        <f>equip.xml!H2437</f>
        <v>2,1002</v>
      </c>
      <c r="I2433" s="14">
        <f>equip.xml!J2437</f>
        <v>150</v>
      </c>
      <c r="J2433" s="14">
        <f>equip.xml!K2437</f>
        <v>1500</v>
      </c>
      <c r="K2433" s="14">
        <f>equip.xml!L2437</f>
        <v>17500</v>
      </c>
      <c r="L2433" s="14" t="str">
        <f>equip.xml!M2437</f>
        <v>103_216_216,104_432_432</v>
      </c>
      <c r="M2433" s="17" t="str">
        <f>equip.xml!Q2437</f>
        <v>equipment/1215.png</v>
      </c>
      <c r="N2433" s="16" t="str">
        <f>equip.xml!P2437</f>
        <v>10000_1002_25000,30000_30001_1,30000_30002_1,30000_30003_1</v>
      </c>
      <c r="O2433">
        <f>equip.xml!R2437</f>
        <v>1</v>
      </c>
    </row>
    <row r="2434" spans="1:15">
      <c r="A2434" s="14">
        <f>equip.xml!A2438</f>
        <v>50252065</v>
      </c>
      <c r="B2434" s="14">
        <f>equip.xml!B2438</f>
        <v>0</v>
      </c>
      <c r="C2434" s="14" t="str">
        <f>equip.xml!C2438</f>
        <v>刺客箭筒</v>
      </c>
      <c r="D2434" s="14" t="str">
        <f>equip.xml!D2438</f>
        <v>副手武器</v>
      </c>
      <c r="E2434" s="14">
        <f>equip.xml!E2438</f>
        <v>6</v>
      </c>
      <c r="F2434" s="14">
        <f>equip.xml!F2438</f>
        <v>5</v>
      </c>
      <c r="G2434" s="14">
        <f>equip.xml!G2438</f>
        <v>25</v>
      </c>
      <c r="H2434" s="14" t="str">
        <f>equip.xml!H2438</f>
        <v>2,1002</v>
      </c>
      <c r="I2434" s="14">
        <f>equip.xml!J2438</f>
        <v>150</v>
      </c>
      <c r="J2434" s="14">
        <f>equip.xml!K2438</f>
        <v>1500</v>
      </c>
      <c r="K2434" s="14">
        <f>equip.xml!L2438</f>
        <v>15000</v>
      </c>
      <c r="L2434" s="14" t="str">
        <f>equip.xml!M2438</f>
        <v>108_256_256</v>
      </c>
      <c r="M2434" s="17" t="str">
        <f>equip.xml!Q2438</f>
        <v>equipment/2206.png</v>
      </c>
      <c r="N2434" s="16" t="str">
        <f>equip.xml!P2438</f>
        <v>10000_1002_25000,30000_30001_1,30000_30002_1,30000_30003_1</v>
      </c>
      <c r="O2434">
        <f>equip.xml!R2438</f>
        <v>1</v>
      </c>
    </row>
    <row r="2435" spans="1:15">
      <c r="A2435" s="14">
        <f>equip.xml!A2439</f>
        <v>50252066</v>
      </c>
      <c r="B2435" s="14">
        <f>equip.xml!B2439</f>
        <v>0</v>
      </c>
      <c r="C2435" s="14" t="str">
        <f>equip.xml!C2439</f>
        <v>箭筒</v>
      </c>
      <c r="D2435" s="14" t="str">
        <f>equip.xml!D2439</f>
        <v>副手武器</v>
      </c>
      <c r="E2435" s="14">
        <f>equip.xml!E2439</f>
        <v>6</v>
      </c>
      <c r="F2435" s="14">
        <f>equip.xml!F2439</f>
        <v>5</v>
      </c>
      <c r="G2435" s="14">
        <f>equip.xml!G2439</f>
        <v>25</v>
      </c>
      <c r="H2435" s="14" t="str">
        <f>equip.xml!H2439</f>
        <v>2,1002</v>
      </c>
      <c r="I2435" s="14">
        <f>equip.xml!J2439</f>
        <v>150</v>
      </c>
      <c r="J2435" s="14">
        <f>equip.xml!K2439</f>
        <v>1500</v>
      </c>
      <c r="K2435" s="14">
        <f>equip.xml!L2439</f>
        <v>17500</v>
      </c>
      <c r="L2435" s="14" t="str">
        <f>equip.xml!M2439</f>
        <v>108_301_301</v>
      </c>
      <c r="M2435" s="17" t="str">
        <f>equip.xml!Q2439</f>
        <v>equipment/2201.png</v>
      </c>
      <c r="N2435" s="16" t="str">
        <f>equip.xml!P2439</f>
        <v>10000_1002_25000,30000_30001_1,30000_30002_1,30000_30003_1</v>
      </c>
      <c r="O2435">
        <f>equip.xml!R2439</f>
        <v>1</v>
      </c>
    </row>
    <row r="2436" spans="1:15">
      <c r="A2436" s="14">
        <f>equip.xml!A2440</f>
        <v>50253055</v>
      </c>
      <c r="B2436" s="14">
        <f>equip.xml!B2440</f>
        <v>0</v>
      </c>
      <c r="C2436" s="14" t="str">
        <f>equip.xml!C2440</f>
        <v>预言法杖</v>
      </c>
      <c r="D2436" s="14" t="str">
        <f>equip.xml!D2440</f>
        <v>主手武器</v>
      </c>
      <c r="E2436" s="14">
        <f>equip.xml!E2440</f>
        <v>5</v>
      </c>
      <c r="F2436" s="14">
        <f>equip.xml!F2440</f>
        <v>5</v>
      </c>
      <c r="G2436" s="14">
        <f>equip.xml!G2440</f>
        <v>25</v>
      </c>
      <c r="H2436" s="14" t="str">
        <f>equip.xml!H2440</f>
        <v>3,1003</v>
      </c>
      <c r="I2436" s="14">
        <f>equip.xml!J2440</f>
        <v>150</v>
      </c>
      <c r="J2436" s="14">
        <f>equip.xml!K2440</f>
        <v>1500</v>
      </c>
      <c r="K2436" s="14">
        <f>equip.xml!L2440</f>
        <v>15000</v>
      </c>
      <c r="L2436" s="14" t="str">
        <f>equip.xml!M2440</f>
        <v>103_177_177,104_354_354</v>
      </c>
      <c r="M2436" s="17" t="str">
        <f>equip.xml!Q2440</f>
        <v>equipment/1311.png</v>
      </c>
      <c r="N2436" s="16" t="str">
        <f>equip.xml!P2440</f>
        <v>10000_1002_25000,30000_30001_1,30000_30002_1,30000_30003_1</v>
      </c>
      <c r="O2436">
        <f>equip.xml!R2440</f>
        <v>1</v>
      </c>
    </row>
    <row r="2437" spans="1:15">
      <c r="A2437" s="14">
        <f>equip.xml!A2441</f>
        <v>50253056</v>
      </c>
      <c r="B2437" s="14">
        <f>equip.xml!B2441</f>
        <v>0</v>
      </c>
      <c r="C2437" s="14" t="str">
        <f>equip.xml!C2441</f>
        <v>荒骨法杖</v>
      </c>
      <c r="D2437" s="14" t="str">
        <f>equip.xml!D2441</f>
        <v>主手武器</v>
      </c>
      <c r="E2437" s="14">
        <f>equip.xml!E2441</f>
        <v>5</v>
      </c>
      <c r="F2437" s="14">
        <f>equip.xml!F2441</f>
        <v>5</v>
      </c>
      <c r="G2437" s="14">
        <f>equip.xml!G2441</f>
        <v>25</v>
      </c>
      <c r="H2437" s="14" t="str">
        <f>equip.xml!H2441</f>
        <v>3,1003</v>
      </c>
      <c r="I2437" s="14">
        <f>equip.xml!J2441</f>
        <v>150</v>
      </c>
      <c r="J2437" s="14">
        <f>equip.xml!K2441</f>
        <v>1500</v>
      </c>
      <c r="K2437" s="14">
        <f>equip.xml!L2441</f>
        <v>17500</v>
      </c>
      <c r="L2437" s="14" t="str">
        <f>equip.xml!M2441</f>
        <v>103_216_216,104_432_432</v>
      </c>
      <c r="M2437" s="17" t="str">
        <f>equip.xml!Q2441</f>
        <v>equipment/1312.png</v>
      </c>
      <c r="N2437" s="16" t="str">
        <f>equip.xml!P2441</f>
        <v>10000_1002_25000,30000_30001_1,30000_30002_1,30000_30003_1</v>
      </c>
      <c r="O2437">
        <f>equip.xml!R2441</f>
        <v>1</v>
      </c>
    </row>
    <row r="2438" spans="1:15">
      <c r="A2438" s="14">
        <f>equip.xml!A2442</f>
        <v>50253065</v>
      </c>
      <c r="B2438" s="14">
        <f>equip.xml!B2442</f>
        <v>0</v>
      </c>
      <c r="C2438" s="14" t="str">
        <f>equip.xml!C2442</f>
        <v>魔法秘典</v>
      </c>
      <c r="D2438" s="14" t="str">
        <f>equip.xml!D2442</f>
        <v>副手武器</v>
      </c>
      <c r="E2438" s="14">
        <f>equip.xml!E2442</f>
        <v>6</v>
      </c>
      <c r="F2438" s="14">
        <f>equip.xml!F2442</f>
        <v>5</v>
      </c>
      <c r="G2438" s="14">
        <f>equip.xml!G2442</f>
        <v>25</v>
      </c>
      <c r="H2438" s="14" t="str">
        <f>equip.xml!H2442</f>
        <v>3,1003</v>
      </c>
      <c r="I2438" s="14">
        <f>equip.xml!J2442</f>
        <v>150</v>
      </c>
      <c r="J2438" s="14">
        <f>equip.xml!K2442</f>
        <v>1500</v>
      </c>
      <c r="K2438" s="14">
        <f>equip.xml!L2442</f>
        <v>15000</v>
      </c>
      <c r="L2438" s="14" t="str">
        <f>equip.xml!M2442</f>
        <v>102_690_690</v>
      </c>
      <c r="M2438" s="17" t="str">
        <f>equip.xml!Q2442</f>
        <v>equipment/2306.png</v>
      </c>
      <c r="N2438" s="16" t="str">
        <f>equip.xml!P2442</f>
        <v>10000_1002_25000,30000_30001_1,30000_30002_1,30000_30003_1</v>
      </c>
      <c r="O2438">
        <f>equip.xml!R2442</f>
        <v>1</v>
      </c>
    </row>
    <row r="2439" spans="1:15">
      <c r="A2439" s="14">
        <f>equip.xml!A2443</f>
        <v>50253066</v>
      </c>
      <c r="B2439" s="14">
        <f>equip.xml!B2443</f>
        <v>0</v>
      </c>
      <c r="C2439" s="14" t="str">
        <f>equip.xml!C2443</f>
        <v>法术指南</v>
      </c>
      <c r="D2439" s="14" t="str">
        <f>equip.xml!D2443</f>
        <v>副手武器</v>
      </c>
      <c r="E2439" s="14">
        <f>equip.xml!E2443</f>
        <v>6</v>
      </c>
      <c r="F2439" s="14">
        <f>equip.xml!F2443</f>
        <v>5</v>
      </c>
      <c r="G2439" s="14">
        <f>equip.xml!G2443</f>
        <v>25</v>
      </c>
      <c r="H2439" s="14" t="str">
        <f>equip.xml!H2443</f>
        <v>3,1003</v>
      </c>
      <c r="I2439" s="14">
        <f>equip.xml!J2443</f>
        <v>150</v>
      </c>
      <c r="J2439" s="14">
        <f>equip.xml!K2443</f>
        <v>1500</v>
      </c>
      <c r="K2439" s="14">
        <f>equip.xml!L2443</f>
        <v>17500</v>
      </c>
      <c r="L2439" s="14" t="str">
        <f>equip.xml!M2443</f>
        <v>102_301_301</v>
      </c>
      <c r="M2439" s="17" t="str">
        <f>equip.xml!Q2443</f>
        <v>equipment/2301.png</v>
      </c>
      <c r="N2439" s="16" t="str">
        <f>equip.xml!P2443</f>
        <v>10000_1002_25000,30000_30001_1,30000_30002_1,30000_30003_1</v>
      </c>
      <c r="O2439">
        <f>equip.xml!R2443</f>
        <v>1</v>
      </c>
    </row>
    <row r="2440" spans="1:15">
      <c r="A2440" s="14">
        <f>equip.xml!A2444</f>
        <v>50250045</v>
      </c>
      <c r="B2440" s="14">
        <f>equip.xml!B2444</f>
        <v>0</v>
      </c>
      <c r="C2440" s="14" t="str">
        <f>equip.xml!C2444</f>
        <v>烙铁胸甲</v>
      </c>
      <c r="D2440" s="14" t="str">
        <f>equip.xml!D2444</f>
        <v>胸甲</v>
      </c>
      <c r="E2440" s="14">
        <f>equip.xml!E2444</f>
        <v>4</v>
      </c>
      <c r="F2440" s="14">
        <f>equip.xml!F2444</f>
        <v>5</v>
      </c>
      <c r="G2440" s="14">
        <f>equip.xml!G2444</f>
        <v>25</v>
      </c>
      <c r="H2440" s="14">
        <f>equip.xml!H2444</f>
        <v>0</v>
      </c>
      <c r="I2440" s="14">
        <f>equip.xml!J2444</f>
        <v>150</v>
      </c>
      <c r="J2440" s="14">
        <f>equip.xml!K2444</f>
        <v>1500</v>
      </c>
      <c r="K2440" s="14">
        <f>equip.xml!L2444</f>
        <v>15000</v>
      </c>
      <c r="L2440" s="14" t="str">
        <f>equip.xml!M2444</f>
        <v>105_153_153</v>
      </c>
      <c r="M2440" s="17" t="str">
        <f>equip.xml!Q2444</f>
        <v>equipment/5007.png</v>
      </c>
      <c r="N2440" s="16" t="str">
        <f>equip.xml!P2444</f>
        <v>10000_1002_25000,30000_30001_1,30000_30002_1,30000_30003_1</v>
      </c>
      <c r="O2440">
        <f>equip.xml!R2444</f>
        <v>1</v>
      </c>
    </row>
    <row r="2441" spans="1:15">
      <c r="A2441" s="14">
        <f>equip.xml!A2445</f>
        <v>50250046</v>
      </c>
      <c r="B2441" s="14">
        <f>equip.xml!B2445</f>
        <v>0</v>
      </c>
      <c r="C2441" s="14" t="str">
        <f>equip.xml!C2445</f>
        <v>新兵外套</v>
      </c>
      <c r="D2441" s="14" t="str">
        <f>equip.xml!D2445</f>
        <v>胸甲</v>
      </c>
      <c r="E2441" s="14">
        <f>equip.xml!E2445</f>
        <v>4</v>
      </c>
      <c r="F2441" s="14">
        <f>equip.xml!F2445</f>
        <v>5</v>
      </c>
      <c r="G2441" s="14">
        <f>equip.xml!G2445</f>
        <v>25</v>
      </c>
      <c r="H2441" s="14">
        <f>equip.xml!H2445</f>
        <v>0</v>
      </c>
      <c r="I2441" s="14">
        <f>equip.xml!J2445</f>
        <v>150</v>
      </c>
      <c r="J2441" s="14">
        <f>equip.xml!K2445</f>
        <v>1500</v>
      </c>
      <c r="K2441" s="14">
        <f>equip.xml!L2445</f>
        <v>17500</v>
      </c>
      <c r="L2441" s="14" t="str">
        <f>equip.xml!M2445</f>
        <v>105_178_178</v>
      </c>
      <c r="M2441" s="17" t="str">
        <f>equip.xml!Q2445</f>
        <v>equipment/5001.png</v>
      </c>
      <c r="N2441" s="16" t="str">
        <f>equip.xml!P2445</f>
        <v>10000_1002_25000,30000_30001_1,30000_30002_1,30000_30003_1</v>
      </c>
      <c r="O2441">
        <f>equip.xml!R2445</f>
        <v>1</v>
      </c>
    </row>
    <row r="2442" spans="1:15">
      <c r="A2442" s="14">
        <f>equip.xml!A2446</f>
        <v>50250075</v>
      </c>
      <c r="B2442" s="14">
        <f>equip.xml!B2446</f>
        <v>0</v>
      </c>
      <c r="C2442" s="14" t="str">
        <f>equip.xml!C2446</f>
        <v>勇气腿甲</v>
      </c>
      <c r="D2442" s="14" t="str">
        <f>equip.xml!D2446</f>
        <v>护腿</v>
      </c>
      <c r="E2442" s="14">
        <f>equip.xml!E2446</f>
        <v>7</v>
      </c>
      <c r="F2442" s="14">
        <f>equip.xml!F2446</f>
        <v>5</v>
      </c>
      <c r="G2442" s="14">
        <f>equip.xml!G2446</f>
        <v>25</v>
      </c>
      <c r="H2442" s="14">
        <f>equip.xml!H2446</f>
        <v>0</v>
      </c>
      <c r="I2442" s="14">
        <f>equip.xml!J2446</f>
        <v>150</v>
      </c>
      <c r="J2442" s="14">
        <f>equip.xml!K2446</f>
        <v>1500</v>
      </c>
      <c r="K2442" s="14">
        <f>equip.xml!L2446</f>
        <v>15000</v>
      </c>
      <c r="L2442" s="14" t="str">
        <f>equip.xml!M2446</f>
        <v>105_104_104</v>
      </c>
      <c r="M2442" s="17" t="str">
        <f>equip.xml!Q2446</f>
        <v>equipment/7006.png</v>
      </c>
      <c r="N2442" s="16" t="str">
        <f>equip.xml!P2446</f>
        <v>10000_1002_25000,30000_30001_1,30000_30002_1,30000_30003_1</v>
      </c>
      <c r="O2442">
        <f>equip.xml!R2446</f>
        <v>1</v>
      </c>
    </row>
    <row r="2443" spans="1:15">
      <c r="A2443" s="14">
        <f>equip.xml!A2447</f>
        <v>50250076</v>
      </c>
      <c r="B2443" s="14">
        <f>equip.xml!B2447</f>
        <v>0</v>
      </c>
      <c r="C2443" s="14" t="str">
        <f>equip.xml!C2447</f>
        <v>学徒短裤</v>
      </c>
      <c r="D2443" s="14" t="str">
        <f>equip.xml!D2447</f>
        <v>护腿</v>
      </c>
      <c r="E2443" s="14">
        <f>equip.xml!E2447</f>
        <v>7</v>
      </c>
      <c r="F2443" s="14">
        <f>equip.xml!F2447</f>
        <v>5</v>
      </c>
      <c r="G2443" s="14">
        <f>equip.xml!G2447</f>
        <v>25</v>
      </c>
      <c r="H2443" s="14">
        <f>equip.xml!H2447</f>
        <v>0</v>
      </c>
      <c r="I2443" s="14">
        <f>equip.xml!J2447</f>
        <v>150</v>
      </c>
      <c r="J2443" s="14">
        <f>equip.xml!K2447</f>
        <v>1500</v>
      </c>
      <c r="K2443" s="14">
        <f>equip.xml!L2447</f>
        <v>17500</v>
      </c>
      <c r="L2443" s="14" t="str">
        <f>equip.xml!M2447</f>
        <v>105_149_149</v>
      </c>
      <c r="M2443" s="17" t="str">
        <f>equip.xml!Q2447</f>
        <v>equipment/7001.png</v>
      </c>
      <c r="N2443" s="16" t="str">
        <f>equip.xml!P2447</f>
        <v>10000_1002_25000,30000_30001_1,30000_30002_1,30000_30003_1</v>
      </c>
      <c r="O2443">
        <f>equip.xml!R2447</f>
        <v>1</v>
      </c>
    </row>
    <row r="2444" spans="1:15">
      <c r="A2444" s="14">
        <f>equip.xml!A2448</f>
        <v>50300015</v>
      </c>
      <c r="B2444" s="14">
        <f>equip.xml!B2448</f>
        <v>0</v>
      </c>
      <c r="C2444" s="14" t="str">
        <f>equip.xml!C2448</f>
        <v>双链罩帽</v>
      </c>
      <c r="D2444" s="14" t="str">
        <f>equip.xml!D2448</f>
        <v>头盔</v>
      </c>
      <c r="E2444" s="14">
        <f>equip.xml!E2448</f>
        <v>1</v>
      </c>
      <c r="F2444" s="14">
        <f>equip.xml!F2448</f>
        <v>5</v>
      </c>
      <c r="G2444" s="14">
        <f>equip.xml!G2448</f>
        <v>30</v>
      </c>
      <c r="H2444" s="14">
        <f>equip.xml!H2448</f>
        <v>0</v>
      </c>
      <c r="I2444" s="14">
        <f>equip.xml!J2448</f>
        <v>150</v>
      </c>
      <c r="J2444" s="14">
        <f>equip.xml!K2448</f>
        <v>1500</v>
      </c>
      <c r="K2444" s="14">
        <f>equip.xml!L2448</f>
        <v>17500</v>
      </c>
      <c r="L2444" s="14" t="str">
        <f>equip.xml!M2448</f>
        <v>106_372_372</v>
      </c>
      <c r="M2444" s="17" t="str">
        <f>equip.xml!Q2448</f>
        <v>equipment/3004.png</v>
      </c>
      <c r="N2444" s="16" t="str">
        <f>equip.xml!P2448</f>
        <v>10000_1002_30000,30000_30001_1,30000_30002_1,30000_30003_1</v>
      </c>
      <c r="O2444">
        <f>equip.xml!R2448</f>
        <v>1</v>
      </c>
    </row>
    <row r="2445" spans="1:15">
      <c r="A2445" s="14">
        <f>equip.xml!A2449</f>
        <v>50300025</v>
      </c>
      <c r="B2445" s="14">
        <f>equip.xml!B2449</f>
        <v>0</v>
      </c>
      <c r="C2445" s="14" t="str">
        <f>equip.xml!C2449</f>
        <v>繁星之戒</v>
      </c>
      <c r="D2445" s="14" t="str">
        <f>equip.xml!D2449</f>
        <v>戒指</v>
      </c>
      <c r="E2445" s="14">
        <f>equip.xml!E2449</f>
        <v>2</v>
      </c>
      <c r="F2445" s="14">
        <f>equip.xml!F2449</f>
        <v>5</v>
      </c>
      <c r="G2445" s="14">
        <f>equip.xml!G2449</f>
        <v>30</v>
      </c>
      <c r="H2445" s="14">
        <f>equip.xml!H2449</f>
        <v>0</v>
      </c>
      <c r="I2445" s="14">
        <f>equip.xml!J2449</f>
        <v>150</v>
      </c>
      <c r="J2445" s="14">
        <f>equip.xml!K2449</f>
        <v>1500</v>
      </c>
      <c r="K2445" s="14">
        <f>equip.xml!L2449</f>
        <v>17500</v>
      </c>
      <c r="L2445" s="14" t="str">
        <f>equip.xml!M2449</f>
        <v>102_460_460</v>
      </c>
      <c r="M2445" s="17" t="str">
        <f>equip.xml!Q2449</f>
        <v>equipment/14005.png</v>
      </c>
      <c r="N2445" s="16" t="str">
        <f>equip.xml!P2449</f>
        <v>10000_1002_30000,30000_30001_1,30000_30002_1,30000_30003_1</v>
      </c>
      <c r="O2445">
        <f>equip.xml!R2449</f>
        <v>1</v>
      </c>
    </row>
    <row r="2446" spans="1:15">
      <c r="A2446" s="14">
        <f>equip.xml!A2450</f>
        <v>50300035</v>
      </c>
      <c r="B2446" s="14">
        <f>equip.xml!B2450</f>
        <v>0</v>
      </c>
      <c r="C2446" s="14" t="str">
        <f>equip.xml!C2450</f>
        <v>秘银腰带</v>
      </c>
      <c r="D2446" s="14" t="str">
        <f>equip.xml!D2450</f>
        <v>腰带</v>
      </c>
      <c r="E2446" s="14">
        <f>equip.xml!E2450</f>
        <v>3</v>
      </c>
      <c r="F2446" s="14">
        <f>equip.xml!F2450</f>
        <v>5</v>
      </c>
      <c r="G2446" s="14">
        <f>equip.xml!G2450</f>
        <v>30</v>
      </c>
      <c r="H2446" s="14">
        <f>equip.xml!H2450</f>
        <v>0</v>
      </c>
      <c r="I2446" s="14">
        <f>equip.xml!J2450</f>
        <v>150</v>
      </c>
      <c r="J2446" s="14">
        <f>equip.xml!K2450</f>
        <v>1500</v>
      </c>
      <c r="K2446" s="14">
        <f>equip.xml!L2450</f>
        <v>17500</v>
      </c>
      <c r="L2446" s="14" t="str">
        <f>equip.xml!M2450</f>
        <v>101_3920_3920</v>
      </c>
      <c r="M2446" s="17" t="str">
        <f>equip.xml!Q2450</f>
        <v>equipment/6002.png</v>
      </c>
      <c r="N2446" s="16" t="str">
        <f>equip.xml!P2450</f>
        <v>10000_1002_30000,30000_30001_1,30000_30002_1,30000_30003_1</v>
      </c>
      <c r="O2446">
        <f>equip.xml!R2450</f>
        <v>1</v>
      </c>
    </row>
    <row r="2447" spans="1:15">
      <c r="A2447" s="14">
        <f>equip.xml!A2451</f>
        <v>50300085</v>
      </c>
      <c r="B2447" s="14">
        <f>equip.xml!B2451</f>
        <v>0</v>
      </c>
      <c r="C2447" s="14" t="str">
        <f>equip.xml!C2451</f>
        <v>镶饰胫甲</v>
      </c>
      <c r="D2447" s="14" t="str">
        <f>equip.xml!D2451</f>
        <v>鞋子</v>
      </c>
      <c r="E2447" s="14">
        <f>equip.xml!E2451</f>
        <v>8</v>
      </c>
      <c r="F2447" s="14">
        <f>equip.xml!F2451</f>
        <v>5</v>
      </c>
      <c r="G2447" s="14">
        <f>equip.xml!G2451</f>
        <v>30</v>
      </c>
      <c r="H2447" s="14">
        <f>equip.xml!H2451</f>
        <v>0</v>
      </c>
      <c r="I2447" s="14">
        <f>equip.xml!J2451</f>
        <v>150</v>
      </c>
      <c r="J2447" s="14">
        <f>equip.xml!K2451</f>
        <v>1500</v>
      </c>
      <c r="K2447" s="14">
        <f>equip.xml!L2451</f>
        <v>17500</v>
      </c>
      <c r="L2447" s="14" t="str">
        <f>equip.xml!M2451</f>
        <v>110_65_65</v>
      </c>
      <c r="M2447" s="17" t="str">
        <f>equip.xml!Q2451</f>
        <v>equipment/8005.png</v>
      </c>
      <c r="N2447" s="16" t="str">
        <f>equip.xml!P2451</f>
        <v>10000_1002_30000,30000_30001_1,30000_30002_1,30000_30003_1</v>
      </c>
      <c r="O2447">
        <f>equip.xml!R2451</f>
        <v>1</v>
      </c>
    </row>
    <row r="2448" spans="1:15">
      <c r="A2448" s="14">
        <f>equip.xml!A2452</f>
        <v>50300095</v>
      </c>
      <c r="B2448" s="14">
        <f>equip.xml!B2452</f>
        <v>0</v>
      </c>
      <c r="C2448" s="14" t="str">
        <f>equip.xml!C2452</f>
        <v>链甲手套</v>
      </c>
      <c r="D2448" s="14" t="str">
        <f>equip.xml!D2452</f>
        <v>手套</v>
      </c>
      <c r="E2448" s="14">
        <f>equip.xml!E2452</f>
        <v>9</v>
      </c>
      <c r="F2448" s="14">
        <f>equip.xml!F2452</f>
        <v>5</v>
      </c>
      <c r="G2448" s="14">
        <f>equip.xml!G2452</f>
        <v>30</v>
      </c>
      <c r="H2448" s="14">
        <f>equip.xml!H2452</f>
        <v>0</v>
      </c>
      <c r="I2448" s="14">
        <f>equip.xml!J2452</f>
        <v>150</v>
      </c>
      <c r="J2448" s="14">
        <f>equip.xml!K2452</f>
        <v>1500</v>
      </c>
      <c r="K2448" s="14">
        <f>equip.xml!L2452</f>
        <v>17500</v>
      </c>
      <c r="L2448" s="14" t="str">
        <f>equip.xml!M2452</f>
        <v>108_367_367</v>
      </c>
      <c r="M2448" s="17" t="str">
        <f>equip.xml!Q2452</f>
        <v>equipment/10005.png</v>
      </c>
      <c r="N2448" s="16" t="str">
        <f>equip.xml!P2452</f>
        <v>10000_1002_30000,30000_30001_1,30000_30002_1,30000_30003_1</v>
      </c>
      <c r="O2448">
        <f>equip.xml!R2452</f>
        <v>1</v>
      </c>
    </row>
    <row r="2449" spans="1:15">
      <c r="A2449" s="14">
        <f>equip.xml!A2453</f>
        <v>50300105</v>
      </c>
      <c r="B2449" s="14">
        <f>equip.xml!B2453</f>
        <v>0</v>
      </c>
      <c r="C2449" s="14" t="str">
        <f>equip.xml!C2453</f>
        <v>虎眼石项链</v>
      </c>
      <c r="D2449" s="14" t="str">
        <f>equip.xml!D2453</f>
        <v>项链</v>
      </c>
      <c r="E2449" s="14">
        <f>equip.xml!E2453</f>
        <v>10</v>
      </c>
      <c r="F2449" s="14">
        <f>equip.xml!F2453</f>
        <v>5</v>
      </c>
      <c r="G2449" s="14">
        <f>equip.xml!G2453</f>
        <v>30</v>
      </c>
      <c r="H2449" s="14">
        <f>equip.xml!H2453</f>
        <v>0</v>
      </c>
      <c r="I2449" s="14">
        <f>equip.xml!J2453</f>
        <v>150</v>
      </c>
      <c r="J2449" s="14">
        <f>equip.xml!K2453</f>
        <v>1500</v>
      </c>
      <c r="K2449" s="14">
        <f>equip.xml!L2453</f>
        <v>17500</v>
      </c>
      <c r="L2449" s="14" t="str">
        <f>equip.xml!M2453</f>
        <v>107_372_372</v>
      </c>
      <c r="M2449" s="17" t="str">
        <f>equip.xml!Q2453</f>
        <v>equipment/12005.png</v>
      </c>
      <c r="N2449" s="16" t="str">
        <f>equip.xml!P2453</f>
        <v>10000_1002_30000,30000_30001_1,30000_30002_1,30000_30003_1</v>
      </c>
      <c r="O2449">
        <f>equip.xml!R2453</f>
        <v>1</v>
      </c>
    </row>
    <row r="2450" spans="1:15">
      <c r="A2450" s="14">
        <f>equip.xml!A2454</f>
        <v>50301055</v>
      </c>
      <c r="B2450" s="14">
        <f>equip.xml!B2454</f>
        <v>0</v>
      </c>
      <c r="C2450" s="14" t="str">
        <f>equip.xml!C2454</f>
        <v>炽热长剑</v>
      </c>
      <c r="D2450" s="14" t="str">
        <f>equip.xml!D2454</f>
        <v>主手武器</v>
      </c>
      <c r="E2450" s="14">
        <f>equip.xml!E2454</f>
        <v>5</v>
      </c>
      <c r="F2450" s="14">
        <f>equip.xml!F2454</f>
        <v>5</v>
      </c>
      <c r="G2450" s="14">
        <f>equip.xml!G2454</f>
        <v>30</v>
      </c>
      <c r="H2450" s="14" t="str">
        <f>equip.xml!H2454</f>
        <v>1,1001</v>
      </c>
      <c r="I2450" s="14">
        <f>equip.xml!J2454</f>
        <v>150</v>
      </c>
      <c r="J2450" s="14">
        <f>equip.xml!K2454</f>
        <v>1500</v>
      </c>
      <c r="K2450" s="14">
        <f>equip.xml!L2454</f>
        <v>17500</v>
      </c>
      <c r="L2450" s="14" t="str">
        <f>equip.xml!M2454</f>
        <v>103_275_275,104_550_550</v>
      </c>
      <c r="M2450" s="17" t="str">
        <f>equip.xml!Q2454</f>
        <v>equipment/1112.png</v>
      </c>
      <c r="N2450" s="16" t="str">
        <f>equip.xml!P2454</f>
        <v>10000_1002_30000,30000_30001_1,30000_30002_1,30000_30003_1</v>
      </c>
      <c r="O2450">
        <f>equip.xml!R2454</f>
        <v>1</v>
      </c>
    </row>
    <row r="2451" spans="1:15">
      <c r="A2451" s="14">
        <f>equip.xml!A2455</f>
        <v>50301056</v>
      </c>
      <c r="B2451" s="14">
        <f>equip.xml!B2455</f>
        <v>0</v>
      </c>
      <c r="C2451" s="14" t="str">
        <f>equip.xml!C2455</f>
        <v>贵族阔剑</v>
      </c>
      <c r="D2451" s="14" t="str">
        <f>equip.xml!D2455</f>
        <v>主手武器</v>
      </c>
      <c r="E2451" s="14">
        <f>equip.xml!E2455</f>
        <v>5</v>
      </c>
      <c r="F2451" s="14">
        <f>equip.xml!F2455</f>
        <v>5</v>
      </c>
      <c r="G2451" s="14">
        <f>equip.xml!G2455</f>
        <v>30</v>
      </c>
      <c r="H2451" s="14" t="str">
        <f>equip.xml!H2455</f>
        <v>1,1001</v>
      </c>
      <c r="I2451" s="14">
        <f>equip.xml!J2455</f>
        <v>150</v>
      </c>
      <c r="J2451" s="14">
        <f>equip.xml!K2455</f>
        <v>1500</v>
      </c>
      <c r="K2451" s="14">
        <f>equip.xml!L2455</f>
        <v>20000</v>
      </c>
      <c r="L2451" s="14" t="str">
        <f>equip.xml!M2455</f>
        <v>103_342_342,104_684_684</v>
      </c>
      <c r="M2451" s="17" t="str">
        <f>equip.xml!Q2455</f>
        <v>equipment/1113.png</v>
      </c>
      <c r="N2451" s="16" t="str">
        <f>equip.xml!P2455</f>
        <v>10000_1002_30000,30000_30001_1,30000_30002_1,30000_30003_1</v>
      </c>
      <c r="O2451">
        <f>equip.xml!R2455</f>
        <v>1</v>
      </c>
    </row>
    <row r="2452" spans="1:15">
      <c r="A2452" s="14">
        <f>equip.xml!A2456</f>
        <v>50301065</v>
      </c>
      <c r="B2452" s="14">
        <f>equip.xml!B2456</f>
        <v>0</v>
      </c>
      <c r="C2452" s="14" t="str">
        <f>equip.xml!C2456</f>
        <v>耐久盾牌</v>
      </c>
      <c r="D2452" s="14" t="str">
        <f>equip.xml!D2456</f>
        <v>副手武器</v>
      </c>
      <c r="E2452" s="14">
        <f>equip.xml!E2456</f>
        <v>6</v>
      </c>
      <c r="F2452" s="14">
        <f>equip.xml!F2456</f>
        <v>5</v>
      </c>
      <c r="G2452" s="14">
        <f>equip.xml!G2456</f>
        <v>30</v>
      </c>
      <c r="H2452" s="14" t="str">
        <f>equip.xml!H2456</f>
        <v>1,1001</v>
      </c>
      <c r="I2452" s="14">
        <f>equip.xml!J2456</f>
        <v>150</v>
      </c>
      <c r="J2452" s="14">
        <f>equip.xml!K2456</f>
        <v>1500</v>
      </c>
      <c r="K2452" s="14">
        <f>equip.xml!L2456</f>
        <v>17500</v>
      </c>
      <c r="L2452" s="14" t="str">
        <f>equip.xml!M2456</f>
        <v>105_368_368</v>
      </c>
      <c r="M2452" s="17" t="str">
        <f>equip.xml!Q2456</f>
        <v>equipment/2107.png</v>
      </c>
      <c r="N2452" s="16" t="str">
        <f>equip.xml!P2456</f>
        <v>10000_1002_30000,30000_30001_1,30000_30002_1,30000_30003_1</v>
      </c>
      <c r="O2452">
        <f>equip.xml!R2456</f>
        <v>1</v>
      </c>
    </row>
    <row r="2453" spans="1:15">
      <c r="A2453" s="14">
        <f>equip.xml!A2457</f>
        <v>50301066</v>
      </c>
      <c r="B2453" s="14">
        <f>equip.xml!B2457</f>
        <v>0</v>
      </c>
      <c r="C2453" s="14" t="str">
        <f>equip.xml!C2457</f>
        <v>盐石盾牌</v>
      </c>
      <c r="D2453" s="14" t="str">
        <f>equip.xml!D2457</f>
        <v>副手武器</v>
      </c>
      <c r="E2453" s="14">
        <f>equip.xml!E2457</f>
        <v>6</v>
      </c>
      <c r="F2453" s="14">
        <f>equip.xml!F2457</f>
        <v>5</v>
      </c>
      <c r="G2453" s="14">
        <f>equip.xml!G2457</f>
        <v>30</v>
      </c>
      <c r="H2453" s="14" t="str">
        <f>equip.xml!H2457</f>
        <v>1,1001</v>
      </c>
      <c r="I2453" s="14">
        <f>equip.xml!J2457</f>
        <v>150</v>
      </c>
      <c r="J2453" s="14">
        <f>equip.xml!K2457</f>
        <v>1500</v>
      </c>
      <c r="K2453" s="14">
        <f>equip.xml!L2457</f>
        <v>20000</v>
      </c>
      <c r="L2453" s="14" t="str">
        <f>equip.xml!M2457</f>
        <v>105_491_491</v>
      </c>
      <c r="M2453" s="17" t="str">
        <f>equip.xml!Q2457</f>
        <v>equipment/2108.png</v>
      </c>
      <c r="N2453" s="16" t="str">
        <f>equip.xml!P2457</f>
        <v>10000_1002_30000,30000_30001_1,30000_30002_1,30000_30003_1</v>
      </c>
      <c r="O2453">
        <f>equip.xml!R2457</f>
        <v>1</v>
      </c>
    </row>
    <row r="2454" spans="1:15">
      <c r="A2454" s="14">
        <f>equip.xml!A2458</f>
        <v>50302055</v>
      </c>
      <c r="B2454" s="14">
        <f>equip.xml!B2458</f>
        <v>0</v>
      </c>
      <c r="C2454" s="14" t="str">
        <f>equip.xml!C2458</f>
        <v>红木长弓</v>
      </c>
      <c r="D2454" s="14" t="str">
        <f>equip.xml!D2458</f>
        <v>主手武器</v>
      </c>
      <c r="E2454" s="14">
        <f>equip.xml!E2458</f>
        <v>5</v>
      </c>
      <c r="F2454" s="14">
        <f>equip.xml!F2458</f>
        <v>5</v>
      </c>
      <c r="G2454" s="14">
        <f>equip.xml!G2458</f>
        <v>30</v>
      </c>
      <c r="H2454" s="14" t="str">
        <f>equip.xml!H2458</f>
        <v>2,1002</v>
      </c>
      <c r="I2454" s="14">
        <f>equip.xml!J2458</f>
        <v>150</v>
      </c>
      <c r="J2454" s="14">
        <f>equip.xml!K2458</f>
        <v>1500</v>
      </c>
      <c r="K2454" s="14">
        <f>equip.xml!L2458</f>
        <v>17500</v>
      </c>
      <c r="L2454" s="14" t="str">
        <f>equip.xml!M2458</f>
        <v>103_275_275,104_550_550</v>
      </c>
      <c r="M2454" s="17" t="str">
        <f>equip.xml!Q2458</f>
        <v>equipment/1211.png</v>
      </c>
      <c r="N2454" s="16" t="str">
        <f>equip.xml!P2458</f>
        <v>10000_1002_30000,30000_30001_1,30000_30002_1,30000_30003_1</v>
      </c>
      <c r="O2454">
        <f>equip.xml!R2458</f>
        <v>1</v>
      </c>
    </row>
    <row r="2455" spans="1:15">
      <c r="A2455" s="14">
        <f>equip.xml!A2459</f>
        <v>50302056</v>
      </c>
      <c r="B2455" s="14">
        <f>equip.xml!B2459</f>
        <v>0</v>
      </c>
      <c r="C2455" s="14" t="str">
        <f>equip.xml!C2459</f>
        <v>灼热弓</v>
      </c>
      <c r="D2455" s="14" t="str">
        <f>equip.xml!D2459</f>
        <v>主手武器</v>
      </c>
      <c r="E2455" s="14">
        <f>equip.xml!E2459</f>
        <v>5</v>
      </c>
      <c r="F2455" s="14">
        <f>equip.xml!F2459</f>
        <v>5</v>
      </c>
      <c r="G2455" s="14">
        <f>equip.xml!G2459</f>
        <v>30</v>
      </c>
      <c r="H2455" s="14" t="str">
        <f>equip.xml!H2459</f>
        <v>2,1002</v>
      </c>
      <c r="I2455" s="14">
        <f>equip.xml!J2459</f>
        <v>150</v>
      </c>
      <c r="J2455" s="14">
        <f>equip.xml!K2459</f>
        <v>1500</v>
      </c>
      <c r="K2455" s="14">
        <f>equip.xml!L2459</f>
        <v>20000</v>
      </c>
      <c r="L2455" s="14" t="str">
        <f>equip.xml!M2459</f>
        <v>103_342_342,104_684_684</v>
      </c>
      <c r="M2455" s="17" t="str">
        <f>equip.xml!Q2459</f>
        <v>equipment/1212.png</v>
      </c>
      <c r="N2455" s="16" t="str">
        <f>equip.xml!P2459</f>
        <v>10000_1002_30000,30000_30001_1,30000_30002_1,30000_30003_1</v>
      </c>
      <c r="O2455">
        <f>equip.xml!R2459</f>
        <v>1</v>
      </c>
    </row>
    <row r="2456" spans="1:15">
      <c r="A2456" s="14">
        <f>equip.xml!A2460</f>
        <v>50302065</v>
      </c>
      <c r="B2456" s="14">
        <f>equip.xml!B2460</f>
        <v>0</v>
      </c>
      <c r="C2456" s="14" t="str">
        <f>equip.xml!C2460</f>
        <v>倒刺箭筒</v>
      </c>
      <c r="D2456" s="14" t="str">
        <f>equip.xml!D2460</f>
        <v>副手武器</v>
      </c>
      <c r="E2456" s="14">
        <f>equip.xml!E2460</f>
        <v>6</v>
      </c>
      <c r="F2456" s="14">
        <f>equip.xml!F2460</f>
        <v>5</v>
      </c>
      <c r="G2456" s="14">
        <f>equip.xml!G2460</f>
        <v>30</v>
      </c>
      <c r="H2456" s="14" t="str">
        <f>equip.xml!H2460</f>
        <v>2,1002</v>
      </c>
      <c r="I2456" s="14">
        <f>equip.xml!J2460</f>
        <v>150</v>
      </c>
      <c r="J2456" s="14">
        <f>equip.xml!K2460</f>
        <v>1500</v>
      </c>
      <c r="K2456" s="14">
        <f>equip.xml!L2460</f>
        <v>17500</v>
      </c>
      <c r="L2456" s="14" t="str">
        <f>equip.xml!M2460</f>
        <v>108_368_368</v>
      </c>
      <c r="M2456" s="17" t="str">
        <f>equip.xml!Q2460</f>
        <v>equipment/2207.png</v>
      </c>
      <c r="N2456" s="16" t="str">
        <f>equip.xml!P2460</f>
        <v>10000_1002_30000,30000_30001_1,30000_30002_1,30000_30003_1</v>
      </c>
      <c r="O2456">
        <f>equip.xml!R2460</f>
        <v>1</v>
      </c>
    </row>
    <row r="2457" spans="1:15">
      <c r="A2457" s="14">
        <f>equip.xml!A2461</f>
        <v>50302066</v>
      </c>
      <c r="B2457" s="14">
        <f>equip.xml!B2461</f>
        <v>0</v>
      </c>
      <c r="C2457" s="14" t="str">
        <f>equip.xml!C2461</f>
        <v>崇圣箭筒</v>
      </c>
      <c r="D2457" s="14" t="str">
        <f>equip.xml!D2461</f>
        <v>副手武器</v>
      </c>
      <c r="E2457" s="14">
        <f>equip.xml!E2461</f>
        <v>6</v>
      </c>
      <c r="F2457" s="14">
        <f>equip.xml!F2461</f>
        <v>5</v>
      </c>
      <c r="G2457" s="14">
        <f>equip.xml!G2461</f>
        <v>30</v>
      </c>
      <c r="H2457" s="14" t="str">
        <f>equip.xml!H2461</f>
        <v>2,1002</v>
      </c>
      <c r="I2457" s="14">
        <f>equip.xml!J2461</f>
        <v>150</v>
      </c>
      <c r="J2457" s="14">
        <f>equip.xml!K2461</f>
        <v>1500</v>
      </c>
      <c r="K2457" s="14">
        <f>equip.xml!L2461</f>
        <v>20000</v>
      </c>
      <c r="L2457" s="14" t="str">
        <f>equip.xml!M2461</f>
        <v>108_491_491</v>
      </c>
      <c r="M2457" s="17" t="str">
        <f>equip.xml!Q2461</f>
        <v>equipment/2208.png</v>
      </c>
      <c r="N2457" s="16" t="str">
        <f>equip.xml!P2461</f>
        <v>10000_1002_30000,30000_30001_1,30000_30002_1,30000_30003_1</v>
      </c>
      <c r="O2457">
        <f>equip.xml!R2461</f>
        <v>1</v>
      </c>
    </row>
    <row r="2458" spans="1:15">
      <c r="A2458" s="14">
        <f>equip.xml!A2462</f>
        <v>50303055</v>
      </c>
      <c r="B2458" s="14">
        <f>equip.xml!B2462</f>
        <v>0</v>
      </c>
      <c r="C2458" s="14" t="str">
        <f>equip.xml!C2462</f>
        <v>荒骨法杖</v>
      </c>
      <c r="D2458" s="14" t="str">
        <f>equip.xml!D2462</f>
        <v>主手武器</v>
      </c>
      <c r="E2458" s="14">
        <f>equip.xml!E2462</f>
        <v>5</v>
      </c>
      <c r="F2458" s="14">
        <f>equip.xml!F2462</f>
        <v>5</v>
      </c>
      <c r="G2458" s="14">
        <f>equip.xml!G2462</f>
        <v>30</v>
      </c>
      <c r="H2458" s="14" t="str">
        <f>equip.xml!H2462</f>
        <v>3,1003</v>
      </c>
      <c r="I2458" s="14">
        <f>equip.xml!J2462</f>
        <v>150</v>
      </c>
      <c r="J2458" s="14">
        <f>equip.xml!K2462</f>
        <v>1500</v>
      </c>
      <c r="K2458" s="14">
        <f>equip.xml!L2462</f>
        <v>17500</v>
      </c>
      <c r="L2458" s="14" t="str">
        <f>equip.xml!M2462</f>
        <v>103_275_275,104_550_550</v>
      </c>
      <c r="M2458" s="17" t="str">
        <f>equip.xml!Q2462</f>
        <v>equipment/1312.png</v>
      </c>
      <c r="N2458" s="16" t="str">
        <f>equip.xml!P2462</f>
        <v>10000_1002_30000,30000_30001_1,30000_30002_1,30000_30003_1</v>
      </c>
      <c r="O2458">
        <f>equip.xml!R2462</f>
        <v>1</v>
      </c>
    </row>
    <row r="2459" spans="1:15">
      <c r="A2459" s="14">
        <f>equip.xml!A2463</f>
        <v>50303056</v>
      </c>
      <c r="B2459" s="14">
        <f>equip.xml!B2463</f>
        <v>0</v>
      </c>
      <c r="C2459" s="14" t="str">
        <f>equip.xml!C2463</f>
        <v>新月法杖</v>
      </c>
      <c r="D2459" s="14" t="str">
        <f>equip.xml!D2463</f>
        <v>主手武器</v>
      </c>
      <c r="E2459" s="14">
        <f>equip.xml!E2463</f>
        <v>5</v>
      </c>
      <c r="F2459" s="14">
        <f>equip.xml!F2463</f>
        <v>5</v>
      </c>
      <c r="G2459" s="14">
        <f>equip.xml!G2463</f>
        <v>30</v>
      </c>
      <c r="H2459" s="14" t="str">
        <f>equip.xml!H2463</f>
        <v>3,1003</v>
      </c>
      <c r="I2459" s="14">
        <f>equip.xml!J2463</f>
        <v>150</v>
      </c>
      <c r="J2459" s="14">
        <f>equip.xml!K2463</f>
        <v>1500</v>
      </c>
      <c r="K2459" s="14">
        <f>equip.xml!L2463</f>
        <v>20000</v>
      </c>
      <c r="L2459" s="14" t="str">
        <f>equip.xml!M2463</f>
        <v>103_342_342,104_684_684</v>
      </c>
      <c r="M2459" s="17" t="str">
        <f>equip.xml!Q2463</f>
        <v>equipment/1313.png</v>
      </c>
      <c r="N2459" s="16" t="str">
        <f>equip.xml!P2463</f>
        <v>10000_1002_30000,30000_30001_1,30000_30002_1,30000_30003_1</v>
      </c>
      <c r="O2459">
        <f>equip.xml!R2463</f>
        <v>1</v>
      </c>
    </row>
    <row r="2460" spans="1:15">
      <c r="A2460" s="14">
        <f>equip.xml!A2464</f>
        <v>50303065</v>
      </c>
      <c r="B2460" s="14">
        <f>equip.xml!B2464</f>
        <v>0</v>
      </c>
      <c r="C2460" s="14" t="str">
        <f>equip.xml!C2464</f>
        <v>神圣典籍</v>
      </c>
      <c r="D2460" s="14" t="str">
        <f>equip.xml!D2464</f>
        <v>副手武器</v>
      </c>
      <c r="E2460" s="14">
        <f>equip.xml!E2464</f>
        <v>6</v>
      </c>
      <c r="F2460" s="14">
        <f>equip.xml!F2464</f>
        <v>5</v>
      </c>
      <c r="G2460" s="14">
        <f>equip.xml!G2464</f>
        <v>30</v>
      </c>
      <c r="H2460" s="14" t="str">
        <f>equip.xml!H2464</f>
        <v>3,1003</v>
      </c>
      <c r="I2460" s="14">
        <f>equip.xml!J2464</f>
        <v>150</v>
      </c>
      <c r="J2460" s="14">
        <f>equip.xml!K2464</f>
        <v>1500</v>
      </c>
      <c r="K2460" s="14">
        <f>equip.xml!L2464</f>
        <v>17500</v>
      </c>
      <c r="L2460" s="14" t="str">
        <f>equip.xml!M2464</f>
        <v>102_880_880</v>
      </c>
      <c r="M2460" s="17" t="str">
        <f>equip.xml!Q2464</f>
        <v>equipment/2307.png</v>
      </c>
      <c r="N2460" s="16" t="str">
        <f>equip.xml!P2464</f>
        <v>10000_1002_30000,30000_30001_1,30000_30002_1,30000_30003_1</v>
      </c>
      <c r="O2460">
        <f>equip.xml!R2464</f>
        <v>1</v>
      </c>
    </row>
    <row r="2461" spans="1:15">
      <c r="A2461" s="14">
        <f>equip.xml!A2465</f>
        <v>50303066</v>
      </c>
      <c r="B2461" s="14">
        <f>equip.xml!B2465</f>
        <v>0</v>
      </c>
      <c r="C2461" s="14" t="str">
        <f>equip.xml!C2465</f>
        <v>召唤之书</v>
      </c>
      <c r="D2461" s="14" t="str">
        <f>equip.xml!D2465</f>
        <v>副手武器</v>
      </c>
      <c r="E2461" s="14">
        <f>equip.xml!E2465</f>
        <v>6</v>
      </c>
      <c r="F2461" s="14">
        <f>equip.xml!F2465</f>
        <v>5</v>
      </c>
      <c r="G2461" s="14">
        <f>equip.xml!G2465</f>
        <v>30</v>
      </c>
      <c r="H2461" s="14" t="str">
        <f>equip.xml!H2465</f>
        <v>3,1003</v>
      </c>
      <c r="I2461" s="14">
        <f>equip.xml!J2465</f>
        <v>150</v>
      </c>
      <c r="J2461" s="14">
        <f>equip.xml!K2465</f>
        <v>1500</v>
      </c>
      <c r="K2461" s="14">
        <f>equip.xml!L2465</f>
        <v>20000</v>
      </c>
      <c r="L2461" s="14" t="str">
        <f>equip.xml!M2465</f>
        <v>102_944_944</v>
      </c>
      <c r="M2461" s="17" t="str">
        <f>equip.xml!Q2465</f>
        <v>equipment/2308.png</v>
      </c>
      <c r="N2461" s="16" t="str">
        <f>equip.xml!P2465</f>
        <v>10000_1002_30000,30000_30001_1,30000_30002_1,30000_30003_1</v>
      </c>
      <c r="O2461">
        <f>equip.xml!R2465</f>
        <v>1</v>
      </c>
    </row>
    <row r="2462" spans="1:15">
      <c r="A2462" s="14">
        <f>equip.xml!A2466</f>
        <v>50300045</v>
      </c>
      <c r="B2462" s="14">
        <f>equip.xml!B2466</f>
        <v>0</v>
      </c>
      <c r="C2462" s="14" t="str">
        <f>equip.xml!C2466</f>
        <v>水滴胸铠</v>
      </c>
      <c r="D2462" s="14" t="str">
        <f>equip.xml!D2466</f>
        <v>胸甲</v>
      </c>
      <c r="E2462" s="14">
        <f>equip.xml!E2466</f>
        <v>4</v>
      </c>
      <c r="F2462" s="14">
        <f>equip.xml!F2466</f>
        <v>5</v>
      </c>
      <c r="G2462" s="14">
        <f>equip.xml!G2466</f>
        <v>30</v>
      </c>
      <c r="H2462" s="14">
        <f>equip.xml!H2466</f>
        <v>0</v>
      </c>
      <c r="I2462" s="14">
        <f>equip.xml!J2466</f>
        <v>150</v>
      </c>
      <c r="J2462" s="14">
        <f>equip.xml!K2466</f>
        <v>1500</v>
      </c>
      <c r="K2462" s="14">
        <f>equip.xml!L2466</f>
        <v>17500</v>
      </c>
      <c r="L2462" s="14" t="str">
        <f>equip.xml!M2466</f>
        <v>105_216_216</v>
      </c>
      <c r="M2462" s="17" t="str">
        <f>equip.xml!Q2466</f>
        <v>equipment/5008.png</v>
      </c>
      <c r="N2462" s="16" t="str">
        <f>equip.xml!P2466</f>
        <v>10000_1002_30000,30000_30001_1,30000_30002_1,30000_30003_1</v>
      </c>
      <c r="O2462">
        <f>equip.xml!R2466</f>
        <v>1</v>
      </c>
    </row>
    <row r="2463" spans="1:15">
      <c r="A2463" s="14">
        <f>equip.xml!A2467</f>
        <v>50300046</v>
      </c>
      <c r="B2463" s="14">
        <f>equip.xml!B2467</f>
        <v>0</v>
      </c>
      <c r="C2463" s="14" t="str">
        <f>equip.xml!C2467</f>
        <v>防卫者外套</v>
      </c>
      <c r="D2463" s="14" t="str">
        <f>equip.xml!D2467</f>
        <v>胸甲</v>
      </c>
      <c r="E2463" s="14">
        <f>equip.xml!E2467</f>
        <v>4</v>
      </c>
      <c r="F2463" s="14">
        <f>equip.xml!F2467</f>
        <v>5</v>
      </c>
      <c r="G2463" s="14">
        <f>equip.xml!G2467</f>
        <v>30</v>
      </c>
      <c r="H2463" s="14">
        <f>equip.xml!H2467</f>
        <v>0</v>
      </c>
      <c r="I2463" s="14">
        <f>equip.xml!J2467</f>
        <v>150</v>
      </c>
      <c r="J2463" s="14">
        <f>equip.xml!K2467</f>
        <v>1500</v>
      </c>
      <c r="K2463" s="14">
        <f>equip.xml!L2467</f>
        <v>20000</v>
      </c>
      <c r="L2463" s="14" t="str">
        <f>equip.xml!M2467</f>
        <v>105_247_247</v>
      </c>
      <c r="M2463" s="17" t="str">
        <f>equip.xml!Q2467</f>
        <v>equipment/5009.png</v>
      </c>
      <c r="N2463" s="16" t="str">
        <f>equip.xml!P2467</f>
        <v>10000_1002_30000,30000_30001_1,30000_30002_1,30000_30003_1</v>
      </c>
      <c r="O2463">
        <f>equip.xml!R2467</f>
        <v>1</v>
      </c>
    </row>
    <row r="2464" spans="1:15">
      <c r="A2464" s="14">
        <f>equip.xml!A2468</f>
        <v>50300075</v>
      </c>
      <c r="B2464" s="14">
        <f>equip.xml!B2468</f>
        <v>0</v>
      </c>
      <c r="C2464" s="14" t="str">
        <f>equip.xml!C2468</f>
        <v>游侠护腿</v>
      </c>
      <c r="D2464" s="14" t="str">
        <f>equip.xml!D2468</f>
        <v>护腿</v>
      </c>
      <c r="E2464" s="14">
        <f>equip.xml!E2468</f>
        <v>7</v>
      </c>
      <c r="F2464" s="14">
        <f>equip.xml!F2468</f>
        <v>5</v>
      </c>
      <c r="G2464" s="14">
        <f>equip.xml!G2468</f>
        <v>30</v>
      </c>
      <c r="H2464" s="14">
        <f>equip.xml!H2468</f>
        <v>0</v>
      </c>
      <c r="I2464" s="14">
        <f>equip.xml!J2468</f>
        <v>150</v>
      </c>
      <c r="J2464" s="14">
        <f>equip.xml!K2468</f>
        <v>1500</v>
      </c>
      <c r="K2464" s="14">
        <f>equip.xml!L2468</f>
        <v>17500</v>
      </c>
      <c r="L2464" s="14" t="str">
        <f>equip.xml!M2468</f>
        <v>105_216_216</v>
      </c>
      <c r="M2464" s="17" t="str">
        <f>equip.xml!Q2468</f>
        <v>equipment/7007.png</v>
      </c>
      <c r="N2464" s="16" t="str">
        <f>equip.xml!P2468</f>
        <v>10000_1002_30000,30000_30001_1,30000_30002_1,30000_30003_1</v>
      </c>
      <c r="O2464">
        <f>equip.xml!R2468</f>
        <v>1</v>
      </c>
    </row>
    <row r="2465" spans="1:15">
      <c r="A2465" s="14">
        <f>equip.xml!A2469</f>
        <v>50300076</v>
      </c>
      <c r="B2465" s="14">
        <f>equip.xml!B2469</f>
        <v>0</v>
      </c>
      <c r="C2465" s="14" t="str">
        <f>equip.xml!C2469</f>
        <v>逐风护腿</v>
      </c>
      <c r="D2465" s="14" t="str">
        <f>equip.xml!D2469</f>
        <v>护腿</v>
      </c>
      <c r="E2465" s="14">
        <f>equip.xml!E2469</f>
        <v>7</v>
      </c>
      <c r="F2465" s="14">
        <f>equip.xml!F2469</f>
        <v>5</v>
      </c>
      <c r="G2465" s="14">
        <f>equip.xml!G2469</f>
        <v>30</v>
      </c>
      <c r="H2465" s="14">
        <f>equip.xml!H2469</f>
        <v>0</v>
      </c>
      <c r="I2465" s="14">
        <f>equip.xml!J2469</f>
        <v>150</v>
      </c>
      <c r="J2465" s="14">
        <f>equip.xml!K2469</f>
        <v>1500</v>
      </c>
      <c r="K2465" s="14">
        <f>equip.xml!L2469</f>
        <v>20000</v>
      </c>
      <c r="L2465" s="14" t="str">
        <f>equip.xml!M2469</f>
        <v>105_247_247</v>
      </c>
      <c r="M2465" s="17" t="str">
        <f>equip.xml!Q2469</f>
        <v>equipment/7008.png</v>
      </c>
      <c r="N2465" s="16" t="str">
        <f>equip.xml!P2469</f>
        <v>10000_1002_30000,30000_30001_1,30000_30002_1,30000_30003_1</v>
      </c>
      <c r="O2465">
        <f>equip.xml!R2469</f>
        <v>1</v>
      </c>
    </row>
    <row r="2466" spans="1:15">
      <c r="A2466" s="14">
        <f>equip.xml!A2470</f>
        <v>50350015</v>
      </c>
      <c r="B2466" s="14">
        <f>equip.xml!B2470</f>
        <v>0</v>
      </c>
      <c r="C2466" s="14" t="str">
        <f>equip.xml!C2470</f>
        <v>镶带头盔</v>
      </c>
      <c r="D2466" s="14" t="str">
        <f>equip.xml!D2470</f>
        <v>头盔</v>
      </c>
      <c r="E2466" s="14">
        <f>equip.xml!E2470</f>
        <v>1</v>
      </c>
      <c r="F2466" s="14">
        <f>equip.xml!F2470</f>
        <v>5</v>
      </c>
      <c r="G2466" s="14">
        <f>equip.xml!G2470</f>
        <v>35</v>
      </c>
      <c r="H2466" s="14">
        <f>equip.xml!H2470</f>
        <v>0</v>
      </c>
      <c r="I2466" s="14">
        <f>equip.xml!J2470</f>
        <v>150</v>
      </c>
      <c r="J2466" s="14">
        <f>equip.xml!K2470</f>
        <v>1500</v>
      </c>
      <c r="K2466" s="14">
        <f>equip.xml!L2470</f>
        <v>20000</v>
      </c>
      <c r="L2466" s="14" t="str">
        <f>equip.xml!M2470</f>
        <v>106_596_596</v>
      </c>
      <c r="M2466" s="17" t="str">
        <f>equip.xml!Q2470</f>
        <v>equipment/3006.png</v>
      </c>
      <c r="N2466" s="16" t="str">
        <f>equip.xml!P2470</f>
        <v>10000_1002_35000,30000_30001_1,30000_30002_1,30000_30003_1</v>
      </c>
      <c r="O2466">
        <f>equip.xml!R2470</f>
        <v>1</v>
      </c>
    </row>
    <row r="2467" spans="1:15">
      <c r="A2467" s="14">
        <f>equip.xml!A2471</f>
        <v>50350025</v>
      </c>
      <c r="B2467" s="14">
        <f>equip.xml!B2471</f>
        <v>0</v>
      </c>
      <c r="C2467" s="14" t="str">
        <f>equip.xml!C2471</f>
        <v>烈焰指环</v>
      </c>
      <c r="D2467" s="14" t="str">
        <f>equip.xml!D2471</f>
        <v>戒指</v>
      </c>
      <c r="E2467" s="14">
        <f>equip.xml!E2471</f>
        <v>2</v>
      </c>
      <c r="F2467" s="14">
        <f>equip.xml!F2471</f>
        <v>5</v>
      </c>
      <c r="G2467" s="14">
        <f>equip.xml!G2471</f>
        <v>35</v>
      </c>
      <c r="H2467" s="14">
        <f>equip.xml!H2471</f>
        <v>0</v>
      </c>
      <c r="I2467" s="14">
        <f>equip.xml!J2471</f>
        <v>150</v>
      </c>
      <c r="J2467" s="14">
        <f>equip.xml!K2471</f>
        <v>1500</v>
      </c>
      <c r="K2467" s="14">
        <f>equip.xml!L2471</f>
        <v>20000</v>
      </c>
      <c r="L2467" s="14" t="str">
        <f>equip.xml!M2471</f>
        <v>102_590_590</v>
      </c>
      <c r="M2467" s="17" t="str">
        <f>equip.xml!Q2471</f>
        <v>equipment/14006.png</v>
      </c>
      <c r="N2467" s="16" t="str">
        <f>equip.xml!P2471</f>
        <v>10000_1002_35000,30000_30001_1,30000_30002_1,30000_30003_1</v>
      </c>
      <c r="O2467">
        <f>equip.xml!R2471</f>
        <v>1</v>
      </c>
    </row>
    <row r="2468" spans="1:15">
      <c r="A2468" s="14">
        <f>equip.xml!A2472</f>
        <v>50350035</v>
      </c>
      <c r="B2468" s="14">
        <f>equip.xml!B2472</f>
        <v>0</v>
      </c>
      <c r="C2468" s="14" t="str">
        <f>equip.xml!C2472</f>
        <v>斗士腰带</v>
      </c>
      <c r="D2468" s="14" t="str">
        <f>equip.xml!D2472</f>
        <v>腰带</v>
      </c>
      <c r="E2468" s="14">
        <f>equip.xml!E2472</f>
        <v>3</v>
      </c>
      <c r="F2468" s="14">
        <f>equip.xml!F2472</f>
        <v>5</v>
      </c>
      <c r="G2468" s="14">
        <f>equip.xml!G2472</f>
        <v>35</v>
      </c>
      <c r="H2468" s="14">
        <f>equip.xml!H2472</f>
        <v>0</v>
      </c>
      <c r="I2468" s="14">
        <f>equip.xml!J2472</f>
        <v>150</v>
      </c>
      <c r="J2468" s="14">
        <f>equip.xml!K2472</f>
        <v>1500</v>
      </c>
      <c r="K2468" s="14">
        <f>equip.xml!L2472</f>
        <v>20000</v>
      </c>
      <c r="L2468" s="14" t="str">
        <f>equip.xml!M2472</f>
        <v>101_4900_4900</v>
      </c>
      <c r="M2468" s="17" t="str">
        <f>equip.xml!Q2472</f>
        <v>equipment/6006.png</v>
      </c>
      <c r="N2468" s="16" t="str">
        <f>equip.xml!P2472</f>
        <v>10000_1002_35000,30000_30001_1,30000_30002_1,30000_30003_1</v>
      </c>
      <c r="O2468">
        <f>equip.xml!R2472</f>
        <v>1</v>
      </c>
    </row>
    <row r="2469" spans="1:15">
      <c r="A2469" s="14">
        <f>equip.xml!A2473</f>
        <v>50350085</v>
      </c>
      <c r="B2469" s="14">
        <f>equip.xml!B2473</f>
        <v>0</v>
      </c>
      <c r="C2469" s="14" t="str">
        <f>equip.xml!C2473</f>
        <v>混乱之靴</v>
      </c>
      <c r="D2469" s="14" t="str">
        <f>equip.xml!D2473</f>
        <v>鞋子</v>
      </c>
      <c r="E2469" s="14">
        <f>equip.xml!E2473</f>
        <v>8</v>
      </c>
      <c r="F2469" s="14">
        <f>equip.xml!F2473</f>
        <v>5</v>
      </c>
      <c r="G2469" s="14">
        <f>equip.xml!G2473</f>
        <v>35</v>
      </c>
      <c r="H2469" s="14">
        <f>equip.xml!H2473</f>
        <v>0</v>
      </c>
      <c r="I2469" s="14">
        <f>equip.xml!J2473</f>
        <v>150</v>
      </c>
      <c r="J2469" s="14">
        <f>equip.xml!K2473</f>
        <v>1500</v>
      </c>
      <c r="K2469" s="14">
        <f>equip.xml!L2473</f>
        <v>20000</v>
      </c>
      <c r="L2469" s="14" t="str">
        <f>equip.xml!M2473</f>
        <v>110_82_82</v>
      </c>
      <c r="M2469" s="17" t="str">
        <f>equip.xml!Q2473</f>
        <v>equipment/8006.png</v>
      </c>
      <c r="N2469" s="16" t="str">
        <f>equip.xml!P2473</f>
        <v>10000_1002_35000,30000_30001_1,30000_30002_1,30000_30003_1</v>
      </c>
      <c r="O2469">
        <f>equip.xml!R2473</f>
        <v>1</v>
      </c>
    </row>
    <row r="2470" spans="1:15">
      <c r="A2470" s="14">
        <f>equip.xml!A2474</f>
        <v>50350095</v>
      </c>
      <c r="B2470" s="14">
        <f>equip.xml!B2474</f>
        <v>0</v>
      </c>
      <c r="C2470" s="14" t="str">
        <f>equip.xml!C2474</f>
        <v>激励手甲</v>
      </c>
      <c r="D2470" s="14" t="str">
        <f>equip.xml!D2474</f>
        <v>手套</v>
      </c>
      <c r="E2470" s="14">
        <f>equip.xml!E2474</f>
        <v>9</v>
      </c>
      <c r="F2470" s="14">
        <f>equip.xml!F2474</f>
        <v>5</v>
      </c>
      <c r="G2470" s="14">
        <f>equip.xml!G2474</f>
        <v>35</v>
      </c>
      <c r="H2470" s="14">
        <f>equip.xml!H2474</f>
        <v>0</v>
      </c>
      <c r="I2470" s="14">
        <f>equip.xml!J2474</f>
        <v>150</v>
      </c>
      <c r="J2470" s="14">
        <f>equip.xml!K2474</f>
        <v>1500</v>
      </c>
      <c r="K2470" s="14">
        <f>equip.xml!L2474</f>
        <v>20000</v>
      </c>
      <c r="L2470" s="14" t="str">
        <f>equip.xml!M2474</f>
        <v>108_588_588</v>
      </c>
      <c r="M2470" s="17" t="str">
        <f>equip.xml!Q2474</f>
        <v>equipment/10006.png</v>
      </c>
      <c r="N2470" s="16" t="str">
        <f>equip.xml!P2474</f>
        <v>10000_1002_35000,30000_30001_1,30000_30002_1,30000_30003_1</v>
      </c>
      <c r="O2470">
        <f>equip.xml!R2474</f>
        <v>1</v>
      </c>
    </row>
    <row r="2471" spans="1:15">
      <c r="A2471" s="14">
        <f>equip.xml!A2475</f>
        <v>50350105</v>
      </c>
      <c r="B2471" s="14">
        <f>equip.xml!B2475</f>
        <v>0</v>
      </c>
      <c r="C2471" s="14" t="str">
        <f>equip.xml!C2475</f>
        <v>苍蓝挂坠</v>
      </c>
      <c r="D2471" s="14" t="str">
        <f>equip.xml!D2475</f>
        <v>项链</v>
      </c>
      <c r="E2471" s="14">
        <f>equip.xml!E2475</f>
        <v>10</v>
      </c>
      <c r="F2471" s="14">
        <f>equip.xml!F2475</f>
        <v>5</v>
      </c>
      <c r="G2471" s="14">
        <f>equip.xml!G2475</f>
        <v>35</v>
      </c>
      <c r="H2471" s="14">
        <f>equip.xml!H2475</f>
        <v>0</v>
      </c>
      <c r="I2471" s="14">
        <f>equip.xml!J2475</f>
        <v>150</v>
      </c>
      <c r="J2471" s="14">
        <f>equip.xml!K2475</f>
        <v>1500</v>
      </c>
      <c r="K2471" s="14">
        <f>equip.xml!L2475</f>
        <v>20000</v>
      </c>
      <c r="L2471" s="14" t="str">
        <f>equip.xml!M2475</f>
        <v>107_542_542</v>
      </c>
      <c r="M2471" s="17" t="str">
        <f>equip.xml!Q2475</f>
        <v>equipment/12006.png</v>
      </c>
      <c r="N2471" s="16" t="str">
        <f>equip.xml!P2475</f>
        <v>10000_1002_35000,30000_30001_1,30000_30002_1,30000_30003_1</v>
      </c>
      <c r="O2471">
        <f>equip.xml!R2475</f>
        <v>1</v>
      </c>
    </row>
    <row r="2472" spans="1:15">
      <c r="A2472" s="14">
        <f>equip.xml!A2476</f>
        <v>50351055</v>
      </c>
      <c r="B2472" s="14">
        <f>equip.xml!B2476</f>
        <v>0</v>
      </c>
      <c r="C2472" s="14" t="str">
        <f>equip.xml!C2476</f>
        <v>水晶剑</v>
      </c>
      <c r="D2472" s="14" t="str">
        <f>equip.xml!D2476</f>
        <v>主手武器</v>
      </c>
      <c r="E2472" s="14">
        <f>equip.xml!E2476</f>
        <v>5</v>
      </c>
      <c r="F2472" s="14">
        <f>equip.xml!F2476</f>
        <v>5</v>
      </c>
      <c r="G2472" s="14">
        <f>equip.xml!G2476</f>
        <v>35</v>
      </c>
      <c r="H2472" s="14" t="str">
        <f>equip.xml!H2476</f>
        <v>1,1001</v>
      </c>
      <c r="I2472" s="14">
        <f>equip.xml!J2476</f>
        <v>150</v>
      </c>
      <c r="J2472" s="14">
        <f>equip.xml!K2476</f>
        <v>1500</v>
      </c>
      <c r="K2472" s="14">
        <f>equip.xml!L2476</f>
        <v>20000</v>
      </c>
      <c r="L2472" s="14" t="str">
        <f>equip.xml!M2476</f>
        <v>103_443_443,104_886_886</v>
      </c>
      <c r="M2472" s="17" t="str">
        <f>equip.xml!Q2476</f>
        <v>equipment/1114.png</v>
      </c>
      <c r="N2472" s="16" t="str">
        <f>equip.xml!P2476</f>
        <v>10000_1002_35000,30000_30001_1,30000_30002_1,30000_30003_1</v>
      </c>
      <c r="O2472">
        <f>equip.xml!R2476</f>
        <v>1</v>
      </c>
    </row>
    <row r="2473" spans="1:15">
      <c r="A2473" s="14">
        <f>equip.xml!A2477</f>
        <v>50351056</v>
      </c>
      <c r="B2473" s="14">
        <f>equip.xml!B2477</f>
        <v>0</v>
      </c>
      <c r="C2473" s="14" t="str">
        <f>equip.xml!C2477</f>
        <v>军刀</v>
      </c>
      <c r="D2473" s="14" t="str">
        <f>equip.xml!D2477</f>
        <v>主手武器</v>
      </c>
      <c r="E2473" s="14">
        <f>equip.xml!E2477</f>
        <v>5</v>
      </c>
      <c r="F2473" s="14">
        <f>equip.xml!F2477</f>
        <v>5</v>
      </c>
      <c r="G2473" s="14">
        <f>equip.xml!G2477</f>
        <v>35</v>
      </c>
      <c r="H2473" s="14" t="str">
        <f>equip.xml!H2477</f>
        <v>1,1001</v>
      </c>
      <c r="I2473" s="14">
        <f>equip.xml!J2477</f>
        <v>150</v>
      </c>
      <c r="J2473" s="14">
        <f>equip.xml!K2477</f>
        <v>1500</v>
      </c>
      <c r="K2473" s="14">
        <f>equip.xml!L2477</f>
        <v>22500</v>
      </c>
      <c r="L2473" s="14" t="str">
        <f>equip.xml!M2477</f>
        <v>103_533_533,104_1066_1066</v>
      </c>
      <c r="M2473" s="17" t="str">
        <f>equip.xml!Q2477</f>
        <v>equipment/1101.png</v>
      </c>
      <c r="N2473" s="16" t="str">
        <f>equip.xml!P2477</f>
        <v>10000_1002_35000,30000_30001_1,30000_30002_1,30000_30003_1</v>
      </c>
      <c r="O2473">
        <f>equip.xml!R2477</f>
        <v>1</v>
      </c>
    </row>
    <row r="2474" spans="1:15">
      <c r="A2474" s="14">
        <f>equip.xml!A2478</f>
        <v>50351065</v>
      </c>
      <c r="B2474" s="14">
        <f>equip.xml!B2478</f>
        <v>0</v>
      </c>
      <c r="C2474" s="14" t="str">
        <f>equip.xml!C2478</f>
        <v>符记盾牌</v>
      </c>
      <c r="D2474" s="14" t="str">
        <f>equip.xml!D2478</f>
        <v>副手武器</v>
      </c>
      <c r="E2474" s="14">
        <f>equip.xml!E2478</f>
        <v>6</v>
      </c>
      <c r="F2474" s="14">
        <f>equip.xml!F2478</f>
        <v>5</v>
      </c>
      <c r="G2474" s="14">
        <f>equip.xml!G2478</f>
        <v>35</v>
      </c>
      <c r="H2474" s="14" t="str">
        <f>equip.xml!H2478</f>
        <v>1,1001</v>
      </c>
      <c r="I2474" s="14">
        <f>equip.xml!J2478</f>
        <v>150</v>
      </c>
      <c r="J2474" s="14">
        <f>equip.xml!K2478</f>
        <v>1500</v>
      </c>
      <c r="K2474" s="14">
        <f>equip.xml!L2478</f>
        <v>20000</v>
      </c>
      <c r="L2474" s="14" t="str">
        <f>equip.xml!M2478</f>
        <v>105_676_676</v>
      </c>
      <c r="M2474" s="17" t="str">
        <f>equip.xml!Q2478</f>
        <v>equipment/2108.png</v>
      </c>
      <c r="N2474" s="16" t="str">
        <f>equip.xml!P2478</f>
        <v>10000_1002_35000,30000_30001_1,30000_30002_1,30000_30003_1</v>
      </c>
      <c r="O2474">
        <f>equip.xml!R2478</f>
        <v>1</v>
      </c>
    </row>
    <row r="2475" spans="1:15">
      <c r="A2475" s="14">
        <f>equip.xml!A2479</f>
        <v>50351066</v>
      </c>
      <c r="B2475" s="14">
        <f>equip.xml!B2479</f>
        <v>0</v>
      </c>
      <c r="C2475" s="14" t="str">
        <f>equip.xml!C2479</f>
        <v>秩序盾牌</v>
      </c>
      <c r="D2475" s="14" t="str">
        <f>equip.xml!D2479</f>
        <v>副手武器</v>
      </c>
      <c r="E2475" s="14">
        <f>equip.xml!E2479</f>
        <v>6</v>
      </c>
      <c r="F2475" s="14">
        <f>equip.xml!F2479</f>
        <v>5</v>
      </c>
      <c r="G2475" s="14">
        <f>equip.xml!G2479</f>
        <v>35</v>
      </c>
      <c r="H2475" s="14" t="str">
        <f>equip.xml!H2479</f>
        <v>1,1001</v>
      </c>
      <c r="I2475" s="14">
        <f>equip.xml!J2479</f>
        <v>150</v>
      </c>
      <c r="J2475" s="14">
        <f>equip.xml!K2479</f>
        <v>1500</v>
      </c>
      <c r="K2475" s="14">
        <f>equip.xml!L2479</f>
        <v>22500</v>
      </c>
      <c r="L2475" s="14" t="str">
        <f>equip.xml!M2479</f>
        <v>105_758_758</v>
      </c>
      <c r="M2475" s="17" t="str">
        <f>equip.xml!Q2479</f>
        <v>equipment/2117.png</v>
      </c>
      <c r="N2475" s="16" t="str">
        <f>equip.xml!P2479</f>
        <v>10000_1002_35000,30000_30001_1,30000_30002_1,30000_30003_1</v>
      </c>
      <c r="O2475">
        <f>equip.xml!R2479</f>
        <v>1</v>
      </c>
    </row>
    <row r="2476" spans="1:15">
      <c r="A2476" s="14">
        <f>equip.xml!A2480</f>
        <v>50352055</v>
      </c>
      <c r="B2476" s="14">
        <f>equip.xml!B2480</f>
        <v>0</v>
      </c>
      <c r="C2476" s="14" t="str">
        <f>equip.xml!C2480</f>
        <v>风语者弯弓</v>
      </c>
      <c r="D2476" s="14" t="str">
        <f>equip.xml!D2480</f>
        <v>主手武器</v>
      </c>
      <c r="E2476" s="14">
        <f>equip.xml!E2480</f>
        <v>5</v>
      </c>
      <c r="F2476" s="14">
        <f>equip.xml!F2480</f>
        <v>5</v>
      </c>
      <c r="G2476" s="14">
        <f>equip.xml!G2480</f>
        <v>35</v>
      </c>
      <c r="H2476" s="14" t="str">
        <f>equip.xml!H2480</f>
        <v>2,1002</v>
      </c>
      <c r="I2476" s="14">
        <f>equip.xml!J2480</f>
        <v>150</v>
      </c>
      <c r="J2476" s="14">
        <f>equip.xml!K2480</f>
        <v>1500</v>
      </c>
      <c r="K2476" s="14">
        <f>equip.xml!L2480</f>
        <v>20000</v>
      </c>
      <c r="L2476" s="14" t="str">
        <f>equip.xml!M2480</f>
        <v>103_443_443,104_886_886</v>
      </c>
      <c r="M2476" s="17" t="str">
        <f>equip.xml!Q2480</f>
        <v>equipment/1213.png</v>
      </c>
      <c r="N2476" s="16" t="str">
        <f>equip.xml!P2480</f>
        <v>10000_1002_35000,30000_30001_1,30000_30002_1,30000_30003_1</v>
      </c>
      <c r="O2476">
        <f>equip.xml!R2480</f>
        <v>1</v>
      </c>
    </row>
    <row r="2477" spans="1:15">
      <c r="A2477" s="14">
        <f>equip.xml!A2481</f>
        <v>50352056</v>
      </c>
      <c r="B2477" s="14">
        <f>equip.xml!B2481</f>
        <v>0</v>
      </c>
      <c r="C2477" s="14" t="str">
        <f>equip.xml!C2481</f>
        <v>棘木弓</v>
      </c>
      <c r="D2477" s="14" t="str">
        <f>equip.xml!D2481</f>
        <v>主手武器</v>
      </c>
      <c r="E2477" s="14">
        <f>equip.xml!E2481</f>
        <v>5</v>
      </c>
      <c r="F2477" s="14">
        <f>equip.xml!F2481</f>
        <v>5</v>
      </c>
      <c r="G2477" s="14">
        <f>equip.xml!G2481</f>
        <v>35</v>
      </c>
      <c r="H2477" s="14" t="str">
        <f>equip.xml!H2481</f>
        <v>2,1002</v>
      </c>
      <c r="I2477" s="14">
        <f>equip.xml!J2481</f>
        <v>150</v>
      </c>
      <c r="J2477" s="14">
        <f>equip.xml!K2481</f>
        <v>1500</v>
      </c>
      <c r="K2477" s="14">
        <f>equip.xml!L2481</f>
        <v>22500</v>
      </c>
      <c r="L2477" s="14" t="str">
        <f>equip.xml!M2481</f>
        <v>103_533_533,104_1066_1066</v>
      </c>
      <c r="M2477" s="17" t="str">
        <f>equip.xml!Q2481</f>
        <v>equipment/1201.png</v>
      </c>
      <c r="N2477" s="16" t="str">
        <f>equip.xml!P2481</f>
        <v>10000_1002_35000,30000_30001_1,30000_30002_1,30000_30003_1</v>
      </c>
      <c r="O2477">
        <f>equip.xml!R2481</f>
        <v>1</v>
      </c>
    </row>
    <row r="2478" spans="1:15">
      <c r="A2478" s="14">
        <f>equip.xml!A2482</f>
        <v>50352065</v>
      </c>
      <c r="B2478" s="14">
        <f>equip.xml!B2482</f>
        <v>0</v>
      </c>
      <c r="C2478" s="14" t="str">
        <f>equip.xml!C2482</f>
        <v>游侠箭筒</v>
      </c>
      <c r="D2478" s="14" t="str">
        <f>equip.xml!D2482</f>
        <v>副手武器</v>
      </c>
      <c r="E2478" s="14">
        <f>equip.xml!E2482</f>
        <v>6</v>
      </c>
      <c r="F2478" s="14">
        <f>equip.xml!F2482</f>
        <v>5</v>
      </c>
      <c r="G2478" s="14">
        <f>equip.xml!G2482</f>
        <v>35</v>
      </c>
      <c r="H2478" s="14" t="str">
        <f>equip.xml!H2482</f>
        <v>2,1002</v>
      </c>
      <c r="I2478" s="14">
        <f>equip.xml!J2482</f>
        <v>150</v>
      </c>
      <c r="J2478" s="14">
        <f>equip.xml!K2482</f>
        <v>1500</v>
      </c>
      <c r="K2478" s="14">
        <f>equip.xml!L2482</f>
        <v>20000</v>
      </c>
      <c r="L2478" s="14" t="str">
        <f>equip.xml!M2482</f>
        <v>108_676_676</v>
      </c>
      <c r="M2478" s="17" t="str">
        <f>equip.xml!Q2482</f>
        <v>equipment/2208.png</v>
      </c>
      <c r="N2478" s="16" t="str">
        <f>equip.xml!P2482</f>
        <v>10000_1002_35000,30000_30001_1,30000_30002_1,30000_30003_1</v>
      </c>
      <c r="O2478">
        <f>equip.xml!R2482</f>
        <v>1</v>
      </c>
    </row>
    <row r="2479" spans="1:15">
      <c r="A2479" s="14">
        <f>equip.xml!A2483</f>
        <v>50352066</v>
      </c>
      <c r="B2479" s="14">
        <f>equip.xml!B2483</f>
        <v>0</v>
      </c>
      <c r="C2479" s="14" t="str">
        <f>equip.xml!C2483</f>
        <v>风行者箭筒</v>
      </c>
      <c r="D2479" s="14" t="str">
        <f>equip.xml!D2483</f>
        <v>副手武器</v>
      </c>
      <c r="E2479" s="14">
        <f>equip.xml!E2483</f>
        <v>6</v>
      </c>
      <c r="F2479" s="14">
        <f>equip.xml!F2483</f>
        <v>5</v>
      </c>
      <c r="G2479" s="14">
        <f>equip.xml!G2483</f>
        <v>35</v>
      </c>
      <c r="H2479" s="14" t="str">
        <f>equip.xml!H2483</f>
        <v>2,1002</v>
      </c>
      <c r="I2479" s="14">
        <f>equip.xml!J2483</f>
        <v>150</v>
      </c>
      <c r="J2479" s="14">
        <f>equip.xml!K2483</f>
        <v>1500</v>
      </c>
      <c r="K2479" s="14">
        <f>equip.xml!L2483</f>
        <v>22500</v>
      </c>
      <c r="L2479" s="14" t="str">
        <f>equip.xml!M2483</f>
        <v>108_758_758</v>
      </c>
      <c r="M2479" s="17" t="str">
        <f>equip.xml!Q2483</f>
        <v>equipment/2201.png</v>
      </c>
      <c r="N2479" s="16" t="str">
        <f>equip.xml!P2483</f>
        <v>10000_1002_35000,30000_30001_1,30000_30002_1,30000_30003_1</v>
      </c>
      <c r="O2479">
        <f>equip.xml!R2483</f>
        <v>1</v>
      </c>
    </row>
    <row r="2480" spans="1:15">
      <c r="A2480" s="14">
        <f>equip.xml!A2484</f>
        <v>50353055</v>
      </c>
      <c r="B2480" s="14">
        <f>equip.xml!B2484</f>
        <v>0</v>
      </c>
      <c r="C2480" s="14" t="str">
        <f>equip.xml!C2484</f>
        <v>聚能之杖</v>
      </c>
      <c r="D2480" s="14" t="str">
        <f>equip.xml!D2484</f>
        <v>主手武器</v>
      </c>
      <c r="E2480" s="14">
        <f>equip.xml!E2484</f>
        <v>5</v>
      </c>
      <c r="F2480" s="14">
        <f>equip.xml!F2484</f>
        <v>5</v>
      </c>
      <c r="G2480" s="14">
        <f>equip.xml!G2484</f>
        <v>35</v>
      </c>
      <c r="H2480" s="14" t="str">
        <f>equip.xml!H2484</f>
        <v>3,1003</v>
      </c>
      <c r="I2480" s="14">
        <f>equip.xml!J2484</f>
        <v>150</v>
      </c>
      <c r="J2480" s="14">
        <f>equip.xml!K2484</f>
        <v>1500</v>
      </c>
      <c r="K2480" s="14">
        <f>equip.xml!L2484</f>
        <v>20000</v>
      </c>
      <c r="L2480" s="14" t="str">
        <f>equip.xml!M2484</f>
        <v>103_443_443,104_886_886</v>
      </c>
      <c r="M2480" s="17" t="str">
        <f>equip.xml!Q2484</f>
        <v>equipment/1314.png</v>
      </c>
      <c r="N2480" s="16" t="str">
        <f>equip.xml!P2484</f>
        <v>10000_1002_35000,30000_30001_1,30000_30002_1,30000_30003_1</v>
      </c>
      <c r="O2480">
        <f>equip.xml!R2484</f>
        <v>1</v>
      </c>
    </row>
    <row r="2481" spans="1:15">
      <c r="A2481" s="14">
        <f>equip.xml!A2485</f>
        <v>50353056</v>
      </c>
      <c r="B2481" s="14">
        <f>equip.xml!B2485</f>
        <v>0</v>
      </c>
      <c r="C2481" s="14" t="str">
        <f>equip.xml!C2485</f>
        <v>学徒法杖</v>
      </c>
      <c r="D2481" s="14" t="str">
        <f>equip.xml!D2485</f>
        <v>主手武器</v>
      </c>
      <c r="E2481" s="14">
        <f>equip.xml!E2485</f>
        <v>5</v>
      </c>
      <c r="F2481" s="14">
        <f>equip.xml!F2485</f>
        <v>5</v>
      </c>
      <c r="G2481" s="14">
        <f>equip.xml!G2485</f>
        <v>35</v>
      </c>
      <c r="H2481" s="14" t="str">
        <f>equip.xml!H2485</f>
        <v>3,1003</v>
      </c>
      <c r="I2481" s="14">
        <f>equip.xml!J2485</f>
        <v>150</v>
      </c>
      <c r="J2481" s="14">
        <f>equip.xml!K2485</f>
        <v>1500</v>
      </c>
      <c r="K2481" s="14">
        <f>equip.xml!L2485</f>
        <v>22500</v>
      </c>
      <c r="L2481" s="14" t="str">
        <f>equip.xml!M2485</f>
        <v>103_533_533,104_1066_1066</v>
      </c>
      <c r="M2481" s="17" t="str">
        <f>equip.xml!Q2485</f>
        <v>equipment/1301.png</v>
      </c>
      <c r="N2481" s="16" t="str">
        <f>equip.xml!P2485</f>
        <v>10000_1002_35000,30000_30001_1,30000_30002_1,30000_30003_1</v>
      </c>
      <c r="O2481">
        <f>equip.xml!R2485</f>
        <v>1</v>
      </c>
    </row>
    <row r="2482" spans="1:15">
      <c r="A2482" s="14">
        <f>equip.xml!A2486</f>
        <v>50353065</v>
      </c>
      <c r="B2482" s="14">
        <f>equip.xml!B2486</f>
        <v>0</v>
      </c>
      <c r="C2482" s="14" t="str">
        <f>equip.xml!C2486</f>
        <v>召唤魔典</v>
      </c>
      <c r="D2482" s="14" t="str">
        <f>equip.xml!D2486</f>
        <v>副手武器</v>
      </c>
      <c r="E2482" s="14">
        <f>equip.xml!E2486</f>
        <v>6</v>
      </c>
      <c r="F2482" s="14">
        <f>equip.xml!F2486</f>
        <v>5</v>
      </c>
      <c r="G2482" s="14">
        <f>equip.xml!G2486</f>
        <v>35</v>
      </c>
      <c r="H2482" s="14" t="str">
        <f>equip.xml!H2486</f>
        <v>3,1003</v>
      </c>
      <c r="I2482" s="14">
        <f>equip.xml!J2486</f>
        <v>150</v>
      </c>
      <c r="J2482" s="14">
        <f>equip.xml!K2486</f>
        <v>1500</v>
      </c>
      <c r="K2482" s="14">
        <f>equip.xml!L2486</f>
        <v>20000</v>
      </c>
      <c r="L2482" s="14" t="str">
        <f>equip.xml!M2486</f>
        <v>102_1040_1040</v>
      </c>
      <c r="M2482" s="17" t="str">
        <f>equip.xml!Q2486</f>
        <v>equipment/2308.png</v>
      </c>
      <c r="N2482" s="16" t="str">
        <f>equip.xml!P2486</f>
        <v>10000_1002_35000,30000_30001_1,30000_30002_1,30000_30003_1</v>
      </c>
      <c r="O2482">
        <f>equip.xml!R2486</f>
        <v>1</v>
      </c>
    </row>
    <row r="2483" spans="1:15">
      <c r="A2483" s="14">
        <f>equip.xml!A2487</f>
        <v>50353066</v>
      </c>
      <c r="B2483" s="14">
        <f>equip.xml!B2487</f>
        <v>0</v>
      </c>
      <c r="C2483" s="14" t="str">
        <f>equip.xml!C2487</f>
        <v>大法师之书</v>
      </c>
      <c r="D2483" s="14" t="str">
        <f>equip.xml!D2487</f>
        <v>副手武器</v>
      </c>
      <c r="E2483" s="14">
        <f>equip.xml!E2487</f>
        <v>6</v>
      </c>
      <c r="F2483" s="14">
        <f>equip.xml!F2487</f>
        <v>5</v>
      </c>
      <c r="G2483" s="14">
        <f>equip.xml!G2487</f>
        <v>35</v>
      </c>
      <c r="H2483" s="14" t="str">
        <f>equip.xml!H2487</f>
        <v>3,1003</v>
      </c>
      <c r="I2483" s="14">
        <f>equip.xml!J2487</f>
        <v>150</v>
      </c>
      <c r="J2483" s="14">
        <f>equip.xml!K2487</f>
        <v>1500</v>
      </c>
      <c r="K2483" s="14">
        <f>equip.xml!L2487</f>
        <v>22500</v>
      </c>
      <c r="L2483" s="14" t="str">
        <f>equip.xml!M2487</f>
        <v>102_1120_1120</v>
      </c>
      <c r="M2483" s="17" t="str">
        <f>equip.xml!Q2487</f>
        <v>equipment/2314.png</v>
      </c>
      <c r="N2483" s="16" t="str">
        <f>equip.xml!P2487</f>
        <v>10000_1002_35000,30000_30001_1,30000_30002_1,30000_30003_1</v>
      </c>
      <c r="O2483">
        <f>equip.xml!R2487</f>
        <v>1</v>
      </c>
    </row>
    <row r="2484" spans="1:15">
      <c r="A2484" s="14">
        <f>equip.xml!A2488</f>
        <v>50350045</v>
      </c>
      <c r="B2484" s="14">
        <f>equip.xml!B2488</f>
        <v>0</v>
      </c>
      <c r="C2484" s="14" t="str">
        <f>equip.xml!C2488</f>
        <v>蛮兽胸甲</v>
      </c>
      <c r="D2484" s="14" t="str">
        <f>equip.xml!D2488</f>
        <v>胸甲</v>
      </c>
      <c r="E2484" s="14">
        <f>equip.xml!E2488</f>
        <v>4</v>
      </c>
      <c r="F2484" s="14">
        <f>equip.xml!F2488</f>
        <v>5</v>
      </c>
      <c r="G2484" s="14">
        <f>equip.xml!G2488</f>
        <v>35</v>
      </c>
      <c r="H2484" s="14">
        <f>equip.xml!H2488</f>
        <v>0</v>
      </c>
      <c r="I2484" s="14">
        <f>equip.xml!J2488</f>
        <v>150</v>
      </c>
      <c r="J2484" s="14">
        <f>equip.xml!K2488</f>
        <v>1500</v>
      </c>
      <c r="K2484" s="14">
        <f>equip.xml!L2488</f>
        <v>20000</v>
      </c>
      <c r="L2484" s="14" t="str">
        <f>equip.xml!M2488</f>
        <v>105_293_293</v>
      </c>
      <c r="M2484" s="17" t="str">
        <f>equip.xml!Q2488</f>
        <v>equipment/5011.png</v>
      </c>
      <c r="N2484" s="16" t="str">
        <f>equip.xml!P2488</f>
        <v>10000_1002_35000,30000_30001_1,30000_30002_1,30000_30003_1</v>
      </c>
      <c r="O2484">
        <f>equip.xml!R2488</f>
        <v>1</v>
      </c>
    </row>
    <row r="2485" spans="1:15">
      <c r="A2485" s="14">
        <f>equip.xml!A2489</f>
        <v>50350046</v>
      </c>
      <c r="B2485" s="14">
        <f>equip.xml!B2489</f>
        <v>0</v>
      </c>
      <c r="C2485" s="14" t="str">
        <f>equip.xml!C2489</f>
        <v>魔鳞外衣</v>
      </c>
      <c r="D2485" s="14" t="str">
        <f>equip.xml!D2489</f>
        <v>胸甲</v>
      </c>
      <c r="E2485" s="14">
        <f>equip.xml!E2489</f>
        <v>4</v>
      </c>
      <c r="F2485" s="14">
        <f>equip.xml!F2489</f>
        <v>5</v>
      </c>
      <c r="G2485" s="14">
        <f>equip.xml!G2489</f>
        <v>35</v>
      </c>
      <c r="H2485" s="14">
        <f>equip.xml!H2489</f>
        <v>0</v>
      </c>
      <c r="I2485" s="14">
        <f>equip.xml!J2489</f>
        <v>150</v>
      </c>
      <c r="J2485" s="14">
        <f>equip.xml!K2489</f>
        <v>1500</v>
      </c>
      <c r="K2485" s="14">
        <f>equip.xml!L2489</f>
        <v>22500</v>
      </c>
      <c r="L2485" s="14" t="str">
        <f>equip.xml!M2489</f>
        <v>105_375_375</v>
      </c>
      <c r="M2485" s="17" t="str">
        <f>equip.xml!Q2489</f>
        <v>equipment/5001.png</v>
      </c>
      <c r="N2485" s="16" t="str">
        <f>equip.xml!P2489</f>
        <v>10000_1002_35000,30000_30001_1,30000_30002_1,30000_30003_1</v>
      </c>
      <c r="O2485">
        <f>equip.xml!R2489</f>
        <v>1</v>
      </c>
    </row>
    <row r="2486" spans="1:15">
      <c r="A2486" s="14">
        <f>equip.xml!A2490</f>
        <v>50350075</v>
      </c>
      <c r="B2486" s="14">
        <f>equip.xml!B2490</f>
        <v>0</v>
      </c>
      <c r="C2486" s="14" t="str">
        <f>equip.xml!C2490</f>
        <v>残忍腿甲</v>
      </c>
      <c r="D2486" s="14" t="str">
        <f>equip.xml!D2490</f>
        <v>护腿</v>
      </c>
      <c r="E2486" s="14">
        <f>equip.xml!E2490</f>
        <v>7</v>
      </c>
      <c r="F2486" s="14">
        <f>equip.xml!F2490</f>
        <v>5</v>
      </c>
      <c r="G2486" s="14">
        <f>equip.xml!G2490</f>
        <v>35</v>
      </c>
      <c r="H2486" s="14">
        <f>equip.xml!H2490</f>
        <v>0</v>
      </c>
      <c r="I2486" s="14">
        <f>equip.xml!J2490</f>
        <v>150</v>
      </c>
      <c r="J2486" s="14">
        <f>equip.xml!K2490</f>
        <v>1500</v>
      </c>
      <c r="K2486" s="14">
        <f>equip.xml!L2490</f>
        <v>20000</v>
      </c>
      <c r="L2486" s="14" t="str">
        <f>equip.xml!M2490</f>
        <v>105_293_293</v>
      </c>
      <c r="M2486" s="17" t="str">
        <f>equip.xml!Q2490</f>
        <v>equipment/7008.png</v>
      </c>
      <c r="N2486" s="16" t="str">
        <f>equip.xml!P2490</f>
        <v>10000_1002_35000,30000_30001_1,30000_30002_1,30000_30003_1</v>
      </c>
      <c r="O2486">
        <f>equip.xml!R2490</f>
        <v>1</v>
      </c>
    </row>
    <row r="2487" spans="1:15">
      <c r="A2487" s="14">
        <f>equip.xml!A2491</f>
        <v>50350076</v>
      </c>
      <c r="B2487" s="14">
        <f>equip.xml!B2491</f>
        <v>0</v>
      </c>
      <c r="C2487" s="14" t="str">
        <f>equip.xml!C2491</f>
        <v>学徒短裤</v>
      </c>
      <c r="D2487" s="14" t="str">
        <f>equip.xml!D2491</f>
        <v>护腿</v>
      </c>
      <c r="E2487" s="14">
        <f>equip.xml!E2491</f>
        <v>7</v>
      </c>
      <c r="F2487" s="14">
        <f>equip.xml!F2491</f>
        <v>5</v>
      </c>
      <c r="G2487" s="14">
        <f>equip.xml!G2491</f>
        <v>35</v>
      </c>
      <c r="H2487" s="14">
        <f>equip.xml!H2491</f>
        <v>0</v>
      </c>
      <c r="I2487" s="14">
        <f>equip.xml!J2491</f>
        <v>150</v>
      </c>
      <c r="J2487" s="14">
        <f>equip.xml!K2491</f>
        <v>1500</v>
      </c>
      <c r="K2487" s="14">
        <f>equip.xml!L2491</f>
        <v>22500</v>
      </c>
      <c r="L2487" s="14" t="str">
        <f>equip.xml!M2491</f>
        <v>105_331_331</v>
      </c>
      <c r="M2487" s="17" t="str">
        <f>equip.xml!Q2491</f>
        <v>equipment/7001.png</v>
      </c>
      <c r="N2487" s="16" t="str">
        <f>equip.xml!P2491</f>
        <v>10000_1002_35000,30000_30001_1,30000_30002_1,30000_30003_1</v>
      </c>
      <c r="O2487">
        <f>equip.xml!R2491</f>
        <v>1</v>
      </c>
    </row>
    <row r="2488" spans="1:15">
      <c r="A2488" s="14">
        <f>equip.xml!A2492</f>
        <v>50400015</v>
      </c>
      <c r="B2488" s="14">
        <f>equip.xml!B2492</f>
        <v>0</v>
      </c>
      <c r="C2488" s="14" t="str">
        <f>equip.xml!C2492</f>
        <v>烈焰头罩</v>
      </c>
      <c r="D2488" s="14" t="str">
        <f>equip.xml!D2492</f>
        <v>头盔</v>
      </c>
      <c r="E2488" s="14">
        <f>equip.xml!E2492</f>
        <v>1</v>
      </c>
      <c r="F2488" s="14">
        <f>equip.xml!F2492</f>
        <v>5</v>
      </c>
      <c r="G2488" s="14">
        <f>equip.xml!G2492</f>
        <v>40</v>
      </c>
      <c r="H2488" s="14">
        <f>equip.xml!H2492</f>
        <v>0</v>
      </c>
      <c r="I2488" s="14">
        <f>equip.xml!J2492</f>
        <v>150</v>
      </c>
      <c r="J2488" s="14">
        <f>equip.xml!K2492</f>
        <v>1500</v>
      </c>
      <c r="K2488" s="14">
        <f>equip.xml!L2492</f>
        <v>22500</v>
      </c>
      <c r="L2488" s="14" t="str">
        <f>equip.xml!M2492</f>
        <v>106_751_751</v>
      </c>
      <c r="M2488" s="17" t="str">
        <f>equip.xml!Q2492</f>
        <v>equipment/3007.png</v>
      </c>
      <c r="N2488" s="16" t="str">
        <f>equip.xml!P2492</f>
        <v>10000_1002_40000,30000_30001_1,30000_30002_1,30000_30003_1</v>
      </c>
      <c r="O2488">
        <f>equip.xml!R2492</f>
        <v>1</v>
      </c>
    </row>
    <row r="2489" spans="1:15">
      <c r="A2489" s="14">
        <f>equip.xml!A2493</f>
        <v>50400025</v>
      </c>
      <c r="B2489" s="14">
        <f>equip.xml!B2493</f>
        <v>0</v>
      </c>
      <c r="C2489" s="14" t="str">
        <f>equip.xml!C2493</f>
        <v>龙纹戒指</v>
      </c>
      <c r="D2489" s="14" t="str">
        <f>equip.xml!D2493</f>
        <v>戒指</v>
      </c>
      <c r="E2489" s="14">
        <f>equip.xml!E2493</f>
        <v>2</v>
      </c>
      <c r="F2489" s="14">
        <f>equip.xml!F2493</f>
        <v>5</v>
      </c>
      <c r="G2489" s="14">
        <f>equip.xml!G2493</f>
        <v>40</v>
      </c>
      <c r="H2489" s="14">
        <f>equip.xml!H2493</f>
        <v>0</v>
      </c>
      <c r="I2489" s="14">
        <f>equip.xml!J2493</f>
        <v>150</v>
      </c>
      <c r="J2489" s="14">
        <f>equip.xml!K2493</f>
        <v>1500</v>
      </c>
      <c r="K2489" s="14">
        <f>equip.xml!L2493</f>
        <v>22500</v>
      </c>
      <c r="L2489" s="14" t="str">
        <f>equip.xml!M2493</f>
        <v>102_740_740</v>
      </c>
      <c r="M2489" s="17" t="str">
        <f>equip.xml!Q2493</f>
        <v>equipment/14007.png</v>
      </c>
      <c r="N2489" s="16" t="str">
        <f>equip.xml!P2493</f>
        <v>10000_1002_40000,30000_30001_1,30000_30002_1,30000_30003_1</v>
      </c>
      <c r="O2489">
        <f>equip.xml!R2493</f>
        <v>1</v>
      </c>
    </row>
    <row r="2490" spans="1:15">
      <c r="A2490" s="14">
        <f>equip.xml!A2494</f>
        <v>50400035</v>
      </c>
      <c r="B2490" s="14">
        <f>equip.xml!B2494</f>
        <v>0</v>
      </c>
      <c r="C2490" s="14" t="str">
        <f>equip.xml!C2494</f>
        <v>力量腰带</v>
      </c>
      <c r="D2490" s="14" t="str">
        <f>equip.xml!D2494</f>
        <v>腰带</v>
      </c>
      <c r="E2490" s="14">
        <f>equip.xml!E2494</f>
        <v>3</v>
      </c>
      <c r="F2490" s="14">
        <f>equip.xml!F2494</f>
        <v>5</v>
      </c>
      <c r="G2490" s="14">
        <f>equip.xml!G2494</f>
        <v>40</v>
      </c>
      <c r="H2490" s="14">
        <f>equip.xml!H2494</f>
        <v>0</v>
      </c>
      <c r="I2490" s="14">
        <f>equip.xml!J2494</f>
        <v>150</v>
      </c>
      <c r="J2490" s="14">
        <f>equip.xml!K2494</f>
        <v>1500</v>
      </c>
      <c r="K2490" s="14">
        <f>equip.xml!L2494</f>
        <v>22500</v>
      </c>
      <c r="L2490" s="14" t="str">
        <f>equip.xml!M2494</f>
        <v>101_6720_6720</v>
      </c>
      <c r="M2490" s="17" t="str">
        <f>equip.xml!Q2494</f>
        <v>equipment/6007.png</v>
      </c>
      <c r="N2490" s="16" t="str">
        <f>equip.xml!P2494</f>
        <v>10000_1002_40000,30000_30001_1,30000_30002_1,30000_30003_1</v>
      </c>
      <c r="O2490">
        <f>equip.xml!R2494</f>
        <v>1</v>
      </c>
    </row>
    <row r="2491" spans="1:15">
      <c r="A2491" s="14">
        <f>equip.xml!A2495</f>
        <v>50400085</v>
      </c>
      <c r="B2491" s="14">
        <f>equip.xml!B2495</f>
        <v>0</v>
      </c>
      <c r="C2491" s="14" t="str">
        <f>equip.xml!C2495</f>
        <v>征战之靴</v>
      </c>
      <c r="D2491" s="14" t="str">
        <f>equip.xml!D2495</f>
        <v>鞋子</v>
      </c>
      <c r="E2491" s="14">
        <f>equip.xml!E2495</f>
        <v>8</v>
      </c>
      <c r="F2491" s="14">
        <f>equip.xml!F2495</f>
        <v>5</v>
      </c>
      <c r="G2491" s="14">
        <f>equip.xml!G2495</f>
        <v>40</v>
      </c>
      <c r="H2491" s="14">
        <f>equip.xml!H2495</f>
        <v>0</v>
      </c>
      <c r="I2491" s="14">
        <f>equip.xml!J2495</f>
        <v>150</v>
      </c>
      <c r="J2491" s="14">
        <f>equip.xml!K2495</f>
        <v>1500</v>
      </c>
      <c r="K2491" s="14">
        <f>equip.xml!L2495</f>
        <v>22500</v>
      </c>
      <c r="L2491" s="14" t="str">
        <f>equip.xml!M2495</f>
        <v>110_108_108</v>
      </c>
      <c r="M2491" s="17" t="str">
        <f>equip.xml!Q2495</f>
        <v>equipment/8007.png</v>
      </c>
      <c r="N2491" s="16" t="str">
        <f>equip.xml!P2495</f>
        <v>10000_1002_40000,30000_30001_1,30000_30002_1,30000_30003_1</v>
      </c>
      <c r="O2491">
        <f>equip.xml!R2495</f>
        <v>1</v>
      </c>
    </row>
    <row r="2492" spans="1:15">
      <c r="A2492" s="14">
        <f>equip.xml!A2496</f>
        <v>50400095</v>
      </c>
      <c r="B2492" s="14">
        <f>equip.xml!B2496</f>
        <v>0</v>
      </c>
      <c r="C2492" s="14" t="str">
        <f>equip.xml!C2496</f>
        <v>重拳手套</v>
      </c>
      <c r="D2492" s="14" t="str">
        <f>equip.xml!D2496</f>
        <v>手套</v>
      </c>
      <c r="E2492" s="14">
        <f>equip.xml!E2496</f>
        <v>9</v>
      </c>
      <c r="F2492" s="14">
        <f>equip.xml!F2496</f>
        <v>5</v>
      </c>
      <c r="G2492" s="14">
        <f>equip.xml!G2496</f>
        <v>40</v>
      </c>
      <c r="H2492" s="14">
        <f>equip.xml!H2496</f>
        <v>0</v>
      </c>
      <c r="I2492" s="14">
        <f>equip.xml!J2496</f>
        <v>150</v>
      </c>
      <c r="J2492" s="14">
        <f>equip.xml!K2496</f>
        <v>1500</v>
      </c>
      <c r="K2492" s="14">
        <f>equip.xml!L2496</f>
        <v>22500</v>
      </c>
      <c r="L2492" s="14" t="str">
        <f>equip.xml!M2496</f>
        <v>108_880_880</v>
      </c>
      <c r="M2492" s="17" t="str">
        <f>equip.xml!Q2496</f>
        <v>equipment/10007.png</v>
      </c>
      <c r="N2492" s="16" t="str">
        <f>equip.xml!P2496</f>
        <v>10000_1002_40000,30000_30001_1,30000_30002_1,30000_30003_1</v>
      </c>
      <c r="O2492">
        <f>equip.xml!R2496</f>
        <v>1</v>
      </c>
    </row>
    <row r="2493" spans="1:15">
      <c r="A2493" s="14">
        <f>equip.xml!A2497</f>
        <v>50400105</v>
      </c>
      <c r="B2493" s="14">
        <f>equip.xml!B2497</f>
        <v>0</v>
      </c>
      <c r="C2493" s="14" t="str">
        <f>equip.xml!C2497</f>
        <v>迅捷项链</v>
      </c>
      <c r="D2493" s="14" t="str">
        <f>equip.xml!D2497</f>
        <v>项链</v>
      </c>
      <c r="E2493" s="14">
        <f>equip.xml!E2497</f>
        <v>10</v>
      </c>
      <c r="F2493" s="14">
        <f>equip.xml!F2497</f>
        <v>5</v>
      </c>
      <c r="G2493" s="14">
        <f>equip.xml!G2497</f>
        <v>40</v>
      </c>
      <c r="H2493" s="14">
        <f>equip.xml!H2497</f>
        <v>0</v>
      </c>
      <c r="I2493" s="14">
        <f>equip.xml!J2497</f>
        <v>150</v>
      </c>
      <c r="J2493" s="14">
        <f>equip.xml!K2497</f>
        <v>1500</v>
      </c>
      <c r="K2493" s="14">
        <f>equip.xml!L2497</f>
        <v>22500</v>
      </c>
      <c r="L2493" s="14" t="str">
        <f>equip.xml!M2497</f>
        <v>107_542_542</v>
      </c>
      <c r="M2493" s="17" t="str">
        <f>equip.xml!Q2497</f>
        <v>equipment/12012.png</v>
      </c>
      <c r="N2493" s="16" t="str">
        <f>equip.xml!P2497</f>
        <v>10000_1002_40000,30000_30001_1,30000_30002_1,30000_30003_1</v>
      </c>
      <c r="O2493">
        <f>equip.xml!R2497</f>
        <v>1</v>
      </c>
    </row>
    <row r="2494" spans="1:15">
      <c r="A2494" s="14">
        <f>equip.xml!A2498</f>
        <v>50401055</v>
      </c>
      <c r="B2494" s="14">
        <f>equip.xml!B2498</f>
        <v>0</v>
      </c>
      <c r="C2494" s="14" t="str">
        <f>equip.xml!C2498</f>
        <v>魔铁巨剑</v>
      </c>
      <c r="D2494" s="14" t="str">
        <f>equip.xml!D2498</f>
        <v>主手武器</v>
      </c>
      <c r="E2494" s="14">
        <f>equip.xml!E2498</f>
        <v>5</v>
      </c>
      <c r="F2494" s="14">
        <f>equip.xml!F2498</f>
        <v>5</v>
      </c>
      <c r="G2494" s="14">
        <f>equip.xml!G2498</f>
        <v>40</v>
      </c>
      <c r="H2494" s="14" t="str">
        <f>equip.xml!H2498</f>
        <v>1,1001</v>
      </c>
      <c r="I2494" s="14">
        <f>equip.xml!J2498</f>
        <v>150</v>
      </c>
      <c r="J2494" s="14">
        <f>equip.xml!K2498</f>
        <v>1500</v>
      </c>
      <c r="K2494" s="14">
        <f>equip.xml!L2498</f>
        <v>22500</v>
      </c>
      <c r="L2494" s="14" t="str">
        <f>equip.xml!M2498</f>
        <v>103_670_670,104_1340_1340</v>
      </c>
      <c r="M2494" s="17" t="str">
        <f>equip.xml!Q2498</f>
        <v>equipment/1115.png</v>
      </c>
      <c r="N2494" s="16" t="str">
        <f>equip.xml!P2498</f>
        <v>10000_1002_40000,30000_30001_1,30000_30002_1,30000_30003_1</v>
      </c>
      <c r="O2494">
        <f>equip.xml!R2498</f>
        <v>1</v>
      </c>
    </row>
    <row r="2495" spans="1:15">
      <c r="A2495" s="14">
        <f>equip.xml!A2499</f>
        <v>50401056</v>
      </c>
      <c r="B2495" s="14">
        <f>equip.xml!B2499</f>
        <v>0</v>
      </c>
      <c r="C2495" s="14" t="str">
        <f>equip.xml!C2499</f>
        <v>破咒之刃</v>
      </c>
      <c r="D2495" s="14" t="str">
        <f>equip.xml!D2499</f>
        <v>主手武器</v>
      </c>
      <c r="E2495" s="14">
        <f>equip.xml!E2499</f>
        <v>5</v>
      </c>
      <c r="F2495" s="14">
        <f>equip.xml!F2499</f>
        <v>5</v>
      </c>
      <c r="G2495" s="14">
        <f>equip.xml!G2499</f>
        <v>40</v>
      </c>
      <c r="H2495" s="14" t="str">
        <f>equip.xml!H2499</f>
        <v>1,1001</v>
      </c>
      <c r="I2495" s="14">
        <f>equip.xml!J2499</f>
        <v>150</v>
      </c>
      <c r="J2495" s="14">
        <f>equip.xml!K2499</f>
        <v>1500</v>
      </c>
      <c r="K2495" s="14">
        <f>equip.xml!L2499</f>
        <v>25000</v>
      </c>
      <c r="L2495" s="14" t="str">
        <f>equip.xml!M2499</f>
        <v>103_743_743,104_1486_1486</v>
      </c>
      <c r="M2495" s="17" t="str">
        <f>equip.xml!Q2499</f>
        <v>equipment/1116.png</v>
      </c>
      <c r="N2495" s="16" t="str">
        <f>equip.xml!P2499</f>
        <v>10000_1002_40000,30000_30001_1,30000_30002_1,30000_30003_1</v>
      </c>
      <c r="O2495">
        <f>equip.xml!R2499</f>
        <v>1</v>
      </c>
    </row>
    <row r="2496" spans="1:15">
      <c r="A2496" s="14">
        <f>equip.xml!A2500</f>
        <v>50401065</v>
      </c>
      <c r="B2496" s="14">
        <f>equip.xml!B2500</f>
        <v>0</v>
      </c>
      <c r="C2496" s="14" t="str">
        <f>equip.xml!C2500</f>
        <v>洛阿巨盾</v>
      </c>
      <c r="D2496" s="14" t="str">
        <f>equip.xml!D2500</f>
        <v>副手武器</v>
      </c>
      <c r="E2496" s="14">
        <f>equip.xml!E2500</f>
        <v>6</v>
      </c>
      <c r="F2496" s="14">
        <f>equip.xml!F2500</f>
        <v>5</v>
      </c>
      <c r="G2496" s="14">
        <f>equip.xml!G2500</f>
        <v>40</v>
      </c>
      <c r="H2496" s="14" t="str">
        <f>equip.xml!H2500</f>
        <v>1,1001</v>
      </c>
      <c r="I2496" s="14">
        <f>equip.xml!J2500</f>
        <v>150</v>
      </c>
      <c r="J2496" s="14">
        <f>equip.xml!K2500</f>
        <v>1500</v>
      </c>
      <c r="K2496" s="14">
        <f>equip.xml!L2500</f>
        <v>22500</v>
      </c>
      <c r="L2496" s="14" t="str">
        <f>equip.xml!M2500</f>
        <v>105_880_880</v>
      </c>
      <c r="M2496" s="17" t="str">
        <f>equip.xml!Q2500</f>
        <v>equipment/2109.png</v>
      </c>
      <c r="N2496" s="16" t="str">
        <f>equip.xml!P2500</f>
        <v>10000_1002_40000,30000_30001_1,30000_30002_1,30000_30003_1</v>
      </c>
      <c r="O2496">
        <f>equip.xml!R2500</f>
        <v>1</v>
      </c>
    </row>
    <row r="2497" spans="1:15">
      <c r="A2497" s="14">
        <f>equip.xml!A2501</f>
        <v>50401066</v>
      </c>
      <c r="B2497" s="14">
        <f>equip.xml!B2501</f>
        <v>0</v>
      </c>
      <c r="C2497" s="14" t="str">
        <f>equip.xml!C2501</f>
        <v>尖头盾</v>
      </c>
      <c r="D2497" s="14" t="str">
        <f>equip.xml!D2501</f>
        <v>副手武器</v>
      </c>
      <c r="E2497" s="14">
        <f>equip.xml!E2501</f>
        <v>6</v>
      </c>
      <c r="F2497" s="14">
        <f>equip.xml!F2501</f>
        <v>5</v>
      </c>
      <c r="G2497" s="14">
        <f>equip.xml!G2501</f>
        <v>40</v>
      </c>
      <c r="H2497" s="14" t="str">
        <f>equip.xml!H2501</f>
        <v>1,1001</v>
      </c>
      <c r="I2497" s="14">
        <f>equip.xml!J2501</f>
        <v>150</v>
      </c>
      <c r="J2497" s="14">
        <f>equip.xml!K2501</f>
        <v>1500</v>
      </c>
      <c r="K2497" s="14">
        <f>equip.xml!L2501</f>
        <v>25000</v>
      </c>
      <c r="L2497" s="14" t="str">
        <f>equip.xml!M2501</f>
        <v>105_1029_1029</v>
      </c>
      <c r="M2497" s="17" t="str">
        <f>equip.xml!Q2501</f>
        <v>equipment/2101.png</v>
      </c>
      <c r="N2497" s="16" t="str">
        <f>equip.xml!P2501</f>
        <v>10000_1002_40000,30000_30001_1,30000_30002_1,30000_30003_1</v>
      </c>
      <c r="O2497">
        <f>equip.xml!R2501</f>
        <v>1</v>
      </c>
    </row>
    <row r="2498" spans="1:15">
      <c r="A2498" s="14">
        <f>equip.xml!A2502</f>
        <v>50402055</v>
      </c>
      <c r="B2498" s="14">
        <f>equip.xml!B2502</f>
        <v>0</v>
      </c>
      <c r="C2498" s="14" t="str">
        <f>equip.xml!C2502</f>
        <v>强击之弓</v>
      </c>
      <c r="D2498" s="14" t="str">
        <f>equip.xml!D2502</f>
        <v>主手武器</v>
      </c>
      <c r="E2498" s="14">
        <f>equip.xml!E2502</f>
        <v>5</v>
      </c>
      <c r="F2498" s="14">
        <f>equip.xml!F2502</f>
        <v>5</v>
      </c>
      <c r="G2498" s="14">
        <f>equip.xml!G2502</f>
        <v>40</v>
      </c>
      <c r="H2498" s="14" t="str">
        <f>equip.xml!H2502</f>
        <v>2,1002</v>
      </c>
      <c r="I2498" s="14">
        <f>equip.xml!J2502</f>
        <v>150</v>
      </c>
      <c r="J2498" s="14">
        <f>equip.xml!K2502</f>
        <v>1500</v>
      </c>
      <c r="K2498" s="14">
        <f>equip.xml!L2502</f>
        <v>22500</v>
      </c>
      <c r="L2498" s="14" t="str">
        <f>equip.xml!M2502</f>
        <v>103_670_670,104_1340_1340</v>
      </c>
      <c r="M2498" s="17" t="str">
        <f>equip.xml!Q2502</f>
        <v>equipment/1216.png</v>
      </c>
      <c r="N2498" s="16" t="str">
        <f>equip.xml!P2502</f>
        <v>10000_1002_40000,30000_30001_1,30000_30002_1,30000_30003_1</v>
      </c>
      <c r="O2498">
        <f>equip.xml!R2502</f>
        <v>1</v>
      </c>
    </row>
    <row r="2499" spans="1:15">
      <c r="A2499" s="14">
        <f>equip.xml!A2503</f>
        <v>50402056</v>
      </c>
      <c r="B2499" s="14">
        <f>equip.xml!B2503</f>
        <v>0</v>
      </c>
      <c r="C2499" s="14" t="str">
        <f>equip.xml!C2503</f>
        <v>羽月长弓</v>
      </c>
      <c r="D2499" s="14" t="str">
        <f>equip.xml!D2503</f>
        <v>主手武器</v>
      </c>
      <c r="E2499" s="14">
        <f>equip.xml!E2503</f>
        <v>5</v>
      </c>
      <c r="F2499" s="14">
        <f>equip.xml!F2503</f>
        <v>5</v>
      </c>
      <c r="G2499" s="14">
        <f>equip.xml!G2503</f>
        <v>40</v>
      </c>
      <c r="H2499" s="14" t="str">
        <f>equip.xml!H2503</f>
        <v>2,1002</v>
      </c>
      <c r="I2499" s="14">
        <f>equip.xml!J2503</f>
        <v>150</v>
      </c>
      <c r="J2499" s="14">
        <f>equip.xml!K2503</f>
        <v>1500</v>
      </c>
      <c r="K2499" s="14">
        <f>equip.xml!L2503</f>
        <v>25000</v>
      </c>
      <c r="L2499" s="14" t="str">
        <f>equip.xml!M2503</f>
        <v>103_743_743,104_1486_1486</v>
      </c>
      <c r="M2499" s="17" t="str">
        <f>equip.xml!Q2503</f>
        <v>equipment/1214.png</v>
      </c>
      <c r="N2499" s="16" t="str">
        <f>equip.xml!P2503</f>
        <v>10000_1002_40000,30000_30001_1,30000_30002_1,30000_30003_1</v>
      </c>
      <c r="O2499">
        <f>equip.xml!R2503</f>
        <v>1</v>
      </c>
    </row>
    <row r="2500" spans="1:15">
      <c r="A2500" s="14">
        <f>equip.xml!A2504</f>
        <v>50402065</v>
      </c>
      <c r="B2500" s="14">
        <f>equip.xml!B2504</f>
        <v>0</v>
      </c>
      <c r="C2500" s="14" t="str">
        <f>equip.xml!C2504</f>
        <v>风怒箭筒</v>
      </c>
      <c r="D2500" s="14" t="str">
        <f>equip.xml!D2504</f>
        <v>副手武器</v>
      </c>
      <c r="E2500" s="14">
        <f>equip.xml!E2504</f>
        <v>6</v>
      </c>
      <c r="F2500" s="14">
        <f>equip.xml!F2504</f>
        <v>5</v>
      </c>
      <c r="G2500" s="14">
        <f>equip.xml!G2504</f>
        <v>40</v>
      </c>
      <c r="H2500" s="14" t="str">
        <f>equip.xml!H2504</f>
        <v>2,1002</v>
      </c>
      <c r="I2500" s="14">
        <f>equip.xml!J2504</f>
        <v>150</v>
      </c>
      <c r="J2500" s="14">
        <f>equip.xml!K2504</f>
        <v>1500</v>
      </c>
      <c r="K2500" s="14">
        <f>equip.xml!L2504</f>
        <v>22500</v>
      </c>
      <c r="L2500" s="14" t="str">
        <f>equip.xml!M2504</f>
        <v>108_880_880</v>
      </c>
      <c r="M2500" s="17" t="str">
        <f>equip.xml!Q2504</f>
        <v>equipment/2209.png</v>
      </c>
      <c r="N2500" s="16" t="str">
        <f>equip.xml!P2504</f>
        <v>10000_1002_40000,30000_30001_1,30000_30002_1,30000_30003_1</v>
      </c>
      <c r="O2500">
        <f>equip.xml!R2504</f>
        <v>1</v>
      </c>
    </row>
    <row r="2501" spans="1:15">
      <c r="A2501" s="14">
        <f>equip.xml!A2505</f>
        <v>50402066</v>
      </c>
      <c r="B2501" s="14">
        <f>equip.xml!B2505</f>
        <v>0</v>
      </c>
      <c r="C2501" s="14" t="str">
        <f>equip.xml!C2505</f>
        <v>箭筒</v>
      </c>
      <c r="D2501" s="14" t="str">
        <f>equip.xml!D2505</f>
        <v>副手武器</v>
      </c>
      <c r="E2501" s="14">
        <f>equip.xml!E2505</f>
        <v>6</v>
      </c>
      <c r="F2501" s="14">
        <f>equip.xml!F2505</f>
        <v>5</v>
      </c>
      <c r="G2501" s="14">
        <f>equip.xml!G2505</f>
        <v>40</v>
      </c>
      <c r="H2501" s="14" t="str">
        <f>equip.xml!H2505</f>
        <v>2,1002</v>
      </c>
      <c r="I2501" s="14">
        <f>equip.xml!J2505</f>
        <v>150</v>
      </c>
      <c r="J2501" s="14">
        <f>equip.xml!K2505</f>
        <v>1500</v>
      </c>
      <c r="K2501" s="14">
        <f>equip.xml!L2505</f>
        <v>25000</v>
      </c>
      <c r="L2501" s="14" t="str">
        <f>equip.xml!M2505</f>
        <v>108_1029_1029</v>
      </c>
      <c r="M2501" s="17" t="str">
        <f>equip.xml!Q2505</f>
        <v>equipment/2201.png</v>
      </c>
      <c r="N2501" s="16" t="str">
        <f>equip.xml!P2505</f>
        <v>10000_1002_40000,30000_30001_1,30000_30002_1,30000_30003_1</v>
      </c>
      <c r="O2501">
        <f>equip.xml!R2505</f>
        <v>1</v>
      </c>
    </row>
    <row r="2502" spans="1:15">
      <c r="A2502" s="14">
        <f>equip.xml!A2506</f>
        <v>50403055</v>
      </c>
      <c r="B2502" s="14">
        <f>equip.xml!B2506</f>
        <v>0</v>
      </c>
      <c r="C2502" s="14" t="str">
        <f>equip.xml!C2506</f>
        <v>符文魔杖</v>
      </c>
      <c r="D2502" s="14" t="str">
        <f>equip.xml!D2506</f>
        <v>主手武器</v>
      </c>
      <c r="E2502" s="14">
        <f>equip.xml!E2506</f>
        <v>5</v>
      </c>
      <c r="F2502" s="14">
        <f>equip.xml!F2506</f>
        <v>5</v>
      </c>
      <c r="G2502" s="14">
        <f>equip.xml!G2506</f>
        <v>40</v>
      </c>
      <c r="H2502" s="14" t="str">
        <f>equip.xml!H2506</f>
        <v>3,1003</v>
      </c>
      <c r="I2502" s="14">
        <f>equip.xml!J2506</f>
        <v>150</v>
      </c>
      <c r="J2502" s="14">
        <f>equip.xml!K2506</f>
        <v>1500</v>
      </c>
      <c r="K2502" s="14">
        <f>equip.xml!L2506</f>
        <v>22500</v>
      </c>
      <c r="L2502" s="14" t="str">
        <f>equip.xml!M2506</f>
        <v>103_670_670,104_1340_1340</v>
      </c>
      <c r="M2502" s="17" t="str">
        <f>equip.xml!Q2506</f>
        <v>equipment/1317.png</v>
      </c>
      <c r="N2502" s="16" t="str">
        <f>equip.xml!P2506</f>
        <v>10000_1002_40000,30000_30001_1,30000_30002_1,30000_30003_1</v>
      </c>
      <c r="O2502">
        <f>equip.xml!R2506</f>
        <v>1</v>
      </c>
    </row>
    <row r="2503" spans="1:15">
      <c r="A2503" s="14">
        <f>equip.xml!A2507</f>
        <v>50403056</v>
      </c>
      <c r="B2503" s="14">
        <f>equip.xml!B2507</f>
        <v>0</v>
      </c>
      <c r="C2503" s="14" t="str">
        <f>equip.xml!C2507</f>
        <v>真理之杖</v>
      </c>
      <c r="D2503" s="14" t="str">
        <f>equip.xml!D2507</f>
        <v>主手武器</v>
      </c>
      <c r="E2503" s="14">
        <f>equip.xml!E2507</f>
        <v>5</v>
      </c>
      <c r="F2503" s="14">
        <f>equip.xml!F2507</f>
        <v>5</v>
      </c>
      <c r="G2503" s="14">
        <f>equip.xml!G2507</f>
        <v>40</v>
      </c>
      <c r="H2503" s="14" t="str">
        <f>equip.xml!H2507</f>
        <v>3,1003</v>
      </c>
      <c r="I2503" s="14">
        <f>equip.xml!J2507</f>
        <v>150</v>
      </c>
      <c r="J2503" s="14">
        <f>equip.xml!K2507</f>
        <v>1500</v>
      </c>
      <c r="K2503" s="14">
        <f>equip.xml!L2507</f>
        <v>25000</v>
      </c>
      <c r="L2503" s="14" t="str">
        <f>equip.xml!M2507</f>
        <v>103_743_743,104_1486_1486</v>
      </c>
      <c r="M2503" s="17" t="str">
        <f>equip.xml!Q2507</f>
        <v>equipment/1315.png</v>
      </c>
      <c r="N2503" s="16" t="str">
        <f>equip.xml!P2507</f>
        <v>10000_1002_40000,30000_30001_1,30000_30002_1,30000_30003_1</v>
      </c>
      <c r="O2503">
        <f>equip.xml!R2507</f>
        <v>1</v>
      </c>
    </row>
    <row r="2504" spans="1:15">
      <c r="A2504" s="14">
        <f>equip.xml!A2508</f>
        <v>50403065</v>
      </c>
      <c r="B2504" s="14">
        <f>equip.xml!B2508</f>
        <v>0</v>
      </c>
      <c r="C2504" s="14" t="str">
        <f>equip.xml!C2508</f>
        <v>附魔秘典</v>
      </c>
      <c r="D2504" s="14" t="str">
        <f>equip.xml!D2508</f>
        <v>副手武器</v>
      </c>
      <c r="E2504" s="14">
        <f>equip.xml!E2508</f>
        <v>6</v>
      </c>
      <c r="F2504" s="14">
        <f>equip.xml!F2508</f>
        <v>5</v>
      </c>
      <c r="G2504" s="14">
        <f>equip.xml!G2508</f>
        <v>40</v>
      </c>
      <c r="H2504" s="14" t="str">
        <f>equip.xml!H2508</f>
        <v>3,1003</v>
      </c>
      <c r="I2504" s="14">
        <f>equip.xml!J2508</f>
        <v>150</v>
      </c>
      <c r="J2504" s="14">
        <f>equip.xml!K2508</f>
        <v>1500</v>
      </c>
      <c r="K2504" s="14">
        <f>equip.xml!L2508</f>
        <v>22500</v>
      </c>
      <c r="L2504" s="14" t="str">
        <f>equip.xml!M2508</f>
        <v>102_1240_1240</v>
      </c>
      <c r="M2504" s="17" t="str">
        <f>equip.xml!Q2508</f>
        <v>equipment/2309.png</v>
      </c>
      <c r="N2504" s="16" t="str">
        <f>equip.xml!P2508</f>
        <v>10000_1002_40000,30000_30001_1,30000_30002_1,30000_30003_1</v>
      </c>
      <c r="O2504">
        <f>equip.xml!R2508</f>
        <v>1</v>
      </c>
    </row>
    <row r="2505" spans="1:15">
      <c r="A2505" s="14">
        <f>equip.xml!A2509</f>
        <v>50403066</v>
      </c>
      <c r="B2505" s="14">
        <f>equip.xml!B2509</f>
        <v>0</v>
      </c>
      <c r="C2505" s="14" t="str">
        <f>equip.xml!C2509</f>
        <v>法术指南</v>
      </c>
      <c r="D2505" s="14" t="str">
        <f>equip.xml!D2509</f>
        <v>副手武器</v>
      </c>
      <c r="E2505" s="14">
        <f>equip.xml!E2509</f>
        <v>6</v>
      </c>
      <c r="F2505" s="14">
        <f>equip.xml!F2509</f>
        <v>5</v>
      </c>
      <c r="G2505" s="14">
        <f>equip.xml!G2509</f>
        <v>40</v>
      </c>
      <c r="H2505" s="14" t="str">
        <f>equip.xml!H2509</f>
        <v>3,1003</v>
      </c>
      <c r="I2505" s="14">
        <f>equip.xml!J2509</f>
        <v>150</v>
      </c>
      <c r="J2505" s="14">
        <f>equip.xml!K2509</f>
        <v>1500</v>
      </c>
      <c r="K2505" s="14">
        <f>equip.xml!L2509</f>
        <v>25000</v>
      </c>
      <c r="L2505" s="14" t="str">
        <f>equip.xml!M2509</f>
        <v>102_1029_1029</v>
      </c>
      <c r="M2505" s="17" t="str">
        <f>equip.xml!Q2509</f>
        <v>equipment/2301.png</v>
      </c>
      <c r="N2505" s="16" t="str">
        <f>equip.xml!P2509</f>
        <v>10000_1002_40000,30000_30001_1,30000_30002_1,30000_30003_1</v>
      </c>
      <c r="O2505">
        <f>equip.xml!R2509</f>
        <v>1</v>
      </c>
    </row>
    <row r="2506" spans="1:15">
      <c r="A2506" s="14">
        <f>equip.xml!A2510</f>
        <v>50400045</v>
      </c>
      <c r="B2506" s="14">
        <f>equip.xml!B2510</f>
        <v>0</v>
      </c>
      <c r="C2506" s="14" t="str">
        <f>equip.xml!C2510</f>
        <v>瑟银护甲</v>
      </c>
      <c r="D2506" s="14" t="str">
        <f>equip.xml!D2510</f>
        <v>胸甲</v>
      </c>
      <c r="E2506" s="14">
        <f>equip.xml!E2510</f>
        <v>4</v>
      </c>
      <c r="F2506" s="14">
        <f>equip.xml!F2510</f>
        <v>5</v>
      </c>
      <c r="G2506" s="14">
        <f>equip.xml!G2510</f>
        <v>40</v>
      </c>
      <c r="H2506" s="14">
        <f>equip.xml!H2510</f>
        <v>0</v>
      </c>
      <c r="I2506" s="14">
        <f>equip.xml!J2510</f>
        <v>150</v>
      </c>
      <c r="J2506" s="14">
        <f>equip.xml!K2510</f>
        <v>1500</v>
      </c>
      <c r="K2506" s="14">
        <f>equip.xml!L2510</f>
        <v>22500</v>
      </c>
      <c r="L2506" s="14" t="str">
        <f>equip.xml!M2510</f>
        <v>105_497_497</v>
      </c>
      <c r="M2506" s="17" t="str">
        <f>equip.xml!Q2510</f>
        <v>equipment/5012.png</v>
      </c>
      <c r="N2506" s="16" t="str">
        <f>equip.xml!P2510</f>
        <v>10000_1002_40000,30000_30001_1,30000_30002_1,30000_30003_1</v>
      </c>
      <c r="O2506">
        <f>equip.xml!R2510</f>
        <v>1</v>
      </c>
    </row>
    <row r="2507" spans="1:15">
      <c r="A2507" s="14">
        <f>equip.xml!A2511</f>
        <v>50400046</v>
      </c>
      <c r="B2507" s="14">
        <f>equip.xml!B2511</f>
        <v>0</v>
      </c>
      <c r="C2507" s="14" t="str">
        <f>equip.xml!C2511</f>
        <v>新兵外套</v>
      </c>
      <c r="D2507" s="14" t="str">
        <f>equip.xml!D2511</f>
        <v>胸甲</v>
      </c>
      <c r="E2507" s="14">
        <f>equip.xml!E2511</f>
        <v>4</v>
      </c>
      <c r="F2507" s="14">
        <f>equip.xml!F2511</f>
        <v>5</v>
      </c>
      <c r="G2507" s="14">
        <f>equip.xml!G2511</f>
        <v>40</v>
      </c>
      <c r="H2507" s="14">
        <f>equip.xml!H2511</f>
        <v>0</v>
      </c>
      <c r="I2507" s="14">
        <f>equip.xml!J2511</f>
        <v>150</v>
      </c>
      <c r="J2507" s="14">
        <f>equip.xml!K2511</f>
        <v>1500</v>
      </c>
      <c r="K2507" s="14">
        <f>equip.xml!L2511</f>
        <v>25000</v>
      </c>
      <c r="L2507" s="14" t="str">
        <f>equip.xml!M2511</f>
        <v>105_549_549</v>
      </c>
      <c r="M2507" s="17" t="str">
        <f>equip.xml!Q2511</f>
        <v>equipment/5001.png</v>
      </c>
      <c r="N2507" s="16" t="str">
        <f>equip.xml!P2511</f>
        <v>10000_1002_40000,30000_30001_1,30000_30002_1,30000_30003_1</v>
      </c>
      <c r="O2507">
        <f>equip.xml!R2511</f>
        <v>1</v>
      </c>
    </row>
    <row r="2508" spans="1:15">
      <c r="A2508" s="14">
        <f>equip.xml!A2512</f>
        <v>50400075</v>
      </c>
      <c r="B2508" s="14">
        <f>equip.xml!B2512</f>
        <v>0</v>
      </c>
      <c r="C2508" s="14" t="str">
        <f>equip.xml!C2512</f>
        <v>巨熊护腿</v>
      </c>
      <c r="D2508" s="14" t="str">
        <f>equip.xml!D2512</f>
        <v>护腿</v>
      </c>
      <c r="E2508" s="14">
        <f>equip.xml!E2512</f>
        <v>7</v>
      </c>
      <c r="F2508" s="14">
        <f>equip.xml!F2512</f>
        <v>5</v>
      </c>
      <c r="G2508" s="14">
        <f>equip.xml!G2512</f>
        <v>40</v>
      </c>
      <c r="H2508" s="14">
        <f>equip.xml!H2512</f>
        <v>0</v>
      </c>
      <c r="I2508" s="14">
        <f>equip.xml!J2512</f>
        <v>150</v>
      </c>
      <c r="J2508" s="14">
        <f>equip.xml!K2512</f>
        <v>1500</v>
      </c>
      <c r="K2508" s="14">
        <f>equip.xml!L2512</f>
        <v>22500</v>
      </c>
      <c r="L2508" s="14" t="str">
        <f>equip.xml!M2512</f>
        <v>105_387_387</v>
      </c>
      <c r="M2508" s="17" t="str">
        <f>equip.xml!Q2512</f>
        <v>equipment/7009.png</v>
      </c>
      <c r="N2508" s="16" t="str">
        <f>equip.xml!P2512</f>
        <v>10000_1002_40000,30000_30001_1,30000_30002_1,30000_30003_1</v>
      </c>
      <c r="O2508">
        <f>equip.xml!R2512</f>
        <v>1</v>
      </c>
    </row>
    <row r="2509" spans="1:15">
      <c r="A2509" s="14">
        <f>equip.xml!A2513</f>
        <v>50400076</v>
      </c>
      <c r="B2509" s="14">
        <f>equip.xml!B2513</f>
        <v>0</v>
      </c>
      <c r="C2509" s="14" t="str">
        <f>equip.xml!C2513</f>
        <v>学徒短裤</v>
      </c>
      <c r="D2509" s="14" t="str">
        <f>equip.xml!D2513</f>
        <v>护腿</v>
      </c>
      <c r="E2509" s="14">
        <f>equip.xml!E2513</f>
        <v>7</v>
      </c>
      <c r="F2509" s="14">
        <f>equip.xml!F2513</f>
        <v>5</v>
      </c>
      <c r="G2509" s="14">
        <f>equip.xml!G2513</f>
        <v>40</v>
      </c>
      <c r="H2509" s="14">
        <f>equip.xml!H2513</f>
        <v>0</v>
      </c>
      <c r="I2509" s="14">
        <f>equip.xml!J2513</f>
        <v>150</v>
      </c>
      <c r="J2509" s="14">
        <f>equip.xml!K2513</f>
        <v>1500</v>
      </c>
      <c r="K2509" s="14">
        <f>equip.xml!L2513</f>
        <v>25000</v>
      </c>
      <c r="L2509" s="14" t="str">
        <f>equip.xml!M2513</f>
        <v>105_431_431</v>
      </c>
      <c r="M2509" s="17" t="str">
        <f>equip.xml!Q2513</f>
        <v>equipment/7001.png</v>
      </c>
      <c r="N2509" s="16" t="str">
        <f>equip.xml!P2513</f>
        <v>10000_1002_40000,30000_30001_1,30000_30002_1,30000_30003_1</v>
      </c>
      <c r="O2509">
        <f>equip.xml!R2513</f>
        <v>1</v>
      </c>
    </row>
    <row r="2510" spans="1:15">
      <c r="A2510" s="14">
        <f>equip.xml!A2514</f>
        <v>50450015</v>
      </c>
      <c r="B2510" s="14">
        <f>equip.xml!B2514</f>
        <v>0</v>
      </c>
      <c r="C2510" s="14" t="str">
        <f>equip.xml!C2514</f>
        <v>战争头盔</v>
      </c>
      <c r="D2510" s="14" t="str">
        <f>equip.xml!D2514</f>
        <v>头盔</v>
      </c>
      <c r="E2510" s="14">
        <f>equip.xml!E2514</f>
        <v>1</v>
      </c>
      <c r="F2510" s="14">
        <f>equip.xml!F2514</f>
        <v>5</v>
      </c>
      <c r="G2510" s="14">
        <f>equip.xml!G2514</f>
        <v>45</v>
      </c>
      <c r="H2510" s="14">
        <f>equip.xml!H2514</f>
        <v>0</v>
      </c>
      <c r="I2510" s="14">
        <f>equip.xml!J2514</f>
        <v>150</v>
      </c>
      <c r="J2510" s="14">
        <f>equip.xml!K2514</f>
        <v>1500</v>
      </c>
      <c r="K2510" s="14">
        <f>equip.xml!L2514</f>
        <v>25000</v>
      </c>
      <c r="L2510" s="14" t="str">
        <f>equip.xml!M2514</f>
        <v>106_751_751</v>
      </c>
      <c r="M2510" s="17" t="str">
        <f>equip.xml!Q2514</f>
        <v>equipment/3003.png</v>
      </c>
      <c r="N2510" s="16" t="str">
        <f>equip.xml!P2514</f>
        <v>10000_1002_45000,30000_30001_1,30000_30002_1,30000_30003_1</v>
      </c>
      <c r="O2510">
        <f>equip.xml!R2514</f>
        <v>1</v>
      </c>
    </row>
    <row r="2511" spans="1:15">
      <c r="A2511" s="14">
        <f>equip.xml!A2515</f>
        <v>50450025</v>
      </c>
      <c r="B2511" s="14">
        <f>equip.xml!B2515</f>
        <v>0</v>
      </c>
      <c r="C2511" s="14" t="str">
        <f>equip.xml!C2515</f>
        <v>洞察指环</v>
      </c>
      <c r="D2511" s="14" t="str">
        <f>equip.xml!D2515</f>
        <v>戒指</v>
      </c>
      <c r="E2511" s="14">
        <f>equip.xml!E2515</f>
        <v>2</v>
      </c>
      <c r="F2511" s="14">
        <f>equip.xml!F2515</f>
        <v>5</v>
      </c>
      <c r="G2511" s="14">
        <f>equip.xml!G2515</f>
        <v>45</v>
      </c>
      <c r="H2511" s="14">
        <f>equip.xml!H2515</f>
        <v>0</v>
      </c>
      <c r="I2511" s="14">
        <f>equip.xml!J2515</f>
        <v>150</v>
      </c>
      <c r="J2511" s="14">
        <f>equip.xml!K2515</f>
        <v>1500</v>
      </c>
      <c r="K2511" s="14">
        <f>equip.xml!L2515</f>
        <v>25000</v>
      </c>
      <c r="L2511" s="14" t="str">
        <f>equip.xml!M2515</f>
        <v>102_740_740</v>
      </c>
      <c r="M2511" s="17" t="str">
        <f>equip.xml!Q2515</f>
        <v>equipment/14001.png</v>
      </c>
      <c r="N2511" s="16" t="str">
        <f>equip.xml!P2515</f>
        <v>10000_1002_45000,30000_30001_1,30000_30002_1,30000_30003_1</v>
      </c>
      <c r="O2511">
        <f>equip.xml!R2515</f>
        <v>1</v>
      </c>
    </row>
    <row r="2512" spans="1:15">
      <c r="A2512" s="14">
        <f>equip.xml!A2516</f>
        <v>50450035</v>
      </c>
      <c r="B2512" s="14">
        <f>equip.xml!B2516</f>
        <v>0</v>
      </c>
      <c r="C2512" s="14" t="str">
        <f>equip.xml!C2516</f>
        <v>督军腰带</v>
      </c>
      <c r="D2512" s="14" t="str">
        <f>equip.xml!D2516</f>
        <v>腰带</v>
      </c>
      <c r="E2512" s="14">
        <f>equip.xml!E2516</f>
        <v>3</v>
      </c>
      <c r="F2512" s="14">
        <f>equip.xml!F2516</f>
        <v>5</v>
      </c>
      <c r="G2512" s="14">
        <f>equip.xml!G2516</f>
        <v>45</v>
      </c>
      <c r="H2512" s="14">
        <f>equip.xml!H2516</f>
        <v>0</v>
      </c>
      <c r="I2512" s="14">
        <f>equip.xml!J2516</f>
        <v>150</v>
      </c>
      <c r="J2512" s="14">
        <f>equip.xml!K2516</f>
        <v>1500</v>
      </c>
      <c r="K2512" s="14">
        <f>equip.xml!L2516</f>
        <v>25000</v>
      </c>
      <c r="L2512" s="14" t="str">
        <f>equip.xml!M2516</f>
        <v>101_8840_8840</v>
      </c>
      <c r="M2512" s="17" t="str">
        <f>equip.xml!Q2516</f>
        <v>equipment/6008.png</v>
      </c>
      <c r="N2512" s="16" t="str">
        <f>equip.xml!P2516</f>
        <v>10000_1002_45000,30000_30001_1,30000_30002_1,30000_30003_1</v>
      </c>
      <c r="O2512">
        <f>equip.xml!R2516</f>
        <v>1</v>
      </c>
    </row>
    <row r="2513" spans="1:15">
      <c r="A2513" s="14">
        <f>equip.xml!A2517</f>
        <v>50450085</v>
      </c>
      <c r="B2513" s="14">
        <f>equip.xml!B2517</f>
        <v>0</v>
      </c>
      <c r="C2513" s="14" t="str">
        <f>equip.xml!C2517</f>
        <v>浩劫长靴</v>
      </c>
      <c r="D2513" s="14" t="str">
        <f>equip.xml!D2517</f>
        <v>鞋子</v>
      </c>
      <c r="E2513" s="14">
        <f>equip.xml!E2517</f>
        <v>8</v>
      </c>
      <c r="F2513" s="14">
        <f>equip.xml!F2517</f>
        <v>5</v>
      </c>
      <c r="G2513" s="14">
        <f>equip.xml!G2517</f>
        <v>45</v>
      </c>
      <c r="H2513" s="14">
        <f>equip.xml!H2517</f>
        <v>0</v>
      </c>
      <c r="I2513" s="14">
        <f>equip.xml!J2517</f>
        <v>150</v>
      </c>
      <c r="J2513" s="14">
        <f>equip.xml!K2517</f>
        <v>1500</v>
      </c>
      <c r="K2513" s="14">
        <f>equip.xml!L2517</f>
        <v>25000</v>
      </c>
      <c r="L2513" s="14" t="str">
        <f>equip.xml!M2517</f>
        <v>110_137_137</v>
      </c>
      <c r="M2513" s="17" t="str">
        <f>equip.xml!Q2517</f>
        <v>equipment/8008.png</v>
      </c>
      <c r="N2513" s="16" t="str">
        <f>equip.xml!P2517</f>
        <v>10000_1002_45000,30000_30001_1,30000_30002_1,30000_30003_1</v>
      </c>
      <c r="O2513">
        <f>equip.xml!R2517</f>
        <v>1</v>
      </c>
    </row>
    <row r="2514" spans="1:15">
      <c r="A2514" s="14">
        <f>equip.xml!A2518</f>
        <v>50450095</v>
      </c>
      <c r="B2514" s="14">
        <f>equip.xml!B2518</f>
        <v>0</v>
      </c>
      <c r="C2514" s="14" t="str">
        <f>equip.xml!C2518</f>
        <v>愤怒护手</v>
      </c>
      <c r="D2514" s="14" t="str">
        <f>equip.xml!D2518</f>
        <v>手套</v>
      </c>
      <c r="E2514" s="14">
        <f>equip.xml!E2518</f>
        <v>9</v>
      </c>
      <c r="F2514" s="14">
        <f>equip.xml!F2518</f>
        <v>5</v>
      </c>
      <c r="G2514" s="14">
        <f>equip.xml!G2518</f>
        <v>45</v>
      </c>
      <c r="H2514" s="14">
        <f>equip.xml!H2518</f>
        <v>0</v>
      </c>
      <c r="I2514" s="14">
        <f>equip.xml!J2518</f>
        <v>150</v>
      </c>
      <c r="J2514" s="14">
        <f>equip.xml!K2518</f>
        <v>1500</v>
      </c>
      <c r="K2514" s="14">
        <f>equip.xml!L2518</f>
        <v>25000</v>
      </c>
      <c r="L2514" s="14" t="str">
        <f>equip.xml!M2518</f>
        <v>108_1255_1255</v>
      </c>
      <c r="M2514" s="17" t="str">
        <f>equip.xml!Q2518</f>
        <v>equipment/10008.png</v>
      </c>
      <c r="N2514" s="16" t="str">
        <f>equip.xml!P2518</f>
        <v>10000_1002_45000,30000_30001_1,30000_30002_1,30000_30003_1</v>
      </c>
      <c r="O2514">
        <f>equip.xml!R2518</f>
        <v>1</v>
      </c>
    </row>
    <row r="2515" spans="1:15">
      <c r="A2515" s="14">
        <f>equip.xml!A2519</f>
        <v>50450105</v>
      </c>
      <c r="B2515" s="14">
        <f>equip.xml!B2519</f>
        <v>0</v>
      </c>
      <c r="C2515" s="14" t="str">
        <f>equip.xml!C2519</f>
        <v>新月项链</v>
      </c>
      <c r="D2515" s="14" t="str">
        <f>equip.xml!D2519</f>
        <v>项链</v>
      </c>
      <c r="E2515" s="14">
        <f>equip.xml!E2519</f>
        <v>10</v>
      </c>
      <c r="F2515" s="14">
        <f>equip.xml!F2519</f>
        <v>5</v>
      </c>
      <c r="G2515" s="14">
        <f>equip.xml!G2519</f>
        <v>45</v>
      </c>
      <c r="H2515" s="14">
        <f>equip.xml!H2519</f>
        <v>0</v>
      </c>
      <c r="I2515" s="14">
        <f>equip.xml!J2519</f>
        <v>150</v>
      </c>
      <c r="J2515" s="14">
        <f>equip.xml!K2519</f>
        <v>1500</v>
      </c>
      <c r="K2515" s="14">
        <f>equip.xml!L2519</f>
        <v>25000</v>
      </c>
      <c r="L2515" s="14" t="str">
        <f>equip.xml!M2519</f>
        <v>107_751_751</v>
      </c>
      <c r="M2515" s="17" t="str">
        <f>equip.xml!Q2519</f>
        <v>equipment/12007.png</v>
      </c>
      <c r="N2515" s="16" t="str">
        <f>equip.xml!P2519</f>
        <v>10000_1002_45000,30000_30001_1,30000_30002_1,30000_30003_1</v>
      </c>
      <c r="O2515">
        <f>equip.xml!R2519</f>
        <v>1</v>
      </c>
    </row>
    <row r="2516" spans="1:15">
      <c r="A2516" s="14">
        <f>equip.xml!A2520</f>
        <v>50451055</v>
      </c>
      <c r="B2516" s="14">
        <f>equip.xml!B2520</f>
        <v>0</v>
      </c>
      <c r="C2516" s="14" t="str">
        <f>equip.xml!C2520</f>
        <v>龙纹之刃</v>
      </c>
      <c r="D2516" s="14" t="str">
        <f>equip.xml!D2520</f>
        <v>主手武器</v>
      </c>
      <c r="E2516" s="14">
        <f>equip.xml!E2520</f>
        <v>5</v>
      </c>
      <c r="F2516" s="14">
        <f>equip.xml!F2520</f>
        <v>5</v>
      </c>
      <c r="G2516" s="14">
        <f>equip.xml!G2520</f>
        <v>45</v>
      </c>
      <c r="H2516" s="14" t="str">
        <f>equip.xml!H2520</f>
        <v>1,1001</v>
      </c>
      <c r="I2516" s="14">
        <f>equip.xml!J2520</f>
        <v>150</v>
      </c>
      <c r="J2516" s="14">
        <f>equip.xml!K2520</f>
        <v>1500</v>
      </c>
      <c r="K2516" s="14">
        <f>equip.xml!L2520</f>
        <v>25000</v>
      </c>
      <c r="L2516" s="14" t="str">
        <f>equip.xml!M2520</f>
        <v>103_854_854,104_1708_1708</v>
      </c>
      <c r="M2516" s="17" t="str">
        <f>equip.xml!Q2520</f>
        <v>equipment/1117.png</v>
      </c>
      <c r="N2516" s="16" t="str">
        <f>equip.xml!P2520</f>
        <v>10000_1002_45000,30000_30001_1,30000_30002_1,30000_30003_1</v>
      </c>
      <c r="O2516">
        <f>equip.xml!R2520</f>
        <v>1</v>
      </c>
    </row>
    <row r="2517" spans="1:15">
      <c r="A2517" s="14">
        <f>equip.xml!A2521</f>
        <v>50451056</v>
      </c>
      <c r="B2517" s="14">
        <f>equip.xml!B2521</f>
        <v>0</v>
      </c>
      <c r="C2517" s="14" t="str">
        <f>equip.xml!C2521</f>
        <v>军刀</v>
      </c>
      <c r="D2517" s="14" t="str">
        <f>equip.xml!D2521</f>
        <v>主手武器</v>
      </c>
      <c r="E2517" s="14">
        <f>equip.xml!E2521</f>
        <v>5</v>
      </c>
      <c r="F2517" s="14">
        <f>equip.xml!F2521</f>
        <v>5</v>
      </c>
      <c r="G2517" s="14">
        <f>equip.xml!G2521</f>
        <v>45</v>
      </c>
      <c r="H2517" s="14" t="str">
        <f>equip.xml!H2521</f>
        <v>1,1001</v>
      </c>
      <c r="I2517" s="14">
        <f>equip.xml!J2521</f>
        <v>150</v>
      </c>
      <c r="J2517" s="14">
        <f>equip.xml!K2521</f>
        <v>1500</v>
      </c>
      <c r="K2517" s="14">
        <f>equip.xml!L2521</f>
        <v>27500</v>
      </c>
      <c r="L2517" s="14" t="str">
        <f>equip.xml!M2521</f>
        <v>103_951_951,104_1902_1902</v>
      </c>
      <c r="M2517" s="17" t="str">
        <f>equip.xml!Q2521</f>
        <v>equipment/1101.png</v>
      </c>
      <c r="N2517" s="16" t="str">
        <f>equip.xml!P2521</f>
        <v>10000_1002_45000,30000_30001_1,30000_30002_1,30000_30003_1</v>
      </c>
      <c r="O2517">
        <f>equip.xml!R2521</f>
        <v>1</v>
      </c>
    </row>
    <row r="2518" spans="1:15">
      <c r="A2518" s="14">
        <f>equip.xml!A2522</f>
        <v>50451065</v>
      </c>
      <c r="B2518" s="14">
        <f>equip.xml!B2522</f>
        <v>0</v>
      </c>
      <c r="C2518" s="14" t="str">
        <f>equip.xml!C2522</f>
        <v>正义壁垒</v>
      </c>
      <c r="D2518" s="14" t="str">
        <f>equip.xml!D2522</f>
        <v>副手武器</v>
      </c>
      <c r="E2518" s="14">
        <f>equip.xml!E2522</f>
        <v>6</v>
      </c>
      <c r="F2518" s="14">
        <f>equip.xml!F2522</f>
        <v>5</v>
      </c>
      <c r="G2518" s="14">
        <f>equip.xml!G2522</f>
        <v>45</v>
      </c>
      <c r="H2518" s="14" t="str">
        <f>equip.xml!H2522</f>
        <v>1,1001</v>
      </c>
      <c r="I2518" s="14">
        <f>equip.xml!J2522</f>
        <v>150</v>
      </c>
      <c r="J2518" s="14">
        <f>equip.xml!K2522</f>
        <v>1500</v>
      </c>
      <c r="K2518" s="14">
        <f>equip.xml!L2522</f>
        <v>25000</v>
      </c>
      <c r="L2518" s="14" t="str">
        <f>equip.xml!M2522</f>
        <v>105_1253_1253</v>
      </c>
      <c r="M2518" s="17" t="str">
        <f>equip.xml!Q2522</f>
        <v>equipment/2110.png</v>
      </c>
      <c r="N2518" s="16" t="str">
        <f>equip.xml!P2522</f>
        <v>10000_1002_45000,30000_30001_1,30000_30002_1,30000_30003_1</v>
      </c>
      <c r="O2518">
        <f>equip.xml!R2522</f>
        <v>1</v>
      </c>
    </row>
    <row r="2519" spans="1:15">
      <c r="A2519" s="14">
        <f>equip.xml!A2523</f>
        <v>50451066</v>
      </c>
      <c r="B2519" s="14">
        <f>equip.xml!B2523</f>
        <v>0</v>
      </c>
      <c r="C2519" s="14" t="str">
        <f>equip.xml!C2523</f>
        <v>尖头盾</v>
      </c>
      <c r="D2519" s="14" t="str">
        <f>equip.xml!D2523</f>
        <v>副手武器</v>
      </c>
      <c r="E2519" s="14">
        <f>equip.xml!E2523</f>
        <v>6</v>
      </c>
      <c r="F2519" s="14">
        <f>equip.xml!F2523</f>
        <v>5</v>
      </c>
      <c r="G2519" s="14">
        <f>equip.xml!G2523</f>
        <v>45</v>
      </c>
      <c r="H2519" s="14" t="str">
        <f>equip.xml!H2523</f>
        <v>1,1001</v>
      </c>
      <c r="I2519" s="14">
        <f>equip.xml!J2523</f>
        <v>150</v>
      </c>
      <c r="J2519" s="14">
        <f>equip.xml!K2523</f>
        <v>1500</v>
      </c>
      <c r="K2519" s="14">
        <f>equip.xml!L2523</f>
        <v>27500</v>
      </c>
      <c r="L2519" s="14" t="str">
        <f>equip.xml!M2523</f>
        <v>105_1312_1312</v>
      </c>
      <c r="M2519" s="17" t="str">
        <f>equip.xml!Q2523</f>
        <v>equipment/2101.png</v>
      </c>
      <c r="N2519" s="16" t="str">
        <f>equip.xml!P2523</f>
        <v>10000_1002_45000,30000_30001_1,30000_30002_1,30000_30003_1</v>
      </c>
      <c r="O2519">
        <f>equip.xml!R2523</f>
        <v>1</v>
      </c>
    </row>
    <row r="2520" spans="1:15">
      <c r="A2520" s="14">
        <f>equip.xml!A2524</f>
        <v>50452055</v>
      </c>
      <c r="B2520" s="14">
        <f>equip.xml!B2524</f>
        <v>0</v>
      </c>
      <c r="C2520" s="14" t="str">
        <f>equip.xml!C2524</f>
        <v>霜语长弓</v>
      </c>
      <c r="D2520" s="14" t="str">
        <f>equip.xml!D2524</f>
        <v>主手武器</v>
      </c>
      <c r="E2520" s="14">
        <f>equip.xml!E2524</f>
        <v>5</v>
      </c>
      <c r="F2520" s="14">
        <f>equip.xml!F2524</f>
        <v>5</v>
      </c>
      <c r="G2520" s="14">
        <f>equip.xml!G2524</f>
        <v>45</v>
      </c>
      <c r="H2520" s="14" t="str">
        <f>equip.xml!H2524</f>
        <v>2,1002</v>
      </c>
      <c r="I2520" s="14">
        <f>equip.xml!J2524</f>
        <v>150</v>
      </c>
      <c r="J2520" s="14">
        <f>equip.xml!K2524</f>
        <v>1500</v>
      </c>
      <c r="K2520" s="14">
        <f>equip.xml!L2524</f>
        <v>25000</v>
      </c>
      <c r="L2520" s="14" t="str">
        <f>equip.xml!M2524</f>
        <v>103_854_854,104_1708_1708</v>
      </c>
      <c r="M2520" s="17" t="str">
        <f>equip.xml!Q2524</f>
        <v>equipment/1217.png</v>
      </c>
      <c r="N2520" s="16" t="str">
        <f>equip.xml!P2524</f>
        <v>10000_1002_45000,30000_30001_1,30000_30002_1,30000_30003_1</v>
      </c>
      <c r="O2520">
        <f>equip.xml!R2524</f>
        <v>1</v>
      </c>
    </row>
    <row r="2521" spans="1:15">
      <c r="A2521" s="14">
        <f>equip.xml!A2525</f>
        <v>50452056</v>
      </c>
      <c r="B2521" s="14">
        <f>equip.xml!B2525</f>
        <v>0</v>
      </c>
      <c r="C2521" s="14" t="str">
        <f>equip.xml!C2525</f>
        <v>棘木弓</v>
      </c>
      <c r="D2521" s="14" t="str">
        <f>equip.xml!D2525</f>
        <v>主手武器</v>
      </c>
      <c r="E2521" s="14">
        <f>equip.xml!E2525</f>
        <v>5</v>
      </c>
      <c r="F2521" s="14">
        <f>equip.xml!F2525</f>
        <v>5</v>
      </c>
      <c r="G2521" s="14">
        <f>equip.xml!G2525</f>
        <v>45</v>
      </c>
      <c r="H2521" s="14" t="str">
        <f>equip.xml!H2525</f>
        <v>2,1002</v>
      </c>
      <c r="I2521" s="14">
        <f>equip.xml!J2525</f>
        <v>150</v>
      </c>
      <c r="J2521" s="14">
        <f>equip.xml!K2525</f>
        <v>1500</v>
      </c>
      <c r="K2521" s="14">
        <f>equip.xml!L2525</f>
        <v>27500</v>
      </c>
      <c r="L2521" s="14" t="str">
        <f>equip.xml!M2525</f>
        <v>103_951_951,104_1902_1902</v>
      </c>
      <c r="M2521" s="17" t="str">
        <f>equip.xml!Q2525</f>
        <v>equipment/1201.png</v>
      </c>
      <c r="N2521" s="16" t="str">
        <f>equip.xml!P2525</f>
        <v>10000_1002_45000,30000_30001_1,30000_30002_1,30000_30003_1</v>
      </c>
      <c r="O2521">
        <f>equip.xml!R2525</f>
        <v>1</v>
      </c>
    </row>
    <row r="2522" spans="1:15">
      <c r="A2522" s="14">
        <f>equip.xml!A2526</f>
        <v>50452065</v>
      </c>
      <c r="B2522" s="14">
        <f>equip.xml!B2526</f>
        <v>0</v>
      </c>
      <c r="C2522" s="14" t="str">
        <f>equip.xml!C2526</f>
        <v>月沐箭筒</v>
      </c>
      <c r="D2522" s="14" t="str">
        <f>equip.xml!D2526</f>
        <v>副手武器</v>
      </c>
      <c r="E2522" s="14">
        <f>equip.xml!E2526</f>
        <v>6</v>
      </c>
      <c r="F2522" s="14">
        <f>equip.xml!F2526</f>
        <v>5</v>
      </c>
      <c r="G2522" s="14">
        <f>equip.xml!G2526</f>
        <v>45</v>
      </c>
      <c r="H2522" s="14" t="str">
        <f>equip.xml!H2526</f>
        <v>2,1002</v>
      </c>
      <c r="I2522" s="14">
        <f>equip.xml!J2526</f>
        <v>150</v>
      </c>
      <c r="J2522" s="14">
        <f>equip.xml!K2526</f>
        <v>1500</v>
      </c>
      <c r="K2522" s="14">
        <f>equip.xml!L2526</f>
        <v>25000</v>
      </c>
      <c r="L2522" s="14" t="str">
        <f>equip.xml!M2526</f>
        <v>108_1253_1253</v>
      </c>
      <c r="M2522" s="17" t="str">
        <f>equip.xml!Q2526</f>
        <v>equipment/2211.png</v>
      </c>
      <c r="N2522" s="16" t="str">
        <f>equip.xml!P2526</f>
        <v>10000_1002_45000,30000_30001_1,30000_30002_1,30000_30003_1</v>
      </c>
      <c r="O2522">
        <f>equip.xml!R2526</f>
        <v>1</v>
      </c>
    </row>
    <row r="2523" spans="1:15">
      <c r="A2523" s="14">
        <f>equip.xml!A2527</f>
        <v>50452066</v>
      </c>
      <c r="B2523" s="14">
        <f>equip.xml!B2527</f>
        <v>0</v>
      </c>
      <c r="C2523" s="14" t="str">
        <f>equip.xml!C2527</f>
        <v>箭筒</v>
      </c>
      <c r="D2523" s="14" t="str">
        <f>equip.xml!D2527</f>
        <v>副手武器</v>
      </c>
      <c r="E2523" s="14">
        <f>equip.xml!E2527</f>
        <v>6</v>
      </c>
      <c r="F2523" s="14">
        <f>equip.xml!F2527</f>
        <v>5</v>
      </c>
      <c r="G2523" s="14">
        <f>equip.xml!G2527</f>
        <v>45</v>
      </c>
      <c r="H2523" s="14" t="str">
        <f>equip.xml!H2527</f>
        <v>2,1002</v>
      </c>
      <c r="I2523" s="14">
        <f>equip.xml!J2527</f>
        <v>150</v>
      </c>
      <c r="J2523" s="14">
        <f>equip.xml!K2527</f>
        <v>1500</v>
      </c>
      <c r="K2523" s="14">
        <f>equip.xml!L2527</f>
        <v>27500</v>
      </c>
      <c r="L2523" s="14" t="str">
        <f>equip.xml!M2527</f>
        <v>108_1312_1312</v>
      </c>
      <c r="M2523" s="17" t="str">
        <f>equip.xml!Q2527</f>
        <v>equipment/2201.png</v>
      </c>
      <c r="N2523" s="16" t="str">
        <f>equip.xml!P2527</f>
        <v>10000_1002_45000,30000_30001_1,30000_30002_1,30000_30003_1</v>
      </c>
      <c r="O2523">
        <f>equip.xml!R2527</f>
        <v>1</v>
      </c>
    </row>
    <row r="2524" spans="1:15">
      <c r="A2524" s="14">
        <f>equip.xml!A2528</f>
        <v>50453055</v>
      </c>
      <c r="B2524" s="14">
        <f>equip.xml!B2528</f>
        <v>0</v>
      </c>
      <c r="C2524" s="14" t="str">
        <f>equip.xml!C2528</f>
        <v>皇权之杖</v>
      </c>
      <c r="D2524" s="14" t="str">
        <f>equip.xml!D2528</f>
        <v>主手武器</v>
      </c>
      <c r="E2524" s="14">
        <f>equip.xml!E2528</f>
        <v>5</v>
      </c>
      <c r="F2524" s="14">
        <f>equip.xml!F2528</f>
        <v>5</v>
      </c>
      <c r="G2524" s="14">
        <f>equip.xml!G2528</f>
        <v>45</v>
      </c>
      <c r="H2524" s="14" t="str">
        <f>equip.xml!H2528</f>
        <v>3,1003</v>
      </c>
      <c r="I2524" s="14">
        <f>equip.xml!J2528</f>
        <v>150</v>
      </c>
      <c r="J2524" s="14">
        <f>equip.xml!K2528</f>
        <v>1500</v>
      </c>
      <c r="K2524" s="14">
        <f>equip.xml!L2528</f>
        <v>25000</v>
      </c>
      <c r="L2524" s="14" t="str">
        <f>equip.xml!M2528</f>
        <v>103_854_854,104_1708_1708</v>
      </c>
      <c r="M2524" s="17" t="str">
        <f>equip.xml!Q2528</f>
        <v>equipment/1316.png</v>
      </c>
      <c r="N2524" s="16" t="str">
        <f>equip.xml!P2528</f>
        <v>10000_1002_45000,30000_30001_1,30000_30002_1,30000_30003_1</v>
      </c>
      <c r="O2524">
        <f>equip.xml!R2528</f>
        <v>1</v>
      </c>
    </row>
    <row r="2525" spans="1:15">
      <c r="A2525" s="14">
        <f>equip.xml!A2529</f>
        <v>50453056</v>
      </c>
      <c r="B2525" s="14">
        <f>equip.xml!B2529</f>
        <v>0</v>
      </c>
      <c r="C2525" s="14" t="str">
        <f>equip.xml!C2529</f>
        <v>圣晶权杖</v>
      </c>
      <c r="D2525" s="14" t="str">
        <f>equip.xml!D2529</f>
        <v>主手武器</v>
      </c>
      <c r="E2525" s="14">
        <f>equip.xml!E2529</f>
        <v>5</v>
      </c>
      <c r="F2525" s="14">
        <f>equip.xml!F2529</f>
        <v>5</v>
      </c>
      <c r="G2525" s="14">
        <f>equip.xml!G2529</f>
        <v>45</v>
      </c>
      <c r="H2525" s="14" t="str">
        <f>equip.xml!H2529</f>
        <v>3,1003</v>
      </c>
      <c r="I2525" s="14">
        <f>equip.xml!J2529</f>
        <v>150</v>
      </c>
      <c r="J2525" s="14">
        <f>equip.xml!K2529</f>
        <v>1500</v>
      </c>
      <c r="K2525" s="14">
        <f>equip.xml!L2529</f>
        <v>27500</v>
      </c>
      <c r="L2525" s="14" t="str">
        <f>equip.xml!M2529</f>
        <v>103_951_951,104_1902_1902</v>
      </c>
      <c r="M2525" s="17" t="str">
        <f>equip.xml!Q2529</f>
        <v>equipment/1318.png</v>
      </c>
      <c r="N2525" s="16" t="str">
        <f>equip.xml!P2529</f>
        <v>10000_1002_45000,30000_30001_1,30000_30002_1,30000_30003_1</v>
      </c>
      <c r="O2525">
        <f>equip.xml!R2529</f>
        <v>1</v>
      </c>
    </row>
    <row r="2526" spans="1:15">
      <c r="A2526" s="14">
        <f>equip.xml!A2530</f>
        <v>50453065</v>
      </c>
      <c r="B2526" s="14">
        <f>equip.xml!B2530</f>
        <v>0</v>
      </c>
      <c r="C2526" s="14" t="str">
        <f>equip.xml!C2530</f>
        <v>占卜魔典</v>
      </c>
      <c r="D2526" s="14" t="str">
        <f>equip.xml!D2530</f>
        <v>副手武器</v>
      </c>
      <c r="E2526" s="14">
        <f>equip.xml!E2530</f>
        <v>6</v>
      </c>
      <c r="F2526" s="14">
        <f>equip.xml!F2530</f>
        <v>5</v>
      </c>
      <c r="G2526" s="14">
        <f>equip.xml!G2530</f>
        <v>45</v>
      </c>
      <c r="H2526" s="14" t="str">
        <f>equip.xml!H2530</f>
        <v>3,1003</v>
      </c>
      <c r="I2526" s="14">
        <f>equip.xml!J2530</f>
        <v>150</v>
      </c>
      <c r="J2526" s="14">
        <f>equip.xml!K2530</f>
        <v>1500</v>
      </c>
      <c r="K2526" s="14">
        <f>equip.xml!L2530</f>
        <v>25000</v>
      </c>
      <c r="L2526" s="14" t="str">
        <f>equip.xml!M2530</f>
        <v>102_1320_1320</v>
      </c>
      <c r="M2526" s="17" t="str">
        <f>equip.xml!Q2530</f>
        <v>equipment/2310.png</v>
      </c>
      <c r="N2526" s="16" t="str">
        <f>equip.xml!P2530</f>
        <v>10000_1002_45000,30000_30001_1,30000_30002_1,30000_30003_1</v>
      </c>
      <c r="O2526">
        <f>equip.xml!R2530</f>
        <v>1</v>
      </c>
    </row>
    <row r="2527" spans="1:15">
      <c r="A2527" s="14">
        <f>equip.xml!A2531</f>
        <v>50453066</v>
      </c>
      <c r="B2527" s="14">
        <f>equip.xml!B2531</f>
        <v>0</v>
      </c>
      <c r="C2527" s="14" t="str">
        <f>equip.xml!C2531</f>
        <v>法术指南</v>
      </c>
      <c r="D2527" s="14" t="str">
        <f>equip.xml!D2531</f>
        <v>副手武器</v>
      </c>
      <c r="E2527" s="14">
        <f>equip.xml!E2531</f>
        <v>6</v>
      </c>
      <c r="F2527" s="14">
        <f>equip.xml!F2531</f>
        <v>5</v>
      </c>
      <c r="G2527" s="14">
        <f>equip.xml!G2531</f>
        <v>45</v>
      </c>
      <c r="H2527" s="14" t="str">
        <f>equip.xml!H2531</f>
        <v>3,1003</v>
      </c>
      <c r="I2527" s="14">
        <f>equip.xml!J2531</f>
        <v>150</v>
      </c>
      <c r="J2527" s="14">
        <f>equip.xml!K2531</f>
        <v>1500</v>
      </c>
      <c r="K2527" s="14">
        <f>equip.xml!L2531</f>
        <v>27500</v>
      </c>
      <c r="L2527" s="14" t="str">
        <f>equip.xml!M2531</f>
        <v>102_1312_1312</v>
      </c>
      <c r="M2527" s="17" t="str">
        <f>equip.xml!Q2531</f>
        <v>equipment/2301.png</v>
      </c>
      <c r="N2527" s="16" t="str">
        <f>equip.xml!P2531</f>
        <v>10000_1002_45000,30000_30001_1,30000_30002_1,30000_30003_1</v>
      </c>
      <c r="O2527">
        <f>equip.xml!R2531</f>
        <v>1</v>
      </c>
    </row>
    <row r="2528" spans="1:15">
      <c r="A2528" s="14">
        <f>equip.xml!A2532</f>
        <v>50450045</v>
      </c>
      <c r="B2528" s="14">
        <f>equip.xml!B2532</f>
        <v>0</v>
      </c>
      <c r="C2528" s="14" t="str">
        <f>equip.xml!C2532</f>
        <v>执政官胸甲</v>
      </c>
      <c r="D2528" s="14" t="str">
        <f>equip.xml!D2532</f>
        <v>胸甲</v>
      </c>
      <c r="E2528" s="14">
        <f>equip.xml!E2532</f>
        <v>4</v>
      </c>
      <c r="F2528" s="14">
        <f>equip.xml!F2532</f>
        <v>5</v>
      </c>
      <c r="G2528" s="14">
        <f>equip.xml!G2532</f>
        <v>45</v>
      </c>
      <c r="H2528" s="14">
        <f>equip.xml!H2532</f>
        <v>0</v>
      </c>
      <c r="I2528" s="14">
        <f>equip.xml!J2532</f>
        <v>150</v>
      </c>
      <c r="J2528" s="14">
        <f>equip.xml!K2532</f>
        <v>1500</v>
      </c>
      <c r="K2528" s="14">
        <f>equip.xml!L2532</f>
        <v>25000</v>
      </c>
      <c r="L2528" s="14" t="str">
        <f>equip.xml!M2532</f>
        <v>105_628_628</v>
      </c>
      <c r="M2528" s="17" t="str">
        <f>equip.xml!Q2532</f>
        <v>equipment/5013.png</v>
      </c>
      <c r="N2528" s="16" t="str">
        <f>equip.xml!P2532</f>
        <v>10000_1002_45000,30000_30001_1,30000_30002_1,30000_30003_1</v>
      </c>
      <c r="O2528">
        <f>equip.xml!R2532</f>
        <v>1</v>
      </c>
    </row>
    <row r="2529" spans="1:15">
      <c r="A2529" s="14">
        <f>equip.xml!A2533</f>
        <v>50450046</v>
      </c>
      <c r="B2529" s="14">
        <f>equip.xml!B2533</f>
        <v>0</v>
      </c>
      <c r="C2529" s="14" t="str">
        <f>equip.xml!C2533</f>
        <v>军团胸甲</v>
      </c>
      <c r="D2529" s="14" t="str">
        <f>equip.xml!D2533</f>
        <v>胸甲</v>
      </c>
      <c r="E2529" s="14">
        <f>equip.xml!E2533</f>
        <v>4</v>
      </c>
      <c r="F2529" s="14">
        <f>equip.xml!F2533</f>
        <v>5</v>
      </c>
      <c r="G2529" s="14">
        <f>equip.xml!G2533</f>
        <v>45</v>
      </c>
      <c r="H2529" s="14">
        <f>equip.xml!H2533</f>
        <v>0</v>
      </c>
      <c r="I2529" s="14">
        <f>equip.xml!J2533</f>
        <v>150</v>
      </c>
      <c r="J2529" s="14">
        <f>equip.xml!K2533</f>
        <v>1500</v>
      </c>
      <c r="K2529" s="14">
        <f>equip.xml!L2533</f>
        <v>27500</v>
      </c>
      <c r="L2529" s="14" t="str">
        <f>equip.xml!M2533</f>
        <v>105_689_689</v>
      </c>
      <c r="M2529" s="17" t="str">
        <f>equip.xml!Q2533</f>
        <v>equipment/5014.png</v>
      </c>
      <c r="N2529" s="16" t="str">
        <f>equip.xml!P2533</f>
        <v>10000_1002_45000,30000_30001_1,30000_30002_1,30000_30003_1</v>
      </c>
      <c r="O2529">
        <f>equip.xml!R2533</f>
        <v>1</v>
      </c>
    </row>
    <row r="2530" spans="1:15">
      <c r="A2530" s="14">
        <f>equip.xml!A2534</f>
        <v>50450075</v>
      </c>
      <c r="B2530" s="14">
        <f>equip.xml!B2534</f>
        <v>0</v>
      </c>
      <c r="C2530" s="14" t="str">
        <f>equip.xml!C2534</f>
        <v>冰铸腿铠</v>
      </c>
      <c r="D2530" s="14" t="str">
        <f>equip.xml!D2534</f>
        <v>护腿</v>
      </c>
      <c r="E2530" s="14">
        <f>equip.xml!E2534</f>
        <v>7</v>
      </c>
      <c r="F2530" s="14">
        <f>equip.xml!F2534</f>
        <v>5</v>
      </c>
      <c r="G2530" s="14">
        <f>equip.xml!G2534</f>
        <v>45</v>
      </c>
      <c r="H2530" s="14">
        <f>equip.xml!H2534</f>
        <v>0</v>
      </c>
      <c r="I2530" s="14">
        <f>equip.xml!J2534</f>
        <v>150</v>
      </c>
      <c r="J2530" s="14">
        <f>equip.xml!K2534</f>
        <v>1500</v>
      </c>
      <c r="K2530" s="14">
        <f>equip.xml!L2534</f>
        <v>25000</v>
      </c>
      <c r="L2530" s="14" t="str">
        <f>equip.xml!M2534</f>
        <v>105_497_497</v>
      </c>
      <c r="M2530" s="17" t="str">
        <f>equip.xml!Q2534</f>
        <v>equipment/7011.png</v>
      </c>
      <c r="N2530" s="16" t="str">
        <f>equip.xml!P2534</f>
        <v>10000_1002_45000,30000_30001_1,30000_30002_1,30000_30003_1</v>
      </c>
      <c r="O2530">
        <f>equip.xml!R2534</f>
        <v>1</v>
      </c>
    </row>
    <row r="2531" spans="1:15">
      <c r="A2531" s="14">
        <f>equip.xml!A2535</f>
        <v>50450076</v>
      </c>
      <c r="B2531" s="14">
        <f>equip.xml!B2535</f>
        <v>0</v>
      </c>
      <c r="C2531" s="14" t="str">
        <f>equip.xml!C2535</f>
        <v>织灵护腿</v>
      </c>
      <c r="D2531" s="14" t="str">
        <f>equip.xml!D2535</f>
        <v>护腿</v>
      </c>
      <c r="E2531" s="14">
        <f>equip.xml!E2535</f>
        <v>7</v>
      </c>
      <c r="F2531" s="14">
        <f>equip.xml!F2535</f>
        <v>5</v>
      </c>
      <c r="G2531" s="14">
        <f>equip.xml!G2535</f>
        <v>45</v>
      </c>
      <c r="H2531" s="14">
        <f>equip.xml!H2535</f>
        <v>0</v>
      </c>
      <c r="I2531" s="14">
        <f>equip.xml!J2535</f>
        <v>150</v>
      </c>
      <c r="J2531" s="14">
        <f>equip.xml!K2535</f>
        <v>1500</v>
      </c>
      <c r="K2531" s="14">
        <f>equip.xml!L2535</f>
        <v>27500</v>
      </c>
      <c r="L2531" s="14" t="str">
        <f>equip.xml!M2535</f>
        <v>105_549_549</v>
      </c>
      <c r="M2531" s="17" t="str">
        <f>equip.xml!Q2535</f>
        <v>equipment/7010.png</v>
      </c>
      <c r="N2531" s="16" t="str">
        <f>equip.xml!P2535</f>
        <v>10000_1002_45000,30000_30001_1,30000_30002_1,30000_30003_1</v>
      </c>
      <c r="O2531">
        <f>equip.xml!R2535</f>
        <v>1</v>
      </c>
    </row>
    <row r="2532" spans="1:15">
      <c r="A2532" s="14">
        <f>equip.xml!A2536</f>
        <v>50500015</v>
      </c>
      <c r="B2532" s="14">
        <f>equip.xml!B2536</f>
        <v>0</v>
      </c>
      <c r="C2532" s="14" t="str">
        <f>equip.xml!C2536</f>
        <v>战痕头盔</v>
      </c>
      <c r="D2532" s="14" t="str">
        <f>equip.xml!D2536</f>
        <v>头盔</v>
      </c>
      <c r="E2532" s="14">
        <f>equip.xml!E2536</f>
        <v>1</v>
      </c>
      <c r="F2532" s="14">
        <f>equip.xml!F2536</f>
        <v>5</v>
      </c>
      <c r="G2532" s="14">
        <f>equip.xml!G2536</f>
        <v>50</v>
      </c>
      <c r="H2532" s="14">
        <f>equip.xml!H2536</f>
        <v>0</v>
      </c>
      <c r="I2532" s="14">
        <f>equip.xml!J2536</f>
        <v>150</v>
      </c>
      <c r="J2532" s="14">
        <f>equip.xml!K2536</f>
        <v>1500</v>
      </c>
      <c r="K2532" s="14">
        <f>equip.xml!L2536</f>
        <v>27500</v>
      </c>
      <c r="L2532" s="14" t="str">
        <f>equip.xml!M2536</f>
        <v>106_1000_1000</v>
      </c>
      <c r="M2532" s="17" t="str">
        <f>equip.xml!Q2536</f>
        <v>equipment/3008.png</v>
      </c>
      <c r="N2532" s="16" t="str">
        <f>equip.xml!P2536</f>
        <v>10000_1002_50000,30000_30001_1,30000_30002_1,30000_30003_1</v>
      </c>
      <c r="O2532">
        <f>equip.xml!R2536</f>
        <v>1</v>
      </c>
    </row>
    <row r="2533" spans="1:15">
      <c r="A2533" s="14">
        <f>equip.xml!A2537</f>
        <v>50500025</v>
      </c>
      <c r="B2533" s="14">
        <f>equip.xml!B2537</f>
        <v>0</v>
      </c>
      <c r="C2533" s="14" t="str">
        <f>equip.xml!C2537</f>
        <v>灵风之戒</v>
      </c>
      <c r="D2533" s="14" t="str">
        <f>equip.xml!D2537</f>
        <v>戒指</v>
      </c>
      <c r="E2533" s="14">
        <f>equip.xml!E2537</f>
        <v>2</v>
      </c>
      <c r="F2533" s="14">
        <f>equip.xml!F2537</f>
        <v>5</v>
      </c>
      <c r="G2533" s="14">
        <f>equip.xml!G2537</f>
        <v>50</v>
      </c>
      <c r="H2533" s="14">
        <f>equip.xml!H2537</f>
        <v>0</v>
      </c>
      <c r="I2533" s="14">
        <f>equip.xml!J2537</f>
        <v>150</v>
      </c>
      <c r="J2533" s="14">
        <f>equip.xml!K2537</f>
        <v>1500</v>
      </c>
      <c r="K2533" s="14">
        <f>equip.xml!L2537</f>
        <v>27500</v>
      </c>
      <c r="L2533" s="14" t="str">
        <f>equip.xml!M2537</f>
        <v>102_975_975</v>
      </c>
      <c r="M2533" s="17" t="str">
        <f>equip.xml!Q2537</f>
        <v>equipment/14008.png</v>
      </c>
      <c r="N2533" s="16" t="str">
        <f>equip.xml!P2537</f>
        <v>10000_1002_50000,30000_30001_1,30000_30002_1,30000_30003_1</v>
      </c>
      <c r="O2533">
        <f>equip.xml!R2537</f>
        <v>1</v>
      </c>
    </row>
    <row r="2534" spans="1:15">
      <c r="A2534" s="14">
        <f>equip.xml!A2538</f>
        <v>50500035</v>
      </c>
      <c r="B2534" s="14">
        <f>equip.xml!B2538</f>
        <v>0</v>
      </c>
      <c r="C2534" s="14" t="str">
        <f>equip.xml!C2538</f>
        <v>生命腰带</v>
      </c>
      <c r="D2534" s="14" t="str">
        <f>equip.xml!D2538</f>
        <v>腰带</v>
      </c>
      <c r="E2534" s="14">
        <f>equip.xml!E2538</f>
        <v>3</v>
      </c>
      <c r="F2534" s="14">
        <f>equip.xml!F2538</f>
        <v>5</v>
      </c>
      <c r="G2534" s="14">
        <f>equip.xml!G2538</f>
        <v>50</v>
      </c>
      <c r="H2534" s="14">
        <f>equip.xml!H2538</f>
        <v>0</v>
      </c>
      <c r="I2534" s="14">
        <f>equip.xml!J2538</f>
        <v>150</v>
      </c>
      <c r="J2534" s="14">
        <f>equip.xml!K2538</f>
        <v>1500</v>
      </c>
      <c r="K2534" s="14">
        <f>equip.xml!L2538</f>
        <v>27500</v>
      </c>
      <c r="L2534" s="14" t="str">
        <f>equip.xml!M2538</f>
        <v>101_11560_11560</v>
      </c>
      <c r="M2534" s="17" t="str">
        <f>equip.xml!Q2538</f>
        <v>equipment/6009.png</v>
      </c>
      <c r="N2534" s="16" t="str">
        <f>equip.xml!P2538</f>
        <v>10000_1002_50000,30000_30001_1,30000_30002_1,30000_30003_1</v>
      </c>
      <c r="O2534">
        <f>equip.xml!R2538</f>
        <v>1</v>
      </c>
    </row>
    <row r="2535" spans="1:15">
      <c r="A2535" s="14">
        <f>equip.xml!A2539</f>
        <v>50500085</v>
      </c>
      <c r="B2535" s="14">
        <f>equip.xml!B2539</f>
        <v>0</v>
      </c>
      <c r="C2535" s="14" t="str">
        <f>equip.xml!C2539</f>
        <v>龙鳞护胫</v>
      </c>
      <c r="D2535" s="14" t="str">
        <f>equip.xml!D2539</f>
        <v>鞋子</v>
      </c>
      <c r="E2535" s="14">
        <f>equip.xml!E2539</f>
        <v>8</v>
      </c>
      <c r="F2535" s="14">
        <f>equip.xml!F2539</f>
        <v>5</v>
      </c>
      <c r="G2535" s="14">
        <f>equip.xml!G2539</f>
        <v>50</v>
      </c>
      <c r="H2535" s="14">
        <f>equip.xml!H2539</f>
        <v>0</v>
      </c>
      <c r="I2535" s="14">
        <f>equip.xml!J2539</f>
        <v>150</v>
      </c>
      <c r="J2535" s="14">
        <f>equip.xml!K2539</f>
        <v>1500</v>
      </c>
      <c r="K2535" s="14">
        <f>equip.xml!L2539</f>
        <v>27500</v>
      </c>
      <c r="L2535" s="14" t="str">
        <f>equip.xml!M2539</f>
        <v>110_172_172</v>
      </c>
      <c r="M2535" s="17" t="str">
        <f>equip.xml!Q2539</f>
        <v>equipment/8004.png</v>
      </c>
      <c r="N2535" s="16" t="str">
        <f>equip.xml!P2539</f>
        <v>10000_1002_50000,30000_30001_1,30000_30002_1,30000_30003_1</v>
      </c>
      <c r="O2535">
        <f>equip.xml!R2539</f>
        <v>1</v>
      </c>
    </row>
    <row r="2536" spans="1:15">
      <c r="A2536" s="14">
        <f>equip.xml!A2540</f>
        <v>50500095</v>
      </c>
      <c r="B2536" s="14">
        <f>equip.xml!B2540</f>
        <v>0</v>
      </c>
      <c r="C2536" s="14" t="str">
        <f>equip.xml!C2540</f>
        <v>血拳手套</v>
      </c>
      <c r="D2536" s="14" t="str">
        <f>equip.xml!D2540</f>
        <v>手套</v>
      </c>
      <c r="E2536" s="14">
        <f>equip.xml!E2540</f>
        <v>9</v>
      </c>
      <c r="F2536" s="14">
        <f>equip.xml!F2540</f>
        <v>5</v>
      </c>
      <c r="G2536" s="14">
        <f>equip.xml!G2540</f>
        <v>50</v>
      </c>
      <c r="H2536" s="14">
        <f>equip.xml!H2540</f>
        <v>0</v>
      </c>
      <c r="I2536" s="14">
        <f>equip.xml!J2540</f>
        <v>150</v>
      </c>
      <c r="J2536" s="14">
        <f>equip.xml!K2540</f>
        <v>1500</v>
      </c>
      <c r="K2536" s="14">
        <f>equip.xml!L2540</f>
        <v>27500</v>
      </c>
      <c r="L2536" s="14" t="str">
        <f>equip.xml!M2540</f>
        <v>108_1726_1726</v>
      </c>
      <c r="M2536" s="17" t="str">
        <f>equip.xml!Q2540</f>
        <v>equipment/10009.png</v>
      </c>
      <c r="N2536" s="16" t="str">
        <f>equip.xml!P2540</f>
        <v>10000_1002_50000,30000_30001_1,30000_30002_1,30000_30003_1</v>
      </c>
      <c r="O2536">
        <f>equip.xml!R2540</f>
        <v>1</v>
      </c>
    </row>
    <row r="2537" spans="1:15">
      <c r="A2537" s="14">
        <f>equip.xml!A2541</f>
        <v>50500105</v>
      </c>
      <c r="B2537" s="14">
        <f>equip.xml!B2541</f>
        <v>0</v>
      </c>
      <c r="C2537" s="14" t="str">
        <f>equip.xml!C2541</f>
        <v>誓言护坠</v>
      </c>
      <c r="D2537" s="14" t="str">
        <f>equip.xml!D2541</f>
        <v>项链</v>
      </c>
      <c r="E2537" s="14">
        <f>equip.xml!E2541</f>
        <v>10</v>
      </c>
      <c r="F2537" s="14">
        <f>equip.xml!F2541</f>
        <v>5</v>
      </c>
      <c r="G2537" s="14">
        <f>equip.xml!G2541</f>
        <v>50</v>
      </c>
      <c r="H2537" s="14">
        <f>equip.xml!H2541</f>
        <v>0</v>
      </c>
      <c r="I2537" s="14">
        <f>equip.xml!J2541</f>
        <v>150</v>
      </c>
      <c r="J2537" s="14">
        <f>equip.xml!K2541</f>
        <v>1500</v>
      </c>
      <c r="K2537" s="14">
        <f>equip.xml!L2541</f>
        <v>27500</v>
      </c>
      <c r="L2537" s="14" t="str">
        <f>equip.xml!M2541</f>
        <v>107_1000_1000</v>
      </c>
      <c r="M2537" s="17" t="str">
        <f>equip.xml!Q2541</f>
        <v>equipment/12008.png</v>
      </c>
      <c r="N2537" s="16" t="str">
        <f>equip.xml!P2541</f>
        <v>10000_1002_50000,30000_30001_1,30000_30002_1,30000_30003_1</v>
      </c>
      <c r="O2537">
        <f>equip.xml!R2541</f>
        <v>1</v>
      </c>
    </row>
    <row r="2538" spans="1:15">
      <c r="A2538" s="14">
        <f>equip.xml!A2542</f>
        <v>50501055</v>
      </c>
      <c r="B2538" s="14">
        <f>equip.xml!B2542</f>
        <v>0</v>
      </c>
      <c r="C2538" s="14" t="str">
        <f>equip.xml!C2542</f>
        <v>黎明之刃</v>
      </c>
      <c r="D2538" s="14" t="str">
        <f>equip.xml!D2542</f>
        <v>主手武器</v>
      </c>
      <c r="E2538" s="14">
        <f>equip.xml!E2542</f>
        <v>5</v>
      </c>
      <c r="F2538" s="14">
        <f>equip.xml!F2542</f>
        <v>5</v>
      </c>
      <c r="G2538" s="14">
        <f>equip.xml!G2542</f>
        <v>50</v>
      </c>
      <c r="H2538" s="14" t="str">
        <f>equip.xml!H2542</f>
        <v>1,1001</v>
      </c>
      <c r="I2538" s="14">
        <f>equip.xml!J2542</f>
        <v>150</v>
      </c>
      <c r="J2538" s="14">
        <f>equip.xml!K2542</f>
        <v>1500</v>
      </c>
      <c r="K2538" s="14">
        <f>equip.xml!L2542</f>
        <v>27500</v>
      </c>
      <c r="L2538" s="14" t="str">
        <f>equip.xml!M2542</f>
        <v>103_1097_1097,104_2194_2194</v>
      </c>
      <c r="M2538" s="17" t="str">
        <f>equip.xml!Q2542</f>
        <v>equipment/1119.png</v>
      </c>
      <c r="N2538" s="16" t="str">
        <f>equip.xml!P2542</f>
        <v>10000_1002_50000,30000_30001_1,30000_30002_1,30000_30003_1</v>
      </c>
      <c r="O2538">
        <f>equip.xml!R2542</f>
        <v>1</v>
      </c>
    </row>
    <row r="2539" spans="1:15">
      <c r="A2539" s="14">
        <f>equip.xml!A2543</f>
        <v>50501056</v>
      </c>
      <c r="B2539" s="14">
        <f>equip.xml!B2543</f>
        <v>0</v>
      </c>
      <c r="C2539" s="14" t="str">
        <f>equip.xml!C2543</f>
        <v>放逐者之刃</v>
      </c>
      <c r="D2539" s="14" t="str">
        <f>equip.xml!D2543</f>
        <v>主手武器</v>
      </c>
      <c r="E2539" s="14">
        <f>equip.xml!E2543</f>
        <v>5</v>
      </c>
      <c r="F2539" s="14">
        <f>equip.xml!F2543</f>
        <v>5</v>
      </c>
      <c r="G2539" s="14">
        <f>equip.xml!G2543</f>
        <v>50</v>
      </c>
      <c r="H2539" s="14" t="str">
        <f>equip.xml!H2543</f>
        <v>1,1001</v>
      </c>
      <c r="I2539" s="14">
        <f>equip.xml!J2543</f>
        <v>150</v>
      </c>
      <c r="J2539" s="14">
        <f>equip.xml!K2543</f>
        <v>1500</v>
      </c>
      <c r="K2539" s="14">
        <f>equip.xml!L2543</f>
        <v>30000</v>
      </c>
      <c r="L2539" s="14" t="str">
        <f>equip.xml!M2543</f>
        <v>103_1222_1222,104_2444_2444</v>
      </c>
      <c r="M2539" s="17" t="str">
        <f>equip.xml!Q2543</f>
        <v>equipment/1120.png</v>
      </c>
      <c r="N2539" s="16" t="str">
        <f>equip.xml!P2543</f>
        <v>10000_1002_50000,30000_30001_1,30000_30002_1,30000_30003_1</v>
      </c>
      <c r="O2539">
        <f>equip.xml!R2543</f>
        <v>1</v>
      </c>
    </row>
    <row r="2540" spans="1:15">
      <c r="A2540" s="14">
        <f>equip.xml!A2544</f>
        <v>50501065</v>
      </c>
      <c r="B2540" s="14">
        <f>equip.xml!B2544</f>
        <v>0</v>
      </c>
      <c r="C2540" s="14" t="str">
        <f>equip.xml!C2544</f>
        <v>魂祭之盾</v>
      </c>
      <c r="D2540" s="14" t="str">
        <f>equip.xml!D2544</f>
        <v>副手武器</v>
      </c>
      <c r="E2540" s="14">
        <f>equip.xml!E2544</f>
        <v>6</v>
      </c>
      <c r="F2540" s="14">
        <f>equip.xml!F2544</f>
        <v>5</v>
      </c>
      <c r="G2540" s="14">
        <f>equip.xml!G2544</f>
        <v>50</v>
      </c>
      <c r="H2540" s="14" t="str">
        <f>equip.xml!H2544</f>
        <v>1,1001</v>
      </c>
      <c r="I2540" s="14">
        <f>equip.xml!J2544</f>
        <v>150</v>
      </c>
      <c r="J2540" s="14">
        <f>equip.xml!K2544</f>
        <v>1500</v>
      </c>
      <c r="K2540" s="14">
        <f>equip.xml!L2544</f>
        <v>27500</v>
      </c>
      <c r="L2540" s="14" t="str">
        <f>equip.xml!M2544</f>
        <v>105_1401_1401</v>
      </c>
      <c r="M2540" s="17" t="str">
        <f>equip.xml!Q2544</f>
        <v>equipment/2111.png</v>
      </c>
      <c r="N2540" s="16" t="str">
        <f>equip.xml!P2544</f>
        <v>10000_1002_50000,30000_30001_1,30000_30002_1,30000_30003_1</v>
      </c>
      <c r="O2540">
        <f>equip.xml!R2544</f>
        <v>1</v>
      </c>
    </row>
    <row r="2541" spans="1:15">
      <c r="A2541" s="14">
        <f>equip.xml!A2545</f>
        <v>50501066</v>
      </c>
      <c r="B2541" s="14">
        <f>equip.xml!B2545</f>
        <v>0</v>
      </c>
      <c r="C2541" s="14" t="str">
        <f>equip.xml!C2545</f>
        <v>氪金大盾</v>
      </c>
      <c r="D2541" s="14" t="str">
        <f>equip.xml!D2545</f>
        <v>副手武器</v>
      </c>
      <c r="E2541" s="14">
        <f>equip.xml!E2545</f>
        <v>6</v>
      </c>
      <c r="F2541" s="14">
        <f>equip.xml!F2545</f>
        <v>5</v>
      </c>
      <c r="G2541" s="14">
        <f>equip.xml!G2545</f>
        <v>50</v>
      </c>
      <c r="H2541" s="14" t="str">
        <f>equip.xml!H2545</f>
        <v>1,1001</v>
      </c>
      <c r="I2541" s="14">
        <f>equip.xml!J2545</f>
        <v>150</v>
      </c>
      <c r="J2541" s="14">
        <f>equip.xml!K2545</f>
        <v>1500</v>
      </c>
      <c r="K2541" s="14">
        <f>equip.xml!L2545</f>
        <v>30000</v>
      </c>
      <c r="L2541" s="14" t="str">
        <f>equip.xml!M2545</f>
        <v>105_1633_1633</v>
      </c>
      <c r="M2541" s="17" t="str">
        <f>equip.xml!Q2545</f>
        <v>equipment/2112.png</v>
      </c>
      <c r="N2541" s="16" t="str">
        <f>equip.xml!P2545</f>
        <v>10000_1002_50000,30000_30001_1,30000_30002_1,30000_30003_1</v>
      </c>
      <c r="O2541">
        <f>equip.xml!R2545</f>
        <v>1</v>
      </c>
    </row>
    <row r="2542" spans="1:15">
      <c r="A2542" s="14">
        <f>equip.xml!A2546</f>
        <v>50502055</v>
      </c>
      <c r="B2542" s="14">
        <f>equip.xml!B2546</f>
        <v>0</v>
      </c>
      <c r="C2542" s="14" t="str">
        <f>equip.xml!C2546</f>
        <v>觅心者长弓</v>
      </c>
      <c r="D2542" s="14" t="str">
        <f>equip.xml!D2546</f>
        <v>主手武器</v>
      </c>
      <c r="E2542" s="14">
        <f>equip.xml!E2546</f>
        <v>5</v>
      </c>
      <c r="F2542" s="14">
        <f>equip.xml!F2546</f>
        <v>5</v>
      </c>
      <c r="G2542" s="14">
        <f>equip.xml!G2546</f>
        <v>50</v>
      </c>
      <c r="H2542" s="14" t="str">
        <f>equip.xml!H2546</f>
        <v>2,1002</v>
      </c>
      <c r="I2542" s="14">
        <f>equip.xml!J2546</f>
        <v>150</v>
      </c>
      <c r="J2542" s="14">
        <f>equip.xml!K2546</f>
        <v>1500</v>
      </c>
      <c r="K2542" s="14">
        <f>equip.xml!L2546</f>
        <v>27500</v>
      </c>
      <c r="L2542" s="14" t="str">
        <f>equip.xml!M2546</f>
        <v>103_1097_1097,104_2194_2194</v>
      </c>
      <c r="M2542" s="17" t="str">
        <f>equip.xml!Q2546</f>
        <v>equipment/1218.png</v>
      </c>
      <c r="N2542" s="16" t="str">
        <f>equip.xml!P2546</f>
        <v>10000_1002_50000,30000_30001_1,30000_30002_1,30000_30003_1</v>
      </c>
      <c r="O2542">
        <f>equip.xml!R2546</f>
        <v>1</v>
      </c>
    </row>
    <row r="2543" spans="1:15">
      <c r="A2543" s="14">
        <f>equip.xml!A2547</f>
        <v>50502056</v>
      </c>
      <c r="B2543" s="14">
        <f>equip.xml!B2547</f>
        <v>0</v>
      </c>
      <c r="C2543" s="14" t="str">
        <f>equip.xml!C2547</f>
        <v>阳炎之弓</v>
      </c>
      <c r="D2543" s="14" t="str">
        <f>equip.xml!D2547</f>
        <v>主手武器</v>
      </c>
      <c r="E2543" s="14">
        <f>equip.xml!E2547</f>
        <v>5</v>
      </c>
      <c r="F2543" s="14">
        <f>equip.xml!F2547</f>
        <v>5</v>
      </c>
      <c r="G2543" s="14">
        <f>equip.xml!G2547</f>
        <v>50</v>
      </c>
      <c r="H2543" s="14" t="str">
        <f>equip.xml!H2547</f>
        <v>2,1002</v>
      </c>
      <c r="I2543" s="14">
        <f>equip.xml!J2547</f>
        <v>150</v>
      </c>
      <c r="J2543" s="14">
        <f>equip.xml!K2547</f>
        <v>1500</v>
      </c>
      <c r="K2543" s="14">
        <f>equip.xml!L2547</f>
        <v>30000</v>
      </c>
      <c r="L2543" s="14" t="str">
        <f>equip.xml!M2547</f>
        <v>103_1222_1222,104_2444_2444</v>
      </c>
      <c r="M2543" s="17" t="str">
        <f>equip.xml!Q2547</f>
        <v>equipment/1221.png</v>
      </c>
      <c r="N2543" s="16" t="str">
        <f>equip.xml!P2547</f>
        <v>10000_1002_50000,30000_30001_1,30000_30002_1,30000_30003_1</v>
      </c>
      <c r="O2543">
        <f>equip.xml!R2547</f>
        <v>1</v>
      </c>
    </row>
    <row r="2544" spans="1:15">
      <c r="A2544" s="14">
        <f>equip.xml!A2548</f>
        <v>50502065</v>
      </c>
      <c r="B2544" s="14">
        <f>equip.xml!B2548</f>
        <v>0</v>
      </c>
      <c r="C2544" s="14" t="str">
        <f>equip.xml!C2548</f>
        <v>黑骨箭袋</v>
      </c>
      <c r="D2544" s="14" t="str">
        <f>equip.xml!D2548</f>
        <v>副手武器</v>
      </c>
      <c r="E2544" s="14">
        <f>equip.xml!E2548</f>
        <v>6</v>
      </c>
      <c r="F2544" s="14">
        <f>equip.xml!F2548</f>
        <v>5</v>
      </c>
      <c r="G2544" s="14">
        <f>equip.xml!G2548</f>
        <v>50</v>
      </c>
      <c r="H2544" s="14" t="str">
        <f>equip.xml!H2548</f>
        <v>2,1002</v>
      </c>
      <c r="I2544" s="14">
        <f>equip.xml!J2548</f>
        <v>150</v>
      </c>
      <c r="J2544" s="14">
        <f>equip.xml!K2548</f>
        <v>1500</v>
      </c>
      <c r="K2544" s="14">
        <f>equip.xml!L2548</f>
        <v>27500</v>
      </c>
      <c r="L2544" s="14" t="str">
        <f>equip.xml!M2548</f>
        <v>108_1401_1401</v>
      </c>
      <c r="M2544" s="17" t="str">
        <f>equip.xml!Q2548</f>
        <v>equipment/2210.png</v>
      </c>
      <c r="N2544" s="16" t="str">
        <f>equip.xml!P2548</f>
        <v>10000_1002_50000,30000_30001_1,30000_30002_1,30000_30003_1</v>
      </c>
      <c r="O2544">
        <f>equip.xml!R2548</f>
        <v>1</v>
      </c>
    </row>
    <row r="2545" spans="1:15">
      <c r="A2545" s="14">
        <f>equip.xml!A2549</f>
        <v>50502066</v>
      </c>
      <c r="B2545" s="14">
        <f>equip.xml!B2549</f>
        <v>0</v>
      </c>
      <c r="C2545" s="14" t="str">
        <f>equip.xml!C2549</f>
        <v>符文箭筒</v>
      </c>
      <c r="D2545" s="14" t="str">
        <f>equip.xml!D2549</f>
        <v>副手武器</v>
      </c>
      <c r="E2545" s="14">
        <f>equip.xml!E2549</f>
        <v>6</v>
      </c>
      <c r="F2545" s="14">
        <f>equip.xml!F2549</f>
        <v>5</v>
      </c>
      <c r="G2545" s="14">
        <f>equip.xml!G2549</f>
        <v>50</v>
      </c>
      <c r="H2545" s="14" t="str">
        <f>equip.xml!H2549</f>
        <v>2,1002</v>
      </c>
      <c r="I2545" s="14">
        <f>equip.xml!J2549</f>
        <v>150</v>
      </c>
      <c r="J2545" s="14">
        <f>equip.xml!K2549</f>
        <v>1500</v>
      </c>
      <c r="K2545" s="14">
        <f>equip.xml!L2549</f>
        <v>30000</v>
      </c>
      <c r="L2545" s="14" t="str">
        <f>equip.xml!M2549</f>
        <v>108_1633_1633</v>
      </c>
      <c r="M2545" s="17" t="str">
        <f>equip.xml!Q2549</f>
        <v>equipment/2212.png</v>
      </c>
      <c r="N2545" s="16" t="str">
        <f>equip.xml!P2549</f>
        <v>10000_1002_50000,30000_30001_1,30000_30002_1,30000_30003_1</v>
      </c>
      <c r="O2545">
        <f>equip.xml!R2549</f>
        <v>1</v>
      </c>
    </row>
    <row r="2546" spans="1:15">
      <c r="A2546" s="14">
        <f>equip.xml!A2550</f>
        <v>50503055</v>
      </c>
      <c r="B2546" s="14">
        <f>equip.xml!B2550</f>
        <v>0</v>
      </c>
      <c r="C2546" s="14" t="str">
        <f>equip.xml!C2550</f>
        <v>虚灵法杖</v>
      </c>
      <c r="D2546" s="14" t="str">
        <f>equip.xml!D2550</f>
        <v>主手武器</v>
      </c>
      <c r="E2546" s="14">
        <f>equip.xml!E2550</f>
        <v>5</v>
      </c>
      <c r="F2546" s="14">
        <f>equip.xml!F2550</f>
        <v>5</v>
      </c>
      <c r="G2546" s="14">
        <f>equip.xml!G2550</f>
        <v>50</v>
      </c>
      <c r="H2546" s="14" t="str">
        <f>equip.xml!H2550</f>
        <v>3,1003</v>
      </c>
      <c r="I2546" s="14">
        <f>equip.xml!J2550</f>
        <v>150</v>
      </c>
      <c r="J2546" s="14">
        <f>equip.xml!K2550</f>
        <v>1500</v>
      </c>
      <c r="K2546" s="14">
        <f>equip.xml!L2550</f>
        <v>27500</v>
      </c>
      <c r="L2546" s="14" t="str">
        <f>equip.xml!M2550</f>
        <v>103_1097_1097,104_2194_2194</v>
      </c>
      <c r="M2546" s="17" t="str">
        <f>equip.xml!Q2550</f>
        <v>equipment/1319.png</v>
      </c>
      <c r="N2546" s="16" t="str">
        <f>equip.xml!P2550</f>
        <v>10000_1002_50000,30000_30001_1,30000_30002_1,30000_30003_1</v>
      </c>
      <c r="O2546">
        <f>equip.xml!R2550</f>
        <v>1</v>
      </c>
    </row>
    <row r="2547" spans="1:15">
      <c r="A2547" s="14">
        <f>equip.xml!A2551</f>
        <v>50503056</v>
      </c>
      <c r="B2547" s="14">
        <f>equip.xml!B2551</f>
        <v>0</v>
      </c>
      <c r="C2547" s="14" t="str">
        <f>equip.xml!C2551</f>
        <v>恒光巨杖</v>
      </c>
      <c r="D2547" s="14" t="str">
        <f>equip.xml!D2551</f>
        <v>主手武器</v>
      </c>
      <c r="E2547" s="14">
        <f>equip.xml!E2551</f>
        <v>5</v>
      </c>
      <c r="F2547" s="14">
        <f>equip.xml!F2551</f>
        <v>5</v>
      </c>
      <c r="G2547" s="14">
        <f>equip.xml!G2551</f>
        <v>50</v>
      </c>
      <c r="H2547" s="14" t="str">
        <f>equip.xml!H2551</f>
        <v>3,1003</v>
      </c>
      <c r="I2547" s="14">
        <f>equip.xml!J2551</f>
        <v>150</v>
      </c>
      <c r="J2547" s="14">
        <f>equip.xml!K2551</f>
        <v>1500</v>
      </c>
      <c r="K2547" s="14">
        <f>equip.xml!L2551</f>
        <v>30000</v>
      </c>
      <c r="L2547" s="14" t="str">
        <f>equip.xml!M2551</f>
        <v>103_1222_1222,104_2444_2444</v>
      </c>
      <c r="M2547" s="17" t="str">
        <f>equip.xml!Q2551</f>
        <v>equipment/1320.png</v>
      </c>
      <c r="N2547" s="16" t="str">
        <f>equip.xml!P2551</f>
        <v>10000_1002_50000,30000_30001_1,30000_30002_1,30000_30003_1</v>
      </c>
      <c r="O2547">
        <f>equip.xml!R2551</f>
        <v>1</v>
      </c>
    </row>
    <row r="2548" spans="1:15">
      <c r="A2548" s="14">
        <f>equip.xml!A2552</f>
        <v>50503065</v>
      </c>
      <c r="B2548" s="14">
        <f>equip.xml!B2552</f>
        <v>0</v>
      </c>
      <c r="C2548" s="14" t="str">
        <f>equip.xml!C2552</f>
        <v>幻术之书</v>
      </c>
      <c r="D2548" s="14" t="str">
        <f>equip.xml!D2552</f>
        <v>副手武器</v>
      </c>
      <c r="E2548" s="14">
        <f>equip.xml!E2552</f>
        <v>6</v>
      </c>
      <c r="F2548" s="14">
        <f>equip.xml!F2552</f>
        <v>5</v>
      </c>
      <c r="G2548" s="14">
        <f>equip.xml!G2552</f>
        <v>50</v>
      </c>
      <c r="H2548" s="14" t="str">
        <f>equip.xml!H2552</f>
        <v>3,1003</v>
      </c>
      <c r="I2548" s="14">
        <f>equip.xml!J2552</f>
        <v>150</v>
      </c>
      <c r="J2548" s="14">
        <f>equip.xml!K2552</f>
        <v>1500</v>
      </c>
      <c r="K2548" s="14">
        <f>equip.xml!L2552</f>
        <v>27500</v>
      </c>
      <c r="L2548" s="14" t="str">
        <f>equip.xml!M2552</f>
        <v>102_1440_1440</v>
      </c>
      <c r="M2548" s="17" t="str">
        <f>equip.xml!Q2552</f>
        <v>equipment/2311.png</v>
      </c>
      <c r="N2548" s="16" t="str">
        <f>equip.xml!P2552</f>
        <v>10000_1002_50000,30000_30001_1,30000_30002_1,30000_30003_1</v>
      </c>
      <c r="O2548">
        <f>equip.xml!R2552</f>
        <v>1</v>
      </c>
    </row>
    <row r="2549" spans="1:15">
      <c r="A2549" s="14">
        <f>equip.xml!A2553</f>
        <v>50503066</v>
      </c>
      <c r="B2549" s="14">
        <f>equip.xml!B2553</f>
        <v>0</v>
      </c>
      <c r="C2549" s="14" t="str">
        <f>equip.xml!C2553</f>
        <v>护咒之书</v>
      </c>
      <c r="D2549" s="14" t="str">
        <f>equip.xml!D2553</f>
        <v>副手武器</v>
      </c>
      <c r="E2549" s="14">
        <f>equip.xml!E2553</f>
        <v>6</v>
      </c>
      <c r="F2549" s="14">
        <f>equip.xml!F2553</f>
        <v>5</v>
      </c>
      <c r="G2549" s="14">
        <f>equip.xml!G2553</f>
        <v>50</v>
      </c>
      <c r="H2549" s="14" t="str">
        <f>equip.xml!H2553</f>
        <v>3,1003</v>
      </c>
      <c r="I2549" s="14">
        <f>equip.xml!J2553</f>
        <v>150</v>
      </c>
      <c r="J2549" s="14">
        <f>equip.xml!K2553</f>
        <v>1500</v>
      </c>
      <c r="K2549" s="14">
        <f>equip.xml!L2553</f>
        <v>30000</v>
      </c>
      <c r="L2549" s="14" t="str">
        <f>equip.xml!M2553</f>
        <v>102_1633_1633</v>
      </c>
      <c r="M2549" s="17" t="str">
        <f>equip.xml!Q2553</f>
        <v>equipment/2312.png</v>
      </c>
      <c r="N2549" s="16" t="str">
        <f>equip.xml!P2553</f>
        <v>10000_1002_50000,30000_30001_1,30000_30002_1,30000_30003_1</v>
      </c>
      <c r="O2549">
        <f>equip.xml!R2553</f>
        <v>1</v>
      </c>
    </row>
    <row r="2550" spans="1:15">
      <c r="A2550" s="14">
        <f>equip.xml!A2554</f>
        <v>50500045</v>
      </c>
      <c r="B2550" s="14">
        <f>equip.xml!B2554</f>
        <v>0</v>
      </c>
      <c r="C2550" s="14" t="str">
        <f>equip.xml!C2554</f>
        <v>皇家护胸</v>
      </c>
      <c r="D2550" s="14" t="str">
        <f>equip.xml!D2554</f>
        <v>胸甲</v>
      </c>
      <c r="E2550" s="14">
        <f>equip.xml!E2554</f>
        <v>4</v>
      </c>
      <c r="F2550" s="14">
        <f>equip.xml!F2554</f>
        <v>5</v>
      </c>
      <c r="G2550" s="14">
        <f>equip.xml!G2554</f>
        <v>50</v>
      </c>
      <c r="H2550" s="14">
        <f>equip.xml!H2554</f>
        <v>0</v>
      </c>
      <c r="I2550" s="14">
        <f>equip.xml!J2554</f>
        <v>150</v>
      </c>
      <c r="J2550" s="14">
        <f>equip.xml!K2554</f>
        <v>1500</v>
      </c>
      <c r="K2550" s="14">
        <f>equip.xml!L2554</f>
        <v>27500</v>
      </c>
      <c r="L2550" s="14" t="str">
        <f>equip.xml!M2554</f>
        <v>105_780_780</v>
      </c>
      <c r="M2550" s="17" t="str">
        <f>equip.xml!Q2554</f>
        <v>equipment/5003.png</v>
      </c>
      <c r="N2550" s="16" t="str">
        <f>equip.xml!P2554</f>
        <v>10000_1002_50000,30000_30001_1,30000_30002_1,30000_30003_1</v>
      </c>
      <c r="O2550">
        <f>equip.xml!R2554</f>
        <v>1</v>
      </c>
    </row>
    <row r="2551" spans="1:15">
      <c r="A2551" s="14">
        <f>equip.xml!A2555</f>
        <v>50500046</v>
      </c>
      <c r="B2551" s="14">
        <f>equip.xml!B2555</f>
        <v>0</v>
      </c>
      <c r="C2551" s="14" t="str">
        <f>equip.xml!C2555</f>
        <v>新兵外套</v>
      </c>
      <c r="D2551" s="14" t="str">
        <f>equip.xml!D2555</f>
        <v>胸甲</v>
      </c>
      <c r="E2551" s="14">
        <f>equip.xml!E2555</f>
        <v>4</v>
      </c>
      <c r="F2551" s="14">
        <f>equip.xml!F2555</f>
        <v>5</v>
      </c>
      <c r="G2551" s="14">
        <f>equip.xml!G2555</f>
        <v>50</v>
      </c>
      <c r="H2551" s="14">
        <f>equip.xml!H2555</f>
        <v>0</v>
      </c>
      <c r="I2551" s="14">
        <f>equip.xml!J2555</f>
        <v>150</v>
      </c>
      <c r="J2551" s="14">
        <f>equip.xml!K2555</f>
        <v>1500</v>
      </c>
      <c r="K2551" s="14">
        <f>equip.xml!L2555</f>
        <v>30000</v>
      </c>
      <c r="L2551" s="14" t="str">
        <f>equip.xml!M2555</f>
        <v>105_929_929</v>
      </c>
      <c r="M2551" s="17" t="str">
        <f>equip.xml!Q2555</f>
        <v>equipment/5001.png</v>
      </c>
      <c r="N2551" s="16" t="str">
        <f>equip.xml!P2555</f>
        <v>10000_1002_50000,30000_30001_1,30000_30002_1,30000_30003_1</v>
      </c>
      <c r="O2551">
        <f>equip.xml!R2555</f>
        <v>1</v>
      </c>
    </row>
    <row r="2552" spans="1:15">
      <c r="A2552" s="14">
        <f>equip.xml!A2556</f>
        <v>50500075</v>
      </c>
      <c r="B2552" s="14">
        <f>equip.xml!B2556</f>
        <v>0</v>
      </c>
      <c r="C2552" s="14" t="str">
        <f>equip.xml!C2556</f>
        <v>凯旋腿甲</v>
      </c>
      <c r="D2552" s="14" t="str">
        <f>equip.xml!D2556</f>
        <v>护腿</v>
      </c>
      <c r="E2552" s="14">
        <f>equip.xml!E2556</f>
        <v>7</v>
      </c>
      <c r="F2552" s="14">
        <f>equip.xml!F2556</f>
        <v>5</v>
      </c>
      <c r="G2552" s="14">
        <f>equip.xml!G2556</f>
        <v>50</v>
      </c>
      <c r="H2552" s="14">
        <f>equip.xml!H2556</f>
        <v>0</v>
      </c>
      <c r="I2552" s="14">
        <f>equip.xml!J2556</f>
        <v>150</v>
      </c>
      <c r="J2552" s="14">
        <f>equip.xml!K2556</f>
        <v>1500</v>
      </c>
      <c r="K2552" s="14">
        <f>equip.xml!L2556</f>
        <v>27500</v>
      </c>
      <c r="L2552" s="14" t="str">
        <f>equip.xml!M2556</f>
        <v>105_628_628</v>
      </c>
      <c r="M2552" s="17" t="str">
        <f>equip.xml!Q2556</f>
        <v>equipment/7012.png</v>
      </c>
      <c r="N2552" s="16" t="str">
        <f>equip.xml!P2556</f>
        <v>10000_1002_50000,30000_30001_1,30000_30002_1,30000_30003_1</v>
      </c>
      <c r="O2552">
        <f>equip.xml!R2556</f>
        <v>1</v>
      </c>
    </row>
    <row r="2553" spans="1:15">
      <c r="A2553" s="14">
        <f>equip.xml!A2557</f>
        <v>50500076</v>
      </c>
      <c r="B2553" s="14">
        <f>equip.xml!B2557</f>
        <v>0</v>
      </c>
      <c r="C2553" s="14" t="str">
        <f>equip.xml!C2557</f>
        <v>学徒短裤</v>
      </c>
      <c r="D2553" s="14" t="str">
        <f>equip.xml!D2557</f>
        <v>护腿</v>
      </c>
      <c r="E2553" s="14">
        <f>equip.xml!E2557</f>
        <v>7</v>
      </c>
      <c r="F2553" s="14">
        <f>equip.xml!F2557</f>
        <v>5</v>
      </c>
      <c r="G2553" s="14">
        <f>equip.xml!G2557</f>
        <v>50</v>
      </c>
      <c r="H2553" s="14">
        <f>equip.xml!H2557</f>
        <v>0</v>
      </c>
      <c r="I2553" s="14">
        <f>equip.xml!J2557</f>
        <v>150</v>
      </c>
      <c r="J2553" s="14">
        <f>equip.xml!K2557</f>
        <v>1500</v>
      </c>
      <c r="K2553" s="14">
        <f>equip.xml!L2557</f>
        <v>30000</v>
      </c>
      <c r="L2553" s="14" t="str">
        <f>equip.xml!M2557</f>
        <v>105_689_689</v>
      </c>
      <c r="M2553" s="17" t="str">
        <f>equip.xml!Q2557</f>
        <v>equipment/7001.png</v>
      </c>
      <c r="N2553" s="16" t="str">
        <f>equip.xml!P2557</f>
        <v>10000_1002_50000,30000_30001_1,30000_30002_1,30000_30003_1</v>
      </c>
      <c r="O2553">
        <f>equip.xml!R2557</f>
        <v>1</v>
      </c>
    </row>
    <row r="2554" spans="1:15">
      <c r="A2554" s="14">
        <f>equip.xml!A2558</f>
        <v>50550015</v>
      </c>
      <c r="B2554" s="14">
        <f>equip.xml!B2558</f>
        <v>0</v>
      </c>
      <c r="C2554" s="14" t="str">
        <f>equip.xml!C2558</f>
        <v>银月头盔</v>
      </c>
      <c r="D2554" s="14" t="str">
        <f>equip.xml!D2558</f>
        <v>头盔</v>
      </c>
      <c r="E2554" s="14">
        <f>equip.xml!E2558</f>
        <v>1</v>
      </c>
      <c r="F2554" s="14">
        <f>equip.xml!F2558</f>
        <v>5</v>
      </c>
      <c r="G2554" s="14">
        <f>equip.xml!G2558</f>
        <v>55</v>
      </c>
      <c r="H2554" s="14">
        <f>equip.xml!H2558</f>
        <v>0</v>
      </c>
      <c r="I2554" s="14">
        <f>equip.xml!J2558</f>
        <v>150</v>
      </c>
      <c r="J2554" s="14">
        <f>equip.xml!K2558</f>
        <v>1500</v>
      </c>
      <c r="K2554" s="14">
        <f>equip.xml!L2558</f>
        <v>30000</v>
      </c>
      <c r="L2554" s="14" t="str">
        <f>equip.xml!M2558</f>
        <v>106_1291_1291</v>
      </c>
      <c r="M2554" s="17" t="str">
        <f>equip.xml!Q2558</f>
        <v>equipment/3009.png</v>
      </c>
      <c r="N2554" s="16" t="str">
        <f>equip.xml!P2558</f>
        <v>10000_1002_55000,30000_30001_1,30000_30002_1,30000_30003_1</v>
      </c>
      <c r="O2554">
        <f>equip.xml!R2558</f>
        <v>1</v>
      </c>
    </row>
    <row r="2555" spans="1:15">
      <c r="A2555" s="14">
        <f>equip.xml!A2559</f>
        <v>50550025</v>
      </c>
      <c r="B2555" s="14">
        <f>equip.xml!B2559</f>
        <v>0</v>
      </c>
      <c r="C2555" s="14" t="str">
        <f>equip.xml!C2559</f>
        <v>镇魂之戒</v>
      </c>
      <c r="D2555" s="14" t="str">
        <f>equip.xml!D2559</f>
        <v>戒指</v>
      </c>
      <c r="E2555" s="14">
        <f>equip.xml!E2559</f>
        <v>2</v>
      </c>
      <c r="F2555" s="14">
        <f>equip.xml!F2559</f>
        <v>5</v>
      </c>
      <c r="G2555" s="14">
        <f>equip.xml!G2559</f>
        <v>55</v>
      </c>
      <c r="H2555" s="14">
        <f>equip.xml!H2559</f>
        <v>0</v>
      </c>
      <c r="I2555" s="14">
        <f>equip.xml!J2559</f>
        <v>150</v>
      </c>
      <c r="J2555" s="14">
        <f>equip.xml!K2559</f>
        <v>1500</v>
      </c>
      <c r="K2555" s="14">
        <f>equip.xml!L2559</f>
        <v>30000</v>
      </c>
      <c r="L2555" s="14" t="str">
        <f>equip.xml!M2559</f>
        <v>102_1080_1080</v>
      </c>
      <c r="M2555" s="17" t="str">
        <f>equip.xml!Q2559</f>
        <v>equipment/14009.png</v>
      </c>
      <c r="N2555" s="16" t="str">
        <f>equip.xml!P2559</f>
        <v>10000_1002_55000,30000_30001_1,30000_30002_1,30000_30003_1</v>
      </c>
      <c r="O2555">
        <f>equip.xml!R2559</f>
        <v>1</v>
      </c>
    </row>
    <row r="2556" spans="1:15">
      <c r="A2556" s="14">
        <f>equip.xml!A2560</f>
        <v>50550035</v>
      </c>
      <c r="B2556" s="14">
        <f>equip.xml!B2560</f>
        <v>0</v>
      </c>
      <c r="C2556" s="14" t="str">
        <f>equip.xml!C2560</f>
        <v>魔鳞腰带</v>
      </c>
      <c r="D2556" s="14" t="str">
        <f>equip.xml!D2560</f>
        <v>腰带</v>
      </c>
      <c r="E2556" s="14">
        <f>equip.xml!E2560</f>
        <v>3</v>
      </c>
      <c r="F2556" s="14">
        <f>equip.xml!F2560</f>
        <v>5</v>
      </c>
      <c r="G2556" s="14">
        <f>equip.xml!G2560</f>
        <v>55</v>
      </c>
      <c r="H2556" s="14">
        <f>equip.xml!H2560</f>
        <v>0</v>
      </c>
      <c r="I2556" s="14">
        <f>equip.xml!J2560</f>
        <v>150</v>
      </c>
      <c r="J2556" s="14">
        <f>equip.xml!K2560</f>
        <v>1500</v>
      </c>
      <c r="K2556" s="14">
        <f>equip.xml!L2560</f>
        <v>30000</v>
      </c>
      <c r="L2556" s="14" t="str">
        <f>equip.xml!M2560</f>
        <v>101_12800_12800</v>
      </c>
      <c r="M2556" s="17" t="str">
        <f>equip.xml!Q2560</f>
        <v>equipment/6004.png</v>
      </c>
      <c r="N2556" s="16" t="str">
        <f>equip.xml!P2560</f>
        <v>10000_1002_55000,30000_30001_1,30000_30002_1,30000_30003_1</v>
      </c>
      <c r="O2556">
        <f>equip.xml!R2560</f>
        <v>1</v>
      </c>
    </row>
    <row r="2557" spans="1:15">
      <c r="A2557" s="14">
        <f>equip.xml!A2561</f>
        <v>50550085</v>
      </c>
      <c r="B2557" s="14">
        <f>equip.xml!B2561</f>
        <v>0</v>
      </c>
      <c r="C2557" s="14" t="str">
        <f>equip.xml!C2561</f>
        <v>天行者之靴</v>
      </c>
      <c r="D2557" s="14" t="str">
        <f>equip.xml!D2561</f>
        <v>鞋子</v>
      </c>
      <c r="E2557" s="14">
        <f>equip.xml!E2561</f>
        <v>8</v>
      </c>
      <c r="F2557" s="14">
        <f>equip.xml!F2561</f>
        <v>5</v>
      </c>
      <c r="G2557" s="14">
        <f>equip.xml!G2561</f>
        <v>55</v>
      </c>
      <c r="H2557" s="14">
        <f>equip.xml!H2561</f>
        <v>0</v>
      </c>
      <c r="I2557" s="14">
        <f>equip.xml!J2561</f>
        <v>150</v>
      </c>
      <c r="J2557" s="14">
        <f>equip.xml!K2561</f>
        <v>1500</v>
      </c>
      <c r="K2557" s="14">
        <f>equip.xml!L2561</f>
        <v>30000</v>
      </c>
      <c r="L2557" s="14" t="str">
        <f>equip.xml!M2561</f>
        <v>110_219_219</v>
      </c>
      <c r="M2557" s="17" t="str">
        <f>equip.xml!Q2561</f>
        <v>equipment/8009.png</v>
      </c>
      <c r="N2557" s="16" t="str">
        <f>equip.xml!P2561</f>
        <v>10000_1002_55000,30000_30001_1,30000_30002_1,30000_30003_1</v>
      </c>
      <c r="O2557">
        <f>equip.xml!R2561</f>
        <v>1</v>
      </c>
    </row>
    <row r="2558" spans="1:15">
      <c r="A2558" s="14">
        <f>equip.xml!A2562</f>
        <v>50550095</v>
      </c>
      <c r="B2558" s="14">
        <f>equip.xml!B2562</f>
        <v>0</v>
      </c>
      <c r="C2558" s="14" t="str">
        <f>equip.xml!C2562</f>
        <v>战火护手</v>
      </c>
      <c r="D2558" s="14" t="str">
        <f>equip.xml!D2562</f>
        <v>手套</v>
      </c>
      <c r="E2558" s="14">
        <f>equip.xml!E2562</f>
        <v>9</v>
      </c>
      <c r="F2558" s="14">
        <f>equip.xml!F2562</f>
        <v>5</v>
      </c>
      <c r="G2558" s="14">
        <f>equip.xml!G2562</f>
        <v>55</v>
      </c>
      <c r="H2558" s="14">
        <f>equip.xml!H2562</f>
        <v>0</v>
      </c>
      <c r="I2558" s="14">
        <f>equip.xml!J2562</f>
        <v>150</v>
      </c>
      <c r="J2558" s="14">
        <f>equip.xml!K2562</f>
        <v>1500</v>
      </c>
      <c r="K2558" s="14">
        <f>equip.xml!L2562</f>
        <v>30000</v>
      </c>
      <c r="L2558" s="14" t="str">
        <f>equip.xml!M2562</f>
        <v>108_1726_1726</v>
      </c>
      <c r="M2558" s="17" t="str">
        <f>equip.xml!Q2562</f>
        <v>equipment/10006.png</v>
      </c>
      <c r="N2558" s="16" t="str">
        <f>equip.xml!P2562</f>
        <v>10000_1002_55000,30000_30001_1,30000_30002_1,30000_30003_1</v>
      </c>
      <c r="O2558">
        <f>equip.xml!R2562</f>
        <v>1</v>
      </c>
    </row>
    <row r="2559" spans="1:15">
      <c r="A2559" s="14">
        <f>equip.xml!A2563</f>
        <v>50550105</v>
      </c>
      <c r="B2559" s="14">
        <f>equip.xml!B2563</f>
        <v>0</v>
      </c>
      <c r="C2559" s="14" t="str">
        <f>equip.xml!C2563</f>
        <v>遗忘石坠</v>
      </c>
      <c r="D2559" s="14" t="str">
        <f>equip.xml!D2563</f>
        <v>项链</v>
      </c>
      <c r="E2559" s="14">
        <f>equip.xml!E2563</f>
        <v>10</v>
      </c>
      <c r="F2559" s="14">
        <f>equip.xml!F2563</f>
        <v>5</v>
      </c>
      <c r="G2559" s="14">
        <f>equip.xml!G2563</f>
        <v>55</v>
      </c>
      <c r="H2559" s="14">
        <f>equip.xml!H2563</f>
        <v>0</v>
      </c>
      <c r="I2559" s="14">
        <f>equip.xml!J2563</f>
        <v>150</v>
      </c>
      <c r="J2559" s="14">
        <f>equip.xml!K2563</f>
        <v>1500</v>
      </c>
      <c r="K2559" s="14">
        <f>equip.xml!L2563</f>
        <v>30000</v>
      </c>
      <c r="L2559" s="14" t="str">
        <f>equip.xml!M2563</f>
        <v>107_1291_1291</v>
      </c>
      <c r="M2559" s="17" t="str">
        <f>equip.xml!Q2563</f>
        <v>equipment/12009.png</v>
      </c>
      <c r="N2559" s="16" t="str">
        <f>equip.xml!P2563</f>
        <v>10000_1002_55000,30000_30001_1,30000_30002_1,30000_30003_1</v>
      </c>
      <c r="O2559">
        <f>equip.xml!R2563</f>
        <v>1</v>
      </c>
    </row>
    <row r="2560" spans="1:15">
      <c r="A2560" s="14">
        <f>equip.xml!A2564</f>
        <v>50551055</v>
      </c>
      <c r="B2560" s="14">
        <f>equip.xml!B2564</f>
        <v>0</v>
      </c>
      <c r="C2560" s="14" t="str">
        <f>equip.xml!C2564</f>
        <v>噬魂符剑</v>
      </c>
      <c r="D2560" s="14" t="str">
        <f>equip.xml!D2564</f>
        <v>主手武器</v>
      </c>
      <c r="E2560" s="14">
        <f>equip.xml!E2564</f>
        <v>5</v>
      </c>
      <c r="F2560" s="14">
        <f>equip.xml!F2564</f>
        <v>5</v>
      </c>
      <c r="G2560" s="14">
        <f>equip.xml!G2564</f>
        <v>55</v>
      </c>
      <c r="H2560" s="14" t="str">
        <f>equip.xml!H2564</f>
        <v>1,1001</v>
      </c>
      <c r="I2560" s="14">
        <f>equip.xml!J2564</f>
        <v>150</v>
      </c>
      <c r="J2560" s="14">
        <f>equip.xml!K2564</f>
        <v>1500</v>
      </c>
      <c r="K2560" s="14">
        <f>equip.xml!L2564</f>
        <v>30000</v>
      </c>
      <c r="L2560" s="14" t="str">
        <f>equip.xml!M2564</f>
        <v>103_1409_1409,104_2818_2818</v>
      </c>
      <c r="M2560" s="17" t="str">
        <f>equip.xml!Q2564</f>
        <v>equipment/1121.png</v>
      </c>
      <c r="N2560" s="16" t="str">
        <f>equip.xml!P2564</f>
        <v>10000_1002_55000,30000_30001_1,30000_30002_1,30000_30003_1</v>
      </c>
      <c r="O2560">
        <f>equip.xml!R2564</f>
        <v>1</v>
      </c>
    </row>
    <row r="2561" spans="1:15">
      <c r="A2561" s="14">
        <f>equip.xml!A2565</f>
        <v>50551056</v>
      </c>
      <c r="B2561" s="14">
        <f>equip.xml!B2565</f>
        <v>0</v>
      </c>
      <c r="C2561" s="14" t="str">
        <f>equip.xml!C2565</f>
        <v>军刀</v>
      </c>
      <c r="D2561" s="14" t="str">
        <f>equip.xml!D2565</f>
        <v>主手武器</v>
      </c>
      <c r="E2561" s="14">
        <f>equip.xml!E2565</f>
        <v>5</v>
      </c>
      <c r="F2561" s="14">
        <f>equip.xml!F2565</f>
        <v>5</v>
      </c>
      <c r="G2561" s="14">
        <f>equip.xml!G2565</f>
        <v>55</v>
      </c>
      <c r="H2561" s="14" t="str">
        <f>equip.xml!H2565</f>
        <v>1,1001</v>
      </c>
      <c r="I2561" s="14">
        <f>equip.xml!J2565</f>
        <v>150</v>
      </c>
      <c r="J2561" s="14">
        <f>equip.xml!K2565</f>
        <v>1500</v>
      </c>
      <c r="K2561" s="14">
        <f>equip.xml!L2565</f>
        <v>32500</v>
      </c>
      <c r="L2561" s="14" t="str">
        <f>equip.xml!M2565</f>
        <v>103_1648_1648,104_3296_3296</v>
      </c>
      <c r="M2561" s="17" t="str">
        <f>equip.xml!Q2565</f>
        <v>equipment/1101.png</v>
      </c>
      <c r="N2561" s="16" t="str">
        <f>equip.xml!P2565</f>
        <v>10000_1002_55000,30000_30001_1,30000_30002_1,30000_30003_1</v>
      </c>
      <c r="O2561">
        <f>equip.xml!R2565</f>
        <v>1</v>
      </c>
    </row>
    <row r="2562" spans="1:15">
      <c r="A2562" s="14">
        <f>equip.xml!A2566</f>
        <v>50551065</v>
      </c>
      <c r="B2562" s="14">
        <f>equip.xml!B2566</f>
        <v>0</v>
      </c>
      <c r="C2562" s="14" t="str">
        <f>equip.xml!C2566</f>
        <v>反射壁垒</v>
      </c>
      <c r="D2562" s="14" t="str">
        <f>equip.xml!D2566</f>
        <v>副手武器</v>
      </c>
      <c r="E2562" s="14">
        <f>equip.xml!E2566</f>
        <v>6</v>
      </c>
      <c r="F2562" s="14">
        <f>equip.xml!F2566</f>
        <v>5</v>
      </c>
      <c r="G2562" s="14">
        <f>equip.xml!G2566</f>
        <v>55</v>
      </c>
      <c r="H2562" s="14" t="str">
        <f>equip.xml!H2566</f>
        <v>1,1001</v>
      </c>
      <c r="I2562" s="14">
        <f>equip.xml!J2566</f>
        <v>150</v>
      </c>
      <c r="J2562" s="14">
        <f>equip.xml!K2566</f>
        <v>1500</v>
      </c>
      <c r="K2562" s="14">
        <f>equip.xml!L2566</f>
        <v>30000</v>
      </c>
      <c r="L2562" s="14" t="str">
        <f>equip.xml!M2566</f>
        <v>105_1981_1981</v>
      </c>
      <c r="M2562" s="17" t="str">
        <f>equip.xml!Q2566</f>
        <v>equipment/2113.png</v>
      </c>
      <c r="N2562" s="16" t="str">
        <f>equip.xml!P2566</f>
        <v>10000_1002_55000,30000_30001_1,30000_30002_1,30000_30003_1</v>
      </c>
      <c r="O2562">
        <f>equip.xml!R2566</f>
        <v>1</v>
      </c>
    </row>
    <row r="2563" spans="1:15">
      <c r="A2563" s="14">
        <f>equip.xml!A2567</f>
        <v>50551066</v>
      </c>
      <c r="B2563" s="14">
        <f>equip.xml!B2567</f>
        <v>0</v>
      </c>
      <c r="C2563" s="14" t="str">
        <f>equip.xml!C2567</f>
        <v>巨龙之盾</v>
      </c>
      <c r="D2563" s="14" t="str">
        <f>equip.xml!D2567</f>
        <v>副手武器</v>
      </c>
      <c r="E2563" s="14">
        <f>equip.xml!E2567</f>
        <v>6</v>
      </c>
      <c r="F2563" s="14">
        <f>equip.xml!F2567</f>
        <v>5</v>
      </c>
      <c r="G2563" s="14">
        <f>equip.xml!G2567</f>
        <v>55</v>
      </c>
      <c r="H2563" s="14" t="str">
        <f>equip.xml!H2567</f>
        <v>1,1001</v>
      </c>
      <c r="I2563" s="14">
        <f>equip.xml!J2567</f>
        <v>150</v>
      </c>
      <c r="J2563" s="14">
        <f>equip.xml!K2567</f>
        <v>1500</v>
      </c>
      <c r="K2563" s="14">
        <f>equip.xml!L2567</f>
        <v>32500</v>
      </c>
      <c r="L2563" s="14" t="str">
        <f>equip.xml!M2567</f>
        <v>105_2195_2195</v>
      </c>
      <c r="M2563" s="17" t="str">
        <f>equip.xml!Q2567</f>
        <v>equipment/2114.png</v>
      </c>
      <c r="N2563" s="16" t="str">
        <f>equip.xml!P2567</f>
        <v>10000_1002_55000,30000_30001_1,30000_30002_1,30000_30003_1</v>
      </c>
      <c r="O2563">
        <f>equip.xml!R2567</f>
        <v>1</v>
      </c>
    </row>
    <row r="2564" spans="1:15">
      <c r="A2564" s="14">
        <f>equip.xml!A2568</f>
        <v>50552055</v>
      </c>
      <c r="B2564" s="14">
        <f>equip.xml!B2568</f>
        <v>0</v>
      </c>
      <c r="C2564" s="14" t="str">
        <f>equip.xml!C2568</f>
        <v>魂击长弓</v>
      </c>
      <c r="D2564" s="14" t="str">
        <f>equip.xml!D2568</f>
        <v>主手武器</v>
      </c>
      <c r="E2564" s="14">
        <f>equip.xml!E2568</f>
        <v>5</v>
      </c>
      <c r="F2564" s="14">
        <f>equip.xml!F2568</f>
        <v>5</v>
      </c>
      <c r="G2564" s="14">
        <f>equip.xml!G2568</f>
        <v>55</v>
      </c>
      <c r="H2564" s="14" t="str">
        <f>equip.xml!H2568</f>
        <v>2,1002</v>
      </c>
      <c r="I2564" s="14">
        <f>equip.xml!J2568</f>
        <v>150</v>
      </c>
      <c r="J2564" s="14">
        <f>equip.xml!K2568</f>
        <v>1500</v>
      </c>
      <c r="K2564" s="14">
        <f>equip.xml!L2568</f>
        <v>30000</v>
      </c>
      <c r="L2564" s="14" t="str">
        <f>equip.xml!M2568</f>
        <v>103_1409_1409,104_2818_2818</v>
      </c>
      <c r="M2564" s="17" t="str">
        <f>equip.xml!Q2568</f>
        <v>equipment/1219.png</v>
      </c>
      <c r="N2564" s="16" t="str">
        <f>equip.xml!P2568</f>
        <v>10000_1002_55000,30000_30001_1,30000_30002_1,30000_30003_1</v>
      </c>
      <c r="O2564">
        <f>equip.xml!R2568</f>
        <v>1</v>
      </c>
    </row>
    <row r="2565" spans="1:15">
      <c r="A2565" s="14">
        <f>equip.xml!A2569</f>
        <v>50552056</v>
      </c>
      <c r="B2565" s="14">
        <f>equip.xml!B2569</f>
        <v>0</v>
      </c>
      <c r="C2565" s="14" t="str">
        <f>equip.xml!C2569</f>
        <v>棘木弓</v>
      </c>
      <c r="D2565" s="14" t="str">
        <f>equip.xml!D2569</f>
        <v>主手武器</v>
      </c>
      <c r="E2565" s="14">
        <f>equip.xml!E2569</f>
        <v>5</v>
      </c>
      <c r="F2565" s="14">
        <f>equip.xml!F2569</f>
        <v>5</v>
      </c>
      <c r="G2565" s="14">
        <f>equip.xml!G2569</f>
        <v>55</v>
      </c>
      <c r="H2565" s="14" t="str">
        <f>equip.xml!H2569</f>
        <v>2,1002</v>
      </c>
      <c r="I2565" s="14">
        <f>equip.xml!J2569</f>
        <v>150</v>
      </c>
      <c r="J2565" s="14">
        <f>equip.xml!K2569</f>
        <v>1500</v>
      </c>
      <c r="K2565" s="14">
        <f>equip.xml!L2569</f>
        <v>32500</v>
      </c>
      <c r="L2565" s="14" t="str">
        <f>equip.xml!M2569</f>
        <v>103_1648_1648,104_3296_3296</v>
      </c>
      <c r="M2565" s="17" t="str">
        <f>equip.xml!Q2569</f>
        <v>equipment/1201.png</v>
      </c>
      <c r="N2565" s="16" t="str">
        <f>equip.xml!P2569</f>
        <v>10000_1002_55000,30000_30001_1,30000_30002_1,30000_30003_1</v>
      </c>
      <c r="O2565">
        <f>equip.xml!R2569</f>
        <v>1</v>
      </c>
    </row>
    <row r="2566" spans="1:15">
      <c r="A2566" s="14">
        <f>equip.xml!A2570</f>
        <v>50552065</v>
      </c>
      <c r="B2566" s="14">
        <f>equip.xml!B2570</f>
        <v>0</v>
      </c>
      <c r="C2566" s="14" t="str">
        <f>equip.xml!C2570</f>
        <v>银矢箭筒</v>
      </c>
      <c r="D2566" s="14" t="str">
        <f>equip.xml!D2570</f>
        <v>副手武器</v>
      </c>
      <c r="E2566" s="14">
        <f>equip.xml!E2570</f>
        <v>6</v>
      </c>
      <c r="F2566" s="14">
        <f>equip.xml!F2570</f>
        <v>5</v>
      </c>
      <c r="G2566" s="14">
        <f>equip.xml!G2570</f>
        <v>55</v>
      </c>
      <c r="H2566" s="14" t="str">
        <f>equip.xml!H2570</f>
        <v>2,1002</v>
      </c>
      <c r="I2566" s="14">
        <f>equip.xml!J2570</f>
        <v>150</v>
      </c>
      <c r="J2566" s="14">
        <f>equip.xml!K2570</f>
        <v>1500</v>
      </c>
      <c r="K2566" s="14">
        <f>equip.xml!L2570</f>
        <v>30000</v>
      </c>
      <c r="L2566" s="14" t="str">
        <f>equip.xml!M2570</f>
        <v>108_1981_1981</v>
      </c>
      <c r="M2566" s="17" t="str">
        <f>equip.xml!Q2570</f>
        <v>equipment/2213.png</v>
      </c>
      <c r="N2566" s="16" t="str">
        <f>equip.xml!P2570</f>
        <v>10000_1002_55000,30000_30001_1,30000_30002_1,30000_30003_1</v>
      </c>
      <c r="O2566">
        <f>equip.xml!R2570</f>
        <v>1</v>
      </c>
    </row>
    <row r="2567" spans="1:15">
      <c r="A2567" s="14">
        <f>equip.xml!A2571</f>
        <v>50552066</v>
      </c>
      <c r="B2567" s="14">
        <f>equip.xml!B2571</f>
        <v>0</v>
      </c>
      <c r="C2567" s="14" t="str">
        <f>equip.xml!C2571</f>
        <v>日怒箭筒</v>
      </c>
      <c r="D2567" s="14" t="str">
        <f>equip.xml!D2571</f>
        <v>副手武器</v>
      </c>
      <c r="E2567" s="14">
        <f>equip.xml!E2571</f>
        <v>6</v>
      </c>
      <c r="F2567" s="14">
        <f>equip.xml!F2571</f>
        <v>5</v>
      </c>
      <c r="G2567" s="14">
        <f>equip.xml!G2571</f>
        <v>55</v>
      </c>
      <c r="H2567" s="14" t="str">
        <f>equip.xml!H2571</f>
        <v>2,1002</v>
      </c>
      <c r="I2567" s="14">
        <f>equip.xml!J2571</f>
        <v>150</v>
      </c>
      <c r="J2567" s="14">
        <f>equip.xml!K2571</f>
        <v>1500</v>
      </c>
      <c r="K2567" s="14">
        <f>equip.xml!L2571</f>
        <v>32500</v>
      </c>
      <c r="L2567" s="14" t="str">
        <f>equip.xml!M2571</f>
        <v>108_2195_2195</v>
      </c>
      <c r="M2567" s="17" t="str">
        <f>equip.xml!Q2571</f>
        <v>equipment/2214.png</v>
      </c>
      <c r="N2567" s="16" t="str">
        <f>equip.xml!P2571</f>
        <v>10000_1002_55000,30000_30001_1,30000_30002_1,30000_30003_1</v>
      </c>
      <c r="O2567">
        <f>equip.xml!R2571</f>
        <v>1</v>
      </c>
    </row>
    <row r="2568" spans="1:15">
      <c r="A2568" s="14">
        <f>equip.xml!A2572</f>
        <v>50553055</v>
      </c>
      <c r="B2568" s="14">
        <f>equip.xml!B2572</f>
        <v>0</v>
      </c>
      <c r="C2568" s="14" t="str">
        <f>equip.xml!C2572</f>
        <v>寒霜之怒</v>
      </c>
      <c r="D2568" s="14" t="str">
        <f>equip.xml!D2572</f>
        <v>主手武器</v>
      </c>
      <c r="E2568" s="14">
        <f>equip.xml!E2572</f>
        <v>5</v>
      </c>
      <c r="F2568" s="14">
        <f>equip.xml!F2572</f>
        <v>5</v>
      </c>
      <c r="G2568" s="14">
        <f>equip.xml!G2572</f>
        <v>55</v>
      </c>
      <c r="H2568" s="14" t="str">
        <f>equip.xml!H2572</f>
        <v>3,1003</v>
      </c>
      <c r="I2568" s="14">
        <f>equip.xml!J2572</f>
        <v>150</v>
      </c>
      <c r="J2568" s="14">
        <f>equip.xml!K2572</f>
        <v>1500</v>
      </c>
      <c r="K2568" s="14">
        <f>equip.xml!L2572</f>
        <v>30000</v>
      </c>
      <c r="L2568" s="14" t="str">
        <f>equip.xml!M2572</f>
        <v>103_1409_1409,104_2818_2818</v>
      </c>
      <c r="M2568" s="17" t="str">
        <f>equip.xml!Q2572</f>
        <v>equipment/1321.png</v>
      </c>
      <c r="N2568" s="16" t="str">
        <f>equip.xml!P2572</f>
        <v>10000_1002_55000,30000_30001_1,30000_30002_1,30000_30003_1</v>
      </c>
      <c r="O2568">
        <f>equip.xml!R2572</f>
        <v>1</v>
      </c>
    </row>
    <row r="2569" spans="1:15">
      <c r="A2569" s="14">
        <f>equip.xml!A2573</f>
        <v>50553056</v>
      </c>
      <c r="B2569" s="14">
        <f>equip.xml!B2573</f>
        <v>0</v>
      </c>
      <c r="C2569" s="14" t="str">
        <f>equip.xml!C2573</f>
        <v>学徒法杖</v>
      </c>
      <c r="D2569" s="14" t="str">
        <f>equip.xml!D2573</f>
        <v>主手武器</v>
      </c>
      <c r="E2569" s="14">
        <f>equip.xml!E2573</f>
        <v>5</v>
      </c>
      <c r="F2569" s="14">
        <f>equip.xml!F2573</f>
        <v>5</v>
      </c>
      <c r="G2569" s="14">
        <f>equip.xml!G2573</f>
        <v>55</v>
      </c>
      <c r="H2569" s="14" t="str">
        <f>equip.xml!H2573</f>
        <v>3,1003</v>
      </c>
      <c r="I2569" s="14">
        <f>equip.xml!J2573</f>
        <v>150</v>
      </c>
      <c r="J2569" s="14">
        <f>equip.xml!K2573</f>
        <v>1500</v>
      </c>
      <c r="K2569" s="14">
        <f>equip.xml!L2573</f>
        <v>32500</v>
      </c>
      <c r="L2569" s="14" t="str">
        <f>equip.xml!M2573</f>
        <v>103_1648_1648,104_3296_3296</v>
      </c>
      <c r="M2569" s="17" t="str">
        <f>equip.xml!Q2573</f>
        <v>equipment/1301.png</v>
      </c>
      <c r="N2569" s="16" t="str">
        <f>equip.xml!P2573</f>
        <v>10000_1002_55000,30000_30001_1,30000_30002_1,30000_30003_1</v>
      </c>
      <c r="O2569">
        <f>equip.xml!R2573</f>
        <v>1</v>
      </c>
    </row>
    <row r="2570" spans="1:15">
      <c r="A2570" s="14">
        <f>equip.xml!A2574</f>
        <v>50553065</v>
      </c>
      <c r="B2570" s="14">
        <f>equip.xml!B2574</f>
        <v>0</v>
      </c>
      <c r="C2570" s="14" t="str">
        <f>equip.xml!C2574</f>
        <v>遗忘魔典</v>
      </c>
      <c r="D2570" s="14" t="str">
        <f>equip.xml!D2574</f>
        <v>副手武器</v>
      </c>
      <c r="E2570" s="14">
        <f>equip.xml!E2574</f>
        <v>6</v>
      </c>
      <c r="F2570" s="14">
        <f>equip.xml!F2574</f>
        <v>5</v>
      </c>
      <c r="G2570" s="14">
        <f>equip.xml!G2574</f>
        <v>55</v>
      </c>
      <c r="H2570" s="14" t="str">
        <f>equip.xml!H2574</f>
        <v>3,1003</v>
      </c>
      <c r="I2570" s="14">
        <f>equip.xml!J2574</f>
        <v>150</v>
      </c>
      <c r="J2570" s="14">
        <f>equip.xml!K2574</f>
        <v>1500</v>
      </c>
      <c r="K2570" s="14">
        <f>equip.xml!L2574</f>
        <v>30000</v>
      </c>
      <c r="L2570" s="14" t="str">
        <f>equip.xml!M2574</f>
        <v>102_1780_1780</v>
      </c>
      <c r="M2570" s="17" t="str">
        <f>equip.xml!Q2574</f>
        <v>equipment/2313.png</v>
      </c>
      <c r="N2570" s="16" t="str">
        <f>equip.xml!P2574</f>
        <v>10000_1002_55000,30000_30001_1,30000_30002_1,30000_30003_1</v>
      </c>
      <c r="O2570">
        <f>equip.xml!R2574</f>
        <v>1</v>
      </c>
    </row>
    <row r="2571" spans="1:15">
      <c r="A2571" s="14">
        <f>equip.xml!A2575</f>
        <v>50553066</v>
      </c>
      <c r="B2571" s="14">
        <f>equip.xml!B2575</f>
        <v>0</v>
      </c>
      <c r="C2571" s="14" t="str">
        <f>equip.xml!C2575</f>
        <v>龙语入门</v>
      </c>
      <c r="D2571" s="14" t="str">
        <f>equip.xml!D2575</f>
        <v>副手武器</v>
      </c>
      <c r="E2571" s="14">
        <f>equip.xml!E2575</f>
        <v>6</v>
      </c>
      <c r="F2571" s="14">
        <f>equip.xml!F2575</f>
        <v>5</v>
      </c>
      <c r="G2571" s="14">
        <f>equip.xml!G2575</f>
        <v>55</v>
      </c>
      <c r="H2571" s="14" t="str">
        <f>equip.xml!H2575</f>
        <v>3,1003</v>
      </c>
      <c r="I2571" s="14">
        <f>equip.xml!J2575</f>
        <v>150</v>
      </c>
      <c r="J2571" s="14">
        <f>equip.xml!K2575</f>
        <v>1500</v>
      </c>
      <c r="K2571" s="14">
        <f>equip.xml!L2575</f>
        <v>32500</v>
      </c>
      <c r="L2571" s="14" t="str">
        <f>equip.xml!M2575</f>
        <v>102_1972_1972</v>
      </c>
      <c r="M2571" s="17" t="str">
        <f>equip.xml!Q2575</f>
        <v>equipment/2316.png</v>
      </c>
      <c r="N2571" s="16" t="str">
        <f>equip.xml!P2575</f>
        <v>10000_1002_55000,30000_30001_1,30000_30002_1,30000_30003_1</v>
      </c>
      <c r="O2571">
        <f>equip.xml!R2575</f>
        <v>1</v>
      </c>
    </row>
    <row r="2572" spans="1:15">
      <c r="A2572" s="14">
        <f>equip.xml!A2576</f>
        <v>50550045</v>
      </c>
      <c r="B2572" s="14">
        <f>equip.xml!B2576</f>
        <v>0</v>
      </c>
      <c r="C2572" s="14" t="str">
        <f>equip.xml!C2576</f>
        <v>血卫胸甲</v>
      </c>
      <c r="D2572" s="14" t="str">
        <f>equip.xml!D2576</f>
        <v>胸甲</v>
      </c>
      <c r="E2572" s="14">
        <f>equip.xml!E2576</f>
        <v>4</v>
      </c>
      <c r="F2572" s="14">
        <f>equip.xml!F2576</f>
        <v>5</v>
      </c>
      <c r="G2572" s="14">
        <f>equip.xml!G2576</f>
        <v>55</v>
      </c>
      <c r="H2572" s="14">
        <f>equip.xml!H2576</f>
        <v>0</v>
      </c>
      <c r="I2572" s="14">
        <f>equip.xml!J2576</f>
        <v>150</v>
      </c>
      <c r="J2572" s="14">
        <f>equip.xml!K2576</f>
        <v>1500</v>
      </c>
      <c r="K2572" s="14">
        <f>equip.xml!L2576</f>
        <v>30000</v>
      </c>
      <c r="L2572" s="14" t="str">
        <f>equip.xml!M2576</f>
        <v>105_1153_1153</v>
      </c>
      <c r="M2572" s="17" t="str">
        <f>equip.xml!Q2576</f>
        <v>equipment/5015.png</v>
      </c>
      <c r="N2572" s="16" t="str">
        <f>equip.xml!P2576</f>
        <v>10000_1002_55000,30000_30001_1,30000_30002_1,30000_30003_1</v>
      </c>
      <c r="O2572">
        <f>equip.xml!R2576</f>
        <v>1</v>
      </c>
    </row>
    <row r="2573" spans="1:15">
      <c r="A2573" s="14">
        <f>equip.xml!A2577</f>
        <v>50550046</v>
      </c>
      <c r="B2573" s="14">
        <f>equip.xml!B2577</f>
        <v>0</v>
      </c>
      <c r="C2573" s="14" t="str">
        <f>equip.xml!C2577</f>
        <v>新兵外套</v>
      </c>
      <c r="D2573" s="14" t="str">
        <f>equip.xml!D2577</f>
        <v>胸甲</v>
      </c>
      <c r="E2573" s="14">
        <f>equip.xml!E2577</f>
        <v>4</v>
      </c>
      <c r="F2573" s="14">
        <f>equip.xml!F2577</f>
        <v>5</v>
      </c>
      <c r="G2573" s="14">
        <f>equip.xml!G2577</f>
        <v>55</v>
      </c>
      <c r="H2573" s="14">
        <f>equip.xml!H2577</f>
        <v>0</v>
      </c>
      <c r="I2573" s="14">
        <f>equip.xml!J2577</f>
        <v>150</v>
      </c>
      <c r="J2573" s="14">
        <f>equip.xml!K2577</f>
        <v>1500</v>
      </c>
      <c r="K2573" s="14">
        <f>equip.xml!L2577</f>
        <v>32500</v>
      </c>
      <c r="L2573" s="14" t="str">
        <f>equip.xml!M2577</f>
        <v>105_1243_1243</v>
      </c>
      <c r="M2573" s="17" t="str">
        <f>equip.xml!Q2577</f>
        <v>equipment/5001.png</v>
      </c>
      <c r="N2573" s="16" t="str">
        <f>equip.xml!P2577</f>
        <v>10000_1002_55000,30000_30001_1,30000_30002_1,30000_30003_1</v>
      </c>
      <c r="O2573">
        <f>equip.xml!R2577</f>
        <v>1</v>
      </c>
    </row>
    <row r="2574" spans="1:15">
      <c r="A2574" s="14">
        <f>equip.xml!A2578</f>
        <v>50550075</v>
      </c>
      <c r="B2574" s="14">
        <f>equip.xml!B2578</f>
        <v>0</v>
      </c>
      <c r="C2574" s="14" t="str">
        <f>equip.xml!C2578</f>
        <v>征服者护腿</v>
      </c>
      <c r="D2574" s="14" t="str">
        <f>equip.xml!D2578</f>
        <v>护腿</v>
      </c>
      <c r="E2574" s="14">
        <f>equip.xml!E2578</f>
        <v>7</v>
      </c>
      <c r="F2574" s="14">
        <f>equip.xml!F2578</f>
        <v>5</v>
      </c>
      <c r="G2574" s="14">
        <f>equip.xml!G2578</f>
        <v>55</v>
      </c>
      <c r="H2574" s="14">
        <f>equip.xml!H2578</f>
        <v>0</v>
      </c>
      <c r="I2574" s="14">
        <f>equip.xml!J2578</f>
        <v>150</v>
      </c>
      <c r="J2574" s="14">
        <f>equip.xml!K2578</f>
        <v>1500</v>
      </c>
      <c r="K2574" s="14">
        <f>equip.xml!L2578</f>
        <v>30000</v>
      </c>
      <c r="L2574" s="14" t="str">
        <f>equip.xml!M2578</f>
        <v>105_780_780</v>
      </c>
      <c r="M2574" s="17" t="str">
        <f>equip.xml!Q2578</f>
        <v>equipment/7013.png</v>
      </c>
      <c r="N2574" s="16" t="str">
        <f>equip.xml!P2578</f>
        <v>10000_1002_55000,30000_30001_1,30000_30002_1,30000_30003_1</v>
      </c>
      <c r="O2574">
        <f>equip.xml!R2578</f>
        <v>1</v>
      </c>
    </row>
    <row r="2575" spans="1:15">
      <c r="A2575" s="14">
        <f>equip.xml!A2579</f>
        <v>50550076</v>
      </c>
      <c r="B2575" s="14">
        <f>equip.xml!B2579</f>
        <v>0</v>
      </c>
      <c r="C2575" s="14" t="str">
        <f>equip.xml!C2579</f>
        <v>学徒短裤</v>
      </c>
      <c r="D2575" s="14" t="str">
        <f>equip.xml!D2579</f>
        <v>护腿</v>
      </c>
      <c r="E2575" s="14">
        <f>equip.xml!E2579</f>
        <v>7</v>
      </c>
      <c r="F2575" s="14">
        <f>equip.xml!F2579</f>
        <v>5</v>
      </c>
      <c r="G2575" s="14">
        <f>equip.xml!G2579</f>
        <v>55</v>
      </c>
      <c r="H2575" s="14">
        <f>equip.xml!H2579</f>
        <v>0</v>
      </c>
      <c r="I2575" s="14">
        <f>equip.xml!J2579</f>
        <v>150</v>
      </c>
      <c r="J2575" s="14">
        <f>equip.xml!K2579</f>
        <v>1500</v>
      </c>
      <c r="K2575" s="14">
        <f>equip.xml!L2579</f>
        <v>32500</v>
      </c>
      <c r="L2575" s="14" t="str">
        <f>equip.xml!M2579</f>
        <v>105_929_929</v>
      </c>
      <c r="M2575" s="17" t="str">
        <f>equip.xml!Q2579</f>
        <v>equipment/7001.png</v>
      </c>
      <c r="N2575" s="16" t="str">
        <f>equip.xml!P2579</f>
        <v>10000_1002_55000,30000_30001_1,30000_30002_1,30000_30003_1</v>
      </c>
      <c r="O2575">
        <f>equip.xml!R2579</f>
        <v>1</v>
      </c>
    </row>
    <row r="2576" spans="1:15">
      <c r="A2576" s="14">
        <f>equip.xml!A2580</f>
        <v>50600015</v>
      </c>
      <c r="B2576" s="14">
        <f>equip.xml!B2580</f>
        <v>0</v>
      </c>
      <c r="C2576" s="14" t="str">
        <f>equip.xml!C2580</f>
        <v>英勇战盔</v>
      </c>
      <c r="D2576" s="14" t="str">
        <f>equip.xml!D2580</f>
        <v>头盔</v>
      </c>
      <c r="E2576" s="14">
        <f>equip.xml!E2580</f>
        <v>1</v>
      </c>
      <c r="F2576" s="14">
        <f>equip.xml!F2580</f>
        <v>5</v>
      </c>
      <c r="G2576" s="14">
        <f>equip.xml!G2580</f>
        <v>60</v>
      </c>
      <c r="H2576" s="14">
        <f>equip.xml!H2580</f>
        <v>0</v>
      </c>
      <c r="I2576" s="14">
        <f>equip.xml!J2580</f>
        <v>150</v>
      </c>
      <c r="J2576" s="14">
        <f>equip.xml!K2580</f>
        <v>1500</v>
      </c>
      <c r="K2576" s="14">
        <f>equip.xml!L2580</f>
        <v>32500</v>
      </c>
      <c r="L2576" s="14" t="str">
        <f>equip.xml!M2580</f>
        <v>106_1628_1628</v>
      </c>
      <c r="M2576" s="17" t="str">
        <f>equip.xml!Q2580</f>
        <v>equipment/3010.png</v>
      </c>
      <c r="N2576" s="16" t="str">
        <f>equip.xml!P2580</f>
        <v>10000_1002_60000,30000_30001_1,30000_30002_1,30000_30003_1</v>
      </c>
      <c r="O2576">
        <f>equip.xml!R2580</f>
        <v>1</v>
      </c>
    </row>
    <row r="2577" spans="1:15">
      <c r="A2577" s="14">
        <f>equip.xml!A2581</f>
        <v>50600025</v>
      </c>
      <c r="B2577" s="14">
        <f>equip.xml!B2581</f>
        <v>0</v>
      </c>
      <c r="C2577" s="14" t="str">
        <f>equip.xml!C2581</f>
        <v>星宇指环</v>
      </c>
      <c r="D2577" s="14" t="str">
        <f>equip.xml!D2581</f>
        <v>戒指</v>
      </c>
      <c r="E2577" s="14">
        <f>equip.xml!E2581</f>
        <v>2</v>
      </c>
      <c r="F2577" s="14">
        <f>equip.xml!F2581</f>
        <v>5</v>
      </c>
      <c r="G2577" s="14">
        <f>equip.xml!G2581</f>
        <v>60</v>
      </c>
      <c r="H2577" s="14">
        <f>equip.xml!H2581</f>
        <v>0</v>
      </c>
      <c r="I2577" s="14">
        <f>equip.xml!J2581</f>
        <v>150</v>
      </c>
      <c r="J2577" s="14">
        <f>equip.xml!K2581</f>
        <v>1500</v>
      </c>
      <c r="K2577" s="14">
        <f>equip.xml!L2581</f>
        <v>32500</v>
      </c>
      <c r="L2577" s="14" t="str">
        <f>equip.xml!M2581</f>
        <v>102_1260_1260</v>
      </c>
      <c r="M2577" s="17" t="str">
        <f>equip.xml!Q2581</f>
        <v>equipment/14010.png</v>
      </c>
      <c r="N2577" s="16" t="str">
        <f>equip.xml!P2581</f>
        <v>10000_1002_60000,30000_30001_1,30000_30002_1,30000_30003_1</v>
      </c>
      <c r="O2577">
        <f>equip.xml!R2581</f>
        <v>1</v>
      </c>
    </row>
    <row r="2578" spans="1:15">
      <c r="A2578" s="14">
        <f>equip.xml!A2582</f>
        <v>50600035</v>
      </c>
      <c r="B2578" s="14">
        <f>equip.xml!B2582</f>
        <v>0</v>
      </c>
      <c r="C2578" s="14" t="str">
        <f>equip.xml!C2582</f>
        <v>远征腰带</v>
      </c>
      <c r="D2578" s="14" t="str">
        <f>equip.xml!D2582</f>
        <v>腰带</v>
      </c>
      <c r="E2578" s="14">
        <f>equip.xml!E2582</f>
        <v>3</v>
      </c>
      <c r="F2578" s="14">
        <f>equip.xml!F2582</f>
        <v>5</v>
      </c>
      <c r="G2578" s="14">
        <f>equip.xml!G2582</f>
        <v>60</v>
      </c>
      <c r="H2578" s="14">
        <f>equip.xml!H2582</f>
        <v>0</v>
      </c>
      <c r="I2578" s="14">
        <f>equip.xml!J2582</f>
        <v>150</v>
      </c>
      <c r="J2578" s="14">
        <f>equip.xml!K2582</f>
        <v>1500</v>
      </c>
      <c r="K2578" s="14">
        <f>equip.xml!L2582</f>
        <v>32500</v>
      </c>
      <c r="L2578" s="14" t="str">
        <f>equip.xml!M2582</f>
        <v>101_13920_13920</v>
      </c>
      <c r="M2578" s="17" t="str">
        <f>equip.xml!Q2582</f>
        <v>equipment/6010.png</v>
      </c>
      <c r="N2578" s="16" t="str">
        <f>equip.xml!P2582</f>
        <v>10000_1002_60000,30000_30001_1,30000_30002_1,30000_30003_1</v>
      </c>
      <c r="O2578">
        <f>equip.xml!R2582</f>
        <v>1</v>
      </c>
    </row>
    <row r="2579" spans="1:15">
      <c r="A2579" s="14">
        <f>equip.xml!A2583</f>
        <v>50600085</v>
      </c>
      <c r="B2579" s="14">
        <f>equip.xml!B2583</f>
        <v>0</v>
      </c>
      <c r="C2579" s="14" t="str">
        <f>equip.xml!C2583</f>
        <v>风暴长靴</v>
      </c>
      <c r="D2579" s="14" t="str">
        <f>equip.xml!D2583</f>
        <v>鞋子</v>
      </c>
      <c r="E2579" s="14">
        <f>equip.xml!E2583</f>
        <v>8</v>
      </c>
      <c r="F2579" s="14">
        <f>equip.xml!F2583</f>
        <v>5</v>
      </c>
      <c r="G2579" s="14">
        <f>equip.xml!G2583</f>
        <v>60</v>
      </c>
      <c r="H2579" s="14">
        <f>equip.xml!H2583</f>
        <v>0</v>
      </c>
      <c r="I2579" s="14">
        <f>equip.xml!J2583</f>
        <v>150</v>
      </c>
      <c r="J2579" s="14">
        <f>equip.xml!K2583</f>
        <v>1500</v>
      </c>
      <c r="K2579" s="14">
        <f>equip.xml!L2583</f>
        <v>32500</v>
      </c>
      <c r="L2579" s="14" t="str">
        <f>equip.xml!M2583</f>
        <v>110_271_271</v>
      </c>
      <c r="M2579" s="17" t="str">
        <f>equip.xml!Q2583</f>
        <v>equipment/8010.png</v>
      </c>
      <c r="N2579" s="16" t="str">
        <f>equip.xml!P2583</f>
        <v>10000_1002_60000,30000_30001_1,30000_30002_1,30000_30003_1</v>
      </c>
      <c r="O2579">
        <f>equip.xml!R2583</f>
        <v>1</v>
      </c>
    </row>
    <row r="2580" spans="1:15">
      <c r="A2580" s="14">
        <f>equip.xml!A2584</f>
        <v>50600095</v>
      </c>
      <c r="B2580" s="14">
        <f>equip.xml!B2584</f>
        <v>0</v>
      </c>
      <c r="C2580" s="14" t="str">
        <f>equip.xml!C2584</f>
        <v>远征军护手</v>
      </c>
      <c r="D2580" s="14" t="str">
        <f>equip.xml!D2584</f>
        <v>手套</v>
      </c>
      <c r="E2580" s="14">
        <f>equip.xml!E2584</f>
        <v>9</v>
      </c>
      <c r="F2580" s="14">
        <f>equip.xml!F2584</f>
        <v>5</v>
      </c>
      <c r="G2580" s="14">
        <f>equip.xml!G2584</f>
        <v>60</v>
      </c>
      <c r="H2580" s="14">
        <f>equip.xml!H2584</f>
        <v>0</v>
      </c>
      <c r="I2580" s="14">
        <f>equip.xml!J2584</f>
        <v>150</v>
      </c>
      <c r="J2580" s="14">
        <f>equip.xml!K2584</f>
        <v>1500</v>
      </c>
      <c r="K2580" s="14">
        <f>equip.xml!L2584</f>
        <v>32500</v>
      </c>
      <c r="L2580" s="14" t="str">
        <f>equip.xml!M2584</f>
        <v>108_2300_2300</v>
      </c>
      <c r="M2580" s="17" t="str">
        <f>equip.xml!Q2584</f>
        <v>equipment/10010.png</v>
      </c>
      <c r="N2580" s="16" t="str">
        <f>equip.xml!P2584</f>
        <v>10000_1002_60000,30000_30001_1,30000_30002_1,30000_30003_1</v>
      </c>
      <c r="O2580">
        <f>equip.xml!R2584</f>
        <v>1</v>
      </c>
    </row>
    <row r="2581" spans="1:15">
      <c r="A2581" s="14">
        <f>equip.xml!A2585</f>
        <v>50600105</v>
      </c>
      <c r="B2581" s="14">
        <f>equip.xml!B2585</f>
        <v>0</v>
      </c>
      <c r="C2581" s="14" t="str">
        <f>equip.xml!C2585</f>
        <v>悔恨之链</v>
      </c>
      <c r="D2581" s="14" t="str">
        <f>equip.xml!D2585</f>
        <v>项链</v>
      </c>
      <c r="E2581" s="14">
        <f>equip.xml!E2585</f>
        <v>10</v>
      </c>
      <c r="F2581" s="14">
        <f>equip.xml!F2585</f>
        <v>5</v>
      </c>
      <c r="G2581" s="14">
        <f>equip.xml!G2585</f>
        <v>60</v>
      </c>
      <c r="H2581" s="14">
        <f>equip.xml!H2585</f>
        <v>0</v>
      </c>
      <c r="I2581" s="14">
        <f>equip.xml!J2585</f>
        <v>150</v>
      </c>
      <c r="J2581" s="14">
        <f>equip.xml!K2585</f>
        <v>1500</v>
      </c>
      <c r="K2581" s="14">
        <f>equip.xml!L2585</f>
        <v>32500</v>
      </c>
      <c r="L2581" s="14" t="str">
        <f>equip.xml!M2585</f>
        <v>107_1628_1628</v>
      </c>
      <c r="M2581" s="17" t="str">
        <f>equip.xml!Q2585</f>
        <v>equipment/12010.png</v>
      </c>
      <c r="N2581" s="16" t="str">
        <f>equip.xml!P2585</f>
        <v>10000_1002_60000,30000_30001_1,30000_30002_1,30000_30003_1</v>
      </c>
      <c r="O2581">
        <f>equip.xml!R2585</f>
        <v>1</v>
      </c>
    </row>
    <row r="2582" spans="1:15">
      <c r="A2582" s="14">
        <f>equip.xml!A2586</f>
        <v>50601055</v>
      </c>
      <c r="B2582" s="14">
        <f>equip.xml!B2586</f>
        <v>0</v>
      </c>
      <c r="C2582" s="14" t="str">
        <f>equip.xml!C2586</f>
        <v>毁灭之刃</v>
      </c>
      <c r="D2582" s="14" t="str">
        <f>equip.xml!D2586</f>
        <v>主手武器</v>
      </c>
      <c r="E2582" s="14">
        <f>equip.xml!E2586</f>
        <v>5</v>
      </c>
      <c r="F2582" s="14">
        <f>equip.xml!F2586</f>
        <v>5</v>
      </c>
      <c r="G2582" s="14">
        <f>equip.xml!G2586</f>
        <v>60</v>
      </c>
      <c r="H2582" s="14" t="str">
        <f>equip.xml!H2586</f>
        <v>1,1001</v>
      </c>
      <c r="I2582" s="14">
        <f>equip.xml!J2586</f>
        <v>150</v>
      </c>
      <c r="J2582" s="14">
        <f>equip.xml!K2586</f>
        <v>1500</v>
      </c>
      <c r="K2582" s="14">
        <f>equip.xml!L2586</f>
        <v>32500</v>
      </c>
      <c r="L2582" s="14" t="str">
        <f>equip.xml!M2586</f>
        <v>103_2007_2007,104_4014_4014</v>
      </c>
      <c r="M2582" s="17" t="str">
        <f>equip.xml!Q2586</f>
        <v>equipment/1118.png</v>
      </c>
      <c r="N2582" s="16" t="str">
        <f>equip.xml!P2586</f>
        <v>10000_1002_60000,30000_30001_1,30000_30002_1,30000_30003_1</v>
      </c>
      <c r="O2582">
        <f>equip.xml!R2586</f>
        <v>1</v>
      </c>
    </row>
    <row r="2583" spans="1:15">
      <c r="A2583" s="14">
        <f>equip.xml!A2587</f>
        <v>50601056</v>
      </c>
      <c r="B2583" s="14">
        <f>equip.xml!B2587</f>
        <v>0</v>
      </c>
      <c r="C2583" s="14" t="str">
        <f>equip.xml!C2587</f>
        <v>逐光巨剑</v>
      </c>
      <c r="D2583" s="14" t="str">
        <f>equip.xml!D2587</f>
        <v>主手武器</v>
      </c>
      <c r="E2583" s="14">
        <f>equip.xml!E2587</f>
        <v>5</v>
      </c>
      <c r="F2583" s="14">
        <f>equip.xml!F2587</f>
        <v>5</v>
      </c>
      <c r="G2583" s="14">
        <f>equip.xml!G2587</f>
        <v>60</v>
      </c>
      <c r="H2583" s="14" t="str">
        <f>equip.xml!H2587</f>
        <v>1,1001</v>
      </c>
      <c r="I2583" s="14">
        <f>equip.xml!J2587</f>
        <v>150</v>
      </c>
      <c r="J2583" s="14">
        <f>equip.xml!K2587</f>
        <v>1500</v>
      </c>
      <c r="K2583" s="14">
        <f>equip.xml!L2587</f>
        <v>35000</v>
      </c>
      <c r="L2583" s="14" t="str">
        <f>equip.xml!M2587</f>
        <v>103_2252_2252,104_4504_4504</v>
      </c>
      <c r="M2583" s="17" t="str">
        <f>equip.xml!Q2587</f>
        <v>equipment/1122.png</v>
      </c>
      <c r="N2583" s="16" t="str">
        <f>equip.xml!P2587</f>
        <v>10000_1002_60000,30000_30001_1,30000_30002_1,30000_30003_1</v>
      </c>
      <c r="O2583">
        <f>equip.xml!R2587</f>
        <v>1</v>
      </c>
    </row>
    <row r="2584" spans="1:15">
      <c r="A2584" s="14">
        <f>equip.xml!A2588</f>
        <v>50601065</v>
      </c>
      <c r="B2584" s="14">
        <f>equip.xml!B2588</f>
        <v>0</v>
      </c>
      <c r="C2584" s="14" t="str">
        <f>equip.xml!C2588</f>
        <v>灵魂壁垒</v>
      </c>
      <c r="D2584" s="14" t="str">
        <f>equip.xml!D2588</f>
        <v>副手武器</v>
      </c>
      <c r="E2584" s="14">
        <f>equip.xml!E2588</f>
        <v>6</v>
      </c>
      <c r="F2584" s="14">
        <f>equip.xml!F2588</f>
        <v>5</v>
      </c>
      <c r="G2584" s="14">
        <f>equip.xml!G2588</f>
        <v>60</v>
      </c>
      <c r="H2584" s="14" t="str">
        <f>equip.xml!H2588</f>
        <v>1,1001</v>
      </c>
      <c r="I2584" s="14">
        <f>equip.xml!J2588</f>
        <v>150</v>
      </c>
      <c r="J2584" s="14">
        <f>equip.xml!K2588</f>
        <v>1500</v>
      </c>
      <c r="K2584" s="14">
        <f>equip.xml!L2588</f>
        <v>32500</v>
      </c>
      <c r="L2584" s="14" t="str">
        <f>equip.xml!M2588</f>
        <v>105_2515_2515</v>
      </c>
      <c r="M2584" s="17" t="str">
        <f>equip.xml!Q2588</f>
        <v>equipment/2115.png</v>
      </c>
      <c r="N2584" s="16" t="str">
        <f>equip.xml!P2588</f>
        <v>10000_1002_60000,30000_30001_1,30000_30002_1,30000_30003_1</v>
      </c>
      <c r="O2584">
        <f>equip.xml!R2588</f>
        <v>1</v>
      </c>
    </row>
    <row r="2585" spans="1:15">
      <c r="A2585" s="14">
        <f>equip.xml!A2589</f>
        <v>50601066</v>
      </c>
      <c r="B2585" s="14">
        <f>equip.xml!B2589</f>
        <v>0</v>
      </c>
      <c r="C2585" s="14" t="str">
        <f>equip.xml!C2589</f>
        <v>尖头盾</v>
      </c>
      <c r="D2585" s="14" t="str">
        <f>equip.xml!D2589</f>
        <v>副手武器</v>
      </c>
      <c r="E2585" s="14">
        <f>equip.xml!E2589</f>
        <v>6</v>
      </c>
      <c r="F2585" s="14">
        <f>equip.xml!F2589</f>
        <v>5</v>
      </c>
      <c r="G2585" s="14">
        <f>equip.xml!G2589</f>
        <v>60</v>
      </c>
      <c r="H2585" s="14" t="str">
        <f>equip.xml!H2589</f>
        <v>1,1001</v>
      </c>
      <c r="I2585" s="14">
        <f>equip.xml!J2589</f>
        <v>150</v>
      </c>
      <c r="J2585" s="14">
        <f>equip.xml!K2589</f>
        <v>1500</v>
      </c>
      <c r="K2585" s="14">
        <f>equip.xml!L2589</f>
        <v>35000</v>
      </c>
      <c r="L2585" s="14" t="str">
        <f>equip.xml!M2589</f>
        <v>105_2704_2704</v>
      </c>
      <c r="M2585" s="17" t="str">
        <f>equip.xml!Q2589</f>
        <v>equipment/2101.png</v>
      </c>
      <c r="N2585" s="16" t="str">
        <f>equip.xml!P2589</f>
        <v>10000_1002_60000,30000_30001_1,30000_30002_1,30000_30003_1</v>
      </c>
      <c r="O2585">
        <f>equip.xml!R2589</f>
        <v>1</v>
      </c>
    </row>
    <row r="2586" spans="1:15">
      <c r="A2586" s="14">
        <f>equip.xml!A2590</f>
        <v>50602055</v>
      </c>
      <c r="B2586" s="14">
        <f>equip.xml!B2590</f>
        <v>0</v>
      </c>
      <c r="C2586" s="14" t="str">
        <f>equip.xml!C2590</f>
        <v>暗之追猎者</v>
      </c>
      <c r="D2586" s="14" t="str">
        <f>equip.xml!D2590</f>
        <v>主手武器</v>
      </c>
      <c r="E2586" s="14">
        <f>equip.xml!E2590</f>
        <v>5</v>
      </c>
      <c r="F2586" s="14">
        <f>equip.xml!F2590</f>
        <v>5</v>
      </c>
      <c r="G2586" s="14">
        <f>equip.xml!G2590</f>
        <v>60</v>
      </c>
      <c r="H2586" s="14" t="str">
        <f>equip.xml!H2590</f>
        <v>2,1002</v>
      </c>
      <c r="I2586" s="14">
        <f>equip.xml!J2590</f>
        <v>150</v>
      </c>
      <c r="J2586" s="14">
        <f>equip.xml!K2590</f>
        <v>1500</v>
      </c>
      <c r="K2586" s="14">
        <f>equip.xml!L2590</f>
        <v>32500</v>
      </c>
      <c r="L2586" s="14" t="str">
        <f>equip.xml!M2590</f>
        <v>103_2007_2007,104_4014_4014</v>
      </c>
      <c r="M2586" s="17" t="str">
        <f>equip.xml!Q2590</f>
        <v>equipment/1220.png</v>
      </c>
      <c r="N2586" s="16" t="str">
        <f>equip.xml!P2590</f>
        <v>10000_1002_60000,30000_30001_1,30000_30002_1,30000_30003_1</v>
      </c>
      <c r="O2586">
        <f>equip.xml!R2590</f>
        <v>1</v>
      </c>
    </row>
    <row r="2587" spans="1:15">
      <c r="A2587" s="14">
        <f>equip.xml!A2591</f>
        <v>50602056</v>
      </c>
      <c r="B2587" s="14">
        <f>equip.xml!B2591</f>
        <v>0</v>
      </c>
      <c r="C2587" s="14" t="str">
        <f>equip.xml!C2591</f>
        <v>棘木弓</v>
      </c>
      <c r="D2587" s="14" t="str">
        <f>equip.xml!D2591</f>
        <v>主手武器</v>
      </c>
      <c r="E2587" s="14">
        <f>equip.xml!E2591</f>
        <v>5</v>
      </c>
      <c r="F2587" s="14">
        <f>equip.xml!F2591</f>
        <v>5</v>
      </c>
      <c r="G2587" s="14">
        <f>equip.xml!G2591</f>
        <v>60</v>
      </c>
      <c r="H2587" s="14" t="str">
        <f>equip.xml!H2591</f>
        <v>2,1002</v>
      </c>
      <c r="I2587" s="14">
        <f>equip.xml!J2591</f>
        <v>150</v>
      </c>
      <c r="J2587" s="14">
        <f>equip.xml!K2591</f>
        <v>1500</v>
      </c>
      <c r="K2587" s="14">
        <f>equip.xml!L2591</f>
        <v>35000</v>
      </c>
      <c r="L2587" s="14" t="str">
        <f>equip.xml!M2591</f>
        <v>103_2252_2252,104_4504_4504</v>
      </c>
      <c r="M2587" s="17" t="str">
        <f>equip.xml!Q2591</f>
        <v>equipment/1201.png</v>
      </c>
      <c r="N2587" s="16" t="str">
        <f>equip.xml!P2591</f>
        <v>10000_1002_60000,30000_30001_1,30000_30002_1,30000_30003_1</v>
      </c>
      <c r="O2587">
        <f>equip.xml!R2591</f>
        <v>1</v>
      </c>
    </row>
    <row r="2588" spans="1:15">
      <c r="A2588" s="14">
        <f>equip.xml!A2592</f>
        <v>50602065</v>
      </c>
      <c r="B2588" s="14">
        <f>equip.xml!B2592</f>
        <v>0</v>
      </c>
      <c r="C2588" s="14" t="str">
        <f>equip.xml!C2592</f>
        <v>猎星箭袋</v>
      </c>
      <c r="D2588" s="14" t="str">
        <f>equip.xml!D2592</f>
        <v>副手武器</v>
      </c>
      <c r="E2588" s="14">
        <f>equip.xml!E2592</f>
        <v>6</v>
      </c>
      <c r="F2588" s="14">
        <f>equip.xml!F2592</f>
        <v>5</v>
      </c>
      <c r="G2588" s="14">
        <f>equip.xml!G2592</f>
        <v>60</v>
      </c>
      <c r="H2588" s="14" t="str">
        <f>equip.xml!H2592</f>
        <v>2,1002</v>
      </c>
      <c r="I2588" s="14">
        <f>equip.xml!J2592</f>
        <v>150</v>
      </c>
      <c r="J2588" s="14">
        <f>equip.xml!K2592</f>
        <v>1500</v>
      </c>
      <c r="K2588" s="14">
        <f>equip.xml!L2592</f>
        <v>32500</v>
      </c>
      <c r="L2588" s="14" t="str">
        <f>equip.xml!M2592</f>
        <v>108_2515_2515</v>
      </c>
      <c r="M2588" s="17" t="str">
        <f>equip.xml!Q2592</f>
        <v>equipment/2215.png</v>
      </c>
      <c r="N2588" s="16" t="str">
        <f>equip.xml!P2592</f>
        <v>10000_1002_60000,30000_30001_1,30000_30002_1,30000_30003_1</v>
      </c>
      <c r="O2588">
        <f>equip.xml!R2592</f>
        <v>1</v>
      </c>
    </row>
    <row r="2589" spans="1:15">
      <c r="A2589" s="14">
        <f>equip.xml!A2593</f>
        <v>50602066</v>
      </c>
      <c r="B2589" s="14">
        <f>equip.xml!B2593</f>
        <v>0</v>
      </c>
      <c r="C2589" s="14" t="str">
        <f>equip.xml!C2593</f>
        <v>箭筒</v>
      </c>
      <c r="D2589" s="14" t="str">
        <f>equip.xml!D2593</f>
        <v>副手武器</v>
      </c>
      <c r="E2589" s="14">
        <f>equip.xml!E2593</f>
        <v>6</v>
      </c>
      <c r="F2589" s="14">
        <f>equip.xml!F2593</f>
        <v>5</v>
      </c>
      <c r="G2589" s="14">
        <f>equip.xml!G2593</f>
        <v>60</v>
      </c>
      <c r="H2589" s="14" t="str">
        <f>equip.xml!H2593</f>
        <v>2,1002</v>
      </c>
      <c r="I2589" s="14">
        <f>equip.xml!J2593</f>
        <v>150</v>
      </c>
      <c r="J2589" s="14">
        <f>equip.xml!K2593</f>
        <v>1500</v>
      </c>
      <c r="K2589" s="14">
        <f>equip.xml!L2593</f>
        <v>35000</v>
      </c>
      <c r="L2589" s="14" t="str">
        <f>equip.xml!M2593</f>
        <v>108_2704_2704</v>
      </c>
      <c r="M2589" s="17" t="str">
        <f>equip.xml!Q2593</f>
        <v>equipment/2201.png</v>
      </c>
      <c r="N2589" s="16" t="str">
        <f>equip.xml!P2593</f>
        <v>10000_1002_60000,30000_30001_1,30000_30002_1,30000_30003_1</v>
      </c>
      <c r="O2589">
        <f>equip.xml!R2593</f>
        <v>1</v>
      </c>
    </row>
    <row r="2590" spans="1:15">
      <c r="A2590" s="14">
        <f>equip.xml!A2594</f>
        <v>50603055</v>
      </c>
      <c r="B2590" s="14">
        <f>equip.xml!B2594</f>
        <v>0</v>
      </c>
      <c r="C2590" s="14" t="str">
        <f>equip.xml!C2594</f>
        <v>无尽回响之杖</v>
      </c>
      <c r="D2590" s="14" t="str">
        <f>equip.xml!D2594</f>
        <v>主手武器</v>
      </c>
      <c r="E2590" s="14">
        <f>equip.xml!E2594</f>
        <v>5</v>
      </c>
      <c r="F2590" s="14">
        <f>equip.xml!F2594</f>
        <v>5</v>
      </c>
      <c r="G2590" s="14">
        <f>equip.xml!G2594</f>
        <v>60</v>
      </c>
      <c r="H2590" s="14" t="str">
        <f>equip.xml!H2594</f>
        <v>3,1003</v>
      </c>
      <c r="I2590" s="14">
        <f>equip.xml!J2594</f>
        <v>150</v>
      </c>
      <c r="J2590" s="14">
        <f>equip.xml!K2594</f>
        <v>1500</v>
      </c>
      <c r="K2590" s="14">
        <f>equip.xml!L2594</f>
        <v>32500</v>
      </c>
      <c r="L2590" s="14" t="str">
        <f>equip.xml!M2594</f>
        <v>103_2007_2007,104_4014_4014</v>
      </c>
      <c r="M2590" s="17" t="str">
        <f>equip.xml!Q2594</f>
        <v>equipment/1322.png</v>
      </c>
      <c r="N2590" s="16" t="str">
        <f>equip.xml!P2594</f>
        <v>10000_1002_60000,30000_30001_1,30000_30002_1,30000_30003_1</v>
      </c>
      <c r="O2590">
        <f>equip.xml!R2594</f>
        <v>1</v>
      </c>
    </row>
    <row r="2591" spans="1:15">
      <c r="A2591" s="14">
        <f>equip.xml!A2595</f>
        <v>50603056</v>
      </c>
      <c r="B2591" s="14">
        <f>equip.xml!B2595</f>
        <v>0</v>
      </c>
      <c r="C2591" s="14" t="str">
        <f>equip.xml!C2595</f>
        <v>日辉法杖</v>
      </c>
      <c r="D2591" s="14" t="str">
        <f>equip.xml!D2595</f>
        <v>主手武器</v>
      </c>
      <c r="E2591" s="14">
        <f>equip.xml!E2595</f>
        <v>5</v>
      </c>
      <c r="F2591" s="14">
        <f>equip.xml!F2595</f>
        <v>5</v>
      </c>
      <c r="G2591" s="14">
        <f>equip.xml!G2595</f>
        <v>60</v>
      </c>
      <c r="H2591" s="14" t="str">
        <f>equip.xml!H2595</f>
        <v>3,1003</v>
      </c>
      <c r="I2591" s="14">
        <f>equip.xml!J2595</f>
        <v>150</v>
      </c>
      <c r="J2591" s="14">
        <f>equip.xml!K2595</f>
        <v>1500</v>
      </c>
      <c r="K2591" s="14">
        <f>equip.xml!L2595</f>
        <v>35000</v>
      </c>
      <c r="L2591" s="14" t="str">
        <f>equip.xml!M2595</f>
        <v>103_2252_2252,104_4504_4504</v>
      </c>
      <c r="M2591" s="17" t="str">
        <f>equip.xml!Q2595</f>
        <v>equipment/1301.png</v>
      </c>
      <c r="N2591" s="16" t="str">
        <f>equip.xml!P2595</f>
        <v>10000_1002_60000,30000_30001_1,30000_30002_1,30000_30003_1</v>
      </c>
      <c r="O2591">
        <f>equip.xml!R2595</f>
        <v>1</v>
      </c>
    </row>
    <row r="2592" spans="1:15">
      <c r="A2592" s="14">
        <f>equip.xml!A2596</f>
        <v>50603065</v>
      </c>
      <c r="B2592" s="14">
        <f>equip.xml!B2596</f>
        <v>0</v>
      </c>
      <c r="C2592" s="14" t="str">
        <f>equip.xml!C2596</f>
        <v>星图指南</v>
      </c>
      <c r="D2592" s="14" t="str">
        <f>equip.xml!D2596</f>
        <v>副手武器</v>
      </c>
      <c r="E2592" s="14">
        <f>equip.xml!E2596</f>
        <v>6</v>
      </c>
      <c r="F2592" s="14">
        <f>equip.xml!F2596</f>
        <v>5</v>
      </c>
      <c r="G2592" s="14">
        <f>equip.xml!G2596</f>
        <v>60</v>
      </c>
      <c r="H2592" s="14" t="str">
        <f>equip.xml!H2596</f>
        <v>3,1003</v>
      </c>
      <c r="I2592" s="14">
        <f>equip.xml!J2596</f>
        <v>150</v>
      </c>
      <c r="J2592" s="14">
        <f>equip.xml!K2596</f>
        <v>1500</v>
      </c>
      <c r="K2592" s="14">
        <f>equip.xml!L2596</f>
        <v>32500</v>
      </c>
      <c r="L2592" s="14" t="str">
        <f>equip.xml!M2596</f>
        <v>102_2260_2260</v>
      </c>
      <c r="M2592" s="17" t="str">
        <f>equip.xml!Q2596</f>
        <v>equipment/2315.png</v>
      </c>
      <c r="N2592" s="16" t="str">
        <f>equip.xml!P2596</f>
        <v>10000_1002_60000,30000_30001_1,30000_30002_1,30000_30003_1</v>
      </c>
      <c r="O2592">
        <f>equip.xml!R2596</f>
        <v>1</v>
      </c>
    </row>
    <row r="2593" spans="1:15">
      <c r="A2593" s="14">
        <f>equip.xml!A2597</f>
        <v>50603066</v>
      </c>
      <c r="B2593" s="14">
        <f>equip.xml!B2597</f>
        <v>0</v>
      </c>
      <c r="C2593" s="14" t="str">
        <f>equip.xml!C2597</f>
        <v>法术指南</v>
      </c>
      <c r="D2593" s="14" t="str">
        <f>equip.xml!D2597</f>
        <v>副手武器</v>
      </c>
      <c r="E2593" s="14">
        <f>equip.xml!E2597</f>
        <v>6</v>
      </c>
      <c r="F2593" s="14">
        <f>equip.xml!F2597</f>
        <v>5</v>
      </c>
      <c r="G2593" s="14">
        <f>equip.xml!G2597</f>
        <v>60</v>
      </c>
      <c r="H2593" s="14" t="str">
        <f>equip.xml!H2597</f>
        <v>3,1003</v>
      </c>
      <c r="I2593" s="14">
        <f>equip.xml!J2597</f>
        <v>150</v>
      </c>
      <c r="J2593" s="14">
        <f>equip.xml!K2597</f>
        <v>1500</v>
      </c>
      <c r="K2593" s="14">
        <f>equip.xml!L2597</f>
        <v>35000</v>
      </c>
      <c r="L2593" s="14" t="str">
        <f>equip.xml!M2597</f>
        <v>102_2704_2704</v>
      </c>
      <c r="M2593" s="17" t="str">
        <f>equip.xml!Q2597</f>
        <v>equipment/2301.png</v>
      </c>
      <c r="N2593" s="16" t="str">
        <f>equip.xml!P2597</f>
        <v>10000_1002_60000,30000_30001_1,30000_30002_1,30000_30003_1</v>
      </c>
      <c r="O2593">
        <f>equip.xml!R2597</f>
        <v>1</v>
      </c>
    </row>
    <row r="2594" spans="1:15">
      <c r="A2594" s="14">
        <f>equip.xml!A2598</f>
        <v>50600045</v>
      </c>
      <c r="B2594" s="14">
        <f>equip.xml!B2598</f>
        <v>0</v>
      </c>
      <c r="C2594" s="14" t="str">
        <f>equip.xml!C2598</f>
        <v>明光战甲</v>
      </c>
      <c r="D2594" s="14" t="str">
        <f>equip.xml!D2598</f>
        <v>胸甲</v>
      </c>
      <c r="E2594" s="14">
        <f>equip.xml!E2598</f>
        <v>4</v>
      </c>
      <c r="F2594" s="14">
        <f>equip.xml!F2598</f>
        <v>5</v>
      </c>
      <c r="G2594" s="14">
        <f>equip.xml!G2598</f>
        <v>60</v>
      </c>
      <c r="H2594" s="14">
        <f>equip.xml!H2598</f>
        <v>0</v>
      </c>
      <c r="I2594" s="14">
        <f>equip.xml!J2598</f>
        <v>150</v>
      </c>
      <c r="J2594" s="14">
        <f>equip.xml!K2598</f>
        <v>1500</v>
      </c>
      <c r="K2594" s="14">
        <f>equip.xml!L2598</f>
        <v>32500</v>
      </c>
      <c r="L2594" s="14" t="str">
        <f>equip.xml!M2598</f>
        <v>105_1377_1377</v>
      </c>
      <c r="M2594" s="17" t="str">
        <f>equip.xml!Q2598</f>
        <v>equipment/5016.png</v>
      </c>
      <c r="N2594" s="16" t="str">
        <f>equip.xml!P2598</f>
        <v>10000_1002_60000,30000_30001_1,30000_30002_1,30000_30003_1</v>
      </c>
      <c r="O2594">
        <f>equip.xml!R2598</f>
        <v>1</v>
      </c>
    </row>
    <row r="2595" spans="1:15">
      <c r="A2595" s="14">
        <f>equip.xml!A2599</f>
        <v>50600046</v>
      </c>
      <c r="B2595" s="14">
        <f>equip.xml!B2599</f>
        <v>0</v>
      </c>
      <c r="C2595" s="14" t="str">
        <f>equip.xml!C2599</f>
        <v>龙骑战甲</v>
      </c>
      <c r="D2595" s="14" t="str">
        <f>equip.xml!D2599</f>
        <v>胸甲</v>
      </c>
      <c r="E2595" s="14">
        <f>equip.xml!E2599</f>
        <v>4</v>
      </c>
      <c r="F2595" s="14">
        <f>equip.xml!F2599</f>
        <v>5</v>
      </c>
      <c r="G2595" s="14">
        <f>equip.xml!G2599</f>
        <v>60</v>
      </c>
      <c r="H2595" s="14">
        <f>equip.xml!H2599</f>
        <v>0</v>
      </c>
      <c r="I2595" s="14">
        <f>equip.xml!J2599</f>
        <v>150</v>
      </c>
      <c r="J2595" s="14">
        <f>equip.xml!K2599</f>
        <v>1500</v>
      </c>
      <c r="K2595" s="14">
        <f>equip.xml!L2599</f>
        <v>35000</v>
      </c>
      <c r="L2595" s="14" t="str">
        <f>equip.xml!M2599</f>
        <v>105_1477_1477</v>
      </c>
      <c r="M2595" s="17" t="str">
        <f>equip.xml!Q2599</f>
        <v>equipment/5001.png</v>
      </c>
      <c r="N2595" s="16" t="str">
        <f>equip.xml!P2599</f>
        <v>10000_1002_60000,30000_30001_1,30000_30002_1,30000_30003_1</v>
      </c>
      <c r="O2595">
        <f>equip.xml!R2599</f>
        <v>1</v>
      </c>
    </row>
    <row r="2596" spans="1:15">
      <c r="A2596" s="14">
        <f>equip.xml!A2600</f>
        <v>50600075</v>
      </c>
      <c r="B2596" s="14">
        <f>equip.xml!B2600</f>
        <v>0</v>
      </c>
      <c r="C2596" s="14" t="str">
        <f>equip.xml!C2600</f>
        <v>深渊护腿</v>
      </c>
      <c r="D2596" s="14" t="str">
        <f>equip.xml!D2600</f>
        <v>护腿</v>
      </c>
      <c r="E2596" s="14">
        <f>equip.xml!E2600</f>
        <v>7</v>
      </c>
      <c r="F2596" s="14">
        <f>equip.xml!F2600</f>
        <v>5</v>
      </c>
      <c r="G2596" s="14">
        <f>equip.xml!G2600</f>
        <v>60</v>
      </c>
      <c r="H2596" s="14">
        <f>equip.xml!H2600</f>
        <v>0</v>
      </c>
      <c r="I2596" s="14">
        <f>equip.xml!J2600</f>
        <v>150</v>
      </c>
      <c r="J2596" s="14">
        <f>equip.xml!K2600</f>
        <v>1500</v>
      </c>
      <c r="K2596" s="14">
        <f>equip.xml!L2600</f>
        <v>32500</v>
      </c>
      <c r="L2596" s="14" t="str">
        <f>equip.xml!M2600</f>
        <v>105_1152_1152</v>
      </c>
      <c r="M2596" s="17" t="str">
        <f>equip.xml!Q2600</f>
        <v>equipment/7014.png</v>
      </c>
      <c r="N2596" s="16" t="str">
        <f>equip.xml!P2600</f>
        <v>10000_1002_60000,30000_30001_1,30000_30002_1,30000_30003_1</v>
      </c>
      <c r="O2596">
        <f>equip.xml!R2600</f>
        <v>1</v>
      </c>
    </row>
    <row r="2597" spans="1:15">
      <c r="A2597" s="14">
        <f>equip.xml!A2601</f>
        <v>50600076</v>
      </c>
      <c r="B2597" s="14">
        <f>equip.xml!B2601</f>
        <v>0</v>
      </c>
      <c r="C2597" s="14" t="str">
        <f>equip.xml!C2601</f>
        <v>光耀腿甲</v>
      </c>
      <c r="D2597" s="14" t="str">
        <f>equip.xml!D2601</f>
        <v>护腿</v>
      </c>
      <c r="E2597" s="14">
        <f>equip.xml!E2601</f>
        <v>7</v>
      </c>
      <c r="F2597" s="14">
        <f>equip.xml!F2601</f>
        <v>5</v>
      </c>
      <c r="G2597" s="14">
        <f>equip.xml!G2601</f>
        <v>60</v>
      </c>
      <c r="H2597" s="14">
        <f>equip.xml!H2601</f>
        <v>0</v>
      </c>
      <c r="I2597" s="14">
        <f>equip.xml!J2601</f>
        <v>150</v>
      </c>
      <c r="J2597" s="14">
        <f>equip.xml!K2601</f>
        <v>1500</v>
      </c>
      <c r="K2597" s="14">
        <f>equip.xml!L2601</f>
        <v>35000</v>
      </c>
      <c r="L2597" s="14" t="str">
        <f>equip.xml!M2601</f>
        <v>105_1342_1342</v>
      </c>
      <c r="M2597" s="17" t="str">
        <f>equip.xml!Q2601</f>
        <v>equipment/7015.png</v>
      </c>
      <c r="N2597" s="16" t="str">
        <f>equip.xml!P2601</f>
        <v>10000_1002_60000,30000_30001_1,30000_30002_1,30000_30003_1</v>
      </c>
      <c r="O2597">
        <f>equip.xml!R2601</f>
        <v>1</v>
      </c>
    </row>
    <row r="2598" spans="1:15">
      <c r="A2598" s="14">
        <f>equip.xml!A2602</f>
        <v>50650015</v>
      </c>
      <c r="B2598" s="14">
        <f>equip.xml!B2602</f>
        <v>0</v>
      </c>
      <c r="C2598" s="14" t="str">
        <f>equip.xml!C2602</f>
        <v>虚空之冠</v>
      </c>
      <c r="D2598" s="14" t="str">
        <f>equip.xml!D2602</f>
        <v>头盔</v>
      </c>
      <c r="E2598" s="14">
        <f>equip.xml!E2602</f>
        <v>1</v>
      </c>
      <c r="F2598" s="14">
        <f>equip.xml!F2602</f>
        <v>5</v>
      </c>
      <c r="G2598" s="14">
        <f>equip.xml!G2602</f>
        <v>65</v>
      </c>
      <c r="H2598" s="14">
        <f>equip.xml!H2602</f>
        <v>0</v>
      </c>
      <c r="I2598" s="14">
        <f>equip.xml!J2602</f>
        <v>150</v>
      </c>
      <c r="J2598" s="14">
        <f>equip.xml!K2602</f>
        <v>1500</v>
      </c>
      <c r="K2598" s="14">
        <f>equip.xml!L2602</f>
        <v>35000</v>
      </c>
      <c r="L2598" s="14" t="str">
        <f>equip.xml!M2602</f>
        <v>106_2015_2015</v>
      </c>
      <c r="M2598" s="17" t="str">
        <f>equip.xml!Q2602</f>
        <v>equipment/3011.png</v>
      </c>
      <c r="N2598" s="16" t="str">
        <f>equip.xml!P2602</f>
        <v>10000_1002_65000,30000_30001_1,30000_30002_1,30000_30003_1</v>
      </c>
      <c r="O2598">
        <f>equip.xml!R2602</f>
        <v>1</v>
      </c>
    </row>
    <row r="2599" spans="1:15">
      <c r="A2599" s="14">
        <f>equip.xml!A2603</f>
        <v>50650025</v>
      </c>
      <c r="B2599" s="14">
        <f>equip.xml!B2603</f>
        <v>0</v>
      </c>
      <c r="C2599" s="14" t="str">
        <f>equip.xml!C2603</f>
        <v>圣火指环</v>
      </c>
      <c r="D2599" s="14" t="str">
        <f>equip.xml!D2603</f>
        <v>戒指</v>
      </c>
      <c r="E2599" s="14">
        <f>equip.xml!E2603</f>
        <v>2</v>
      </c>
      <c r="F2599" s="14">
        <f>equip.xml!F2603</f>
        <v>5</v>
      </c>
      <c r="G2599" s="14">
        <f>equip.xml!G2603</f>
        <v>65</v>
      </c>
      <c r="H2599" s="14">
        <f>equip.xml!H2603</f>
        <v>0</v>
      </c>
      <c r="I2599" s="14">
        <f>equip.xml!J2603</f>
        <v>150</v>
      </c>
      <c r="J2599" s="14">
        <f>equip.xml!K2603</f>
        <v>1500</v>
      </c>
      <c r="K2599" s="14">
        <f>equip.xml!L2603</f>
        <v>35000</v>
      </c>
      <c r="L2599" s="14" t="str">
        <f>equip.xml!M2603</f>
        <v>102_1470_1470</v>
      </c>
      <c r="M2599" s="17" t="str">
        <f>equip.xml!Q2603</f>
        <v>equipment/14011.png</v>
      </c>
      <c r="N2599" s="16" t="str">
        <f>equip.xml!P2603</f>
        <v>10000_1002_65000,30000_30001_1,30000_30002_1,30000_30003_1</v>
      </c>
      <c r="O2599">
        <f>equip.xml!R2603</f>
        <v>1</v>
      </c>
    </row>
    <row r="2600" spans="1:15">
      <c r="A2600" s="14">
        <f>equip.xml!A2604</f>
        <v>50650035</v>
      </c>
      <c r="B2600" s="14">
        <f>equip.xml!B2604</f>
        <v>0</v>
      </c>
      <c r="C2600" s="14" t="str">
        <f>equip.xml!C2604</f>
        <v>统御腰带</v>
      </c>
      <c r="D2600" s="14" t="str">
        <f>equip.xml!D2604</f>
        <v>腰带</v>
      </c>
      <c r="E2600" s="14">
        <f>equip.xml!E2604</f>
        <v>3</v>
      </c>
      <c r="F2600" s="14">
        <f>equip.xml!F2604</f>
        <v>5</v>
      </c>
      <c r="G2600" s="14">
        <f>equip.xml!G2604</f>
        <v>65</v>
      </c>
      <c r="H2600" s="14">
        <f>equip.xml!H2604</f>
        <v>0</v>
      </c>
      <c r="I2600" s="14">
        <f>equip.xml!J2604</f>
        <v>150</v>
      </c>
      <c r="J2600" s="14">
        <f>equip.xml!K2604</f>
        <v>1500</v>
      </c>
      <c r="K2600" s="14">
        <f>equip.xml!L2604</f>
        <v>35000</v>
      </c>
      <c r="L2600" s="14" t="str">
        <f>equip.xml!M2604</f>
        <v>101_16900_16900</v>
      </c>
      <c r="M2600" s="17" t="str">
        <f>equip.xml!Q2604</f>
        <v>equipment/6011.png</v>
      </c>
      <c r="N2600" s="16" t="str">
        <f>equip.xml!P2604</f>
        <v>10000_1002_65000,30000_30001_1,30000_30002_1,30000_30003_1</v>
      </c>
      <c r="O2600">
        <f>equip.xml!R2604</f>
        <v>1</v>
      </c>
    </row>
    <row r="2601" spans="1:15">
      <c r="A2601" s="14">
        <f>equip.xml!A2605</f>
        <v>50650085</v>
      </c>
      <c r="B2601" s="14">
        <f>equip.xml!B2605</f>
        <v>0</v>
      </c>
      <c r="C2601" s="14" t="str">
        <f>equip.xml!C2605</f>
        <v>狱火战靴</v>
      </c>
      <c r="D2601" s="14" t="str">
        <f>equip.xml!D2605</f>
        <v>鞋子</v>
      </c>
      <c r="E2601" s="14">
        <f>equip.xml!E2605</f>
        <v>8</v>
      </c>
      <c r="F2601" s="14">
        <f>equip.xml!F2605</f>
        <v>5</v>
      </c>
      <c r="G2601" s="14">
        <f>equip.xml!G2605</f>
        <v>65</v>
      </c>
      <c r="H2601" s="14">
        <f>equip.xml!H2605</f>
        <v>0</v>
      </c>
      <c r="I2601" s="14">
        <f>equip.xml!J2605</f>
        <v>150</v>
      </c>
      <c r="J2601" s="14">
        <f>equip.xml!K2605</f>
        <v>1500</v>
      </c>
      <c r="K2601" s="14">
        <f>equip.xml!L2605</f>
        <v>35000</v>
      </c>
      <c r="L2601" s="14" t="str">
        <f>equip.xml!M2605</f>
        <v>110_352_352</v>
      </c>
      <c r="M2601" s="17" t="str">
        <f>equip.xml!Q2605</f>
        <v>equipment/8011.png</v>
      </c>
      <c r="N2601" s="16" t="str">
        <f>equip.xml!P2605</f>
        <v>10000_1002_65000,30000_30001_1,30000_30002_1,30000_30003_1</v>
      </c>
      <c r="O2601">
        <f>equip.xml!R2605</f>
        <v>1</v>
      </c>
    </row>
    <row r="2602" spans="1:15">
      <c r="A2602" s="14">
        <f>equip.xml!A2606</f>
        <v>50650095</v>
      </c>
      <c r="B2602" s="14">
        <f>equip.xml!B2606</f>
        <v>0</v>
      </c>
      <c r="C2602" s="14" t="str">
        <f>equip.xml!C2606</f>
        <v>荣耀先驱护手</v>
      </c>
      <c r="D2602" s="14" t="str">
        <f>equip.xml!D2606</f>
        <v>手套</v>
      </c>
      <c r="E2602" s="14">
        <f>equip.xml!E2606</f>
        <v>9</v>
      </c>
      <c r="F2602" s="14">
        <f>equip.xml!F2606</f>
        <v>5</v>
      </c>
      <c r="G2602" s="14">
        <f>equip.xml!G2606</f>
        <v>65</v>
      </c>
      <c r="H2602" s="14">
        <f>equip.xml!H2606</f>
        <v>0</v>
      </c>
      <c r="I2602" s="14">
        <f>equip.xml!J2606</f>
        <v>150</v>
      </c>
      <c r="J2602" s="14">
        <f>equip.xml!K2606</f>
        <v>1500</v>
      </c>
      <c r="K2602" s="14">
        <f>equip.xml!L2606</f>
        <v>35000</v>
      </c>
      <c r="L2602" s="14" t="str">
        <f>equip.xml!M2606</f>
        <v>108_3884_3884</v>
      </c>
      <c r="M2602" s="17" t="str">
        <f>equip.xml!Q2606</f>
        <v>equipment/10011.png</v>
      </c>
      <c r="N2602" s="16" t="str">
        <f>equip.xml!P2606</f>
        <v>10000_1002_65000,30000_30001_1,30000_30002_1,30000_30003_1</v>
      </c>
      <c r="O2602">
        <f>equip.xml!R2606</f>
        <v>1</v>
      </c>
    </row>
    <row r="2603" spans="1:15">
      <c r="A2603" s="14">
        <f>equip.xml!A2607</f>
        <v>50650105</v>
      </c>
      <c r="B2603" s="14">
        <f>equip.xml!B2607</f>
        <v>0</v>
      </c>
      <c r="C2603" s="14" t="str">
        <f>equip.xml!C2607</f>
        <v>救赎坠饰</v>
      </c>
      <c r="D2603" s="14" t="str">
        <f>equip.xml!D2607</f>
        <v>项链</v>
      </c>
      <c r="E2603" s="14">
        <f>equip.xml!E2607</f>
        <v>10</v>
      </c>
      <c r="F2603" s="14">
        <f>equip.xml!F2607</f>
        <v>5</v>
      </c>
      <c r="G2603" s="14">
        <f>equip.xml!G2607</f>
        <v>65</v>
      </c>
      <c r="H2603" s="14">
        <f>equip.xml!H2607</f>
        <v>0</v>
      </c>
      <c r="I2603" s="14">
        <f>equip.xml!J2607</f>
        <v>150</v>
      </c>
      <c r="J2603" s="14">
        <f>equip.xml!K2607</f>
        <v>1500</v>
      </c>
      <c r="K2603" s="14">
        <f>equip.xml!L2607</f>
        <v>35000</v>
      </c>
      <c r="L2603" s="14" t="str">
        <f>equip.xml!M2607</f>
        <v>107_2015_2015</v>
      </c>
      <c r="M2603" s="17" t="str">
        <f>equip.xml!Q2607</f>
        <v>equipment/12011.png</v>
      </c>
      <c r="N2603" s="16" t="str">
        <f>equip.xml!P2607</f>
        <v>10000_1002_65000,30000_30001_1,30000_30002_1,30000_30003_1</v>
      </c>
      <c r="O2603">
        <f>equip.xml!R2607</f>
        <v>1</v>
      </c>
    </row>
    <row r="2604" spans="1:15">
      <c r="A2604" s="14">
        <f>equip.xml!A2608</f>
        <v>50651055</v>
      </c>
      <c r="B2604" s="14">
        <f>equip.xml!B2608</f>
        <v>0</v>
      </c>
      <c r="C2604" s="14" t="str">
        <f>equip.xml!C2608</f>
        <v>魂歌之刃</v>
      </c>
      <c r="D2604" s="14" t="str">
        <f>equip.xml!D2608</f>
        <v>主手武器</v>
      </c>
      <c r="E2604" s="14">
        <f>equip.xml!E2608</f>
        <v>5</v>
      </c>
      <c r="F2604" s="14">
        <f>equip.xml!F2608</f>
        <v>5</v>
      </c>
      <c r="G2604" s="14">
        <f>equip.xml!G2608</f>
        <v>65</v>
      </c>
      <c r="H2604" s="14" t="str">
        <f>equip.xml!H2608</f>
        <v>1,1001</v>
      </c>
      <c r="I2604" s="14">
        <f>equip.xml!J2608</f>
        <v>150</v>
      </c>
      <c r="J2604" s="14">
        <f>equip.xml!K2608</f>
        <v>1500</v>
      </c>
      <c r="K2604" s="14">
        <f>equip.xml!L2608</f>
        <v>35000</v>
      </c>
      <c r="L2604" s="14" t="str">
        <f>equip.xml!M2608</f>
        <v>103_2619_2619,104_5238_5238</v>
      </c>
      <c r="M2604" s="17" t="str">
        <f>equip.xml!Q2608</f>
        <v>equipment/1123.png</v>
      </c>
      <c r="N2604" s="16" t="str">
        <f>equip.xml!P2608</f>
        <v>10000_1002_65000,30000_30001_1,30000_30002_1,30000_30003_1</v>
      </c>
      <c r="O2604">
        <f>equip.xml!R2608</f>
        <v>1</v>
      </c>
    </row>
    <row r="2605" spans="1:15">
      <c r="A2605" s="14">
        <f>equip.xml!A2609</f>
        <v>50651056</v>
      </c>
      <c r="B2605" s="14">
        <f>equip.xml!B2609</f>
        <v>0</v>
      </c>
      <c r="C2605" s="14" t="str">
        <f>equip.xml!C2609</f>
        <v>命运</v>
      </c>
      <c r="D2605" s="14" t="str">
        <f>equip.xml!D2609</f>
        <v>主手武器</v>
      </c>
      <c r="E2605" s="14">
        <f>equip.xml!E2609</f>
        <v>5</v>
      </c>
      <c r="F2605" s="14">
        <f>equip.xml!F2609</f>
        <v>5</v>
      </c>
      <c r="G2605" s="14">
        <f>equip.xml!G2609</f>
        <v>65</v>
      </c>
      <c r="H2605" s="14" t="str">
        <f>equip.xml!H2609</f>
        <v>1,1001</v>
      </c>
      <c r="I2605" s="14">
        <f>equip.xml!J2609</f>
        <v>150</v>
      </c>
      <c r="J2605" s="14">
        <f>equip.xml!K2609</f>
        <v>1500</v>
      </c>
      <c r="K2605" s="14">
        <f>equip.xml!L2609</f>
        <v>37500</v>
      </c>
      <c r="L2605" s="14" t="str">
        <f>equip.xml!M2609</f>
        <v>103_2854_2854,104_5708_5708</v>
      </c>
      <c r="M2605" s="17" t="str">
        <f>equip.xml!Q2609</f>
        <v>equipment/1101.png</v>
      </c>
      <c r="N2605" s="16" t="str">
        <f>equip.xml!P2609</f>
        <v>10000_1002_65000,30000_30001_1,30000_30002_1,30000_30003_1</v>
      </c>
      <c r="O2605">
        <f>equip.xml!R2609</f>
        <v>1</v>
      </c>
    </row>
    <row r="2606" spans="1:15">
      <c r="A2606" s="14">
        <f>equip.xml!A2610</f>
        <v>50651065</v>
      </c>
      <c r="B2606" s="14">
        <f>equip.xml!B2610</f>
        <v>0</v>
      </c>
      <c r="C2606" s="14" t="str">
        <f>equip.xml!C2610</f>
        <v>日怒之盾</v>
      </c>
      <c r="D2606" s="14" t="str">
        <f>equip.xml!D2610</f>
        <v>副手武器</v>
      </c>
      <c r="E2606" s="14">
        <f>equip.xml!E2610</f>
        <v>6</v>
      </c>
      <c r="F2606" s="14">
        <f>equip.xml!F2610</f>
        <v>5</v>
      </c>
      <c r="G2606" s="14">
        <f>equip.xml!G2610</f>
        <v>65</v>
      </c>
      <c r="H2606" s="14" t="str">
        <f>equip.xml!H2610</f>
        <v>1,1001</v>
      </c>
      <c r="I2606" s="14">
        <f>equip.xml!J2610</f>
        <v>150</v>
      </c>
      <c r="J2606" s="14">
        <f>equip.xml!K2610</f>
        <v>1500</v>
      </c>
      <c r="K2606" s="14">
        <f>equip.xml!L2610</f>
        <v>35000</v>
      </c>
      <c r="L2606" s="14" t="str">
        <f>equip.xml!M2610</f>
        <v>105_2988_2988</v>
      </c>
      <c r="M2606" s="17" t="str">
        <f>equip.xml!Q2610</f>
        <v>equipment/2116.png</v>
      </c>
      <c r="N2606" s="16" t="str">
        <f>equip.xml!P2610</f>
        <v>10000_1002_65000,30000_30001_1,30000_30002_1,30000_30003_1</v>
      </c>
      <c r="O2606">
        <f>equip.xml!R2610</f>
        <v>1</v>
      </c>
    </row>
    <row r="2607" spans="1:15">
      <c r="A2607" s="14">
        <f>equip.xml!A2611</f>
        <v>50651066</v>
      </c>
      <c r="B2607" s="14">
        <f>equip.xml!B2611</f>
        <v>0</v>
      </c>
      <c r="C2607" s="14" t="str">
        <f>equip.xml!C2611</f>
        <v>尖头盾</v>
      </c>
      <c r="D2607" s="14" t="str">
        <f>equip.xml!D2611</f>
        <v>副手武器</v>
      </c>
      <c r="E2607" s="14">
        <f>equip.xml!E2611</f>
        <v>6</v>
      </c>
      <c r="F2607" s="14">
        <f>equip.xml!F2611</f>
        <v>5</v>
      </c>
      <c r="G2607" s="14">
        <f>equip.xml!G2611</f>
        <v>65</v>
      </c>
      <c r="H2607" s="14" t="str">
        <f>equip.xml!H2611</f>
        <v>1,1001</v>
      </c>
      <c r="I2607" s="14">
        <f>equip.xml!J2611</f>
        <v>150</v>
      </c>
      <c r="J2607" s="14">
        <f>equip.xml!K2611</f>
        <v>1500</v>
      </c>
      <c r="K2607" s="14">
        <f>equip.xml!L2611</f>
        <v>37500</v>
      </c>
      <c r="L2607" s="14" t="str">
        <f>equip.xml!M2611</f>
        <v>105_2988_2988</v>
      </c>
      <c r="M2607" s="17" t="str">
        <f>equip.xml!Q2611</f>
        <v>equipment/2101.png</v>
      </c>
      <c r="N2607" s="16" t="str">
        <f>equip.xml!P2611</f>
        <v>10000_1002_65000,30000_30001_1,30000_30002_1,30000_30003_1</v>
      </c>
      <c r="O2607">
        <f>equip.xml!R2611</f>
        <v>1</v>
      </c>
    </row>
    <row r="2608" spans="1:15">
      <c r="A2608" s="14">
        <f>equip.xml!A2612</f>
        <v>50652055</v>
      </c>
      <c r="B2608" s="14">
        <f>equip.xml!B2612</f>
        <v>0</v>
      </c>
      <c r="C2608" s="14" t="str">
        <f>equip.xml!C2612</f>
        <v>憎恨之击</v>
      </c>
      <c r="D2608" s="14" t="str">
        <f>equip.xml!D2612</f>
        <v>主手武器</v>
      </c>
      <c r="E2608" s="14">
        <f>equip.xml!E2612</f>
        <v>5</v>
      </c>
      <c r="F2608" s="14">
        <f>equip.xml!F2612</f>
        <v>5</v>
      </c>
      <c r="G2608" s="14">
        <f>equip.xml!G2612</f>
        <v>65</v>
      </c>
      <c r="H2608" s="14" t="str">
        <f>equip.xml!H2612</f>
        <v>2,1002</v>
      </c>
      <c r="I2608" s="14">
        <f>equip.xml!J2612</f>
        <v>150</v>
      </c>
      <c r="J2608" s="14">
        <f>equip.xml!K2612</f>
        <v>1500</v>
      </c>
      <c r="K2608" s="14">
        <f>equip.xml!L2612</f>
        <v>35000</v>
      </c>
      <c r="L2608" s="14" t="str">
        <f>equip.xml!M2612</f>
        <v>103_2619_2619,104_5238_5238</v>
      </c>
      <c r="M2608" s="17" t="str">
        <f>equip.xml!Q2612</f>
        <v>equipment/1224.png</v>
      </c>
      <c r="N2608" s="16" t="str">
        <f>equip.xml!P2612</f>
        <v>10000_1002_65000,30000_30001_1,30000_30002_1,30000_30003_1</v>
      </c>
      <c r="O2608">
        <f>equip.xml!R2612</f>
        <v>1</v>
      </c>
    </row>
    <row r="2609" spans="1:15">
      <c r="A2609" s="14">
        <f>equip.xml!A2613</f>
        <v>50652056</v>
      </c>
      <c r="B2609" s="14">
        <f>equip.xml!B2613</f>
        <v>0</v>
      </c>
      <c r="C2609" s="14" t="str">
        <f>equip.xml!C2613</f>
        <v>日怒凰弓</v>
      </c>
      <c r="D2609" s="14" t="str">
        <f>equip.xml!D2613</f>
        <v>主手武器</v>
      </c>
      <c r="E2609" s="14">
        <f>equip.xml!E2613</f>
        <v>5</v>
      </c>
      <c r="F2609" s="14">
        <f>equip.xml!F2613</f>
        <v>5</v>
      </c>
      <c r="G2609" s="14">
        <f>equip.xml!G2613</f>
        <v>65</v>
      </c>
      <c r="H2609" s="14" t="str">
        <f>equip.xml!H2613</f>
        <v>2,1002</v>
      </c>
      <c r="I2609" s="14">
        <f>equip.xml!J2613</f>
        <v>150</v>
      </c>
      <c r="J2609" s="14">
        <f>equip.xml!K2613</f>
        <v>1500</v>
      </c>
      <c r="K2609" s="14">
        <f>equip.xml!L2613</f>
        <v>37500</v>
      </c>
      <c r="L2609" s="14" t="str">
        <f>equip.xml!M2613</f>
        <v>103_2854_2854,104_5708_5708</v>
      </c>
      <c r="M2609" s="17" t="str">
        <f>equip.xml!Q2613</f>
        <v>equipment/1201.png</v>
      </c>
      <c r="N2609" s="16" t="str">
        <f>equip.xml!P2613</f>
        <v>10000_1002_65000,30000_30001_1,30000_30002_1,30000_30003_1</v>
      </c>
      <c r="O2609">
        <f>equip.xml!R2613</f>
        <v>1</v>
      </c>
    </row>
    <row r="2610" spans="1:15">
      <c r="A2610" s="14">
        <f>equip.xml!A2614</f>
        <v>50652065</v>
      </c>
      <c r="B2610" s="14">
        <f>equip.xml!B2614</f>
        <v>0</v>
      </c>
      <c r="C2610" s="14" t="str">
        <f>equip.xml!C2614</f>
        <v>追噬之矢</v>
      </c>
      <c r="D2610" s="14" t="str">
        <f>equip.xml!D2614</f>
        <v>副手武器</v>
      </c>
      <c r="E2610" s="14">
        <f>equip.xml!E2614</f>
        <v>6</v>
      </c>
      <c r="F2610" s="14">
        <f>equip.xml!F2614</f>
        <v>5</v>
      </c>
      <c r="G2610" s="14">
        <f>equip.xml!G2614</f>
        <v>65</v>
      </c>
      <c r="H2610" s="14" t="str">
        <f>equip.xml!H2614</f>
        <v>2,1002</v>
      </c>
      <c r="I2610" s="14">
        <f>equip.xml!J2614</f>
        <v>150</v>
      </c>
      <c r="J2610" s="14">
        <f>equip.xml!K2614</f>
        <v>1500</v>
      </c>
      <c r="K2610" s="14">
        <f>equip.xml!L2614</f>
        <v>35000</v>
      </c>
      <c r="L2610" s="14" t="str">
        <f>equip.xml!M2614</f>
        <v>108_2988_2988</v>
      </c>
      <c r="M2610" s="17" t="str">
        <f>equip.xml!Q2614</f>
        <v>equipment/2216.png</v>
      </c>
      <c r="N2610" s="16" t="str">
        <f>equip.xml!P2614</f>
        <v>10000_1002_65000,30000_30001_1,30000_30002_1,30000_30003_1</v>
      </c>
      <c r="O2610">
        <f>equip.xml!R2614</f>
        <v>1</v>
      </c>
    </row>
    <row r="2611" spans="1:15">
      <c r="A2611" s="14">
        <f>equip.xml!A2615</f>
        <v>50652066</v>
      </c>
      <c r="B2611" s="14">
        <f>equip.xml!B2615</f>
        <v>0</v>
      </c>
      <c r="C2611" s="14" t="str">
        <f>equip.xml!C2615</f>
        <v>箭筒</v>
      </c>
      <c r="D2611" s="14" t="str">
        <f>equip.xml!D2615</f>
        <v>副手武器</v>
      </c>
      <c r="E2611" s="14">
        <f>equip.xml!E2615</f>
        <v>6</v>
      </c>
      <c r="F2611" s="14">
        <f>equip.xml!F2615</f>
        <v>5</v>
      </c>
      <c r="G2611" s="14">
        <f>equip.xml!G2615</f>
        <v>65</v>
      </c>
      <c r="H2611" s="14" t="str">
        <f>equip.xml!H2615</f>
        <v>2,1002</v>
      </c>
      <c r="I2611" s="14">
        <f>equip.xml!J2615</f>
        <v>150</v>
      </c>
      <c r="J2611" s="14">
        <f>equip.xml!K2615</f>
        <v>1500</v>
      </c>
      <c r="K2611" s="14">
        <f>equip.xml!L2615</f>
        <v>37500</v>
      </c>
      <c r="L2611" s="14" t="str">
        <f>equip.xml!M2615</f>
        <v>108_2988_2988</v>
      </c>
      <c r="M2611" s="17" t="str">
        <f>equip.xml!Q2615</f>
        <v>equipment/2201.png</v>
      </c>
      <c r="N2611" s="16" t="str">
        <f>equip.xml!P2615</f>
        <v>10000_1002_65000,30000_30001_1,30000_30002_1,30000_30003_1</v>
      </c>
      <c r="O2611">
        <f>equip.xml!R2615</f>
        <v>1</v>
      </c>
    </row>
    <row r="2612" spans="1:15">
      <c r="A2612" s="14">
        <f>equip.xml!A2616</f>
        <v>50653055</v>
      </c>
      <c r="B2612" s="14">
        <f>equip.xml!B2616</f>
        <v>0</v>
      </c>
      <c r="C2612" s="14" t="str">
        <f>equip.xml!C2616</f>
        <v>时轮金杖</v>
      </c>
      <c r="D2612" s="14" t="str">
        <f>equip.xml!D2616</f>
        <v>主手武器</v>
      </c>
      <c r="E2612" s="14">
        <f>equip.xml!E2616</f>
        <v>5</v>
      </c>
      <c r="F2612" s="14">
        <f>equip.xml!F2616</f>
        <v>5</v>
      </c>
      <c r="G2612" s="14">
        <f>equip.xml!G2616</f>
        <v>65</v>
      </c>
      <c r="H2612" s="14" t="str">
        <f>equip.xml!H2616</f>
        <v>3,1003</v>
      </c>
      <c r="I2612" s="14">
        <f>equip.xml!J2616</f>
        <v>150</v>
      </c>
      <c r="J2612" s="14">
        <f>equip.xml!K2616</f>
        <v>1500</v>
      </c>
      <c r="K2612" s="14">
        <f>equip.xml!L2616</f>
        <v>35000</v>
      </c>
      <c r="L2612" s="14" t="str">
        <f>equip.xml!M2616</f>
        <v>103_2619_2619,104_5238_5238</v>
      </c>
      <c r="M2612" s="17" t="str">
        <f>equip.xml!Q2616</f>
        <v>equipment/1323.png</v>
      </c>
      <c r="N2612" s="16" t="str">
        <f>equip.xml!P2616</f>
        <v>10000_1002_65000,30000_30001_1,30000_30002_1,30000_30003_1</v>
      </c>
      <c r="O2612">
        <f>equip.xml!R2616</f>
        <v>1</v>
      </c>
    </row>
    <row r="2613" spans="1:15">
      <c r="A2613" s="14">
        <f>equip.xml!A2617</f>
        <v>50653056</v>
      </c>
      <c r="B2613" s="14">
        <f>equip.xml!B2617</f>
        <v>0</v>
      </c>
      <c r="C2613" s="14" t="str">
        <f>equip.xml!C2617</f>
        <v>学徒法杖</v>
      </c>
      <c r="D2613" s="14" t="str">
        <f>equip.xml!D2617</f>
        <v>主手武器</v>
      </c>
      <c r="E2613" s="14">
        <f>equip.xml!E2617</f>
        <v>5</v>
      </c>
      <c r="F2613" s="14">
        <f>equip.xml!F2617</f>
        <v>5</v>
      </c>
      <c r="G2613" s="14">
        <f>equip.xml!G2617</f>
        <v>65</v>
      </c>
      <c r="H2613" s="14" t="str">
        <f>equip.xml!H2617</f>
        <v>3,1003</v>
      </c>
      <c r="I2613" s="14">
        <f>equip.xml!J2617</f>
        <v>150</v>
      </c>
      <c r="J2613" s="14">
        <f>equip.xml!K2617</f>
        <v>1500</v>
      </c>
      <c r="K2613" s="14">
        <f>equip.xml!L2617</f>
        <v>37500</v>
      </c>
      <c r="L2613" s="14" t="str">
        <f>equip.xml!M2617</f>
        <v>103_2854_2854,104_5708_5708</v>
      </c>
      <c r="M2613" s="17" t="str">
        <f>equip.xml!Q2617</f>
        <v>equipment/1301.png</v>
      </c>
      <c r="N2613" s="16" t="str">
        <f>equip.xml!P2617</f>
        <v>10000_1002_65000,30000_30001_1,30000_30002_1,30000_30003_1</v>
      </c>
      <c r="O2613">
        <f>equip.xml!R2617</f>
        <v>1</v>
      </c>
    </row>
    <row r="2614" spans="1:15">
      <c r="A2614" s="14">
        <f>equip.xml!A2618</f>
        <v>50653065</v>
      </c>
      <c r="B2614" s="14">
        <f>equip.xml!B2618</f>
        <v>0</v>
      </c>
      <c r="C2614" s="14" t="str">
        <f>equip.xml!C2618</f>
        <v>龙语秘典</v>
      </c>
      <c r="D2614" s="14" t="str">
        <f>equip.xml!D2618</f>
        <v>副手武器</v>
      </c>
      <c r="E2614" s="14">
        <f>equip.xml!E2618</f>
        <v>6</v>
      </c>
      <c r="F2614" s="14">
        <f>equip.xml!F2618</f>
        <v>5</v>
      </c>
      <c r="G2614" s="14">
        <f>equip.xml!G2618</f>
        <v>65</v>
      </c>
      <c r="H2614" s="14" t="str">
        <f>equip.xml!H2618</f>
        <v>3,1003</v>
      </c>
      <c r="I2614" s="14">
        <f>equip.xml!J2618</f>
        <v>150</v>
      </c>
      <c r="J2614" s="14">
        <f>equip.xml!K2618</f>
        <v>1500</v>
      </c>
      <c r="K2614" s="14">
        <f>equip.xml!L2618</f>
        <v>35000</v>
      </c>
      <c r="L2614" s="14" t="str">
        <f>equip.xml!M2618</f>
        <v>102_2620_2620</v>
      </c>
      <c r="M2614" s="17" t="str">
        <f>equip.xml!Q2618</f>
        <v>equipment/2317.png</v>
      </c>
      <c r="N2614" s="16" t="str">
        <f>equip.xml!P2618</f>
        <v>10000_1002_65000,30000_30001_1,30000_30002_1,30000_30003_1</v>
      </c>
      <c r="O2614">
        <f>equip.xml!R2618</f>
        <v>1</v>
      </c>
    </row>
    <row r="2615" spans="1:15">
      <c r="A2615" s="14">
        <f>equip.xml!A2619</f>
        <v>50653066</v>
      </c>
      <c r="B2615" s="14">
        <f>equip.xml!B2619</f>
        <v>0</v>
      </c>
      <c r="C2615" s="14" t="str">
        <f>equip.xml!C2619</f>
        <v>法术指南</v>
      </c>
      <c r="D2615" s="14" t="str">
        <f>equip.xml!D2619</f>
        <v>副手武器</v>
      </c>
      <c r="E2615" s="14">
        <f>equip.xml!E2619</f>
        <v>6</v>
      </c>
      <c r="F2615" s="14">
        <f>equip.xml!F2619</f>
        <v>5</v>
      </c>
      <c r="G2615" s="14">
        <f>equip.xml!G2619</f>
        <v>65</v>
      </c>
      <c r="H2615" s="14" t="str">
        <f>equip.xml!H2619</f>
        <v>3,1003</v>
      </c>
      <c r="I2615" s="14">
        <f>equip.xml!J2619</f>
        <v>150</v>
      </c>
      <c r="J2615" s="14">
        <f>equip.xml!K2619</f>
        <v>1500</v>
      </c>
      <c r="K2615" s="14">
        <f>equip.xml!L2619</f>
        <v>37500</v>
      </c>
      <c r="L2615" s="14" t="str">
        <f>equip.xml!M2619</f>
        <v>102_2988_2988</v>
      </c>
      <c r="M2615" s="17" t="str">
        <f>equip.xml!Q2619</f>
        <v>equipment/2301.png</v>
      </c>
      <c r="N2615" s="16" t="str">
        <f>equip.xml!P2619</f>
        <v>10000_1002_65000,30000_30001_1,30000_30002_1,30000_30003_1</v>
      </c>
      <c r="O2615">
        <f>equip.xml!R2619</f>
        <v>1</v>
      </c>
    </row>
    <row r="2616" spans="1:15">
      <c r="A2616" s="14">
        <f>equip.xml!A2620</f>
        <v>50650045</v>
      </c>
      <c r="B2616" s="14">
        <f>equip.xml!B2620</f>
        <v>0</v>
      </c>
      <c r="C2616" s="14" t="str">
        <f>equip.xml!C2620</f>
        <v>末世胸铠</v>
      </c>
      <c r="D2616" s="14" t="str">
        <f>equip.xml!D2620</f>
        <v>胸甲</v>
      </c>
      <c r="E2616" s="14">
        <f>equip.xml!E2620</f>
        <v>4</v>
      </c>
      <c r="F2616" s="14">
        <f>equip.xml!F2620</f>
        <v>5</v>
      </c>
      <c r="G2616" s="14">
        <f>equip.xml!G2620</f>
        <v>65</v>
      </c>
      <c r="H2616" s="14">
        <f>equip.xml!H2620</f>
        <v>0</v>
      </c>
      <c r="I2616" s="14">
        <f>equip.xml!J2620</f>
        <v>150</v>
      </c>
      <c r="J2616" s="14">
        <f>equip.xml!K2620</f>
        <v>1500</v>
      </c>
      <c r="K2616" s="14">
        <f>equip.xml!L2620</f>
        <v>35000</v>
      </c>
      <c r="L2616" s="14" t="str">
        <f>equip.xml!M2620</f>
        <v>105_1628_1628</v>
      </c>
      <c r="M2616" s="17" t="str">
        <f>equip.xml!Q2620</f>
        <v>equipment/5017.png</v>
      </c>
      <c r="N2616" s="16" t="str">
        <f>equip.xml!P2620</f>
        <v>10000_1002_65000,30000_30001_1,30000_30002_1,30000_30003_1</v>
      </c>
      <c r="O2616">
        <f>equip.xml!R2620</f>
        <v>1</v>
      </c>
    </row>
    <row r="2617" spans="1:15">
      <c r="A2617" s="14">
        <f>equip.xml!A2621</f>
        <v>50650046</v>
      </c>
      <c r="B2617" s="14">
        <f>equip.xml!B2621</f>
        <v>0</v>
      </c>
      <c r="C2617" s="14" t="str">
        <f>equip.xml!C2621</f>
        <v>新兵外套</v>
      </c>
      <c r="D2617" s="14" t="str">
        <f>equip.xml!D2621</f>
        <v>胸甲</v>
      </c>
      <c r="E2617" s="14">
        <f>equip.xml!E2621</f>
        <v>4</v>
      </c>
      <c r="F2617" s="14">
        <f>equip.xml!F2621</f>
        <v>5</v>
      </c>
      <c r="G2617" s="14">
        <f>equip.xml!G2621</f>
        <v>65</v>
      </c>
      <c r="H2617" s="14">
        <f>equip.xml!H2621</f>
        <v>0</v>
      </c>
      <c r="I2617" s="14">
        <f>equip.xml!J2621</f>
        <v>150</v>
      </c>
      <c r="J2617" s="14">
        <f>equip.xml!K2621</f>
        <v>1500</v>
      </c>
      <c r="K2617" s="14">
        <f>equip.xml!L2621</f>
        <v>37500</v>
      </c>
      <c r="L2617" s="14" t="str">
        <f>equip.xml!M2621</f>
        <v>105_1628_1628</v>
      </c>
      <c r="M2617" s="17" t="str">
        <f>equip.xml!Q2621</f>
        <v>equipment/5001.png</v>
      </c>
      <c r="N2617" s="16" t="str">
        <f>equip.xml!P2621</f>
        <v>10000_1002_65000,30000_30001_1,30000_30002_1,30000_30003_1</v>
      </c>
      <c r="O2617">
        <f>equip.xml!R2621</f>
        <v>1</v>
      </c>
    </row>
    <row r="2618" spans="1:15">
      <c r="A2618" s="14">
        <f>equip.xml!A2622</f>
        <v>50650075</v>
      </c>
      <c r="B2618" s="14">
        <f>equip.xml!B2622</f>
        <v>0</v>
      </c>
      <c r="C2618" s="14" t="str">
        <f>equip.xml!C2622</f>
        <v>止战腿甲</v>
      </c>
      <c r="D2618" s="14" t="str">
        <f>equip.xml!D2622</f>
        <v>护腿</v>
      </c>
      <c r="E2618" s="14">
        <f>equip.xml!E2622</f>
        <v>7</v>
      </c>
      <c r="F2618" s="14">
        <f>equip.xml!F2622</f>
        <v>5</v>
      </c>
      <c r="G2618" s="14">
        <f>equip.xml!G2622</f>
        <v>65</v>
      </c>
      <c r="H2618" s="14">
        <f>equip.xml!H2622</f>
        <v>0</v>
      </c>
      <c r="I2618" s="14">
        <f>equip.xml!J2622</f>
        <v>150</v>
      </c>
      <c r="J2618" s="14">
        <f>equip.xml!K2622</f>
        <v>1500</v>
      </c>
      <c r="K2618" s="14">
        <f>equip.xml!L2622</f>
        <v>35000</v>
      </c>
      <c r="L2618" s="14" t="str">
        <f>equip.xml!M2622</f>
        <v>105_1627_1627</v>
      </c>
      <c r="M2618" s="17" t="str">
        <f>equip.xml!Q2622</f>
        <v>equipment/7017.png</v>
      </c>
      <c r="N2618" s="16" t="str">
        <f>equip.xml!P2622</f>
        <v>10000_1002_65000,30000_30001_1,30000_30002_1,30000_30003_1</v>
      </c>
      <c r="O2618">
        <f>equip.xml!R2622</f>
        <v>1</v>
      </c>
    </row>
    <row r="2619" spans="1:15">
      <c r="A2619" s="14">
        <f>equip.xml!A2623</f>
        <v>50650076</v>
      </c>
      <c r="B2619" s="14">
        <f>equip.xml!B2623</f>
        <v>0</v>
      </c>
      <c r="C2619" s="14" t="str">
        <f>equip.xml!C2623</f>
        <v>学徒短裤</v>
      </c>
      <c r="D2619" s="14" t="str">
        <f>equip.xml!D2623</f>
        <v>护腿</v>
      </c>
      <c r="E2619" s="14">
        <f>equip.xml!E2623</f>
        <v>7</v>
      </c>
      <c r="F2619" s="14">
        <f>equip.xml!F2623</f>
        <v>5</v>
      </c>
      <c r="G2619" s="14">
        <f>equip.xml!G2623</f>
        <v>65</v>
      </c>
      <c r="H2619" s="14">
        <f>equip.xml!H2623</f>
        <v>0</v>
      </c>
      <c r="I2619" s="14">
        <f>equip.xml!J2623</f>
        <v>150</v>
      </c>
      <c r="J2619" s="14">
        <f>equip.xml!K2623</f>
        <v>1500</v>
      </c>
      <c r="K2619" s="14">
        <f>equip.xml!L2623</f>
        <v>37500</v>
      </c>
      <c r="L2619" s="14" t="str">
        <f>equip.xml!M2623</f>
        <v>105_1627_1627</v>
      </c>
      <c r="M2619" s="17" t="str">
        <f>equip.xml!Q2623</f>
        <v>equipment/7001.png</v>
      </c>
      <c r="N2619" s="16" t="str">
        <f>equip.xml!P2623</f>
        <v>10000_1002_65000,30000_30001_1,30000_30002_1,30000_30003_1</v>
      </c>
      <c r="O2619">
        <f>equip.xml!R2623</f>
        <v>1</v>
      </c>
    </row>
    <row r="2620" spans="1:15">
      <c r="A2620" s="14">
        <f>equip.xml!A2624</f>
        <v>50700015</v>
      </c>
      <c r="B2620" s="14">
        <f>equip.xml!B2624</f>
        <v>0</v>
      </c>
      <c r="C2620" s="14" t="str">
        <f>equip.xml!C2624</f>
        <v>破碎之冠</v>
      </c>
      <c r="D2620" s="14" t="str">
        <f>equip.xml!D2624</f>
        <v>头盔</v>
      </c>
      <c r="E2620" s="14">
        <f>equip.xml!E2624</f>
        <v>1</v>
      </c>
      <c r="F2620" s="14">
        <f>equip.xml!F2624</f>
        <v>5</v>
      </c>
      <c r="G2620" s="14">
        <f>equip.xml!G2624</f>
        <v>70</v>
      </c>
      <c r="H2620" s="14">
        <f>equip.xml!H2624</f>
        <v>0</v>
      </c>
      <c r="I2620" s="14">
        <f>equip.xml!J2624</f>
        <v>150</v>
      </c>
      <c r="J2620" s="14">
        <f>equip.xml!K2624</f>
        <v>1500</v>
      </c>
      <c r="K2620" s="14">
        <f>equip.xml!L2624</f>
        <v>37500</v>
      </c>
      <c r="L2620" s="14" t="str">
        <f>equip.xml!M2624</f>
        <v>106_2256_2256</v>
      </c>
      <c r="M2620" s="17" t="str">
        <f>equip.xml!Q2624</f>
        <v>equipment/3014.png</v>
      </c>
      <c r="N2620" s="16" t="str">
        <f>equip.xml!P2624</f>
        <v>10000_1002_70000,30000_30001_1,30000_30002_1,30000_30003_1</v>
      </c>
      <c r="O2620">
        <f>equip.xml!R2624</f>
        <v>1</v>
      </c>
    </row>
    <row r="2621" spans="1:15">
      <c r="A2621" s="14">
        <f>equip.xml!A2625</f>
        <v>50700025</v>
      </c>
      <c r="B2621" s="14">
        <f>equip.xml!B2625</f>
        <v>0</v>
      </c>
      <c r="C2621" s="14" t="str">
        <f>equip.xml!C2625</f>
        <v>灵谕之戒</v>
      </c>
      <c r="D2621" s="14" t="str">
        <f>equip.xml!D2625</f>
        <v>戒指</v>
      </c>
      <c r="E2621" s="14">
        <f>equip.xml!E2625</f>
        <v>2</v>
      </c>
      <c r="F2621" s="14">
        <f>equip.xml!F2625</f>
        <v>5</v>
      </c>
      <c r="G2621" s="14">
        <f>equip.xml!G2625</f>
        <v>70</v>
      </c>
      <c r="H2621" s="14">
        <f>equip.xml!H2625</f>
        <v>0</v>
      </c>
      <c r="I2621" s="14">
        <f>equip.xml!J2625</f>
        <v>150</v>
      </c>
      <c r="J2621" s="14">
        <f>equip.xml!K2625</f>
        <v>1500</v>
      </c>
      <c r="K2621" s="14">
        <f>equip.xml!L2625</f>
        <v>37500</v>
      </c>
      <c r="L2621" s="14" t="str">
        <f>equip.xml!M2625</f>
        <v>102_1620_1620</v>
      </c>
      <c r="M2621" s="17" t="str">
        <f>equip.xml!Q2625</f>
        <v>equipment/14012.png</v>
      </c>
      <c r="N2621" s="16" t="str">
        <f>equip.xml!P2625</f>
        <v>10000_1002_70000,30000_30001_1,30000_30002_1,30000_30003_1</v>
      </c>
      <c r="O2621">
        <f>equip.xml!R2625</f>
        <v>1</v>
      </c>
    </row>
    <row r="2622" spans="1:15">
      <c r="A2622" s="14">
        <f>equip.xml!A2626</f>
        <v>50700035</v>
      </c>
      <c r="B2622" s="14">
        <f>equip.xml!B2626</f>
        <v>0</v>
      </c>
      <c r="C2622" s="14" t="str">
        <f>equip.xml!C2626</f>
        <v>怒涛腰带</v>
      </c>
      <c r="D2622" s="14" t="str">
        <f>equip.xml!D2626</f>
        <v>腰带</v>
      </c>
      <c r="E2622" s="14">
        <f>equip.xml!E2626</f>
        <v>3</v>
      </c>
      <c r="F2622" s="14">
        <f>equip.xml!F2626</f>
        <v>5</v>
      </c>
      <c r="G2622" s="14">
        <f>equip.xml!G2626</f>
        <v>70</v>
      </c>
      <c r="H2622" s="14">
        <f>equip.xml!H2626</f>
        <v>0</v>
      </c>
      <c r="I2622" s="14">
        <f>equip.xml!J2626</f>
        <v>150</v>
      </c>
      <c r="J2622" s="14">
        <f>equip.xml!K2626</f>
        <v>1500</v>
      </c>
      <c r="K2622" s="14">
        <f>equip.xml!L2626</f>
        <v>37500</v>
      </c>
      <c r="L2622" s="14" t="str">
        <f>equip.xml!M2626</f>
        <v>101_19200_19200</v>
      </c>
      <c r="M2622" s="17" t="str">
        <f>equip.xml!Q2626</f>
        <v>equipment/6013.png</v>
      </c>
      <c r="N2622" s="16" t="str">
        <f>equip.xml!P2626</f>
        <v>10000_1002_70000,30000_30001_1,30000_30002_1,30000_30003_1</v>
      </c>
      <c r="O2622">
        <f>equip.xml!R2626</f>
        <v>1</v>
      </c>
    </row>
    <row r="2623" spans="1:15">
      <c r="A2623" s="14">
        <f>equip.xml!A2627</f>
        <v>50700085</v>
      </c>
      <c r="B2623" s="14">
        <f>equip.xml!B2627</f>
        <v>0</v>
      </c>
      <c r="C2623" s="14" t="str">
        <f>equip.xml!C2627</f>
        <v>无影轻靴</v>
      </c>
      <c r="D2623" s="14" t="str">
        <f>equip.xml!D2627</f>
        <v>鞋子</v>
      </c>
      <c r="E2623" s="14">
        <f>equip.xml!E2627</f>
        <v>8</v>
      </c>
      <c r="F2623" s="14">
        <f>equip.xml!F2627</f>
        <v>5</v>
      </c>
      <c r="G2623" s="14">
        <f>equip.xml!G2627</f>
        <v>70</v>
      </c>
      <c r="H2623" s="14">
        <f>equip.xml!H2627</f>
        <v>0</v>
      </c>
      <c r="I2623" s="14">
        <f>equip.xml!J2627</f>
        <v>150</v>
      </c>
      <c r="J2623" s="14">
        <f>equip.xml!K2627</f>
        <v>1500</v>
      </c>
      <c r="K2623" s="14">
        <f>equip.xml!L2627</f>
        <v>37500</v>
      </c>
      <c r="L2623" s="14" t="str">
        <f>equip.xml!M2627</f>
        <v>110_442_442</v>
      </c>
      <c r="M2623" s="17" t="str">
        <f>equip.xml!Q2627</f>
        <v>equipment/8012.png</v>
      </c>
      <c r="N2623" s="16" t="str">
        <f>equip.xml!P2627</f>
        <v>10000_1002_70000,30000_30001_1,30000_30002_1,30000_30003_1</v>
      </c>
      <c r="O2623">
        <f>equip.xml!R2627</f>
        <v>1</v>
      </c>
    </row>
    <row r="2624" spans="1:15">
      <c r="A2624" s="14">
        <f>equip.xml!A2628</f>
        <v>50700095</v>
      </c>
      <c r="B2624" s="14">
        <f>equip.xml!B2628</f>
        <v>0</v>
      </c>
      <c r="C2624" s="14" t="str">
        <f>equip.xml!C2628</f>
        <v>裂隙之手</v>
      </c>
      <c r="D2624" s="14" t="str">
        <f>equip.xml!D2628</f>
        <v>手套</v>
      </c>
      <c r="E2624" s="14">
        <f>equip.xml!E2628</f>
        <v>9</v>
      </c>
      <c r="F2624" s="14">
        <f>equip.xml!F2628</f>
        <v>5</v>
      </c>
      <c r="G2624" s="14">
        <f>equip.xml!G2628</f>
        <v>70</v>
      </c>
      <c r="H2624" s="14">
        <f>equip.xml!H2628</f>
        <v>0</v>
      </c>
      <c r="I2624" s="14">
        <f>equip.xml!J2628</f>
        <v>150</v>
      </c>
      <c r="J2624" s="14">
        <f>equip.xml!K2628</f>
        <v>1500</v>
      </c>
      <c r="K2624" s="14">
        <f>equip.xml!L2628</f>
        <v>37500</v>
      </c>
      <c r="L2624" s="14" t="str">
        <f>equip.xml!M2628</f>
        <v>108_4189_4189</v>
      </c>
      <c r="M2624" s="17" t="str">
        <f>equip.xml!Q2628</f>
        <v>equipment/10013.png</v>
      </c>
      <c r="N2624" s="16" t="str">
        <f>equip.xml!P2628</f>
        <v>10000_1002_70000,30000_30001_1,30000_30002_1,30000_30003_1</v>
      </c>
      <c r="O2624">
        <f>equip.xml!R2628</f>
        <v>1</v>
      </c>
    </row>
    <row r="2625" spans="1:15">
      <c r="A2625" s="14">
        <f>equip.xml!A2629</f>
        <v>50700105</v>
      </c>
      <c r="B2625" s="14">
        <f>equip.xml!B2629</f>
        <v>0</v>
      </c>
      <c r="C2625" s="14" t="str">
        <f>equip.xml!C2629</f>
        <v>岁月永恒护符</v>
      </c>
      <c r="D2625" s="14" t="str">
        <f>equip.xml!D2629</f>
        <v>项链</v>
      </c>
      <c r="E2625" s="14">
        <f>equip.xml!E2629</f>
        <v>10</v>
      </c>
      <c r="F2625" s="14">
        <f>equip.xml!F2629</f>
        <v>5</v>
      </c>
      <c r="G2625" s="14">
        <f>equip.xml!G2629</f>
        <v>70</v>
      </c>
      <c r="H2625" s="14">
        <f>equip.xml!H2629</f>
        <v>0</v>
      </c>
      <c r="I2625" s="14">
        <f>equip.xml!J2629</f>
        <v>150</v>
      </c>
      <c r="J2625" s="14">
        <f>equip.xml!K2629</f>
        <v>1500</v>
      </c>
      <c r="K2625" s="14">
        <f>equip.xml!L2629</f>
        <v>37500</v>
      </c>
      <c r="L2625" s="14" t="str">
        <f>equip.xml!M2629</f>
        <v>107_2256_2256</v>
      </c>
      <c r="M2625" s="17" t="str">
        <f>equip.xml!Q2629</f>
        <v>equipment/12014.png</v>
      </c>
      <c r="N2625" s="16" t="str">
        <f>equip.xml!P2629</f>
        <v>10000_1002_70000,30000_30001_1,30000_30002_1,30000_30003_1</v>
      </c>
      <c r="O2625">
        <f>equip.xml!R2629</f>
        <v>1</v>
      </c>
    </row>
    <row r="2626" spans="1:15">
      <c r="A2626" s="14">
        <f>equip.xml!A2630</f>
        <v>50701055</v>
      </c>
      <c r="B2626" s="14">
        <f>equip.xml!B2630</f>
        <v>0</v>
      </c>
      <c r="C2626" s="14" t="str">
        <f>equip.xml!C2630</f>
        <v>命运</v>
      </c>
      <c r="D2626" s="14" t="str">
        <f>equip.xml!D2630</f>
        <v>主手武器</v>
      </c>
      <c r="E2626" s="14">
        <f>equip.xml!E2630</f>
        <v>5</v>
      </c>
      <c r="F2626" s="14">
        <f>equip.xml!F2630</f>
        <v>5</v>
      </c>
      <c r="G2626" s="14">
        <f>equip.xml!G2630</f>
        <v>70</v>
      </c>
      <c r="H2626" s="14" t="str">
        <f>equip.xml!H2630</f>
        <v>1,1001</v>
      </c>
      <c r="I2626" s="14">
        <f>equip.xml!J2630</f>
        <v>150</v>
      </c>
      <c r="J2626" s="14">
        <f>equip.xml!K2630</f>
        <v>1500</v>
      </c>
      <c r="K2626" s="14">
        <f>equip.xml!L2630</f>
        <v>37500</v>
      </c>
      <c r="L2626" s="14" t="str">
        <f>equip.xml!M2630</f>
        <v>103_3269_3269,104_6538_6538</v>
      </c>
      <c r="M2626" s="17" t="str">
        <f>equip.xml!Q2630</f>
        <v>equipment/1124.png</v>
      </c>
      <c r="N2626" s="16" t="str">
        <f>equip.xml!P2630</f>
        <v>10000_1002_70000,30000_30001_1,30000_30002_1,30000_30003_1</v>
      </c>
      <c r="O2626">
        <f>equip.xml!R2630</f>
        <v>1</v>
      </c>
    </row>
    <row r="2627" spans="1:15">
      <c r="A2627" s="14">
        <f>equip.xml!A2631</f>
        <v>50701056</v>
      </c>
      <c r="B2627" s="14">
        <f>equip.xml!B2631</f>
        <v>0</v>
      </c>
      <c r="C2627" s="14" t="str">
        <f>equip.xml!C2631</f>
        <v>灰烬使者</v>
      </c>
      <c r="D2627" s="14" t="str">
        <f>equip.xml!D2631</f>
        <v>主手武器</v>
      </c>
      <c r="E2627" s="14">
        <f>equip.xml!E2631</f>
        <v>5</v>
      </c>
      <c r="F2627" s="14">
        <f>equip.xml!F2631</f>
        <v>5</v>
      </c>
      <c r="G2627" s="14">
        <f>equip.xml!G2631</f>
        <v>70</v>
      </c>
      <c r="H2627" s="14" t="str">
        <f>equip.xml!H2631</f>
        <v>1,1001</v>
      </c>
      <c r="I2627" s="14">
        <f>equip.xml!J2631</f>
        <v>150</v>
      </c>
      <c r="J2627" s="14">
        <f>equip.xml!K2631</f>
        <v>1500</v>
      </c>
      <c r="K2627" s="14">
        <f>equip.xml!L2631</f>
        <v>40000</v>
      </c>
      <c r="L2627" s="14" t="str">
        <f>equip.xml!M2631</f>
        <v>103_3269_3269,104_6538_6538</v>
      </c>
      <c r="M2627" s="17" t="str">
        <f>equip.xml!Q2631</f>
        <v>equipment/1101.png</v>
      </c>
      <c r="N2627" s="16" t="str">
        <f>equip.xml!P2631</f>
        <v>10000_1002_70000,30000_30001_1,30000_30002_1,30000_30003_1</v>
      </c>
      <c r="O2627">
        <f>equip.xml!R2631</f>
        <v>1</v>
      </c>
    </row>
    <row r="2628" spans="1:15">
      <c r="A2628" s="14">
        <f>equip.xml!A2632</f>
        <v>50701065</v>
      </c>
      <c r="B2628" s="14">
        <f>equip.xml!B2632</f>
        <v>0</v>
      </c>
      <c r="C2628" s="14" t="str">
        <f>equip.xml!C2632</f>
        <v>永恒之盾</v>
      </c>
      <c r="D2628" s="14" t="str">
        <f>equip.xml!D2632</f>
        <v>副手武器</v>
      </c>
      <c r="E2628" s="14">
        <f>equip.xml!E2632</f>
        <v>6</v>
      </c>
      <c r="F2628" s="14">
        <f>equip.xml!F2632</f>
        <v>5</v>
      </c>
      <c r="G2628" s="14">
        <f>equip.xml!G2632</f>
        <v>70</v>
      </c>
      <c r="H2628" s="14" t="str">
        <f>equip.xml!H2632</f>
        <v>1,1001</v>
      </c>
      <c r="I2628" s="14">
        <f>equip.xml!J2632</f>
        <v>150</v>
      </c>
      <c r="J2628" s="14">
        <f>equip.xml!K2632</f>
        <v>1500</v>
      </c>
      <c r="K2628" s="14">
        <f>equip.xml!L2632</f>
        <v>37500</v>
      </c>
      <c r="L2628" s="14" t="str">
        <f>equip.xml!M2632</f>
        <v>105_3522_3522</v>
      </c>
      <c r="M2628" s="17" t="str">
        <f>equip.xml!Q2632</f>
        <v>equipment/2118.png</v>
      </c>
      <c r="N2628" s="16" t="str">
        <f>equip.xml!P2632</f>
        <v>10000_1002_70000,30000_30001_1,30000_30002_1,30000_30003_1</v>
      </c>
      <c r="O2628">
        <f>equip.xml!R2632</f>
        <v>1</v>
      </c>
    </row>
    <row r="2629" spans="1:15">
      <c r="A2629" s="14">
        <f>equip.xml!A2633</f>
        <v>50701066</v>
      </c>
      <c r="B2629" s="14">
        <f>equip.xml!B2633</f>
        <v>0</v>
      </c>
      <c r="C2629" s="14" t="str">
        <f>equip.xml!C2633</f>
        <v>相位壁垒</v>
      </c>
      <c r="D2629" s="14" t="str">
        <f>equip.xml!D2633</f>
        <v>副手武器</v>
      </c>
      <c r="E2629" s="14">
        <f>equip.xml!E2633</f>
        <v>6</v>
      </c>
      <c r="F2629" s="14">
        <f>equip.xml!F2633</f>
        <v>5</v>
      </c>
      <c r="G2629" s="14">
        <f>equip.xml!G2633</f>
        <v>70</v>
      </c>
      <c r="H2629" s="14" t="str">
        <f>equip.xml!H2633</f>
        <v>1,1001</v>
      </c>
      <c r="I2629" s="14">
        <f>equip.xml!J2633</f>
        <v>150</v>
      </c>
      <c r="J2629" s="14">
        <f>equip.xml!K2633</f>
        <v>1500</v>
      </c>
      <c r="K2629" s="14">
        <f>equip.xml!L2633</f>
        <v>40000</v>
      </c>
      <c r="L2629" s="14" t="str">
        <f>equip.xml!M2633</f>
        <v>105_3522_3522</v>
      </c>
      <c r="M2629" s="17" t="str">
        <f>equip.xml!Q2633</f>
        <v>equipment/2101.png</v>
      </c>
      <c r="N2629" s="16" t="str">
        <f>equip.xml!P2633</f>
        <v>10000_1002_70000,30000_30001_1,30000_30002_1,30000_30003_1</v>
      </c>
      <c r="O2629">
        <f>equip.xml!R2633</f>
        <v>1</v>
      </c>
    </row>
    <row r="2630" spans="1:15">
      <c r="A2630" s="14">
        <f>equip.xml!A2634</f>
        <v>50702055</v>
      </c>
      <c r="B2630" s="14">
        <f>equip.xml!B2634</f>
        <v>0</v>
      </c>
      <c r="C2630" s="14" t="str">
        <f>equip.xml!C2634</f>
        <v>日怒凰弓</v>
      </c>
      <c r="D2630" s="14" t="str">
        <f>equip.xml!D2634</f>
        <v>主手武器</v>
      </c>
      <c r="E2630" s="14">
        <f>equip.xml!E2634</f>
        <v>5</v>
      </c>
      <c r="F2630" s="14">
        <f>equip.xml!F2634</f>
        <v>5</v>
      </c>
      <c r="G2630" s="14">
        <f>equip.xml!G2634</f>
        <v>70</v>
      </c>
      <c r="H2630" s="14" t="str">
        <f>equip.xml!H2634</f>
        <v>2,1002</v>
      </c>
      <c r="I2630" s="14">
        <f>equip.xml!J2634</f>
        <v>150</v>
      </c>
      <c r="J2630" s="14">
        <f>equip.xml!K2634</f>
        <v>1500</v>
      </c>
      <c r="K2630" s="14">
        <f>equip.xml!L2634</f>
        <v>37500</v>
      </c>
      <c r="L2630" s="14" t="str">
        <f>equip.xml!M2634</f>
        <v>103_3269_3269,104_6538_6538</v>
      </c>
      <c r="M2630" s="17" t="str">
        <f>equip.xml!Q2634</f>
        <v>equipment/1222.png</v>
      </c>
      <c r="N2630" s="16" t="str">
        <f>equip.xml!P2634</f>
        <v>10000_1002_70000,30000_30001_1,30000_30002_1,30000_30003_1</v>
      </c>
      <c r="O2630">
        <f>equip.xml!R2634</f>
        <v>1</v>
      </c>
    </row>
    <row r="2631" spans="1:15">
      <c r="A2631" s="14">
        <f>equip.xml!A2635</f>
        <v>50702056</v>
      </c>
      <c r="B2631" s="14">
        <f>equip.xml!B2635</f>
        <v>0</v>
      </c>
      <c r="C2631" s="14" t="str">
        <f>equip.xml!C2635</f>
        <v>群星之怒</v>
      </c>
      <c r="D2631" s="14" t="str">
        <f>equip.xml!D2635</f>
        <v>主手武器</v>
      </c>
      <c r="E2631" s="14">
        <f>equip.xml!E2635</f>
        <v>5</v>
      </c>
      <c r="F2631" s="14">
        <f>equip.xml!F2635</f>
        <v>5</v>
      </c>
      <c r="G2631" s="14">
        <f>equip.xml!G2635</f>
        <v>70</v>
      </c>
      <c r="H2631" s="14" t="str">
        <f>equip.xml!H2635</f>
        <v>2,1002</v>
      </c>
      <c r="I2631" s="14">
        <f>equip.xml!J2635</f>
        <v>150</v>
      </c>
      <c r="J2631" s="14">
        <f>equip.xml!K2635</f>
        <v>1500</v>
      </c>
      <c r="K2631" s="14">
        <f>equip.xml!L2635</f>
        <v>40000</v>
      </c>
      <c r="L2631" s="14" t="str">
        <f>equip.xml!M2635</f>
        <v>103_3269_3269,104_6538_6538</v>
      </c>
      <c r="M2631" s="17" t="str">
        <f>equip.xml!Q2635</f>
        <v>equipment/1201.png</v>
      </c>
      <c r="N2631" s="16" t="str">
        <f>equip.xml!P2635</f>
        <v>10000_1002_70000,30000_30001_1,30000_30002_1,30000_30003_1</v>
      </c>
      <c r="O2631">
        <f>equip.xml!R2635</f>
        <v>1</v>
      </c>
    </row>
    <row r="2632" spans="1:15">
      <c r="A2632" s="14">
        <f>equip.xml!A2636</f>
        <v>50702065</v>
      </c>
      <c r="B2632" s="14">
        <f>equip.xml!B2636</f>
        <v>0</v>
      </c>
      <c r="C2632" s="14" t="str">
        <f>equip.xml!C2636</f>
        <v>逐日之矢</v>
      </c>
      <c r="D2632" s="14" t="str">
        <f>equip.xml!D2636</f>
        <v>副手武器</v>
      </c>
      <c r="E2632" s="14">
        <f>equip.xml!E2636</f>
        <v>6</v>
      </c>
      <c r="F2632" s="14">
        <f>equip.xml!F2636</f>
        <v>5</v>
      </c>
      <c r="G2632" s="14">
        <f>equip.xml!G2636</f>
        <v>70</v>
      </c>
      <c r="H2632" s="14" t="str">
        <f>equip.xml!H2636</f>
        <v>2,1002</v>
      </c>
      <c r="I2632" s="14">
        <f>equip.xml!J2636</f>
        <v>150</v>
      </c>
      <c r="J2632" s="14">
        <f>equip.xml!K2636</f>
        <v>1500</v>
      </c>
      <c r="K2632" s="14">
        <f>equip.xml!L2636</f>
        <v>37500</v>
      </c>
      <c r="L2632" s="14" t="str">
        <f>equip.xml!M2636</f>
        <v>108_3522_3522</v>
      </c>
      <c r="M2632" s="17" t="str">
        <f>equip.xml!Q2636</f>
        <v>equipment/2218.png</v>
      </c>
      <c r="N2632" s="16" t="str">
        <f>equip.xml!P2636</f>
        <v>10000_1002_70000,30000_30001_1,30000_30002_1,30000_30003_1</v>
      </c>
      <c r="O2632">
        <f>equip.xml!R2636</f>
        <v>1</v>
      </c>
    </row>
    <row r="2633" spans="1:15">
      <c r="A2633" s="14">
        <f>equip.xml!A2637</f>
        <v>50702066</v>
      </c>
      <c r="B2633" s="14">
        <f>equip.xml!B2637</f>
        <v>0</v>
      </c>
      <c r="C2633" s="14" t="str">
        <f>equip.xml!C2637</f>
        <v>箭筒</v>
      </c>
      <c r="D2633" s="14" t="str">
        <f>equip.xml!D2637</f>
        <v>副手武器</v>
      </c>
      <c r="E2633" s="14">
        <f>equip.xml!E2637</f>
        <v>6</v>
      </c>
      <c r="F2633" s="14">
        <f>equip.xml!F2637</f>
        <v>5</v>
      </c>
      <c r="G2633" s="14">
        <f>equip.xml!G2637</f>
        <v>70</v>
      </c>
      <c r="H2633" s="14" t="str">
        <f>equip.xml!H2637</f>
        <v>2,1002</v>
      </c>
      <c r="I2633" s="14">
        <f>equip.xml!J2637</f>
        <v>150</v>
      </c>
      <c r="J2633" s="14">
        <f>equip.xml!K2637</f>
        <v>1500</v>
      </c>
      <c r="K2633" s="14">
        <f>equip.xml!L2637</f>
        <v>40000</v>
      </c>
      <c r="L2633" s="14" t="str">
        <f>equip.xml!M2637</f>
        <v>108_3522_3522</v>
      </c>
      <c r="M2633" s="17" t="str">
        <f>equip.xml!Q2637</f>
        <v>equipment/2201.png</v>
      </c>
      <c r="N2633" s="16" t="str">
        <f>equip.xml!P2637</f>
        <v>10000_1002_70000,30000_30001_1,30000_30002_1,30000_30003_1</v>
      </c>
      <c r="O2633">
        <f>equip.xml!R2637</f>
        <v>1</v>
      </c>
    </row>
    <row r="2634" spans="1:15">
      <c r="A2634" s="14">
        <f>equip.xml!A2638</f>
        <v>50703055</v>
      </c>
      <c r="B2634" s="14">
        <f>equip.xml!B2638</f>
        <v>0</v>
      </c>
      <c r="C2634" s="14" t="str">
        <f>equip.xml!C2638</f>
        <v>瓦解法杖</v>
      </c>
      <c r="D2634" s="14" t="str">
        <f>equip.xml!D2638</f>
        <v>主手武器</v>
      </c>
      <c r="E2634" s="14">
        <f>equip.xml!E2638</f>
        <v>5</v>
      </c>
      <c r="F2634" s="14">
        <f>equip.xml!F2638</f>
        <v>5</v>
      </c>
      <c r="G2634" s="14">
        <f>equip.xml!G2638</f>
        <v>70</v>
      </c>
      <c r="H2634" s="14" t="str">
        <f>equip.xml!H2638</f>
        <v>3,1003</v>
      </c>
      <c r="I2634" s="14">
        <f>equip.xml!J2638</f>
        <v>150</v>
      </c>
      <c r="J2634" s="14">
        <f>equip.xml!K2638</f>
        <v>1500</v>
      </c>
      <c r="K2634" s="14">
        <f>equip.xml!L2638</f>
        <v>37500</v>
      </c>
      <c r="L2634" s="14" t="str">
        <f>equip.xml!M2638</f>
        <v>103_3269_3269,104_6538_6538</v>
      </c>
      <c r="M2634" s="17" t="str">
        <f>equip.xml!Q2638</f>
        <v>equipment/1324.png</v>
      </c>
      <c r="N2634" s="16" t="str">
        <f>equip.xml!P2638</f>
        <v>10000_1002_70000,30000_30001_1,30000_30002_1,30000_30003_1</v>
      </c>
      <c r="O2634">
        <f>equip.xml!R2638</f>
        <v>1</v>
      </c>
    </row>
    <row r="2635" spans="1:15">
      <c r="A2635" s="14">
        <f>equip.xml!A2639</f>
        <v>50703056</v>
      </c>
      <c r="B2635" s="14">
        <f>equip.xml!B2639</f>
        <v>0</v>
      </c>
      <c r="C2635" s="14" t="str">
        <f>equip.xml!C2639</f>
        <v>守护者之杖</v>
      </c>
      <c r="D2635" s="14" t="str">
        <f>equip.xml!D2639</f>
        <v>主手武器</v>
      </c>
      <c r="E2635" s="14">
        <f>equip.xml!E2639</f>
        <v>5</v>
      </c>
      <c r="F2635" s="14">
        <f>equip.xml!F2639</f>
        <v>5</v>
      </c>
      <c r="G2635" s="14">
        <f>equip.xml!G2639</f>
        <v>70</v>
      </c>
      <c r="H2635" s="14" t="str">
        <f>equip.xml!H2639</f>
        <v>3,1003</v>
      </c>
      <c r="I2635" s="14">
        <f>equip.xml!J2639</f>
        <v>150</v>
      </c>
      <c r="J2635" s="14">
        <f>equip.xml!K2639</f>
        <v>1500</v>
      </c>
      <c r="K2635" s="14">
        <f>equip.xml!L2639</f>
        <v>40000</v>
      </c>
      <c r="L2635" s="14" t="str">
        <f>equip.xml!M2639</f>
        <v>103_3269_3269,104_6538_6538</v>
      </c>
      <c r="M2635" s="17" t="str">
        <f>equip.xml!Q2639</f>
        <v>equipment/1301.png</v>
      </c>
      <c r="N2635" s="16" t="str">
        <f>equip.xml!P2639</f>
        <v>10000_1002_70000,30000_30001_1,30000_30002_1,30000_30003_1</v>
      </c>
      <c r="O2635">
        <f>equip.xml!R2639</f>
        <v>1</v>
      </c>
    </row>
    <row r="2636" spans="1:15">
      <c r="A2636" s="14">
        <f>equip.xml!A2640</f>
        <v>50703065</v>
      </c>
      <c r="B2636" s="14">
        <f>equip.xml!B2640</f>
        <v>0</v>
      </c>
      <c r="C2636" s="14" t="str">
        <f>equip.xml!C2640</f>
        <v>虚空魔典</v>
      </c>
      <c r="D2636" s="14" t="str">
        <f>equip.xml!D2640</f>
        <v>副手武器</v>
      </c>
      <c r="E2636" s="14">
        <f>equip.xml!E2640</f>
        <v>6</v>
      </c>
      <c r="F2636" s="14">
        <f>equip.xml!F2640</f>
        <v>5</v>
      </c>
      <c r="G2636" s="14">
        <f>equip.xml!G2640</f>
        <v>70</v>
      </c>
      <c r="H2636" s="14" t="str">
        <f>equip.xml!H2640</f>
        <v>3,1003</v>
      </c>
      <c r="I2636" s="14">
        <f>equip.xml!J2640</f>
        <v>150</v>
      </c>
      <c r="J2636" s="14">
        <f>equip.xml!K2640</f>
        <v>1500</v>
      </c>
      <c r="K2636" s="14">
        <f>equip.xml!L2640</f>
        <v>37500</v>
      </c>
      <c r="L2636" s="14" t="str">
        <f>equip.xml!M2640</f>
        <v>102_3080_3080</v>
      </c>
      <c r="M2636" s="17" t="str">
        <f>equip.xml!Q2640</f>
        <v>equipment/2318.png</v>
      </c>
      <c r="N2636" s="16" t="str">
        <f>equip.xml!P2640</f>
        <v>10000_1002_70000,30000_30001_1,30000_30002_1,30000_30003_1</v>
      </c>
      <c r="O2636">
        <f>equip.xml!R2640</f>
        <v>1</v>
      </c>
    </row>
    <row r="2637" spans="1:15">
      <c r="A2637" s="14">
        <f>equip.xml!A2641</f>
        <v>50703066</v>
      </c>
      <c r="B2637" s="14">
        <f>equip.xml!B2641</f>
        <v>0</v>
      </c>
      <c r="C2637" s="14" t="str">
        <f>equip.xml!C2641</f>
        <v>星界之书</v>
      </c>
      <c r="D2637" s="14" t="str">
        <f>equip.xml!D2641</f>
        <v>副手武器</v>
      </c>
      <c r="E2637" s="14">
        <f>equip.xml!E2641</f>
        <v>6</v>
      </c>
      <c r="F2637" s="14">
        <f>equip.xml!F2641</f>
        <v>5</v>
      </c>
      <c r="G2637" s="14">
        <f>equip.xml!G2641</f>
        <v>70</v>
      </c>
      <c r="H2637" s="14" t="str">
        <f>equip.xml!H2641</f>
        <v>3,1003</v>
      </c>
      <c r="I2637" s="14">
        <f>equip.xml!J2641</f>
        <v>150</v>
      </c>
      <c r="J2637" s="14">
        <f>equip.xml!K2641</f>
        <v>1500</v>
      </c>
      <c r="K2637" s="14">
        <f>equip.xml!L2641</f>
        <v>40000</v>
      </c>
      <c r="L2637" s="14" t="str">
        <f>equip.xml!M2641</f>
        <v>102_3080_3080</v>
      </c>
      <c r="M2637" s="17" t="str">
        <f>equip.xml!Q2641</f>
        <v>equipment/2301.png</v>
      </c>
      <c r="N2637" s="16" t="str">
        <f>equip.xml!P2641</f>
        <v>10000_1002_70000,30000_30001_1,30000_30002_1,30000_30003_1</v>
      </c>
      <c r="O2637">
        <f>equip.xml!R2641</f>
        <v>1</v>
      </c>
    </row>
    <row r="2638" spans="1:15">
      <c r="A2638" s="14">
        <f>equip.xml!A2642</f>
        <v>50700045</v>
      </c>
      <c r="B2638" s="14">
        <f>equip.xml!B2642</f>
        <v>0</v>
      </c>
      <c r="C2638" s="14" t="str">
        <f>equip.xml!C2642</f>
        <v>光铸胸甲</v>
      </c>
      <c r="D2638" s="14" t="str">
        <f>equip.xml!D2642</f>
        <v>胸甲</v>
      </c>
      <c r="E2638" s="14">
        <f>equip.xml!E2642</f>
        <v>4</v>
      </c>
      <c r="F2638" s="14">
        <f>equip.xml!F2642</f>
        <v>5</v>
      </c>
      <c r="G2638" s="14">
        <f>equip.xml!G2642</f>
        <v>70</v>
      </c>
      <c r="H2638" s="14">
        <f>equip.xml!H2642</f>
        <v>0</v>
      </c>
      <c r="I2638" s="14">
        <f>equip.xml!J2642</f>
        <v>150</v>
      </c>
      <c r="J2638" s="14">
        <f>equip.xml!K2642</f>
        <v>1500</v>
      </c>
      <c r="K2638" s="14">
        <f>equip.xml!L2642</f>
        <v>37500</v>
      </c>
      <c r="L2638" s="14" t="str">
        <f>equip.xml!M2642</f>
        <v>105_1844_1844</v>
      </c>
      <c r="M2638" s="17" t="str">
        <f>equip.xml!Q2642</f>
        <v>equipment/5018.png</v>
      </c>
      <c r="N2638" s="16" t="str">
        <f>equip.xml!P2642</f>
        <v>10000_1002_70000,30000_30001_1,30000_30002_1,30000_30003_1</v>
      </c>
      <c r="O2638">
        <f>equip.xml!R2642</f>
        <v>1</v>
      </c>
    </row>
    <row r="2639" spans="1:15">
      <c r="A2639" s="14">
        <f>equip.xml!A2643</f>
        <v>50700046</v>
      </c>
      <c r="B2639" s="14">
        <f>equip.xml!B2643</f>
        <v>0</v>
      </c>
      <c r="C2639" s="14" t="str">
        <f>equip.xml!C2643</f>
        <v>碎界之铠</v>
      </c>
      <c r="D2639" s="14" t="str">
        <f>equip.xml!D2643</f>
        <v>胸甲</v>
      </c>
      <c r="E2639" s="14">
        <f>equip.xml!E2643</f>
        <v>4</v>
      </c>
      <c r="F2639" s="14">
        <f>equip.xml!F2643</f>
        <v>5</v>
      </c>
      <c r="G2639" s="14">
        <f>equip.xml!G2643</f>
        <v>70</v>
      </c>
      <c r="H2639" s="14">
        <f>equip.xml!H2643</f>
        <v>0</v>
      </c>
      <c r="I2639" s="14">
        <f>equip.xml!J2643</f>
        <v>150</v>
      </c>
      <c r="J2639" s="14">
        <f>equip.xml!K2643</f>
        <v>1500</v>
      </c>
      <c r="K2639" s="14">
        <f>equip.xml!L2643</f>
        <v>40000</v>
      </c>
      <c r="L2639" s="14" t="str">
        <f>equip.xml!M2643</f>
        <v>105_0_0</v>
      </c>
      <c r="M2639" s="17" t="str">
        <f>equip.xml!Q2643</f>
        <v>equipment/5001.png</v>
      </c>
      <c r="N2639" s="16" t="str">
        <f>equip.xml!P2643</f>
        <v>10000_1002_70000,30000_30001_1,30000_30002_1,30000_30003_1</v>
      </c>
      <c r="O2639">
        <f>equip.xml!R2643</f>
        <v>1</v>
      </c>
    </row>
    <row r="2640" spans="1:15">
      <c r="A2640" s="14">
        <f>equip.xml!A2644</f>
        <v>50700075</v>
      </c>
      <c r="B2640" s="14">
        <f>equip.xml!B2644</f>
        <v>0</v>
      </c>
      <c r="C2640" s="14" t="str">
        <f>equip.xml!C2644</f>
        <v>虚灵护腿</v>
      </c>
      <c r="D2640" s="14" t="str">
        <f>equip.xml!D2644</f>
        <v>护腿</v>
      </c>
      <c r="E2640" s="14">
        <f>equip.xml!E2644</f>
        <v>7</v>
      </c>
      <c r="F2640" s="14">
        <f>equip.xml!F2644</f>
        <v>5</v>
      </c>
      <c r="G2640" s="14">
        <f>equip.xml!G2644</f>
        <v>70</v>
      </c>
      <c r="H2640" s="14">
        <f>equip.xml!H2644</f>
        <v>0</v>
      </c>
      <c r="I2640" s="14">
        <f>equip.xml!J2644</f>
        <v>150</v>
      </c>
      <c r="J2640" s="14">
        <f>equip.xml!K2644</f>
        <v>1500</v>
      </c>
      <c r="K2640" s="14">
        <f>equip.xml!L2644</f>
        <v>37500</v>
      </c>
      <c r="L2640" s="14" t="str">
        <f>equip.xml!M2644</f>
        <v>105_1844_1844</v>
      </c>
      <c r="M2640" s="17" t="str">
        <f>equip.xml!Q2644</f>
        <v>equipment/7018.png</v>
      </c>
      <c r="N2640" s="16" t="str">
        <f>equip.xml!P2644</f>
        <v>10000_1002_70000,30000_30001_1,30000_30002_1,30000_30003_1</v>
      </c>
      <c r="O2640">
        <f>equip.xml!R2644</f>
        <v>1</v>
      </c>
    </row>
    <row r="2641" spans="1:15">
      <c r="A2641" s="14">
        <f>equip.xml!A2645</f>
        <v>50700076</v>
      </c>
      <c r="B2641" s="14">
        <f>equip.xml!B2645</f>
        <v>0</v>
      </c>
      <c r="C2641" s="14" t="str">
        <f>equip.xml!C2645</f>
        <v>不朽护腿</v>
      </c>
      <c r="D2641" s="14" t="str">
        <f>equip.xml!D2645</f>
        <v>护腿</v>
      </c>
      <c r="E2641" s="14">
        <f>equip.xml!E2645</f>
        <v>7</v>
      </c>
      <c r="F2641" s="14">
        <f>equip.xml!F2645</f>
        <v>5</v>
      </c>
      <c r="G2641" s="14">
        <f>equip.xml!G2645</f>
        <v>70</v>
      </c>
      <c r="H2641" s="14">
        <f>equip.xml!H2645</f>
        <v>0</v>
      </c>
      <c r="I2641" s="14">
        <f>equip.xml!J2645</f>
        <v>150</v>
      </c>
      <c r="J2641" s="14">
        <f>equip.xml!K2645</f>
        <v>1500</v>
      </c>
      <c r="K2641" s="14">
        <f>equip.xml!L2645</f>
        <v>40000</v>
      </c>
      <c r="L2641" s="14" t="str">
        <f>equip.xml!M2645</f>
        <v>105_0_0</v>
      </c>
      <c r="M2641" s="17" t="str">
        <f>equip.xml!Q2645</f>
        <v>equipment/7001.png</v>
      </c>
      <c r="N2641" s="16" t="str">
        <f>equip.xml!P2645</f>
        <v>10000_1002_70000,30000_30001_1,30000_30002_1,30000_30003_1</v>
      </c>
      <c r="O2641">
        <f>equip.xml!R2645</f>
        <v>1</v>
      </c>
    </row>
    <row r="2642" spans="1:15">
      <c r="A2642" s="14">
        <f>equip.xml!A2646</f>
        <v>50750015</v>
      </c>
      <c r="B2642" s="14">
        <f>equip.xml!B2646</f>
        <v>0</v>
      </c>
      <c r="C2642" s="14" t="str">
        <f>equip.xml!C2646</f>
        <v>凛冬头盔</v>
      </c>
      <c r="D2642" s="14" t="str">
        <f>equip.xml!D2646</f>
        <v>头盔</v>
      </c>
      <c r="E2642" s="14">
        <f>equip.xml!E2646</f>
        <v>1</v>
      </c>
      <c r="F2642" s="14">
        <f>equip.xml!F2646</f>
        <v>5</v>
      </c>
      <c r="G2642" s="14">
        <f>equip.xml!G2646</f>
        <v>75</v>
      </c>
      <c r="H2642" s="14">
        <f>equip.xml!H2646</f>
        <v>0</v>
      </c>
      <c r="I2642" s="14">
        <f>equip.xml!J2646</f>
        <v>150</v>
      </c>
      <c r="J2642" s="14">
        <f>equip.xml!K2646</f>
        <v>1500</v>
      </c>
      <c r="K2642" s="14">
        <f>equip.xml!L2646</f>
        <v>40000</v>
      </c>
      <c r="L2642" s="14" t="str">
        <f>equip.xml!M2646</f>
        <v>106_2633_2633</v>
      </c>
      <c r="M2642" s="17" t="str">
        <f>equip.xml!Q2646</f>
        <v>equipment/3013.png</v>
      </c>
      <c r="N2642" s="16" t="str">
        <f>equip.xml!P2646</f>
        <v>10000_1002_70000,30000_30001_1,30000_30002_1,30000_30003_1</v>
      </c>
      <c r="O2642">
        <f>equip.xml!R2646</f>
        <v>1</v>
      </c>
    </row>
    <row r="2643" spans="1:15">
      <c r="A2643" s="14">
        <f>equip.xml!A2647</f>
        <v>50750025</v>
      </c>
      <c r="B2643" s="14">
        <f>equip.xml!B2647</f>
        <v>0</v>
      </c>
      <c r="C2643" s="14" t="str">
        <f>equip.xml!C2647</f>
        <v>地脉之环</v>
      </c>
      <c r="D2643" s="14" t="str">
        <f>equip.xml!D2647</f>
        <v>戒指</v>
      </c>
      <c r="E2643" s="14">
        <f>equip.xml!E2647</f>
        <v>2</v>
      </c>
      <c r="F2643" s="14">
        <f>equip.xml!F2647</f>
        <v>5</v>
      </c>
      <c r="G2643" s="14">
        <f>equip.xml!G2647</f>
        <v>75</v>
      </c>
      <c r="H2643" s="14">
        <f>equip.xml!H2647</f>
        <v>0</v>
      </c>
      <c r="I2643" s="14">
        <f>equip.xml!J2647</f>
        <v>150</v>
      </c>
      <c r="J2643" s="14">
        <f>equip.xml!K2647</f>
        <v>1500</v>
      </c>
      <c r="K2643" s="14">
        <f>equip.xml!L2647</f>
        <v>40000</v>
      </c>
      <c r="L2643" s="14" t="str">
        <f>equip.xml!M2647</f>
        <v>102_1760_1760</v>
      </c>
      <c r="M2643" s="17" t="str">
        <f>equip.xml!Q2647</f>
        <v>equipment/14013.png</v>
      </c>
      <c r="N2643" s="16" t="str">
        <f>equip.xml!P2647</f>
        <v>10000_1002_70000,30000_30001_1,30000_30002_1,30000_30003_1</v>
      </c>
      <c r="O2643">
        <f>equip.xml!R2647</f>
        <v>1</v>
      </c>
    </row>
    <row r="2644" spans="1:15">
      <c r="A2644" s="14">
        <f>equip.xml!A2648</f>
        <v>50750035</v>
      </c>
      <c r="B2644" s="14">
        <f>equip.xml!B2648</f>
        <v>0</v>
      </c>
      <c r="C2644" s="14" t="str">
        <f>equip.xml!C2648</f>
        <v>缚誓护腰</v>
      </c>
      <c r="D2644" s="14" t="str">
        <f>equip.xml!D2648</f>
        <v>腰带</v>
      </c>
      <c r="E2644" s="14">
        <f>equip.xml!E2648</f>
        <v>3</v>
      </c>
      <c r="F2644" s="14">
        <f>equip.xml!F2648</f>
        <v>5</v>
      </c>
      <c r="G2644" s="14">
        <f>equip.xml!G2648</f>
        <v>75</v>
      </c>
      <c r="H2644" s="14">
        <f>equip.xml!H2648</f>
        <v>0</v>
      </c>
      <c r="I2644" s="14">
        <f>equip.xml!J2648</f>
        <v>150</v>
      </c>
      <c r="J2644" s="14">
        <f>equip.xml!K2648</f>
        <v>1500</v>
      </c>
      <c r="K2644" s="14">
        <f>equip.xml!L2648</f>
        <v>40000</v>
      </c>
      <c r="L2644" s="14" t="str">
        <f>equip.xml!M2648</f>
        <v>101_21600_21600</v>
      </c>
      <c r="M2644" s="17" t="str">
        <f>equip.xml!Q2648</f>
        <v>equipment/6014.png</v>
      </c>
      <c r="N2644" s="16" t="str">
        <f>equip.xml!P2648</f>
        <v>10000_1002_70000,30000_30001_1,30000_30002_1,30000_30003_1</v>
      </c>
      <c r="O2644">
        <f>equip.xml!R2648</f>
        <v>1</v>
      </c>
    </row>
    <row r="2645" spans="1:15">
      <c r="A2645" s="14">
        <f>equip.xml!A2649</f>
        <v>50750085</v>
      </c>
      <c r="B2645" s="14">
        <f>equip.xml!B2649</f>
        <v>0</v>
      </c>
      <c r="C2645" s="14" t="str">
        <f>equip.xml!C2649</f>
        <v>踏冰长靴</v>
      </c>
      <c r="D2645" s="14" t="str">
        <f>equip.xml!D2649</f>
        <v>鞋子</v>
      </c>
      <c r="E2645" s="14">
        <f>equip.xml!E2649</f>
        <v>8</v>
      </c>
      <c r="F2645" s="14">
        <f>equip.xml!F2649</f>
        <v>5</v>
      </c>
      <c r="G2645" s="14">
        <f>equip.xml!G2649</f>
        <v>75</v>
      </c>
      <c r="H2645" s="14">
        <f>equip.xml!H2649</f>
        <v>0</v>
      </c>
      <c r="I2645" s="14">
        <f>equip.xml!J2649</f>
        <v>150</v>
      </c>
      <c r="J2645" s="14">
        <f>equip.xml!K2649</f>
        <v>1500</v>
      </c>
      <c r="K2645" s="14">
        <f>equip.xml!L2649</f>
        <v>40000</v>
      </c>
      <c r="L2645" s="14" t="str">
        <f>equip.xml!M2649</f>
        <v>110_515_515</v>
      </c>
      <c r="M2645" s="17" t="str">
        <f>equip.xml!Q2649</f>
        <v>equipment/8014.png</v>
      </c>
      <c r="N2645" s="16" t="str">
        <f>equip.xml!P2649</f>
        <v>10000_1002_70000,30000_30001_1,30000_30002_1,30000_30003_1</v>
      </c>
      <c r="O2645">
        <f>equip.xml!R2649</f>
        <v>1</v>
      </c>
    </row>
    <row r="2646" spans="1:15">
      <c r="A2646" s="14">
        <f>equip.xml!A2650</f>
        <v>50750095</v>
      </c>
      <c r="B2646" s="14">
        <f>equip.xml!B2650</f>
        <v>0</v>
      </c>
      <c r="C2646" s="14" t="str">
        <f>equip.xml!C2650</f>
        <v>薄霜护手</v>
      </c>
      <c r="D2646" s="14" t="str">
        <f>equip.xml!D2650</f>
        <v>手套</v>
      </c>
      <c r="E2646" s="14">
        <f>equip.xml!E2650</f>
        <v>9</v>
      </c>
      <c r="F2646" s="14">
        <f>equip.xml!F2650</f>
        <v>5</v>
      </c>
      <c r="G2646" s="14">
        <f>equip.xml!G2650</f>
        <v>75</v>
      </c>
      <c r="H2646" s="14">
        <f>equip.xml!H2650</f>
        <v>0</v>
      </c>
      <c r="I2646" s="14">
        <f>equip.xml!J2650</f>
        <v>150</v>
      </c>
      <c r="J2646" s="14">
        <f>equip.xml!K2650</f>
        <v>1500</v>
      </c>
      <c r="K2646" s="14">
        <f>equip.xml!L2650</f>
        <v>40000</v>
      </c>
      <c r="L2646" s="14" t="str">
        <f>equip.xml!M2650</f>
        <v>108_4631_4631</v>
      </c>
      <c r="M2646" s="17" t="str">
        <f>equip.xml!Q2650</f>
        <v>equipment/10012.png</v>
      </c>
      <c r="N2646" s="16" t="str">
        <f>equip.xml!P2650</f>
        <v>10000_1002_70000,30000_30001_1,30000_30002_1,30000_30003_1</v>
      </c>
      <c r="O2646">
        <f>equip.xml!R2650</f>
        <v>1</v>
      </c>
    </row>
    <row r="2647" spans="1:15">
      <c r="A2647" s="14">
        <f>equip.xml!A2651</f>
        <v>50750105</v>
      </c>
      <c r="B2647" s="14">
        <f>equip.xml!B2651</f>
        <v>0</v>
      </c>
      <c r="C2647" s="14" t="str">
        <f>equip.xml!C2651</f>
        <v>极光挂坠</v>
      </c>
      <c r="D2647" s="14" t="str">
        <f>equip.xml!D2651</f>
        <v>项链</v>
      </c>
      <c r="E2647" s="14">
        <f>equip.xml!E2651</f>
        <v>10</v>
      </c>
      <c r="F2647" s="14">
        <f>equip.xml!F2651</f>
        <v>5</v>
      </c>
      <c r="G2647" s="14">
        <f>equip.xml!G2651</f>
        <v>75</v>
      </c>
      <c r="H2647" s="14">
        <f>equip.xml!H2651</f>
        <v>0</v>
      </c>
      <c r="I2647" s="14">
        <f>equip.xml!J2651</f>
        <v>150</v>
      </c>
      <c r="J2647" s="14">
        <f>equip.xml!K2651</f>
        <v>1500</v>
      </c>
      <c r="K2647" s="14">
        <f>equip.xml!L2651</f>
        <v>40000</v>
      </c>
      <c r="L2647" s="14" t="str">
        <f>equip.xml!M2651</f>
        <v>107_2633_2633</v>
      </c>
      <c r="M2647" s="17" t="str">
        <f>equip.xml!Q2651</f>
        <v>equipment/12013.png</v>
      </c>
      <c r="N2647" s="16" t="str">
        <f>equip.xml!P2651</f>
        <v>10000_1002_70000,30000_30001_1,30000_30002_1,30000_30003_1</v>
      </c>
      <c r="O2647">
        <f>equip.xml!R2651</f>
        <v>1</v>
      </c>
    </row>
    <row r="2648" spans="1:15">
      <c r="A2648" s="14">
        <f>equip.xml!A2652</f>
        <v>50751055</v>
      </c>
      <c r="B2648" s="14">
        <f>equip.xml!B2652</f>
        <v>0</v>
      </c>
      <c r="C2648" s="14" t="str">
        <f>equip.xml!C2652</f>
        <v>凌风之刃</v>
      </c>
      <c r="D2648" s="14" t="str">
        <f>equip.xml!D2652</f>
        <v>主手武器</v>
      </c>
      <c r="E2648" s="14">
        <f>equip.xml!E2652</f>
        <v>5</v>
      </c>
      <c r="F2648" s="14">
        <f>equip.xml!F2652</f>
        <v>5</v>
      </c>
      <c r="G2648" s="14">
        <f>equip.xml!G2652</f>
        <v>75</v>
      </c>
      <c r="H2648" s="14" t="str">
        <f>equip.xml!H2652</f>
        <v>1,1001</v>
      </c>
      <c r="I2648" s="14">
        <f>equip.xml!J2652</f>
        <v>150</v>
      </c>
      <c r="J2648" s="14">
        <f>equip.xml!K2652</f>
        <v>1500</v>
      </c>
      <c r="K2648" s="14">
        <f>equip.xml!L2652</f>
        <v>40000</v>
      </c>
      <c r="L2648" s="14" t="str">
        <f>equip.xml!M2652</f>
        <v>103_3811_3811,104_7622_7622</v>
      </c>
      <c r="M2648" s="17" t="str">
        <f>equip.xml!Q2652</f>
        <v>equipment/1126.png</v>
      </c>
      <c r="N2648" s="16" t="str">
        <f>equip.xml!P2652</f>
        <v>10000_1002_70000,30000_30001_1,30000_30002_1,30000_30003_1</v>
      </c>
      <c r="O2648">
        <f>equip.xml!R2652</f>
        <v>1</v>
      </c>
    </row>
    <row r="2649" spans="1:15">
      <c r="A2649" s="14">
        <f>equip.xml!A2653</f>
        <v>50751056</v>
      </c>
      <c r="B2649" s="14">
        <f>equip.xml!B2653</f>
        <v>0</v>
      </c>
      <c r="C2649" s="14" t="str">
        <f>equip.xml!C2653</f>
        <v>鸣醒之剑</v>
      </c>
      <c r="D2649" s="14" t="str">
        <f>equip.xml!D2653</f>
        <v>主手武器</v>
      </c>
      <c r="E2649" s="14">
        <f>equip.xml!E2653</f>
        <v>5</v>
      </c>
      <c r="F2649" s="14">
        <f>equip.xml!F2653</f>
        <v>5</v>
      </c>
      <c r="G2649" s="14">
        <f>equip.xml!G2653</f>
        <v>75</v>
      </c>
      <c r="H2649" s="14" t="str">
        <f>equip.xml!H2653</f>
        <v>1,1001</v>
      </c>
      <c r="I2649" s="14">
        <f>equip.xml!J2653</f>
        <v>150</v>
      </c>
      <c r="J2649" s="14">
        <f>equip.xml!K2653</f>
        <v>1500</v>
      </c>
      <c r="K2649" s="14">
        <f>equip.xml!L2653</f>
        <v>42500</v>
      </c>
      <c r="L2649" s="14" t="str">
        <f>equip.xml!M2653</f>
        <v>103_4019_4019,104_8038_8038</v>
      </c>
      <c r="M2649" s="17" t="str">
        <f>equip.xml!Q2653</f>
        <v>equipment/1127.png</v>
      </c>
      <c r="N2649" s="16" t="str">
        <f>equip.xml!P2653</f>
        <v>10000_1002_70000,30000_30001_1,30000_30002_1,30000_30003_1</v>
      </c>
      <c r="O2649">
        <f>equip.xml!R2653</f>
        <v>1</v>
      </c>
    </row>
    <row r="2650" spans="1:15">
      <c r="A2650" s="14">
        <f>equip.xml!A2654</f>
        <v>50751065</v>
      </c>
      <c r="B2650" s="14">
        <f>equip.xml!B2654</f>
        <v>0</v>
      </c>
      <c r="C2650" s="14" t="str">
        <f>equip.xml!C2654</f>
        <v>凯旋护盾</v>
      </c>
      <c r="D2650" s="14" t="str">
        <f>equip.xml!D2654</f>
        <v>副手武器</v>
      </c>
      <c r="E2650" s="14">
        <f>equip.xml!E2654</f>
        <v>6</v>
      </c>
      <c r="F2650" s="14">
        <f>equip.xml!F2654</f>
        <v>5</v>
      </c>
      <c r="G2650" s="14">
        <f>equip.xml!G2654</f>
        <v>75</v>
      </c>
      <c r="H2650" s="14" t="str">
        <f>equip.xml!H2654</f>
        <v>1,1001</v>
      </c>
      <c r="I2650" s="14">
        <f>equip.xml!J2654</f>
        <v>150</v>
      </c>
      <c r="J2650" s="14">
        <f>equip.xml!K2654</f>
        <v>1500</v>
      </c>
      <c r="K2650" s="14">
        <f>equip.xml!L2654</f>
        <v>40000</v>
      </c>
      <c r="L2650" s="14" t="str">
        <f>equip.xml!M2654</f>
        <v>105_3945_3945</v>
      </c>
      <c r="M2650" s="17" t="str">
        <f>equip.xml!Q2654</f>
        <v>equipment/2121.png</v>
      </c>
      <c r="N2650" s="16" t="str">
        <f>equip.xml!P2654</f>
        <v>10000_1002_70000,30000_30001_1,30000_30002_1,30000_30003_1</v>
      </c>
      <c r="O2650">
        <f>equip.xml!R2654</f>
        <v>1</v>
      </c>
    </row>
    <row r="2651" spans="1:15">
      <c r="A2651" s="14">
        <f>equip.xml!A2655</f>
        <v>50751066</v>
      </c>
      <c r="B2651" s="14">
        <f>equip.xml!B2655</f>
        <v>0</v>
      </c>
      <c r="C2651" s="14" t="str">
        <f>equip.xml!C2655</f>
        <v>集结护盾</v>
      </c>
      <c r="D2651" s="14" t="str">
        <f>equip.xml!D2655</f>
        <v>副手武器</v>
      </c>
      <c r="E2651" s="14">
        <f>equip.xml!E2655</f>
        <v>6</v>
      </c>
      <c r="F2651" s="14">
        <f>equip.xml!F2655</f>
        <v>5</v>
      </c>
      <c r="G2651" s="14">
        <f>equip.xml!G2655</f>
        <v>75</v>
      </c>
      <c r="H2651" s="14" t="str">
        <f>equip.xml!H2655</f>
        <v>1,1001</v>
      </c>
      <c r="I2651" s="14">
        <f>equip.xml!J2655</f>
        <v>150</v>
      </c>
      <c r="J2651" s="14">
        <f>equip.xml!K2655</f>
        <v>1500</v>
      </c>
      <c r="K2651" s="14">
        <f>equip.xml!L2655</f>
        <v>42500</v>
      </c>
      <c r="L2651" s="14" t="str">
        <f>equip.xml!M2655</f>
        <v>105_4082_4082</v>
      </c>
      <c r="M2651" s="17" t="str">
        <f>equip.xml!Q2655</f>
        <v>equipment/2123.png</v>
      </c>
      <c r="N2651" s="16" t="str">
        <f>equip.xml!P2655</f>
        <v>10000_1002_70000,30000_30001_1,30000_30002_1,30000_30003_1</v>
      </c>
      <c r="O2651">
        <f>equip.xml!R2655</f>
        <v>1</v>
      </c>
    </row>
    <row r="2652" spans="1:15">
      <c r="A2652" s="14">
        <f>equip.xml!A2656</f>
        <v>50752055</v>
      </c>
      <c r="B2652" s="14">
        <f>equip.xml!B2656</f>
        <v>0</v>
      </c>
      <c r="C2652" s="14" t="str">
        <f>equip.xml!C2656</f>
        <v>嚎风之息</v>
      </c>
      <c r="D2652" s="14" t="str">
        <f>equip.xml!D2656</f>
        <v>主手武器</v>
      </c>
      <c r="E2652" s="14">
        <f>equip.xml!E2656</f>
        <v>5</v>
      </c>
      <c r="F2652" s="14">
        <f>equip.xml!F2656</f>
        <v>5</v>
      </c>
      <c r="G2652" s="14">
        <f>equip.xml!G2656</f>
        <v>75</v>
      </c>
      <c r="H2652" s="14" t="str">
        <f>equip.xml!H2656</f>
        <v>2,1002</v>
      </c>
      <c r="I2652" s="14">
        <f>equip.xml!J2656</f>
        <v>150</v>
      </c>
      <c r="J2652" s="14">
        <f>equip.xml!K2656</f>
        <v>1500</v>
      </c>
      <c r="K2652" s="14">
        <f>equip.xml!L2656</f>
        <v>40000</v>
      </c>
      <c r="L2652" s="14" t="str">
        <f>equip.xml!M2656</f>
        <v>103_3811_3811,104_7622_7622</v>
      </c>
      <c r="M2652" s="17" t="str">
        <f>equip.xml!Q2656</f>
        <v>equipment/1225.png</v>
      </c>
      <c r="N2652" s="16" t="str">
        <f>equip.xml!P2656</f>
        <v>10000_1002_70000,30000_30001_1,30000_30002_1,30000_30003_1</v>
      </c>
      <c r="O2652">
        <f>equip.xml!R2656</f>
        <v>1</v>
      </c>
    </row>
    <row r="2653" spans="1:15">
      <c r="A2653" s="14">
        <f>equip.xml!A2657</f>
        <v>50752056</v>
      </c>
      <c r="B2653" s="14">
        <f>equip.xml!B2657</f>
        <v>0</v>
      </c>
      <c r="C2653" s="14" t="str">
        <f>equip.xml!C2657</f>
        <v>瞭天长弓</v>
      </c>
      <c r="D2653" s="14" t="str">
        <f>equip.xml!D2657</f>
        <v>主手武器</v>
      </c>
      <c r="E2653" s="14">
        <f>equip.xml!E2657</f>
        <v>5</v>
      </c>
      <c r="F2653" s="14">
        <f>equip.xml!F2657</f>
        <v>5</v>
      </c>
      <c r="G2653" s="14">
        <f>equip.xml!G2657</f>
        <v>75</v>
      </c>
      <c r="H2653" s="14" t="str">
        <f>equip.xml!H2657</f>
        <v>2,1002</v>
      </c>
      <c r="I2653" s="14">
        <f>equip.xml!J2657</f>
        <v>150</v>
      </c>
      <c r="J2653" s="14">
        <f>equip.xml!K2657</f>
        <v>1500</v>
      </c>
      <c r="K2653" s="14">
        <f>equip.xml!L2657</f>
        <v>42500</v>
      </c>
      <c r="L2653" s="14" t="str">
        <f>equip.xml!M2657</f>
        <v>103_4019_4019,104_8038_8038</v>
      </c>
      <c r="M2653" s="17" t="str">
        <f>equip.xml!Q2657</f>
        <v>equipment/1226.png</v>
      </c>
      <c r="N2653" s="16" t="str">
        <f>equip.xml!P2657</f>
        <v>10000_1002_70000,30000_30001_1,30000_30002_1,30000_30003_1</v>
      </c>
      <c r="O2653">
        <f>equip.xml!R2657</f>
        <v>1</v>
      </c>
    </row>
    <row r="2654" spans="1:15">
      <c r="A2654" s="14">
        <f>equip.xml!A2658</f>
        <v>50752065</v>
      </c>
      <c r="B2654" s="14">
        <f>equip.xml!B2658</f>
        <v>0</v>
      </c>
      <c r="C2654" s="14" t="str">
        <f>equip.xml!C2658</f>
        <v>疾鹰箭袋</v>
      </c>
      <c r="D2654" s="14" t="str">
        <f>equip.xml!D2658</f>
        <v>副手武器</v>
      </c>
      <c r="E2654" s="14">
        <f>equip.xml!E2658</f>
        <v>6</v>
      </c>
      <c r="F2654" s="14">
        <f>equip.xml!F2658</f>
        <v>5</v>
      </c>
      <c r="G2654" s="14">
        <f>equip.xml!G2658</f>
        <v>75</v>
      </c>
      <c r="H2654" s="14" t="str">
        <f>equip.xml!H2658</f>
        <v>2,1002</v>
      </c>
      <c r="I2654" s="14">
        <f>equip.xml!J2658</f>
        <v>150</v>
      </c>
      <c r="J2654" s="14">
        <f>equip.xml!K2658</f>
        <v>1500</v>
      </c>
      <c r="K2654" s="14">
        <f>equip.xml!L2658</f>
        <v>40000</v>
      </c>
      <c r="L2654" s="14" t="str">
        <f>equip.xml!M2658</f>
        <v>108_3945_3945</v>
      </c>
      <c r="M2654" s="17" t="str">
        <f>equip.xml!Q2658</f>
        <v>equipment/2219.png</v>
      </c>
      <c r="N2654" s="16" t="str">
        <f>equip.xml!P2658</f>
        <v>10000_1002_70000,30000_30001_1,30000_30002_1,30000_30003_1</v>
      </c>
      <c r="O2654">
        <f>equip.xml!R2658</f>
        <v>1</v>
      </c>
    </row>
    <row r="2655" spans="1:15">
      <c r="A2655" s="14">
        <f>equip.xml!A2659</f>
        <v>50752066</v>
      </c>
      <c r="B2655" s="14">
        <f>equip.xml!B2659</f>
        <v>0</v>
      </c>
      <c r="C2655" s="14" t="str">
        <f>equip.xml!C2659</f>
        <v>灵犀箭筒</v>
      </c>
      <c r="D2655" s="14" t="str">
        <f>equip.xml!D2659</f>
        <v>副手武器</v>
      </c>
      <c r="E2655" s="14">
        <f>equip.xml!E2659</f>
        <v>6</v>
      </c>
      <c r="F2655" s="14">
        <f>equip.xml!F2659</f>
        <v>5</v>
      </c>
      <c r="G2655" s="14">
        <f>equip.xml!G2659</f>
        <v>75</v>
      </c>
      <c r="H2655" s="14" t="str">
        <f>equip.xml!H2659</f>
        <v>2,1002</v>
      </c>
      <c r="I2655" s="14">
        <f>equip.xml!J2659</f>
        <v>150</v>
      </c>
      <c r="J2655" s="14">
        <f>equip.xml!K2659</f>
        <v>1500</v>
      </c>
      <c r="K2655" s="14">
        <f>equip.xml!L2659</f>
        <v>42500</v>
      </c>
      <c r="L2655" s="14" t="str">
        <f>equip.xml!M2659</f>
        <v>108_4082_4082</v>
      </c>
      <c r="M2655" s="17" t="str">
        <f>equip.xml!Q2659</f>
        <v>equipment/2220.png</v>
      </c>
      <c r="N2655" s="16" t="str">
        <f>equip.xml!P2659</f>
        <v>10000_1002_70000,30000_30001_1,30000_30002_1,30000_30003_1</v>
      </c>
      <c r="O2655">
        <f>equip.xml!R2659</f>
        <v>1</v>
      </c>
    </row>
    <row r="2656" spans="1:15">
      <c r="A2656" s="14">
        <f>equip.xml!A2660</f>
        <v>50753055</v>
      </c>
      <c r="B2656" s="14">
        <f>equip.xml!B2660</f>
        <v>0</v>
      </c>
      <c r="C2656" s="14" t="str">
        <f>equip.xml!C2660</f>
        <v>唤海长杖</v>
      </c>
      <c r="D2656" s="14" t="str">
        <f>equip.xml!D2660</f>
        <v>主手武器</v>
      </c>
      <c r="E2656" s="14">
        <f>equip.xml!E2660</f>
        <v>5</v>
      </c>
      <c r="F2656" s="14">
        <f>equip.xml!F2660</f>
        <v>5</v>
      </c>
      <c r="G2656" s="14">
        <f>equip.xml!G2660</f>
        <v>75</v>
      </c>
      <c r="H2656" s="14" t="str">
        <f>equip.xml!H2660</f>
        <v>3,1003</v>
      </c>
      <c r="I2656" s="14">
        <f>equip.xml!J2660</f>
        <v>150</v>
      </c>
      <c r="J2656" s="14">
        <f>equip.xml!K2660</f>
        <v>1500</v>
      </c>
      <c r="K2656" s="14">
        <f>equip.xml!L2660</f>
        <v>40000</v>
      </c>
      <c r="L2656" s="14" t="str">
        <f>equip.xml!M2660</f>
        <v>103_3811_3811,104_7622_7622</v>
      </c>
      <c r="M2656" s="17" t="str">
        <f>equip.xml!Q2660</f>
        <v>equipment/1326.png</v>
      </c>
      <c r="N2656" s="16" t="str">
        <f>equip.xml!P2660</f>
        <v>10000_1002_70000,30000_30001_1,30000_30002_1,30000_30003_1</v>
      </c>
      <c r="O2656">
        <f>equip.xml!R2660</f>
        <v>1</v>
      </c>
    </row>
    <row r="2657" spans="1:15">
      <c r="A2657" s="14">
        <f>equip.xml!A2661</f>
        <v>50753056</v>
      </c>
      <c r="B2657" s="14">
        <f>equip.xml!B2661</f>
        <v>0</v>
      </c>
      <c r="C2657" s="14" t="str">
        <f>equip.xml!C2661</f>
        <v>奥核之杖</v>
      </c>
      <c r="D2657" s="14" t="str">
        <f>equip.xml!D2661</f>
        <v>主手武器</v>
      </c>
      <c r="E2657" s="14">
        <f>equip.xml!E2661</f>
        <v>5</v>
      </c>
      <c r="F2657" s="14">
        <f>equip.xml!F2661</f>
        <v>5</v>
      </c>
      <c r="G2657" s="14">
        <f>equip.xml!G2661</f>
        <v>75</v>
      </c>
      <c r="H2657" s="14" t="str">
        <f>equip.xml!H2661</f>
        <v>3,1003</v>
      </c>
      <c r="I2657" s="14">
        <f>equip.xml!J2661</f>
        <v>150</v>
      </c>
      <c r="J2657" s="14">
        <f>equip.xml!K2661</f>
        <v>1500</v>
      </c>
      <c r="K2657" s="14">
        <f>equip.xml!L2661</f>
        <v>42500</v>
      </c>
      <c r="L2657" s="14" t="str">
        <f>equip.xml!M2661</f>
        <v>103_4019_4019,104_8038_8038</v>
      </c>
      <c r="M2657" s="17" t="str">
        <f>equip.xml!Q2661</f>
        <v>equipment/1325.png</v>
      </c>
      <c r="N2657" s="16" t="str">
        <f>equip.xml!P2661</f>
        <v>10000_1002_70000,30000_30001_1,30000_30002_1,30000_30003_1</v>
      </c>
      <c r="O2657">
        <f>equip.xml!R2661</f>
        <v>1</v>
      </c>
    </row>
    <row r="2658" spans="1:15">
      <c r="A2658" s="14">
        <f>equip.xml!A2662</f>
        <v>50753065</v>
      </c>
      <c r="B2658" s="14">
        <f>equip.xml!B2662</f>
        <v>0</v>
      </c>
      <c r="C2658" s="14" t="str">
        <f>equip.xml!C2662</f>
        <v>尘封遗典</v>
      </c>
      <c r="D2658" s="14" t="str">
        <f>equip.xml!D2662</f>
        <v>副手武器</v>
      </c>
      <c r="E2658" s="14">
        <f>equip.xml!E2662</f>
        <v>6</v>
      </c>
      <c r="F2658" s="14">
        <f>equip.xml!F2662</f>
        <v>5</v>
      </c>
      <c r="G2658" s="14">
        <f>equip.xml!G2662</f>
        <v>75</v>
      </c>
      <c r="H2658" s="14" t="str">
        <f>equip.xml!H2662</f>
        <v>3,1003</v>
      </c>
      <c r="I2658" s="14">
        <f>equip.xml!J2662</f>
        <v>150</v>
      </c>
      <c r="J2658" s="14">
        <f>equip.xml!K2662</f>
        <v>1500</v>
      </c>
      <c r="K2658" s="14">
        <f>equip.xml!L2662</f>
        <v>40000</v>
      </c>
      <c r="L2658" s="14" t="str">
        <f>equip.xml!M2662</f>
        <v>102_3350_3350</v>
      </c>
      <c r="M2658" s="17" t="str">
        <f>equip.xml!Q2662</f>
        <v>equipment/2319.png</v>
      </c>
      <c r="N2658" s="16" t="str">
        <f>equip.xml!P2662</f>
        <v>10000_1002_70000,30000_30001_1,30000_30002_1,30000_30003_1</v>
      </c>
      <c r="O2658">
        <f>equip.xml!R2662</f>
        <v>1</v>
      </c>
    </row>
    <row r="2659" spans="1:15">
      <c r="A2659" s="14">
        <f>equip.xml!A2663</f>
        <v>50753066</v>
      </c>
      <c r="B2659" s="14">
        <f>equip.xml!B2663</f>
        <v>0</v>
      </c>
      <c r="C2659" s="14" t="str">
        <f>equip.xml!C2663</f>
        <v>魔枢秘典</v>
      </c>
      <c r="D2659" s="14" t="str">
        <f>equip.xml!D2663</f>
        <v>副手武器</v>
      </c>
      <c r="E2659" s="14">
        <f>equip.xml!E2663</f>
        <v>6</v>
      </c>
      <c r="F2659" s="14">
        <f>equip.xml!F2663</f>
        <v>5</v>
      </c>
      <c r="G2659" s="14">
        <f>equip.xml!G2663</f>
        <v>75</v>
      </c>
      <c r="H2659" s="14" t="str">
        <f>equip.xml!H2663</f>
        <v>3,1003</v>
      </c>
      <c r="I2659" s="14">
        <f>equip.xml!J2663</f>
        <v>150</v>
      </c>
      <c r="J2659" s="14">
        <f>equip.xml!K2663</f>
        <v>1500</v>
      </c>
      <c r="K2659" s="14">
        <f>equip.xml!L2663</f>
        <v>42500</v>
      </c>
      <c r="L2659" s="14" t="str">
        <f>equip.xml!M2663</f>
        <v>102_3450_3450</v>
      </c>
      <c r="M2659" s="17" t="str">
        <f>equip.xml!Q2663</f>
        <v>equipment/2321.png</v>
      </c>
      <c r="N2659" s="16" t="str">
        <f>equip.xml!P2663</f>
        <v>10000_1002_70000,30000_30001_1,30000_30002_1,30000_30003_1</v>
      </c>
      <c r="O2659">
        <f>equip.xml!R2663</f>
        <v>1</v>
      </c>
    </row>
    <row r="2660" spans="1:15">
      <c r="A2660" s="14">
        <f>equip.xml!A2664</f>
        <v>50750045</v>
      </c>
      <c r="B2660" s="14">
        <f>equip.xml!B2664</f>
        <v>0</v>
      </c>
      <c r="C2660" s="14" t="str">
        <f>equip.xml!C2664</f>
        <v>守望胸甲</v>
      </c>
      <c r="D2660" s="14" t="str">
        <f>equip.xml!D2664</f>
        <v>胸甲</v>
      </c>
      <c r="E2660" s="14">
        <f>equip.xml!E2664</f>
        <v>4</v>
      </c>
      <c r="F2660" s="14">
        <f>equip.xml!F2664</f>
        <v>5</v>
      </c>
      <c r="G2660" s="14">
        <f>equip.xml!G2664</f>
        <v>75</v>
      </c>
      <c r="H2660" s="14">
        <f>equip.xml!H2664</f>
        <v>0</v>
      </c>
      <c r="I2660" s="14">
        <f>equip.xml!J2664</f>
        <v>150</v>
      </c>
      <c r="J2660" s="14">
        <f>equip.xml!K2664</f>
        <v>1500</v>
      </c>
      <c r="K2660" s="14">
        <f>equip.xml!L2664</f>
        <v>40000</v>
      </c>
      <c r="L2660" s="14" t="str">
        <f>equip.xml!M2664</f>
        <v>105_2195_2195</v>
      </c>
      <c r="M2660" s="17" t="str">
        <f>equip.xml!Q2664</f>
        <v>equipment/5019.png</v>
      </c>
      <c r="N2660" s="16" t="str">
        <f>equip.xml!P2664</f>
        <v>10000_1002_70000,30000_30001_1,30000_30002_1,30000_30003_1</v>
      </c>
      <c r="O2660">
        <f>equip.xml!R2664</f>
        <v>1</v>
      </c>
    </row>
    <row r="2661" spans="1:15">
      <c r="A2661" s="14">
        <f>equip.xml!A2665</f>
        <v>50750046</v>
      </c>
      <c r="B2661" s="14">
        <f>equip.xml!B2665</f>
        <v>0</v>
      </c>
      <c r="C2661" s="14" t="str">
        <f>equip.xml!C2665</f>
        <v>冥铸之铠</v>
      </c>
      <c r="D2661" s="14" t="str">
        <f>equip.xml!D2665</f>
        <v>胸甲</v>
      </c>
      <c r="E2661" s="14">
        <f>equip.xml!E2665</f>
        <v>4</v>
      </c>
      <c r="F2661" s="14">
        <f>equip.xml!F2665</f>
        <v>5</v>
      </c>
      <c r="G2661" s="14">
        <f>equip.xml!G2665</f>
        <v>75</v>
      </c>
      <c r="H2661" s="14">
        <f>equip.xml!H2665</f>
        <v>0</v>
      </c>
      <c r="I2661" s="14">
        <f>equip.xml!J2665</f>
        <v>150</v>
      </c>
      <c r="J2661" s="14">
        <f>equip.xml!K2665</f>
        <v>1500</v>
      </c>
      <c r="K2661" s="14">
        <f>equip.xml!L2665</f>
        <v>42500</v>
      </c>
      <c r="L2661" s="14" t="str">
        <f>equip.xml!M2665</f>
        <v>105_2346_2346</v>
      </c>
      <c r="M2661" s="17" t="str">
        <f>equip.xml!Q2665</f>
        <v>equipment/5020.png</v>
      </c>
      <c r="N2661" s="16" t="str">
        <f>equip.xml!P2665</f>
        <v>10000_1002_70000,30000_30001_1,30000_30002_1,30000_30003_1</v>
      </c>
      <c r="O2661">
        <f>equip.xml!R2665</f>
        <v>1</v>
      </c>
    </row>
    <row r="2662" spans="1:15">
      <c r="A2662" s="14">
        <f>equip.xml!A2666</f>
        <v>50750075</v>
      </c>
      <c r="B2662" s="14">
        <f>equip.xml!B2666</f>
        <v>0</v>
      </c>
      <c r="C2662" s="14" t="str">
        <f>equip.xml!C2666</f>
        <v>怜悯护腿</v>
      </c>
      <c r="D2662" s="14" t="str">
        <f>equip.xml!D2666</f>
        <v>护腿</v>
      </c>
      <c r="E2662" s="14">
        <f>equip.xml!E2666</f>
        <v>7</v>
      </c>
      <c r="F2662" s="14">
        <f>equip.xml!F2666</f>
        <v>5</v>
      </c>
      <c r="G2662" s="14">
        <f>equip.xml!G2666</f>
        <v>75</v>
      </c>
      <c r="H2662" s="14">
        <f>equip.xml!H2666</f>
        <v>0</v>
      </c>
      <c r="I2662" s="14">
        <f>equip.xml!J2666</f>
        <v>150</v>
      </c>
      <c r="J2662" s="14">
        <f>equip.xml!K2666</f>
        <v>1500</v>
      </c>
      <c r="K2662" s="14">
        <f>equip.xml!L2666</f>
        <v>40000</v>
      </c>
      <c r="L2662" s="14" t="str">
        <f>equip.xml!M2666</f>
        <v>105_2195_2195</v>
      </c>
      <c r="M2662" s="17" t="str">
        <f>equip.xml!Q2666</f>
        <v>equipment/7019.png</v>
      </c>
      <c r="N2662" s="16" t="str">
        <f>equip.xml!P2666</f>
        <v>10000_1002_70000,30000_30001_1,30000_30002_1,30000_30003_1</v>
      </c>
      <c r="O2662">
        <f>equip.xml!R2666</f>
        <v>1</v>
      </c>
    </row>
    <row r="2663" spans="1:15">
      <c r="A2663" s="14">
        <f>equip.xml!A2667</f>
        <v>50750076</v>
      </c>
      <c r="B2663" s="14">
        <f>equip.xml!B2667</f>
        <v>0</v>
      </c>
      <c r="C2663" s="14" t="str">
        <f>equip.xml!C2667</f>
        <v>魔痕护腿</v>
      </c>
      <c r="D2663" s="14" t="str">
        <f>equip.xml!D2667</f>
        <v>护腿</v>
      </c>
      <c r="E2663" s="14">
        <f>equip.xml!E2667</f>
        <v>7</v>
      </c>
      <c r="F2663" s="14">
        <f>equip.xml!F2667</f>
        <v>5</v>
      </c>
      <c r="G2663" s="14">
        <f>equip.xml!G2667</f>
        <v>75</v>
      </c>
      <c r="H2663" s="14">
        <f>equip.xml!H2667</f>
        <v>0</v>
      </c>
      <c r="I2663" s="14">
        <f>equip.xml!J2667</f>
        <v>150</v>
      </c>
      <c r="J2663" s="14">
        <f>equip.xml!K2667</f>
        <v>1500</v>
      </c>
      <c r="K2663" s="14">
        <f>equip.xml!L2667</f>
        <v>42500</v>
      </c>
      <c r="L2663" s="14" t="str">
        <f>equip.xml!M2667</f>
        <v>105_2346_2346</v>
      </c>
      <c r="M2663" s="17" t="str">
        <f>equip.xml!Q2667</f>
        <v>equipment/7020.png</v>
      </c>
      <c r="N2663" s="16" t="str">
        <f>equip.xml!P2667</f>
        <v>10000_1002_70000,30000_30001_1,30000_30002_1,30000_30003_1</v>
      </c>
      <c r="O2663">
        <f>equip.xml!R2667</f>
        <v>1</v>
      </c>
    </row>
    <row r="2664" spans="1:15">
      <c r="A2664" s="14">
        <f>equip.xml!A2668</f>
        <v>50800015</v>
      </c>
      <c r="B2664" s="14">
        <f>equip.xml!B2668</f>
        <v>0</v>
      </c>
      <c r="C2664" s="14" t="str">
        <f>equip.xml!C2668</f>
        <v>浴火战盔</v>
      </c>
      <c r="D2664" s="14" t="str">
        <f>equip.xml!D2668</f>
        <v>头盔</v>
      </c>
      <c r="E2664" s="14">
        <f>equip.xml!E2668</f>
        <v>1</v>
      </c>
      <c r="F2664" s="14">
        <f>equip.xml!F2668</f>
        <v>5</v>
      </c>
      <c r="G2664" s="14">
        <f>equip.xml!G2668</f>
        <v>80</v>
      </c>
      <c r="H2664" s="14">
        <f>equip.xml!H2668</f>
        <v>0</v>
      </c>
      <c r="I2664" s="14">
        <f>equip.xml!J2668</f>
        <v>150</v>
      </c>
      <c r="J2664" s="14">
        <f>equip.xml!K2668</f>
        <v>1500</v>
      </c>
      <c r="K2664" s="14">
        <f>equip.xml!L2668</f>
        <v>42500</v>
      </c>
      <c r="L2664" s="14" t="str">
        <f>equip.xml!M2668</f>
        <v>106_3066_3066</v>
      </c>
      <c r="M2664" s="17" t="str">
        <f>equip.xml!Q2668</f>
        <v>equipment/3015.png</v>
      </c>
      <c r="N2664" s="16" t="str">
        <f>equip.xml!P2668</f>
        <v>10000_1002_70000,30000_30001_1,30000_30002_1,30000_30003_1</v>
      </c>
      <c r="O2664">
        <f>equip.xml!R2668</f>
        <v>1</v>
      </c>
    </row>
    <row r="2665" spans="1:15">
      <c r="A2665" s="14">
        <f>equip.xml!A2669</f>
        <v>50800025</v>
      </c>
      <c r="B2665" s="14">
        <f>equip.xml!B2669</f>
        <v>0</v>
      </c>
      <c r="C2665" s="14" t="str">
        <f>equip.xml!C2669</f>
        <v>联合徽记</v>
      </c>
      <c r="D2665" s="14" t="str">
        <f>equip.xml!D2669</f>
        <v>戒指</v>
      </c>
      <c r="E2665" s="14">
        <f>equip.xml!E2669</f>
        <v>2</v>
      </c>
      <c r="F2665" s="14">
        <f>equip.xml!F2669</f>
        <v>5</v>
      </c>
      <c r="G2665" s="14">
        <f>equip.xml!G2669</f>
        <v>80</v>
      </c>
      <c r="H2665" s="14">
        <f>equip.xml!H2669</f>
        <v>0</v>
      </c>
      <c r="I2665" s="14">
        <f>equip.xml!J2669</f>
        <v>150</v>
      </c>
      <c r="J2665" s="14">
        <f>equip.xml!K2669</f>
        <v>1500</v>
      </c>
      <c r="K2665" s="14">
        <f>equip.xml!L2669</f>
        <v>42500</v>
      </c>
      <c r="L2665" s="14" t="str">
        <f>equip.xml!M2669</f>
        <v>102_1900_1900</v>
      </c>
      <c r="M2665" s="17" t="str">
        <f>equip.xml!Q2669</f>
        <v>equipment/14014.png</v>
      </c>
      <c r="N2665" s="16" t="str">
        <f>equip.xml!P2669</f>
        <v>10000_1002_70000,30000_30001_1,30000_30002_1,30000_30003_1</v>
      </c>
      <c r="O2665">
        <f>equip.xml!R2669</f>
        <v>1</v>
      </c>
    </row>
    <row r="2666" spans="1:15">
      <c r="A2666" s="14">
        <f>equip.xml!A2670</f>
        <v>50800035</v>
      </c>
      <c r="B2666" s="14">
        <f>equip.xml!B2670</f>
        <v>0</v>
      </c>
      <c r="C2666" s="14" t="str">
        <f>equip.xml!C2670</f>
        <v>怒岩腰带</v>
      </c>
      <c r="D2666" s="14" t="str">
        <f>equip.xml!D2670</f>
        <v>腰带</v>
      </c>
      <c r="E2666" s="14">
        <f>equip.xml!E2670</f>
        <v>3</v>
      </c>
      <c r="F2666" s="14">
        <f>equip.xml!F2670</f>
        <v>5</v>
      </c>
      <c r="G2666" s="14">
        <f>equip.xml!G2670</f>
        <v>80</v>
      </c>
      <c r="H2666" s="14">
        <f>equip.xml!H2670</f>
        <v>0</v>
      </c>
      <c r="I2666" s="14">
        <f>equip.xml!J2670</f>
        <v>150</v>
      </c>
      <c r="J2666" s="14">
        <f>equip.xml!K2670</f>
        <v>1500</v>
      </c>
      <c r="K2666" s="14">
        <f>equip.xml!L2670</f>
        <v>42500</v>
      </c>
      <c r="L2666" s="14" t="str">
        <f>equip.xml!M2670</f>
        <v>101_24080_24080</v>
      </c>
      <c r="M2666" s="17" t="str">
        <f>equip.xml!Q2670</f>
        <v>equipment/6015.png</v>
      </c>
      <c r="N2666" s="16" t="str">
        <f>equip.xml!P2670</f>
        <v>10000_1002_70000,30000_30001_1,30000_30002_1,30000_30003_1</v>
      </c>
      <c r="O2666">
        <f>equip.xml!R2670</f>
        <v>1</v>
      </c>
    </row>
    <row r="2667" spans="1:15">
      <c r="A2667" s="14">
        <f>equip.xml!A2671</f>
        <v>50800085</v>
      </c>
      <c r="B2667" s="14">
        <f>equip.xml!B2671</f>
        <v>0</v>
      </c>
      <c r="C2667" s="14" t="str">
        <f>equip.xml!C2671</f>
        <v>缚法之靴</v>
      </c>
      <c r="D2667" s="14" t="str">
        <f>equip.xml!D2671</f>
        <v>鞋子</v>
      </c>
      <c r="E2667" s="14">
        <f>equip.xml!E2671</f>
        <v>8</v>
      </c>
      <c r="F2667" s="14">
        <f>equip.xml!F2671</f>
        <v>5</v>
      </c>
      <c r="G2667" s="14">
        <f>equip.xml!G2671</f>
        <v>80</v>
      </c>
      <c r="H2667" s="14">
        <f>equip.xml!H2671</f>
        <v>0</v>
      </c>
      <c r="I2667" s="14">
        <f>equip.xml!J2671</f>
        <v>150</v>
      </c>
      <c r="J2667" s="14">
        <f>equip.xml!K2671</f>
        <v>1500</v>
      </c>
      <c r="K2667" s="14">
        <f>equip.xml!L2671</f>
        <v>42500</v>
      </c>
      <c r="L2667" s="14" t="str">
        <f>equip.xml!M2671</f>
        <v>110_568_568</v>
      </c>
      <c r="M2667" s="17" t="str">
        <f>equip.xml!Q2671</f>
        <v>equipment/8015.png</v>
      </c>
      <c r="N2667" s="16" t="str">
        <f>equip.xml!P2671</f>
        <v>10000_1002_70000,30000_30001_1,30000_30002_1,30000_30003_1</v>
      </c>
      <c r="O2667">
        <f>equip.xml!R2671</f>
        <v>1</v>
      </c>
    </row>
    <row r="2668" spans="1:15">
      <c r="A2668" s="14">
        <f>equip.xml!A2672</f>
        <v>50800095</v>
      </c>
      <c r="B2668" s="14">
        <f>equip.xml!B2672</f>
        <v>0</v>
      </c>
      <c r="C2668" s="14" t="str">
        <f>equip.xml!C2672</f>
        <v>梦境护手</v>
      </c>
      <c r="D2668" s="14" t="str">
        <f>equip.xml!D2672</f>
        <v>手套</v>
      </c>
      <c r="E2668" s="14">
        <f>equip.xml!E2672</f>
        <v>9</v>
      </c>
      <c r="F2668" s="14">
        <f>equip.xml!F2672</f>
        <v>5</v>
      </c>
      <c r="G2668" s="14">
        <f>equip.xml!G2672</f>
        <v>80</v>
      </c>
      <c r="H2668" s="14">
        <f>equip.xml!H2672</f>
        <v>0</v>
      </c>
      <c r="I2668" s="14">
        <f>equip.xml!J2672</f>
        <v>150</v>
      </c>
      <c r="J2668" s="14">
        <f>equip.xml!K2672</f>
        <v>1500</v>
      </c>
      <c r="K2668" s="14">
        <f>equip.xml!L2672</f>
        <v>42500</v>
      </c>
      <c r="L2668" s="14" t="str">
        <f>equip.xml!M2672</f>
        <v>108_5067_5067</v>
      </c>
      <c r="M2668" s="17" t="str">
        <f>equip.xml!Q2672</f>
        <v>equipment/10016.png</v>
      </c>
      <c r="N2668" s="16" t="str">
        <f>equip.xml!P2672</f>
        <v>10000_1002_70000,30000_30001_1,30000_30002_1,30000_30003_1</v>
      </c>
      <c r="O2668">
        <f>equip.xml!R2672</f>
        <v>1</v>
      </c>
    </row>
    <row r="2669" spans="1:15">
      <c r="A2669" s="14">
        <f>equip.xml!A2673</f>
        <v>50800105</v>
      </c>
      <c r="B2669" s="14">
        <f>equip.xml!B2673</f>
        <v>0</v>
      </c>
      <c r="C2669" s="14" t="str">
        <f>equip.xml!C2673</f>
        <v>亏蚀项链</v>
      </c>
      <c r="D2669" s="14" t="str">
        <f>equip.xml!D2673</f>
        <v>项链</v>
      </c>
      <c r="E2669" s="14">
        <f>equip.xml!E2673</f>
        <v>10</v>
      </c>
      <c r="F2669" s="14">
        <f>equip.xml!F2673</f>
        <v>5</v>
      </c>
      <c r="G2669" s="14">
        <f>equip.xml!G2673</f>
        <v>80</v>
      </c>
      <c r="H2669" s="14">
        <f>equip.xml!H2673</f>
        <v>0</v>
      </c>
      <c r="I2669" s="14">
        <f>equip.xml!J2673</f>
        <v>150</v>
      </c>
      <c r="J2669" s="14">
        <f>equip.xml!K2673</f>
        <v>1500</v>
      </c>
      <c r="K2669" s="14">
        <f>equip.xml!L2673</f>
        <v>42500</v>
      </c>
      <c r="L2669" s="14" t="str">
        <f>equip.xml!M2673</f>
        <v>107_3066_3066</v>
      </c>
      <c r="M2669" s="17" t="str">
        <f>equip.xml!Q2673</f>
        <v>equipment/12015.png</v>
      </c>
      <c r="N2669" s="16" t="str">
        <f>equip.xml!P2673</f>
        <v>10000_1002_70000,30000_30001_1,30000_30002_1,30000_30003_1</v>
      </c>
      <c r="O2669">
        <f>equip.xml!R2673</f>
        <v>1</v>
      </c>
    </row>
    <row r="2670" spans="1:15">
      <c r="A2670" s="14">
        <f>equip.xml!A2674</f>
        <v>50801055</v>
      </c>
      <c r="B2670" s="14">
        <f>equip.xml!B2674</f>
        <v>0</v>
      </c>
      <c r="C2670" s="14" t="str">
        <f>equip.xml!C2674</f>
        <v>死寂之剑</v>
      </c>
      <c r="D2670" s="14" t="str">
        <f>equip.xml!D2674</f>
        <v>主手武器</v>
      </c>
      <c r="E2670" s="14">
        <f>equip.xml!E2674</f>
        <v>5</v>
      </c>
      <c r="F2670" s="14">
        <f>equip.xml!F2674</f>
        <v>5</v>
      </c>
      <c r="G2670" s="14">
        <f>equip.xml!G2674</f>
        <v>80</v>
      </c>
      <c r="H2670" s="14" t="str">
        <f>equip.xml!H2674</f>
        <v>1,1001</v>
      </c>
      <c r="I2670" s="14">
        <f>equip.xml!J2674</f>
        <v>150</v>
      </c>
      <c r="J2670" s="14">
        <f>equip.xml!K2674</f>
        <v>1500</v>
      </c>
      <c r="K2670" s="14">
        <f>equip.xml!L2674</f>
        <v>42500</v>
      </c>
      <c r="L2670" s="14" t="str">
        <f>equip.xml!M2674</f>
        <v>103_4331_4331,104_8662_8662</v>
      </c>
      <c r="M2670" s="17" t="str">
        <f>equip.xml!Q2674</f>
        <v>equipment/1130.png</v>
      </c>
      <c r="N2670" s="16" t="str">
        <f>equip.xml!P2674</f>
        <v>10000_1002_70000,30000_30001_1,30000_30002_1,30000_30003_1</v>
      </c>
      <c r="O2670">
        <f>equip.xml!R2674</f>
        <v>1</v>
      </c>
    </row>
    <row r="2671" spans="1:15">
      <c r="A2671" s="14">
        <f>equip.xml!A2675</f>
        <v>50801056</v>
      </c>
      <c r="B2671" s="14">
        <f>equip.xml!B2675</f>
        <v>0</v>
      </c>
      <c r="C2671" s="14" t="str">
        <f>equip.xml!C2675</f>
        <v>千魂之刃</v>
      </c>
      <c r="D2671" s="14" t="str">
        <f>equip.xml!D2675</f>
        <v>主手武器</v>
      </c>
      <c r="E2671" s="14">
        <f>equip.xml!E2675</f>
        <v>5</v>
      </c>
      <c r="F2671" s="14">
        <f>equip.xml!F2675</f>
        <v>5</v>
      </c>
      <c r="G2671" s="14">
        <f>equip.xml!G2675</f>
        <v>80</v>
      </c>
      <c r="H2671" s="14" t="str">
        <f>equip.xml!H2675</f>
        <v>1,1001</v>
      </c>
      <c r="I2671" s="14">
        <f>equip.xml!J2675</f>
        <v>150</v>
      </c>
      <c r="J2671" s="14">
        <f>equip.xml!K2675</f>
        <v>1500</v>
      </c>
      <c r="K2671" s="14">
        <f>equip.xml!L2675</f>
        <v>45000</v>
      </c>
      <c r="L2671" s="14" t="str">
        <f>equip.xml!M2675</f>
        <v>103_4552_4552,104_9105_9105</v>
      </c>
      <c r="M2671" s="17" t="str">
        <f>equip.xml!Q2675</f>
        <v>equipment/1125.png</v>
      </c>
      <c r="N2671" s="16" t="str">
        <f>equip.xml!P2675</f>
        <v>10000_1002_70000,30000_30001_1,30000_30002_1,30000_30003_1</v>
      </c>
      <c r="O2671">
        <f>equip.xml!R2675</f>
        <v>1</v>
      </c>
    </row>
    <row r="2672" spans="1:15">
      <c r="A2672" s="14">
        <f>equip.xml!A2676</f>
        <v>50801065</v>
      </c>
      <c r="B2672" s="14">
        <f>equip.xml!B2676</f>
        <v>0</v>
      </c>
      <c r="C2672" s="14" t="str">
        <f>equip.xml!C2676</f>
        <v>折戟之盾</v>
      </c>
      <c r="D2672" s="14" t="str">
        <f>equip.xml!D2676</f>
        <v>副手武器</v>
      </c>
      <c r="E2672" s="14">
        <f>equip.xml!E2676</f>
        <v>6</v>
      </c>
      <c r="F2672" s="14">
        <f>equip.xml!F2676</f>
        <v>5</v>
      </c>
      <c r="G2672" s="14">
        <f>equip.xml!G2676</f>
        <v>80</v>
      </c>
      <c r="H2672" s="14" t="str">
        <f>equip.xml!H2676</f>
        <v>1,1001</v>
      </c>
      <c r="I2672" s="14">
        <f>equip.xml!J2676</f>
        <v>150</v>
      </c>
      <c r="J2672" s="14">
        <f>equip.xml!K2676</f>
        <v>1500</v>
      </c>
      <c r="K2672" s="14">
        <f>equip.xml!L2676</f>
        <v>42500</v>
      </c>
      <c r="L2672" s="14" t="str">
        <f>equip.xml!M2676</f>
        <v>105_4288_4288</v>
      </c>
      <c r="M2672" s="17" t="str">
        <f>equip.xml!Q2676</f>
        <v>equipment/2122.png</v>
      </c>
      <c r="N2672" s="16" t="str">
        <f>equip.xml!P2676</f>
        <v>10000_1002_70000,30000_30001_1,30000_30002_1,30000_30003_1</v>
      </c>
      <c r="O2672">
        <f>equip.xml!R2676</f>
        <v>1</v>
      </c>
    </row>
    <row r="2673" spans="1:15">
      <c r="A2673" s="14">
        <f>equip.xml!A2677</f>
        <v>50801066</v>
      </c>
      <c r="B2673" s="14">
        <f>equip.xml!B2677</f>
        <v>0</v>
      </c>
      <c r="C2673" s="14" t="str">
        <f>equip.xml!C2677</f>
        <v>古石壁垒</v>
      </c>
      <c r="D2673" s="14" t="str">
        <f>equip.xml!D2677</f>
        <v>副手武器</v>
      </c>
      <c r="E2673" s="14">
        <f>equip.xml!E2677</f>
        <v>6</v>
      </c>
      <c r="F2673" s="14">
        <f>equip.xml!F2677</f>
        <v>5</v>
      </c>
      <c r="G2673" s="14">
        <f>equip.xml!G2677</f>
        <v>80</v>
      </c>
      <c r="H2673" s="14" t="str">
        <f>equip.xml!H2677</f>
        <v>1,1001</v>
      </c>
      <c r="I2673" s="14">
        <f>equip.xml!J2677</f>
        <v>150</v>
      </c>
      <c r="J2673" s="14">
        <f>equip.xml!K2677</f>
        <v>1500</v>
      </c>
      <c r="K2673" s="14">
        <f>equip.xml!L2677</f>
        <v>45000</v>
      </c>
      <c r="L2673" s="14" t="str">
        <f>equip.xml!M2677</f>
        <v>105_4419_4419</v>
      </c>
      <c r="M2673" s="17" t="str">
        <f>equip.xml!Q2677</f>
        <v>equipment/2120.png</v>
      </c>
      <c r="N2673" s="16" t="str">
        <f>equip.xml!P2677</f>
        <v>10000_1002_70000,30000_30001_1,30000_30002_1,30000_30003_1</v>
      </c>
      <c r="O2673">
        <f>equip.xml!R2677</f>
        <v>1</v>
      </c>
    </row>
    <row r="2674" spans="1:15">
      <c r="A2674" s="14">
        <f>equip.xml!A2678</f>
        <v>50802055</v>
      </c>
      <c r="B2674" s="14">
        <f>equip.xml!B2678</f>
        <v>0</v>
      </c>
      <c r="C2674" s="14" t="str">
        <f>equip.xml!C2678</f>
        <v>龙骨弯弓</v>
      </c>
      <c r="D2674" s="14" t="str">
        <f>equip.xml!D2678</f>
        <v>主手武器</v>
      </c>
      <c r="E2674" s="14">
        <f>equip.xml!E2678</f>
        <v>5</v>
      </c>
      <c r="F2674" s="14">
        <f>equip.xml!F2678</f>
        <v>5</v>
      </c>
      <c r="G2674" s="14">
        <f>equip.xml!G2678</f>
        <v>80</v>
      </c>
      <c r="H2674" s="14" t="str">
        <f>equip.xml!H2678</f>
        <v>2,1002</v>
      </c>
      <c r="I2674" s="14">
        <f>equip.xml!J2678</f>
        <v>150</v>
      </c>
      <c r="J2674" s="14">
        <f>equip.xml!K2678</f>
        <v>1500</v>
      </c>
      <c r="K2674" s="14">
        <f>equip.xml!L2678</f>
        <v>42500</v>
      </c>
      <c r="L2674" s="14" t="str">
        <f>equip.xml!M2678</f>
        <v>103_4331_4331,104_8662_8662</v>
      </c>
      <c r="M2674" s="17" t="str">
        <f>equip.xml!Q2678</f>
        <v>equipment/1227.png</v>
      </c>
      <c r="N2674" s="16" t="str">
        <f>equip.xml!P2678</f>
        <v>10000_1002_70000,30000_30001_1,30000_30002_1,30000_30003_1</v>
      </c>
      <c r="O2674">
        <f>equip.xml!R2678</f>
        <v>1</v>
      </c>
    </row>
    <row r="2675" spans="1:15">
      <c r="A2675" s="14">
        <f>equip.xml!A2679</f>
        <v>50802056</v>
      </c>
      <c r="B2675" s="14">
        <f>equip.xml!B2679</f>
        <v>0</v>
      </c>
      <c r="C2675" s="14" t="str">
        <f>equip.xml!C2679</f>
        <v>川流长弓</v>
      </c>
      <c r="D2675" s="14" t="str">
        <f>equip.xml!D2679</f>
        <v>主手武器</v>
      </c>
      <c r="E2675" s="14">
        <f>equip.xml!E2679</f>
        <v>5</v>
      </c>
      <c r="F2675" s="14">
        <f>equip.xml!F2679</f>
        <v>5</v>
      </c>
      <c r="G2675" s="14">
        <f>equip.xml!G2679</f>
        <v>80</v>
      </c>
      <c r="H2675" s="14" t="str">
        <f>equip.xml!H2679</f>
        <v>2,1002</v>
      </c>
      <c r="I2675" s="14">
        <f>equip.xml!J2679</f>
        <v>150</v>
      </c>
      <c r="J2675" s="14">
        <f>equip.xml!K2679</f>
        <v>1500</v>
      </c>
      <c r="K2675" s="14">
        <f>equip.xml!L2679</f>
        <v>45000</v>
      </c>
      <c r="L2675" s="14" t="str">
        <f>equip.xml!M2679</f>
        <v>103_4552_4552,104_9105_9105</v>
      </c>
      <c r="M2675" s="17" t="str">
        <f>equip.xml!Q2679</f>
        <v>equipment/1229.png</v>
      </c>
      <c r="N2675" s="16" t="str">
        <f>equip.xml!P2679</f>
        <v>10000_1002_70000,30000_30001_1,30000_30002_1,30000_30003_1</v>
      </c>
      <c r="O2675">
        <f>equip.xml!R2679</f>
        <v>1</v>
      </c>
    </row>
    <row r="2676" spans="1:15">
      <c r="A2676" s="14">
        <f>equip.xml!A2680</f>
        <v>50802065</v>
      </c>
      <c r="B2676" s="14">
        <f>equip.xml!B2680</f>
        <v>0</v>
      </c>
      <c r="C2676" s="14" t="str">
        <f>equip.xml!C2680</f>
        <v>荒原箭袋</v>
      </c>
      <c r="D2676" s="14" t="str">
        <f>equip.xml!D2680</f>
        <v>副手武器</v>
      </c>
      <c r="E2676" s="14">
        <f>equip.xml!E2680</f>
        <v>6</v>
      </c>
      <c r="F2676" s="14">
        <f>equip.xml!F2680</f>
        <v>5</v>
      </c>
      <c r="G2676" s="14">
        <f>equip.xml!G2680</f>
        <v>80</v>
      </c>
      <c r="H2676" s="14" t="str">
        <f>equip.xml!H2680</f>
        <v>2,1002</v>
      </c>
      <c r="I2676" s="14">
        <f>equip.xml!J2680</f>
        <v>150</v>
      </c>
      <c r="J2676" s="14">
        <f>equip.xml!K2680</f>
        <v>1500</v>
      </c>
      <c r="K2676" s="14">
        <f>equip.xml!L2680</f>
        <v>42500</v>
      </c>
      <c r="L2676" s="14" t="str">
        <f>equip.xml!M2680</f>
        <v>108_4288_4288</v>
      </c>
      <c r="M2676" s="17" t="str">
        <f>equip.xml!Q2680</f>
        <v>equipment/2222.png</v>
      </c>
      <c r="N2676" s="16" t="str">
        <f>equip.xml!P2680</f>
        <v>10000_1002_70000,30000_30001_1,30000_30002_1,30000_30003_1</v>
      </c>
      <c r="O2676">
        <f>equip.xml!R2680</f>
        <v>1</v>
      </c>
    </row>
    <row r="2677" spans="1:15">
      <c r="A2677" s="14">
        <f>equip.xml!A2681</f>
        <v>50802066</v>
      </c>
      <c r="B2677" s="14">
        <f>equip.xml!B2681</f>
        <v>0</v>
      </c>
      <c r="C2677" s="14" t="str">
        <f>equip.xml!C2681</f>
        <v>追逝箭袋</v>
      </c>
      <c r="D2677" s="14" t="str">
        <f>equip.xml!D2681</f>
        <v>副手武器</v>
      </c>
      <c r="E2677" s="14">
        <f>equip.xml!E2681</f>
        <v>6</v>
      </c>
      <c r="F2677" s="14">
        <f>equip.xml!F2681</f>
        <v>5</v>
      </c>
      <c r="G2677" s="14">
        <f>equip.xml!G2681</f>
        <v>80</v>
      </c>
      <c r="H2677" s="14" t="str">
        <f>equip.xml!H2681</f>
        <v>2,1002</v>
      </c>
      <c r="I2677" s="14">
        <f>equip.xml!J2681</f>
        <v>150</v>
      </c>
      <c r="J2677" s="14">
        <f>equip.xml!K2681</f>
        <v>1500</v>
      </c>
      <c r="K2677" s="14">
        <f>equip.xml!L2681</f>
        <v>45000</v>
      </c>
      <c r="L2677" s="14" t="str">
        <f>equip.xml!M2681</f>
        <v>108_4419_4419</v>
      </c>
      <c r="M2677" s="17" t="str">
        <f>equip.xml!Q2681</f>
        <v>equipment/2223.png</v>
      </c>
      <c r="N2677" s="16" t="str">
        <f>equip.xml!P2681</f>
        <v>10000_1002_70000,30000_30001_1,30000_30002_1,30000_30003_1</v>
      </c>
      <c r="O2677">
        <f>equip.xml!R2681</f>
        <v>1</v>
      </c>
    </row>
    <row r="2678" spans="1:15">
      <c r="A2678" s="14">
        <f>equip.xml!A2682</f>
        <v>50803055</v>
      </c>
      <c r="B2678" s="14">
        <f>equip.xml!B2682</f>
        <v>0</v>
      </c>
      <c r="C2678" s="14" t="str">
        <f>equip.xml!C2682</f>
        <v>显像符杖</v>
      </c>
      <c r="D2678" s="14" t="str">
        <f>equip.xml!D2682</f>
        <v>主手武器</v>
      </c>
      <c r="E2678" s="14">
        <f>equip.xml!E2682</f>
        <v>5</v>
      </c>
      <c r="F2678" s="14">
        <f>equip.xml!F2682</f>
        <v>5</v>
      </c>
      <c r="G2678" s="14">
        <f>equip.xml!G2682</f>
        <v>80</v>
      </c>
      <c r="H2678" s="14" t="str">
        <f>equip.xml!H2682</f>
        <v>3,1003</v>
      </c>
      <c r="I2678" s="14">
        <f>equip.xml!J2682</f>
        <v>150</v>
      </c>
      <c r="J2678" s="14">
        <f>equip.xml!K2682</f>
        <v>1500</v>
      </c>
      <c r="K2678" s="14">
        <f>equip.xml!L2682</f>
        <v>42500</v>
      </c>
      <c r="L2678" s="14" t="str">
        <f>equip.xml!M2682</f>
        <v>103_4331_4331,104_8662_8662</v>
      </c>
      <c r="M2678" s="17" t="str">
        <f>equip.xml!Q2682</f>
        <v>equipment/1327.png</v>
      </c>
      <c r="N2678" s="16" t="str">
        <f>equip.xml!P2682</f>
        <v>10000_1002_70000,30000_30001_1,30000_30002_1,30000_30003_1</v>
      </c>
      <c r="O2678">
        <f>equip.xml!R2682</f>
        <v>1</v>
      </c>
    </row>
    <row r="2679" spans="1:15">
      <c r="A2679" s="14">
        <f>equip.xml!A2683</f>
        <v>50803056</v>
      </c>
      <c r="B2679" s="14">
        <f>equip.xml!B2683</f>
        <v>0</v>
      </c>
      <c r="C2679" s="14" t="str">
        <f>equip.xml!C2683</f>
        <v>幻灭之杖</v>
      </c>
      <c r="D2679" s="14" t="str">
        <f>equip.xml!D2683</f>
        <v>主手武器</v>
      </c>
      <c r="E2679" s="14">
        <f>equip.xml!E2683</f>
        <v>5</v>
      </c>
      <c r="F2679" s="14">
        <f>equip.xml!F2683</f>
        <v>5</v>
      </c>
      <c r="G2679" s="14">
        <f>equip.xml!G2683</f>
        <v>80</v>
      </c>
      <c r="H2679" s="14" t="str">
        <f>equip.xml!H2683</f>
        <v>3,1003</v>
      </c>
      <c r="I2679" s="14">
        <f>equip.xml!J2683</f>
        <v>150</v>
      </c>
      <c r="J2679" s="14">
        <f>equip.xml!K2683</f>
        <v>1500</v>
      </c>
      <c r="K2679" s="14">
        <f>equip.xml!L2683</f>
        <v>45000</v>
      </c>
      <c r="L2679" s="14" t="str">
        <f>equip.xml!M2683</f>
        <v>103_4552_4552,104_9105_9105</v>
      </c>
      <c r="M2679" s="17" t="str">
        <f>equip.xml!Q2683</f>
        <v>equipment/1329.png</v>
      </c>
      <c r="N2679" s="16" t="str">
        <f>equip.xml!P2683</f>
        <v>10000_1002_70000,30000_30001_1,30000_30002_1,30000_30003_1</v>
      </c>
      <c r="O2679">
        <f>equip.xml!R2683</f>
        <v>1</v>
      </c>
    </row>
    <row r="2680" spans="1:15">
      <c r="A2680" s="14">
        <f>equip.xml!A2684</f>
        <v>50803065</v>
      </c>
      <c r="B2680" s="14">
        <f>equip.xml!B2684</f>
        <v>0</v>
      </c>
      <c r="C2680" s="14" t="str">
        <f>equip.xml!C2684</f>
        <v>王国古书</v>
      </c>
      <c r="D2680" s="14" t="str">
        <f>equip.xml!D2684</f>
        <v>副手武器</v>
      </c>
      <c r="E2680" s="14">
        <f>equip.xml!E2684</f>
        <v>6</v>
      </c>
      <c r="F2680" s="14">
        <f>equip.xml!F2684</f>
        <v>5</v>
      </c>
      <c r="G2680" s="14">
        <f>equip.xml!G2684</f>
        <v>80</v>
      </c>
      <c r="H2680" s="14" t="str">
        <f>equip.xml!H2684</f>
        <v>3,1003</v>
      </c>
      <c r="I2680" s="14">
        <f>equip.xml!J2684</f>
        <v>150</v>
      </c>
      <c r="J2680" s="14">
        <f>equip.xml!K2684</f>
        <v>1500</v>
      </c>
      <c r="K2680" s="14">
        <f>equip.xml!L2684</f>
        <v>42500</v>
      </c>
      <c r="L2680" s="14" t="str">
        <f>equip.xml!M2684</f>
        <v>102_3610_3610</v>
      </c>
      <c r="M2680" s="17" t="str">
        <f>equip.xml!Q2684</f>
        <v>equipment/2320.png</v>
      </c>
      <c r="N2680" s="16" t="str">
        <f>equip.xml!P2684</f>
        <v>10000_1002_70000,30000_30001_1,30000_30002_1,30000_30003_1</v>
      </c>
      <c r="O2680">
        <f>equip.xml!R2684</f>
        <v>1</v>
      </c>
    </row>
    <row r="2681" spans="1:15">
      <c r="A2681" s="14">
        <f>equip.xml!A2685</f>
        <v>50803066</v>
      </c>
      <c r="B2681" s="14">
        <f>equip.xml!B2685</f>
        <v>0</v>
      </c>
      <c r="C2681" s="14" t="str">
        <f>equip.xml!C2685</f>
        <v>上古纪事</v>
      </c>
      <c r="D2681" s="14" t="str">
        <f>equip.xml!D2685</f>
        <v>副手武器</v>
      </c>
      <c r="E2681" s="14">
        <f>equip.xml!E2685</f>
        <v>6</v>
      </c>
      <c r="F2681" s="14">
        <f>equip.xml!F2685</f>
        <v>5</v>
      </c>
      <c r="G2681" s="14">
        <f>equip.xml!G2685</f>
        <v>80</v>
      </c>
      <c r="H2681" s="14" t="str">
        <f>equip.xml!H2685</f>
        <v>3,1003</v>
      </c>
      <c r="I2681" s="14">
        <f>equip.xml!J2685</f>
        <v>150</v>
      </c>
      <c r="J2681" s="14">
        <f>equip.xml!K2685</f>
        <v>1500</v>
      </c>
      <c r="K2681" s="14">
        <f>equip.xml!L2685</f>
        <v>45000</v>
      </c>
      <c r="L2681" s="14" t="str">
        <f>equip.xml!M2685</f>
        <v>102_3680_3680</v>
      </c>
      <c r="M2681" s="17" t="str">
        <f>equip.xml!Q2685</f>
        <v>equipment/2322.png</v>
      </c>
      <c r="N2681" s="16" t="str">
        <f>equip.xml!P2685</f>
        <v>10000_1002_70000,30000_30001_1,30000_30002_1,30000_30003_1</v>
      </c>
      <c r="O2681">
        <f>equip.xml!R2685</f>
        <v>1</v>
      </c>
    </row>
    <row r="2682" spans="1:15">
      <c r="A2682" s="14">
        <f>equip.xml!A2686</f>
        <v>50800045</v>
      </c>
      <c r="B2682" s="14">
        <f>equip.xml!B2686</f>
        <v>0</v>
      </c>
      <c r="C2682" s="14" t="str">
        <f>equip.xml!C2686</f>
        <v>复仇战甲</v>
      </c>
      <c r="D2682" s="14" t="str">
        <f>equip.xml!D2686</f>
        <v>胸甲</v>
      </c>
      <c r="E2682" s="14">
        <f>equip.xml!E2686</f>
        <v>4</v>
      </c>
      <c r="F2682" s="14">
        <f>equip.xml!F2686</f>
        <v>5</v>
      </c>
      <c r="G2682" s="14">
        <f>equip.xml!G2686</f>
        <v>80</v>
      </c>
      <c r="H2682" s="14">
        <f>equip.xml!H2686</f>
        <v>0</v>
      </c>
      <c r="I2682" s="14">
        <f>equip.xml!J2686</f>
        <v>150</v>
      </c>
      <c r="J2682" s="14">
        <f>equip.xml!K2686</f>
        <v>1500</v>
      </c>
      <c r="K2682" s="14">
        <f>equip.xml!L2686</f>
        <v>42500</v>
      </c>
      <c r="L2682" s="14" t="str">
        <f>equip.xml!M2686</f>
        <v>105_2573_2573</v>
      </c>
      <c r="M2682" s="17" t="str">
        <f>equip.xml!Q2686</f>
        <v>equipment/5021.png</v>
      </c>
      <c r="N2682" s="16" t="str">
        <f>equip.xml!P2686</f>
        <v>10000_1002_70000,30000_30001_1,30000_30002_1,30000_30003_1</v>
      </c>
      <c r="O2682">
        <f>equip.xml!R2686</f>
        <v>1</v>
      </c>
    </row>
    <row r="2683" spans="1:15">
      <c r="A2683" s="14">
        <f>equip.xml!A2687</f>
        <v>50800046</v>
      </c>
      <c r="B2683" s="14">
        <f>equip.xml!B2687</f>
        <v>0</v>
      </c>
      <c r="C2683" s="14" t="str">
        <f>equip.xml!C2687</f>
        <v>预兆胸甲</v>
      </c>
      <c r="D2683" s="14" t="str">
        <f>equip.xml!D2687</f>
        <v>胸甲</v>
      </c>
      <c r="E2683" s="14">
        <f>equip.xml!E2687</f>
        <v>4</v>
      </c>
      <c r="F2683" s="14">
        <f>equip.xml!F2687</f>
        <v>5</v>
      </c>
      <c r="G2683" s="14">
        <f>equip.xml!G2687</f>
        <v>80</v>
      </c>
      <c r="H2683" s="14">
        <f>equip.xml!H2687</f>
        <v>0</v>
      </c>
      <c r="I2683" s="14">
        <f>equip.xml!J2687</f>
        <v>150</v>
      </c>
      <c r="J2683" s="14">
        <f>equip.xml!K2687</f>
        <v>1500</v>
      </c>
      <c r="K2683" s="14">
        <f>equip.xml!L2687</f>
        <v>45000</v>
      </c>
      <c r="L2683" s="14" t="str">
        <f>equip.xml!M2687</f>
        <v>105_2739_2739</v>
      </c>
      <c r="M2683" s="17" t="str">
        <f>equip.xml!Q2687</f>
        <v>equipment/5022.png</v>
      </c>
      <c r="N2683" s="16" t="str">
        <f>equip.xml!P2687</f>
        <v>10000_1002_70000,30000_30001_1,30000_30002_1,30000_30003_1</v>
      </c>
      <c r="O2683">
        <f>equip.xml!R2687</f>
        <v>1</v>
      </c>
    </row>
    <row r="2684" spans="1:15">
      <c r="A2684" s="14">
        <f>equip.xml!A2688</f>
        <v>50800075</v>
      </c>
      <c r="B2684" s="14">
        <f>equip.xml!B2688</f>
        <v>0</v>
      </c>
      <c r="C2684" s="14" t="str">
        <f>equip.xml!C2688</f>
        <v>迷失护腿</v>
      </c>
      <c r="D2684" s="14" t="str">
        <f>equip.xml!D2688</f>
        <v>护腿</v>
      </c>
      <c r="E2684" s="14">
        <f>equip.xml!E2688</f>
        <v>7</v>
      </c>
      <c r="F2684" s="14">
        <f>equip.xml!F2688</f>
        <v>5</v>
      </c>
      <c r="G2684" s="14">
        <f>equip.xml!G2688</f>
        <v>80</v>
      </c>
      <c r="H2684" s="14">
        <f>equip.xml!H2688</f>
        <v>0</v>
      </c>
      <c r="I2684" s="14">
        <f>equip.xml!J2688</f>
        <v>150</v>
      </c>
      <c r="J2684" s="14">
        <f>equip.xml!K2688</f>
        <v>1500</v>
      </c>
      <c r="K2684" s="14">
        <f>equip.xml!L2688</f>
        <v>42500</v>
      </c>
      <c r="L2684" s="14" t="str">
        <f>equip.xml!M2688</f>
        <v>105_2573_2573</v>
      </c>
      <c r="M2684" s="17" t="str">
        <f>equip.xml!Q2688</f>
        <v>equipment/7022.png</v>
      </c>
      <c r="N2684" s="16" t="str">
        <f>equip.xml!P2688</f>
        <v>10000_1002_70000,30000_30001_1,30000_30002_1,30000_30003_1</v>
      </c>
      <c r="O2684">
        <f>equip.xml!R2688</f>
        <v>1</v>
      </c>
    </row>
    <row r="2685" spans="1:15">
      <c r="A2685" s="14">
        <f>equip.xml!A2689</f>
        <v>50800076</v>
      </c>
      <c r="B2685" s="14">
        <f>equip.xml!B2689</f>
        <v>0</v>
      </c>
      <c r="C2685" s="14" t="str">
        <f>equip.xml!C2689</f>
        <v>幽影腿甲</v>
      </c>
      <c r="D2685" s="14" t="str">
        <f>equip.xml!D2689</f>
        <v>护腿</v>
      </c>
      <c r="E2685" s="14">
        <f>equip.xml!E2689</f>
        <v>7</v>
      </c>
      <c r="F2685" s="14">
        <f>equip.xml!F2689</f>
        <v>5</v>
      </c>
      <c r="G2685" s="14">
        <f>equip.xml!G2689</f>
        <v>80</v>
      </c>
      <c r="H2685" s="14">
        <f>equip.xml!H2689</f>
        <v>0</v>
      </c>
      <c r="I2685" s="14">
        <f>equip.xml!J2689</f>
        <v>150</v>
      </c>
      <c r="J2685" s="14">
        <f>equip.xml!K2689</f>
        <v>1500</v>
      </c>
      <c r="K2685" s="14">
        <f>equip.xml!L2689</f>
        <v>45000</v>
      </c>
      <c r="L2685" s="14" t="str">
        <f>equip.xml!M2689</f>
        <v>105_2739_2739</v>
      </c>
      <c r="M2685" s="17" t="str">
        <f>equip.xml!Q2689</f>
        <v>equipment/7021.png</v>
      </c>
      <c r="N2685" s="16" t="str">
        <f>equip.xml!P2689</f>
        <v>10000_1002_70000,30000_30001_1,30000_30002_1,30000_30003_1</v>
      </c>
      <c r="O2685">
        <f>equip.xml!R2689</f>
        <v>1</v>
      </c>
    </row>
    <row r="2686" spans="1:15">
      <c r="A2686" s="14">
        <f>equip.xml!A2690</f>
        <v>50850015</v>
      </c>
      <c r="B2686" s="14">
        <f>equip.xml!B2690</f>
        <v>0</v>
      </c>
      <c r="C2686" s="14" t="str">
        <f>equip.xml!C2690</f>
        <v>低语之冠</v>
      </c>
      <c r="D2686" s="14" t="str">
        <f>equip.xml!D2690</f>
        <v>头盔</v>
      </c>
      <c r="E2686" s="14">
        <f>equip.xml!E2690</f>
        <v>1</v>
      </c>
      <c r="F2686" s="14">
        <f>equip.xml!F2690</f>
        <v>5</v>
      </c>
      <c r="G2686" s="14">
        <f>equip.xml!G2690</f>
        <v>85</v>
      </c>
      <c r="H2686" s="14">
        <f>equip.xml!H2690</f>
        <v>0</v>
      </c>
      <c r="I2686" s="14">
        <f>equip.xml!J2690</f>
        <v>150</v>
      </c>
      <c r="J2686" s="14">
        <f>equip.xml!K2690</f>
        <v>1500</v>
      </c>
      <c r="K2686" s="14">
        <f>equip.xml!L2690</f>
        <v>45000</v>
      </c>
      <c r="L2686" s="14" t="str">
        <f>equip.xml!M2690</f>
        <v>106_3672_3672</v>
      </c>
      <c r="M2686" s="17" t="str">
        <f>equip.xml!Q2690</f>
        <v>equipment/3012.png</v>
      </c>
      <c r="N2686" s="16" t="str">
        <f>equip.xml!P2690</f>
        <v>10000_1002_70000,30000_30001_1,30000_30002_1,30000_30003_1</v>
      </c>
      <c r="O2686">
        <f>equip.xml!R2690</f>
        <v>1</v>
      </c>
    </row>
    <row r="2687" spans="1:15">
      <c r="A2687" s="14">
        <f>equip.xml!A2691</f>
        <v>50850025</v>
      </c>
      <c r="B2687" s="14">
        <f>equip.xml!B2691</f>
        <v>0</v>
      </c>
      <c r="C2687" s="14" t="str">
        <f>equip.xml!C2691</f>
        <v>神迹指环</v>
      </c>
      <c r="D2687" s="14" t="str">
        <f>equip.xml!D2691</f>
        <v>戒指</v>
      </c>
      <c r="E2687" s="14">
        <f>equip.xml!E2691</f>
        <v>2</v>
      </c>
      <c r="F2687" s="14">
        <f>equip.xml!F2691</f>
        <v>5</v>
      </c>
      <c r="G2687" s="14">
        <f>equip.xml!G2691</f>
        <v>85</v>
      </c>
      <c r="H2687" s="14">
        <f>equip.xml!H2691</f>
        <v>0</v>
      </c>
      <c r="I2687" s="14">
        <f>equip.xml!J2691</f>
        <v>150</v>
      </c>
      <c r="J2687" s="14">
        <f>equip.xml!K2691</f>
        <v>1500</v>
      </c>
      <c r="K2687" s="14">
        <f>equip.xml!L2691</f>
        <v>45000</v>
      </c>
      <c r="L2687" s="14" t="str">
        <f>equip.xml!M2691</f>
        <v>102_2020_2020</v>
      </c>
      <c r="M2687" s="17" t="str">
        <f>equip.xml!Q2691</f>
        <v>equipment/14016.png</v>
      </c>
      <c r="N2687" s="16" t="str">
        <f>equip.xml!P2691</f>
        <v>10000_1002_70000,30000_30001_1,30000_30002_1,30000_30003_1</v>
      </c>
      <c r="O2687">
        <f>equip.xml!R2691</f>
        <v>1</v>
      </c>
    </row>
    <row r="2688" spans="1:15">
      <c r="A2688" s="14">
        <f>equip.xml!A2692</f>
        <v>50850035</v>
      </c>
      <c r="B2688" s="14">
        <f>equip.xml!B2692</f>
        <v>0</v>
      </c>
      <c r="C2688" s="14" t="str">
        <f>equip.xml!C2692</f>
        <v>威严腰带</v>
      </c>
      <c r="D2688" s="14" t="str">
        <f>equip.xml!D2692</f>
        <v>腰带</v>
      </c>
      <c r="E2688" s="14">
        <f>equip.xml!E2692</f>
        <v>3</v>
      </c>
      <c r="F2688" s="14">
        <f>equip.xml!F2692</f>
        <v>5</v>
      </c>
      <c r="G2688" s="14">
        <f>equip.xml!G2692</f>
        <v>85</v>
      </c>
      <c r="H2688" s="14">
        <f>equip.xml!H2692</f>
        <v>0</v>
      </c>
      <c r="I2688" s="14">
        <f>equip.xml!J2692</f>
        <v>150</v>
      </c>
      <c r="J2688" s="14">
        <f>equip.xml!K2692</f>
        <v>1500</v>
      </c>
      <c r="K2688" s="14">
        <f>equip.xml!L2692</f>
        <v>45000</v>
      </c>
      <c r="L2688" s="14" t="str">
        <f>equip.xml!M2692</f>
        <v>101_27040_27040</v>
      </c>
      <c r="M2688" s="17" t="str">
        <f>equip.xml!Q2692</f>
        <v>equipment/6017.png</v>
      </c>
      <c r="N2688" s="16" t="str">
        <f>equip.xml!P2692</f>
        <v>10000_1002_70000,30000_30001_1,30000_30002_1,30000_30003_1</v>
      </c>
      <c r="O2688">
        <f>equip.xml!R2692</f>
        <v>1</v>
      </c>
    </row>
    <row r="2689" spans="1:15">
      <c r="A2689" s="14">
        <f>equip.xml!A2693</f>
        <v>50850085</v>
      </c>
      <c r="B2689" s="14">
        <f>equip.xml!B2693</f>
        <v>0</v>
      </c>
      <c r="C2689" s="14" t="str">
        <f>equip.xml!C2693</f>
        <v>统治长靴</v>
      </c>
      <c r="D2689" s="14" t="str">
        <f>equip.xml!D2693</f>
        <v>鞋子</v>
      </c>
      <c r="E2689" s="14">
        <f>equip.xml!E2693</f>
        <v>8</v>
      </c>
      <c r="F2689" s="14">
        <f>equip.xml!F2693</f>
        <v>5</v>
      </c>
      <c r="G2689" s="14">
        <f>equip.xml!G2693</f>
        <v>85</v>
      </c>
      <c r="H2689" s="14">
        <f>equip.xml!H2693</f>
        <v>0</v>
      </c>
      <c r="I2689" s="14">
        <f>equip.xml!J2693</f>
        <v>150</v>
      </c>
      <c r="J2689" s="14">
        <f>equip.xml!K2693</f>
        <v>1500</v>
      </c>
      <c r="K2689" s="14">
        <f>equip.xml!L2693</f>
        <v>45000</v>
      </c>
      <c r="L2689" s="14" t="str">
        <f>equip.xml!M2693</f>
        <v>110_661_661</v>
      </c>
      <c r="M2689" s="17" t="str">
        <f>equip.xml!Q2693</f>
        <v>equipment/8016.png</v>
      </c>
      <c r="N2689" s="16" t="str">
        <f>equip.xml!P2693</f>
        <v>10000_1002_70000,30000_30001_1,30000_30002_1,30000_30003_1</v>
      </c>
      <c r="O2689">
        <f>equip.xml!R2693</f>
        <v>1</v>
      </c>
    </row>
    <row r="2690" spans="1:15">
      <c r="A2690" s="14">
        <f>equip.xml!A2694</f>
        <v>50850095</v>
      </c>
      <c r="B2690" s="14">
        <f>equip.xml!B2694</f>
        <v>0</v>
      </c>
      <c r="C2690" s="14" t="str">
        <f>equip.xml!C2694</f>
        <v>誓烈手甲</v>
      </c>
      <c r="D2690" s="14" t="str">
        <f>equip.xml!D2694</f>
        <v>手套</v>
      </c>
      <c r="E2690" s="14">
        <f>equip.xml!E2694</f>
        <v>9</v>
      </c>
      <c r="F2690" s="14">
        <f>equip.xml!F2694</f>
        <v>5</v>
      </c>
      <c r="G2690" s="14">
        <f>equip.xml!G2694</f>
        <v>85</v>
      </c>
      <c r="H2690" s="14">
        <f>equip.xml!H2694</f>
        <v>0</v>
      </c>
      <c r="I2690" s="14">
        <f>equip.xml!J2694</f>
        <v>150</v>
      </c>
      <c r="J2690" s="14">
        <f>equip.xml!K2694</f>
        <v>1500</v>
      </c>
      <c r="K2690" s="14">
        <f>equip.xml!L2694</f>
        <v>45000</v>
      </c>
      <c r="L2690" s="14" t="str">
        <f>equip.xml!M2694</f>
        <v>108_5495_5495</v>
      </c>
      <c r="M2690" s="17" t="str">
        <f>equip.xml!Q2694</f>
        <v>equipment/10014.png</v>
      </c>
      <c r="N2690" s="16" t="str">
        <f>equip.xml!P2694</f>
        <v>10000_1002_70000,30000_30001_1,30000_30002_1,30000_30003_1</v>
      </c>
      <c r="O2690">
        <f>equip.xml!R2694</f>
        <v>1</v>
      </c>
    </row>
    <row r="2691" spans="1:15">
      <c r="A2691" s="14">
        <f>equip.xml!A2695</f>
        <v>50850105</v>
      </c>
      <c r="B2691" s="14">
        <f>equip.xml!B2695</f>
        <v>0</v>
      </c>
      <c r="C2691" s="14" t="str">
        <f>equip.xml!C2695</f>
        <v>漂泊者之链</v>
      </c>
      <c r="D2691" s="14" t="str">
        <f>equip.xml!D2695</f>
        <v>项链</v>
      </c>
      <c r="E2691" s="14">
        <f>equip.xml!E2695</f>
        <v>10</v>
      </c>
      <c r="F2691" s="14">
        <f>equip.xml!F2695</f>
        <v>5</v>
      </c>
      <c r="G2691" s="14">
        <f>equip.xml!G2695</f>
        <v>85</v>
      </c>
      <c r="H2691" s="14">
        <f>equip.xml!H2695</f>
        <v>0</v>
      </c>
      <c r="I2691" s="14">
        <f>equip.xml!J2695</f>
        <v>150</v>
      </c>
      <c r="J2691" s="14">
        <f>equip.xml!K2695</f>
        <v>1500</v>
      </c>
      <c r="K2691" s="14">
        <f>equip.xml!L2695</f>
        <v>45000</v>
      </c>
      <c r="L2691" s="14" t="str">
        <f>equip.xml!M2695</f>
        <v>107_3672_3672</v>
      </c>
      <c r="M2691" s="17" t="str">
        <f>equip.xml!Q2695</f>
        <v>equipment/12016.png</v>
      </c>
      <c r="N2691" s="16" t="str">
        <f>equip.xml!P2695</f>
        <v>10000_1002_70000,30000_30001_1,30000_30002_1,30000_30003_1</v>
      </c>
      <c r="O2691">
        <f>equip.xml!R2695</f>
        <v>1</v>
      </c>
    </row>
    <row r="2692" spans="1:15">
      <c r="A2692" s="14">
        <f>equip.xml!A2696</f>
        <v>50851055</v>
      </c>
      <c r="B2692" s="14">
        <f>equip.xml!B2696</f>
        <v>0</v>
      </c>
      <c r="C2692" s="14" t="str">
        <f>equip.xml!C2696</f>
        <v>谦逊之剑</v>
      </c>
      <c r="D2692" s="14" t="str">
        <f>equip.xml!D2696</f>
        <v>主手武器</v>
      </c>
      <c r="E2692" s="14">
        <f>equip.xml!E2696</f>
        <v>5</v>
      </c>
      <c r="F2692" s="14">
        <f>equip.xml!F2696</f>
        <v>5</v>
      </c>
      <c r="G2692" s="14">
        <f>equip.xml!G2696</f>
        <v>85</v>
      </c>
      <c r="H2692" s="14" t="str">
        <f>equip.xml!H2696</f>
        <v>1,1001</v>
      </c>
      <c r="I2692" s="14">
        <f>equip.xml!J2696</f>
        <v>150</v>
      </c>
      <c r="J2692" s="14">
        <f>equip.xml!K2696</f>
        <v>1500</v>
      </c>
      <c r="K2692" s="14">
        <f>equip.xml!L2696</f>
        <v>45000</v>
      </c>
      <c r="L2692" s="14" t="str">
        <f>equip.xml!M2696</f>
        <v>103_4884_4884,104_9769_9769</v>
      </c>
      <c r="M2692" s="17" t="str">
        <f>equip.xml!Q2696</f>
        <v>equipment/1128.png</v>
      </c>
      <c r="N2692" s="16" t="str">
        <f>equip.xml!P2696</f>
        <v>10000_1002_70000,30000_30001_1,30000_30002_1,30000_30003_1</v>
      </c>
      <c r="O2692">
        <f>equip.xml!R2696</f>
        <v>1</v>
      </c>
    </row>
    <row r="2693" spans="1:15">
      <c r="A2693" s="14">
        <f>equip.xml!A2697</f>
        <v>50851056</v>
      </c>
      <c r="B2693" s="14">
        <f>equip.xml!B2697</f>
        <v>0</v>
      </c>
      <c r="C2693" s="14" t="str">
        <f>equip.xml!C2697</f>
        <v>破壁之刃</v>
      </c>
      <c r="D2693" s="14" t="str">
        <f>equip.xml!D2697</f>
        <v>主手武器</v>
      </c>
      <c r="E2693" s="14">
        <f>equip.xml!E2697</f>
        <v>5</v>
      </c>
      <c r="F2693" s="14">
        <f>equip.xml!F2697</f>
        <v>5</v>
      </c>
      <c r="G2693" s="14">
        <f>equip.xml!G2697</f>
        <v>85</v>
      </c>
      <c r="H2693" s="14" t="str">
        <f>equip.xml!H2697</f>
        <v>1,1001</v>
      </c>
      <c r="I2693" s="14">
        <f>equip.xml!J2697</f>
        <v>150</v>
      </c>
      <c r="J2693" s="14">
        <f>equip.xml!K2697</f>
        <v>1500</v>
      </c>
      <c r="K2693" s="14">
        <f>equip.xml!L2697</f>
        <v>47500</v>
      </c>
      <c r="L2693" s="14" t="str">
        <f>equip.xml!M2697</f>
        <v>103_5119_5119,104_10238_10238</v>
      </c>
      <c r="M2693" s="17" t="str">
        <f>equip.xml!Q2697</f>
        <v>equipment/1129.png</v>
      </c>
      <c r="N2693" s="16" t="str">
        <f>equip.xml!P2697</f>
        <v>10000_1002_70000,30000_30001_1,30000_30002_1,30000_30003_1</v>
      </c>
      <c r="O2693">
        <f>equip.xml!R2697</f>
        <v>1</v>
      </c>
    </row>
    <row r="2694" spans="1:15">
      <c r="A2694" s="14">
        <f>equip.xml!A2698</f>
        <v>50851065</v>
      </c>
      <c r="B2694" s="14">
        <f>equip.xml!B2698</f>
        <v>0</v>
      </c>
      <c r="C2694" s="14" t="str">
        <f>equip.xml!C2698</f>
        <v>邪铁盾牌</v>
      </c>
      <c r="D2694" s="14" t="str">
        <f>equip.xml!D2698</f>
        <v>副手武器</v>
      </c>
      <c r="E2694" s="14">
        <f>equip.xml!E2698</f>
        <v>6</v>
      </c>
      <c r="F2694" s="14">
        <f>equip.xml!F2698</f>
        <v>5</v>
      </c>
      <c r="G2694" s="14">
        <f>equip.xml!G2698</f>
        <v>85</v>
      </c>
      <c r="H2694" s="14" t="str">
        <f>equip.xml!H2698</f>
        <v>1,1001</v>
      </c>
      <c r="I2694" s="14">
        <f>equip.xml!J2698</f>
        <v>150</v>
      </c>
      <c r="J2694" s="14">
        <f>equip.xml!K2698</f>
        <v>1500</v>
      </c>
      <c r="K2694" s="14">
        <f>equip.xml!L2698</f>
        <v>45000</v>
      </c>
      <c r="L2694" s="14" t="str">
        <f>equip.xml!M2698</f>
        <v>105_4616_4616</v>
      </c>
      <c r="M2694" s="17" t="str">
        <f>equip.xml!Q2698</f>
        <v>equipment/2124.png</v>
      </c>
      <c r="N2694" s="16" t="str">
        <f>equip.xml!P2698</f>
        <v>10000_1002_70000,30000_30001_1,30000_30002_1,30000_30003_1</v>
      </c>
      <c r="O2694">
        <f>equip.xml!R2698</f>
        <v>1</v>
      </c>
    </row>
    <row r="2695" spans="1:15">
      <c r="A2695" s="14">
        <f>equip.xml!A2699</f>
        <v>50851066</v>
      </c>
      <c r="B2695" s="14">
        <f>equip.xml!B2699</f>
        <v>0</v>
      </c>
      <c r="C2695" s="14" t="str">
        <f>equip.xml!C2699</f>
        <v>埋骨之盾</v>
      </c>
      <c r="D2695" s="14" t="str">
        <f>equip.xml!D2699</f>
        <v>副手武器</v>
      </c>
      <c r="E2695" s="14">
        <f>equip.xml!E2699</f>
        <v>6</v>
      </c>
      <c r="F2695" s="14">
        <f>equip.xml!F2699</f>
        <v>5</v>
      </c>
      <c r="G2695" s="14">
        <f>equip.xml!G2699</f>
        <v>85</v>
      </c>
      <c r="H2695" s="14" t="str">
        <f>equip.xml!H2699</f>
        <v>1,1001</v>
      </c>
      <c r="I2695" s="14">
        <f>equip.xml!J2699</f>
        <v>150</v>
      </c>
      <c r="J2695" s="14">
        <f>equip.xml!K2699</f>
        <v>1500</v>
      </c>
      <c r="K2695" s="14">
        <f>equip.xml!L2699</f>
        <v>47500</v>
      </c>
      <c r="L2695" s="14" t="str">
        <f>equip.xml!M2699</f>
        <v>105_4739_4739</v>
      </c>
      <c r="M2695" s="17" t="str">
        <f>equip.xml!Q2699</f>
        <v>equipment/2119.png</v>
      </c>
      <c r="N2695" s="16" t="str">
        <f>equip.xml!P2699</f>
        <v>10000_1002_70000,30000_30001_1,30000_30002_1,30000_30003_1</v>
      </c>
      <c r="O2695">
        <f>equip.xml!R2699</f>
        <v>1</v>
      </c>
    </row>
    <row r="2696" spans="1:15">
      <c r="A2696" s="14">
        <f>equip.xml!A2700</f>
        <v>50852055</v>
      </c>
      <c r="B2696" s="14">
        <f>equip.xml!B2700</f>
        <v>0</v>
      </c>
      <c r="C2696" s="14" t="str">
        <f>equip.xml!C2700</f>
        <v>悔恨长弓</v>
      </c>
      <c r="D2696" s="14" t="str">
        <f>equip.xml!D2700</f>
        <v>主手武器</v>
      </c>
      <c r="E2696" s="14">
        <f>equip.xml!E2700</f>
        <v>5</v>
      </c>
      <c r="F2696" s="14">
        <f>equip.xml!F2700</f>
        <v>5</v>
      </c>
      <c r="G2696" s="14">
        <f>equip.xml!G2700</f>
        <v>85</v>
      </c>
      <c r="H2696" s="14" t="str">
        <f>equip.xml!H2700</f>
        <v>2,1002</v>
      </c>
      <c r="I2696" s="14">
        <f>equip.xml!J2700</f>
        <v>150</v>
      </c>
      <c r="J2696" s="14">
        <f>equip.xml!K2700</f>
        <v>1500</v>
      </c>
      <c r="K2696" s="14">
        <f>equip.xml!L2700</f>
        <v>45000</v>
      </c>
      <c r="L2696" s="14" t="str">
        <f>equip.xml!M2700</f>
        <v>103_4884_4884,104_9769_9769</v>
      </c>
      <c r="M2696" s="17" t="str">
        <f>equip.xml!Q2700</f>
        <v>equipment/1228.png</v>
      </c>
      <c r="N2696" s="16" t="str">
        <f>equip.xml!P2700</f>
        <v>10000_1002_70000,30000_30001_1,30000_30002_1,30000_30003_1</v>
      </c>
      <c r="O2696">
        <f>equip.xml!R2700</f>
        <v>1</v>
      </c>
    </row>
    <row r="2697" spans="1:15">
      <c r="A2697" s="14">
        <f>equip.xml!A2701</f>
        <v>50852056</v>
      </c>
      <c r="B2697" s="14">
        <f>equip.xml!B2701</f>
        <v>0</v>
      </c>
      <c r="C2697" s="14" t="str">
        <f>equip.xml!C2701</f>
        <v>祈圣之弓</v>
      </c>
      <c r="D2697" s="14" t="str">
        <f>equip.xml!D2701</f>
        <v>主手武器</v>
      </c>
      <c r="E2697" s="14">
        <f>equip.xml!E2701</f>
        <v>5</v>
      </c>
      <c r="F2697" s="14">
        <f>equip.xml!F2701</f>
        <v>5</v>
      </c>
      <c r="G2697" s="14">
        <f>equip.xml!G2701</f>
        <v>85</v>
      </c>
      <c r="H2697" s="14" t="str">
        <f>equip.xml!H2701</f>
        <v>2,1002</v>
      </c>
      <c r="I2697" s="14">
        <f>equip.xml!J2701</f>
        <v>150</v>
      </c>
      <c r="J2697" s="14">
        <f>equip.xml!K2701</f>
        <v>1500</v>
      </c>
      <c r="K2697" s="14">
        <f>equip.xml!L2701</f>
        <v>47500</v>
      </c>
      <c r="L2697" s="14" t="str">
        <f>equip.xml!M2701</f>
        <v>103_5119_5119,104_10238_10238</v>
      </c>
      <c r="M2697" s="17" t="str">
        <f>equip.xml!Q2701</f>
        <v>equipment/1230.png</v>
      </c>
      <c r="N2697" s="16" t="str">
        <f>equip.xml!P2701</f>
        <v>10000_1002_70000,30000_30001_1,30000_30002_1,30000_30003_1</v>
      </c>
      <c r="O2697">
        <f>equip.xml!R2701</f>
        <v>1</v>
      </c>
    </row>
    <row r="2698" spans="1:15">
      <c r="A2698" s="14">
        <f>equip.xml!A2702</f>
        <v>50852065</v>
      </c>
      <c r="B2698" s="14">
        <f>equip.xml!B2702</f>
        <v>0</v>
      </c>
      <c r="C2698" s="14" t="str">
        <f>equip.xml!C2702</f>
        <v>悲鸣箭筒</v>
      </c>
      <c r="D2698" s="14" t="str">
        <f>equip.xml!D2702</f>
        <v>副手武器</v>
      </c>
      <c r="E2698" s="14">
        <f>equip.xml!E2702</f>
        <v>6</v>
      </c>
      <c r="F2698" s="14">
        <f>equip.xml!F2702</f>
        <v>5</v>
      </c>
      <c r="G2698" s="14">
        <f>equip.xml!G2702</f>
        <v>85</v>
      </c>
      <c r="H2698" s="14" t="str">
        <f>equip.xml!H2702</f>
        <v>2,1002</v>
      </c>
      <c r="I2698" s="14">
        <f>equip.xml!J2702</f>
        <v>150</v>
      </c>
      <c r="J2698" s="14">
        <f>equip.xml!K2702</f>
        <v>1500</v>
      </c>
      <c r="K2698" s="14">
        <f>equip.xml!L2702</f>
        <v>45000</v>
      </c>
      <c r="L2698" s="14" t="str">
        <f>equip.xml!M2702</f>
        <v>108_4616_4616</v>
      </c>
      <c r="M2698" s="17" t="str">
        <f>equip.xml!Q2702</f>
        <v>equipment/2224.png</v>
      </c>
      <c r="N2698" s="16" t="str">
        <f>equip.xml!P2702</f>
        <v>10000_1002_70000,30000_30001_1,30000_30002_1,30000_30003_1</v>
      </c>
      <c r="O2698">
        <f>equip.xml!R2702</f>
        <v>1</v>
      </c>
    </row>
    <row r="2699" spans="1:15">
      <c r="A2699" s="14">
        <f>equip.xml!A2703</f>
        <v>50852066</v>
      </c>
      <c r="B2699" s="14">
        <f>equip.xml!B2703</f>
        <v>0</v>
      </c>
      <c r="C2699" s="14" t="str">
        <f>equip.xml!C2703</f>
        <v>咒逐箭筒</v>
      </c>
      <c r="D2699" s="14" t="str">
        <f>equip.xml!D2703</f>
        <v>副手武器</v>
      </c>
      <c r="E2699" s="14">
        <f>equip.xml!E2703</f>
        <v>6</v>
      </c>
      <c r="F2699" s="14">
        <f>equip.xml!F2703</f>
        <v>5</v>
      </c>
      <c r="G2699" s="14">
        <f>equip.xml!G2703</f>
        <v>85</v>
      </c>
      <c r="H2699" s="14" t="str">
        <f>equip.xml!H2703</f>
        <v>2,1002</v>
      </c>
      <c r="I2699" s="14">
        <f>equip.xml!J2703</f>
        <v>150</v>
      </c>
      <c r="J2699" s="14">
        <f>equip.xml!K2703</f>
        <v>1500</v>
      </c>
      <c r="K2699" s="14">
        <f>equip.xml!L2703</f>
        <v>47500</v>
      </c>
      <c r="L2699" s="14" t="str">
        <f>equip.xml!M2703</f>
        <v>108_4739_4739</v>
      </c>
      <c r="M2699" s="17" t="str">
        <f>equip.xml!Q2703</f>
        <v>equipment/2221.png</v>
      </c>
      <c r="N2699" s="16" t="str">
        <f>equip.xml!P2703</f>
        <v>10000_1002_70000,30000_30001_1,30000_30002_1,30000_30003_1</v>
      </c>
      <c r="O2699">
        <f>equip.xml!R2703</f>
        <v>1</v>
      </c>
    </row>
    <row r="2700" spans="1:15">
      <c r="A2700" s="14">
        <f>equip.xml!A2704</f>
        <v>50853055</v>
      </c>
      <c r="B2700" s="14">
        <f>equip.xml!B2704</f>
        <v>0</v>
      </c>
      <c r="C2700" s="14" t="str">
        <f>equip.xml!C2704</f>
        <v>归还法杖</v>
      </c>
      <c r="D2700" s="14" t="str">
        <f>equip.xml!D2704</f>
        <v>主手武器</v>
      </c>
      <c r="E2700" s="14">
        <f>equip.xml!E2704</f>
        <v>5</v>
      </c>
      <c r="F2700" s="14">
        <f>equip.xml!F2704</f>
        <v>5</v>
      </c>
      <c r="G2700" s="14">
        <f>equip.xml!G2704</f>
        <v>85</v>
      </c>
      <c r="H2700" s="14" t="str">
        <f>equip.xml!H2704</f>
        <v>3,1003</v>
      </c>
      <c r="I2700" s="14">
        <f>equip.xml!J2704</f>
        <v>150</v>
      </c>
      <c r="J2700" s="14">
        <f>equip.xml!K2704</f>
        <v>1500</v>
      </c>
      <c r="K2700" s="14">
        <f>equip.xml!L2704</f>
        <v>45000</v>
      </c>
      <c r="L2700" s="14" t="str">
        <f>equip.xml!M2704</f>
        <v>103_4884_4884,104_9769_9769</v>
      </c>
      <c r="M2700" s="17" t="str">
        <f>equip.xml!Q2704</f>
        <v>equipment/1329.png</v>
      </c>
      <c r="N2700" s="16" t="str">
        <f>equip.xml!P2704</f>
        <v>10000_1002_70000,30000_30001_1,30000_30002_1,30000_30003_1</v>
      </c>
      <c r="O2700">
        <f>equip.xml!R2704</f>
        <v>1</v>
      </c>
    </row>
    <row r="2701" spans="1:15">
      <c r="A2701" s="14">
        <f>equip.xml!A2705</f>
        <v>50853056</v>
      </c>
      <c r="B2701" s="14">
        <f>equip.xml!B2705</f>
        <v>0</v>
      </c>
      <c r="C2701" s="14" t="str">
        <f>equip.xml!C2705</f>
        <v>荒寂之杖</v>
      </c>
      <c r="D2701" s="14" t="str">
        <f>equip.xml!D2705</f>
        <v>主手武器</v>
      </c>
      <c r="E2701" s="14">
        <f>equip.xml!E2705</f>
        <v>5</v>
      </c>
      <c r="F2701" s="14">
        <f>equip.xml!F2705</f>
        <v>5</v>
      </c>
      <c r="G2701" s="14">
        <f>equip.xml!G2705</f>
        <v>85</v>
      </c>
      <c r="H2701" s="14" t="str">
        <f>equip.xml!H2705</f>
        <v>3,1003</v>
      </c>
      <c r="I2701" s="14">
        <f>equip.xml!J2705</f>
        <v>150</v>
      </c>
      <c r="J2701" s="14">
        <f>equip.xml!K2705</f>
        <v>1500</v>
      </c>
      <c r="K2701" s="14">
        <f>equip.xml!L2705</f>
        <v>47500</v>
      </c>
      <c r="L2701" s="14" t="str">
        <f>equip.xml!M2705</f>
        <v>103_5119_5119,104_10238_10238</v>
      </c>
      <c r="M2701" s="17" t="str">
        <f>equip.xml!Q2705</f>
        <v>equipment/1331.png</v>
      </c>
      <c r="N2701" s="16" t="str">
        <f>equip.xml!P2705</f>
        <v>10000_1002_70000,30000_30001_1,30000_30002_1,30000_30003_1</v>
      </c>
      <c r="O2701">
        <f>equip.xml!R2705</f>
        <v>1</v>
      </c>
    </row>
    <row r="2702" spans="1:15">
      <c r="A2702" s="14">
        <f>equip.xml!A2706</f>
        <v>50853065</v>
      </c>
      <c r="B2702" s="14">
        <f>equip.xml!B2706</f>
        <v>0</v>
      </c>
      <c r="C2702" s="14" t="str">
        <f>equip.xml!C2706</f>
        <v>幻咒秘语</v>
      </c>
      <c r="D2702" s="14" t="str">
        <f>equip.xml!D2706</f>
        <v>副手武器</v>
      </c>
      <c r="E2702" s="14">
        <f>equip.xml!E2706</f>
        <v>6</v>
      </c>
      <c r="F2702" s="14">
        <f>equip.xml!F2706</f>
        <v>5</v>
      </c>
      <c r="G2702" s="14">
        <f>equip.xml!G2706</f>
        <v>85</v>
      </c>
      <c r="H2702" s="14" t="str">
        <f>equip.xml!H2706</f>
        <v>3,1003</v>
      </c>
      <c r="I2702" s="14">
        <f>equip.xml!J2706</f>
        <v>150</v>
      </c>
      <c r="J2702" s="14">
        <f>equip.xml!K2706</f>
        <v>1500</v>
      </c>
      <c r="K2702" s="14">
        <f>equip.xml!L2706</f>
        <v>45000</v>
      </c>
      <c r="L2702" s="14" t="str">
        <f>equip.xml!M2706</f>
        <v>102_3790_3790</v>
      </c>
      <c r="M2702" s="17" t="str">
        <f>equip.xml!Q2706</f>
        <v>equipment/102301.png</v>
      </c>
      <c r="N2702" s="16" t="str">
        <f>equip.xml!P2706</f>
        <v>10000_1002_70000,30000_30001_1,30000_30002_1,30000_30003_1</v>
      </c>
      <c r="O2702">
        <f>equip.xml!R2706</f>
        <v>1</v>
      </c>
    </row>
    <row r="2703" spans="1:15">
      <c r="A2703" s="14">
        <f>equip.xml!A2707</f>
        <v>50853066</v>
      </c>
      <c r="B2703" s="14">
        <f>equip.xml!B2707</f>
        <v>0</v>
      </c>
      <c r="C2703" s="14" t="str">
        <f>equip.xml!C2707</f>
        <v>岁月之书</v>
      </c>
      <c r="D2703" s="14" t="str">
        <f>equip.xml!D2707</f>
        <v>副手武器</v>
      </c>
      <c r="E2703" s="14">
        <f>equip.xml!E2707</f>
        <v>6</v>
      </c>
      <c r="F2703" s="14">
        <f>equip.xml!F2707</f>
        <v>5</v>
      </c>
      <c r="G2703" s="14">
        <f>equip.xml!G2707</f>
        <v>85</v>
      </c>
      <c r="H2703" s="14" t="str">
        <f>equip.xml!H2707</f>
        <v>3,1003</v>
      </c>
      <c r="I2703" s="14">
        <f>equip.xml!J2707</f>
        <v>150</v>
      </c>
      <c r="J2703" s="14">
        <f>equip.xml!K2707</f>
        <v>1500</v>
      </c>
      <c r="K2703" s="14">
        <f>equip.xml!L2707</f>
        <v>47500</v>
      </c>
      <c r="L2703" s="14" t="str">
        <f>equip.xml!M2707</f>
        <v>102_3890_3890</v>
      </c>
      <c r="M2703" s="17" t="str">
        <f>equip.xml!Q2707</f>
        <v>equipment/2323.png</v>
      </c>
      <c r="N2703" s="16" t="str">
        <f>equip.xml!P2707</f>
        <v>10000_1002_70000,30000_30001_1,30000_30002_1,30000_30003_1</v>
      </c>
      <c r="O2703">
        <f>equip.xml!R2707</f>
        <v>1</v>
      </c>
    </row>
    <row r="2704" spans="1:15">
      <c r="A2704" s="14">
        <f>equip.xml!A2708</f>
        <v>50850045</v>
      </c>
      <c r="B2704" s="14">
        <f>equip.xml!B2708</f>
        <v>0</v>
      </c>
      <c r="C2704" s="14" t="str">
        <f>equip.xml!C2708</f>
        <v>梦魇胸甲</v>
      </c>
      <c r="D2704" s="14" t="str">
        <f>equip.xml!D2708</f>
        <v>胸甲</v>
      </c>
      <c r="E2704" s="14">
        <f>equip.xml!E2708</f>
        <v>4</v>
      </c>
      <c r="F2704" s="14">
        <f>equip.xml!F2708</f>
        <v>5</v>
      </c>
      <c r="G2704" s="14">
        <f>equip.xml!G2708</f>
        <v>85</v>
      </c>
      <c r="H2704" s="14">
        <f>equip.xml!H2708</f>
        <v>0</v>
      </c>
      <c r="I2704" s="14">
        <f>equip.xml!J2708</f>
        <v>150</v>
      </c>
      <c r="J2704" s="14">
        <f>equip.xml!K2708</f>
        <v>1500</v>
      </c>
      <c r="K2704" s="14">
        <f>equip.xml!L2708</f>
        <v>45000</v>
      </c>
      <c r="L2704" s="14" t="str">
        <f>equip.xml!M2708</f>
        <v>105_2989_2989</v>
      </c>
      <c r="M2704" s="17" t="str">
        <f>equip.xml!Q2708</f>
        <v>equipment/105001.png</v>
      </c>
      <c r="N2704" s="16" t="str">
        <f>equip.xml!P2708</f>
        <v>10000_1002_70000,30000_30001_1,30000_30002_1,30000_30003_1</v>
      </c>
      <c r="O2704">
        <f>equip.xml!R2708</f>
        <v>1</v>
      </c>
    </row>
    <row r="2705" spans="1:15">
      <c r="A2705" s="14">
        <f>equip.xml!A2709</f>
        <v>50850046</v>
      </c>
      <c r="B2705" s="14">
        <f>equip.xml!B2709</f>
        <v>0</v>
      </c>
      <c r="C2705" s="14" t="str">
        <f>equip.xml!C2709</f>
        <v>鬼域战铠</v>
      </c>
      <c r="D2705" s="14" t="str">
        <f>equip.xml!D2709</f>
        <v>胸甲</v>
      </c>
      <c r="E2705" s="14">
        <f>equip.xml!E2709</f>
        <v>4</v>
      </c>
      <c r="F2705" s="14">
        <f>equip.xml!F2709</f>
        <v>5</v>
      </c>
      <c r="G2705" s="14">
        <f>equip.xml!G2709</f>
        <v>85</v>
      </c>
      <c r="H2705" s="14">
        <f>equip.xml!H2709</f>
        <v>0</v>
      </c>
      <c r="I2705" s="14">
        <f>equip.xml!J2709</f>
        <v>150</v>
      </c>
      <c r="J2705" s="14">
        <f>equip.xml!K2709</f>
        <v>1500</v>
      </c>
      <c r="K2705" s="14">
        <f>equip.xml!L2709</f>
        <v>47500</v>
      </c>
      <c r="L2705" s="14" t="str">
        <f>equip.xml!M2709</f>
        <v>105_3172_3172</v>
      </c>
      <c r="M2705" s="17" t="str">
        <f>equip.xml!Q2709</f>
        <v>equipment/5023.png</v>
      </c>
      <c r="N2705" s="16" t="str">
        <f>equip.xml!P2709</f>
        <v>10000_1002_70000,30000_30001_1,30000_30002_1,30000_30003_1</v>
      </c>
      <c r="O2705">
        <f>equip.xml!R2709</f>
        <v>1</v>
      </c>
    </row>
    <row r="2706" spans="1:15">
      <c r="A2706" s="14">
        <f>equip.xml!A2710</f>
        <v>50850075</v>
      </c>
      <c r="B2706" s="14">
        <f>equip.xml!B2710</f>
        <v>0</v>
      </c>
      <c r="C2706" s="14" t="str">
        <f>equip.xml!C2710</f>
        <v>逝亡护腿</v>
      </c>
      <c r="D2706" s="14" t="str">
        <f>equip.xml!D2710</f>
        <v>护腿</v>
      </c>
      <c r="E2706" s="14">
        <f>equip.xml!E2710</f>
        <v>7</v>
      </c>
      <c r="F2706" s="14">
        <f>equip.xml!F2710</f>
        <v>5</v>
      </c>
      <c r="G2706" s="14">
        <f>equip.xml!G2710</f>
        <v>85</v>
      </c>
      <c r="H2706" s="14">
        <f>equip.xml!H2710</f>
        <v>0</v>
      </c>
      <c r="I2706" s="14">
        <f>equip.xml!J2710</f>
        <v>150</v>
      </c>
      <c r="J2706" s="14">
        <f>equip.xml!K2710</f>
        <v>1500</v>
      </c>
      <c r="K2706" s="14">
        <f>equip.xml!L2710</f>
        <v>45000</v>
      </c>
      <c r="L2706" s="14" t="str">
        <f>equip.xml!M2710</f>
        <v>105_2989_2989</v>
      </c>
      <c r="M2706" s="17" t="str">
        <f>equip.xml!Q2710</f>
        <v>equipment/7023.png</v>
      </c>
      <c r="N2706" s="16" t="str">
        <f>equip.xml!P2710</f>
        <v>10000_1002_70000,30000_30001_1,30000_30002_1,30000_30003_1</v>
      </c>
      <c r="O2706">
        <f>equip.xml!R2710</f>
        <v>1</v>
      </c>
    </row>
    <row r="2707" spans="1:15">
      <c r="A2707" s="14">
        <f>equip.xml!A2711</f>
        <v>50850076</v>
      </c>
      <c r="B2707" s="14">
        <f>equip.xml!B2711</f>
        <v>0</v>
      </c>
      <c r="C2707" s="14" t="str">
        <f>equip.xml!C2711</f>
        <v>泯灭护腿</v>
      </c>
      <c r="D2707" s="14" t="str">
        <f>equip.xml!D2711</f>
        <v>护腿</v>
      </c>
      <c r="E2707" s="14">
        <f>equip.xml!E2711</f>
        <v>7</v>
      </c>
      <c r="F2707" s="14">
        <f>equip.xml!F2711</f>
        <v>5</v>
      </c>
      <c r="G2707" s="14">
        <f>equip.xml!G2711</f>
        <v>85</v>
      </c>
      <c r="H2707" s="14">
        <f>equip.xml!H2711</f>
        <v>0</v>
      </c>
      <c r="I2707" s="14">
        <f>equip.xml!J2711</f>
        <v>150</v>
      </c>
      <c r="J2707" s="14">
        <f>equip.xml!K2711</f>
        <v>1500</v>
      </c>
      <c r="K2707" s="14">
        <f>equip.xml!L2711</f>
        <v>47500</v>
      </c>
      <c r="L2707" s="14" t="str">
        <f>equip.xml!M2711</f>
        <v>105_3172_3172</v>
      </c>
      <c r="M2707" s="17" t="str">
        <f>equip.xml!Q2711</f>
        <v>equipment/107001.png</v>
      </c>
      <c r="N2707" s="16" t="str">
        <f>equip.xml!P2711</f>
        <v>10000_1002_70000,30000_30001_1,30000_30002_1,30000_30003_1</v>
      </c>
      <c r="O2707">
        <f>equip.xml!R2711</f>
        <v>1</v>
      </c>
    </row>
    <row r="2708" spans="1:15">
      <c r="A2708" s="14">
        <f>equip.xml!A2712</f>
        <v>50900015</v>
      </c>
      <c r="B2708" s="14">
        <f>equip.xml!B2712</f>
        <v>0</v>
      </c>
      <c r="C2708" s="14" t="str">
        <f>equip.xml!C2712</f>
        <v>风暴之冠</v>
      </c>
      <c r="D2708" s="14" t="str">
        <f>equip.xml!D2712</f>
        <v>头盔</v>
      </c>
      <c r="E2708" s="14">
        <f>equip.xml!E2712</f>
        <v>1</v>
      </c>
      <c r="F2708" s="14">
        <f>equip.xml!F2712</f>
        <v>5</v>
      </c>
      <c r="G2708" s="14">
        <f>equip.xml!G2712</f>
        <v>90</v>
      </c>
      <c r="H2708" s="14">
        <f>equip.xml!H2712</f>
        <v>0</v>
      </c>
      <c r="I2708" s="14">
        <f>equip.xml!J2712</f>
        <v>150</v>
      </c>
      <c r="J2708" s="14">
        <f>equip.xml!K2712</f>
        <v>1500</v>
      </c>
      <c r="K2708" s="14">
        <f>equip.xml!L2712</f>
        <v>47500</v>
      </c>
      <c r="L2708" s="14" t="str">
        <f>equip.xml!M2712</f>
        <v>106_4428_4428</v>
      </c>
      <c r="M2708" s="17" t="str">
        <f>equip.xml!Q2712</f>
        <v>equipment/3017.png</v>
      </c>
      <c r="N2708" s="16" t="str">
        <f>equip.xml!P2712</f>
        <v>10000_1002_70000,30000_30001_1,30000_30002_1,30000_30003_1</v>
      </c>
      <c r="O2708">
        <f>equip.xml!R2712</f>
        <v>1</v>
      </c>
    </row>
    <row r="2709" spans="1:15">
      <c r="A2709" s="14">
        <f>equip.xml!A2713</f>
        <v>50900025</v>
      </c>
      <c r="B2709" s="14">
        <f>equip.xml!B2713</f>
        <v>0</v>
      </c>
      <c r="C2709" s="14" t="str">
        <f>equip.xml!C2713</f>
        <v>无尽智慧指环</v>
      </c>
      <c r="D2709" s="14" t="str">
        <f>equip.xml!D2713</f>
        <v>戒指</v>
      </c>
      <c r="E2709" s="14">
        <f>equip.xml!E2713</f>
        <v>2</v>
      </c>
      <c r="F2709" s="14">
        <f>equip.xml!F2713</f>
        <v>5</v>
      </c>
      <c r="G2709" s="14">
        <f>equip.xml!G2713</f>
        <v>90</v>
      </c>
      <c r="H2709" s="14">
        <f>equip.xml!H2713</f>
        <v>0</v>
      </c>
      <c r="I2709" s="14">
        <f>equip.xml!J2713</f>
        <v>150</v>
      </c>
      <c r="J2709" s="14">
        <f>equip.xml!K2713</f>
        <v>1500</v>
      </c>
      <c r="K2709" s="14">
        <f>equip.xml!L2713</f>
        <v>47500</v>
      </c>
      <c r="L2709" s="14" t="str">
        <f>equip.xml!M2713</f>
        <v>102_2150_2150</v>
      </c>
      <c r="M2709" s="17" t="str">
        <f>equip.xml!Q2713</f>
        <v>equipment/14015.png</v>
      </c>
      <c r="N2709" s="16" t="str">
        <f>equip.xml!P2713</f>
        <v>10000_1002_70000,30000_30001_1,30000_30002_1,30000_30003_1</v>
      </c>
      <c r="O2709">
        <f>equip.xml!R2713</f>
        <v>1</v>
      </c>
    </row>
    <row r="2710" spans="1:15">
      <c r="A2710" s="14">
        <f>equip.xml!A2714</f>
        <v>50900035</v>
      </c>
      <c r="B2710" s="14">
        <f>equip.xml!B2714</f>
        <v>0</v>
      </c>
      <c r="C2710" s="14" t="str">
        <f>equip.xml!C2714</f>
        <v>丰饶腰带</v>
      </c>
      <c r="D2710" s="14" t="str">
        <f>equip.xml!D2714</f>
        <v>腰带</v>
      </c>
      <c r="E2710" s="14">
        <f>equip.xml!E2714</f>
        <v>3</v>
      </c>
      <c r="F2710" s="14">
        <f>equip.xml!F2714</f>
        <v>5</v>
      </c>
      <c r="G2710" s="14">
        <f>equip.xml!G2714</f>
        <v>90</v>
      </c>
      <c r="H2710" s="14">
        <f>equip.xml!H2714</f>
        <v>0</v>
      </c>
      <c r="I2710" s="14">
        <f>equip.xml!J2714</f>
        <v>150</v>
      </c>
      <c r="J2710" s="14">
        <f>equip.xml!K2714</f>
        <v>1500</v>
      </c>
      <c r="K2710" s="14">
        <f>equip.xml!L2714</f>
        <v>47500</v>
      </c>
      <c r="L2710" s="14" t="str">
        <f>equip.xml!M2714</f>
        <v>101_29800_29800</v>
      </c>
      <c r="M2710" s="17" t="str">
        <f>equip.xml!Q2714</f>
        <v>equipment/6016.png</v>
      </c>
      <c r="N2710" s="16" t="str">
        <f>equip.xml!P2714</f>
        <v>10000_1002_70000,30000_30001_1,30000_30002_1,30000_30003_1</v>
      </c>
      <c r="O2710">
        <f>equip.xml!R2714</f>
        <v>1</v>
      </c>
    </row>
    <row r="2711" spans="1:15">
      <c r="A2711" s="14">
        <f>equip.xml!A2715</f>
        <v>50900085</v>
      </c>
      <c r="B2711" s="14">
        <f>equip.xml!B2715</f>
        <v>0</v>
      </c>
      <c r="C2711" s="14" t="str">
        <f>equip.xml!C2715</f>
        <v>秩序战靴</v>
      </c>
      <c r="D2711" s="14" t="str">
        <f>equip.xml!D2715</f>
        <v>鞋子</v>
      </c>
      <c r="E2711" s="14">
        <f>equip.xml!E2715</f>
        <v>8</v>
      </c>
      <c r="F2711" s="14">
        <f>equip.xml!F2715</f>
        <v>5</v>
      </c>
      <c r="G2711" s="14">
        <f>equip.xml!G2715</f>
        <v>90</v>
      </c>
      <c r="H2711" s="14">
        <f>equip.xml!H2715</f>
        <v>0</v>
      </c>
      <c r="I2711" s="14">
        <f>equip.xml!J2715</f>
        <v>150</v>
      </c>
      <c r="J2711" s="14">
        <f>equip.xml!K2715</f>
        <v>1500</v>
      </c>
      <c r="K2711" s="14">
        <f>equip.xml!L2715</f>
        <v>47500</v>
      </c>
      <c r="L2711" s="14" t="str">
        <f>equip.xml!M2715</f>
        <v>110_715_715</v>
      </c>
      <c r="M2711" s="17" t="str">
        <f>equip.xml!Q2715</f>
        <v>equipment/8017.png</v>
      </c>
      <c r="N2711" s="16" t="str">
        <f>equip.xml!P2715</f>
        <v>10000_1002_70000,30000_30001_1,30000_30002_1,30000_30003_1</v>
      </c>
      <c r="O2711">
        <f>equip.xml!R2715</f>
        <v>1</v>
      </c>
    </row>
    <row r="2712" spans="1:15">
      <c r="A2712" s="14">
        <f>equip.xml!A2716</f>
        <v>50900095</v>
      </c>
      <c r="B2712" s="14">
        <f>equip.xml!B2716</f>
        <v>0</v>
      </c>
      <c r="C2712" s="14" t="str">
        <f>equip.xml!C2716</f>
        <v>超载护手</v>
      </c>
      <c r="D2712" s="14" t="str">
        <f>equip.xml!D2716</f>
        <v>手套</v>
      </c>
      <c r="E2712" s="14">
        <f>equip.xml!E2716</f>
        <v>9</v>
      </c>
      <c r="F2712" s="14">
        <f>equip.xml!F2716</f>
        <v>5</v>
      </c>
      <c r="G2712" s="14">
        <f>equip.xml!G2716</f>
        <v>90</v>
      </c>
      <c r="H2712" s="14">
        <f>equip.xml!H2716</f>
        <v>0</v>
      </c>
      <c r="I2712" s="14">
        <f>equip.xml!J2716</f>
        <v>150</v>
      </c>
      <c r="J2712" s="14">
        <f>equip.xml!K2716</f>
        <v>1500</v>
      </c>
      <c r="K2712" s="14">
        <f>equip.xml!L2716</f>
        <v>47500</v>
      </c>
      <c r="L2712" s="14" t="str">
        <f>equip.xml!M2716</f>
        <v>108_6155_6155</v>
      </c>
      <c r="M2712" s="17" t="str">
        <f>equip.xml!Q2716</f>
        <v>equipment/10017.png</v>
      </c>
      <c r="N2712" s="16" t="str">
        <f>equip.xml!P2716</f>
        <v>10000_1002_70000,30000_30001_1,30000_30002_1,30000_30003_1</v>
      </c>
      <c r="O2712">
        <f>equip.xml!R2716</f>
        <v>1</v>
      </c>
    </row>
    <row r="2713" spans="1:15">
      <c r="A2713" s="14">
        <f>equip.xml!A2717</f>
        <v>50900105</v>
      </c>
      <c r="B2713" s="14">
        <f>equip.xml!B2717</f>
        <v>0</v>
      </c>
      <c r="C2713" s="14" t="str">
        <f>equip.xml!C2717</f>
        <v>寒霜之心</v>
      </c>
      <c r="D2713" s="14" t="str">
        <f>equip.xml!D2717</f>
        <v>项链</v>
      </c>
      <c r="E2713" s="14">
        <f>equip.xml!E2717</f>
        <v>10</v>
      </c>
      <c r="F2713" s="14">
        <f>equip.xml!F2717</f>
        <v>5</v>
      </c>
      <c r="G2713" s="14">
        <f>equip.xml!G2717</f>
        <v>90</v>
      </c>
      <c r="H2713" s="14">
        <f>equip.xml!H2717</f>
        <v>0</v>
      </c>
      <c r="I2713" s="14">
        <f>equip.xml!J2717</f>
        <v>150</v>
      </c>
      <c r="J2713" s="14">
        <f>equip.xml!K2717</f>
        <v>1500</v>
      </c>
      <c r="K2713" s="14">
        <f>equip.xml!L2717</f>
        <v>47500</v>
      </c>
      <c r="L2713" s="14" t="str">
        <f>equip.xml!M2717</f>
        <v>107_4428_4428</v>
      </c>
      <c r="M2713" s="17" t="str">
        <f>equip.xml!Q2717</f>
        <v>equipment/12017.png</v>
      </c>
      <c r="N2713" s="16" t="str">
        <f>equip.xml!P2717</f>
        <v>10000_1002_70000,30000_30001_1,30000_30002_1,30000_30003_1</v>
      </c>
      <c r="O2713">
        <f>equip.xml!R2717</f>
        <v>1</v>
      </c>
    </row>
    <row r="2714" spans="1:15">
      <c r="A2714" s="14">
        <f>equip.xml!A2718</f>
        <v>50901055</v>
      </c>
      <c r="B2714" s="14">
        <f>equip.xml!B2718</f>
        <v>0</v>
      </c>
      <c r="C2714" s="14" t="str">
        <f>equip.xml!C2718</f>
        <v>湮灭之剑</v>
      </c>
      <c r="D2714" s="14" t="str">
        <f>equip.xml!D2718</f>
        <v>主手武器</v>
      </c>
      <c r="E2714" s="14">
        <f>equip.xml!E2718</f>
        <v>5</v>
      </c>
      <c r="F2714" s="14">
        <f>equip.xml!F2718</f>
        <v>5</v>
      </c>
      <c r="G2714" s="14">
        <f>equip.xml!G2718</f>
        <v>90</v>
      </c>
      <c r="H2714" s="14" t="str">
        <f>equip.xml!H2718</f>
        <v>1,1001</v>
      </c>
      <c r="I2714" s="14">
        <f>equip.xml!J2718</f>
        <v>150</v>
      </c>
      <c r="J2714" s="14">
        <f>equip.xml!K2718</f>
        <v>1500</v>
      </c>
      <c r="K2714" s="14">
        <f>equip.xml!L2718</f>
        <v>47500</v>
      </c>
      <c r="L2714" s="14" t="str">
        <f>equip.xml!M2718</f>
        <v>103_5471_5471,104_10942_10942</v>
      </c>
      <c r="M2714" s="17" t="str">
        <f>equip.xml!Q2718</f>
        <v>equipment/101101.png</v>
      </c>
      <c r="N2714" s="16" t="str">
        <f>equip.xml!P2718</f>
        <v>10000_1002_70000,30000_30001_1,30000_30002_1,30000_30003_1</v>
      </c>
      <c r="O2714">
        <f>equip.xml!R2718</f>
        <v>1</v>
      </c>
    </row>
    <row r="2715" spans="1:15">
      <c r="A2715" s="14">
        <f>equip.xml!A2719</f>
        <v>50901056</v>
      </c>
      <c r="B2715" s="14">
        <f>equip.xml!B2719</f>
        <v>0</v>
      </c>
      <c r="C2715" s="14" t="str">
        <f>equip.xml!C2719</f>
        <v>封印之剑</v>
      </c>
      <c r="D2715" s="14" t="str">
        <f>equip.xml!D2719</f>
        <v>主手武器</v>
      </c>
      <c r="E2715" s="14">
        <f>equip.xml!E2719</f>
        <v>5</v>
      </c>
      <c r="F2715" s="14">
        <f>equip.xml!F2719</f>
        <v>5</v>
      </c>
      <c r="G2715" s="14">
        <f>equip.xml!G2719</f>
        <v>90</v>
      </c>
      <c r="H2715" s="14" t="str">
        <f>equip.xml!H2719</f>
        <v>1,1001</v>
      </c>
      <c r="I2715" s="14">
        <f>equip.xml!J2719</f>
        <v>150</v>
      </c>
      <c r="J2715" s="14">
        <f>equip.xml!K2719</f>
        <v>1500</v>
      </c>
      <c r="K2715" s="14">
        <f>equip.xml!L2719</f>
        <v>50000</v>
      </c>
      <c r="L2715" s="14" t="str">
        <f>equip.xml!M2719</f>
        <v>103_5719_5719,104_11438_11438</v>
      </c>
      <c r="M2715" s="17" t="str">
        <f>equip.xml!Q2719</f>
        <v>equipment/1131.png</v>
      </c>
      <c r="N2715" s="16" t="str">
        <f>equip.xml!P2719</f>
        <v>10000_1002_70000,30000_30001_1,30000_30002_1,30000_30003_1</v>
      </c>
      <c r="O2715">
        <f>equip.xml!R2719</f>
        <v>1</v>
      </c>
    </row>
    <row r="2716" spans="1:15">
      <c r="A2716" s="14">
        <f>equip.xml!A2720</f>
        <v>50901065</v>
      </c>
      <c r="B2716" s="14">
        <f>equip.xml!B2720</f>
        <v>0</v>
      </c>
      <c r="C2716" s="14" t="str">
        <f>equip.xml!C2720</f>
        <v>灾祸之盾</v>
      </c>
      <c r="D2716" s="14" t="str">
        <f>equip.xml!D2720</f>
        <v>副手武器</v>
      </c>
      <c r="E2716" s="14">
        <f>equip.xml!E2720</f>
        <v>6</v>
      </c>
      <c r="F2716" s="14">
        <f>equip.xml!F2720</f>
        <v>5</v>
      </c>
      <c r="G2716" s="14">
        <f>equip.xml!G2720</f>
        <v>90</v>
      </c>
      <c r="H2716" s="14" t="str">
        <f>equip.xml!H2720</f>
        <v>1,1001</v>
      </c>
      <c r="I2716" s="14">
        <f>equip.xml!J2720</f>
        <v>150</v>
      </c>
      <c r="J2716" s="14">
        <f>equip.xml!K2720</f>
        <v>1500</v>
      </c>
      <c r="K2716" s="14">
        <f>equip.xml!L2720</f>
        <v>47500</v>
      </c>
      <c r="L2716" s="14" t="str">
        <f>equip.xml!M2720</f>
        <v>105_4924_4924</v>
      </c>
      <c r="M2716" s="17" t="str">
        <f>equip.xml!Q2720</f>
        <v>equipment/2125.png</v>
      </c>
      <c r="N2716" s="16" t="str">
        <f>equip.xml!P2720</f>
        <v>10000_1002_70000,30000_30001_1,30000_30002_1,30000_30003_1</v>
      </c>
      <c r="O2716">
        <f>equip.xml!R2720</f>
        <v>1</v>
      </c>
    </row>
    <row r="2717" spans="1:15">
      <c r="A2717" s="14">
        <f>equip.xml!A2721</f>
        <v>50901066</v>
      </c>
      <c r="B2717" s="14">
        <f>equip.xml!B2721</f>
        <v>0</v>
      </c>
      <c r="C2717" s="14" t="str">
        <f>equip.xml!C2721</f>
        <v>堕神之盾</v>
      </c>
      <c r="D2717" s="14" t="str">
        <f>equip.xml!D2721</f>
        <v>副手武器</v>
      </c>
      <c r="E2717" s="14">
        <f>equip.xml!E2721</f>
        <v>6</v>
      </c>
      <c r="F2717" s="14">
        <f>equip.xml!F2721</f>
        <v>5</v>
      </c>
      <c r="G2717" s="14">
        <f>equip.xml!G2721</f>
        <v>90</v>
      </c>
      <c r="H2717" s="14" t="str">
        <f>equip.xml!H2721</f>
        <v>1,1001</v>
      </c>
      <c r="I2717" s="14">
        <f>equip.xml!J2721</f>
        <v>150</v>
      </c>
      <c r="J2717" s="14">
        <f>equip.xml!K2721</f>
        <v>1500</v>
      </c>
      <c r="K2717" s="14">
        <f>equip.xml!L2721</f>
        <v>50000</v>
      </c>
      <c r="L2717" s="14" t="str">
        <f>equip.xml!M2721</f>
        <v>105_5147_5147</v>
      </c>
      <c r="M2717" s="17" t="str">
        <f>equip.xml!Q2721</f>
        <v>equipment/102101.png</v>
      </c>
      <c r="N2717" s="16" t="str">
        <f>equip.xml!P2721</f>
        <v>10000_1002_70000,30000_30001_1,30000_30002_1,30000_30003_1</v>
      </c>
      <c r="O2717">
        <f>equip.xml!R2721</f>
        <v>1</v>
      </c>
    </row>
    <row r="2718" spans="1:15">
      <c r="A2718" s="14">
        <f>equip.xml!A2722</f>
        <v>50902055</v>
      </c>
      <c r="B2718" s="14">
        <f>equip.xml!B2722</f>
        <v>0</v>
      </c>
      <c r="C2718" s="14" t="str">
        <f>equip.xml!C2722</f>
        <v>破晓之弓</v>
      </c>
      <c r="D2718" s="14" t="str">
        <f>equip.xml!D2722</f>
        <v>主手武器</v>
      </c>
      <c r="E2718" s="14">
        <f>equip.xml!E2722</f>
        <v>5</v>
      </c>
      <c r="F2718" s="14">
        <f>equip.xml!F2722</f>
        <v>5</v>
      </c>
      <c r="G2718" s="14">
        <f>equip.xml!G2722</f>
        <v>90</v>
      </c>
      <c r="H2718" s="14" t="str">
        <f>equip.xml!H2722</f>
        <v>2,1002</v>
      </c>
      <c r="I2718" s="14">
        <f>equip.xml!J2722</f>
        <v>150</v>
      </c>
      <c r="J2718" s="14">
        <f>equip.xml!K2722</f>
        <v>1500</v>
      </c>
      <c r="K2718" s="14">
        <f>equip.xml!L2722</f>
        <v>47500</v>
      </c>
      <c r="L2718" s="14" t="str">
        <f>equip.xml!M2722</f>
        <v>103_5471_5471,104_10942_10942</v>
      </c>
      <c r="M2718" s="17" t="str">
        <f>equip.xml!Q2722</f>
        <v>equipment/1231.png</v>
      </c>
      <c r="N2718" s="16" t="str">
        <f>equip.xml!P2722</f>
        <v>10000_1002_70000,30000_30001_1,30000_30002_1,30000_30003_1</v>
      </c>
      <c r="O2718">
        <f>equip.xml!R2722</f>
        <v>1</v>
      </c>
    </row>
    <row r="2719" spans="1:15">
      <c r="A2719" s="14">
        <f>equip.xml!A2723</f>
        <v>50902056</v>
      </c>
      <c r="B2719" s="14">
        <f>equip.xml!B2723</f>
        <v>0</v>
      </c>
      <c r="C2719" s="14" t="str">
        <f>equip.xml!C2723</f>
        <v>彗星之击</v>
      </c>
      <c r="D2719" s="14" t="str">
        <f>equip.xml!D2723</f>
        <v>主手武器</v>
      </c>
      <c r="E2719" s="14">
        <f>equip.xml!E2723</f>
        <v>5</v>
      </c>
      <c r="F2719" s="14">
        <f>equip.xml!F2723</f>
        <v>5</v>
      </c>
      <c r="G2719" s="14">
        <f>equip.xml!G2723</f>
        <v>90</v>
      </c>
      <c r="H2719" s="14" t="str">
        <f>equip.xml!H2723</f>
        <v>2,1002</v>
      </c>
      <c r="I2719" s="14">
        <f>equip.xml!J2723</f>
        <v>150</v>
      </c>
      <c r="J2719" s="14">
        <f>equip.xml!K2723</f>
        <v>1500</v>
      </c>
      <c r="K2719" s="14">
        <f>equip.xml!L2723</f>
        <v>50000</v>
      </c>
      <c r="L2719" s="14" t="str">
        <f>equip.xml!M2723</f>
        <v>103_5719_5719,104_11438_11438</v>
      </c>
      <c r="M2719" s="17" t="str">
        <f>equip.xml!Q2723</f>
        <v>equipment/101201.png</v>
      </c>
      <c r="N2719" s="16" t="str">
        <f>equip.xml!P2723</f>
        <v>10000_1002_70000,30000_30001_1,30000_30002_1,30000_30003_1</v>
      </c>
      <c r="O2719">
        <f>equip.xml!R2723</f>
        <v>1</v>
      </c>
    </row>
    <row r="2720" spans="1:15">
      <c r="A2720" s="14">
        <f>equip.xml!A2724</f>
        <v>50902065</v>
      </c>
      <c r="B2720" s="14">
        <f>equip.xml!B2724</f>
        <v>0</v>
      </c>
      <c r="C2720" s="14" t="str">
        <f>equip.xml!C2724</f>
        <v>灵痕箭袋</v>
      </c>
      <c r="D2720" s="14" t="str">
        <f>equip.xml!D2724</f>
        <v>副手武器</v>
      </c>
      <c r="E2720" s="14">
        <f>equip.xml!E2724</f>
        <v>6</v>
      </c>
      <c r="F2720" s="14">
        <f>equip.xml!F2724</f>
        <v>5</v>
      </c>
      <c r="G2720" s="14">
        <f>equip.xml!G2724</f>
        <v>90</v>
      </c>
      <c r="H2720" s="14" t="str">
        <f>equip.xml!H2724</f>
        <v>2,1002</v>
      </c>
      <c r="I2720" s="14">
        <f>equip.xml!J2724</f>
        <v>150</v>
      </c>
      <c r="J2720" s="14">
        <f>equip.xml!K2724</f>
        <v>1500</v>
      </c>
      <c r="K2720" s="14">
        <f>equip.xml!L2724</f>
        <v>47500</v>
      </c>
      <c r="L2720" s="14" t="str">
        <f>equip.xml!M2724</f>
        <v>108_4924_4924</v>
      </c>
      <c r="M2720" s="17" t="str">
        <f>equip.xml!Q2724</f>
        <v>equipment/2225.png</v>
      </c>
      <c r="N2720" s="16" t="str">
        <f>equip.xml!P2724</f>
        <v>10000_1002_70000,30000_30001_1,30000_30002_1,30000_30003_1</v>
      </c>
      <c r="O2720">
        <f>equip.xml!R2724</f>
        <v>1</v>
      </c>
    </row>
    <row r="2721" spans="1:15">
      <c r="A2721" s="14">
        <f>equip.xml!A2725</f>
        <v>50902066</v>
      </c>
      <c r="B2721" s="14">
        <f>equip.xml!B2725</f>
        <v>0</v>
      </c>
      <c r="C2721" s="14" t="str">
        <f>equip.xml!C2725</f>
        <v>星坠箭筒</v>
      </c>
      <c r="D2721" s="14" t="str">
        <f>equip.xml!D2725</f>
        <v>副手武器</v>
      </c>
      <c r="E2721" s="14">
        <f>equip.xml!E2725</f>
        <v>6</v>
      </c>
      <c r="F2721" s="14">
        <f>equip.xml!F2725</f>
        <v>5</v>
      </c>
      <c r="G2721" s="14">
        <f>equip.xml!G2725</f>
        <v>90</v>
      </c>
      <c r="H2721" s="14" t="str">
        <f>equip.xml!H2725</f>
        <v>2,1002</v>
      </c>
      <c r="I2721" s="14">
        <f>equip.xml!J2725</f>
        <v>150</v>
      </c>
      <c r="J2721" s="14">
        <f>equip.xml!K2725</f>
        <v>1500</v>
      </c>
      <c r="K2721" s="14">
        <f>equip.xml!L2725</f>
        <v>50000</v>
      </c>
      <c r="L2721" s="14" t="str">
        <f>equip.xml!M2725</f>
        <v>108_5147_5147</v>
      </c>
      <c r="M2721" s="17" t="str">
        <f>equip.xml!Q2725</f>
        <v>equipment/2217.png</v>
      </c>
      <c r="N2721" s="16" t="str">
        <f>equip.xml!P2725</f>
        <v>10000_1002_70000,30000_30001_1,30000_30002_1,30000_30003_1</v>
      </c>
      <c r="O2721">
        <f>equip.xml!R2725</f>
        <v>1</v>
      </c>
    </row>
    <row r="2722" spans="1:15">
      <c r="A2722" s="14">
        <f>equip.xml!A2726</f>
        <v>50903055</v>
      </c>
      <c r="B2722" s="14">
        <f>equip.xml!B2726</f>
        <v>0</v>
      </c>
      <c r="C2722" s="14" t="str">
        <f>equip.xml!C2726</f>
        <v>观察者之杖</v>
      </c>
      <c r="D2722" s="14" t="str">
        <f>equip.xml!D2726</f>
        <v>主手武器</v>
      </c>
      <c r="E2722" s="14">
        <f>equip.xml!E2726</f>
        <v>5</v>
      </c>
      <c r="F2722" s="14">
        <f>equip.xml!F2726</f>
        <v>5</v>
      </c>
      <c r="G2722" s="14">
        <f>equip.xml!G2726</f>
        <v>90</v>
      </c>
      <c r="H2722" s="14" t="str">
        <f>equip.xml!H2726</f>
        <v>3,1003</v>
      </c>
      <c r="I2722" s="14">
        <f>equip.xml!J2726</f>
        <v>150</v>
      </c>
      <c r="J2722" s="14">
        <f>equip.xml!K2726</f>
        <v>1500</v>
      </c>
      <c r="K2722" s="14">
        <f>equip.xml!L2726</f>
        <v>47500</v>
      </c>
      <c r="L2722" s="14" t="str">
        <f>equip.xml!M2726</f>
        <v>103_5471_5471,104_10942_10942</v>
      </c>
      <c r="M2722" s="17" t="str">
        <f>equip.xml!Q2726</f>
        <v>equipment/1330.png</v>
      </c>
      <c r="N2722" s="16" t="str">
        <f>equip.xml!P2726</f>
        <v>10000_1002_70000,30000_30001_1,30000_30002_1,30000_30003_1</v>
      </c>
      <c r="O2722">
        <f>equip.xml!R2726</f>
        <v>1</v>
      </c>
    </row>
    <row r="2723" spans="1:15">
      <c r="A2723" s="14">
        <f>equip.xml!A2727</f>
        <v>50903056</v>
      </c>
      <c r="B2723" s="14">
        <f>equip.xml!B2727</f>
        <v>0</v>
      </c>
      <c r="C2723" s="14" t="str">
        <f>equip.xml!C2727</f>
        <v>星辰权杖</v>
      </c>
      <c r="D2723" s="14" t="str">
        <f>equip.xml!D2727</f>
        <v>主手武器</v>
      </c>
      <c r="E2723" s="14">
        <f>equip.xml!E2727</f>
        <v>5</v>
      </c>
      <c r="F2723" s="14">
        <f>equip.xml!F2727</f>
        <v>5</v>
      </c>
      <c r="G2723" s="14">
        <f>equip.xml!G2727</f>
        <v>90</v>
      </c>
      <c r="H2723" s="14" t="str">
        <f>equip.xml!H2727</f>
        <v>3,1003</v>
      </c>
      <c r="I2723" s="14">
        <f>equip.xml!J2727</f>
        <v>150</v>
      </c>
      <c r="J2723" s="14">
        <f>equip.xml!K2727</f>
        <v>1500</v>
      </c>
      <c r="K2723" s="14">
        <f>equip.xml!L2727</f>
        <v>50000</v>
      </c>
      <c r="L2723" s="14" t="str">
        <f>equip.xml!M2727</f>
        <v>103_5719_5719,104_11438_11438</v>
      </c>
      <c r="M2723" s="17" t="str">
        <f>equip.xml!Q2727</f>
        <v>equipment/1328.png</v>
      </c>
      <c r="N2723" s="16" t="str">
        <f>equip.xml!P2727</f>
        <v>10000_1002_70000,30000_30001_1,30000_30002_1,30000_30003_1</v>
      </c>
      <c r="O2723">
        <f>equip.xml!R2727</f>
        <v>1</v>
      </c>
    </row>
    <row r="2724" spans="1:15">
      <c r="A2724" s="14">
        <f>equip.xml!A2728</f>
        <v>50903065</v>
      </c>
      <c r="B2724" s="14">
        <f>equip.xml!B2728</f>
        <v>0</v>
      </c>
      <c r="C2724" s="14" t="str">
        <f>equip.xml!C2728</f>
        <v>云河指南</v>
      </c>
      <c r="D2724" s="14" t="str">
        <f>equip.xml!D2728</f>
        <v>副手武器</v>
      </c>
      <c r="E2724" s="14">
        <f>equip.xml!E2728</f>
        <v>6</v>
      </c>
      <c r="F2724" s="14">
        <f>equip.xml!F2728</f>
        <v>5</v>
      </c>
      <c r="G2724" s="14">
        <f>equip.xml!G2728</f>
        <v>90</v>
      </c>
      <c r="H2724" s="14" t="str">
        <f>equip.xml!H2728</f>
        <v>3,1003</v>
      </c>
      <c r="I2724" s="14">
        <f>equip.xml!J2728</f>
        <v>150</v>
      </c>
      <c r="J2724" s="14">
        <f>equip.xml!K2728</f>
        <v>1500</v>
      </c>
      <c r="K2724" s="14">
        <f>equip.xml!L2728</f>
        <v>47500</v>
      </c>
      <c r="L2724" s="14" t="str">
        <f>equip.xml!M2728</f>
        <v>102_4040_4040</v>
      </c>
      <c r="M2724" s="17" t="str">
        <f>equip.xml!Q2728</f>
        <v>equipment/2325.png</v>
      </c>
      <c r="N2724" s="16" t="str">
        <f>equip.xml!P2728</f>
        <v>10000_1002_70000,30000_30001_1,30000_30002_1,30000_30003_1</v>
      </c>
      <c r="O2724">
        <f>equip.xml!R2728</f>
        <v>1</v>
      </c>
    </row>
    <row r="2725" spans="1:15">
      <c r="A2725" s="14">
        <f>equip.xml!A2729</f>
        <v>50903066</v>
      </c>
      <c r="B2725" s="14">
        <f>equip.xml!B2729</f>
        <v>0</v>
      </c>
      <c r="C2725" s="14" t="str">
        <f>equip.xml!C2729</f>
        <v>星界之书</v>
      </c>
      <c r="D2725" s="14" t="str">
        <f>equip.xml!D2729</f>
        <v>副手武器</v>
      </c>
      <c r="E2725" s="14">
        <f>equip.xml!E2729</f>
        <v>6</v>
      </c>
      <c r="F2725" s="14">
        <f>equip.xml!F2729</f>
        <v>5</v>
      </c>
      <c r="G2725" s="14">
        <f>equip.xml!G2729</f>
        <v>90</v>
      </c>
      <c r="H2725" s="14" t="str">
        <f>equip.xml!H2729</f>
        <v>3,1003</v>
      </c>
      <c r="I2725" s="14">
        <f>equip.xml!J2729</f>
        <v>150</v>
      </c>
      <c r="J2725" s="14">
        <f>equip.xml!K2729</f>
        <v>1500</v>
      </c>
      <c r="K2725" s="14">
        <f>equip.xml!L2729</f>
        <v>50000</v>
      </c>
      <c r="L2725" s="14" t="str">
        <f>equip.xml!M2729</f>
        <v>102_4140_4140</v>
      </c>
      <c r="M2725" s="17" t="str">
        <f>equip.xml!Q2729</f>
        <v>equipment/2324.png</v>
      </c>
      <c r="N2725" s="16" t="str">
        <f>equip.xml!P2729</f>
        <v>10000_1002_70000,30000_30001_1,30000_30002_1,30000_30003_1</v>
      </c>
      <c r="O2725">
        <f>equip.xml!R2729</f>
        <v>1</v>
      </c>
    </row>
    <row r="2726" spans="1:15">
      <c r="A2726" s="14">
        <f>equip.xml!A2730</f>
        <v>50900045</v>
      </c>
      <c r="B2726" s="14">
        <f>equip.xml!B2730</f>
        <v>0</v>
      </c>
      <c r="C2726" s="14" t="str">
        <f>equip.xml!C2730</f>
        <v>坚毅胸甲</v>
      </c>
      <c r="D2726" s="14" t="str">
        <f>equip.xml!D2730</f>
        <v>胸甲</v>
      </c>
      <c r="E2726" s="14">
        <f>equip.xml!E2730</f>
        <v>4</v>
      </c>
      <c r="F2726" s="14">
        <f>equip.xml!F2730</f>
        <v>5</v>
      </c>
      <c r="G2726" s="14">
        <f>equip.xml!G2730</f>
        <v>90</v>
      </c>
      <c r="H2726" s="14">
        <f>equip.xml!H2730</f>
        <v>0</v>
      </c>
      <c r="I2726" s="14">
        <f>equip.xml!J2730</f>
        <v>150</v>
      </c>
      <c r="J2726" s="14">
        <f>equip.xml!K2730</f>
        <v>1500</v>
      </c>
      <c r="K2726" s="14">
        <f>equip.xml!L2730</f>
        <v>47500</v>
      </c>
      <c r="L2726" s="14" t="str">
        <f>equip.xml!M2730</f>
        <v>105_3447_3447</v>
      </c>
      <c r="M2726" s="17" t="str">
        <f>equip.xml!Q2730</f>
        <v>equipment/5024.png</v>
      </c>
      <c r="N2726" s="16" t="str">
        <f>equip.xml!P2730</f>
        <v>10000_1002_70000,30000_30001_1,30000_30002_1,30000_30003_1</v>
      </c>
      <c r="O2726">
        <f>equip.xml!R2730</f>
        <v>1</v>
      </c>
    </row>
    <row r="2727" spans="1:15">
      <c r="A2727" s="14">
        <f>equip.xml!A2731</f>
        <v>50900046</v>
      </c>
      <c r="B2727" s="14">
        <f>equip.xml!B2731</f>
        <v>0</v>
      </c>
      <c r="C2727" s="14" t="str">
        <f>equip.xml!C2731</f>
        <v>群山之拥</v>
      </c>
      <c r="D2727" s="14" t="str">
        <f>equip.xml!D2731</f>
        <v>胸甲</v>
      </c>
      <c r="E2727" s="14">
        <f>equip.xml!E2731</f>
        <v>4</v>
      </c>
      <c r="F2727" s="14">
        <f>equip.xml!F2731</f>
        <v>5</v>
      </c>
      <c r="G2727" s="14">
        <f>equip.xml!G2731</f>
        <v>90</v>
      </c>
      <c r="H2727" s="14">
        <f>equip.xml!H2731</f>
        <v>0</v>
      </c>
      <c r="I2727" s="14">
        <f>equip.xml!J2731</f>
        <v>150</v>
      </c>
      <c r="J2727" s="14">
        <f>equip.xml!K2731</f>
        <v>1500</v>
      </c>
      <c r="K2727" s="14">
        <f>equip.xml!L2731</f>
        <v>50000</v>
      </c>
      <c r="L2727" s="14" t="str">
        <f>equip.xml!M2731</f>
        <v>105_3603_3603</v>
      </c>
      <c r="M2727" s="17" t="str">
        <f>equip.xml!Q2731</f>
        <v>equipment/5001.png</v>
      </c>
      <c r="N2727" s="16" t="str">
        <f>equip.xml!P2731</f>
        <v>10000_1002_70000,30000_30001_1,30000_30002_1,30000_30003_1</v>
      </c>
      <c r="O2727">
        <f>equip.xml!R2731</f>
        <v>1</v>
      </c>
    </row>
    <row r="2728" spans="1:15">
      <c r="A2728" s="14">
        <f>equip.xml!A2732</f>
        <v>50900075</v>
      </c>
      <c r="B2728" s="14">
        <f>equip.xml!B2732</f>
        <v>0</v>
      </c>
      <c r="C2728" s="14" t="str">
        <f>equip.xml!C2732</f>
        <v>复苏护腿</v>
      </c>
      <c r="D2728" s="14" t="str">
        <f>equip.xml!D2732</f>
        <v>护腿</v>
      </c>
      <c r="E2728" s="14">
        <f>equip.xml!E2732</f>
        <v>7</v>
      </c>
      <c r="F2728" s="14">
        <f>equip.xml!F2732</f>
        <v>5</v>
      </c>
      <c r="G2728" s="14">
        <f>equip.xml!G2732</f>
        <v>90</v>
      </c>
      <c r="H2728" s="14">
        <f>equip.xml!H2732</f>
        <v>0</v>
      </c>
      <c r="I2728" s="14">
        <f>equip.xml!J2732</f>
        <v>150</v>
      </c>
      <c r="J2728" s="14">
        <f>equip.xml!K2732</f>
        <v>1500</v>
      </c>
      <c r="K2728" s="14">
        <f>equip.xml!L2732</f>
        <v>47500</v>
      </c>
      <c r="L2728" s="14" t="str">
        <f>equip.xml!M2732</f>
        <v>105_3447_3447</v>
      </c>
      <c r="M2728" s="17" t="str">
        <f>equip.xml!Q2732</f>
        <v>equipment/7016.png</v>
      </c>
      <c r="N2728" s="16" t="str">
        <f>equip.xml!P2732</f>
        <v>10000_1002_70000,30000_30001_1,30000_30002_1,30000_30003_1</v>
      </c>
      <c r="O2728">
        <f>equip.xml!R2732</f>
        <v>1</v>
      </c>
    </row>
    <row r="2729" spans="1:15">
      <c r="A2729" s="14">
        <f>equip.xml!A2733</f>
        <v>50900076</v>
      </c>
      <c r="B2729" s="14">
        <f>equip.xml!B2733</f>
        <v>0</v>
      </c>
      <c r="C2729" s="14" t="str">
        <f>equip.xml!C2733</f>
        <v>虔信腿甲</v>
      </c>
      <c r="D2729" s="14" t="str">
        <f>equip.xml!D2733</f>
        <v>护腿</v>
      </c>
      <c r="E2729" s="14">
        <f>equip.xml!E2733</f>
        <v>7</v>
      </c>
      <c r="F2729" s="14">
        <f>equip.xml!F2733</f>
        <v>5</v>
      </c>
      <c r="G2729" s="14">
        <f>equip.xml!G2733</f>
        <v>90</v>
      </c>
      <c r="H2729" s="14">
        <f>equip.xml!H2733</f>
        <v>0</v>
      </c>
      <c r="I2729" s="14">
        <f>equip.xml!J2733</f>
        <v>150</v>
      </c>
      <c r="J2729" s="14">
        <f>equip.xml!K2733</f>
        <v>1500</v>
      </c>
      <c r="K2729" s="14">
        <f>equip.xml!L2733</f>
        <v>50000</v>
      </c>
      <c r="L2729" s="14" t="str">
        <f>equip.xml!M2733</f>
        <v>105_3603_3603</v>
      </c>
      <c r="M2729" s="17" t="str">
        <f>equip.xml!Q2733</f>
        <v>equipment/7001.png</v>
      </c>
      <c r="N2729" s="16" t="str">
        <f>equip.xml!P2733</f>
        <v>10000_1002_70000,30000_30001_1,30000_30002_1,30000_30003_1</v>
      </c>
      <c r="O2729">
        <f>equip.xml!R2733</f>
        <v>1</v>
      </c>
    </row>
    <row r="2730" spans="1:15">
      <c r="A2730" s="14">
        <f>equip.xml!A2734</f>
        <v>50950015</v>
      </c>
      <c r="B2730" s="14">
        <f>equip.xml!B2734</f>
        <v>0</v>
      </c>
      <c r="C2730" s="14" t="str">
        <f>equip.xml!C2734</f>
        <v>魂铸头盔</v>
      </c>
      <c r="D2730" s="14" t="str">
        <f>equip.xml!D2734</f>
        <v>头盔</v>
      </c>
      <c r="E2730" s="14">
        <f>equip.xml!E2734</f>
        <v>1</v>
      </c>
      <c r="F2730" s="14">
        <f>equip.xml!F2734</f>
        <v>5</v>
      </c>
      <c r="G2730" s="14">
        <f>equip.xml!G2734</f>
        <v>95</v>
      </c>
      <c r="H2730" s="14">
        <f>equip.xml!H2734</f>
        <v>0</v>
      </c>
      <c r="I2730" s="14">
        <f>equip.xml!J2734</f>
        <v>150</v>
      </c>
      <c r="J2730" s="14">
        <f>equip.xml!K2734</f>
        <v>1500</v>
      </c>
      <c r="K2730" s="14">
        <f>equip.xml!L2734</f>
        <v>50000</v>
      </c>
      <c r="L2730" s="14" t="str">
        <f>equip.xml!M2734</f>
        <v>106_5346_5346</v>
      </c>
      <c r="M2730" s="17" t="str">
        <f>equip.xml!Q2734</f>
        <v>equipment/3001.png</v>
      </c>
      <c r="N2730" s="16" t="str">
        <f>equip.xml!P2734</f>
        <v>10000_1002_70000,30000_30001_1,30000_30002_1,30000_30003_1</v>
      </c>
      <c r="O2730">
        <f>equip.xml!R2734</f>
        <v>1</v>
      </c>
    </row>
    <row r="2731" spans="1:15">
      <c r="A2731" s="14">
        <f>equip.xml!A2735</f>
        <v>50950025</v>
      </c>
      <c r="B2731" s="14">
        <f>equip.xml!B2735</f>
        <v>0</v>
      </c>
      <c r="C2731" s="14" t="str">
        <f>equip.xml!C2735</f>
        <v>云霄之环</v>
      </c>
      <c r="D2731" s="14" t="str">
        <f>equip.xml!D2735</f>
        <v>戒指</v>
      </c>
      <c r="E2731" s="14">
        <f>equip.xml!E2735</f>
        <v>2</v>
      </c>
      <c r="F2731" s="14">
        <f>equip.xml!F2735</f>
        <v>5</v>
      </c>
      <c r="G2731" s="14">
        <f>equip.xml!G2735</f>
        <v>95</v>
      </c>
      <c r="H2731" s="14">
        <f>equip.xml!H2735</f>
        <v>0</v>
      </c>
      <c r="I2731" s="14">
        <f>equip.xml!J2735</f>
        <v>150</v>
      </c>
      <c r="J2731" s="14">
        <f>equip.xml!K2735</f>
        <v>1500</v>
      </c>
      <c r="K2731" s="14">
        <f>equip.xml!L2735</f>
        <v>50000</v>
      </c>
      <c r="L2731" s="14" t="str">
        <f>equip.xml!M2735</f>
        <v>102_2240_2240</v>
      </c>
      <c r="M2731" s="17" t="str">
        <f>equip.xml!Q2735</f>
        <v>equipment/14001.png</v>
      </c>
      <c r="N2731" s="16" t="str">
        <f>equip.xml!P2735</f>
        <v>10000_1002_70000,30000_30001_1,30000_30002_1,30000_30003_1</v>
      </c>
      <c r="O2731">
        <f>equip.xml!R2735</f>
        <v>1</v>
      </c>
    </row>
    <row r="2732" spans="1:15">
      <c r="A2732" s="14">
        <f>equip.xml!A2736</f>
        <v>50950035</v>
      </c>
      <c r="B2732" s="14">
        <f>equip.xml!B2736</f>
        <v>0</v>
      </c>
      <c r="C2732" s="14" t="str">
        <f>equip.xml!C2736</f>
        <v>破天者腰带</v>
      </c>
      <c r="D2732" s="14" t="str">
        <f>equip.xml!D2736</f>
        <v>腰带</v>
      </c>
      <c r="E2732" s="14">
        <f>equip.xml!E2736</f>
        <v>3</v>
      </c>
      <c r="F2732" s="14">
        <f>equip.xml!F2736</f>
        <v>5</v>
      </c>
      <c r="G2732" s="14">
        <f>equip.xml!G2736</f>
        <v>95</v>
      </c>
      <c r="H2732" s="14">
        <f>equip.xml!H2736</f>
        <v>0</v>
      </c>
      <c r="I2732" s="14">
        <f>equip.xml!J2736</f>
        <v>150</v>
      </c>
      <c r="J2732" s="14">
        <f>equip.xml!K2736</f>
        <v>1500</v>
      </c>
      <c r="K2732" s="14">
        <f>equip.xml!L2736</f>
        <v>50000</v>
      </c>
      <c r="L2732" s="14" t="str">
        <f>equip.xml!M2736</f>
        <v>101_32760_32760</v>
      </c>
      <c r="M2732" s="17" t="str">
        <f>equip.xml!Q2736</f>
        <v>equipment/6001.png</v>
      </c>
      <c r="N2732" s="16" t="str">
        <f>equip.xml!P2736</f>
        <v>10000_1002_70000,30000_30001_1,30000_30002_1,30000_30003_1</v>
      </c>
      <c r="O2732">
        <f>equip.xml!R2736</f>
        <v>1</v>
      </c>
    </row>
    <row r="2733" spans="1:15">
      <c r="A2733" s="14">
        <f>equip.xml!A2737</f>
        <v>50950085</v>
      </c>
      <c r="B2733" s="14">
        <f>equip.xml!B2737</f>
        <v>0</v>
      </c>
      <c r="C2733" s="14" t="str">
        <f>equip.xml!C2737</f>
        <v>圣洁怒火之靴</v>
      </c>
      <c r="D2733" s="14" t="str">
        <f>equip.xml!D2737</f>
        <v>鞋子</v>
      </c>
      <c r="E2733" s="14">
        <f>equip.xml!E2737</f>
        <v>8</v>
      </c>
      <c r="F2733" s="14">
        <f>equip.xml!F2737</f>
        <v>5</v>
      </c>
      <c r="G2733" s="14">
        <f>equip.xml!G2737</f>
        <v>95</v>
      </c>
      <c r="H2733" s="14">
        <f>equip.xml!H2737</f>
        <v>0</v>
      </c>
      <c r="I2733" s="14">
        <f>equip.xml!J2737</f>
        <v>150</v>
      </c>
      <c r="J2733" s="14">
        <f>equip.xml!K2737</f>
        <v>1500</v>
      </c>
      <c r="K2733" s="14">
        <f>equip.xml!L2737</f>
        <v>50000</v>
      </c>
      <c r="L2733" s="14" t="str">
        <f>equip.xml!M2737</f>
        <v>110_786_786</v>
      </c>
      <c r="M2733" s="17" t="str">
        <f>equip.xml!Q2737</f>
        <v>equipment/8001.png</v>
      </c>
      <c r="N2733" s="16" t="str">
        <f>equip.xml!P2737</f>
        <v>10000_1002_70000,30000_30001_1,30000_30002_1,30000_30003_1</v>
      </c>
      <c r="O2733">
        <f>equip.xml!R2737</f>
        <v>1</v>
      </c>
    </row>
    <row r="2734" spans="1:15">
      <c r="A2734" s="14">
        <f>equip.xml!A2738</f>
        <v>50950095</v>
      </c>
      <c r="B2734" s="14">
        <f>equip.xml!B2738</f>
        <v>0</v>
      </c>
      <c r="C2734" s="14" t="str">
        <f>equip.xml!C2738</f>
        <v>破灭之手</v>
      </c>
      <c r="D2734" s="14" t="str">
        <f>equip.xml!D2738</f>
        <v>手套</v>
      </c>
      <c r="E2734" s="14">
        <f>equip.xml!E2738</f>
        <v>9</v>
      </c>
      <c r="F2734" s="14">
        <f>equip.xml!F2738</f>
        <v>5</v>
      </c>
      <c r="G2734" s="14">
        <f>equip.xml!G2738</f>
        <v>95</v>
      </c>
      <c r="H2734" s="14">
        <f>equip.xml!H2738</f>
        <v>0</v>
      </c>
      <c r="I2734" s="14">
        <f>equip.xml!J2738</f>
        <v>150</v>
      </c>
      <c r="J2734" s="14">
        <f>equip.xml!K2738</f>
        <v>1500</v>
      </c>
      <c r="K2734" s="14">
        <f>equip.xml!L2738</f>
        <v>50000</v>
      </c>
      <c r="L2734" s="14" t="str">
        <f>equip.xml!M2738</f>
        <v>108_6853_6853</v>
      </c>
      <c r="M2734" s="17" t="str">
        <f>equip.xml!Q2738</f>
        <v>equipment/10001.png</v>
      </c>
      <c r="N2734" s="16" t="str">
        <f>equip.xml!P2738</f>
        <v>10000_1002_70000,30000_30001_1,30000_30002_1,30000_30003_1</v>
      </c>
      <c r="O2734">
        <f>equip.xml!R2738</f>
        <v>1</v>
      </c>
    </row>
    <row r="2735" spans="1:15">
      <c r="A2735" s="14">
        <f>equip.xml!A2739</f>
        <v>50950105</v>
      </c>
      <c r="B2735" s="14">
        <f>equip.xml!B2739</f>
        <v>0</v>
      </c>
      <c r="C2735" s="14" t="str">
        <f>equip.xml!C2739</f>
        <v>圣灵之佑</v>
      </c>
      <c r="D2735" s="14" t="str">
        <f>equip.xml!D2739</f>
        <v>项链</v>
      </c>
      <c r="E2735" s="14">
        <f>equip.xml!E2739</f>
        <v>10</v>
      </c>
      <c r="F2735" s="14">
        <f>equip.xml!F2739</f>
        <v>5</v>
      </c>
      <c r="G2735" s="14">
        <f>equip.xml!G2739</f>
        <v>95</v>
      </c>
      <c r="H2735" s="14">
        <f>equip.xml!H2739</f>
        <v>0</v>
      </c>
      <c r="I2735" s="14">
        <f>equip.xml!J2739</f>
        <v>150</v>
      </c>
      <c r="J2735" s="14">
        <f>equip.xml!K2739</f>
        <v>1500</v>
      </c>
      <c r="K2735" s="14">
        <f>equip.xml!L2739</f>
        <v>50000</v>
      </c>
      <c r="L2735" s="14" t="str">
        <f>equip.xml!M2739</f>
        <v>107_5346_5346</v>
      </c>
      <c r="M2735" s="17" t="str">
        <f>equip.xml!Q2739</f>
        <v>equipment/12001.png</v>
      </c>
      <c r="N2735" s="16" t="str">
        <f>equip.xml!P2739</f>
        <v>10000_1002_70000,30000_30001_1,30000_30002_1,30000_30003_1</v>
      </c>
      <c r="O2735">
        <f>equip.xml!R2739</f>
        <v>1</v>
      </c>
    </row>
    <row r="2736" spans="1:15">
      <c r="A2736" s="14">
        <f>equip.xml!A2740</f>
        <v>50951055</v>
      </c>
      <c r="B2736" s="14">
        <f>equip.xml!B2740</f>
        <v>0</v>
      </c>
      <c r="C2736" s="14" t="str">
        <f>equip.xml!C2740</f>
        <v>云颠之剑</v>
      </c>
      <c r="D2736" s="14" t="str">
        <f>equip.xml!D2740</f>
        <v>主手武器</v>
      </c>
      <c r="E2736" s="14">
        <f>equip.xml!E2740</f>
        <v>5</v>
      </c>
      <c r="F2736" s="14">
        <f>equip.xml!F2740</f>
        <v>5</v>
      </c>
      <c r="G2736" s="14">
        <f>equip.xml!G2740</f>
        <v>95</v>
      </c>
      <c r="H2736" s="14" t="str">
        <f>equip.xml!H2740</f>
        <v>1,1001</v>
      </c>
      <c r="I2736" s="14">
        <f>equip.xml!J2740</f>
        <v>150</v>
      </c>
      <c r="J2736" s="14">
        <f>equip.xml!K2740</f>
        <v>1500</v>
      </c>
      <c r="K2736" s="14">
        <f>equip.xml!L2740</f>
        <v>50000</v>
      </c>
      <c r="L2736" s="14" t="str">
        <f>equip.xml!M2740</f>
        <v>103_6091_6091,104_12182_12182</v>
      </c>
      <c r="M2736" s="17" t="str">
        <f>equip.xml!Q2740</f>
        <v>equipment/1124.png</v>
      </c>
      <c r="N2736" s="16" t="str">
        <f>equip.xml!P2740</f>
        <v>10000_1002_70000,30000_30001_1,30000_30002_1,30000_30003_1</v>
      </c>
      <c r="O2736">
        <f>equip.xml!R2740</f>
        <v>1</v>
      </c>
    </row>
    <row r="2737" spans="1:15">
      <c r="A2737" s="14">
        <f>equip.xml!A2741</f>
        <v>50951056</v>
      </c>
      <c r="B2737" s="14">
        <f>equip.xml!B2741</f>
        <v>0</v>
      </c>
      <c r="C2737" s="14" t="str">
        <f>equip.xml!C2741</f>
        <v>血色黎明</v>
      </c>
      <c r="D2737" s="14" t="str">
        <f>equip.xml!D2741</f>
        <v>主手武器</v>
      </c>
      <c r="E2737" s="14">
        <f>equip.xml!E2741</f>
        <v>5</v>
      </c>
      <c r="F2737" s="14">
        <f>equip.xml!F2741</f>
        <v>5</v>
      </c>
      <c r="G2737" s="14">
        <f>equip.xml!G2741</f>
        <v>95</v>
      </c>
      <c r="H2737" s="14" t="str">
        <f>equip.xml!H2741</f>
        <v>1,1001</v>
      </c>
      <c r="I2737" s="14">
        <f>equip.xml!J2741</f>
        <v>150</v>
      </c>
      <c r="J2737" s="14">
        <f>equip.xml!K2741</f>
        <v>1500</v>
      </c>
      <c r="K2737" s="14">
        <f>equip.xml!L2741</f>
        <v>52500</v>
      </c>
      <c r="L2737" s="14" t="str">
        <f>equip.xml!M2741</f>
        <v>103_6352_6352,104_12705_12705</v>
      </c>
      <c r="M2737" s="17" t="str">
        <f>equip.xml!Q2741</f>
        <v>equipment/1101.png</v>
      </c>
      <c r="N2737" s="16" t="str">
        <f>equip.xml!P2741</f>
        <v>10000_1002_70000,30000_30001_1,30000_30002_1,30000_30003_1</v>
      </c>
      <c r="O2737">
        <f>equip.xml!R2741</f>
        <v>1</v>
      </c>
    </row>
    <row r="2738" spans="1:15">
      <c r="A2738" s="14">
        <f>equip.xml!A2742</f>
        <v>50951065</v>
      </c>
      <c r="B2738" s="14">
        <f>equip.xml!B2742</f>
        <v>0</v>
      </c>
      <c r="C2738" s="14" t="str">
        <f>equip.xml!C2742</f>
        <v>荣耀壁垒</v>
      </c>
      <c r="D2738" s="14" t="str">
        <f>equip.xml!D2742</f>
        <v>副手武器</v>
      </c>
      <c r="E2738" s="14">
        <f>equip.xml!E2742</f>
        <v>6</v>
      </c>
      <c r="F2738" s="14">
        <f>equip.xml!F2742</f>
        <v>5</v>
      </c>
      <c r="G2738" s="14">
        <f>equip.xml!G2742</f>
        <v>95</v>
      </c>
      <c r="H2738" s="14" t="str">
        <f>equip.xml!H2742</f>
        <v>1,1001</v>
      </c>
      <c r="I2738" s="14">
        <f>equip.xml!J2742</f>
        <v>150</v>
      </c>
      <c r="J2738" s="14">
        <f>equip.xml!K2742</f>
        <v>1500</v>
      </c>
      <c r="K2738" s="14">
        <f>equip.xml!L2742</f>
        <v>50000</v>
      </c>
      <c r="L2738" s="14" t="str">
        <f>equip.xml!M2742</f>
        <v>105_5482_5482</v>
      </c>
      <c r="M2738" s="17" t="str">
        <f>equip.xml!Q2742</f>
        <v>equipment/2118.png</v>
      </c>
      <c r="N2738" s="16" t="str">
        <f>equip.xml!P2742</f>
        <v>10000_1002_70000,30000_30001_1,30000_30002_1,30000_30003_1</v>
      </c>
      <c r="O2738">
        <f>equip.xml!R2742</f>
        <v>1</v>
      </c>
    </row>
    <row r="2739" spans="1:15">
      <c r="A2739" s="14">
        <f>equip.xml!A2743</f>
        <v>50951066</v>
      </c>
      <c r="B2739" s="14">
        <f>equip.xml!B2743</f>
        <v>0</v>
      </c>
      <c r="C2739" s="14" t="str">
        <f>equip.xml!C2743</f>
        <v>曙光之盾</v>
      </c>
      <c r="D2739" s="14" t="str">
        <f>equip.xml!D2743</f>
        <v>副手武器</v>
      </c>
      <c r="E2739" s="14">
        <f>equip.xml!E2743</f>
        <v>6</v>
      </c>
      <c r="F2739" s="14">
        <f>equip.xml!F2743</f>
        <v>5</v>
      </c>
      <c r="G2739" s="14">
        <f>equip.xml!G2743</f>
        <v>95</v>
      </c>
      <c r="H2739" s="14" t="str">
        <f>equip.xml!H2743</f>
        <v>1,1001</v>
      </c>
      <c r="I2739" s="14">
        <f>equip.xml!J2743</f>
        <v>150</v>
      </c>
      <c r="J2739" s="14">
        <f>equip.xml!K2743</f>
        <v>1500</v>
      </c>
      <c r="K2739" s="14">
        <f>equip.xml!L2743</f>
        <v>52500</v>
      </c>
      <c r="L2739" s="14" t="str">
        <f>equip.xml!M2743</f>
        <v>105_5717_5717</v>
      </c>
      <c r="M2739" s="17" t="str">
        <f>equip.xml!Q2743</f>
        <v>equipment/2101.png</v>
      </c>
      <c r="N2739" s="16" t="str">
        <f>equip.xml!P2743</f>
        <v>10000_1002_70000,30000_30001_1,30000_30002_1,30000_30003_1</v>
      </c>
      <c r="O2739">
        <f>equip.xml!R2743</f>
        <v>1</v>
      </c>
    </row>
    <row r="2740" spans="1:15">
      <c r="A2740" s="14">
        <f>equip.xml!A2744</f>
        <v>50952055</v>
      </c>
      <c r="B2740" s="14">
        <f>equip.xml!B2744</f>
        <v>0</v>
      </c>
      <c r="C2740" s="14" t="str">
        <f>equip.xml!C2744</f>
        <v>灵魂之弦</v>
      </c>
      <c r="D2740" s="14" t="str">
        <f>equip.xml!D2744</f>
        <v>主手武器</v>
      </c>
      <c r="E2740" s="14">
        <f>equip.xml!E2744</f>
        <v>5</v>
      </c>
      <c r="F2740" s="14">
        <f>equip.xml!F2744</f>
        <v>5</v>
      </c>
      <c r="G2740" s="14">
        <f>equip.xml!G2744</f>
        <v>95</v>
      </c>
      <c r="H2740" s="14" t="str">
        <f>equip.xml!H2744</f>
        <v>2,1002</v>
      </c>
      <c r="I2740" s="14">
        <f>equip.xml!J2744</f>
        <v>150</v>
      </c>
      <c r="J2740" s="14">
        <f>equip.xml!K2744</f>
        <v>1500</v>
      </c>
      <c r="K2740" s="14">
        <f>equip.xml!L2744</f>
        <v>50000</v>
      </c>
      <c r="L2740" s="14" t="str">
        <f>equip.xml!M2744</f>
        <v>103_6091_6091,104_12182_12182</v>
      </c>
      <c r="M2740" s="17" t="str">
        <f>equip.xml!Q2744</f>
        <v>equipment/1222.png</v>
      </c>
      <c r="N2740" s="16" t="str">
        <f>equip.xml!P2744</f>
        <v>10000_1002_70000,30000_30001_1,30000_30002_1,30000_30003_1</v>
      </c>
      <c r="O2740">
        <f>equip.xml!R2744</f>
        <v>1</v>
      </c>
    </row>
    <row r="2741" spans="1:15">
      <c r="A2741" s="14">
        <f>equip.xml!A2745</f>
        <v>50952056</v>
      </c>
      <c r="B2741" s="14">
        <f>equip.xml!B2745</f>
        <v>0</v>
      </c>
      <c r="C2741" s="14" t="str">
        <f>equip.xml!C2745</f>
        <v>风暴凝视</v>
      </c>
      <c r="D2741" s="14" t="str">
        <f>equip.xml!D2745</f>
        <v>主手武器</v>
      </c>
      <c r="E2741" s="14">
        <f>equip.xml!E2745</f>
        <v>5</v>
      </c>
      <c r="F2741" s="14">
        <f>equip.xml!F2745</f>
        <v>5</v>
      </c>
      <c r="G2741" s="14">
        <f>equip.xml!G2745</f>
        <v>95</v>
      </c>
      <c r="H2741" s="14" t="str">
        <f>equip.xml!H2745</f>
        <v>2,1002</v>
      </c>
      <c r="I2741" s="14">
        <f>equip.xml!J2745</f>
        <v>150</v>
      </c>
      <c r="J2741" s="14">
        <f>equip.xml!K2745</f>
        <v>1500</v>
      </c>
      <c r="K2741" s="14">
        <f>equip.xml!L2745</f>
        <v>52500</v>
      </c>
      <c r="L2741" s="14" t="str">
        <f>equip.xml!M2745</f>
        <v>103_6352_6352,104_12705_12705</v>
      </c>
      <c r="M2741" s="17" t="str">
        <f>equip.xml!Q2745</f>
        <v>equipment/1201.png</v>
      </c>
      <c r="N2741" s="16" t="str">
        <f>equip.xml!P2745</f>
        <v>10000_1002_70000,30000_30001_1,30000_30002_1,30000_30003_1</v>
      </c>
      <c r="O2741">
        <f>equip.xml!R2745</f>
        <v>1</v>
      </c>
    </row>
    <row r="2742" spans="1:15">
      <c r="A2742" s="14">
        <f>equip.xml!A2746</f>
        <v>50952065</v>
      </c>
      <c r="B2742" s="14">
        <f>equip.xml!B2746</f>
        <v>0</v>
      </c>
      <c r="C2742" s="14" t="str">
        <f>equip.xml!C2746</f>
        <v>魂织箭袋</v>
      </c>
      <c r="D2742" s="14" t="str">
        <f>equip.xml!D2746</f>
        <v>副手武器</v>
      </c>
      <c r="E2742" s="14">
        <f>equip.xml!E2746</f>
        <v>6</v>
      </c>
      <c r="F2742" s="14">
        <f>equip.xml!F2746</f>
        <v>5</v>
      </c>
      <c r="G2742" s="14">
        <f>equip.xml!G2746</f>
        <v>95</v>
      </c>
      <c r="H2742" s="14" t="str">
        <f>equip.xml!H2746</f>
        <v>2,1002</v>
      </c>
      <c r="I2742" s="14">
        <f>equip.xml!J2746</f>
        <v>150</v>
      </c>
      <c r="J2742" s="14">
        <f>equip.xml!K2746</f>
        <v>1500</v>
      </c>
      <c r="K2742" s="14">
        <f>equip.xml!L2746</f>
        <v>50000</v>
      </c>
      <c r="L2742" s="14" t="str">
        <f>equip.xml!M2746</f>
        <v>108_5482_5482</v>
      </c>
      <c r="M2742" s="17" t="str">
        <f>equip.xml!Q2746</f>
        <v>equipment/2218.png</v>
      </c>
      <c r="N2742" s="16" t="str">
        <f>equip.xml!P2746</f>
        <v>10000_1002_70000,30000_30001_1,30000_30002_1,30000_30003_1</v>
      </c>
      <c r="O2742">
        <f>equip.xml!R2746</f>
        <v>1</v>
      </c>
    </row>
    <row r="2743" spans="1:15">
      <c r="A2743" s="14">
        <f>equip.xml!A2747</f>
        <v>50952066</v>
      </c>
      <c r="B2743" s="14">
        <f>equip.xml!B2747</f>
        <v>0</v>
      </c>
      <c r="C2743" s="14" t="str">
        <f>equip.xml!C2747</f>
        <v>闪电之矢</v>
      </c>
      <c r="D2743" s="14" t="str">
        <f>equip.xml!D2747</f>
        <v>副手武器</v>
      </c>
      <c r="E2743" s="14">
        <f>equip.xml!E2747</f>
        <v>6</v>
      </c>
      <c r="F2743" s="14">
        <f>equip.xml!F2747</f>
        <v>5</v>
      </c>
      <c r="G2743" s="14">
        <f>equip.xml!G2747</f>
        <v>95</v>
      </c>
      <c r="H2743" s="14" t="str">
        <f>equip.xml!H2747</f>
        <v>2,1002</v>
      </c>
      <c r="I2743" s="14">
        <f>equip.xml!J2747</f>
        <v>150</v>
      </c>
      <c r="J2743" s="14">
        <f>equip.xml!K2747</f>
        <v>1500</v>
      </c>
      <c r="K2743" s="14">
        <f>equip.xml!L2747</f>
        <v>52500</v>
      </c>
      <c r="L2743" s="14" t="str">
        <f>equip.xml!M2747</f>
        <v>108_5717_5717</v>
      </c>
      <c r="M2743" s="17" t="str">
        <f>equip.xml!Q2747</f>
        <v>equipment/2201.png</v>
      </c>
      <c r="N2743" s="16" t="str">
        <f>equip.xml!P2747</f>
        <v>10000_1002_70000,30000_30001_1,30000_30002_1,30000_30003_1</v>
      </c>
      <c r="O2743">
        <f>equip.xml!R2747</f>
        <v>1</v>
      </c>
    </row>
    <row r="2744" spans="1:15">
      <c r="A2744" s="14">
        <f>equip.xml!A2748</f>
        <v>50953055</v>
      </c>
      <c r="B2744" s="14">
        <f>equip.xml!B2748</f>
        <v>0</v>
      </c>
      <c r="C2744" s="14" t="str">
        <f>equip.xml!C2748</f>
        <v>歼灭之杖</v>
      </c>
      <c r="D2744" s="14" t="str">
        <f>equip.xml!D2748</f>
        <v>主手武器</v>
      </c>
      <c r="E2744" s="14">
        <f>equip.xml!E2748</f>
        <v>5</v>
      </c>
      <c r="F2744" s="14">
        <f>equip.xml!F2748</f>
        <v>5</v>
      </c>
      <c r="G2744" s="14">
        <f>equip.xml!G2748</f>
        <v>95</v>
      </c>
      <c r="H2744" s="14" t="str">
        <f>equip.xml!H2748</f>
        <v>3,1003</v>
      </c>
      <c r="I2744" s="14">
        <f>equip.xml!J2748</f>
        <v>150</v>
      </c>
      <c r="J2744" s="14">
        <f>equip.xml!K2748</f>
        <v>1500</v>
      </c>
      <c r="K2744" s="14">
        <f>equip.xml!L2748</f>
        <v>50000</v>
      </c>
      <c r="L2744" s="14" t="str">
        <f>equip.xml!M2748</f>
        <v>103_6091_6091,104_12182_12182</v>
      </c>
      <c r="M2744" s="17" t="str">
        <f>equip.xml!Q2748</f>
        <v>equipment/1324.png</v>
      </c>
      <c r="N2744" s="16" t="str">
        <f>equip.xml!P2748</f>
        <v>10000_1002_70000,30000_30001_1,30000_30002_1,30000_30003_1</v>
      </c>
      <c r="O2744">
        <f>equip.xml!R2748</f>
        <v>1</v>
      </c>
    </row>
    <row r="2745" spans="1:15">
      <c r="A2745" s="14">
        <f>equip.xml!A2749</f>
        <v>50953056</v>
      </c>
      <c r="B2745" s="14">
        <f>equip.xml!B2749</f>
        <v>0</v>
      </c>
      <c r="C2745" s="14" t="str">
        <f>equip.xml!C2749</f>
        <v>末日降临</v>
      </c>
      <c r="D2745" s="14" t="str">
        <f>equip.xml!D2749</f>
        <v>主手武器</v>
      </c>
      <c r="E2745" s="14">
        <f>equip.xml!E2749</f>
        <v>5</v>
      </c>
      <c r="F2745" s="14">
        <f>equip.xml!F2749</f>
        <v>5</v>
      </c>
      <c r="G2745" s="14">
        <f>equip.xml!G2749</f>
        <v>95</v>
      </c>
      <c r="H2745" s="14" t="str">
        <f>equip.xml!H2749</f>
        <v>3,1003</v>
      </c>
      <c r="I2745" s="14">
        <f>equip.xml!J2749</f>
        <v>150</v>
      </c>
      <c r="J2745" s="14">
        <f>equip.xml!K2749</f>
        <v>1500</v>
      </c>
      <c r="K2745" s="14">
        <f>equip.xml!L2749</f>
        <v>52500</v>
      </c>
      <c r="L2745" s="14" t="str">
        <f>equip.xml!M2749</f>
        <v>103_6352_6352,104_12705_12705</v>
      </c>
      <c r="M2745" s="17" t="str">
        <f>equip.xml!Q2749</f>
        <v>equipment/1301.png</v>
      </c>
      <c r="N2745" s="16" t="str">
        <f>equip.xml!P2749</f>
        <v>10000_1002_70000,30000_30001_1,30000_30002_1,30000_30003_1</v>
      </c>
      <c r="O2745">
        <f>equip.xml!R2749</f>
        <v>1</v>
      </c>
    </row>
    <row r="2746" spans="1:15">
      <c r="A2746" s="14">
        <f>equip.xml!A2750</f>
        <v>50953065</v>
      </c>
      <c r="B2746" s="14">
        <f>equip.xml!B2750</f>
        <v>0</v>
      </c>
      <c r="C2746" s="14" t="str">
        <f>equip.xml!C2750</f>
        <v>聚能魔典</v>
      </c>
      <c r="D2746" s="14" t="str">
        <f>equip.xml!D2750</f>
        <v>副手武器</v>
      </c>
      <c r="E2746" s="14">
        <f>equip.xml!E2750</f>
        <v>6</v>
      </c>
      <c r="F2746" s="14">
        <f>equip.xml!F2750</f>
        <v>5</v>
      </c>
      <c r="G2746" s="14">
        <f>equip.xml!G2750</f>
        <v>95</v>
      </c>
      <c r="H2746" s="14" t="str">
        <f>equip.xml!H2750</f>
        <v>3,1003</v>
      </c>
      <c r="I2746" s="14">
        <f>equip.xml!J2750</f>
        <v>150</v>
      </c>
      <c r="J2746" s="14">
        <f>equip.xml!K2750</f>
        <v>1500</v>
      </c>
      <c r="K2746" s="14">
        <f>equip.xml!L2750</f>
        <v>50000</v>
      </c>
      <c r="L2746" s="14" t="str">
        <f>equip.xml!M2750</f>
        <v>102_4280_4280</v>
      </c>
      <c r="M2746" s="17" t="str">
        <f>equip.xml!Q2750</f>
        <v>equipment/2318.png</v>
      </c>
      <c r="N2746" s="16" t="str">
        <f>equip.xml!P2750</f>
        <v>10000_1002_70000,30000_30001_1,30000_30002_1,30000_30003_1</v>
      </c>
      <c r="O2746">
        <f>equip.xml!R2750</f>
        <v>1</v>
      </c>
    </row>
    <row r="2747" spans="1:15">
      <c r="A2747" s="14">
        <f>equip.xml!A2751</f>
        <v>50953066</v>
      </c>
      <c r="B2747" s="14">
        <f>equip.xml!B2751</f>
        <v>0</v>
      </c>
      <c r="C2747" s="14" t="str">
        <f>equip.xml!C2751</f>
        <v>启示圣典</v>
      </c>
      <c r="D2747" s="14" t="str">
        <f>equip.xml!D2751</f>
        <v>副手武器</v>
      </c>
      <c r="E2747" s="14">
        <f>equip.xml!E2751</f>
        <v>6</v>
      </c>
      <c r="F2747" s="14">
        <f>equip.xml!F2751</f>
        <v>5</v>
      </c>
      <c r="G2747" s="14">
        <f>equip.xml!G2751</f>
        <v>95</v>
      </c>
      <c r="H2747" s="14" t="str">
        <f>equip.xml!H2751</f>
        <v>3,1003</v>
      </c>
      <c r="I2747" s="14">
        <f>equip.xml!J2751</f>
        <v>150</v>
      </c>
      <c r="J2747" s="14">
        <f>equip.xml!K2751</f>
        <v>1500</v>
      </c>
      <c r="K2747" s="14">
        <f>equip.xml!L2751</f>
        <v>52500</v>
      </c>
      <c r="L2747" s="14" t="str">
        <f>equip.xml!M2751</f>
        <v>102_4390_4390</v>
      </c>
      <c r="M2747" s="17" t="str">
        <f>equip.xml!Q2751</f>
        <v>equipment/2301.png</v>
      </c>
      <c r="N2747" s="16" t="str">
        <f>equip.xml!P2751</f>
        <v>10000_1002_70000,30000_30001_1,30000_30002_1,30000_30003_1</v>
      </c>
      <c r="O2747">
        <f>equip.xml!R2751</f>
        <v>1</v>
      </c>
    </row>
    <row r="2748" spans="1:15">
      <c r="A2748" s="14">
        <f>equip.xml!A2752</f>
        <v>50950045</v>
      </c>
      <c r="B2748" s="14">
        <f>equip.xml!B2752</f>
        <v>0</v>
      </c>
      <c r="C2748" s="14" t="str">
        <f>equip.xml!C2752</f>
        <v>湮没胸甲</v>
      </c>
      <c r="D2748" s="14" t="str">
        <f>equip.xml!D2752</f>
        <v>胸甲</v>
      </c>
      <c r="E2748" s="14">
        <f>equip.xml!E2752</f>
        <v>4</v>
      </c>
      <c r="F2748" s="14">
        <f>equip.xml!F2752</f>
        <v>5</v>
      </c>
      <c r="G2748" s="14">
        <f>equip.xml!G2752</f>
        <v>95</v>
      </c>
      <c r="H2748" s="14">
        <f>equip.xml!H2752</f>
        <v>0</v>
      </c>
      <c r="I2748" s="14">
        <f>equip.xml!J2752</f>
        <v>150</v>
      </c>
      <c r="J2748" s="14">
        <f>equip.xml!K2752</f>
        <v>1500</v>
      </c>
      <c r="K2748" s="14">
        <f>equip.xml!L2752</f>
        <v>50000</v>
      </c>
      <c r="L2748" s="14" t="str">
        <f>equip.xml!M2752</f>
        <v>105_3837_3837</v>
      </c>
      <c r="M2748" s="17" t="str">
        <f>equip.xml!Q2752</f>
        <v>equipment/5001.png</v>
      </c>
      <c r="N2748" s="16" t="str">
        <f>equip.xml!P2752</f>
        <v>10000_1002_70000,30000_30001_1,30000_30002_1,30000_30003_1</v>
      </c>
      <c r="O2748">
        <f>equip.xml!R2752</f>
        <v>1</v>
      </c>
    </row>
    <row r="2749" spans="1:15">
      <c r="A2749" s="14">
        <f>equip.xml!A2753</f>
        <v>50950046</v>
      </c>
      <c r="B2749" s="14">
        <f>equip.xml!B2753</f>
        <v>0</v>
      </c>
      <c r="C2749" s="14" t="str">
        <f>equip.xml!C2753</f>
        <v>诸王战铠</v>
      </c>
      <c r="D2749" s="14" t="str">
        <f>equip.xml!D2753</f>
        <v>胸甲</v>
      </c>
      <c r="E2749" s="14">
        <f>equip.xml!E2753</f>
        <v>4</v>
      </c>
      <c r="F2749" s="14">
        <f>equip.xml!F2753</f>
        <v>5</v>
      </c>
      <c r="G2749" s="14">
        <f>equip.xml!G2753</f>
        <v>95</v>
      </c>
      <c r="H2749" s="14">
        <f>equip.xml!H2753</f>
        <v>0</v>
      </c>
      <c r="I2749" s="14">
        <f>equip.xml!J2753</f>
        <v>150</v>
      </c>
      <c r="J2749" s="14">
        <f>equip.xml!K2753</f>
        <v>1500</v>
      </c>
      <c r="K2749" s="14">
        <f>equip.xml!L2753</f>
        <v>52500</v>
      </c>
      <c r="L2749" s="14" t="str">
        <f>equip.xml!M2753</f>
        <v>105_4002_4002</v>
      </c>
      <c r="M2749" s="17" t="str">
        <f>equip.xml!Q2753</f>
        <v>equipment/5001.png</v>
      </c>
      <c r="N2749" s="16" t="str">
        <f>equip.xml!P2753</f>
        <v>10000_1002_70000,30000_30001_1,30000_30002_1,30000_30003_1</v>
      </c>
      <c r="O2749">
        <f>equip.xml!R2753</f>
        <v>1</v>
      </c>
    </row>
    <row r="2750" spans="1:15">
      <c r="A2750" s="14">
        <f>equip.xml!A2754</f>
        <v>50950075</v>
      </c>
      <c r="B2750" s="14">
        <f>equip.xml!B2754</f>
        <v>0</v>
      </c>
      <c r="C2750" s="14" t="str">
        <f>equip.xml!C2754</f>
        <v>魂卫护腿</v>
      </c>
      <c r="D2750" s="14" t="str">
        <f>equip.xml!D2754</f>
        <v>护腿</v>
      </c>
      <c r="E2750" s="14">
        <f>equip.xml!E2754</f>
        <v>7</v>
      </c>
      <c r="F2750" s="14">
        <f>equip.xml!F2754</f>
        <v>5</v>
      </c>
      <c r="G2750" s="14">
        <f>equip.xml!G2754</f>
        <v>95</v>
      </c>
      <c r="H2750" s="14">
        <f>equip.xml!H2754</f>
        <v>0</v>
      </c>
      <c r="I2750" s="14">
        <f>equip.xml!J2754</f>
        <v>150</v>
      </c>
      <c r="J2750" s="14">
        <f>equip.xml!K2754</f>
        <v>1500</v>
      </c>
      <c r="K2750" s="14">
        <f>equip.xml!L2754</f>
        <v>50000</v>
      </c>
      <c r="L2750" s="14" t="str">
        <f>equip.xml!M2754</f>
        <v>105_3837_3837</v>
      </c>
      <c r="M2750" s="17" t="str">
        <f>equip.xml!Q2754</f>
        <v>equipment/7001.png</v>
      </c>
      <c r="N2750" s="16" t="str">
        <f>equip.xml!P2754</f>
        <v>10000_1002_70000,30000_30001_1,30000_30002_1,30000_30003_1</v>
      </c>
      <c r="O2750">
        <f>equip.xml!R2754</f>
        <v>1</v>
      </c>
    </row>
    <row r="2751" spans="1:15">
      <c r="A2751" s="14">
        <f>equip.xml!A2755</f>
        <v>50950076</v>
      </c>
      <c r="B2751" s="14">
        <f>equip.xml!B2755</f>
        <v>0</v>
      </c>
      <c r="C2751" s="14" t="str">
        <f>equip.xml!C2755</f>
        <v>不朽护腿</v>
      </c>
      <c r="D2751" s="14" t="str">
        <f>equip.xml!D2755</f>
        <v>护腿</v>
      </c>
      <c r="E2751" s="14">
        <f>equip.xml!E2755</f>
        <v>7</v>
      </c>
      <c r="F2751" s="14">
        <f>equip.xml!F2755</f>
        <v>5</v>
      </c>
      <c r="G2751" s="14">
        <f>equip.xml!G2755</f>
        <v>95</v>
      </c>
      <c r="H2751" s="14">
        <f>equip.xml!H2755</f>
        <v>0</v>
      </c>
      <c r="I2751" s="14">
        <f>equip.xml!J2755</f>
        <v>150</v>
      </c>
      <c r="J2751" s="14">
        <f>equip.xml!K2755</f>
        <v>1500</v>
      </c>
      <c r="K2751" s="14">
        <f>equip.xml!L2755</f>
        <v>52500</v>
      </c>
      <c r="L2751" s="14" t="str">
        <f>equip.xml!M2755</f>
        <v>105_4002_4002</v>
      </c>
      <c r="M2751" s="17" t="str">
        <f>equip.xml!Q2755</f>
        <v>equipment/7001.png</v>
      </c>
      <c r="N2751" s="16" t="str">
        <f>equip.xml!P2755</f>
        <v>10000_1002_70000,30000_30001_1,30000_30002_1,30000_30003_1</v>
      </c>
      <c r="O2751">
        <f>equip.xml!R2755</f>
        <v>1</v>
      </c>
    </row>
    <row r="2752" spans="1:15">
      <c r="A2752" s="14">
        <f>equip.xml!A2756</f>
        <v>51000015</v>
      </c>
      <c r="B2752" s="14">
        <f>equip.xml!B2756</f>
        <v>0</v>
      </c>
      <c r="C2752" s="14" t="str">
        <f>equip.xml!C2756</f>
        <v>天灾统领</v>
      </c>
      <c r="D2752" s="14" t="str">
        <f>equip.xml!D2756</f>
        <v>头盔</v>
      </c>
      <c r="E2752" s="14">
        <f>equip.xml!E2756</f>
        <v>1</v>
      </c>
      <c r="F2752" s="14">
        <f>equip.xml!F2756</f>
        <v>5</v>
      </c>
      <c r="G2752" s="14">
        <f>equip.xml!G2756</f>
        <v>100</v>
      </c>
      <c r="H2752" s="14">
        <f>equip.xml!H2756</f>
        <v>0</v>
      </c>
      <c r="I2752" s="14">
        <f>equip.xml!J2756</f>
        <v>150</v>
      </c>
      <c r="J2752" s="14">
        <f>equip.xml!K2756</f>
        <v>1500</v>
      </c>
      <c r="K2752" s="14">
        <f>equip.xml!L2756</f>
        <v>52500</v>
      </c>
      <c r="L2752" s="14" t="str">
        <f>equip.xml!M2756</f>
        <v>106_6460_6460</v>
      </c>
      <c r="M2752" s="17" t="str">
        <f>equip.xml!Q2756</f>
        <v>equipment/3001.png</v>
      </c>
      <c r="N2752" s="16" t="str">
        <f>equip.xml!P2756</f>
        <v>10000_1002_70000,30000_30001_1,30000_30002_1,30000_30003_1</v>
      </c>
      <c r="O2752">
        <f>equip.xml!R2756</f>
        <v>1</v>
      </c>
    </row>
    <row r="2753" spans="1:15">
      <c r="A2753" s="14">
        <f>equip.xml!A2757</f>
        <v>51000025</v>
      </c>
      <c r="B2753" s="14">
        <f>equip.xml!B2757</f>
        <v>0</v>
      </c>
      <c r="C2753" s="14" t="str">
        <f>equip.xml!C2757</f>
        <v>镇魂挽歌</v>
      </c>
      <c r="D2753" s="14" t="str">
        <f>equip.xml!D2757</f>
        <v>戒指</v>
      </c>
      <c r="E2753" s="14">
        <f>equip.xml!E2757</f>
        <v>2</v>
      </c>
      <c r="F2753" s="14">
        <f>equip.xml!F2757</f>
        <v>5</v>
      </c>
      <c r="G2753" s="14">
        <f>equip.xml!G2757</f>
        <v>100</v>
      </c>
      <c r="H2753" s="14">
        <f>equip.xml!H2757</f>
        <v>0</v>
      </c>
      <c r="I2753" s="14">
        <f>equip.xml!J2757</f>
        <v>150</v>
      </c>
      <c r="J2753" s="14">
        <f>equip.xml!K2757</f>
        <v>1500</v>
      </c>
      <c r="K2753" s="14">
        <f>equip.xml!L2757</f>
        <v>52500</v>
      </c>
      <c r="L2753" s="14" t="str">
        <f>equip.xml!M2757</f>
        <v>102_2360_2360</v>
      </c>
      <c r="M2753" s="17" t="str">
        <f>equip.xml!Q2757</f>
        <v>equipment/14001.png</v>
      </c>
      <c r="N2753" s="16" t="str">
        <f>equip.xml!P2757</f>
        <v>10000_1002_70000,30000_30001_1,30000_30002_1,30000_30003_1</v>
      </c>
      <c r="O2753">
        <f>equip.xml!R2757</f>
        <v>1</v>
      </c>
    </row>
    <row r="2754" spans="1:15">
      <c r="A2754" s="14">
        <f>equip.xml!A2758</f>
        <v>51000035</v>
      </c>
      <c r="B2754" s="14">
        <f>equip.xml!B2758</f>
        <v>0</v>
      </c>
      <c r="C2754" s="14" t="str">
        <f>equip.xml!C2758</f>
        <v>雷霆护腰</v>
      </c>
      <c r="D2754" s="14" t="str">
        <f>equip.xml!D2758</f>
        <v>腰带</v>
      </c>
      <c r="E2754" s="14">
        <f>equip.xml!E2758</f>
        <v>3</v>
      </c>
      <c r="F2754" s="14">
        <f>equip.xml!F2758</f>
        <v>5</v>
      </c>
      <c r="G2754" s="14">
        <f>equip.xml!G2758</f>
        <v>100</v>
      </c>
      <c r="H2754" s="14">
        <f>equip.xml!H2758</f>
        <v>0</v>
      </c>
      <c r="I2754" s="14">
        <f>equip.xml!J2758</f>
        <v>150</v>
      </c>
      <c r="J2754" s="14">
        <f>equip.xml!K2758</f>
        <v>1500</v>
      </c>
      <c r="K2754" s="14">
        <f>equip.xml!L2758</f>
        <v>52500</v>
      </c>
      <c r="L2754" s="14" t="str">
        <f>equip.xml!M2758</f>
        <v>101_36120_36120</v>
      </c>
      <c r="M2754" s="17" t="str">
        <f>equip.xml!Q2758</f>
        <v>equipment/6001.png</v>
      </c>
      <c r="N2754" s="16" t="str">
        <f>equip.xml!P2758</f>
        <v>10000_1002_70000,30000_30001_1,30000_30002_1,30000_30003_1</v>
      </c>
      <c r="O2754">
        <f>equip.xml!R2758</f>
        <v>1</v>
      </c>
    </row>
    <row r="2755" spans="1:15">
      <c r="A2755" s="14">
        <f>equip.xml!A2759</f>
        <v>51000085</v>
      </c>
      <c r="B2755" s="14">
        <f>equip.xml!B2759</f>
        <v>0</v>
      </c>
      <c r="C2755" s="14" t="str">
        <f>equip.xml!C2759</f>
        <v>星旅之靴</v>
      </c>
      <c r="D2755" s="14" t="str">
        <f>equip.xml!D2759</f>
        <v>鞋子</v>
      </c>
      <c r="E2755" s="14">
        <f>equip.xml!E2759</f>
        <v>8</v>
      </c>
      <c r="F2755" s="14">
        <f>equip.xml!F2759</f>
        <v>5</v>
      </c>
      <c r="G2755" s="14">
        <f>equip.xml!G2759</f>
        <v>100</v>
      </c>
      <c r="H2755" s="14">
        <f>equip.xml!H2759</f>
        <v>0</v>
      </c>
      <c r="I2755" s="14">
        <f>equip.xml!J2759</f>
        <v>150</v>
      </c>
      <c r="J2755" s="14">
        <f>equip.xml!K2759</f>
        <v>1500</v>
      </c>
      <c r="K2755" s="14">
        <f>equip.xml!L2759</f>
        <v>52500</v>
      </c>
      <c r="L2755" s="14" t="str">
        <f>equip.xml!M2759</f>
        <v>110_871_871</v>
      </c>
      <c r="M2755" s="17" t="str">
        <f>equip.xml!Q2759</f>
        <v>equipment/8001.png</v>
      </c>
      <c r="N2755" s="16" t="str">
        <f>equip.xml!P2759</f>
        <v>10000_1002_70000,30000_30001_1,30000_30002_1,30000_30003_1</v>
      </c>
      <c r="O2755">
        <f>equip.xml!R2759</f>
        <v>1</v>
      </c>
    </row>
    <row r="2756" spans="1:15">
      <c r="A2756" s="14">
        <f>equip.xml!A2760</f>
        <v>51000095</v>
      </c>
      <c r="B2756" s="14">
        <f>equip.xml!B2760</f>
        <v>0</v>
      </c>
      <c r="C2756" s="14" t="str">
        <f>equip.xml!C2760</f>
        <v>泰坦之拳</v>
      </c>
      <c r="D2756" s="14" t="str">
        <f>equip.xml!D2760</f>
        <v>手套</v>
      </c>
      <c r="E2756" s="14">
        <f>equip.xml!E2760</f>
        <v>9</v>
      </c>
      <c r="F2756" s="14">
        <f>equip.xml!F2760</f>
        <v>5</v>
      </c>
      <c r="G2756" s="14">
        <f>equip.xml!G2760</f>
        <v>100</v>
      </c>
      <c r="H2756" s="14">
        <f>equip.xml!H2760</f>
        <v>0</v>
      </c>
      <c r="I2756" s="14">
        <f>equip.xml!J2760</f>
        <v>150</v>
      </c>
      <c r="J2756" s="14">
        <f>equip.xml!K2760</f>
        <v>1500</v>
      </c>
      <c r="K2756" s="14">
        <f>equip.xml!L2760</f>
        <v>52500</v>
      </c>
      <c r="L2756" s="14" t="str">
        <f>equip.xml!M2760</f>
        <v>108_7588_7588</v>
      </c>
      <c r="M2756" s="17" t="str">
        <f>equip.xml!Q2760</f>
        <v>equipment/10001.png</v>
      </c>
      <c r="N2756" s="16" t="str">
        <f>equip.xml!P2760</f>
        <v>10000_1002_70000,30000_30001_1,30000_30002_1,30000_30003_1</v>
      </c>
      <c r="O2756">
        <f>equip.xml!R2760</f>
        <v>1</v>
      </c>
    </row>
    <row r="2757" spans="1:15">
      <c r="A2757" s="14">
        <f>equip.xml!A2761</f>
        <v>51000105</v>
      </c>
      <c r="B2757" s="14">
        <f>equip.xml!B2761</f>
        <v>0</v>
      </c>
      <c r="C2757" s="14" t="str">
        <f>equip.xml!C2761</f>
        <v>永志不渝</v>
      </c>
      <c r="D2757" s="14" t="str">
        <f>equip.xml!D2761</f>
        <v>项链</v>
      </c>
      <c r="E2757" s="14">
        <f>equip.xml!E2761</f>
        <v>10</v>
      </c>
      <c r="F2757" s="14">
        <f>equip.xml!F2761</f>
        <v>5</v>
      </c>
      <c r="G2757" s="14">
        <f>equip.xml!G2761</f>
        <v>100</v>
      </c>
      <c r="H2757" s="14">
        <f>equip.xml!H2761</f>
        <v>0</v>
      </c>
      <c r="I2757" s="14">
        <f>equip.xml!J2761</f>
        <v>150</v>
      </c>
      <c r="J2757" s="14">
        <f>equip.xml!K2761</f>
        <v>1500</v>
      </c>
      <c r="K2757" s="14">
        <f>equip.xml!L2761</f>
        <v>52500</v>
      </c>
      <c r="L2757" s="14" t="str">
        <f>equip.xml!M2761</f>
        <v>107_6460_6460</v>
      </c>
      <c r="M2757" s="17" t="str">
        <f>equip.xml!Q2761</f>
        <v>equipment/12001.png</v>
      </c>
      <c r="N2757" s="16" t="str">
        <f>equip.xml!P2761</f>
        <v>10000_1002_70000,30000_30001_1,30000_30002_1,30000_30003_1</v>
      </c>
      <c r="O2757">
        <f>equip.xml!R2761</f>
        <v>1</v>
      </c>
    </row>
    <row r="2758" spans="1:15">
      <c r="A2758" s="14">
        <f>equip.xml!A2762</f>
        <v>51001055</v>
      </c>
      <c r="B2758" s="14">
        <f>equip.xml!B2762</f>
        <v>0</v>
      </c>
      <c r="C2758" s="14" t="str">
        <f>equip.xml!C2762</f>
        <v>毁天灭地</v>
      </c>
      <c r="D2758" s="14" t="str">
        <f>equip.xml!D2762</f>
        <v>主手武器</v>
      </c>
      <c r="E2758" s="14">
        <f>equip.xml!E2762</f>
        <v>5</v>
      </c>
      <c r="F2758" s="14">
        <f>equip.xml!F2762</f>
        <v>5</v>
      </c>
      <c r="G2758" s="14">
        <f>equip.xml!G2762</f>
        <v>100</v>
      </c>
      <c r="H2758" s="14" t="str">
        <f>equip.xml!H2762</f>
        <v>1,1001</v>
      </c>
      <c r="I2758" s="14">
        <f>equip.xml!J2762</f>
        <v>150</v>
      </c>
      <c r="J2758" s="14">
        <f>equip.xml!K2762</f>
        <v>1500</v>
      </c>
      <c r="K2758" s="14">
        <f>equip.xml!L2762</f>
        <v>52500</v>
      </c>
      <c r="L2758" s="14" t="str">
        <f>equip.xml!M2762</f>
        <v>103_6744_6744,104_13489_13489</v>
      </c>
      <c r="M2758" s="17" t="str">
        <f>equip.xml!Q2762</f>
        <v>equipment/1124.png</v>
      </c>
      <c r="N2758" s="16" t="str">
        <f>equip.xml!P2762</f>
        <v>10000_1002_70000,30000_30001_1,30000_30002_1,30000_30003_1</v>
      </c>
      <c r="O2758">
        <f>equip.xml!R2762</f>
        <v>1</v>
      </c>
    </row>
    <row r="2759" spans="1:15">
      <c r="A2759" s="14">
        <f>equip.xml!A2763</f>
        <v>51001056</v>
      </c>
      <c r="B2759" s="14">
        <f>equip.xml!B2763</f>
        <v>0</v>
      </c>
      <c r="C2759" s="14" t="str">
        <f>equip.xml!C2763</f>
        <v>灰烬使者</v>
      </c>
      <c r="D2759" s="14" t="str">
        <f>equip.xml!D2763</f>
        <v>主手武器</v>
      </c>
      <c r="E2759" s="14">
        <f>equip.xml!E2763</f>
        <v>5</v>
      </c>
      <c r="F2759" s="14">
        <f>equip.xml!F2763</f>
        <v>5</v>
      </c>
      <c r="G2759" s="14">
        <f>equip.xml!G2763</f>
        <v>100</v>
      </c>
      <c r="H2759" s="14" t="str">
        <f>equip.xml!H2763</f>
        <v>1,1001</v>
      </c>
      <c r="I2759" s="14">
        <f>equip.xml!J2763</f>
        <v>150</v>
      </c>
      <c r="J2759" s="14">
        <f>equip.xml!K2763</f>
        <v>1500</v>
      </c>
      <c r="K2759" s="14">
        <f>equip.xml!L2763</f>
        <v>55000</v>
      </c>
      <c r="L2759" s="14" t="str">
        <f>equip.xml!M2763</f>
        <v>103_0_0</v>
      </c>
      <c r="M2759" s="17" t="str">
        <f>equip.xml!Q2763</f>
        <v>equipment/1101.png</v>
      </c>
      <c r="N2759" s="16" t="str">
        <f>equip.xml!P2763</f>
        <v>10000_1002_70000,30000_30001_1,30000_30002_1,30000_30003_1</v>
      </c>
      <c r="O2759">
        <f>equip.xml!R2763</f>
        <v>1</v>
      </c>
    </row>
    <row r="2760" spans="1:15">
      <c r="A2760" s="14">
        <f>equip.xml!A2764</f>
        <v>51001065</v>
      </c>
      <c r="B2760" s="14">
        <f>equip.xml!B2764</f>
        <v>0</v>
      </c>
      <c r="C2760" s="14" t="str">
        <f>equip.xml!C2764</f>
        <v>叹息之墙</v>
      </c>
      <c r="D2760" s="14" t="str">
        <f>equip.xml!D2764</f>
        <v>副手武器</v>
      </c>
      <c r="E2760" s="14">
        <f>equip.xml!E2764</f>
        <v>6</v>
      </c>
      <c r="F2760" s="14">
        <f>equip.xml!F2764</f>
        <v>5</v>
      </c>
      <c r="G2760" s="14">
        <f>equip.xml!G2764</f>
        <v>100</v>
      </c>
      <c r="H2760" s="14" t="str">
        <f>equip.xml!H2764</f>
        <v>1,1001</v>
      </c>
      <c r="I2760" s="14">
        <f>equip.xml!J2764</f>
        <v>150</v>
      </c>
      <c r="J2760" s="14">
        <f>equip.xml!K2764</f>
        <v>1500</v>
      </c>
      <c r="K2760" s="14">
        <f>equip.xml!L2764</f>
        <v>52500</v>
      </c>
      <c r="L2760" s="14" t="str">
        <f>equip.xml!M2764</f>
        <v>105_6070_6070</v>
      </c>
      <c r="M2760" s="17" t="str">
        <f>equip.xml!Q2764</f>
        <v>equipment/2118.png</v>
      </c>
      <c r="N2760" s="16" t="str">
        <f>equip.xml!P2764</f>
        <v>10000_1002_70000,30000_30001_1,30000_30002_1,30000_30003_1</v>
      </c>
      <c r="O2760">
        <f>equip.xml!R2764</f>
        <v>1</v>
      </c>
    </row>
    <row r="2761" spans="1:15">
      <c r="A2761" s="14">
        <f>equip.xml!A2765</f>
        <v>51001066</v>
      </c>
      <c r="B2761" s="14">
        <f>equip.xml!B2765</f>
        <v>0</v>
      </c>
      <c r="C2761" s="14" t="str">
        <f>equip.xml!C2765</f>
        <v>叹息之墙</v>
      </c>
      <c r="D2761" s="14" t="str">
        <f>equip.xml!D2765</f>
        <v>副手武器</v>
      </c>
      <c r="E2761" s="14">
        <f>equip.xml!E2765</f>
        <v>6</v>
      </c>
      <c r="F2761" s="14">
        <f>equip.xml!F2765</f>
        <v>5</v>
      </c>
      <c r="G2761" s="14">
        <f>equip.xml!G2765</f>
        <v>100</v>
      </c>
      <c r="H2761" s="14" t="str">
        <f>equip.xml!H2765</f>
        <v>1,1001</v>
      </c>
      <c r="I2761" s="14">
        <f>equip.xml!J2765</f>
        <v>150</v>
      </c>
      <c r="J2761" s="14">
        <f>equip.xml!K2765</f>
        <v>1500</v>
      </c>
      <c r="K2761" s="14">
        <f>equip.xml!L2765</f>
        <v>55000</v>
      </c>
      <c r="L2761" s="14" t="str">
        <f>equip.xml!M2765</f>
        <v>105_0_0</v>
      </c>
      <c r="M2761" s="17" t="str">
        <f>equip.xml!Q2765</f>
        <v>equipment/2101.png</v>
      </c>
      <c r="N2761" s="16" t="str">
        <f>equip.xml!P2765</f>
        <v>10000_1002_70000,30000_30001_1,30000_30002_1,30000_30003_1</v>
      </c>
      <c r="O2761">
        <f>equip.xml!R2765</f>
        <v>1</v>
      </c>
    </row>
    <row r="2762" spans="1:15">
      <c r="A2762" s="14">
        <f>equip.xml!A2766</f>
        <v>51002055</v>
      </c>
      <c r="B2762" s="14">
        <f>equip.xml!B2766</f>
        <v>0</v>
      </c>
      <c r="C2762" s="14" t="str">
        <f>equip.xml!C2766</f>
        <v>苍穹怒火</v>
      </c>
      <c r="D2762" s="14" t="str">
        <f>equip.xml!D2766</f>
        <v>主手武器</v>
      </c>
      <c r="E2762" s="14">
        <f>equip.xml!E2766</f>
        <v>5</v>
      </c>
      <c r="F2762" s="14">
        <f>equip.xml!F2766</f>
        <v>5</v>
      </c>
      <c r="G2762" s="14">
        <f>equip.xml!G2766</f>
        <v>100</v>
      </c>
      <c r="H2762" s="14" t="str">
        <f>equip.xml!H2766</f>
        <v>2,1002</v>
      </c>
      <c r="I2762" s="14">
        <f>equip.xml!J2766</f>
        <v>150</v>
      </c>
      <c r="J2762" s="14">
        <f>equip.xml!K2766</f>
        <v>1500</v>
      </c>
      <c r="K2762" s="14">
        <f>equip.xml!L2766</f>
        <v>52500</v>
      </c>
      <c r="L2762" s="14" t="str">
        <f>equip.xml!M2766</f>
        <v>103_6744_6744,104_13489_13489</v>
      </c>
      <c r="M2762" s="17" t="str">
        <f>equip.xml!Q2766</f>
        <v>equipment/1222.png</v>
      </c>
      <c r="N2762" s="16" t="str">
        <f>equip.xml!P2766</f>
        <v>10000_1002_70000,30000_30001_1,30000_30002_1,30000_30003_1</v>
      </c>
      <c r="O2762">
        <f>equip.xml!R2766</f>
        <v>1</v>
      </c>
    </row>
    <row r="2763" spans="1:15">
      <c r="A2763" s="14">
        <f>equip.xml!A2767</f>
        <v>51002056</v>
      </c>
      <c r="B2763" s="14">
        <f>equip.xml!B2767</f>
        <v>0</v>
      </c>
      <c r="C2763" s="14" t="str">
        <f>equip.xml!C2767</f>
        <v>群星之怒</v>
      </c>
      <c r="D2763" s="14" t="str">
        <f>equip.xml!D2767</f>
        <v>主手武器</v>
      </c>
      <c r="E2763" s="14">
        <f>equip.xml!E2767</f>
        <v>5</v>
      </c>
      <c r="F2763" s="14">
        <f>equip.xml!F2767</f>
        <v>5</v>
      </c>
      <c r="G2763" s="14">
        <f>equip.xml!G2767</f>
        <v>100</v>
      </c>
      <c r="H2763" s="14" t="str">
        <f>equip.xml!H2767</f>
        <v>2,1002</v>
      </c>
      <c r="I2763" s="14">
        <f>equip.xml!J2767</f>
        <v>150</v>
      </c>
      <c r="J2763" s="14">
        <f>equip.xml!K2767</f>
        <v>1500</v>
      </c>
      <c r="K2763" s="14">
        <f>equip.xml!L2767</f>
        <v>55000</v>
      </c>
      <c r="L2763" s="14" t="str">
        <f>equip.xml!M2767</f>
        <v>103_0_0</v>
      </c>
      <c r="M2763" s="17" t="str">
        <f>equip.xml!Q2767</f>
        <v>equipment/1201.png</v>
      </c>
      <c r="N2763" s="16" t="str">
        <f>equip.xml!P2767</f>
        <v>10000_1002_70000,30000_30001_1,30000_30002_1,30000_30003_1</v>
      </c>
      <c r="O2763">
        <f>equip.xml!R2767</f>
        <v>1</v>
      </c>
    </row>
    <row r="2764" spans="1:15">
      <c r="A2764" s="14">
        <f>equip.xml!A2768</f>
        <v>51002065</v>
      </c>
      <c r="B2764" s="14">
        <f>equip.xml!B2768</f>
        <v>0</v>
      </c>
      <c r="C2764" s="14" t="str">
        <f>equip.xml!C2768</f>
        <v>天际之矢</v>
      </c>
      <c r="D2764" s="14" t="str">
        <f>equip.xml!D2768</f>
        <v>副手武器</v>
      </c>
      <c r="E2764" s="14">
        <f>equip.xml!E2768</f>
        <v>6</v>
      </c>
      <c r="F2764" s="14">
        <f>equip.xml!F2768</f>
        <v>5</v>
      </c>
      <c r="G2764" s="14">
        <f>equip.xml!G2768</f>
        <v>100</v>
      </c>
      <c r="H2764" s="14" t="str">
        <f>equip.xml!H2768</f>
        <v>2,1002</v>
      </c>
      <c r="I2764" s="14">
        <f>equip.xml!J2768</f>
        <v>150</v>
      </c>
      <c r="J2764" s="14">
        <f>equip.xml!K2768</f>
        <v>1500</v>
      </c>
      <c r="K2764" s="14">
        <f>equip.xml!L2768</f>
        <v>52500</v>
      </c>
      <c r="L2764" s="14" t="str">
        <f>equip.xml!M2768</f>
        <v>108_6070_6070</v>
      </c>
      <c r="M2764" s="17" t="str">
        <f>equip.xml!Q2768</f>
        <v>equipment/2218.png</v>
      </c>
      <c r="N2764" s="16" t="str">
        <f>equip.xml!P2768</f>
        <v>10000_1002_70000,30000_30001_1,30000_30002_1,30000_30003_1</v>
      </c>
      <c r="O2764">
        <f>equip.xml!R2768</f>
        <v>1</v>
      </c>
    </row>
    <row r="2765" spans="1:15">
      <c r="A2765" s="14">
        <f>equip.xml!A2769</f>
        <v>51002066</v>
      </c>
      <c r="B2765" s="14">
        <f>equip.xml!B2769</f>
        <v>0</v>
      </c>
      <c r="C2765" s="14" t="str">
        <f>equip.xml!C2769</f>
        <v>天际之矢</v>
      </c>
      <c r="D2765" s="14" t="str">
        <f>equip.xml!D2769</f>
        <v>副手武器</v>
      </c>
      <c r="E2765" s="14">
        <f>equip.xml!E2769</f>
        <v>6</v>
      </c>
      <c r="F2765" s="14">
        <f>equip.xml!F2769</f>
        <v>5</v>
      </c>
      <c r="G2765" s="14">
        <f>equip.xml!G2769</f>
        <v>100</v>
      </c>
      <c r="H2765" s="14" t="str">
        <f>equip.xml!H2769</f>
        <v>2,1002</v>
      </c>
      <c r="I2765" s="14">
        <f>equip.xml!J2769</f>
        <v>150</v>
      </c>
      <c r="J2765" s="14">
        <f>equip.xml!K2769</f>
        <v>1500</v>
      </c>
      <c r="K2765" s="14">
        <f>equip.xml!L2769</f>
        <v>55000</v>
      </c>
      <c r="L2765" s="14" t="str">
        <f>equip.xml!M2769</f>
        <v>108_0_0</v>
      </c>
      <c r="M2765" s="17" t="str">
        <f>equip.xml!Q2769</f>
        <v>equipment/2201.png</v>
      </c>
      <c r="N2765" s="16" t="str">
        <f>equip.xml!P2769</f>
        <v>10000_1002_70000,30000_30001_1,30000_30002_1,30000_30003_1</v>
      </c>
      <c r="O2765">
        <f>equip.xml!R2769</f>
        <v>1</v>
      </c>
    </row>
    <row r="2766" spans="1:15">
      <c r="A2766" s="14">
        <f>equip.xml!A2770</f>
        <v>51003055</v>
      </c>
      <c r="B2766" s="14">
        <f>equip.xml!B2770</f>
        <v>0</v>
      </c>
      <c r="C2766" s="14" t="str">
        <f>equip.xml!C2770</f>
        <v>混沌终幕</v>
      </c>
      <c r="D2766" s="14" t="str">
        <f>equip.xml!D2770</f>
        <v>主手武器</v>
      </c>
      <c r="E2766" s="14">
        <f>equip.xml!E2770</f>
        <v>5</v>
      </c>
      <c r="F2766" s="14">
        <f>equip.xml!F2770</f>
        <v>5</v>
      </c>
      <c r="G2766" s="14">
        <f>equip.xml!G2770</f>
        <v>100</v>
      </c>
      <c r="H2766" s="14" t="str">
        <f>equip.xml!H2770</f>
        <v>3,1003</v>
      </c>
      <c r="I2766" s="14">
        <f>equip.xml!J2770</f>
        <v>150</v>
      </c>
      <c r="J2766" s="14">
        <f>equip.xml!K2770</f>
        <v>1500</v>
      </c>
      <c r="K2766" s="14">
        <f>equip.xml!L2770</f>
        <v>52500</v>
      </c>
      <c r="L2766" s="14" t="str">
        <f>equip.xml!M2770</f>
        <v>103_6744_6744,104_13489_13489</v>
      </c>
      <c r="M2766" s="17" t="str">
        <f>equip.xml!Q2770</f>
        <v>equipment/1324.png</v>
      </c>
      <c r="N2766" s="16" t="str">
        <f>equip.xml!P2770</f>
        <v>10000_1002_70000,30000_30001_1,30000_30002_1,30000_30003_1</v>
      </c>
      <c r="O2766">
        <f>equip.xml!R2770</f>
        <v>1</v>
      </c>
    </row>
    <row r="2767" spans="1:15">
      <c r="A2767" s="14">
        <f>equip.xml!A2771</f>
        <v>51003056</v>
      </c>
      <c r="B2767" s="14">
        <f>equip.xml!B2771</f>
        <v>0</v>
      </c>
      <c r="C2767" s="14" t="str">
        <f>equip.xml!C2771</f>
        <v>埃提耶什，守护者的传说之杖</v>
      </c>
      <c r="D2767" s="14" t="str">
        <f>equip.xml!D2771</f>
        <v>主手武器</v>
      </c>
      <c r="E2767" s="14">
        <f>equip.xml!E2771</f>
        <v>5</v>
      </c>
      <c r="F2767" s="14">
        <f>equip.xml!F2771</f>
        <v>5</v>
      </c>
      <c r="G2767" s="14">
        <f>equip.xml!G2771</f>
        <v>100</v>
      </c>
      <c r="H2767" s="14" t="str">
        <f>equip.xml!H2771</f>
        <v>3,1003</v>
      </c>
      <c r="I2767" s="14">
        <f>equip.xml!J2771</f>
        <v>150</v>
      </c>
      <c r="J2767" s="14">
        <f>equip.xml!K2771</f>
        <v>1500</v>
      </c>
      <c r="K2767" s="14">
        <f>equip.xml!L2771</f>
        <v>55000</v>
      </c>
      <c r="L2767" s="14" t="str">
        <f>equip.xml!M2771</f>
        <v>103_0_0</v>
      </c>
      <c r="M2767" s="17" t="str">
        <f>equip.xml!Q2771</f>
        <v>equipment/1301.png</v>
      </c>
      <c r="N2767" s="16" t="str">
        <f>equip.xml!P2771</f>
        <v>10000_1002_70000,30000_30001_1,30000_30002_1,30000_30003_1</v>
      </c>
      <c r="O2767">
        <f>equip.xml!R2771</f>
        <v>1</v>
      </c>
    </row>
    <row r="2768" spans="1:15">
      <c r="A2768" s="14">
        <f>equip.xml!A2772</f>
        <v>51003065</v>
      </c>
      <c r="B2768" s="14">
        <f>equip.xml!B2772</f>
        <v>0</v>
      </c>
      <c r="C2768" s="14" t="str">
        <f>equip.xml!C2772</f>
        <v>决战之书</v>
      </c>
      <c r="D2768" s="14" t="str">
        <f>equip.xml!D2772</f>
        <v>副手武器</v>
      </c>
      <c r="E2768" s="14">
        <f>equip.xml!E2772</f>
        <v>6</v>
      </c>
      <c r="F2768" s="14">
        <f>equip.xml!F2772</f>
        <v>5</v>
      </c>
      <c r="G2768" s="14">
        <f>equip.xml!G2772</f>
        <v>100</v>
      </c>
      <c r="H2768" s="14" t="str">
        <f>equip.xml!H2772</f>
        <v>3,1003</v>
      </c>
      <c r="I2768" s="14">
        <f>equip.xml!J2772</f>
        <v>150</v>
      </c>
      <c r="J2768" s="14">
        <f>equip.xml!K2772</f>
        <v>1500</v>
      </c>
      <c r="K2768" s="14">
        <f>equip.xml!L2772</f>
        <v>52500</v>
      </c>
      <c r="L2768" s="14" t="str">
        <f>equip.xml!M2772</f>
        <v>102_4560_4560</v>
      </c>
      <c r="M2768" s="17" t="str">
        <f>equip.xml!Q2772</f>
        <v>equipment/2318.png</v>
      </c>
      <c r="N2768" s="16" t="str">
        <f>equip.xml!P2772</f>
        <v>10000_1002_70000,30000_30001_1,30000_30002_1,30000_30003_1</v>
      </c>
      <c r="O2768">
        <f>equip.xml!R2772</f>
        <v>1</v>
      </c>
    </row>
    <row r="2769" spans="1:15">
      <c r="A2769" s="14">
        <f>equip.xml!A2773</f>
        <v>51003066</v>
      </c>
      <c r="B2769" s="14">
        <f>equip.xml!B2773</f>
        <v>0</v>
      </c>
      <c r="C2769" s="14" t="str">
        <f>equip.xml!C2773</f>
        <v>诸界流声</v>
      </c>
      <c r="D2769" s="14" t="str">
        <f>equip.xml!D2773</f>
        <v>副手武器</v>
      </c>
      <c r="E2769" s="14">
        <f>equip.xml!E2773</f>
        <v>6</v>
      </c>
      <c r="F2769" s="14">
        <f>equip.xml!F2773</f>
        <v>5</v>
      </c>
      <c r="G2769" s="14">
        <f>equip.xml!G2773</f>
        <v>100</v>
      </c>
      <c r="H2769" s="14" t="str">
        <f>equip.xml!H2773</f>
        <v>3,1003</v>
      </c>
      <c r="I2769" s="14">
        <f>equip.xml!J2773</f>
        <v>150</v>
      </c>
      <c r="J2769" s="14">
        <f>equip.xml!K2773</f>
        <v>1500</v>
      </c>
      <c r="K2769" s="14">
        <f>equip.xml!L2773</f>
        <v>55000</v>
      </c>
      <c r="L2769" s="14" t="str">
        <f>equip.xml!M2773</f>
        <v>102_0_0</v>
      </c>
      <c r="M2769" s="17" t="str">
        <f>equip.xml!Q2773</f>
        <v>equipment/2301.png</v>
      </c>
      <c r="N2769" s="16" t="str">
        <f>equip.xml!P2773</f>
        <v>10000_1002_70000,30000_30001_1,30000_30002_1,30000_30003_1</v>
      </c>
      <c r="O2769">
        <f>equip.xml!R2773</f>
        <v>1</v>
      </c>
    </row>
    <row r="2770" spans="1:15">
      <c r="A2770" s="14">
        <f>equip.xml!A2774</f>
        <v>51000045</v>
      </c>
      <c r="B2770" s="14">
        <f>equip.xml!B2774</f>
        <v>0</v>
      </c>
      <c r="C2770" s="14" t="str">
        <f>equip.xml!C2774</f>
        <v>光明圣铠</v>
      </c>
      <c r="D2770" s="14" t="str">
        <f>equip.xml!D2774</f>
        <v>胸甲</v>
      </c>
      <c r="E2770" s="14">
        <f>equip.xml!E2774</f>
        <v>4</v>
      </c>
      <c r="F2770" s="14">
        <f>equip.xml!F2774</f>
        <v>5</v>
      </c>
      <c r="G2770" s="14">
        <f>equip.xml!G2774</f>
        <v>100</v>
      </c>
      <c r="H2770" s="14">
        <f>equip.xml!H2774</f>
        <v>0</v>
      </c>
      <c r="I2770" s="14">
        <f>equip.xml!J2774</f>
        <v>150</v>
      </c>
      <c r="J2770" s="14">
        <f>equip.xml!K2774</f>
        <v>1500</v>
      </c>
      <c r="K2770" s="14">
        <f>equip.xml!L2774</f>
        <v>52500</v>
      </c>
      <c r="L2770" s="14" t="str">
        <f>equip.xml!M2774</f>
        <v>105_4249_4249</v>
      </c>
      <c r="M2770" s="17" t="str">
        <f>equip.xml!Q2774</f>
        <v>equipment/5001.png</v>
      </c>
      <c r="N2770" s="16" t="str">
        <f>equip.xml!P2774</f>
        <v>10000_1002_70000,30000_30001_1,30000_30002_1,30000_30003_1</v>
      </c>
      <c r="O2770">
        <f>equip.xml!R2774</f>
        <v>1</v>
      </c>
    </row>
    <row r="2771" spans="1:15">
      <c r="A2771" s="14">
        <f>equip.xml!A2775</f>
        <v>51000046</v>
      </c>
      <c r="B2771" s="14">
        <f>equip.xml!B2775</f>
        <v>0</v>
      </c>
      <c r="C2771" s="14" t="str">
        <f>equip.xml!C2775</f>
        <v>碎界之铠</v>
      </c>
      <c r="D2771" s="14" t="str">
        <f>equip.xml!D2775</f>
        <v>胸甲</v>
      </c>
      <c r="E2771" s="14">
        <f>equip.xml!E2775</f>
        <v>4</v>
      </c>
      <c r="F2771" s="14">
        <f>equip.xml!F2775</f>
        <v>5</v>
      </c>
      <c r="G2771" s="14">
        <f>equip.xml!G2775</f>
        <v>100</v>
      </c>
      <c r="H2771" s="14">
        <f>equip.xml!H2775</f>
        <v>0</v>
      </c>
      <c r="I2771" s="14">
        <f>equip.xml!J2775</f>
        <v>150</v>
      </c>
      <c r="J2771" s="14">
        <f>equip.xml!K2775</f>
        <v>1500</v>
      </c>
      <c r="K2771" s="14">
        <f>equip.xml!L2775</f>
        <v>55000</v>
      </c>
      <c r="L2771" s="14" t="str">
        <f>equip.xml!M2775</f>
        <v>105_0_0</v>
      </c>
      <c r="M2771" s="17" t="str">
        <f>equip.xml!Q2775</f>
        <v>equipment/5001.png</v>
      </c>
      <c r="N2771" s="16" t="str">
        <f>equip.xml!P2775</f>
        <v>10000_1002_70000,30000_30001_1,30000_30002_1,30000_30003_1</v>
      </c>
      <c r="O2771">
        <f>equip.xml!R2775</f>
        <v>1</v>
      </c>
    </row>
    <row r="2772" spans="1:15">
      <c r="A2772" s="14">
        <f>equip.xml!A2776</f>
        <v>51000075</v>
      </c>
      <c r="B2772" s="14">
        <f>equip.xml!B2776</f>
        <v>0</v>
      </c>
      <c r="C2772" s="14" t="str">
        <f>equip.xml!C2776</f>
        <v>渡魂护腿</v>
      </c>
      <c r="D2772" s="14" t="str">
        <f>equip.xml!D2776</f>
        <v>护腿</v>
      </c>
      <c r="E2772" s="14">
        <f>equip.xml!E2776</f>
        <v>7</v>
      </c>
      <c r="F2772" s="14">
        <f>equip.xml!F2776</f>
        <v>5</v>
      </c>
      <c r="G2772" s="14">
        <f>equip.xml!G2776</f>
        <v>100</v>
      </c>
      <c r="H2772" s="14">
        <f>equip.xml!H2776</f>
        <v>0</v>
      </c>
      <c r="I2772" s="14">
        <f>equip.xml!J2776</f>
        <v>150</v>
      </c>
      <c r="J2772" s="14">
        <f>equip.xml!K2776</f>
        <v>1500</v>
      </c>
      <c r="K2772" s="14">
        <f>equip.xml!L2776</f>
        <v>52500</v>
      </c>
      <c r="L2772" s="14" t="str">
        <f>equip.xml!M2776</f>
        <v>105_4249_4249</v>
      </c>
      <c r="M2772" s="17" t="str">
        <f>equip.xml!Q2776</f>
        <v>equipment/7001.png</v>
      </c>
      <c r="N2772" s="16" t="str">
        <f>equip.xml!P2776</f>
        <v>10000_1002_70000,30000_30001_1,30000_30002_1,30000_30003_1</v>
      </c>
      <c r="O2772">
        <f>equip.xml!R2776</f>
        <v>1</v>
      </c>
    </row>
    <row r="2773" spans="1:15">
      <c r="A2773" s="14">
        <f>equip.xml!A2777</f>
        <v>51000076</v>
      </c>
      <c r="B2773" s="14">
        <f>equip.xml!B2777</f>
        <v>0</v>
      </c>
      <c r="C2773" s="14" t="str">
        <f>equip.xml!C2777</f>
        <v>涅磐腿甲</v>
      </c>
      <c r="D2773" s="14" t="str">
        <f>equip.xml!D2777</f>
        <v>护腿</v>
      </c>
      <c r="E2773" s="14">
        <f>equip.xml!E2777</f>
        <v>7</v>
      </c>
      <c r="F2773" s="14">
        <f>equip.xml!F2777</f>
        <v>5</v>
      </c>
      <c r="G2773" s="14">
        <f>equip.xml!G2777</f>
        <v>100</v>
      </c>
      <c r="H2773" s="14">
        <f>equip.xml!H2777</f>
        <v>0</v>
      </c>
      <c r="I2773" s="14">
        <f>equip.xml!J2777</f>
        <v>150</v>
      </c>
      <c r="J2773" s="14">
        <f>equip.xml!K2777</f>
        <v>1500</v>
      </c>
      <c r="K2773" s="14">
        <f>equip.xml!L2777</f>
        <v>55000</v>
      </c>
      <c r="L2773" s="14" t="str">
        <f>equip.xml!M2777</f>
        <v>105_0_0</v>
      </c>
      <c r="M2773" s="17" t="str">
        <f>equip.xml!Q2777</f>
        <v>equipment/7001.png</v>
      </c>
      <c r="N2773" s="16" t="str">
        <f>equip.xml!P2777</f>
        <v>10000_1002_70000,30000_30001_1,30000_30002_1,30000_30003_1</v>
      </c>
      <c r="O2773">
        <f>equip.xml!R2777</f>
        <v>1</v>
      </c>
    </row>
    <row r="2774" spans="1:15">
      <c r="A2774" s="14">
        <f>equip.xml!A2778</f>
        <v>50301052</v>
      </c>
      <c r="B2774" s="14">
        <f>equip.xml!B2778</f>
        <v>0</v>
      </c>
      <c r="C2774" s="14" t="str">
        <f>equip.xml!C2778</f>
        <v>炽热长剑</v>
      </c>
      <c r="D2774" s="14" t="str">
        <f>equip.xml!D2778</f>
        <v>主手武器</v>
      </c>
      <c r="E2774" s="14">
        <f>equip.xml!E2778</f>
        <v>5</v>
      </c>
      <c r="F2774" s="14">
        <f>equip.xml!F2778</f>
        <v>5</v>
      </c>
      <c r="G2774" s="14">
        <f>equip.xml!G2778</f>
        <v>30</v>
      </c>
      <c r="H2774" s="14" t="str">
        <f>equip.xml!H2778</f>
        <v>1,1001</v>
      </c>
      <c r="I2774" s="14">
        <f>equip.xml!J2778</f>
        <v>150</v>
      </c>
      <c r="J2774" s="14">
        <f>equip.xml!K2778</f>
        <v>5000</v>
      </c>
      <c r="K2774" s="14">
        <f>equip.xml!L2778</f>
        <v>17500</v>
      </c>
      <c r="L2774" s="14" t="str">
        <f>equip.xml!M2778</f>
        <v>103_275_275,104_550_550</v>
      </c>
      <c r="M2774" s="17" t="str">
        <f>equip.xml!Q2778</f>
        <v>equipment/1112.png</v>
      </c>
      <c r="N2774" s="16" t="str">
        <f>equip.xml!P2778</f>
        <v>10000_1002_30000,30000_30001_1,30000_30002_1,30000_30003_1</v>
      </c>
      <c r="O2774">
        <f>equip.xml!R2778</f>
        <v>0</v>
      </c>
    </row>
    <row r="2775" spans="1:15">
      <c r="A2775" s="14">
        <f>equip.xml!A2779</f>
        <v>50302052</v>
      </c>
      <c r="B2775" s="14">
        <f>equip.xml!B2779</f>
        <v>0</v>
      </c>
      <c r="C2775" s="14" t="str">
        <f>equip.xml!C2779</f>
        <v>红木长弓</v>
      </c>
      <c r="D2775" s="14" t="str">
        <f>equip.xml!D2779</f>
        <v>主手武器</v>
      </c>
      <c r="E2775" s="14">
        <f>equip.xml!E2779</f>
        <v>5</v>
      </c>
      <c r="F2775" s="14">
        <f>equip.xml!F2779</f>
        <v>5</v>
      </c>
      <c r="G2775" s="14">
        <f>equip.xml!G2779</f>
        <v>30</v>
      </c>
      <c r="H2775" s="14" t="str">
        <f>equip.xml!H2779</f>
        <v>2,1002</v>
      </c>
      <c r="I2775" s="14">
        <f>equip.xml!J2779</f>
        <v>150</v>
      </c>
      <c r="J2775" s="14">
        <f>equip.xml!K2779</f>
        <v>5000</v>
      </c>
      <c r="K2775" s="14">
        <f>equip.xml!L2779</f>
        <v>17500</v>
      </c>
      <c r="L2775" s="14" t="str">
        <f>equip.xml!M2779</f>
        <v>103_275_275,104_550_550</v>
      </c>
      <c r="M2775" s="17" t="str">
        <f>equip.xml!Q2779</f>
        <v>equipment/1211.png</v>
      </c>
      <c r="N2775" s="16" t="str">
        <f>equip.xml!P2779</f>
        <v>10000_1002_30000,30000_30001_1,30000_30002_1,30000_30003_1</v>
      </c>
      <c r="O2775">
        <f>equip.xml!R2779</f>
        <v>0</v>
      </c>
    </row>
    <row r="2776" spans="1:15">
      <c r="A2776" s="14">
        <f>equip.xml!A2780</f>
        <v>50303052</v>
      </c>
      <c r="B2776" s="14">
        <f>equip.xml!B2780</f>
        <v>0</v>
      </c>
      <c r="C2776" s="14" t="str">
        <f>equip.xml!C2780</f>
        <v>荒骨法杖</v>
      </c>
      <c r="D2776" s="14" t="str">
        <f>equip.xml!D2780</f>
        <v>主手武器</v>
      </c>
      <c r="E2776" s="14">
        <f>equip.xml!E2780</f>
        <v>5</v>
      </c>
      <c r="F2776" s="14">
        <f>equip.xml!F2780</f>
        <v>5</v>
      </c>
      <c r="G2776" s="14">
        <f>equip.xml!G2780</f>
        <v>30</v>
      </c>
      <c r="H2776" s="14" t="str">
        <f>equip.xml!H2780</f>
        <v>3,1003</v>
      </c>
      <c r="I2776" s="14">
        <f>equip.xml!J2780</f>
        <v>150</v>
      </c>
      <c r="J2776" s="14">
        <f>equip.xml!K2780</f>
        <v>5000</v>
      </c>
      <c r="K2776" s="14">
        <f>equip.xml!L2780</f>
        <v>17500</v>
      </c>
      <c r="L2776" s="14" t="str">
        <f>equip.xml!M2780</f>
        <v>103_275_275,104_550_550</v>
      </c>
      <c r="M2776" s="17" t="str">
        <f>equip.xml!Q2780</f>
        <v>equipment/1312.png</v>
      </c>
      <c r="N2776" s="16" t="str">
        <f>equip.xml!P2780</f>
        <v>10000_1002_30000,30000_30001_1,30000_30002_1,30000_30003_1</v>
      </c>
      <c r="O2776">
        <f>equip.xml!R2780</f>
        <v>0</v>
      </c>
    </row>
    <row r="2777" spans="1:15">
      <c r="A2777" s="14">
        <f>equip.xml!A2781</f>
        <v>50201052</v>
      </c>
      <c r="B2777" s="14">
        <f>equip.xml!B2781</f>
        <v>0</v>
      </c>
      <c r="C2777" s="14" t="str">
        <f>equip.xml!C2781</f>
        <v>勇者长剑</v>
      </c>
      <c r="D2777" s="14" t="str">
        <f>equip.xml!D2781</f>
        <v>主手武器</v>
      </c>
      <c r="E2777" s="14">
        <f>equip.xml!E2781</f>
        <v>5</v>
      </c>
      <c r="F2777" s="14">
        <f>equip.xml!F2781</f>
        <v>5</v>
      </c>
      <c r="G2777" s="14">
        <f>equip.xml!G2781</f>
        <v>20</v>
      </c>
      <c r="H2777" s="14" t="str">
        <f>equip.xml!H2781</f>
        <v>1,1001</v>
      </c>
      <c r="I2777" s="14">
        <f>equip.xml!J2781</f>
        <v>150</v>
      </c>
      <c r="J2777" s="14">
        <f>equip.xml!K2781</f>
        <v>5000</v>
      </c>
      <c r="K2777" s="14">
        <f>equip.xml!L2781</f>
        <v>12500</v>
      </c>
      <c r="L2777" s="14" t="str">
        <f>equip.xml!M2781</f>
        <v>103_113_113,104_226_226</v>
      </c>
      <c r="M2777" s="17" t="str">
        <f>equip.xml!Q2781</f>
        <v>equipment/1109.png</v>
      </c>
      <c r="N2777" s="16" t="str">
        <f>equip.xml!P2781</f>
        <v>10000_1002_20000,30000_30001_1,30000_30002_1,30000_30003_1</v>
      </c>
      <c r="O2777">
        <f>equip.xml!R2781</f>
        <v>0</v>
      </c>
    </row>
    <row r="2778" spans="1:15">
      <c r="A2778" s="14">
        <f>equip.xml!A2782</f>
        <v>50202052</v>
      </c>
      <c r="B2778" s="14">
        <f>equip.xml!B2782</f>
        <v>0</v>
      </c>
      <c r="C2778" s="14" t="str">
        <f>equip.xml!C2782</f>
        <v>护卫之弓</v>
      </c>
      <c r="D2778" s="14" t="str">
        <f>equip.xml!D2782</f>
        <v>主手武器</v>
      </c>
      <c r="E2778" s="14">
        <f>equip.xml!E2782</f>
        <v>5</v>
      </c>
      <c r="F2778" s="14">
        <f>equip.xml!F2782</f>
        <v>5</v>
      </c>
      <c r="G2778" s="14">
        <f>equip.xml!G2782</f>
        <v>20</v>
      </c>
      <c r="H2778" s="14" t="str">
        <f>equip.xml!H2782</f>
        <v>2,1002</v>
      </c>
      <c r="I2778" s="14">
        <f>equip.xml!J2782</f>
        <v>150</v>
      </c>
      <c r="J2778" s="14">
        <f>equip.xml!K2782</f>
        <v>5000</v>
      </c>
      <c r="K2778" s="14">
        <f>equip.xml!L2782</f>
        <v>12500</v>
      </c>
      <c r="L2778" s="14" t="str">
        <f>equip.xml!M2782</f>
        <v>103_113_113,104_226_226</v>
      </c>
      <c r="M2778" s="17" t="str">
        <f>equip.xml!Q2782</f>
        <v>equipment/1209.png</v>
      </c>
      <c r="N2778" s="16" t="str">
        <f>equip.xml!P2782</f>
        <v>10000_1002_20000,30000_30001_1,30000_30002_1,30000_30003_1</v>
      </c>
      <c r="O2778">
        <f>equip.xml!R2782</f>
        <v>0</v>
      </c>
    </row>
    <row r="2779" spans="1:15">
      <c r="A2779" s="14">
        <f>equip.xml!A2783</f>
        <v>50203052</v>
      </c>
      <c r="B2779" s="14">
        <f>equip.xml!B2783</f>
        <v>0</v>
      </c>
      <c r="C2779" s="14" t="str">
        <f>equip.xml!C2783</f>
        <v>保护法杖</v>
      </c>
      <c r="D2779" s="14" t="str">
        <f>equip.xml!D2783</f>
        <v>主手武器</v>
      </c>
      <c r="E2779" s="14">
        <f>equip.xml!E2783</f>
        <v>5</v>
      </c>
      <c r="F2779" s="14">
        <f>equip.xml!F2783</f>
        <v>5</v>
      </c>
      <c r="G2779" s="14">
        <f>equip.xml!G2783</f>
        <v>20</v>
      </c>
      <c r="H2779" s="14" t="str">
        <f>equip.xml!H2783</f>
        <v>3,1003</v>
      </c>
      <c r="I2779" s="14">
        <f>equip.xml!J2783</f>
        <v>150</v>
      </c>
      <c r="J2779" s="14">
        <f>equip.xml!K2783</f>
        <v>5000</v>
      </c>
      <c r="K2779" s="14">
        <f>equip.xml!L2783</f>
        <v>12500</v>
      </c>
      <c r="L2779" s="14" t="str">
        <f>equip.xml!M2783</f>
        <v>103_113_113,104_226_226</v>
      </c>
      <c r="M2779" s="17" t="str">
        <f>equip.xml!Q2783</f>
        <v>equipment/1309.png</v>
      </c>
      <c r="N2779" s="16" t="str">
        <f>equip.xml!P2783</f>
        <v>10000_1002_20000,30000_30001_1,30000_30002_1,30000_30003_1</v>
      </c>
      <c r="O2779">
        <f>equip.xml!R2783</f>
        <v>0</v>
      </c>
    </row>
    <row r="2780" spans="1:15">
      <c r="A2780" s="14">
        <f>equip.xml!A2784</f>
        <v>50351062</v>
      </c>
      <c r="B2780" s="14">
        <f>equip.xml!B2784</f>
        <v>0</v>
      </c>
      <c r="C2780" s="14" t="str">
        <f>equip.xml!C2784</f>
        <v>符记盾牌</v>
      </c>
      <c r="D2780" s="14" t="str">
        <f>equip.xml!D2784</f>
        <v>副手武器</v>
      </c>
      <c r="E2780" s="14">
        <f>equip.xml!E2784</f>
        <v>6</v>
      </c>
      <c r="F2780" s="14">
        <f>equip.xml!F2784</f>
        <v>5</v>
      </c>
      <c r="G2780" s="14">
        <f>equip.xml!G2784</f>
        <v>35</v>
      </c>
      <c r="H2780" s="14" t="str">
        <f>equip.xml!H2784</f>
        <v>1,1001</v>
      </c>
      <c r="I2780" s="14">
        <f>equip.xml!J2784</f>
        <v>150</v>
      </c>
      <c r="J2780" s="14">
        <f>equip.xml!K2784</f>
        <v>5000</v>
      </c>
      <c r="K2780" s="14">
        <f>equip.xml!L2784</f>
        <v>20000</v>
      </c>
      <c r="L2780" s="14" t="str">
        <f>equip.xml!M2784</f>
        <v>105_676_676</v>
      </c>
      <c r="M2780" s="17" t="str">
        <f>equip.xml!Q2784</f>
        <v>equipment/2108.png</v>
      </c>
      <c r="N2780" s="16" t="str">
        <f>equip.xml!P2784</f>
        <v>10000_1002_35000,30000_30001_1,30000_30002_1,30000_30003_1</v>
      </c>
      <c r="O2780">
        <f>equip.xml!R2784</f>
        <v>0</v>
      </c>
    </row>
    <row r="2781" spans="1:15">
      <c r="A2781" s="14">
        <f>equip.xml!A2785</f>
        <v>50352062</v>
      </c>
      <c r="B2781" s="14">
        <f>equip.xml!B2785</f>
        <v>0</v>
      </c>
      <c r="C2781" s="14" t="str">
        <f>equip.xml!C2785</f>
        <v>游侠箭筒</v>
      </c>
      <c r="D2781" s="14" t="str">
        <f>equip.xml!D2785</f>
        <v>副手武器</v>
      </c>
      <c r="E2781" s="14">
        <f>equip.xml!E2785</f>
        <v>6</v>
      </c>
      <c r="F2781" s="14">
        <f>equip.xml!F2785</f>
        <v>5</v>
      </c>
      <c r="G2781" s="14">
        <f>equip.xml!G2785</f>
        <v>35</v>
      </c>
      <c r="H2781" s="14" t="str">
        <f>equip.xml!H2785</f>
        <v>2,1002</v>
      </c>
      <c r="I2781" s="14">
        <f>equip.xml!J2785</f>
        <v>150</v>
      </c>
      <c r="J2781" s="14">
        <f>equip.xml!K2785</f>
        <v>5000</v>
      </c>
      <c r="K2781" s="14">
        <f>equip.xml!L2785</f>
        <v>20000</v>
      </c>
      <c r="L2781" s="14" t="str">
        <f>equip.xml!M2785</f>
        <v>108_676_676</v>
      </c>
      <c r="M2781" s="17" t="str">
        <f>equip.xml!Q2785</f>
        <v>equipment/2208.png</v>
      </c>
      <c r="N2781" s="16" t="str">
        <f>equip.xml!P2785</f>
        <v>10000_1002_35000,30000_30001_1,30000_30002_1,30000_30003_1</v>
      </c>
      <c r="O2781">
        <f>equip.xml!R2785</f>
        <v>0</v>
      </c>
    </row>
    <row r="2782" spans="1:15">
      <c r="A2782" s="14">
        <f>equip.xml!A2786</f>
        <v>50353062</v>
      </c>
      <c r="B2782" s="14">
        <f>equip.xml!B2786</f>
        <v>0</v>
      </c>
      <c r="C2782" s="14" t="str">
        <f>equip.xml!C2786</f>
        <v>召唤魔典</v>
      </c>
      <c r="D2782" s="14" t="str">
        <f>equip.xml!D2786</f>
        <v>副手武器</v>
      </c>
      <c r="E2782" s="14">
        <f>equip.xml!E2786</f>
        <v>6</v>
      </c>
      <c r="F2782" s="14">
        <f>equip.xml!F2786</f>
        <v>5</v>
      </c>
      <c r="G2782" s="14">
        <f>equip.xml!G2786</f>
        <v>35</v>
      </c>
      <c r="H2782" s="14" t="str">
        <f>equip.xml!H2786</f>
        <v>3,1003</v>
      </c>
      <c r="I2782" s="14">
        <f>equip.xml!J2786</f>
        <v>150</v>
      </c>
      <c r="J2782" s="14">
        <f>equip.xml!K2786</f>
        <v>5000</v>
      </c>
      <c r="K2782" s="14">
        <f>equip.xml!L2786</f>
        <v>20000</v>
      </c>
      <c r="L2782" s="14" t="str">
        <f>equip.xml!M2786</f>
        <v>102_1040_1040</v>
      </c>
      <c r="M2782" s="17" t="str">
        <f>equip.xml!Q2786</f>
        <v>equipment/2308.png</v>
      </c>
      <c r="N2782" s="16" t="str">
        <f>equip.xml!P2786</f>
        <v>10000_1002_35000,30000_30001_1,30000_30002_1,30000_30003_1</v>
      </c>
      <c r="O2782">
        <f>equip.xml!R2786</f>
        <v>0</v>
      </c>
    </row>
    <row r="2783" spans="1:15">
      <c r="A2783" s="14">
        <f>equip.xml!A2787</f>
        <v>66666666</v>
      </c>
      <c r="B2783" s="14">
        <f>equip.xml!B2787</f>
        <v>0</v>
      </c>
      <c r="C2783" s="14" t="str">
        <f>equip.xml!C2787</f>
        <v>诸神黄昏</v>
      </c>
      <c r="D2783" s="14" t="str">
        <f>equip.xml!D2787</f>
        <v>主手武器</v>
      </c>
      <c r="E2783" s="14">
        <f>equip.xml!E2787</f>
        <v>5</v>
      </c>
      <c r="F2783" s="14">
        <f>equip.xml!F2787</f>
        <v>5</v>
      </c>
      <c r="G2783" s="14">
        <f>equip.xml!G2787</f>
        <v>1</v>
      </c>
      <c r="H2783" s="14" t="str">
        <f>equip.xml!H2787</f>
        <v>0</v>
      </c>
      <c r="I2783" s="14">
        <f>equip.xml!J2787</f>
        <v>150</v>
      </c>
      <c r="J2783" s="14">
        <f>equip.xml!K2787</f>
        <v>5000</v>
      </c>
      <c r="K2783" s="14">
        <f>equip.xml!L2787</f>
        <v>40000</v>
      </c>
      <c r="L2783" s="14" t="str">
        <f>equip.xml!M2787</f>
        <v>103_99999_99999,104_99999_99999</v>
      </c>
      <c r="M2783" s="17" t="str">
        <f>equip.xml!Q2787</f>
        <v>equipment/101301.png</v>
      </c>
      <c r="N2783" s="16" t="str">
        <f>equip.xml!P2787</f>
        <v>10000_1002_70000,30000_30001_1,30000_30002_1,30000_30003_1</v>
      </c>
      <c r="O2783">
        <f>equip.xml!R2787</f>
        <v>0</v>
      </c>
    </row>
    <row r="2784" spans="1:15">
      <c r="A2784" s="14">
        <f>equip.xml!A2788</f>
        <v>50250022</v>
      </c>
      <c r="B2784" s="14">
        <f>equip.xml!B2788</f>
        <v>0</v>
      </c>
      <c r="C2784" s="14" t="str">
        <f>equip.xml!C2788</f>
        <v>血岩戒指</v>
      </c>
      <c r="D2784" s="14" t="str">
        <f>equip.xml!D2788</f>
        <v>戒指</v>
      </c>
      <c r="E2784" s="14">
        <f>equip.xml!E2788</f>
        <v>2</v>
      </c>
      <c r="F2784" s="14">
        <f>equip.xml!F2788</f>
        <v>5</v>
      </c>
      <c r="G2784" s="14">
        <f>equip.xml!G2788</f>
        <v>25</v>
      </c>
      <c r="H2784" s="14">
        <f>equip.xml!H2788</f>
        <v>0</v>
      </c>
      <c r="I2784" s="14">
        <f>equip.xml!J2788</f>
        <v>150</v>
      </c>
      <c r="J2784" s="14">
        <f>equip.xml!K2788</f>
        <v>5000</v>
      </c>
      <c r="K2784" s="14">
        <f>equip.xml!L2788</f>
        <v>15000</v>
      </c>
      <c r="L2784" s="14" t="str">
        <f>equip.xml!M2788</f>
        <v>102_330_330</v>
      </c>
      <c r="M2784" s="17" t="str">
        <f>equip.xml!Q2788</f>
        <v>equipment/14004.png</v>
      </c>
      <c r="N2784" s="16" t="str">
        <f>equip.xml!P2788</f>
        <v>10000_1002_25000,30000_30001_1,30000_30002_1,30000_30003_1</v>
      </c>
      <c r="O2784">
        <f>equip.xml!R2788</f>
        <v>0</v>
      </c>
    </row>
    <row r="2785" spans="1:15">
      <c r="A2785" s="14">
        <f>equip.xml!A2789</f>
        <v>50300082</v>
      </c>
      <c r="B2785" s="14">
        <f>equip.xml!B2789</f>
        <v>0</v>
      </c>
      <c r="C2785" s="14" t="str">
        <f>equip.xml!C2789</f>
        <v>镶饰胫甲</v>
      </c>
      <c r="D2785" s="14" t="str">
        <f>equip.xml!D2789</f>
        <v>鞋子</v>
      </c>
      <c r="E2785" s="14">
        <f>equip.xml!E2789</f>
        <v>8</v>
      </c>
      <c r="F2785" s="14">
        <f>equip.xml!F2789</f>
        <v>5</v>
      </c>
      <c r="G2785" s="14">
        <f>equip.xml!G2789</f>
        <v>30</v>
      </c>
      <c r="H2785" s="14">
        <f>equip.xml!H2789</f>
        <v>0</v>
      </c>
      <c r="I2785" s="14">
        <f>equip.xml!J2789</f>
        <v>150</v>
      </c>
      <c r="J2785" s="14">
        <f>equip.xml!K2789</f>
        <v>5000</v>
      </c>
      <c r="K2785" s="14">
        <f>equip.xml!L2789</f>
        <v>17500</v>
      </c>
      <c r="L2785" s="14" t="str">
        <f>equip.xml!M2789</f>
        <v>110_65_65</v>
      </c>
      <c r="M2785" s="17" t="str">
        <f>equip.xml!Q2789</f>
        <v>equipment/8005.png</v>
      </c>
      <c r="N2785" s="16" t="str">
        <f>equip.xml!P2789</f>
        <v>10000_1002_30000,30000_30001_1,30000_30002_1,30000_30003_1</v>
      </c>
      <c r="O2785">
        <f>equip.xml!R2789</f>
        <v>0</v>
      </c>
    </row>
    <row r="2786" spans="1:15">
      <c r="A2786" s="14">
        <f>equip.xml!A2790</f>
        <v>50350102</v>
      </c>
      <c r="B2786" s="14">
        <f>equip.xml!B2790</f>
        <v>0</v>
      </c>
      <c r="C2786" s="14" t="str">
        <f>equip.xml!C2790</f>
        <v>苍蓝挂坠</v>
      </c>
      <c r="D2786" s="14" t="str">
        <f>equip.xml!D2790</f>
        <v>项链</v>
      </c>
      <c r="E2786" s="14">
        <f>equip.xml!E2790</f>
        <v>10</v>
      </c>
      <c r="F2786" s="14">
        <f>equip.xml!F2790</f>
        <v>5</v>
      </c>
      <c r="G2786" s="14">
        <f>equip.xml!G2790</f>
        <v>35</v>
      </c>
      <c r="H2786" s="14">
        <f>equip.xml!H2790</f>
        <v>0</v>
      </c>
      <c r="I2786" s="14">
        <f>equip.xml!J2790</f>
        <v>150</v>
      </c>
      <c r="J2786" s="14">
        <f>equip.xml!K2790</f>
        <v>5000</v>
      </c>
      <c r="K2786" s="14">
        <f>equip.xml!L2790</f>
        <v>20000</v>
      </c>
      <c r="L2786" s="14" t="str">
        <f>equip.xml!M2790</f>
        <v>107_542_542</v>
      </c>
      <c r="M2786" s="17" t="str">
        <f>equip.xml!Q2790</f>
        <v>equipment/12006.png</v>
      </c>
      <c r="N2786" s="16" t="str">
        <f>equip.xml!P2790</f>
        <v>10000_1002_35000,30000_30001_1,30000_30002_1,30000_30003_1</v>
      </c>
      <c r="O2786">
        <f>equip.xml!R2790</f>
        <v>0</v>
      </c>
    </row>
    <row r="2787" spans="1:15">
      <c r="A2787" s="14">
        <f>equip.xml!A2791</f>
        <v>50300012</v>
      </c>
      <c r="B2787" s="14">
        <f>equip.xml!B2791</f>
        <v>0</v>
      </c>
      <c r="C2787" s="14" t="str">
        <f>equip.xml!C2791</f>
        <v>双链罩帽</v>
      </c>
      <c r="D2787" s="14" t="str">
        <f>equip.xml!D2791</f>
        <v>头盔</v>
      </c>
      <c r="E2787" s="14">
        <f>equip.xml!E2791</f>
        <v>1</v>
      </c>
      <c r="F2787" s="14">
        <f>equip.xml!F2791</f>
        <v>5</v>
      </c>
      <c r="G2787" s="14">
        <f>equip.xml!G2791</f>
        <v>30</v>
      </c>
      <c r="H2787" s="14">
        <f>equip.xml!H2791</f>
        <v>0</v>
      </c>
      <c r="I2787" s="14">
        <f>equip.xml!J2791</f>
        <v>150</v>
      </c>
      <c r="J2787" s="14">
        <f>equip.xml!K2791</f>
        <v>1500</v>
      </c>
      <c r="K2787" s="14">
        <f>equip.xml!L2791</f>
        <v>17500</v>
      </c>
      <c r="L2787" s="14" t="str">
        <f>equip.xml!M2791</f>
        <v>106_372_372</v>
      </c>
      <c r="M2787" s="17" t="str">
        <f>equip.xml!Q2791</f>
        <v>equipment/3004.png</v>
      </c>
      <c r="N2787" s="16" t="str">
        <f>equip.xml!P2791</f>
        <v>10000_1002_30000,30000_30001_1,30000_30002_1,30000_30003_1</v>
      </c>
      <c r="O2787">
        <f>equip.xml!R2791</f>
        <v>0</v>
      </c>
    </row>
    <row r="2788" spans="1:15">
      <c r="A2788" s="14">
        <f>equip.xml!A2792</f>
        <v>50300032</v>
      </c>
      <c r="B2788" s="14">
        <f>equip.xml!B2792</f>
        <v>0</v>
      </c>
      <c r="C2788" s="14" t="str">
        <f>equip.xml!C2792</f>
        <v>秘银腰带</v>
      </c>
      <c r="D2788" s="14" t="str">
        <f>equip.xml!D2792</f>
        <v>腰带</v>
      </c>
      <c r="E2788" s="14">
        <f>equip.xml!E2792</f>
        <v>3</v>
      </c>
      <c r="F2788" s="14">
        <f>equip.xml!F2792</f>
        <v>5</v>
      </c>
      <c r="G2788" s="14">
        <f>equip.xml!G2792</f>
        <v>30</v>
      </c>
      <c r="H2788" s="14">
        <f>equip.xml!H2792</f>
        <v>0</v>
      </c>
      <c r="I2788" s="14">
        <f>equip.xml!J2792</f>
        <v>150</v>
      </c>
      <c r="J2788" s="14">
        <f>equip.xml!K2792</f>
        <v>1500</v>
      </c>
      <c r="K2788" s="14">
        <f>equip.xml!L2792</f>
        <v>17500</v>
      </c>
      <c r="L2788" s="14" t="str">
        <f>equip.xml!M2792</f>
        <v>101_3920_3920</v>
      </c>
      <c r="M2788" s="17" t="str">
        <f>equip.xml!Q2792</f>
        <v>equipment/6002.png</v>
      </c>
      <c r="N2788" s="16" t="str">
        <f>equip.xml!P2792</f>
        <v>10000_1002_30000,30000_30001_1,30000_30002_1,30000_30003_1</v>
      </c>
      <c r="O2788">
        <f>equip.xml!R2792</f>
        <v>0</v>
      </c>
    </row>
    <row r="2789" spans="1:15">
      <c r="A2789" s="14">
        <f>equip.xml!A2793</f>
        <v>50300092</v>
      </c>
      <c r="B2789" s="14">
        <f>equip.xml!B2793</f>
        <v>0</v>
      </c>
      <c r="C2789" s="14" t="str">
        <f>equip.xml!C2793</f>
        <v>链甲手套</v>
      </c>
      <c r="D2789" s="14" t="str">
        <f>equip.xml!D2793</f>
        <v>手套</v>
      </c>
      <c r="E2789" s="14">
        <f>equip.xml!E2793</f>
        <v>9</v>
      </c>
      <c r="F2789" s="14">
        <f>equip.xml!F2793</f>
        <v>5</v>
      </c>
      <c r="G2789" s="14">
        <f>equip.xml!G2793</f>
        <v>30</v>
      </c>
      <c r="H2789" s="14">
        <f>equip.xml!H2793</f>
        <v>0</v>
      </c>
      <c r="I2789" s="14">
        <f>equip.xml!J2793</f>
        <v>150</v>
      </c>
      <c r="J2789" s="14">
        <f>equip.xml!K2793</f>
        <v>1500</v>
      </c>
      <c r="K2789" s="14">
        <f>equip.xml!L2793</f>
        <v>17500</v>
      </c>
      <c r="L2789" s="14" t="str">
        <f>equip.xml!M2793</f>
        <v>108_367_367</v>
      </c>
      <c r="M2789" s="17" t="str">
        <f>equip.xml!Q2793</f>
        <v>equipment/10005.png</v>
      </c>
      <c r="N2789" s="16" t="str">
        <f>equip.xml!P2793</f>
        <v>10000_1002_30000,30000_30001_1,30000_30002_1,30000_30003_1</v>
      </c>
      <c r="O2789">
        <f>equip.xml!R2793</f>
        <v>0</v>
      </c>
    </row>
    <row r="2790" spans="1:15">
      <c r="A2790" s="14">
        <f>equip.xml!A2794</f>
        <v>50300042</v>
      </c>
      <c r="B2790" s="14">
        <f>equip.xml!B2794</f>
        <v>0</v>
      </c>
      <c r="C2790" s="14" t="str">
        <f>equip.xml!C2794</f>
        <v>防卫者外套</v>
      </c>
      <c r="D2790" s="14" t="str">
        <f>equip.xml!D2794</f>
        <v>胸甲</v>
      </c>
      <c r="E2790" s="14">
        <f>equip.xml!E2794</f>
        <v>4</v>
      </c>
      <c r="F2790" s="14">
        <f>equip.xml!F2794</f>
        <v>5</v>
      </c>
      <c r="G2790" s="14">
        <f>equip.xml!G2794</f>
        <v>30</v>
      </c>
      <c r="H2790" s="14">
        <f>equip.xml!H2794</f>
        <v>0</v>
      </c>
      <c r="I2790" s="14">
        <f>equip.xml!J2794</f>
        <v>150</v>
      </c>
      <c r="J2790" s="14">
        <f>equip.xml!K2794</f>
        <v>1500</v>
      </c>
      <c r="K2790" s="14">
        <f>equip.xml!L2794</f>
        <v>20000</v>
      </c>
      <c r="L2790" s="14" t="str">
        <f>equip.xml!M2794</f>
        <v>105_247_247</v>
      </c>
      <c r="M2790" s="17" t="str">
        <f>equip.xml!Q2794</f>
        <v>equipment/5009.png</v>
      </c>
      <c r="N2790" s="16" t="str">
        <f>equip.xml!P2794</f>
        <v>10000_1002_30000,30000_30001_1,30000_30002_1,30000_30003_1</v>
      </c>
      <c r="O2790">
        <f>equip.xml!R2794</f>
        <v>0</v>
      </c>
    </row>
    <row r="2791" spans="1:15">
      <c r="A2791" s="14">
        <f>equip.xml!A2795</f>
        <v>50300072</v>
      </c>
      <c r="B2791" s="14">
        <f>equip.xml!B2795</f>
        <v>0</v>
      </c>
      <c r="C2791" s="14" t="str">
        <f>equip.xml!C2795</f>
        <v>逐风护腿</v>
      </c>
      <c r="D2791" s="14" t="str">
        <f>equip.xml!D2795</f>
        <v>护腿</v>
      </c>
      <c r="E2791" s="14">
        <f>equip.xml!E2795</f>
        <v>7</v>
      </c>
      <c r="F2791" s="14">
        <f>equip.xml!F2795</f>
        <v>5</v>
      </c>
      <c r="G2791" s="14">
        <f>equip.xml!G2795</f>
        <v>30</v>
      </c>
      <c r="H2791" s="14">
        <f>equip.xml!H2795</f>
        <v>0</v>
      </c>
      <c r="I2791" s="14">
        <f>equip.xml!J2795</f>
        <v>150</v>
      </c>
      <c r="J2791" s="14">
        <f>equip.xml!K2795</f>
        <v>1500</v>
      </c>
      <c r="K2791" s="14">
        <f>equip.xml!L2795</f>
        <v>20000</v>
      </c>
      <c r="L2791" s="14" t="str">
        <f>equip.xml!M2795</f>
        <v>105_247_247</v>
      </c>
      <c r="M2791" s="17" t="str">
        <f>equip.xml!Q2795</f>
        <v>equipment/7008.png</v>
      </c>
      <c r="N2791" s="16" t="str">
        <f>equip.xml!P2795</f>
        <v>10000_1002_30000,30000_30001_1,30000_30002_1,30000_30003_1</v>
      </c>
      <c r="O2791">
        <f>equip.xml!R2795</f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2:G463"/>
  <sheetViews>
    <sheetView workbookViewId="0">
      <selection activeCell="D342" sqref="D342"/>
    </sheetView>
  </sheetViews>
  <sheetFormatPr defaultRowHeight="13.5"/>
  <sheetData>
    <row r="2" spans="1:7">
      <c r="A2" t="s">
        <v>1442</v>
      </c>
      <c r="B2">
        <f>equip.xml!G6</f>
        <v>1</v>
      </c>
      <c r="C2" t="str">
        <f>MID(equip.xml!M6,1,3)</f>
        <v>106</v>
      </c>
      <c r="D2" s="1" t="s">
        <v>8</v>
      </c>
      <c r="F2">
        <v>9</v>
      </c>
      <c r="G2" t="str">
        <f>ROUND(F2*0.8,0)&amp;","&amp;ROUND(F2*1.05,0)</f>
        <v>7,9</v>
      </c>
    </row>
    <row r="3" spans="1:7">
      <c r="A3" t="s">
        <v>1443</v>
      </c>
      <c r="B3">
        <f>equip.xml!G7</f>
        <v>1</v>
      </c>
      <c r="C3" t="str">
        <f>MID(equip.xml!M7,1,3)</f>
        <v>102</v>
      </c>
      <c r="D3" s="1" t="s">
        <v>8</v>
      </c>
      <c r="F3">
        <v>9</v>
      </c>
      <c r="G3" t="str">
        <f t="shared" ref="G3:G66" si="0">ROUND(F3*0.8,0)&amp;","&amp;ROUND(F3*1.05,0)</f>
        <v>7,9</v>
      </c>
    </row>
    <row r="4" spans="1:7">
      <c r="A4" t="s">
        <v>1444</v>
      </c>
      <c r="B4">
        <f>equip.xml!G8</f>
        <v>1</v>
      </c>
      <c r="C4" t="str">
        <f>MID(equip.xml!M8,1,3)</f>
        <v>101</v>
      </c>
      <c r="D4" s="1" t="s">
        <v>8</v>
      </c>
      <c r="F4">
        <v>9</v>
      </c>
      <c r="G4" t="str">
        <f t="shared" si="0"/>
        <v>7,9</v>
      </c>
    </row>
    <row r="5" spans="1:7">
      <c r="A5" t="s">
        <v>1445</v>
      </c>
      <c r="B5">
        <f>equip.xml!G9</f>
        <v>1</v>
      </c>
      <c r="C5" t="str">
        <f>MID(equip.xml!M9,1,3)</f>
        <v>110</v>
      </c>
      <c r="D5" s="1" t="s">
        <v>8</v>
      </c>
      <c r="F5">
        <v>9</v>
      </c>
      <c r="G5" t="str">
        <f t="shared" si="0"/>
        <v>7,9</v>
      </c>
    </row>
    <row r="6" spans="1:7">
      <c r="A6" t="s">
        <v>1446</v>
      </c>
      <c r="B6">
        <f>equip.xml!G10</f>
        <v>1</v>
      </c>
      <c r="C6" t="str">
        <f>MID(equip.xml!M10,1,3)</f>
        <v>108</v>
      </c>
      <c r="D6" s="1" t="s">
        <v>8</v>
      </c>
      <c r="F6">
        <v>9</v>
      </c>
      <c r="G6" t="str">
        <f t="shared" si="0"/>
        <v>7,9</v>
      </c>
    </row>
    <row r="7" spans="1:7">
      <c r="A7" t="s">
        <v>1447</v>
      </c>
      <c r="B7">
        <f>equip.xml!G11</f>
        <v>1</v>
      </c>
      <c r="C7" t="str">
        <f>MID(equip.xml!M11,1,3)</f>
        <v>107</v>
      </c>
      <c r="D7" s="1" t="s">
        <v>8</v>
      </c>
      <c r="F7">
        <v>9</v>
      </c>
      <c r="G7" t="str">
        <f t="shared" si="0"/>
        <v>7,9</v>
      </c>
    </row>
    <row r="8" spans="1:7">
      <c r="A8" t="s">
        <v>1448</v>
      </c>
      <c r="B8">
        <f>equip.xml!G12</f>
        <v>1</v>
      </c>
      <c r="C8" t="str">
        <f>MID(equip.xml!M12,1,3)</f>
        <v>103</v>
      </c>
      <c r="D8" s="1" t="s">
        <v>8</v>
      </c>
      <c r="F8">
        <v>12</v>
      </c>
      <c r="G8" t="str">
        <f t="shared" si="0"/>
        <v>10,13</v>
      </c>
    </row>
    <row r="9" spans="1:7">
      <c r="A9" t="s">
        <v>1449</v>
      </c>
      <c r="B9">
        <f>equip.xml!G13</f>
        <v>1</v>
      </c>
      <c r="C9" t="str">
        <f>MID(equip.xml!M13,1,3)</f>
        <v>103</v>
      </c>
      <c r="D9" s="1" t="s">
        <v>8</v>
      </c>
      <c r="F9">
        <v>12</v>
      </c>
      <c r="G9" t="str">
        <f t="shared" si="0"/>
        <v>10,13</v>
      </c>
    </row>
    <row r="10" spans="1:7">
      <c r="A10" t="s">
        <v>1450</v>
      </c>
      <c r="B10">
        <f>equip.xml!G14</f>
        <v>1</v>
      </c>
      <c r="C10" t="str">
        <f>MID(equip.xml!M14,1,3)</f>
        <v>105</v>
      </c>
      <c r="D10" s="1" t="s">
        <v>8</v>
      </c>
      <c r="F10">
        <v>12</v>
      </c>
      <c r="G10" t="str">
        <f t="shared" si="0"/>
        <v>10,13</v>
      </c>
    </row>
    <row r="11" spans="1:7">
      <c r="A11" t="s">
        <v>1451</v>
      </c>
      <c r="B11">
        <f>equip.xml!G15</f>
        <v>1</v>
      </c>
      <c r="C11" t="str">
        <f>MID(equip.xml!M15,1,3)</f>
        <v>105</v>
      </c>
      <c r="D11" s="1" t="s">
        <v>8</v>
      </c>
      <c r="F11">
        <v>12</v>
      </c>
      <c r="G11" t="str">
        <f t="shared" si="0"/>
        <v>10,13</v>
      </c>
    </row>
    <row r="12" spans="1:7">
      <c r="A12" t="s">
        <v>1452</v>
      </c>
      <c r="B12">
        <f>equip.xml!G16</f>
        <v>1</v>
      </c>
      <c r="C12" t="str">
        <f>MID(equip.xml!M16,1,3)</f>
        <v>103</v>
      </c>
      <c r="D12" s="1" t="s">
        <v>8</v>
      </c>
      <c r="F12">
        <v>12</v>
      </c>
      <c r="G12" t="str">
        <f t="shared" si="0"/>
        <v>10,13</v>
      </c>
    </row>
    <row r="13" spans="1:7">
      <c r="A13" t="s">
        <v>1453</v>
      </c>
      <c r="B13">
        <f>equip.xml!G17</f>
        <v>1</v>
      </c>
      <c r="C13" t="str">
        <f>MID(equip.xml!M17,1,3)</f>
        <v>103</v>
      </c>
      <c r="D13" s="1" t="s">
        <v>8</v>
      </c>
      <c r="F13">
        <v>12</v>
      </c>
      <c r="G13" t="str">
        <f t="shared" si="0"/>
        <v>10,13</v>
      </c>
    </row>
    <row r="14" spans="1:7">
      <c r="A14" t="s">
        <v>1454</v>
      </c>
      <c r="B14">
        <f>equip.xml!G18</f>
        <v>1</v>
      </c>
      <c r="C14" t="str">
        <f>MID(equip.xml!M18,1,3)</f>
        <v>108</v>
      </c>
      <c r="D14" s="1" t="s">
        <v>8</v>
      </c>
      <c r="F14">
        <v>12</v>
      </c>
      <c r="G14" t="str">
        <f t="shared" si="0"/>
        <v>10,13</v>
      </c>
    </row>
    <row r="15" spans="1:7">
      <c r="A15" t="s">
        <v>1455</v>
      </c>
      <c r="B15">
        <f>equip.xml!G19</f>
        <v>1</v>
      </c>
      <c r="C15" t="str">
        <f>MID(equip.xml!M19,1,3)</f>
        <v>108</v>
      </c>
      <c r="D15" s="1" t="s">
        <v>8</v>
      </c>
      <c r="F15">
        <v>12</v>
      </c>
      <c r="G15" t="str">
        <f t="shared" si="0"/>
        <v>10,13</v>
      </c>
    </row>
    <row r="16" spans="1:7">
      <c r="A16" t="s">
        <v>1456</v>
      </c>
      <c r="B16">
        <f>equip.xml!G20</f>
        <v>1</v>
      </c>
      <c r="C16" t="str">
        <f>MID(equip.xml!M20,1,3)</f>
        <v>103</v>
      </c>
      <c r="D16" s="1" t="s">
        <v>8</v>
      </c>
      <c r="F16">
        <v>12</v>
      </c>
      <c r="G16" t="str">
        <f t="shared" si="0"/>
        <v>10,13</v>
      </c>
    </row>
    <row r="17" spans="1:7">
      <c r="A17" t="s">
        <v>1457</v>
      </c>
      <c r="B17">
        <f>equip.xml!G21</f>
        <v>1</v>
      </c>
      <c r="C17" t="str">
        <f>MID(equip.xml!M21,1,3)</f>
        <v>103</v>
      </c>
      <c r="D17" s="1" t="s">
        <v>8</v>
      </c>
      <c r="F17">
        <v>12</v>
      </c>
      <c r="G17" t="str">
        <f t="shared" si="0"/>
        <v>10,13</v>
      </c>
    </row>
    <row r="18" spans="1:7">
      <c r="A18" t="s">
        <v>1458</v>
      </c>
      <c r="B18">
        <f>equip.xml!G22</f>
        <v>1</v>
      </c>
      <c r="C18" t="str">
        <f>MID(equip.xml!M22,1,3)</f>
        <v>102</v>
      </c>
      <c r="D18" s="1" t="s">
        <v>8</v>
      </c>
      <c r="F18">
        <v>12</v>
      </c>
      <c r="G18" t="str">
        <f t="shared" si="0"/>
        <v>10,13</v>
      </c>
    </row>
    <row r="19" spans="1:7">
      <c r="A19" t="s">
        <v>1459</v>
      </c>
      <c r="B19">
        <f>equip.xml!G23</f>
        <v>1</v>
      </c>
      <c r="C19" t="str">
        <f>MID(equip.xml!M23,1,3)</f>
        <v>102</v>
      </c>
      <c r="D19" s="1" t="s">
        <v>8</v>
      </c>
      <c r="F19">
        <v>12</v>
      </c>
      <c r="G19" t="str">
        <f t="shared" si="0"/>
        <v>10,13</v>
      </c>
    </row>
    <row r="20" spans="1:7">
      <c r="A20" t="s">
        <v>1460</v>
      </c>
      <c r="B20">
        <f>equip.xml!G24</f>
        <v>1</v>
      </c>
      <c r="C20" t="str">
        <f>MID(equip.xml!M24,1,3)</f>
        <v>105</v>
      </c>
      <c r="D20" s="1" t="s">
        <v>8</v>
      </c>
      <c r="F20">
        <v>9</v>
      </c>
      <c r="G20" t="str">
        <f t="shared" si="0"/>
        <v>7,9</v>
      </c>
    </row>
    <row r="21" spans="1:7">
      <c r="A21" t="s">
        <v>1461</v>
      </c>
      <c r="B21">
        <f>equip.xml!G25</f>
        <v>1</v>
      </c>
      <c r="C21" t="str">
        <f>MID(equip.xml!M25,1,3)</f>
        <v>105</v>
      </c>
      <c r="D21" s="1" t="s">
        <v>8</v>
      </c>
      <c r="F21">
        <v>9</v>
      </c>
      <c r="G21" t="str">
        <f t="shared" si="0"/>
        <v>7,9</v>
      </c>
    </row>
    <row r="22" spans="1:7">
      <c r="A22" t="s">
        <v>1462</v>
      </c>
      <c r="B22">
        <f>equip.xml!G26</f>
        <v>1</v>
      </c>
      <c r="C22" t="str">
        <f>MID(equip.xml!M26,1,3)</f>
        <v>105</v>
      </c>
      <c r="D22" s="1" t="s">
        <v>8</v>
      </c>
      <c r="F22">
        <v>9</v>
      </c>
      <c r="G22" t="str">
        <f t="shared" si="0"/>
        <v>7,9</v>
      </c>
    </row>
    <row r="23" spans="1:7">
      <c r="A23" t="s">
        <v>1463</v>
      </c>
      <c r="B23">
        <f>equip.xml!G27</f>
        <v>1</v>
      </c>
      <c r="C23" t="str">
        <f>MID(equip.xml!M27,1,3)</f>
        <v>105</v>
      </c>
      <c r="D23" s="1" t="s">
        <v>8</v>
      </c>
      <c r="F23">
        <v>9</v>
      </c>
      <c r="G23" t="str">
        <f t="shared" si="0"/>
        <v>7,9</v>
      </c>
    </row>
    <row r="24" spans="1:7">
      <c r="A24" t="s">
        <v>1464</v>
      </c>
      <c r="B24">
        <f>equip.xml!G28</f>
        <v>5</v>
      </c>
      <c r="C24" t="str">
        <f>MID(equip.xml!M28,1,3)</f>
        <v>106</v>
      </c>
      <c r="D24" s="1" t="s">
        <v>8</v>
      </c>
      <c r="F24">
        <v>35</v>
      </c>
      <c r="G24" t="str">
        <f t="shared" si="0"/>
        <v>28,37</v>
      </c>
    </row>
    <row r="25" spans="1:7">
      <c r="A25" t="s">
        <v>1465</v>
      </c>
      <c r="B25">
        <f>equip.xml!G29</f>
        <v>5</v>
      </c>
      <c r="C25" t="str">
        <f>MID(equip.xml!M29,1,3)</f>
        <v>102</v>
      </c>
      <c r="D25" s="1" t="s">
        <v>8</v>
      </c>
      <c r="F25">
        <v>35</v>
      </c>
      <c r="G25" t="str">
        <f t="shared" si="0"/>
        <v>28,37</v>
      </c>
    </row>
    <row r="26" spans="1:7">
      <c r="A26" t="s">
        <v>1466</v>
      </c>
      <c r="B26">
        <f>equip.xml!G30</f>
        <v>5</v>
      </c>
      <c r="C26" t="str">
        <f>MID(equip.xml!M30,1,3)</f>
        <v>101</v>
      </c>
      <c r="D26" s="1" t="s">
        <v>8</v>
      </c>
      <c r="F26">
        <v>35</v>
      </c>
      <c r="G26" t="str">
        <f t="shared" si="0"/>
        <v>28,37</v>
      </c>
    </row>
    <row r="27" spans="1:7">
      <c r="A27" t="s">
        <v>1467</v>
      </c>
      <c r="B27">
        <f>equip.xml!G31</f>
        <v>5</v>
      </c>
      <c r="C27" t="str">
        <f>MID(equip.xml!M31,1,3)</f>
        <v>110</v>
      </c>
      <c r="D27" s="1" t="s">
        <v>8</v>
      </c>
      <c r="F27">
        <v>35</v>
      </c>
      <c r="G27" t="str">
        <f t="shared" si="0"/>
        <v>28,37</v>
      </c>
    </row>
    <row r="28" spans="1:7">
      <c r="A28" t="s">
        <v>1468</v>
      </c>
      <c r="B28">
        <f>equip.xml!G32</f>
        <v>5</v>
      </c>
      <c r="C28" t="str">
        <f>MID(equip.xml!M32,1,3)</f>
        <v>108</v>
      </c>
      <c r="D28" s="1" t="s">
        <v>8</v>
      </c>
      <c r="F28">
        <v>35</v>
      </c>
      <c r="G28" t="str">
        <f t="shared" si="0"/>
        <v>28,37</v>
      </c>
    </row>
    <row r="29" spans="1:7">
      <c r="A29" t="s">
        <v>1469</v>
      </c>
      <c r="B29">
        <f>equip.xml!G33</f>
        <v>5</v>
      </c>
      <c r="C29" t="str">
        <f>MID(equip.xml!M33,1,3)</f>
        <v>107</v>
      </c>
      <c r="D29" s="1" t="s">
        <v>8</v>
      </c>
      <c r="F29">
        <v>35</v>
      </c>
      <c r="G29" t="str">
        <f t="shared" si="0"/>
        <v>28,37</v>
      </c>
    </row>
    <row r="30" spans="1:7">
      <c r="A30" t="s">
        <v>1470</v>
      </c>
      <c r="B30">
        <f>equip.xml!G34</f>
        <v>5</v>
      </c>
      <c r="C30" t="str">
        <f>MID(equip.xml!M34,1,3)</f>
        <v>103</v>
      </c>
      <c r="D30" s="1" t="s">
        <v>8</v>
      </c>
      <c r="F30">
        <v>46</v>
      </c>
      <c r="G30" t="str">
        <f t="shared" si="0"/>
        <v>37,48</v>
      </c>
    </row>
    <row r="31" spans="1:7">
      <c r="A31" t="s">
        <v>1471</v>
      </c>
      <c r="B31">
        <f>equip.xml!G35</f>
        <v>5</v>
      </c>
      <c r="C31" t="str">
        <f>MID(equip.xml!M35,1,3)</f>
        <v>103</v>
      </c>
      <c r="D31" s="1" t="s">
        <v>8</v>
      </c>
      <c r="F31">
        <v>46</v>
      </c>
      <c r="G31" t="str">
        <f t="shared" si="0"/>
        <v>37,48</v>
      </c>
    </row>
    <row r="32" spans="1:7">
      <c r="A32" t="s">
        <v>1472</v>
      </c>
      <c r="B32">
        <f>equip.xml!G36</f>
        <v>5</v>
      </c>
      <c r="C32" t="str">
        <f>MID(equip.xml!M36,1,3)</f>
        <v>105</v>
      </c>
      <c r="D32" s="1" t="s">
        <v>8</v>
      </c>
      <c r="F32">
        <v>46</v>
      </c>
      <c r="G32" t="str">
        <f t="shared" si="0"/>
        <v>37,48</v>
      </c>
    </row>
    <row r="33" spans="1:7">
      <c r="A33" t="s">
        <v>1473</v>
      </c>
      <c r="B33">
        <f>equip.xml!G37</f>
        <v>5</v>
      </c>
      <c r="C33" t="str">
        <f>MID(equip.xml!M37,1,3)</f>
        <v>105</v>
      </c>
      <c r="D33" s="1" t="s">
        <v>8</v>
      </c>
      <c r="F33">
        <v>46</v>
      </c>
      <c r="G33" t="str">
        <f t="shared" si="0"/>
        <v>37,48</v>
      </c>
    </row>
    <row r="34" spans="1:7">
      <c r="A34" t="s">
        <v>1474</v>
      </c>
      <c r="B34">
        <f>equip.xml!G38</f>
        <v>5</v>
      </c>
      <c r="C34" t="str">
        <f>MID(equip.xml!M38,1,3)</f>
        <v>103</v>
      </c>
      <c r="D34" s="1" t="s">
        <v>8</v>
      </c>
      <c r="F34">
        <v>46</v>
      </c>
      <c r="G34" t="str">
        <f t="shared" si="0"/>
        <v>37,48</v>
      </c>
    </row>
    <row r="35" spans="1:7">
      <c r="A35" t="s">
        <v>1475</v>
      </c>
      <c r="B35">
        <f>equip.xml!G39</f>
        <v>5</v>
      </c>
      <c r="C35" t="str">
        <f>MID(equip.xml!M39,1,3)</f>
        <v>103</v>
      </c>
      <c r="D35" s="1" t="s">
        <v>8</v>
      </c>
      <c r="F35">
        <v>46</v>
      </c>
      <c r="G35" t="str">
        <f t="shared" si="0"/>
        <v>37,48</v>
      </c>
    </row>
    <row r="36" spans="1:7">
      <c r="A36" t="s">
        <v>1476</v>
      </c>
      <c r="B36">
        <f>equip.xml!G40</f>
        <v>5</v>
      </c>
      <c r="C36" t="str">
        <f>MID(equip.xml!M40,1,3)</f>
        <v>108</v>
      </c>
      <c r="D36" s="1" t="s">
        <v>8</v>
      </c>
      <c r="F36">
        <v>46</v>
      </c>
      <c r="G36" t="str">
        <f t="shared" si="0"/>
        <v>37,48</v>
      </c>
    </row>
    <row r="37" spans="1:7">
      <c r="A37" t="s">
        <v>1477</v>
      </c>
      <c r="B37">
        <f>equip.xml!G41</f>
        <v>5</v>
      </c>
      <c r="C37" t="str">
        <f>MID(equip.xml!M41,1,3)</f>
        <v>108</v>
      </c>
      <c r="D37" s="1" t="s">
        <v>8</v>
      </c>
      <c r="F37">
        <v>46</v>
      </c>
      <c r="G37" t="str">
        <f t="shared" si="0"/>
        <v>37,48</v>
      </c>
    </row>
    <row r="38" spans="1:7">
      <c r="A38" t="s">
        <v>1478</v>
      </c>
      <c r="B38">
        <f>equip.xml!G42</f>
        <v>5</v>
      </c>
      <c r="C38" t="str">
        <f>MID(equip.xml!M42,1,3)</f>
        <v>103</v>
      </c>
      <c r="D38" s="1" t="s">
        <v>8</v>
      </c>
      <c r="F38">
        <v>46</v>
      </c>
      <c r="G38" t="str">
        <f t="shared" si="0"/>
        <v>37,48</v>
      </c>
    </row>
    <row r="39" spans="1:7">
      <c r="A39" t="s">
        <v>1479</v>
      </c>
      <c r="B39">
        <f>equip.xml!G43</f>
        <v>5</v>
      </c>
      <c r="C39" t="str">
        <f>MID(equip.xml!M43,1,3)</f>
        <v>103</v>
      </c>
      <c r="D39" s="1" t="s">
        <v>8</v>
      </c>
      <c r="F39">
        <v>46</v>
      </c>
      <c r="G39" t="str">
        <f t="shared" si="0"/>
        <v>37,48</v>
      </c>
    </row>
    <row r="40" spans="1:7">
      <c r="A40" t="s">
        <v>1480</v>
      </c>
      <c r="B40">
        <f>equip.xml!G44</f>
        <v>5</v>
      </c>
      <c r="C40" t="str">
        <f>MID(equip.xml!M44,1,3)</f>
        <v>102</v>
      </c>
      <c r="D40" s="1" t="s">
        <v>8</v>
      </c>
      <c r="F40">
        <v>46</v>
      </c>
      <c r="G40" t="str">
        <f t="shared" si="0"/>
        <v>37,48</v>
      </c>
    </row>
    <row r="41" spans="1:7">
      <c r="A41" t="s">
        <v>1481</v>
      </c>
      <c r="B41">
        <f>equip.xml!G45</f>
        <v>5</v>
      </c>
      <c r="C41" t="str">
        <f>MID(equip.xml!M45,1,3)</f>
        <v>102</v>
      </c>
      <c r="D41" s="1" t="s">
        <v>8</v>
      </c>
      <c r="F41">
        <v>46</v>
      </c>
      <c r="G41" t="str">
        <f t="shared" si="0"/>
        <v>37,48</v>
      </c>
    </row>
    <row r="42" spans="1:7">
      <c r="A42" t="s">
        <v>1482</v>
      </c>
      <c r="B42">
        <f>equip.xml!G46</f>
        <v>5</v>
      </c>
      <c r="C42" t="str">
        <f>MID(equip.xml!M46,1,3)</f>
        <v>105</v>
      </c>
      <c r="D42" s="1" t="s">
        <v>8</v>
      </c>
      <c r="F42">
        <v>35</v>
      </c>
      <c r="G42" t="str">
        <f t="shared" si="0"/>
        <v>28,37</v>
      </c>
    </row>
    <row r="43" spans="1:7">
      <c r="A43" t="s">
        <v>1483</v>
      </c>
      <c r="B43">
        <f>equip.xml!G47</f>
        <v>5</v>
      </c>
      <c r="C43" t="str">
        <f>MID(equip.xml!M47,1,3)</f>
        <v>105</v>
      </c>
      <c r="D43" s="1" t="s">
        <v>8</v>
      </c>
      <c r="F43">
        <v>35</v>
      </c>
      <c r="G43" t="str">
        <f t="shared" si="0"/>
        <v>28,37</v>
      </c>
    </row>
    <row r="44" spans="1:7">
      <c r="A44" t="s">
        <v>1484</v>
      </c>
      <c r="B44">
        <f>equip.xml!G48</f>
        <v>5</v>
      </c>
      <c r="C44" t="str">
        <f>MID(equip.xml!M48,1,3)</f>
        <v>105</v>
      </c>
      <c r="D44" s="1" t="s">
        <v>8</v>
      </c>
      <c r="F44">
        <v>35</v>
      </c>
      <c r="G44" t="str">
        <f t="shared" si="0"/>
        <v>28,37</v>
      </c>
    </row>
    <row r="45" spans="1:7">
      <c r="A45" t="s">
        <v>1485</v>
      </c>
      <c r="B45">
        <f>equip.xml!G49</f>
        <v>5</v>
      </c>
      <c r="C45" t="str">
        <f>MID(equip.xml!M49,1,3)</f>
        <v>105</v>
      </c>
      <c r="D45" s="1" t="s">
        <v>8</v>
      </c>
      <c r="F45">
        <v>35</v>
      </c>
      <c r="G45" t="str">
        <f t="shared" si="0"/>
        <v>28,37</v>
      </c>
    </row>
    <row r="46" spans="1:7">
      <c r="A46" t="s">
        <v>1486</v>
      </c>
      <c r="B46">
        <f>equip.xml!G50</f>
        <v>10</v>
      </c>
      <c r="C46" t="str">
        <f>MID(equip.xml!M50,1,3)</f>
        <v>106</v>
      </c>
      <c r="D46" s="1" t="s">
        <v>8</v>
      </c>
      <c r="F46">
        <v>74</v>
      </c>
      <c r="G46" t="str">
        <f t="shared" si="0"/>
        <v>59,78</v>
      </c>
    </row>
    <row r="47" spans="1:7">
      <c r="A47" t="s">
        <v>1487</v>
      </c>
      <c r="B47">
        <f>equip.xml!G51</f>
        <v>10</v>
      </c>
      <c r="C47" t="str">
        <f>MID(equip.xml!M51,1,3)</f>
        <v>102</v>
      </c>
      <c r="D47" s="1" t="s">
        <v>8</v>
      </c>
      <c r="F47">
        <v>74</v>
      </c>
      <c r="G47" t="str">
        <f t="shared" si="0"/>
        <v>59,78</v>
      </c>
    </row>
    <row r="48" spans="1:7">
      <c r="A48" t="s">
        <v>1488</v>
      </c>
      <c r="B48">
        <f>equip.xml!G52</f>
        <v>10</v>
      </c>
      <c r="C48" t="str">
        <f>MID(equip.xml!M52,1,3)</f>
        <v>101</v>
      </c>
      <c r="D48" s="1" t="s">
        <v>8</v>
      </c>
      <c r="F48">
        <v>74</v>
      </c>
      <c r="G48" t="str">
        <f t="shared" si="0"/>
        <v>59,78</v>
      </c>
    </row>
    <row r="49" spans="1:7">
      <c r="A49" t="s">
        <v>1489</v>
      </c>
      <c r="B49">
        <f>equip.xml!G53</f>
        <v>10</v>
      </c>
      <c r="C49" t="str">
        <f>MID(equip.xml!M53,1,3)</f>
        <v>110</v>
      </c>
      <c r="D49" s="1" t="s">
        <v>8</v>
      </c>
      <c r="F49">
        <v>74</v>
      </c>
      <c r="G49" t="str">
        <f t="shared" si="0"/>
        <v>59,78</v>
      </c>
    </row>
    <row r="50" spans="1:7">
      <c r="A50" t="s">
        <v>1490</v>
      </c>
      <c r="B50">
        <f>equip.xml!G54</f>
        <v>10</v>
      </c>
      <c r="C50" t="str">
        <f>MID(equip.xml!M54,1,3)</f>
        <v>108</v>
      </c>
      <c r="D50" s="1" t="s">
        <v>8</v>
      </c>
      <c r="F50">
        <v>74</v>
      </c>
      <c r="G50" t="str">
        <f t="shared" si="0"/>
        <v>59,78</v>
      </c>
    </row>
    <row r="51" spans="1:7">
      <c r="A51" t="s">
        <v>1491</v>
      </c>
      <c r="B51">
        <f>equip.xml!G55</f>
        <v>10</v>
      </c>
      <c r="C51" t="str">
        <f>MID(equip.xml!M55,1,3)</f>
        <v>107</v>
      </c>
      <c r="D51" s="1" t="s">
        <v>8</v>
      </c>
      <c r="F51">
        <v>74</v>
      </c>
      <c r="G51" t="str">
        <f t="shared" si="0"/>
        <v>59,78</v>
      </c>
    </row>
    <row r="52" spans="1:7">
      <c r="A52" t="s">
        <v>1492</v>
      </c>
      <c r="B52">
        <f>equip.xml!G56</f>
        <v>10</v>
      </c>
      <c r="C52" t="str">
        <f>MID(equip.xml!M56,1,3)</f>
        <v>103</v>
      </c>
      <c r="D52" s="1" t="s">
        <v>8</v>
      </c>
      <c r="F52">
        <v>96</v>
      </c>
      <c r="G52" t="str">
        <f t="shared" si="0"/>
        <v>77,101</v>
      </c>
    </row>
    <row r="53" spans="1:7">
      <c r="A53" t="s">
        <v>1493</v>
      </c>
      <c r="B53">
        <f>equip.xml!G57</f>
        <v>10</v>
      </c>
      <c r="C53" t="str">
        <f>MID(equip.xml!M57,1,3)</f>
        <v>103</v>
      </c>
      <c r="D53" s="1" t="s">
        <v>8</v>
      </c>
      <c r="F53">
        <v>96</v>
      </c>
      <c r="G53" t="str">
        <f t="shared" si="0"/>
        <v>77,101</v>
      </c>
    </row>
    <row r="54" spans="1:7">
      <c r="A54" t="s">
        <v>1494</v>
      </c>
      <c r="B54">
        <f>equip.xml!G58</f>
        <v>10</v>
      </c>
      <c r="C54" t="str">
        <f>MID(equip.xml!M58,1,3)</f>
        <v>105</v>
      </c>
      <c r="D54" s="1" t="s">
        <v>8</v>
      </c>
      <c r="F54">
        <v>96</v>
      </c>
      <c r="G54" t="str">
        <f t="shared" si="0"/>
        <v>77,101</v>
      </c>
    </row>
    <row r="55" spans="1:7">
      <c r="A55" t="s">
        <v>1495</v>
      </c>
      <c r="B55">
        <f>equip.xml!G59</f>
        <v>10</v>
      </c>
      <c r="C55" t="str">
        <f>MID(equip.xml!M59,1,3)</f>
        <v>105</v>
      </c>
      <c r="D55" s="1" t="s">
        <v>8</v>
      </c>
      <c r="F55">
        <v>96</v>
      </c>
      <c r="G55" t="str">
        <f t="shared" si="0"/>
        <v>77,101</v>
      </c>
    </row>
    <row r="56" spans="1:7">
      <c r="A56" t="s">
        <v>1496</v>
      </c>
      <c r="B56">
        <f>equip.xml!G60</f>
        <v>10</v>
      </c>
      <c r="C56" t="str">
        <f>MID(equip.xml!M60,1,3)</f>
        <v>103</v>
      </c>
      <c r="D56" s="1" t="s">
        <v>8</v>
      </c>
      <c r="F56">
        <v>96</v>
      </c>
      <c r="G56" t="str">
        <f t="shared" si="0"/>
        <v>77,101</v>
      </c>
    </row>
    <row r="57" spans="1:7">
      <c r="A57" t="s">
        <v>1497</v>
      </c>
      <c r="B57">
        <f>equip.xml!G61</f>
        <v>10</v>
      </c>
      <c r="C57" t="str">
        <f>MID(equip.xml!M61,1,3)</f>
        <v>103</v>
      </c>
      <c r="D57" s="1" t="s">
        <v>8</v>
      </c>
      <c r="F57">
        <v>96</v>
      </c>
      <c r="G57" t="str">
        <f t="shared" si="0"/>
        <v>77,101</v>
      </c>
    </row>
    <row r="58" spans="1:7">
      <c r="A58" t="s">
        <v>1498</v>
      </c>
      <c r="B58">
        <f>equip.xml!G62</f>
        <v>10</v>
      </c>
      <c r="C58" t="str">
        <f>MID(equip.xml!M62,1,3)</f>
        <v>108</v>
      </c>
      <c r="D58" s="1" t="s">
        <v>8</v>
      </c>
      <c r="F58">
        <v>96</v>
      </c>
      <c r="G58" t="str">
        <f t="shared" si="0"/>
        <v>77,101</v>
      </c>
    </row>
    <row r="59" spans="1:7">
      <c r="A59" t="s">
        <v>1499</v>
      </c>
      <c r="B59">
        <f>equip.xml!G63</f>
        <v>10</v>
      </c>
      <c r="C59" t="str">
        <f>MID(equip.xml!M63,1,3)</f>
        <v>108</v>
      </c>
      <c r="D59" s="1" t="s">
        <v>8</v>
      </c>
      <c r="F59">
        <v>96</v>
      </c>
      <c r="G59" t="str">
        <f t="shared" si="0"/>
        <v>77,101</v>
      </c>
    </row>
    <row r="60" spans="1:7">
      <c r="A60" t="s">
        <v>1500</v>
      </c>
      <c r="B60">
        <f>equip.xml!G64</f>
        <v>10</v>
      </c>
      <c r="C60" t="str">
        <f>MID(equip.xml!M64,1,3)</f>
        <v>103</v>
      </c>
      <c r="D60" s="1" t="s">
        <v>8</v>
      </c>
      <c r="F60">
        <v>96</v>
      </c>
      <c r="G60" t="str">
        <f t="shared" si="0"/>
        <v>77,101</v>
      </c>
    </row>
    <row r="61" spans="1:7">
      <c r="A61" t="s">
        <v>1501</v>
      </c>
      <c r="B61">
        <f>equip.xml!G65</f>
        <v>10</v>
      </c>
      <c r="C61" t="str">
        <f>MID(equip.xml!M65,1,3)</f>
        <v>103</v>
      </c>
      <c r="D61" s="1" t="s">
        <v>8</v>
      </c>
      <c r="F61">
        <v>96</v>
      </c>
      <c r="G61" t="str">
        <f t="shared" si="0"/>
        <v>77,101</v>
      </c>
    </row>
    <row r="62" spans="1:7">
      <c r="A62" t="s">
        <v>1502</v>
      </c>
      <c r="B62">
        <f>equip.xml!G66</f>
        <v>10</v>
      </c>
      <c r="C62" t="str">
        <f>MID(equip.xml!M66,1,3)</f>
        <v>102</v>
      </c>
      <c r="D62" s="1" t="s">
        <v>8</v>
      </c>
      <c r="F62">
        <v>96</v>
      </c>
      <c r="G62" t="str">
        <f t="shared" si="0"/>
        <v>77,101</v>
      </c>
    </row>
    <row r="63" spans="1:7">
      <c r="A63" t="s">
        <v>1503</v>
      </c>
      <c r="B63">
        <f>equip.xml!G67</f>
        <v>10</v>
      </c>
      <c r="C63" t="str">
        <f>MID(equip.xml!M67,1,3)</f>
        <v>102</v>
      </c>
      <c r="D63" s="1" t="s">
        <v>8</v>
      </c>
      <c r="F63">
        <v>96</v>
      </c>
      <c r="G63" t="str">
        <f t="shared" si="0"/>
        <v>77,101</v>
      </c>
    </row>
    <row r="64" spans="1:7">
      <c r="A64" t="s">
        <v>1504</v>
      </c>
      <c r="B64">
        <f>equip.xml!G68</f>
        <v>10</v>
      </c>
      <c r="C64" t="str">
        <f>MID(equip.xml!M68,1,3)</f>
        <v>105</v>
      </c>
      <c r="D64" s="1" t="s">
        <v>8</v>
      </c>
      <c r="F64">
        <v>74</v>
      </c>
      <c r="G64" t="str">
        <f t="shared" si="0"/>
        <v>59,78</v>
      </c>
    </row>
    <row r="65" spans="1:7">
      <c r="A65" t="s">
        <v>1505</v>
      </c>
      <c r="B65">
        <f>equip.xml!G69</f>
        <v>10</v>
      </c>
      <c r="C65" t="str">
        <f>MID(equip.xml!M69,1,3)</f>
        <v>105</v>
      </c>
      <c r="D65" s="1" t="s">
        <v>8</v>
      </c>
      <c r="F65">
        <v>74</v>
      </c>
      <c r="G65" t="str">
        <f t="shared" si="0"/>
        <v>59,78</v>
      </c>
    </row>
    <row r="66" spans="1:7">
      <c r="A66" t="s">
        <v>1506</v>
      </c>
      <c r="B66">
        <f>equip.xml!G70</f>
        <v>10</v>
      </c>
      <c r="C66" t="str">
        <f>MID(equip.xml!M70,1,3)</f>
        <v>105</v>
      </c>
      <c r="D66" s="1" t="s">
        <v>8</v>
      </c>
      <c r="F66">
        <v>74</v>
      </c>
      <c r="G66" t="str">
        <f t="shared" si="0"/>
        <v>59,78</v>
      </c>
    </row>
    <row r="67" spans="1:7">
      <c r="A67" t="s">
        <v>1507</v>
      </c>
      <c r="B67">
        <f>equip.xml!G71</f>
        <v>10</v>
      </c>
      <c r="C67" t="str">
        <f>MID(equip.xml!M71,1,3)</f>
        <v>105</v>
      </c>
      <c r="D67" s="1" t="s">
        <v>8</v>
      </c>
      <c r="F67">
        <v>74</v>
      </c>
      <c r="G67" t="str">
        <f t="shared" ref="G67:G130" si="1">ROUND(F67*0.8,0)&amp;","&amp;ROUND(F67*1.05,0)</f>
        <v>59,78</v>
      </c>
    </row>
    <row r="68" spans="1:7">
      <c r="A68" t="s">
        <v>1508</v>
      </c>
      <c r="B68">
        <f>equip.xml!G72</f>
        <v>15</v>
      </c>
      <c r="C68" t="str">
        <f>MID(equip.xml!M72,1,3)</f>
        <v>106</v>
      </c>
      <c r="D68" s="1" t="s">
        <v>8</v>
      </c>
      <c r="F68">
        <v>124</v>
      </c>
      <c r="G68" t="str">
        <f t="shared" si="1"/>
        <v>99,130</v>
      </c>
    </row>
    <row r="69" spans="1:7">
      <c r="A69" t="s">
        <v>1509</v>
      </c>
      <c r="B69">
        <f>equip.xml!G73</f>
        <v>15</v>
      </c>
      <c r="C69" t="str">
        <f>MID(equip.xml!M73,1,3)</f>
        <v>102</v>
      </c>
      <c r="D69" s="1" t="s">
        <v>8</v>
      </c>
      <c r="F69">
        <v>124</v>
      </c>
      <c r="G69" t="str">
        <f t="shared" si="1"/>
        <v>99,130</v>
      </c>
    </row>
    <row r="70" spans="1:7">
      <c r="A70" t="s">
        <v>1510</v>
      </c>
      <c r="B70">
        <f>equip.xml!G74</f>
        <v>15</v>
      </c>
      <c r="C70" t="str">
        <f>MID(equip.xml!M74,1,3)</f>
        <v>101</v>
      </c>
      <c r="D70" s="1" t="s">
        <v>8</v>
      </c>
      <c r="F70">
        <v>124</v>
      </c>
      <c r="G70" t="str">
        <f t="shared" si="1"/>
        <v>99,130</v>
      </c>
    </row>
    <row r="71" spans="1:7">
      <c r="A71" t="s">
        <v>1511</v>
      </c>
      <c r="B71">
        <f>equip.xml!G75</f>
        <v>15</v>
      </c>
      <c r="C71" t="str">
        <f>MID(equip.xml!M75,1,3)</f>
        <v>110</v>
      </c>
      <c r="D71" s="1" t="s">
        <v>8</v>
      </c>
      <c r="F71">
        <v>124</v>
      </c>
      <c r="G71" t="str">
        <f t="shared" si="1"/>
        <v>99,130</v>
      </c>
    </row>
    <row r="72" spans="1:7">
      <c r="A72" t="s">
        <v>1512</v>
      </c>
      <c r="B72">
        <f>equip.xml!G76</f>
        <v>15</v>
      </c>
      <c r="C72" t="str">
        <f>MID(equip.xml!M76,1,3)</f>
        <v>108</v>
      </c>
      <c r="D72" s="1" t="s">
        <v>8</v>
      </c>
      <c r="F72">
        <v>124</v>
      </c>
      <c r="G72" t="str">
        <f t="shared" si="1"/>
        <v>99,130</v>
      </c>
    </row>
    <row r="73" spans="1:7">
      <c r="A73" t="s">
        <v>1513</v>
      </c>
      <c r="B73">
        <f>equip.xml!G77</f>
        <v>15</v>
      </c>
      <c r="C73" t="str">
        <f>MID(equip.xml!M77,1,3)</f>
        <v>107</v>
      </c>
      <c r="D73" s="1" t="s">
        <v>8</v>
      </c>
      <c r="F73">
        <v>124</v>
      </c>
      <c r="G73" t="str">
        <f t="shared" si="1"/>
        <v>99,130</v>
      </c>
    </row>
    <row r="74" spans="1:7">
      <c r="A74" t="s">
        <v>1514</v>
      </c>
      <c r="B74">
        <f>equip.xml!G78</f>
        <v>15</v>
      </c>
      <c r="C74" t="str">
        <f>MID(equip.xml!M78,1,3)</f>
        <v>103</v>
      </c>
      <c r="D74" s="1" t="s">
        <v>8</v>
      </c>
      <c r="F74">
        <v>161</v>
      </c>
      <c r="G74" t="str">
        <f t="shared" si="1"/>
        <v>129,169</v>
      </c>
    </row>
    <row r="75" spans="1:7">
      <c r="A75" t="s">
        <v>1515</v>
      </c>
      <c r="B75">
        <f>equip.xml!G79</f>
        <v>15</v>
      </c>
      <c r="C75" t="str">
        <f>MID(equip.xml!M79,1,3)</f>
        <v>103</v>
      </c>
      <c r="D75" s="1" t="s">
        <v>8</v>
      </c>
      <c r="F75">
        <v>161</v>
      </c>
      <c r="G75" t="str">
        <f t="shared" si="1"/>
        <v>129,169</v>
      </c>
    </row>
    <row r="76" spans="1:7">
      <c r="A76" t="s">
        <v>1516</v>
      </c>
      <c r="B76">
        <f>equip.xml!G80</f>
        <v>15</v>
      </c>
      <c r="C76" t="str">
        <f>MID(equip.xml!M80,1,3)</f>
        <v>105</v>
      </c>
      <c r="D76" s="1" t="s">
        <v>8</v>
      </c>
      <c r="F76">
        <v>161</v>
      </c>
      <c r="G76" t="str">
        <f t="shared" si="1"/>
        <v>129,169</v>
      </c>
    </row>
    <row r="77" spans="1:7">
      <c r="A77" t="s">
        <v>1517</v>
      </c>
      <c r="B77">
        <f>equip.xml!G81</f>
        <v>15</v>
      </c>
      <c r="C77" t="str">
        <f>MID(equip.xml!M81,1,3)</f>
        <v>105</v>
      </c>
      <c r="D77" s="1" t="s">
        <v>8</v>
      </c>
      <c r="F77">
        <v>161</v>
      </c>
      <c r="G77" t="str">
        <f t="shared" si="1"/>
        <v>129,169</v>
      </c>
    </row>
    <row r="78" spans="1:7">
      <c r="A78" t="s">
        <v>1518</v>
      </c>
      <c r="B78">
        <f>equip.xml!G82</f>
        <v>15</v>
      </c>
      <c r="C78" t="str">
        <f>MID(equip.xml!M82,1,3)</f>
        <v>103</v>
      </c>
      <c r="D78" s="1" t="s">
        <v>8</v>
      </c>
      <c r="F78">
        <v>161</v>
      </c>
      <c r="G78" t="str">
        <f t="shared" si="1"/>
        <v>129,169</v>
      </c>
    </row>
    <row r="79" spans="1:7">
      <c r="A79" t="s">
        <v>1519</v>
      </c>
      <c r="B79">
        <f>equip.xml!G83</f>
        <v>15</v>
      </c>
      <c r="C79" t="str">
        <f>MID(equip.xml!M83,1,3)</f>
        <v>103</v>
      </c>
      <c r="D79" s="1" t="s">
        <v>8</v>
      </c>
      <c r="F79">
        <v>161</v>
      </c>
      <c r="G79" t="str">
        <f t="shared" si="1"/>
        <v>129,169</v>
      </c>
    </row>
    <row r="80" spans="1:7">
      <c r="A80" t="s">
        <v>1520</v>
      </c>
      <c r="B80">
        <f>equip.xml!G84</f>
        <v>15</v>
      </c>
      <c r="C80" t="str">
        <f>MID(equip.xml!M84,1,3)</f>
        <v>108</v>
      </c>
      <c r="D80" s="1" t="s">
        <v>8</v>
      </c>
      <c r="F80">
        <v>161</v>
      </c>
      <c r="G80" t="str">
        <f t="shared" si="1"/>
        <v>129,169</v>
      </c>
    </row>
    <row r="81" spans="1:7">
      <c r="A81" t="s">
        <v>1521</v>
      </c>
      <c r="B81">
        <f>equip.xml!G85</f>
        <v>15</v>
      </c>
      <c r="C81" t="str">
        <f>MID(equip.xml!M85,1,3)</f>
        <v>108</v>
      </c>
      <c r="D81" s="1" t="s">
        <v>8</v>
      </c>
      <c r="F81">
        <v>161</v>
      </c>
      <c r="G81" t="str">
        <f t="shared" si="1"/>
        <v>129,169</v>
      </c>
    </row>
    <row r="82" spans="1:7">
      <c r="A82" t="s">
        <v>1522</v>
      </c>
      <c r="B82">
        <f>equip.xml!G86</f>
        <v>15</v>
      </c>
      <c r="C82" t="str">
        <f>MID(equip.xml!M86,1,3)</f>
        <v>103</v>
      </c>
      <c r="D82" s="1" t="s">
        <v>8</v>
      </c>
      <c r="F82">
        <v>161</v>
      </c>
      <c r="G82" t="str">
        <f t="shared" si="1"/>
        <v>129,169</v>
      </c>
    </row>
    <row r="83" spans="1:7">
      <c r="A83" t="s">
        <v>1523</v>
      </c>
      <c r="B83">
        <f>equip.xml!G87</f>
        <v>15</v>
      </c>
      <c r="C83" t="str">
        <f>MID(equip.xml!M87,1,3)</f>
        <v>103</v>
      </c>
      <c r="D83" s="1" t="s">
        <v>8</v>
      </c>
      <c r="F83">
        <v>161</v>
      </c>
      <c r="G83" t="str">
        <f t="shared" si="1"/>
        <v>129,169</v>
      </c>
    </row>
    <row r="84" spans="1:7">
      <c r="A84" t="s">
        <v>1524</v>
      </c>
      <c r="B84">
        <f>equip.xml!G88</f>
        <v>15</v>
      </c>
      <c r="C84" t="str">
        <f>MID(equip.xml!M88,1,3)</f>
        <v>102</v>
      </c>
      <c r="D84" s="1" t="s">
        <v>8</v>
      </c>
      <c r="F84">
        <v>161</v>
      </c>
      <c r="G84" t="str">
        <f t="shared" si="1"/>
        <v>129,169</v>
      </c>
    </row>
    <row r="85" spans="1:7">
      <c r="A85" t="s">
        <v>1525</v>
      </c>
      <c r="B85">
        <f>equip.xml!G89</f>
        <v>15</v>
      </c>
      <c r="C85" t="str">
        <f>MID(equip.xml!M89,1,3)</f>
        <v>102</v>
      </c>
      <c r="D85" s="1" t="s">
        <v>8</v>
      </c>
      <c r="F85">
        <v>161</v>
      </c>
      <c r="G85" t="str">
        <f t="shared" si="1"/>
        <v>129,169</v>
      </c>
    </row>
    <row r="86" spans="1:7">
      <c r="A86" t="s">
        <v>1526</v>
      </c>
      <c r="B86">
        <f>equip.xml!G90</f>
        <v>15</v>
      </c>
      <c r="C86" t="str">
        <f>MID(equip.xml!M90,1,3)</f>
        <v>105</v>
      </c>
      <c r="D86" s="1" t="s">
        <v>8</v>
      </c>
      <c r="F86">
        <v>124</v>
      </c>
      <c r="G86" t="str">
        <f t="shared" si="1"/>
        <v>99,130</v>
      </c>
    </row>
    <row r="87" spans="1:7">
      <c r="A87" t="s">
        <v>1527</v>
      </c>
      <c r="B87">
        <f>equip.xml!G91</f>
        <v>15</v>
      </c>
      <c r="C87" t="str">
        <f>MID(equip.xml!M91,1,3)</f>
        <v>105</v>
      </c>
      <c r="D87" s="1" t="s">
        <v>8</v>
      </c>
      <c r="F87">
        <v>124</v>
      </c>
      <c r="G87" t="str">
        <f t="shared" si="1"/>
        <v>99,130</v>
      </c>
    </row>
    <row r="88" spans="1:7">
      <c r="A88" t="s">
        <v>1528</v>
      </c>
      <c r="B88">
        <f>equip.xml!G92</f>
        <v>15</v>
      </c>
      <c r="C88" t="str">
        <f>MID(equip.xml!M92,1,3)</f>
        <v>105</v>
      </c>
      <c r="D88" s="1" t="s">
        <v>8</v>
      </c>
      <c r="F88">
        <v>124</v>
      </c>
      <c r="G88" t="str">
        <f t="shared" si="1"/>
        <v>99,130</v>
      </c>
    </row>
    <row r="89" spans="1:7">
      <c r="A89" t="s">
        <v>1529</v>
      </c>
      <c r="B89">
        <f>equip.xml!G93</f>
        <v>15</v>
      </c>
      <c r="C89" t="str">
        <f>MID(equip.xml!M93,1,3)</f>
        <v>105</v>
      </c>
      <c r="D89" s="1" t="s">
        <v>8</v>
      </c>
      <c r="F89">
        <v>124</v>
      </c>
      <c r="G89" t="str">
        <f t="shared" si="1"/>
        <v>99,130</v>
      </c>
    </row>
    <row r="90" spans="1:7">
      <c r="A90" t="s">
        <v>1530</v>
      </c>
      <c r="B90">
        <f>equip.xml!G94</f>
        <v>20</v>
      </c>
      <c r="C90" t="str">
        <f>MID(equip.xml!M94,1,3)</f>
        <v>106</v>
      </c>
      <c r="D90" s="1" t="s">
        <v>8</v>
      </c>
      <c r="F90">
        <v>161</v>
      </c>
      <c r="G90" t="str">
        <f t="shared" si="1"/>
        <v>129,169</v>
      </c>
    </row>
    <row r="91" spans="1:7">
      <c r="A91" t="s">
        <v>1531</v>
      </c>
      <c r="B91">
        <f>equip.xml!G95</f>
        <v>20</v>
      </c>
      <c r="C91" t="str">
        <f>MID(equip.xml!M95,1,3)</f>
        <v>102</v>
      </c>
      <c r="D91" s="1" t="s">
        <v>8</v>
      </c>
      <c r="F91">
        <v>161</v>
      </c>
      <c r="G91" t="str">
        <f t="shared" si="1"/>
        <v>129,169</v>
      </c>
    </row>
    <row r="92" spans="1:7">
      <c r="A92" t="s">
        <v>1532</v>
      </c>
      <c r="B92">
        <f>equip.xml!G96</f>
        <v>20</v>
      </c>
      <c r="C92" t="str">
        <f>MID(equip.xml!M96,1,3)</f>
        <v>101</v>
      </c>
      <c r="D92" s="1" t="s">
        <v>8</v>
      </c>
      <c r="F92">
        <v>161</v>
      </c>
      <c r="G92" t="str">
        <f t="shared" si="1"/>
        <v>129,169</v>
      </c>
    </row>
    <row r="93" spans="1:7">
      <c r="A93" t="s">
        <v>1533</v>
      </c>
      <c r="B93">
        <f>equip.xml!G97</f>
        <v>20</v>
      </c>
      <c r="C93" t="str">
        <f>MID(equip.xml!M97,1,3)</f>
        <v>110</v>
      </c>
      <c r="D93" s="1" t="s">
        <v>8</v>
      </c>
      <c r="F93">
        <v>161</v>
      </c>
      <c r="G93" t="str">
        <f t="shared" si="1"/>
        <v>129,169</v>
      </c>
    </row>
    <row r="94" spans="1:7">
      <c r="A94" t="s">
        <v>1534</v>
      </c>
      <c r="B94">
        <f>equip.xml!G98</f>
        <v>20</v>
      </c>
      <c r="C94" t="str">
        <f>MID(equip.xml!M98,1,3)</f>
        <v>108</v>
      </c>
      <c r="D94" s="1" t="s">
        <v>8</v>
      </c>
      <c r="F94">
        <v>161</v>
      </c>
      <c r="G94" t="str">
        <f t="shared" si="1"/>
        <v>129,169</v>
      </c>
    </row>
    <row r="95" spans="1:7">
      <c r="A95" t="s">
        <v>1535</v>
      </c>
      <c r="B95">
        <f>equip.xml!G99</f>
        <v>20</v>
      </c>
      <c r="C95" t="str">
        <f>MID(equip.xml!M99,1,3)</f>
        <v>107</v>
      </c>
      <c r="D95" s="1" t="s">
        <v>8</v>
      </c>
      <c r="F95">
        <v>161</v>
      </c>
      <c r="G95" t="str">
        <f t="shared" si="1"/>
        <v>129,169</v>
      </c>
    </row>
    <row r="96" spans="1:7">
      <c r="A96">
        <v>50201050</v>
      </c>
      <c r="B96">
        <f>equip.xml!G100</f>
        <v>20</v>
      </c>
      <c r="C96" t="str">
        <f>MID(equip.xml!M100,1,3)</f>
        <v>103</v>
      </c>
      <c r="D96" s="1" t="s">
        <v>8</v>
      </c>
      <c r="F96">
        <v>209</v>
      </c>
      <c r="G96" t="str">
        <f t="shared" si="1"/>
        <v>167,219</v>
      </c>
    </row>
    <row r="97" spans="1:7">
      <c r="A97" t="s">
        <v>1536</v>
      </c>
      <c r="B97">
        <f>equip.xml!G101</f>
        <v>20</v>
      </c>
      <c r="C97" t="str">
        <f>MID(equip.xml!M101,1,3)</f>
        <v>103</v>
      </c>
      <c r="D97" s="1" t="s">
        <v>8</v>
      </c>
      <c r="F97">
        <v>209</v>
      </c>
      <c r="G97" t="str">
        <f t="shared" si="1"/>
        <v>167,219</v>
      </c>
    </row>
    <row r="98" spans="1:7">
      <c r="A98" t="s">
        <v>1537</v>
      </c>
      <c r="B98">
        <f>equip.xml!G102</f>
        <v>20</v>
      </c>
      <c r="C98" t="str">
        <f>MID(equip.xml!M102,1,3)</f>
        <v>105</v>
      </c>
      <c r="D98" s="1" t="s">
        <v>8</v>
      </c>
      <c r="F98">
        <v>209</v>
      </c>
      <c r="G98" t="str">
        <f t="shared" si="1"/>
        <v>167,219</v>
      </c>
    </row>
    <row r="99" spans="1:7">
      <c r="A99" t="s">
        <v>1538</v>
      </c>
      <c r="B99">
        <f>equip.xml!G103</f>
        <v>20</v>
      </c>
      <c r="C99" t="str">
        <f>MID(equip.xml!M103,1,3)</f>
        <v>105</v>
      </c>
      <c r="D99" s="1" t="s">
        <v>8</v>
      </c>
      <c r="F99">
        <v>209</v>
      </c>
      <c r="G99" t="str">
        <f t="shared" si="1"/>
        <v>167,219</v>
      </c>
    </row>
    <row r="100" spans="1:7">
      <c r="A100">
        <v>50202050</v>
      </c>
      <c r="B100">
        <f>equip.xml!G104</f>
        <v>20</v>
      </c>
      <c r="C100" t="str">
        <f>MID(equip.xml!M104,1,3)</f>
        <v>103</v>
      </c>
      <c r="D100" s="1" t="s">
        <v>8</v>
      </c>
      <c r="F100">
        <v>209</v>
      </c>
      <c r="G100" t="str">
        <f t="shared" si="1"/>
        <v>167,219</v>
      </c>
    </row>
    <row r="101" spans="1:7">
      <c r="A101" t="s">
        <v>1539</v>
      </c>
      <c r="B101">
        <f>equip.xml!G105</f>
        <v>20</v>
      </c>
      <c r="C101" t="str">
        <f>MID(equip.xml!M105,1,3)</f>
        <v>103</v>
      </c>
      <c r="D101" s="1" t="s">
        <v>8</v>
      </c>
      <c r="F101">
        <v>209</v>
      </c>
      <c r="G101" t="str">
        <f t="shared" si="1"/>
        <v>167,219</v>
      </c>
    </row>
    <row r="102" spans="1:7">
      <c r="A102" t="s">
        <v>1540</v>
      </c>
      <c r="B102">
        <f>equip.xml!G106</f>
        <v>20</v>
      </c>
      <c r="C102" t="str">
        <f>MID(equip.xml!M106,1,3)</f>
        <v>108</v>
      </c>
      <c r="D102" s="1" t="s">
        <v>8</v>
      </c>
      <c r="F102">
        <v>209</v>
      </c>
      <c r="G102" t="str">
        <f t="shared" si="1"/>
        <v>167,219</v>
      </c>
    </row>
    <row r="103" spans="1:7">
      <c r="A103" t="s">
        <v>1541</v>
      </c>
      <c r="B103">
        <f>equip.xml!G107</f>
        <v>20</v>
      </c>
      <c r="C103" t="str">
        <f>MID(equip.xml!M107,1,3)</f>
        <v>108</v>
      </c>
      <c r="D103" s="1" t="s">
        <v>8</v>
      </c>
      <c r="F103">
        <v>209</v>
      </c>
      <c r="G103" t="str">
        <f t="shared" si="1"/>
        <v>167,219</v>
      </c>
    </row>
    <row r="104" spans="1:7">
      <c r="A104" t="s">
        <v>1542</v>
      </c>
      <c r="B104">
        <f>equip.xml!G108</f>
        <v>20</v>
      </c>
      <c r="C104" t="str">
        <f>MID(equip.xml!M108,1,3)</f>
        <v>103</v>
      </c>
      <c r="D104" s="1" t="s">
        <v>8</v>
      </c>
      <c r="F104">
        <v>209</v>
      </c>
      <c r="G104" t="str">
        <f t="shared" si="1"/>
        <v>167,219</v>
      </c>
    </row>
    <row r="105" spans="1:7">
      <c r="A105">
        <v>50203051</v>
      </c>
      <c r="B105">
        <f>equip.xml!G109</f>
        <v>20</v>
      </c>
      <c r="C105" t="str">
        <f>MID(equip.xml!M109,1,3)</f>
        <v>103</v>
      </c>
      <c r="D105" s="1" t="s">
        <v>8</v>
      </c>
      <c r="F105">
        <v>209</v>
      </c>
      <c r="G105" t="str">
        <f t="shared" si="1"/>
        <v>167,219</v>
      </c>
    </row>
    <row r="106" spans="1:7">
      <c r="A106" t="s">
        <v>1543</v>
      </c>
      <c r="B106">
        <f>equip.xml!G110</f>
        <v>20</v>
      </c>
      <c r="C106" t="str">
        <f>MID(equip.xml!M110,1,3)</f>
        <v>102</v>
      </c>
      <c r="D106" s="1" t="s">
        <v>8</v>
      </c>
      <c r="F106">
        <v>209</v>
      </c>
      <c r="G106" t="str">
        <f t="shared" si="1"/>
        <v>167,219</v>
      </c>
    </row>
    <row r="107" spans="1:7">
      <c r="A107" t="s">
        <v>1544</v>
      </c>
      <c r="B107">
        <f>equip.xml!G111</f>
        <v>20</v>
      </c>
      <c r="C107" t="str">
        <f>MID(equip.xml!M111,1,3)</f>
        <v>102</v>
      </c>
      <c r="D107" s="1" t="s">
        <v>8</v>
      </c>
      <c r="F107">
        <v>209</v>
      </c>
      <c r="G107" t="str">
        <f t="shared" si="1"/>
        <v>167,219</v>
      </c>
    </row>
    <row r="108" spans="1:7">
      <c r="A108" t="s">
        <v>1545</v>
      </c>
      <c r="B108">
        <f>equip.xml!G112</f>
        <v>20</v>
      </c>
      <c r="C108" t="str">
        <f>MID(equip.xml!M112,1,3)</f>
        <v>105</v>
      </c>
      <c r="D108" s="1" t="s">
        <v>8</v>
      </c>
      <c r="F108">
        <v>161</v>
      </c>
      <c r="G108" t="str">
        <f t="shared" si="1"/>
        <v>129,169</v>
      </c>
    </row>
    <row r="109" spans="1:7">
      <c r="A109" t="s">
        <v>1546</v>
      </c>
      <c r="B109">
        <f>equip.xml!G113</f>
        <v>20</v>
      </c>
      <c r="C109" t="str">
        <f>MID(equip.xml!M113,1,3)</f>
        <v>105</v>
      </c>
      <c r="D109" s="1" t="s">
        <v>8</v>
      </c>
      <c r="F109">
        <v>161</v>
      </c>
      <c r="G109" t="str">
        <f t="shared" si="1"/>
        <v>129,169</v>
      </c>
    </row>
    <row r="110" spans="1:7">
      <c r="A110" t="s">
        <v>1547</v>
      </c>
      <c r="B110">
        <f>equip.xml!G114</f>
        <v>20</v>
      </c>
      <c r="C110" t="str">
        <f>MID(equip.xml!M114,1,3)</f>
        <v>105</v>
      </c>
      <c r="D110" s="1" t="s">
        <v>8</v>
      </c>
      <c r="F110">
        <v>161</v>
      </c>
      <c r="G110" t="str">
        <f t="shared" si="1"/>
        <v>129,169</v>
      </c>
    </row>
    <row r="111" spans="1:7">
      <c r="A111" t="s">
        <v>1548</v>
      </c>
      <c r="B111">
        <f>equip.xml!G115</f>
        <v>20</v>
      </c>
      <c r="C111" t="str">
        <f>MID(equip.xml!M115,1,3)</f>
        <v>105</v>
      </c>
      <c r="D111" s="1" t="s">
        <v>8</v>
      </c>
      <c r="F111">
        <v>161</v>
      </c>
      <c r="G111" t="str">
        <f t="shared" si="1"/>
        <v>129,169</v>
      </c>
    </row>
    <row r="112" spans="1:7">
      <c r="A112" t="s">
        <v>1549</v>
      </c>
      <c r="B112">
        <f>equip.xml!G116</f>
        <v>25</v>
      </c>
      <c r="C112" t="str">
        <f>MID(equip.xml!M116,1,3)</f>
        <v>106</v>
      </c>
      <c r="D112" s="1" t="s">
        <v>8</v>
      </c>
      <c r="F112">
        <v>193</v>
      </c>
      <c r="G112" t="str">
        <f t="shared" si="1"/>
        <v>154,203</v>
      </c>
    </row>
    <row r="113" spans="1:7">
      <c r="A113" t="s">
        <v>1550</v>
      </c>
      <c r="B113">
        <f>equip.xml!G117</f>
        <v>25</v>
      </c>
      <c r="C113" t="str">
        <f>MID(equip.xml!M117,1,3)</f>
        <v>102</v>
      </c>
      <c r="D113" s="1" t="s">
        <v>8</v>
      </c>
      <c r="F113">
        <v>193</v>
      </c>
      <c r="G113" t="str">
        <f t="shared" si="1"/>
        <v>154,203</v>
      </c>
    </row>
    <row r="114" spans="1:7">
      <c r="A114" t="s">
        <v>1551</v>
      </c>
      <c r="B114">
        <f>equip.xml!G118</f>
        <v>25</v>
      </c>
      <c r="C114" t="str">
        <f>MID(equip.xml!M118,1,3)</f>
        <v>101</v>
      </c>
      <c r="D114" s="1" t="s">
        <v>8</v>
      </c>
      <c r="F114">
        <v>193</v>
      </c>
      <c r="G114" t="str">
        <f t="shared" si="1"/>
        <v>154,203</v>
      </c>
    </row>
    <row r="115" spans="1:7">
      <c r="A115" t="s">
        <v>1552</v>
      </c>
      <c r="B115">
        <f>equip.xml!G119</f>
        <v>25</v>
      </c>
      <c r="C115" t="str">
        <f>MID(equip.xml!M119,1,3)</f>
        <v>110</v>
      </c>
      <c r="D115" s="1" t="s">
        <v>8</v>
      </c>
      <c r="F115">
        <v>193</v>
      </c>
      <c r="G115" t="str">
        <f t="shared" si="1"/>
        <v>154,203</v>
      </c>
    </row>
    <row r="116" spans="1:7">
      <c r="A116" t="s">
        <v>1553</v>
      </c>
      <c r="B116">
        <f>equip.xml!G120</f>
        <v>25</v>
      </c>
      <c r="C116" t="str">
        <f>MID(equip.xml!M120,1,3)</f>
        <v>108</v>
      </c>
      <c r="D116" s="1" t="s">
        <v>8</v>
      </c>
      <c r="F116">
        <v>193</v>
      </c>
      <c r="G116" t="str">
        <f t="shared" si="1"/>
        <v>154,203</v>
      </c>
    </row>
    <row r="117" spans="1:7">
      <c r="A117" t="s">
        <v>1554</v>
      </c>
      <c r="B117">
        <f>equip.xml!G121</f>
        <v>25</v>
      </c>
      <c r="C117" t="str">
        <f>MID(equip.xml!M121,1,3)</f>
        <v>107</v>
      </c>
      <c r="D117" s="1" t="s">
        <v>8</v>
      </c>
      <c r="F117">
        <v>193</v>
      </c>
      <c r="G117" t="str">
        <f t="shared" si="1"/>
        <v>154,203</v>
      </c>
    </row>
    <row r="118" spans="1:7">
      <c r="A118" t="s">
        <v>1555</v>
      </c>
      <c r="B118">
        <f>equip.xml!G122</f>
        <v>25</v>
      </c>
      <c r="C118" t="str">
        <f>MID(equip.xml!M122,1,3)</f>
        <v>103</v>
      </c>
      <c r="D118" s="1" t="s">
        <v>8</v>
      </c>
      <c r="F118">
        <v>251</v>
      </c>
      <c r="G118" t="str">
        <f t="shared" si="1"/>
        <v>201,264</v>
      </c>
    </row>
    <row r="119" spans="1:7">
      <c r="A119" t="s">
        <v>1556</v>
      </c>
      <c r="B119">
        <f>equip.xml!G123</f>
        <v>25</v>
      </c>
      <c r="C119" t="str">
        <f>MID(equip.xml!M123,1,3)</f>
        <v>103</v>
      </c>
      <c r="D119" s="1" t="s">
        <v>8</v>
      </c>
      <c r="F119">
        <v>251</v>
      </c>
      <c r="G119" t="str">
        <f t="shared" si="1"/>
        <v>201,264</v>
      </c>
    </row>
    <row r="120" spans="1:7">
      <c r="A120" t="s">
        <v>1557</v>
      </c>
      <c r="B120">
        <f>equip.xml!G124</f>
        <v>25</v>
      </c>
      <c r="C120" t="str">
        <f>MID(equip.xml!M124,1,3)</f>
        <v>105</v>
      </c>
      <c r="D120" s="1" t="s">
        <v>8</v>
      </c>
      <c r="F120">
        <v>251</v>
      </c>
      <c r="G120" t="str">
        <f t="shared" si="1"/>
        <v>201,264</v>
      </c>
    </row>
    <row r="121" spans="1:7">
      <c r="A121" t="s">
        <v>1558</v>
      </c>
      <c r="B121">
        <f>equip.xml!G125</f>
        <v>25</v>
      </c>
      <c r="C121" t="str">
        <f>MID(equip.xml!M125,1,3)</f>
        <v>105</v>
      </c>
      <c r="D121" s="1" t="s">
        <v>8</v>
      </c>
      <c r="F121">
        <v>251</v>
      </c>
      <c r="G121" t="str">
        <f t="shared" si="1"/>
        <v>201,264</v>
      </c>
    </row>
    <row r="122" spans="1:7">
      <c r="A122" t="s">
        <v>1559</v>
      </c>
      <c r="B122">
        <f>equip.xml!G126</f>
        <v>25</v>
      </c>
      <c r="C122" t="str">
        <f>MID(equip.xml!M126,1,3)</f>
        <v>103</v>
      </c>
      <c r="D122" s="1" t="s">
        <v>8</v>
      </c>
      <c r="F122">
        <v>251</v>
      </c>
      <c r="G122" t="str">
        <f t="shared" si="1"/>
        <v>201,264</v>
      </c>
    </row>
    <row r="123" spans="1:7">
      <c r="A123" t="s">
        <v>1560</v>
      </c>
      <c r="B123">
        <f>equip.xml!G127</f>
        <v>25</v>
      </c>
      <c r="C123" t="str">
        <f>MID(equip.xml!M127,1,3)</f>
        <v>103</v>
      </c>
      <c r="D123" s="1" t="s">
        <v>8</v>
      </c>
      <c r="F123">
        <v>251</v>
      </c>
      <c r="G123" t="str">
        <f t="shared" si="1"/>
        <v>201,264</v>
      </c>
    </row>
    <row r="124" spans="1:7">
      <c r="A124" t="s">
        <v>1561</v>
      </c>
      <c r="B124">
        <f>equip.xml!G128</f>
        <v>25</v>
      </c>
      <c r="C124" t="str">
        <f>MID(equip.xml!M128,1,3)</f>
        <v>108</v>
      </c>
      <c r="D124" s="1" t="s">
        <v>8</v>
      </c>
      <c r="F124">
        <v>251</v>
      </c>
      <c r="G124" t="str">
        <f t="shared" si="1"/>
        <v>201,264</v>
      </c>
    </row>
    <row r="125" spans="1:7">
      <c r="A125" t="s">
        <v>1562</v>
      </c>
      <c r="B125">
        <f>equip.xml!G129</f>
        <v>25</v>
      </c>
      <c r="C125" t="str">
        <f>MID(equip.xml!M129,1,3)</f>
        <v>108</v>
      </c>
      <c r="D125" s="1" t="s">
        <v>8</v>
      </c>
      <c r="F125">
        <v>251</v>
      </c>
      <c r="G125" t="str">
        <f t="shared" si="1"/>
        <v>201,264</v>
      </c>
    </row>
    <row r="126" spans="1:7">
      <c r="A126" t="s">
        <v>1563</v>
      </c>
      <c r="B126">
        <f>equip.xml!G130</f>
        <v>25</v>
      </c>
      <c r="C126" t="str">
        <f>MID(equip.xml!M130,1,3)</f>
        <v>103</v>
      </c>
      <c r="D126" s="1" t="s">
        <v>8</v>
      </c>
      <c r="F126">
        <v>251</v>
      </c>
      <c r="G126" t="str">
        <f t="shared" si="1"/>
        <v>201,264</v>
      </c>
    </row>
    <row r="127" spans="1:7">
      <c r="A127" t="s">
        <v>1564</v>
      </c>
      <c r="B127">
        <f>equip.xml!G131</f>
        <v>25</v>
      </c>
      <c r="C127" t="str">
        <f>MID(equip.xml!M131,1,3)</f>
        <v>103</v>
      </c>
      <c r="D127" s="1" t="s">
        <v>8</v>
      </c>
      <c r="F127">
        <v>251</v>
      </c>
      <c r="G127" t="str">
        <f t="shared" si="1"/>
        <v>201,264</v>
      </c>
    </row>
    <row r="128" spans="1:7">
      <c r="A128" t="s">
        <v>1565</v>
      </c>
      <c r="B128">
        <f>equip.xml!G132</f>
        <v>25</v>
      </c>
      <c r="C128" t="str">
        <f>MID(equip.xml!M132,1,3)</f>
        <v>102</v>
      </c>
      <c r="D128" s="1" t="s">
        <v>8</v>
      </c>
      <c r="F128">
        <v>251</v>
      </c>
      <c r="G128" t="str">
        <f t="shared" si="1"/>
        <v>201,264</v>
      </c>
    </row>
    <row r="129" spans="1:7">
      <c r="A129" t="s">
        <v>1566</v>
      </c>
      <c r="B129">
        <f>equip.xml!G133</f>
        <v>25</v>
      </c>
      <c r="C129" t="str">
        <f>MID(equip.xml!M133,1,3)</f>
        <v>102</v>
      </c>
      <c r="D129" s="1" t="s">
        <v>8</v>
      </c>
      <c r="F129">
        <v>251</v>
      </c>
      <c r="G129" t="str">
        <f t="shared" si="1"/>
        <v>201,264</v>
      </c>
    </row>
    <row r="130" spans="1:7">
      <c r="A130" t="s">
        <v>1567</v>
      </c>
      <c r="B130">
        <f>equip.xml!G134</f>
        <v>25</v>
      </c>
      <c r="C130" t="str">
        <f>MID(equip.xml!M134,1,3)</f>
        <v>105</v>
      </c>
      <c r="D130" s="1" t="s">
        <v>8</v>
      </c>
      <c r="F130">
        <v>193</v>
      </c>
      <c r="G130" t="str">
        <f t="shared" si="1"/>
        <v>154,203</v>
      </c>
    </row>
    <row r="131" spans="1:7">
      <c r="A131" t="s">
        <v>1568</v>
      </c>
      <c r="B131">
        <f>equip.xml!G135</f>
        <v>25</v>
      </c>
      <c r="C131" t="str">
        <f>MID(equip.xml!M135,1,3)</f>
        <v>105</v>
      </c>
      <c r="D131" s="1" t="s">
        <v>8</v>
      </c>
      <c r="F131">
        <v>193</v>
      </c>
      <c r="G131" t="str">
        <f t="shared" ref="G131:G194" si="2">ROUND(F131*0.8,0)&amp;","&amp;ROUND(F131*1.05,0)</f>
        <v>154,203</v>
      </c>
    </row>
    <row r="132" spans="1:7">
      <c r="A132" t="s">
        <v>1569</v>
      </c>
      <c r="B132">
        <f>equip.xml!G136</f>
        <v>25</v>
      </c>
      <c r="C132" t="str">
        <f>MID(equip.xml!M136,1,3)</f>
        <v>105</v>
      </c>
      <c r="D132" s="1" t="s">
        <v>8</v>
      </c>
      <c r="F132">
        <v>193</v>
      </c>
      <c r="G132" t="str">
        <f t="shared" si="2"/>
        <v>154,203</v>
      </c>
    </row>
    <row r="133" spans="1:7">
      <c r="A133" t="s">
        <v>1570</v>
      </c>
      <c r="B133">
        <f>equip.xml!G137</f>
        <v>25</v>
      </c>
      <c r="C133" t="str">
        <f>MID(equip.xml!M137,1,3)</f>
        <v>105</v>
      </c>
      <c r="D133" s="1" t="s">
        <v>8</v>
      </c>
      <c r="F133">
        <v>193</v>
      </c>
      <c r="G133" t="str">
        <f t="shared" si="2"/>
        <v>154,203</v>
      </c>
    </row>
    <row r="134" spans="1:7">
      <c r="A134" t="s">
        <v>1571</v>
      </c>
      <c r="B134">
        <f>equip.xml!G138</f>
        <v>30</v>
      </c>
      <c r="C134" t="str">
        <f>MID(equip.xml!M138,1,3)</f>
        <v>106</v>
      </c>
      <c r="D134" s="1" t="s">
        <v>8</v>
      </c>
      <c r="F134">
        <v>267</v>
      </c>
      <c r="G134" t="str">
        <f t="shared" si="2"/>
        <v>214,280</v>
      </c>
    </row>
    <row r="135" spans="1:7">
      <c r="A135" t="s">
        <v>1572</v>
      </c>
      <c r="B135">
        <f>equip.xml!G139</f>
        <v>30</v>
      </c>
      <c r="C135" t="str">
        <f>MID(equip.xml!M139,1,3)</f>
        <v>102</v>
      </c>
      <c r="D135" s="1" t="s">
        <v>8</v>
      </c>
      <c r="F135">
        <v>267</v>
      </c>
      <c r="G135" t="str">
        <f t="shared" si="2"/>
        <v>214,280</v>
      </c>
    </row>
    <row r="136" spans="1:7">
      <c r="A136" t="s">
        <v>1573</v>
      </c>
      <c r="B136">
        <f>equip.xml!G140</f>
        <v>30</v>
      </c>
      <c r="C136" t="str">
        <f>MID(equip.xml!M140,1,3)</f>
        <v>101</v>
      </c>
      <c r="D136" s="1" t="s">
        <v>8</v>
      </c>
      <c r="F136">
        <v>267</v>
      </c>
      <c r="G136" t="str">
        <f t="shared" si="2"/>
        <v>214,280</v>
      </c>
    </row>
    <row r="137" spans="1:7">
      <c r="A137" t="s">
        <v>1574</v>
      </c>
      <c r="B137">
        <f>equip.xml!G141</f>
        <v>30</v>
      </c>
      <c r="C137" t="str">
        <f>MID(equip.xml!M141,1,3)</f>
        <v>110</v>
      </c>
      <c r="D137" s="1" t="s">
        <v>8</v>
      </c>
      <c r="F137">
        <v>267</v>
      </c>
      <c r="G137" t="str">
        <f t="shared" si="2"/>
        <v>214,280</v>
      </c>
    </row>
    <row r="138" spans="1:7">
      <c r="A138" t="s">
        <v>1575</v>
      </c>
      <c r="B138">
        <f>equip.xml!G142</f>
        <v>30</v>
      </c>
      <c r="C138" t="str">
        <f>MID(equip.xml!M142,1,3)</f>
        <v>108</v>
      </c>
      <c r="D138" s="1" t="s">
        <v>8</v>
      </c>
      <c r="F138">
        <v>267</v>
      </c>
      <c r="G138" t="str">
        <f t="shared" si="2"/>
        <v>214,280</v>
      </c>
    </row>
    <row r="139" spans="1:7">
      <c r="A139" t="s">
        <v>1576</v>
      </c>
      <c r="B139">
        <f>equip.xml!G143</f>
        <v>30</v>
      </c>
      <c r="C139" t="str">
        <f>MID(equip.xml!M143,1,3)</f>
        <v>107</v>
      </c>
      <c r="D139" s="1" t="s">
        <v>8</v>
      </c>
      <c r="F139">
        <v>267</v>
      </c>
      <c r="G139" t="str">
        <f t="shared" si="2"/>
        <v>214,280</v>
      </c>
    </row>
    <row r="140" spans="1:7">
      <c r="A140" t="s">
        <v>1577</v>
      </c>
      <c r="B140">
        <f>equip.xml!G144</f>
        <v>30</v>
      </c>
      <c r="C140" t="str">
        <f>MID(equip.xml!M144,1,3)</f>
        <v>103</v>
      </c>
      <c r="D140" s="1" t="s">
        <v>8</v>
      </c>
      <c r="F140">
        <v>347</v>
      </c>
      <c r="G140" t="str">
        <f t="shared" si="2"/>
        <v>278,364</v>
      </c>
    </row>
    <row r="141" spans="1:7">
      <c r="A141" t="s">
        <v>1578</v>
      </c>
      <c r="B141">
        <f>equip.xml!G145</f>
        <v>30</v>
      </c>
      <c r="C141" t="str">
        <f>MID(equip.xml!M145,1,3)</f>
        <v>103</v>
      </c>
      <c r="D141" s="1" t="s">
        <v>8</v>
      </c>
      <c r="F141">
        <v>347</v>
      </c>
      <c r="G141" t="str">
        <f t="shared" si="2"/>
        <v>278,364</v>
      </c>
    </row>
    <row r="142" spans="1:7">
      <c r="A142" t="s">
        <v>1579</v>
      </c>
      <c r="B142">
        <f>equip.xml!G146</f>
        <v>30</v>
      </c>
      <c r="C142" t="str">
        <f>MID(equip.xml!M146,1,3)</f>
        <v>105</v>
      </c>
      <c r="D142" s="1" t="s">
        <v>8</v>
      </c>
      <c r="F142">
        <v>347</v>
      </c>
      <c r="G142" t="str">
        <f t="shared" si="2"/>
        <v>278,364</v>
      </c>
    </row>
    <row r="143" spans="1:7">
      <c r="A143" t="s">
        <v>1580</v>
      </c>
      <c r="B143">
        <f>equip.xml!G147</f>
        <v>30</v>
      </c>
      <c r="C143" t="str">
        <f>MID(equip.xml!M147,1,3)</f>
        <v>105</v>
      </c>
      <c r="D143" s="1" t="s">
        <v>8</v>
      </c>
      <c r="F143">
        <v>347</v>
      </c>
      <c r="G143" t="str">
        <f t="shared" si="2"/>
        <v>278,364</v>
      </c>
    </row>
    <row r="144" spans="1:7">
      <c r="A144" t="s">
        <v>1581</v>
      </c>
      <c r="B144">
        <f>equip.xml!G148</f>
        <v>30</v>
      </c>
      <c r="C144" t="str">
        <f>MID(equip.xml!M148,1,3)</f>
        <v>103</v>
      </c>
      <c r="D144" s="1" t="s">
        <v>8</v>
      </c>
      <c r="F144">
        <v>347</v>
      </c>
      <c r="G144" t="str">
        <f t="shared" si="2"/>
        <v>278,364</v>
      </c>
    </row>
    <row r="145" spans="1:7">
      <c r="A145" t="s">
        <v>1582</v>
      </c>
      <c r="B145">
        <f>equip.xml!G149</f>
        <v>30</v>
      </c>
      <c r="C145" t="str">
        <f>MID(equip.xml!M149,1,3)</f>
        <v>103</v>
      </c>
      <c r="D145" s="1" t="s">
        <v>8</v>
      </c>
      <c r="F145">
        <v>347</v>
      </c>
      <c r="G145" t="str">
        <f t="shared" si="2"/>
        <v>278,364</v>
      </c>
    </row>
    <row r="146" spans="1:7">
      <c r="A146" t="s">
        <v>1583</v>
      </c>
      <c r="B146">
        <f>equip.xml!G150</f>
        <v>30</v>
      </c>
      <c r="C146" t="str">
        <f>MID(equip.xml!M150,1,3)</f>
        <v>108</v>
      </c>
      <c r="D146" s="1" t="s">
        <v>8</v>
      </c>
      <c r="F146">
        <v>347</v>
      </c>
      <c r="G146" t="str">
        <f t="shared" si="2"/>
        <v>278,364</v>
      </c>
    </row>
    <row r="147" spans="1:7">
      <c r="A147" t="s">
        <v>1584</v>
      </c>
      <c r="B147">
        <f>equip.xml!G151</f>
        <v>30</v>
      </c>
      <c r="C147" t="str">
        <f>MID(equip.xml!M151,1,3)</f>
        <v>108</v>
      </c>
      <c r="D147" s="1" t="s">
        <v>8</v>
      </c>
      <c r="F147">
        <v>347</v>
      </c>
      <c r="G147" t="str">
        <f t="shared" si="2"/>
        <v>278,364</v>
      </c>
    </row>
    <row r="148" spans="1:7">
      <c r="A148" t="s">
        <v>1585</v>
      </c>
      <c r="B148">
        <f>equip.xml!G152</f>
        <v>30</v>
      </c>
      <c r="C148" t="str">
        <f>MID(equip.xml!M152,1,3)</f>
        <v>103</v>
      </c>
      <c r="D148" s="1" t="s">
        <v>8</v>
      </c>
      <c r="F148">
        <v>347</v>
      </c>
      <c r="G148" t="str">
        <f t="shared" si="2"/>
        <v>278,364</v>
      </c>
    </row>
    <row r="149" spans="1:7">
      <c r="A149" t="s">
        <v>1586</v>
      </c>
      <c r="B149">
        <f>equip.xml!G153</f>
        <v>30</v>
      </c>
      <c r="C149" t="str">
        <f>MID(equip.xml!M153,1,3)</f>
        <v>103</v>
      </c>
      <c r="D149" s="1" t="s">
        <v>8</v>
      </c>
      <c r="F149">
        <v>347</v>
      </c>
      <c r="G149" t="str">
        <f t="shared" si="2"/>
        <v>278,364</v>
      </c>
    </row>
    <row r="150" spans="1:7">
      <c r="A150" t="s">
        <v>1587</v>
      </c>
      <c r="B150">
        <f>equip.xml!G154</f>
        <v>30</v>
      </c>
      <c r="C150" t="str">
        <f>MID(equip.xml!M154,1,3)</f>
        <v>102</v>
      </c>
      <c r="D150" s="1" t="s">
        <v>8</v>
      </c>
      <c r="F150">
        <v>347</v>
      </c>
      <c r="G150" t="str">
        <f t="shared" si="2"/>
        <v>278,364</v>
      </c>
    </row>
    <row r="151" spans="1:7">
      <c r="A151" t="s">
        <v>1588</v>
      </c>
      <c r="B151">
        <f>equip.xml!G155</f>
        <v>30</v>
      </c>
      <c r="C151" t="str">
        <f>MID(equip.xml!M155,1,3)</f>
        <v>102</v>
      </c>
      <c r="D151" s="1" t="s">
        <v>8</v>
      </c>
      <c r="F151">
        <v>347</v>
      </c>
      <c r="G151" t="str">
        <f t="shared" si="2"/>
        <v>278,364</v>
      </c>
    </row>
    <row r="152" spans="1:7">
      <c r="A152" t="s">
        <v>1589</v>
      </c>
      <c r="B152">
        <f>equip.xml!G156</f>
        <v>30</v>
      </c>
      <c r="C152" t="str">
        <f>MID(equip.xml!M156,1,3)</f>
        <v>105</v>
      </c>
      <c r="D152" s="1" t="s">
        <v>8</v>
      </c>
      <c r="F152">
        <v>267</v>
      </c>
      <c r="G152" t="str">
        <f t="shared" si="2"/>
        <v>214,280</v>
      </c>
    </row>
    <row r="153" spans="1:7">
      <c r="A153" t="s">
        <v>1590</v>
      </c>
      <c r="B153">
        <f>equip.xml!G157</f>
        <v>30</v>
      </c>
      <c r="C153" t="str">
        <f>MID(equip.xml!M157,1,3)</f>
        <v>105</v>
      </c>
      <c r="D153" s="1" t="s">
        <v>8</v>
      </c>
      <c r="F153">
        <v>267</v>
      </c>
      <c r="G153" t="str">
        <f t="shared" si="2"/>
        <v>214,280</v>
      </c>
    </row>
    <row r="154" spans="1:7">
      <c r="A154" t="s">
        <v>1591</v>
      </c>
      <c r="B154">
        <f>equip.xml!G158</f>
        <v>30</v>
      </c>
      <c r="C154" t="str">
        <f>MID(equip.xml!M158,1,3)</f>
        <v>105</v>
      </c>
      <c r="D154" s="1" t="s">
        <v>8</v>
      </c>
      <c r="F154">
        <v>267</v>
      </c>
      <c r="G154" t="str">
        <f t="shared" si="2"/>
        <v>214,280</v>
      </c>
    </row>
    <row r="155" spans="1:7">
      <c r="A155" t="s">
        <v>1592</v>
      </c>
      <c r="B155">
        <f>equip.xml!G159</f>
        <v>30</v>
      </c>
      <c r="C155" t="str">
        <f>MID(equip.xml!M159,1,3)</f>
        <v>105</v>
      </c>
      <c r="D155" s="1" t="s">
        <v>8</v>
      </c>
      <c r="F155">
        <v>267</v>
      </c>
      <c r="G155" t="str">
        <f t="shared" si="2"/>
        <v>214,280</v>
      </c>
    </row>
    <row r="156" spans="1:7">
      <c r="A156" t="s">
        <v>1593</v>
      </c>
      <c r="B156">
        <f>equip.xml!G160</f>
        <v>35</v>
      </c>
      <c r="C156" t="str">
        <f>MID(equip.xml!M160,1,3)</f>
        <v>106</v>
      </c>
      <c r="D156" s="1" t="s">
        <v>8</v>
      </c>
      <c r="F156">
        <v>336</v>
      </c>
      <c r="G156" t="str">
        <f t="shared" si="2"/>
        <v>269,353</v>
      </c>
    </row>
    <row r="157" spans="1:7">
      <c r="A157" t="s">
        <v>1594</v>
      </c>
      <c r="B157">
        <f>equip.xml!G161</f>
        <v>35</v>
      </c>
      <c r="C157" t="str">
        <f>MID(equip.xml!M161,1,3)</f>
        <v>102</v>
      </c>
      <c r="D157" s="1" t="s">
        <v>8</v>
      </c>
      <c r="F157">
        <v>336</v>
      </c>
      <c r="G157" t="str">
        <f t="shared" si="2"/>
        <v>269,353</v>
      </c>
    </row>
    <row r="158" spans="1:7">
      <c r="A158" t="s">
        <v>1595</v>
      </c>
      <c r="B158">
        <f>equip.xml!G162</f>
        <v>35</v>
      </c>
      <c r="C158" t="str">
        <f>MID(equip.xml!M162,1,3)</f>
        <v>101</v>
      </c>
      <c r="D158" s="1" t="s">
        <v>8</v>
      </c>
      <c r="F158">
        <v>336</v>
      </c>
      <c r="G158" t="str">
        <f t="shared" si="2"/>
        <v>269,353</v>
      </c>
    </row>
    <row r="159" spans="1:7">
      <c r="A159" t="s">
        <v>1596</v>
      </c>
      <c r="B159">
        <f>equip.xml!G163</f>
        <v>35</v>
      </c>
      <c r="C159" t="str">
        <f>MID(equip.xml!M163,1,3)</f>
        <v>110</v>
      </c>
      <c r="D159" s="1" t="s">
        <v>8</v>
      </c>
      <c r="F159">
        <v>336</v>
      </c>
      <c r="G159" t="str">
        <f t="shared" si="2"/>
        <v>269,353</v>
      </c>
    </row>
    <row r="160" spans="1:7">
      <c r="A160" t="s">
        <v>1597</v>
      </c>
      <c r="B160">
        <f>equip.xml!G164</f>
        <v>35</v>
      </c>
      <c r="C160" t="str">
        <f>MID(equip.xml!M164,1,3)</f>
        <v>108</v>
      </c>
      <c r="D160" s="1" t="s">
        <v>8</v>
      </c>
      <c r="F160">
        <v>336</v>
      </c>
      <c r="G160" t="str">
        <f t="shared" si="2"/>
        <v>269,353</v>
      </c>
    </row>
    <row r="161" spans="1:7">
      <c r="A161" t="s">
        <v>1598</v>
      </c>
      <c r="B161">
        <f>equip.xml!G165</f>
        <v>35</v>
      </c>
      <c r="C161" t="str">
        <f>MID(equip.xml!M165,1,3)</f>
        <v>107</v>
      </c>
      <c r="D161" s="1" t="s">
        <v>8</v>
      </c>
      <c r="F161">
        <v>336</v>
      </c>
      <c r="G161" t="str">
        <f t="shared" si="2"/>
        <v>269,353</v>
      </c>
    </row>
    <row r="162" spans="1:7">
      <c r="A162" t="s">
        <v>1599</v>
      </c>
      <c r="B162">
        <f>equip.xml!G166</f>
        <v>35</v>
      </c>
      <c r="C162" t="str">
        <f>MID(equip.xml!M166,1,3)</f>
        <v>103</v>
      </c>
      <c r="D162" s="1" t="s">
        <v>8</v>
      </c>
      <c r="F162">
        <v>437</v>
      </c>
      <c r="G162" t="str">
        <f t="shared" si="2"/>
        <v>350,459</v>
      </c>
    </row>
    <row r="163" spans="1:7">
      <c r="A163" t="s">
        <v>1600</v>
      </c>
      <c r="B163">
        <f>equip.xml!G167</f>
        <v>35</v>
      </c>
      <c r="C163" t="str">
        <f>MID(equip.xml!M167,1,3)</f>
        <v>103</v>
      </c>
      <c r="D163" s="1" t="s">
        <v>8</v>
      </c>
      <c r="F163">
        <v>437</v>
      </c>
      <c r="G163" t="str">
        <f t="shared" si="2"/>
        <v>350,459</v>
      </c>
    </row>
    <row r="164" spans="1:7">
      <c r="A164" t="s">
        <v>1601</v>
      </c>
      <c r="B164">
        <f>equip.xml!G168</f>
        <v>35</v>
      </c>
      <c r="C164" t="str">
        <f>MID(equip.xml!M168,1,3)</f>
        <v>105</v>
      </c>
      <c r="D164" s="1" t="s">
        <v>8</v>
      </c>
      <c r="F164">
        <v>437</v>
      </c>
      <c r="G164" t="str">
        <f t="shared" si="2"/>
        <v>350,459</v>
      </c>
    </row>
    <row r="165" spans="1:7">
      <c r="A165" t="s">
        <v>1602</v>
      </c>
      <c r="B165">
        <f>equip.xml!G169</f>
        <v>35</v>
      </c>
      <c r="C165" t="str">
        <f>MID(equip.xml!M169,1,3)</f>
        <v>105</v>
      </c>
      <c r="D165" s="1" t="s">
        <v>8</v>
      </c>
      <c r="F165">
        <v>437</v>
      </c>
      <c r="G165" t="str">
        <f t="shared" si="2"/>
        <v>350,459</v>
      </c>
    </row>
    <row r="166" spans="1:7">
      <c r="A166" t="s">
        <v>1603</v>
      </c>
      <c r="B166">
        <f>equip.xml!G170</f>
        <v>35</v>
      </c>
      <c r="C166" t="str">
        <f>MID(equip.xml!M170,1,3)</f>
        <v>103</v>
      </c>
      <c r="D166" s="1" t="s">
        <v>8</v>
      </c>
      <c r="F166">
        <v>437</v>
      </c>
      <c r="G166" t="str">
        <f t="shared" si="2"/>
        <v>350,459</v>
      </c>
    </row>
    <row r="167" spans="1:7">
      <c r="A167" t="s">
        <v>1604</v>
      </c>
      <c r="B167">
        <f>equip.xml!G171</f>
        <v>35</v>
      </c>
      <c r="C167" t="str">
        <f>MID(equip.xml!M171,1,3)</f>
        <v>103</v>
      </c>
      <c r="D167" s="1" t="s">
        <v>8</v>
      </c>
      <c r="F167">
        <v>437</v>
      </c>
      <c r="G167" t="str">
        <f t="shared" si="2"/>
        <v>350,459</v>
      </c>
    </row>
    <row r="168" spans="1:7">
      <c r="A168" t="s">
        <v>1605</v>
      </c>
      <c r="B168">
        <f>equip.xml!G172</f>
        <v>35</v>
      </c>
      <c r="C168" t="str">
        <f>MID(equip.xml!M172,1,3)</f>
        <v>108</v>
      </c>
      <c r="D168" s="1" t="s">
        <v>8</v>
      </c>
      <c r="F168">
        <v>437</v>
      </c>
      <c r="G168" t="str">
        <f t="shared" si="2"/>
        <v>350,459</v>
      </c>
    </row>
    <row r="169" spans="1:7">
      <c r="A169" t="s">
        <v>1606</v>
      </c>
      <c r="B169">
        <f>equip.xml!G173</f>
        <v>35</v>
      </c>
      <c r="C169" t="str">
        <f>MID(equip.xml!M173,1,3)</f>
        <v>108</v>
      </c>
      <c r="D169" s="1" t="s">
        <v>8</v>
      </c>
      <c r="F169">
        <v>437</v>
      </c>
      <c r="G169" t="str">
        <f t="shared" si="2"/>
        <v>350,459</v>
      </c>
    </row>
    <row r="170" spans="1:7">
      <c r="A170" t="s">
        <v>1607</v>
      </c>
      <c r="B170">
        <f>equip.xml!G174</f>
        <v>35</v>
      </c>
      <c r="C170" t="str">
        <f>MID(equip.xml!M174,1,3)</f>
        <v>103</v>
      </c>
      <c r="D170" s="1" t="s">
        <v>8</v>
      </c>
      <c r="F170">
        <v>437</v>
      </c>
      <c r="G170" t="str">
        <f t="shared" si="2"/>
        <v>350,459</v>
      </c>
    </row>
    <row r="171" spans="1:7">
      <c r="A171" t="s">
        <v>1608</v>
      </c>
      <c r="B171">
        <f>equip.xml!G175</f>
        <v>35</v>
      </c>
      <c r="C171" t="str">
        <f>MID(equip.xml!M175,1,3)</f>
        <v>103</v>
      </c>
      <c r="D171" s="1" t="s">
        <v>8</v>
      </c>
      <c r="F171">
        <v>437</v>
      </c>
      <c r="G171" t="str">
        <f t="shared" si="2"/>
        <v>350,459</v>
      </c>
    </row>
    <row r="172" spans="1:7">
      <c r="A172" t="s">
        <v>1609</v>
      </c>
      <c r="B172">
        <f>equip.xml!G176</f>
        <v>35</v>
      </c>
      <c r="C172" t="str">
        <f>MID(equip.xml!M176,1,3)</f>
        <v>102</v>
      </c>
      <c r="D172" s="1" t="s">
        <v>8</v>
      </c>
      <c r="F172">
        <v>437</v>
      </c>
      <c r="G172" t="str">
        <f t="shared" si="2"/>
        <v>350,459</v>
      </c>
    </row>
    <row r="173" spans="1:7">
      <c r="A173" t="s">
        <v>1610</v>
      </c>
      <c r="B173">
        <f>equip.xml!G177</f>
        <v>35</v>
      </c>
      <c r="C173" t="str">
        <f>MID(equip.xml!M177,1,3)</f>
        <v>102</v>
      </c>
      <c r="D173" s="1" t="s">
        <v>8</v>
      </c>
      <c r="F173">
        <v>437</v>
      </c>
      <c r="G173" t="str">
        <f t="shared" si="2"/>
        <v>350,459</v>
      </c>
    </row>
    <row r="174" spans="1:7">
      <c r="A174" t="s">
        <v>1611</v>
      </c>
      <c r="B174">
        <f>equip.xml!G178</f>
        <v>35</v>
      </c>
      <c r="C174" t="str">
        <f>MID(equip.xml!M178,1,3)</f>
        <v>105</v>
      </c>
      <c r="D174" s="1" t="s">
        <v>8</v>
      </c>
      <c r="F174">
        <v>336</v>
      </c>
      <c r="G174" t="str">
        <f t="shared" si="2"/>
        <v>269,353</v>
      </c>
    </row>
    <row r="175" spans="1:7">
      <c r="A175" t="s">
        <v>1612</v>
      </c>
      <c r="B175">
        <f>equip.xml!G179</f>
        <v>35</v>
      </c>
      <c r="C175" t="str">
        <f>MID(equip.xml!M179,1,3)</f>
        <v>105</v>
      </c>
      <c r="D175" s="1" t="s">
        <v>8</v>
      </c>
      <c r="F175">
        <v>336</v>
      </c>
      <c r="G175" t="str">
        <f t="shared" si="2"/>
        <v>269,353</v>
      </c>
    </row>
    <row r="176" spans="1:7">
      <c r="A176" t="s">
        <v>1613</v>
      </c>
      <c r="B176">
        <f>equip.xml!G180</f>
        <v>35</v>
      </c>
      <c r="C176" t="str">
        <f>MID(equip.xml!M180,1,3)</f>
        <v>105</v>
      </c>
      <c r="D176" s="1" t="s">
        <v>8</v>
      </c>
      <c r="F176">
        <v>336</v>
      </c>
      <c r="G176" t="str">
        <f t="shared" si="2"/>
        <v>269,353</v>
      </c>
    </row>
    <row r="177" spans="1:7">
      <c r="A177" t="s">
        <v>1614</v>
      </c>
      <c r="B177">
        <f>equip.xml!G181</f>
        <v>35</v>
      </c>
      <c r="C177" t="str">
        <f>MID(equip.xml!M181,1,3)</f>
        <v>105</v>
      </c>
      <c r="D177" s="1" t="s">
        <v>8</v>
      </c>
      <c r="F177">
        <v>336</v>
      </c>
      <c r="G177" t="str">
        <f t="shared" si="2"/>
        <v>269,353</v>
      </c>
    </row>
    <row r="178" spans="1:7">
      <c r="A178" t="s">
        <v>1615</v>
      </c>
      <c r="B178">
        <f>equip.xml!G182</f>
        <v>40</v>
      </c>
      <c r="C178" t="str">
        <f>MID(equip.xml!M182,1,3)</f>
        <v>106</v>
      </c>
      <c r="D178" s="1" t="s">
        <v>8</v>
      </c>
      <c r="F178">
        <v>423</v>
      </c>
      <c r="G178" t="str">
        <f t="shared" si="2"/>
        <v>338,444</v>
      </c>
    </row>
    <row r="179" spans="1:7">
      <c r="A179" t="s">
        <v>1616</v>
      </c>
      <c r="B179">
        <f>equip.xml!G183</f>
        <v>40</v>
      </c>
      <c r="C179" t="str">
        <f>MID(equip.xml!M183,1,3)</f>
        <v>102</v>
      </c>
      <c r="D179" s="1" t="s">
        <v>8</v>
      </c>
      <c r="F179">
        <v>423</v>
      </c>
      <c r="G179" t="str">
        <f t="shared" si="2"/>
        <v>338,444</v>
      </c>
    </row>
    <row r="180" spans="1:7">
      <c r="A180" t="s">
        <v>1617</v>
      </c>
      <c r="B180">
        <f>equip.xml!G184</f>
        <v>40</v>
      </c>
      <c r="C180" t="str">
        <f>MID(equip.xml!M184,1,3)</f>
        <v>101</v>
      </c>
      <c r="D180" s="1" t="s">
        <v>8</v>
      </c>
      <c r="F180">
        <v>423</v>
      </c>
      <c r="G180" t="str">
        <f t="shared" si="2"/>
        <v>338,444</v>
      </c>
    </row>
    <row r="181" spans="1:7">
      <c r="A181" t="s">
        <v>1618</v>
      </c>
      <c r="B181">
        <f>equip.xml!G185</f>
        <v>40</v>
      </c>
      <c r="C181" t="str">
        <f>MID(equip.xml!M185,1,3)</f>
        <v>110</v>
      </c>
      <c r="D181" s="1" t="s">
        <v>8</v>
      </c>
      <c r="F181">
        <v>423</v>
      </c>
      <c r="G181" t="str">
        <f t="shared" si="2"/>
        <v>338,444</v>
      </c>
    </row>
    <row r="182" spans="1:7">
      <c r="A182" t="s">
        <v>1619</v>
      </c>
      <c r="B182">
        <f>equip.xml!G186</f>
        <v>40</v>
      </c>
      <c r="C182" t="str">
        <f>MID(equip.xml!M186,1,3)</f>
        <v>108</v>
      </c>
      <c r="D182" s="1" t="s">
        <v>8</v>
      </c>
      <c r="F182">
        <v>423</v>
      </c>
      <c r="G182" t="str">
        <f t="shared" si="2"/>
        <v>338,444</v>
      </c>
    </row>
    <row r="183" spans="1:7">
      <c r="A183" t="s">
        <v>1620</v>
      </c>
      <c r="B183">
        <f>equip.xml!G187</f>
        <v>40</v>
      </c>
      <c r="C183" t="str">
        <f>MID(equip.xml!M187,1,3)</f>
        <v>107</v>
      </c>
      <c r="D183" s="1" t="s">
        <v>8</v>
      </c>
      <c r="F183">
        <v>423</v>
      </c>
      <c r="G183" t="str">
        <f t="shared" si="2"/>
        <v>338,444</v>
      </c>
    </row>
    <row r="184" spans="1:7">
      <c r="A184" t="s">
        <v>1621</v>
      </c>
      <c r="B184">
        <f>equip.xml!G188</f>
        <v>40</v>
      </c>
      <c r="C184" t="str">
        <f>MID(equip.xml!M188,1,3)</f>
        <v>103</v>
      </c>
      <c r="D184" s="1" t="s">
        <v>8</v>
      </c>
      <c r="F184">
        <v>550</v>
      </c>
      <c r="G184" t="str">
        <f t="shared" si="2"/>
        <v>440,578</v>
      </c>
    </row>
    <row r="185" spans="1:7">
      <c r="A185" t="s">
        <v>1622</v>
      </c>
      <c r="B185">
        <f>equip.xml!G189</f>
        <v>40</v>
      </c>
      <c r="C185" t="str">
        <f>MID(equip.xml!M189,1,3)</f>
        <v>103</v>
      </c>
      <c r="D185" s="1" t="s">
        <v>8</v>
      </c>
      <c r="F185">
        <v>550</v>
      </c>
      <c r="G185" t="str">
        <f t="shared" si="2"/>
        <v>440,578</v>
      </c>
    </row>
    <row r="186" spans="1:7">
      <c r="A186" t="s">
        <v>1623</v>
      </c>
      <c r="B186">
        <f>equip.xml!G190</f>
        <v>40</v>
      </c>
      <c r="C186" t="str">
        <f>MID(equip.xml!M190,1,3)</f>
        <v>105</v>
      </c>
      <c r="D186" s="1" t="s">
        <v>8</v>
      </c>
      <c r="F186">
        <v>550</v>
      </c>
      <c r="G186" t="str">
        <f t="shared" si="2"/>
        <v>440,578</v>
      </c>
    </row>
    <row r="187" spans="1:7">
      <c r="A187" t="s">
        <v>1624</v>
      </c>
      <c r="B187">
        <f>equip.xml!G191</f>
        <v>40</v>
      </c>
      <c r="C187" t="str">
        <f>MID(equip.xml!M191,1,3)</f>
        <v>105</v>
      </c>
      <c r="D187" s="1" t="s">
        <v>8</v>
      </c>
      <c r="F187">
        <v>550</v>
      </c>
      <c r="G187" t="str">
        <f t="shared" si="2"/>
        <v>440,578</v>
      </c>
    </row>
    <row r="188" spans="1:7">
      <c r="A188" t="s">
        <v>1625</v>
      </c>
      <c r="B188">
        <f>equip.xml!G192</f>
        <v>40</v>
      </c>
      <c r="C188" t="str">
        <f>MID(equip.xml!M192,1,3)</f>
        <v>103</v>
      </c>
      <c r="D188" s="1" t="s">
        <v>8</v>
      </c>
      <c r="F188">
        <v>550</v>
      </c>
      <c r="G188" t="str">
        <f t="shared" si="2"/>
        <v>440,578</v>
      </c>
    </row>
    <row r="189" spans="1:7">
      <c r="A189" t="s">
        <v>1626</v>
      </c>
      <c r="B189">
        <f>equip.xml!G193</f>
        <v>40</v>
      </c>
      <c r="C189" t="str">
        <f>MID(equip.xml!M193,1,3)</f>
        <v>103</v>
      </c>
      <c r="D189" s="1" t="s">
        <v>8</v>
      </c>
      <c r="F189">
        <v>550</v>
      </c>
      <c r="G189" t="str">
        <f t="shared" si="2"/>
        <v>440,578</v>
      </c>
    </row>
    <row r="190" spans="1:7">
      <c r="A190" t="s">
        <v>1627</v>
      </c>
      <c r="B190">
        <f>equip.xml!G194</f>
        <v>40</v>
      </c>
      <c r="C190" t="str">
        <f>MID(equip.xml!M194,1,3)</f>
        <v>108</v>
      </c>
      <c r="D190" s="1" t="s">
        <v>8</v>
      </c>
      <c r="F190">
        <v>550</v>
      </c>
      <c r="G190" t="str">
        <f t="shared" si="2"/>
        <v>440,578</v>
      </c>
    </row>
    <row r="191" spans="1:7">
      <c r="A191" t="s">
        <v>1628</v>
      </c>
      <c r="B191">
        <f>equip.xml!G195</f>
        <v>40</v>
      </c>
      <c r="C191" t="str">
        <f>MID(equip.xml!M195,1,3)</f>
        <v>108</v>
      </c>
      <c r="D191" s="1" t="s">
        <v>8</v>
      </c>
      <c r="F191">
        <v>550</v>
      </c>
      <c r="G191" t="str">
        <f t="shared" si="2"/>
        <v>440,578</v>
      </c>
    </row>
    <row r="192" spans="1:7">
      <c r="A192" t="s">
        <v>1629</v>
      </c>
      <c r="B192">
        <f>equip.xml!G196</f>
        <v>40</v>
      </c>
      <c r="C192" t="str">
        <f>MID(equip.xml!M196,1,3)</f>
        <v>103</v>
      </c>
      <c r="D192" s="1" t="s">
        <v>8</v>
      </c>
      <c r="F192">
        <v>550</v>
      </c>
      <c r="G192" t="str">
        <f t="shared" si="2"/>
        <v>440,578</v>
      </c>
    </row>
    <row r="193" spans="1:7">
      <c r="A193" t="s">
        <v>1630</v>
      </c>
      <c r="B193">
        <f>equip.xml!G197</f>
        <v>40</v>
      </c>
      <c r="C193" t="str">
        <f>MID(equip.xml!M197,1,3)</f>
        <v>103</v>
      </c>
      <c r="D193" s="1" t="s">
        <v>8</v>
      </c>
      <c r="F193">
        <v>550</v>
      </c>
      <c r="G193" t="str">
        <f t="shared" si="2"/>
        <v>440,578</v>
      </c>
    </row>
    <row r="194" spans="1:7">
      <c r="A194" t="s">
        <v>1631</v>
      </c>
      <c r="B194">
        <f>equip.xml!G198</f>
        <v>40</v>
      </c>
      <c r="C194" t="str">
        <f>MID(equip.xml!M198,1,3)</f>
        <v>102</v>
      </c>
      <c r="D194" s="1" t="s">
        <v>8</v>
      </c>
      <c r="F194">
        <v>550</v>
      </c>
      <c r="G194" t="str">
        <f t="shared" si="2"/>
        <v>440,578</v>
      </c>
    </row>
    <row r="195" spans="1:7">
      <c r="A195" t="s">
        <v>1632</v>
      </c>
      <c r="B195">
        <f>equip.xml!G199</f>
        <v>40</v>
      </c>
      <c r="C195" t="str">
        <f>MID(equip.xml!M199,1,3)</f>
        <v>102</v>
      </c>
      <c r="D195" s="1" t="s">
        <v>8</v>
      </c>
      <c r="F195">
        <v>550</v>
      </c>
      <c r="G195" t="str">
        <f t="shared" ref="G195:G258" si="3">ROUND(F195*0.8,0)&amp;","&amp;ROUND(F195*1.05,0)</f>
        <v>440,578</v>
      </c>
    </row>
    <row r="196" spans="1:7">
      <c r="A196" t="s">
        <v>1633</v>
      </c>
      <c r="B196">
        <f>equip.xml!G200</f>
        <v>40</v>
      </c>
      <c r="C196" t="str">
        <f>MID(equip.xml!M200,1,3)</f>
        <v>105</v>
      </c>
      <c r="D196" s="1" t="s">
        <v>8</v>
      </c>
      <c r="F196">
        <v>423</v>
      </c>
      <c r="G196" t="str">
        <f t="shared" si="3"/>
        <v>338,444</v>
      </c>
    </row>
    <row r="197" spans="1:7">
      <c r="A197" t="s">
        <v>1634</v>
      </c>
      <c r="B197">
        <f>equip.xml!G201</f>
        <v>40</v>
      </c>
      <c r="C197" t="str">
        <f>MID(equip.xml!M201,1,3)</f>
        <v>105</v>
      </c>
      <c r="D197" s="1" t="s">
        <v>8</v>
      </c>
      <c r="F197">
        <v>423</v>
      </c>
      <c r="G197" t="str">
        <f t="shared" si="3"/>
        <v>338,444</v>
      </c>
    </row>
    <row r="198" spans="1:7">
      <c r="A198" t="s">
        <v>1635</v>
      </c>
      <c r="B198">
        <f>equip.xml!G202</f>
        <v>40</v>
      </c>
      <c r="C198" t="str">
        <f>MID(equip.xml!M202,1,3)</f>
        <v>105</v>
      </c>
      <c r="D198" s="1" t="s">
        <v>8</v>
      </c>
      <c r="F198">
        <v>423</v>
      </c>
      <c r="G198" t="str">
        <f t="shared" si="3"/>
        <v>338,444</v>
      </c>
    </row>
    <row r="199" spans="1:7">
      <c r="A199" t="s">
        <v>1636</v>
      </c>
      <c r="B199">
        <f>equip.xml!G203</f>
        <v>40</v>
      </c>
      <c r="C199" t="str">
        <f>MID(equip.xml!M203,1,3)</f>
        <v>105</v>
      </c>
      <c r="D199" s="1" t="s">
        <v>8</v>
      </c>
      <c r="F199">
        <v>423</v>
      </c>
      <c r="G199" t="str">
        <f t="shared" si="3"/>
        <v>338,444</v>
      </c>
    </row>
    <row r="200" spans="1:7">
      <c r="A200" t="s">
        <v>1637</v>
      </c>
      <c r="B200">
        <f>equip.xml!G204</f>
        <v>45</v>
      </c>
      <c r="C200" t="str">
        <f>MID(equip.xml!M204,1,3)</f>
        <v>106</v>
      </c>
      <c r="D200" s="1" t="s">
        <v>8</v>
      </c>
      <c r="F200">
        <v>570</v>
      </c>
      <c r="G200" t="str">
        <f t="shared" si="3"/>
        <v>456,599</v>
      </c>
    </row>
    <row r="201" spans="1:7">
      <c r="A201" t="s">
        <v>1638</v>
      </c>
      <c r="B201">
        <f>equip.xml!G205</f>
        <v>45</v>
      </c>
      <c r="C201" t="str">
        <f>MID(equip.xml!M205,1,3)</f>
        <v>102</v>
      </c>
      <c r="D201" s="1" t="s">
        <v>8</v>
      </c>
      <c r="F201">
        <v>570</v>
      </c>
      <c r="G201" t="str">
        <f t="shared" si="3"/>
        <v>456,599</v>
      </c>
    </row>
    <row r="202" spans="1:7">
      <c r="A202" t="s">
        <v>1639</v>
      </c>
      <c r="B202">
        <f>equip.xml!G206</f>
        <v>45</v>
      </c>
      <c r="C202" t="str">
        <f>MID(equip.xml!M206,1,3)</f>
        <v>101</v>
      </c>
      <c r="D202" s="1" t="s">
        <v>8</v>
      </c>
      <c r="F202">
        <v>570</v>
      </c>
      <c r="G202" t="str">
        <f t="shared" si="3"/>
        <v>456,599</v>
      </c>
    </row>
    <row r="203" spans="1:7">
      <c r="A203" t="s">
        <v>1640</v>
      </c>
      <c r="B203">
        <f>equip.xml!G207</f>
        <v>45</v>
      </c>
      <c r="C203" t="str">
        <f>MID(equip.xml!M207,1,3)</f>
        <v>110</v>
      </c>
      <c r="D203" s="1" t="s">
        <v>8</v>
      </c>
      <c r="F203">
        <v>570</v>
      </c>
      <c r="G203" t="str">
        <f t="shared" si="3"/>
        <v>456,599</v>
      </c>
    </row>
    <row r="204" spans="1:7">
      <c r="A204" t="s">
        <v>1641</v>
      </c>
      <c r="B204">
        <f>equip.xml!G208</f>
        <v>45</v>
      </c>
      <c r="C204" t="str">
        <f>MID(equip.xml!M208,1,3)</f>
        <v>108</v>
      </c>
      <c r="D204" s="1" t="s">
        <v>8</v>
      </c>
      <c r="F204">
        <v>570</v>
      </c>
      <c r="G204" t="str">
        <f t="shared" si="3"/>
        <v>456,599</v>
      </c>
    </row>
    <row r="205" spans="1:7">
      <c r="A205" t="s">
        <v>1642</v>
      </c>
      <c r="B205">
        <f>equip.xml!G209</f>
        <v>45</v>
      </c>
      <c r="C205" t="str">
        <f>MID(equip.xml!M209,1,3)</f>
        <v>107</v>
      </c>
      <c r="D205" s="1" t="s">
        <v>8</v>
      </c>
      <c r="F205">
        <v>570</v>
      </c>
      <c r="G205" t="str">
        <f t="shared" si="3"/>
        <v>456,599</v>
      </c>
    </row>
    <row r="206" spans="1:7">
      <c r="A206" t="s">
        <v>1643</v>
      </c>
      <c r="B206">
        <f>equip.xml!G210</f>
        <v>45</v>
      </c>
      <c r="C206" t="str">
        <f>MID(equip.xml!M210,1,3)</f>
        <v>103</v>
      </c>
      <c r="D206" s="1" t="s">
        <v>8</v>
      </c>
      <c r="F206">
        <v>741</v>
      </c>
      <c r="G206" t="str">
        <f t="shared" si="3"/>
        <v>593,778</v>
      </c>
    </row>
    <row r="207" spans="1:7">
      <c r="A207" t="s">
        <v>1644</v>
      </c>
      <c r="B207">
        <f>equip.xml!G211</f>
        <v>45</v>
      </c>
      <c r="C207" t="str">
        <f>MID(equip.xml!M211,1,3)</f>
        <v>103</v>
      </c>
      <c r="D207" s="1" t="s">
        <v>8</v>
      </c>
      <c r="F207">
        <v>741</v>
      </c>
      <c r="G207" t="str">
        <f t="shared" si="3"/>
        <v>593,778</v>
      </c>
    </row>
    <row r="208" spans="1:7">
      <c r="A208" t="s">
        <v>1645</v>
      </c>
      <c r="B208">
        <f>equip.xml!G212</f>
        <v>45</v>
      </c>
      <c r="C208" t="str">
        <f>MID(equip.xml!M212,1,3)</f>
        <v>105</v>
      </c>
      <c r="D208" s="1" t="s">
        <v>8</v>
      </c>
      <c r="F208">
        <v>741</v>
      </c>
      <c r="G208" t="str">
        <f t="shared" si="3"/>
        <v>593,778</v>
      </c>
    </row>
    <row r="209" spans="1:7">
      <c r="A209" t="s">
        <v>1646</v>
      </c>
      <c r="B209">
        <f>equip.xml!G213</f>
        <v>45</v>
      </c>
      <c r="C209" t="str">
        <f>MID(equip.xml!M213,1,3)</f>
        <v>105</v>
      </c>
      <c r="D209" s="1" t="s">
        <v>8</v>
      </c>
      <c r="F209">
        <v>741</v>
      </c>
      <c r="G209" t="str">
        <f t="shared" si="3"/>
        <v>593,778</v>
      </c>
    </row>
    <row r="210" spans="1:7">
      <c r="A210" t="s">
        <v>1647</v>
      </c>
      <c r="B210">
        <f>equip.xml!G214</f>
        <v>45</v>
      </c>
      <c r="C210" t="str">
        <f>MID(equip.xml!M214,1,3)</f>
        <v>103</v>
      </c>
      <c r="D210" s="1" t="s">
        <v>8</v>
      </c>
      <c r="F210">
        <v>741</v>
      </c>
      <c r="G210" t="str">
        <f t="shared" si="3"/>
        <v>593,778</v>
      </c>
    </row>
    <row r="211" spans="1:7">
      <c r="A211" t="s">
        <v>1648</v>
      </c>
      <c r="B211">
        <f>equip.xml!G215</f>
        <v>45</v>
      </c>
      <c r="C211" t="str">
        <f>MID(equip.xml!M215,1,3)</f>
        <v>103</v>
      </c>
      <c r="D211" s="1" t="s">
        <v>8</v>
      </c>
      <c r="F211">
        <v>741</v>
      </c>
      <c r="G211" t="str">
        <f t="shared" si="3"/>
        <v>593,778</v>
      </c>
    </row>
    <row r="212" spans="1:7">
      <c r="A212" t="s">
        <v>1649</v>
      </c>
      <c r="B212">
        <f>equip.xml!G216</f>
        <v>45</v>
      </c>
      <c r="C212" t="str">
        <f>MID(equip.xml!M216,1,3)</f>
        <v>108</v>
      </c>
      <c r="D212" s="1" t="s">
        <v>8</v>
      </c>
      <c r="F212">
        <v>741</v>
      </c>
      <c r="G212" t="str">
        <f t="shared" si="3"/>
        <v>593,778</v>
      </c>
    </row>
    <row r="213" spans="1:7">
      <c r="A213" t="s">
        <v>1650</v>
      </c>
      <c r="B213">
        <f>equip.xml!G217</f>
        <v>45</v>
      </c>
      <c r="C213" t="str">
        <f>MID(equip.xml!M217,1,3)</f>
        <v>108</v>
      </c>
      <c r="D213" s="1" t="s">
        <v>8</v>
      </c>
      <c r="F213">
        <v>741</v>
      </c>
      <c r="G213" t="str">
        <f t="shared" si="3"/>
        <v>593,778</v>
      </c>
    </row>
    <row r="214" spans="1:7">
      <c r="A214" t="s">
        <v>1651</v>
      </c>
      <c r="B214">
        <f>equip.xml!G218</f>
        <v>45</v>
      </c>
      <c r="C214" t="str">
        <f>MID(equip.xml!M218,1,3)</f>
        <v>103</v>
      </c>
      <c r="D214" s="1" t="s">
        <v>8</v>
      </c>
      <c r="F214">
        <v>741</v>
      </c>
      <c r="G214" t="str">
        <f t="shared" si="3"/>
        <v>593,778</v>
      </c>
    </row>
    <row r="215" spans="1:7">
      <c r="A215" t="s">
        <v>1652</v>
      </c>
      <c r="B215">
        <f>equip.xml!G219</f>
        <v>45</v>
      </c>
      <c r="C215" t="str">
        <f>MID(equip.xml!M219,1,3)</f>
        <v>103</v>
      </c>
      <c r="D215" s="1" t="s">
        <v>8</v>
      </c>
      <c r="F215">
        <v>741</v>
      </c>
      <c r="G215" t="str">
        <f t="shared" si="3"/>
        <v>593,778</v>
      </c>
    </row>
    <row r="216" spans="1:7">
      <c r="A216" t="s">
        <v>1653</v>
      </c>
      <c r="B216">
        <f>equip.xml!G220</f>
        <v>45</v>
      </c>
      <c r="C216" t="str">
        <f>MID(equip.xml!M220,1,3)</f>
        <v>102</v>
      </c>
      <c r="D216" s="1" t="s">
        <v>8</v>
      </c>
      <c r="F216">
        <v>741</v>
      </c>
      <c r="G216" t="str">
        <f t="shared" si="3"/>
        <v>593,778</v>
      </c>
    </row>
    <row r="217" spans="1:7">
      <c r="A217" t="s">
        <v>1654</v>
      </c>
      <c r="B217">
        <f>equip.xml!G221</f>
        <v>45</v>
      </c>
      <c r="C217" t="str">
        <f>MID(equip.xml!M221,1,3)</f>
        <v>102</v>
      </c>
      <c r="D217" s="1" t="s">
        <v>8</v>
      </c>
      <c r="F217">
        <v>741</v>
      </c>
      <c r="G217" t="str">
        <f t="shared" si="3"/>
        <v>593,778</v>
      </c>
    </row>
    <row r="218" spans="1:7">
      <c r="A218" t="s">
        <v>1655</v>
      </c>
      <c r="B218">
        <f>equip.xml!G222</f>
        <v>45</v>
      </c>
      <c r="C218" t="str">
        <f>MID(equip.xml!M222,1,3)</f>
        <v>105</v>
      </c>
      <c r="D218" s="1" t="s">
        <v>8</v>
      </c>
      <c r="F218">
        <v>570</v>
      </c>
      <c r="G218" t="str">
        <f t="shared" si="3"/>
        <v>456,599</v>
      </c>
    </row>
    <row r="219" spans="1:7">
      <c r="A219" t="s">
        <v>1656</v>
      </c>
      <c r="B219">
        <f>equip.xml!G223</f>
        <v>45</v>
      </c>
      <c r="C219" t="str">
        <f>MID(equip.xml!M223,1,3)</f>
        <v>105</v>
      </c>
      <c r="D219" s="1" t="s">
        <v>8</v>
      </c>
      <c r="F219">
        <v>570</v>
      </c>
      <c r="G219" t="str">
        <f t="shared" si="3"/>
        <v>456,599</v>
      </c>
    </row>
    <row r="220" spans="1:7">
      <c r="A220" t="s">
        <v>1657</v>
      </c>
      <c r="B220">
        <f>equip.xml!G224</f>
        <v>45</v>
      </c>
      <c r="C220" t="str">
        <f>MID(equip.xml!M224,1,3)</f>
        <v>105</v>
      </c>
      <c r="D220" s="1" t="s">
        <v>8</v>
      </c>
      <c r="F220">
        <v>570</v>
      </c>
      <c r="G220" t="str">
        <f t="shared" si="3"/>
        <v>456,599</v>
      </c>
    </row>
    <row r="221" spans="1:7">
      <c r="A221" t="s">
        <v>1658</v>
      </c>
      <c r="B221">
        <f>equip.xml!G225</f>
        <v>45</v>
      </c>
      <c r="C221" t="str">
        <f>MID(equip.xml!M225,1,3)</f>
        <v>105</v>
      </c>
      <c r="D221" s="1" t="s">
        <v>8</v>
      </c>
      <c r="F221">
        <v>570</v>
      </c>
      <c r="G221" t="str">
        <f t="shared" si="3"/>
        <v>456,599</v>
      </c>
    </row>
    <row r="222" spans="1:7">
      <c r="A222" t="s">
        <v>1659</v>
      </c>
      <c r="B222">
        <f>equip.xml!G226</f>
        <v>50</v>
      </c>
      <c r="C222" t="str">
        <f>MID(equip.xml!M226,1,3)</f>
        <v>106</v>
      </c>
      <c r="D222" s="1" t="s">
        <v>8</v>
      </c>
      <c r="F222">
        <v>644</v>
      </c>
      <c r="G222" t="str">
        <f t="shared" si="3"/>
        <v>515,676</v>
      </c>
    </row>
    <row r="223" spans="1:7">
      <c r="A223" t="s">
        <v>1660</v>
      </c>
      <c r="B223">
        <f>equip.xml!G227</f>
        <v>50</v>
      </c>
      <c r="C223" t="str">
        <f>MID(equip.xml!M227,1,3)</f>
        <v>102</v>
      </c>
      <c r="D223" s="1" t="s">
        <v>8</v>
      </c>
      <c r="F223">
        <v>644</v>
      </c>
      <c r="G223" t="str">
        <f t="shared" si="3"/>
        <v>515,676</v>
      </c>
    </row>
    <row r="224" spans="1:7">
      <c r="A224" t="s">
        <v>1661</v>
      </c>
      <c r="B224">
        <f>equip.xml!G228</f>
        <v>50</v>
      </c>
      <c r="C224" t="str">
        <f>MID(equip.xml!M228,1,3)</f>
        <v>101</v>
      </c>
      <c r="D224" s="1" t="s">
        <v>8</v>
      </c>
      <c r="F224">
        <v>644</v>
      </c>
      <c r="G224" t="str">
        <f t="shared" si="3"/>
        <v>515,676</v>
      </c>
    </row>
    <row r="225" spans="1:7">
      <c r="A225" t="s">
        <v>1662</v>
      </c>
      <c r="B225">
        <f>equip.xml!G229</f>
        <v>50</v>
      </c>
      <c r="C225" t="str">
        <f>MID(equip.xml!M229,1,3)</f>
        <v>110</v>
      </c>
      <c r="D225" s="1" t="s">
        <v>8</v>
      </c>
      <c r="F225">
        <v>644</v>
      </c>
      <c r="G225" t="str">
        <f t="shared" si="3"/>
        <v>515,676</v>
      </c>
    </row>
    <row r="226" spans="1:7">
      <c r="A226" t="s">
        <v>1663</v>
      </c>
      <c r="B226">
        <f>equip.xml!G230</f>
        <v>50</v>
      </c>
      <c r="C226" t="str">
        <f>MID(equip.xml!M230,1,3)</f>
        <v>108</v>
      </c>
      <c r="D226" s="1" t="s">
        <v>8</v>
      </c>
      <c r="F226">
        <v>644</v>
      </c>
      <c r="G226" t="str">
        <f t="shared" si="3"/>
        <v>515,676</v>
      </c>
    </row>
    <row r="227" spans="1:7">
      <c r="A227" t="s">
        <v>1664</v>
      </c>
      <c r="B227">
        <f>equip.xml!G231</f>
        <v>50</v>
      </c>
      <c r="C227" t="str">
        <f>MID(equip.xml!M231,1,3)</f>
        <v>107</v>
      </c>
      <c r="D227" s="1" t="s">
        <v>8</v>
      </c>
      <c r="F227">
        <v>644</v>
      </c>
      <c r="G227" t="str">
        <f t="shared" si="3"/>
        <v>515,676</v>
      </c>
    </row>
    <row r="228" spans="1:7">
      <c r="A228" t="s">
        <v>1665</v>
      </c>
      <c r="B228">
        <f>equip.xml!G232</f>
        <v>50</v>
      </c>
      <c r="C228" t="str">
        <f>MID(equip.xml!M232,1,3)</f>
        <v>103</v>
      </c>
      <c r="D228" s="1" t="s">
        <v>8</v>
      </c>
      <c r="F228">
        <v>837</v>
      </c>
      <c r="G228" t="str">
        <f t="shared" si="3"/>
        <v>670,879</v>
      </c>
    </row>
    <row r="229" spans="1:7">
      <c r="A229" t="s">
        <v>1666</v>
      </c>
      <c r="B229">
        <f>equip.xml!G233</f>
        <v>50</v>
      </c>
      <c r="C229" t="str">
        <f>MID(equip.xml!M233,1,3)</f>
        <v>103</v>
      </c>
      <c r="D229" s="1" t="s">
        <v>8</v>
      </c>
      <c r="F229">
        <v>837</v>
      </c>
      <c r="G229" t="str">
        <f t="shared" si="3"/>
        <v>670,879</v>
      </c>
    </row>
    <row r="230" spans="1:7">
      <c r="A230" t="s">
        <v>1667</v>
      </c>
      <c r="B230">
        <f>equip.xml!G234</f>
        <v>50</v>
      </c>
      <c r="C230" t="str">
        <f>MID(equip.xml!M234,1,3)</f>
        <v>105</v>
      </c>
      <c r="D230" s="1" t="s">
        <v>8</v>
      </c>
      <c r="F230">
        <v>837</v>
      </c>
      <c r="G230" t="str">
        <f t="shared" si="3"/>
        <v>670,879</v>
      </c>
    </row>
    <row r="231" spans="1:7">
      <c r="A231" t="s">
        <v>1668</v>
      </c>
      <c r="B231">
        <f>equip.xml!G235</f>
        <v>50</v>
      </c>
      <c r="C231" t="str">
        <f>MID(equip.xml!M235,1,3)</f>
        <v>105</v>
      </c>
      <c r="D231" s="1" t="s">
        <v>8</v>
      </c>
      <c r="F231">
        <v>837</v>
      </c>
      <c r="G231" t="str">
        <f t="shared" si="3"/>
        <v>670,879</v>
      </c>
    </row>
    <row r="232" spans="1:7">
      <c r="A232" t="s">
        <v>1669</v>
      </c>
      <c r="B232">
        <f>equip.xml!G236</f>
        <v>50</v>
      </c>
      <c r="C232" t="str">
        <f>MID(equip.xml!M236,1,3)</f>
        <v>103</v>
      </c>
      <c r="D232" s="1" t="s">
        <v>8</v>
      </c>
      <c r="F232">
        <v>837</v>
      </c>
      <c r="G232" t="str">
        <f t="shared" si="3"/>
        <v>670,879</v>
      </c>
    </row>
    <row r="233" spans="1:7">
      <c r="A233" t="s">
        <v>1670</v>
      </c>
      <c r="B233">
        <f>equip.xml!G237</f>
        <v>50</v>
      </c>
      <c r="C233" t="str">
        <f>MID(equip.xml!M237,1,3)</f>
        <v>103</v>
      </c>
      <c r="D233" s="1" t="s">
        <v>8</v>
      </c>
      <c r="F233">
        <v>837</v>
      </c>
      <c r="G233" t="str">
        <f t="shared" si="3"/>
        <v>670,879</v>
      </c>
    </row>
    <row r="234" spans="1:7">
      <c r="A234" t="s">
        <v>1671</v>
      </c>
      <c r="B234">
        <f>equip.xml!G238</f>
        <v>50</v>
      </c>
      <c r="C234" t="str">
        <f>MID(equip.xml!M238,1,3)</f>
        <v>108</v>
      </c>
      <c r="D234" s="1" t="s">
        <v>8</v>
      </c>
      <c r="F234">
        <v>837</v>
      </c>
      <c r="G234" t="str">
        <f t="shared" si="3"/>
        <v>670,879</v>
      </c>
    </row>
    <row r="235" spans="1:7">
      <c r="A235" t="s">
        <v>1672</v>
      </c>
      <c r="B235">
        <f>equip.xml!G239</f>
        <v>50</v>
      </c>
      <c r="C235" t="str">
        <f>MID(equip.xml!M239,1,3)</f>
        <v>108</v>
      </c>
      <c r="D235" s="1" t="s">
        <v>8</v>
      </c>
      <c r="F235">
        <v>837</v>
      </c>
      <c r="G235" t="str">
        <f t="shared" si="3"/>
        <v>670,879</v>
      </c>
    </row>
    <row r="236" spans="1:7">
      <c r="A236" t="s">
        <v>1673</v>
      </c>
      <c r="B236">
        <f>equip.xml!G240</f>
        <v>50</v>
      </c>
      <c r="C236" t="str">
        <f>MID(equip.xml!M240,1,3)</f>
        <v>103</v>
      </c>
      <c r="D236" s="1" t="s">
        <v>8</v>
      </c>
      <c r="F236">
        <v>837</v>
      </c>
      <c r="G236" t="str">
        <f t="shared" si="3"/>
        <v>670,879</v>
      </c>
    </row>
    <row r="237" spans="1:7">
      <c r="A237" t="s">
        <v>1674</v>
      </c>
      <c r="B237">
        <f>equip.xml!G241</f>
        <v>50</v>
      </c>
      <c r="C237" t="str">
        <f>MID(equip.xml!M241,1,3)</f>
        <v>103</v>
      </c>
      <c r="D237" s="1" t="s">
        <v>8</v>
      </c>
      <c r="F237">
        <v>837</v>
      </c>
      <c r="G237" t="str">
        <f t="shared" si="3"/>
        <v>670,879</v>
      </c>
    </row>
    <row r="238" spans="1:7">
      <c r="A238" t="s">
        <v>1675</v>
      </c>
      <c r="B238">
        <f>equip.xml!G242</f>
        <v>50</v>
      </c>
      <c r="C238" t="str">
        <f>MID(equip.xml!M242,1,3)</f>
        <v>102</v>
      </c>
      <c r="D238" s="1" t="s">
        <v>8</v>
      </c>
      <c r="F238">
        <v>837</v>
      </c>
      <c r="G238" t="str">
        <f t="shared" si="3"/>
        <v>670,879</v>
      </c>
    </row>
    <row r="239" spans="1:7">
      <c r="A239" t="s">
        <v>1676</v>
      </c>
      <c r="B239">
        <f>equip.xml!G243</f>
        <v>50</v>
      </c>
      <c r="C239" t="str">
        <f>MID(equip.xml!M243,1,3)</f>
        <v>102</v>
      </c>
      <c r="D239" s="1" t="s">
        <v>8</v>
      </c>
      <c r="F239">
        <v>837</v>
      </c>
      <c r="G239" t="str">
        <f t="shared" si="3"/>
        <v>670,879</v>
      </c>
    </row>
    <row r="240" spans="1:7">
      <c r="A240" t="s">
        <v>1677</v>
      </c>
      <c r="B240">
        <f>equip.xml!G244</f>
        <v>50</v>
      </c>
      <c r="C240" t="str">
        <f>MID(equip.xml!M244,1,3)</f>
        <v>105</v>
      </c>
      <c r="D240" s="1" t="s">
        <v>8</v>
      </c>
      <c r="F240">
        <v>644</v>
      </c>
      <c r="G240" t="str">
        <f t="shared" si="3"/>
        <v>515,676</v>
      </c>
    </row>
    <row r="241" spans="1:7">
      <c r="A241" t="s">
        <v>1678</v>
      </c>
      <c r="B241">
        <f>equip.xml!G245</f>
        <v>50</v>
      </c>
      <c r="C241" t="str">
        <f>MID(equip.xml!M245,1,3)</f>
        <v>105</v>
      </c>
      <c r="D241" s="1" t="s">
        <v>8</v>
      </c>
      <c r="F241">
        <v>644</v>
      </c>
      <c r="G241" t="str">
        <f t="shared" si="3"/>
        <v>515,676</v>
      </c>
    </row>
    <row r="242" spans="1:7">
      <c r="A242" t="s">
        <v>1679</v>
      </c>
      <c r="B242">
        <f>equip.xml!G246</f>
        <v>50</v>
      </c>
      <c r="C242" t="str">
        <f>MID(equip.xml!M246,1,3)</f>
        <v>105</v>
      </c>
      <c r="D242" s="1" t="s">
        <v>8</v>
      </c>
      <c r="F242">
        <v>644</v>
      </c>
      <c r="G242" t="str">
        <f t="shared" si="3"/>
        <v>515,676</v>
      </c>
    </row>
    <row r="243" spans="1:7">
      <c r="A243" t="s">
        <v>1680</v>
      </c>
      <c r="B243">
        <f>equip.xml!G247</f>
        <v>50</v>
      </c>
      <c r="C243" t="str">
        <f>MID(equip.xml!M247,1,3)</f>
        <v>105</v>
      </c>
      <c r="D243" s="1" t="s">
        <v>8</v>
      </c>
      <c r="F243">
        <v>644</v>
      </c>
      <c r="G243" t="str">
        <f t="shared" si="3"/>
        <v>515,676</v>
      </c>
    </row>
    <row r="244" spans="1:7">
      <c r="A244" t="s">
        <v>1681</v>
      </c>
      <c r="B244">
        <f>equip.xml!G248</f>
        <v>55</v>
      </c>
      <c r="C244" t="str">
        <f>MID(equip.xml!M248,1,3)</f>
        <v>106</v>
      </c>
      <c r="D244" s="1" t="s">
        <v>8</v>
      </c>
      <c r="F244">
        <v>782</v>
      </c>
      <c r="G244" t="str">
        <f t="shared" si="3"/>
        <v>626,821</v>
      </c>
    </row>
    <row r="245" spans="1:7">
      <c r="A245" t="s">
        <v>1682</v>
      </c>
      <c r="B245">
        <f>equip.xml!G249</f>
        <v>55</v>
      </c>
      <c r="C245" t="str">
        <f>MID(equip.xml!M249,1,3)</f>
        <v>102</v>
      </c>
      <c r="D245" s="1" t="s">
        <v>8</v>
      </c>
      <c r="F245">
        <v>782</v>
      </c>
      <c r="G245" t="str">
        <f t="shared" si="3"/>
        <v>626,821</v>
      </c>
    </row>
    <row r="246" spans="1:7">
      <c r="A246" t="s">
        <v>1683</v>
      </c>
      <c r="B246">
        <f>equip.xml!G250</f>
        <v>55</v>
      </c>
      <c r="C246" t="str">
        <f>MID(equip.xml!M250,1,3)</f>
        <v>101</v>
      </c>
      <c r="D246" s="1" t="s">
        <v>8</v>
      </c>
      <c r="F246">
        <v>782</v>
      </c>
      <c r="G246" t="str">
        <f t="shared" si="3"/>
        <v>626,821</v>
      </c>
    </row>
    <row r="247" spans="1:7">
      <c r="A247" t="s">
        <v>1684</v>
      </c>
      <c r="B247">
        <f>equip.xml!G251</f>
        <v>55</v>
      </c>
      <c r="C247" t="str">
        <f>MID(equip.xml!M251,1,3)</f>
        <v>110</v>
      </c>
      <c r="D247" s="1" t="s">
        <v>8</v>
      </c>
      <c r="F247">
        <v>782</v>
      </c>
      <c r="G247" t="str">
        <f t="shared" si="3"/>
        <v>626,821</v>
      </c>
    </row>
    <row r="248" spans="1:7">
      <c r="A248">
        <v>50550090</v>
      </c>
      <c r="B248">
        <f>equip.xml!G252</f>
        <v>55</v>
      </c>
      <c r="C248" t="str">
        <f>MID(equip.xml!M252,1,3)</f>
        <v>108</v>
      </c>
      <c r="D248" s="1" t="s">
        <v>8</v>
      </c>
      <c r="F248">
        <v>782</v>
      </c>
      <c r="G248" t="str">
        <f t="shared" si="3"/>
        <v>626,821</v>
      </c>
    </row>
    <row r="249" spans="1:7">
      <c r="A249" t="s">
        <v>1685</v>
      </c>
      <c r="B249">
        <f>equip.xml!G253</f>
        <v>55</v>
      </c>
      <c r="C249" t="str">
        <f>MID(equip.xml!M253,1,3)</f>
        <v>107</v>
      </c>
      <c r="D249" s="1" t="s">
        <v>8</v>
      </c>
      <c r="F249">
        <v>782</v>
      </c>
      <c r="G249" t="str">
        <f t="shared" si="3"/>
        <v>626,821</v>
      </c>
    </row>
    <row r="250" spans="1:7">
      <c r="A250" t="s">
        <v>1686</v>
      </c>
      <c r="B250">
        <f>equip.xml!G254</f>
        <v>55</v>
      </c>
      <c r="C250" t="str">
        <f>MID(equip.xml!M254,1,3)</f>
        <v>103</v>
      </c>
      <c r="D250" s="1" t="s">
        <v>8</v>
      </c>
      <c r="F250">
        <v>1017</v>
      </c>
      <c r="G250" t="str">
        <f t="shared" si="3"/>
        <v>814,1068</v>
      </c>
    </row>
    <row r="251" spans="1:7">
      <c r="A251" t="s">
        <v>1687</v>
      </c>
      <c r="B251">
        <f>equip.xml!G255</f>
        <v>55</v>
      </c>
      <c r="C251" t="str">
        <f>MID(equip.xml!M255,1,3)</f>
        <v>103</v>
      </c>
      <c r="D251" s="1" t="s">
        <v>8</v>
      </c>
      <c r="F251">
        <v>1017</v>
      </c>
      <c r="G251" t="str">
        <f t="shared" si="3"/>
        <v>814,1068</v>
      </c>
    </row>
    <row r="252" spans="1:7">
      <c r="A252" t="s">
        <v>1688</v>
      </c>
      <c r="B252">
        <f>equip.xml!G256</f>
        <v>55</v>
      </c>
      <c r="C252" t="str">
        <f>MID(equip.xml!M256,1,3)</f>
        <v>105</v>
      </c>
      <c r="D252" s="1" t="s">
        <v>8</v>
      </c>
      <c r="F252">
        <v>1017</v>
      </c>
      <c r="G252" t="str">
        <f t="shared" si="3"/>
        <v>814,1068</v>
      </c>
    </row>
    <row r="253" spans="1:7">
      <c r="A253" t="s">
        <v>1689</v>
      </c>
      <c r="B253">
        <f>equip.xml!G257</f>
        <v>55</v>
      </c>
      <c r="C253" t="str">
        <f>MID(equip.xml!M257,1,3)</f>
        <v>105</v>
      </c>
      <c r="D253" s="1" t="s">
        <v>8</v>
      </c>
      <c r="F253">
        <v>1017</v>
      </c>
      <c r="G253" t="str">
        <f t="shared" si="3"/>
        <v>814,1068</v>
      </c>
    </row>
    <row r="254" spans="1:7">
      <c r="A254" t="s">
        <v>1690</v>
      </c>
      <c r="B254">
        <f>equip.xml!G258</f>
        <v>55</v>
      </c>
      <c r="C254" t="str">
        <f>MID(equip.xml!M258,1,3)</f>
        <v>103</v>
      </c>
      <c r="D254" s="1" t="s">
        <v>8</v>
      </c>
      <c r="F254">
        <v>1017</v>
      </c>
      <c r="G254" t="str">
        <f t="shared" si="3"/>
        <v>814,1068</v>
      </c>
    </row>
    <row r="255" spans="1:7">
      <c r="A255" t="s">
        <v>1691</v>
      </c>
      <c r="B255">
        <f>equip.xml!G259</f>
        <v>55</v>
      </c>
      <c r="C255" t="str">
        <f>MID(equip.xml!M259,1,3)</f>
        <v>103</v>
      </c>
      <c r="D255" s="1" t="s">
        <v>8</v>
      </c>
      <c r="F255">
        <v>1017</v>
      </c>
      <c r="G255" t="str">
        <f t="shared" si="3"/>
        <v>814,1068</v>
      </c>
    </row>
    <row r="256" spans="1:7">
      <c r="A256" t="s">
        <v>1692</v>
      </c>
      <c r="B256">
        <f>equip.xml!G260</f>
        <v>55</v>
      </c>
      <c r="C256" t="str">
        <f>MID(equip.xml!M260,1,3)</f>
        <v>108</v>
      </c>
      <c r="D256" s="1" t="s">
        <v>8</v>
      </c>
      <c r="F256">
        <v>1017</v>
      </c>
      <c r="G256" t="str">
        <f t="shared" si="3"/>
        <v>814,1068</v>
      </c>
    </row>
    <row r="257" spans="1:7">
      <c r="A257" t="s">
        <v>1693</v>
      </c>
      <c r="B257">
        <f>equip.xml!G261</f>
        <v>55</v>
      </c>
      <c r="C257" t="str">
        <f>MID(equip.xml!M261,1,3)</f>
        <v>108</v>
      </c>
      <c r="D257" s="1" t="s">
        <v>8</v>
      </c>
      <c r="F257">
        <v>1017</v>
      </c>
      <c r="G257" t="str">
        <f t="shared" si="3"/>
        <v>814,1068</v>
      </c>
    </row>
    <row r="258" spans="1:7">
      <c r="A258" t="s">
        <v>1694</v>
      </c>
      <c r="B258">
        <f>equip.xml!G262</f>
        <v>55</v>
      </c>
      <c r="C258" t="str">
        <f>MID(equip.xml!M262,1,3)</f>
        <v>103</v>
      </c>
      <c r="D258" s="1" t="s">
        <v>8</v>
      </c>
      <c r="F258">
        <v>1017</v>
      </c>
      <c r="G258" t="str">
        <f t="shared" si="3"/>
        <v>814,1068</v>
      </c>
    </row>
    <row r="259" spans="1:7">
      <c r="A259" t="s">
        <v>1695</v>
      </c>
      <c r="B259">
        <f>equip.xml!G263</f>
        <v>55</v>
      </c>
      <c r="C259" t="str">
        <f>MID(equip.xml!M263,1,3)</f>
        <v>103</v>
      </c>
      <c r="D259" s="1" t="s">
        <v>8</v>
      </c>
      <c r="F259">
        <v>1017</v>
      </c>
      <c r="G259" t="str">
        <f t="shared" ref="G259:G322" si="4">ROUND(F259*0.8,0)&amp;","&amp;ROUND(F259*1.05,0)</f>
        <v>814,1068</v>
      </c>
    </row>
    <row r="260" spans="1:7">
      <c r="A260" t="s">
        <v>1696</v>
      </c>
      <c r="B260">
        <f>equip.xml!G264</f>
        <v>55</v>
      </c>
      <c r="C260" t="str">
        <f>MID(equip.xml!M264,1,3)</f>
        <v>102</v>
      </c>
      <c r="D260" s="1" t="s">
        <v>8</v>
      </c>
      <c r="F260">
        <v>1017</v>
      </c>
      <c r="G260" t="str">
        <f t="shared" si="4"/>
        <v>814,1068</v>
      </c>
    </row>
    <row r="261" spans="1:7">
      <c r="A261" t="s">
        <v>1697</v>
      </c>
      <c r="B261">
        <f>equip.xml!G265</f>
        <v>55</v>
      </c>
      <c r="C261" t="str">
        <f>MID(equip.xml!M265,1,3)</f>
        <v>102</v>
      </c>
      <c r="D261" s="1" t="s">
        <v>8</v>
      </c>
      <c r="F261">
        <v>1017</v>
      </c>
      <c r="G261" t="str">
        <f t="shared" si="4"/>
        <v>814,1068</v>
      </c>
    </row>
    <row r="262" spans="1:7">
      <c r="A262" t="s">
        <v>1698</v>
      </c>
      <c r="B262">
        <f>equip.xml!G266</f>
        <v>55</v>
      </c>
      <c r="C262" t="str">
        <f>MID(equip.xml!M266,1,3)</f>
        <v>105</v>
      </c>
      <c r="D262" s="1" t="s">
        <v>8</v>
      </c>
      <c r="F262">
        <v>782</v>
      </c>
      <c r="G262" t="str">
        <f t="shared" si="4"/>
        <v>626,821</v>
      </c>
    </row>
    <row r="263" spans="1:7">
      <c r="A263" t="s">
        <v>1699</v>
      </c>
      <c r="B263">
        <f>equip.xml!G267</f>
        <v>55</v>
      </c>
      <c r="C263" t="str">
        <f>MID(equip.xml!M267,1,3)</f>
        <v>105</v>
      </c>
      <c r="D263" s="1" t="s">
        <v>8</v>
      </c>
      <c r="F263">
        <v>782</v>
      </c>
      <c r="G263" t="str">
        <f t="shared" si="4"/>
        <v>626,821</v>
      </c>
    </row>
    <row r="264" spans="1:7">
      <c r="A264" t="s">
        <v>1700</v>
      </c>
      <c r="B264">
        <f>equip.xml!G268</f>
        <v>55</v>
      </c>
      <c r="C264" t="str">
        <f>MID(equip.xml!M268,1,3)</f>
        <v>105</v>
      </c>
      <c r="D264" s="1" t="s">
        <v>8</v>
      </c>
      <c r="F264">
        <v>782</v>
      </c>
      <c r="G264" t="str">
        <f t="shared" si="4"/>
        <v>626,821</v>
      </c>
    </row>
    <row r="265" spans="1:7">
      <c r="A265" t="s">
        <v>1701</v>
      </c>
      <c r="B265">
        <f>equip.xml!G269</f>
        <v>55</v>
      </c>
      <c r="C265" t="str">
        <f>MID(equip.xml!M269,1,3)</f>
        <v>105</v>
      </c>
      <c r="D265" s="1" t="s">
        <v>8</v>
      </c>
      <c r="F265">
        <v>782</v>
      </c>
      <c r="G265" t="str">
        <f t="shared" si="4"/>
        <v>626,821</v>
      </c>
    </row>
    <row r="266" spans="1:7">
      <c r="A266" t="s">
        <v>1702</v>
      </c>
      <c r="B266">
        <f>equip.xml!G270</f>
        <v>60</v>
      </c>
      <c r="C266" t="str">
        <f>MID(equip.xml!M270,1,3)</f>
        <v>106</v>
      </c>
      <c r="D266" s="1" t="s">
        <v>8</v>
      </c>
      <c r="F266">
        <v>1012</v>
      </c>
      <c r="G266" t="str">
        <f t="shared" si="4"/>
        <v>810,1063</v>
      </c>
    </row>
    <row r="267" spans="1:7">
      <c r="A267" t="s">
        <v>1703</v>
      </c>
      <c r="B267">
        <f>equip.xml!G271</f>
        <v>60</v>
      </c>
      <c r="C267" t="str">
        <f>MID(equip.xml!M271,1,3)</f>
        <v>102</v>
      </c>
      <c r="D267" s="1" t="s">
        <v>8</v>
      </c>
      <c r="F267">
        <v>1012</v>
      </c>
      <c r="G267" t="str">
        <f t="shared" si="4"/>
        <v>810,1063</v>
      </c>
    </row>
    <row r="268" spans="1:7">
      <c r="A268" t="s">
        <v>1704</v>
      </c>
      <c r="B268">
        <f>equip.xml!G272</f>
        <v>60</v>
      </c>
      <c r="C268" t="str">
        <f>MID(equip.xml!M272,1,3)</f>
        <v>101</v>
      </c>
      <c r="D268" s="1" t="s">
        <v>8</v>
      </c>
      <c r="F268">
        <v>1012</v>
      </c>
      <c r="G268" t="str">
        <f t="shared" si="4"/>
        <v>810,1063</v>
      </c>
    </row>
    <row r="269" spans="1:7">
      <c r="A269" t="s">
        <v>1705</v>
      </c>
      <c r="B269">
        <f>equip.xml!G273</f>
        <v>60</v>
      </c>
      <c r="C269" t="str">
        <f>MID(equip.xml!M273,1,3)</f>
        <v>110</v>
      </c>
      <c r="D269" s="1" t="s">
        <v>8</v>
      </c>
      <c r="F269">
        <v>1012</v>
      </c>
      <c r="G269" t="str">
        <f t="shared" si="4"/>
        <v>810,1063</v>
      </c>
    </row>
    <row r="270" spans="1:7">
      <c r="A270" t="s">
        <v>1706</v>
      </c>
      <c r="B270">
        <f>equip.xml!G274</f>
        <v>60</v>
      </c>
      <c r="C270" t="str">
        <f>MID(equip.xml!M274,1,3)</f>
        <v>108</v>
      </c>
      <c r="D270" s="1" t="s">
        <v>8</v>
      </c>
      <c r="F270">
        <v>1012</v>
      </c>
      <c r="G270" t="str">
        <f t="shared" si="4"/>
        <v>810,1063</v>
      </c>
    </row>
    <row r="271" spans="1:7">
      <c r="A271" t="s">
        <v>1707</v>
      </c>
      <c r="B271">
        <f>equip.xml!G275</f>
        <v>60</v>
      </c>
      <c r="C271" t="str">
        <f>MID(equip.xml!M275,1,3)</f>
        <v>107</v>
      </c>
      <c r="D271" s="1" t="s">
        <v>8</v>
      </c>
      <c r="F271">
        <v>1012</v>
      </c>
      <c r="G271" t="str">
        <f t="shared" si="4"/>
        <v>810,1063</v>
      </c>
    </row>
    <row r="272" spans="1:7">
      <c r="A272" t="s">
        <v>1708</v>
      </c>
      <c r="B272">
        <f>equip.xml!G276</f>
        <v>60</v>
      </c>
      <c r="C272" t="str">
        <f>MID(equip.xml!M276,1,3)</f>
        <v>103</v>
      </c>
      <c r="D272" s="1" t="s">
        <v>8</v>
      </c>
      <c r="F272">
        <v>1316</v>
      </c>
      <c r="G272" t="str">
        <f t="shared" si="4"/>
        <v>1053,1382</v>
      </c>
    </row>
    <row r="273" spans="1:7">
      <c r="A273" t="s">
        <v>1709</v>
      </c>
      <c r="B273">
        <f>equip.xml!G277</f>
        <v>60</v>
      </c>
      <c r="C273" t="str">
        <f>MID(equip.xml!M277,1,3)</f>
        <v>103</v>
      </c>
      <c r="D273" s="1" t="s">
        <v>8</v>
      </c>
      <c r="F273">
        <v>1316</v>
      </c>
      <c r="G273" t="str">
        <f t="shared" si="4"/>
        <v>1053,1382</v>
      </c>
    </row>
    <row r="274" spans="1:7">
      <c r="A274" t="s">
        <v>1710</v>
      </c>
      <c r="B274">
        <f>equip.xml!G278</f>
        <v>60</v>
      </c>
      <c r="C274" t="str">
        <f>MID(equip.xml!M278,1,3)</f>
        <v>105</v>
      </c>
      <c r="D274" s="1" t="s">
        <v>8</v>
      </c>
      <c r="F274">
        <v>1316</v>
      </c>
      <c r="G274" t="str">
        <f t="shared" si="4"/>
        <v>1053,1382</v>
      </c>
    </row>
    <row r="275" spans="1:7">
      <c r="A275" t="s">
        <v>1711</v>
      </c>
      <c r="B275">
        <f>equip.xml!G279</f>
        <v>60</v>
      </c>
      <c r="C275" t="str">
        <f>MID(equip.xml!M279,1,3)</f>
        <v>105</v>
      </c>
      <c r="D275" s="1" t="s">
        <v>8</v>
      </c>
      <c r="F275">
        <v>1316</v>
      </c>
      <c r="G275" t="str">
        <f t="shared" si="4"/>
        <v>1053,1382</v>
      </c>
    </row>
    <row r="276" spans="1:7">
      <c r="A276" t="s">
        <v>1712</v>
      </c>
      <c r="B276">
        <f>equip.xml!G280</f>
        <v>60</v>
      </c>
      <c r="C276" t="str">
        <f>MID(equip.xml!M280,1,3)</f>
        <v>103</v>
      </c>
      <c r="D276" s="1" t="s">
        <v>8</v>
      </c>
      <c r="F276">
        <v>1316</v>
      </c>
      <c r="G276" t="str">
        <f t="shared" si="4"/>
        <v>1053,1382</v>
      </c>
    </row>
    <row r="277" spans="1:7">
      <c r="A277" t="s">
        <v>1713</v>
      </c>
      <c r="B277">
        <f>equip.xml!G281</f>
        <v>60</v>
      </c>
      <c r="C277" t="str">
        <f>MID(equip.xml!M281,1,3)</f>
        <v>103</v>
      </c>
      <c r="D277" s="1" t="s">
        <v>8</v>
      </c>
      <c r="F277">
        <v>1316</v>
      </c>
      <c r="G277" t="str">
        <f t="shared" si="4"/>
        <v>1053,1382</v>
      </c>
    </row>
    <row r="278" spans="1:7">
      <c r="A278" t="s">
        <v>1714</v>
      </c>
      <c r="B278">
        <f>equip.xml!G282</f>
        <v>60</v>
      </c>
      <c r="C278" t="str">
        <f>MID(equip.xml!M282,1,3)</f>
        <v>108</v>
      </c>
      <c r="D278" s="1" t="s">
        <v>8</v>
      </c>
      <c r="F278">
        <v>1316</v>
      </c>
      <c r="G278" t="str">
        <f t="shared" si="4"/>
        <v>1053,1382</v>
      </c>
    </row>
    <row r="279" spans="1:7">
      <c r="A279" t="s">
        <v>1715</v>
      </c>
      <c r="B279">
        <f>equip.xml!G283</f>
        <v>60</v>
      </c>
      <c r="C279" t="str">
        <f>MID(equip.xml!M283,1,3)</f>
        <v>108</v>
      </c>
      <c r="D279" s="1" t="s">
        <v>8</v>
      </c>
      <c r="F279">
        <v>1316</v>
      </c>
      <c r="G279" t="str">
        <f t="shared" si="4"/>
        <v>1053,1382</v>
      </c>
    </row>
    <row r="280" spans="1:7">
      <c r="A280" t="s">
        <v>1716</v>
      </c>
      <c r="B280">
        <f>equip.xml!G284</f>
        <v>60</v>
      </c>
      <c r="C280" t="str">
        <f>MID(equip.xml!M284,1,3)</f>
        <v>103</v>
      </c>
      <c r="D280" s="1" t="s">
        <v>8</v>
      </c>
      <c r="F280">
        <v>1316</v>
      </c>
      <c r="G280" t="str">
        <f t="shared" si="4"/>
        <v>1053,1382</v>
      </c>
    </row>
    <row r="281" spans="1:7">
      <c r="A281" t="s">
        <v>1717</v>
      </c>
      <c r="B281">
        <f>equip.xml!G285</f>
        <v>60</v>
      </c>
      <c r="C281" t="str">
        <f>MID(equip.xml!M285,1,3)</f>
        <v>103</v>
      </c>
      <c r="D281" s="1" t="s">
        <v>8</v>
      </c>
      <c r="F281">
        <v>1316</v>
      </c>
      <c r="G281" t="str">
        <f t="shared" si="4"/>
        <v>1053,1382</v>
      </c>
    </row>
    <row r="282" spans="1:7">
      <c r="A282" t="s">
        <v>1718</v>
      </c>
      <c r="B282">
        <f>equip.xml!G286</f>
        <v>60</v>
      </c>
      <c r="C282" t="str">
        <f>MID(equip.xml!M286,1,3)</f>
        <v>102</v>
      </c>
      <c r="D282" s="1" t="s">
        <v>8</v>
      </c>
      <c r="F282">
        <v>1316</v>
      </c>
      <c r="G282" t="str">
        <f t="shared" si="4"/>
        <v>1053,1382</v>
      </c>
    </row>
    <row r="283" spans="1:7">
      <c r="A283" t="s">
        <v>1719</v>
      </c>
      <c r="B283">
        <f>equip.xml!G287</f>
        <v>60</v>
      </c>
      <c r="C283" t="str">
        <f>MID(equip.xml!M287,1,3)</f>
        <v>102</v>
      </c>
      <c r="D283" s="1" t="s">
        <v>8</v>
      </c>
      <c r="F283">
        <v>1316</v>
      </c>
      <c r="G283" t="str">
        <f t="shared" si="4"/>
        <v>1053,1382</v>
      </c>
    </row>
    <row r="284" spans="1:7">
      <c r="A284" t="s">
        <v>1720</v>
      </c>
      <c r="B284">
        <f>equip.xml!G288</f>
        <v>60</v>
      </c>
      <c r="C284" t="str">
        <f>MID(equip.xml!M288,1,3)</f>
        <v>105</v>
      </c>
      <c r="D284" s="1" t="s">
        <v>8</v>
      </c>
      <c r="F284">
        <v>1012</v>
      </c>
      <c r="G284" t="str">
        <f t="shared" si="4"/>
        <v>810,1063</v>
      </c>
    </row>
    <row r="285" spans="1:7">
      <c r="A285" t="s">
        <v>1721</v>
      </c>
      <c r="B285">
        <f>equip.xml!G289</f>
        <v>60</v>
      </c>
      <c r="C285" t="str">
        <f>MID(equip.xml!M289,1,3)</f>
        <v>105</v>
      </c>
      <c r="D285" s="1" t="s">
        <v>8</v>
      </c>
      <c r="F285">
        <v>1012</v>
      </c>
      <c r="G285" t="str">
        <f t="shared" si="4"/>
        <v>810,1063</v>
      </c>
    </row>
    <row r="286" spans="1:7">
      <c r="A286" t="s">
        <v>1722</v>
      </c>
      <c r="B286">
        <f>equip.xml!G290</f>
        <v>60</v>
      </c>
      <c r="C286" t="str">
        <f>MID(equip.xml!M290,1,3)</f>
        <v>105</v>
      </c>
      <c r="D286" s="1" t="s">
        <v>8</v>
      </c>
      <c r="F286">
        <v>1012</v>
      </c>
      <c r="G286" t="str">
        <f t="shared" si="4"/>
        <v>810,1063</v>
      </c>
    </row>
    <row r="287" spans="1:7">
      <c r="A287" t="s">
        <v>1723</v>
      </c>
      <c r="B287">
        <f>equip.xml!G291</f>
        <v>60</v>
      </c>
      <c r="C287" t="str">
        <f>MID(equip.xml!M291,1,3)</f>
        <v>105</v>
      </c>
      <c r="D287" s="1" t="s">
        <v>8</v>
      </c>
      <c r="F287">
        <v>1012</v>
      </c>
      <c r="G287" t="str">
        <f t="shared" si="4"/>
        <v>810,1063</v>
      </c>
    </row>
    <row r="288" spans="1:7">
      <c r="A288" t="s">
        <v>1724</v>
      </c>
      <c r="B288">
        <f>equip.xml!G292</f>
        <v>65</v>
      </c>
      <c r="C288" t="str">
        <f>MID(equip.xml!M292,1,3)</f>
        <v>106</v>
      </c>
      <c r="D288" s="1" t="s">
        <v>8</v>
      </c>
      <c r="F288">
        <v>1219</v>
      </c>
      <c r="G288" t="str">
        <f t="shared" si="4"/>
        <v>975,1280</v>
      </c>
    </row>
    <row r="289" spans="1:7">
      <c r="A289" t="s">
        <v>1725</v>
      </c>
      <c r="B289">
        <f>equip.xml!G293</f>
        <v>65</v>
      </c>
      <c r="C289" t="str">
        <f>MID(equip.xml!M293,1,3)</f>
        <v>102</v>
      </c>
      <c r="D289" s="1" t="s">
        <v>8</v>
      </c>
      <c r="F289">
        <v>1219</v>
      </c>
      <c r="G289" t="str">
        <f t="shared" si="4"/>
        <v>975,1280</v>
      </c>
    </row>
    <row r="290" spans="1:7">
      <c r="A290" t="s">
        <v>1726</v>
      </c>
      <c r="B290">
        <f>equip.xml!G294</f>
        <v>65</v>
      </c>
      <c r="C290" t="str">
        <f>MID(equip.xml!M294,1,3)</f>
        <v>101</v>
      </c>
      <c r="D290" s="1" t="s">
        <v>8</v>
      </c>
      <c r="F290">
        <v>1219</v>
      </c>
      <c r="G290" t="str">
        <f t="shared" si="4"/>
        <v>975,1280</v>
      </c>
    </row>
    <row r="291" spans="1:7">
      <c r="A291" t="s">
        <v>1727</v>
      </c>
      <c r="B291">
        <f>equip.xml!G295</f>
        <v>65</v>
      </c>
      <c r="C291" t="str">
        <f>MID(equip.xml!M295,1,3)</f>
        <v>110</v>
      </c>
      <c r="D291" s="1" t="s">
        <v>8</v>
      </c>
      <c r="F291">
        <v>1219</v>
      </c>
      <c r="G291" t="str">
        <f t="shared" si="4"/>
        <v>975,1280</v>
      </c>
    </row>
    <row r="292" spans="1:7">
      <c r="A292" t="s">
        <v>1728</v>
      </c>
      <c r="B292">
        <f>equip.xml!G296</f>
        <v>65</v>
      </c>
      <c r="C292" t="str">
        <f>MID(equip.xml!M296,1,3)</f>
        <v>108</v>
      </c>
      <c r="D292" s="1" t="s">
        <v>8</v>
      </c>
      <c r="F292">
        <v>1219</v>
      </c>
      <c r="G292" t="str">
        <f t="shared" si="4"/>
        <v>975,1280</v>
      </c>
    </row>
    <row r="293" spans="1:7">
      <c r="A293" t="s">
        <v>1729</v>
      </c>
      <c r="B293">
        <f>equip.xml!G297</f>
        <v>65</v>
      </c>
      <c r="C293" t="str">
        <f>MID(equip.xml!M297,1,3)</f>
        <v>107</v>
      </c>
      <c r="D293" s="1" t="s">
        <v>8</v>
      </c>
      <c r="F293">
        <v>1219</v>
      </c>
      <c r="G293" t="str">
        <f t="shared" si="4"/>
        <v>975,1280</v>
      </c>
    </row>
    <row r="294" spans="1:7">
      <c r="A294" t="s">
        <v>1730</v>
      </c>
      <c r="B294">
        <f>equip.xml!G298</f>
        <v>65</v>
      </c>
      <c r="C294" t="str">
        <f>MID(equip.xml!M298,1,3)</f>
        <v>103</v>
      </c>
      <c r="D294" s="1" t="s">
        <v>8</v>
      </c>
      <c r="F294">
        <v>1585</v>
      </c>
      <c r="G294" t="str">
        <f t="shared" si="4"/>
        <v>1268,1664</v>
      </c>
    </row>
    <row r="295" spans="1:7">
      <c r="A295" t="s">
        <v>1731</v>
      </c>
      <c r="B295">
        <f>equip.xml!G299</f>
        <v>65</v>
      </c>
      <c r="C295" t="str">
        <f>MID(equip.xml!M299,1,3)</f>
        <v>103</v>
      </c>
      <c r="D295" s="1" t="s">
        <v>8</v>
      </c>
      <c r="F295">
        <v>1585</v>
      </c>
      <c r="G295" t="str">
        <f t="shared" si="4"/>
        <v>1268,1664</v>
      </c>
    </row>
    <row r="296" spans="1:7">
      <c r="A296" t="s">
        <v>1732</v>
      </c>
      <c r="B296">
        <f>equip.xml!G300</f>
        <v>65</v>
      </c>
      <c r="C296" t="str">
        <f>MID(equip.xml!M300,1,3)</f>
        <v>105</v>
      </c>
      <c r="D296" s="1" t="s">
        <v>8</v>
      </c>
      <c r="F296">
        <v>1585</v>
      </c>
      <c r="G296" t="str">
        <f t="shared" si="4"/>
        <v>1268,1664</v>
      </c>
    </row>
    <row r="297" spans="1:7">
      <c r="A297" t="s">
        <v>1733</v>
      </c>
      <c r="B297">
        <f>equip.xml!G301</f>
        <v>65</v>
      </c>
      <c r="C297" t="str">
        <f>MID(equip.xml!M301,1,3)</f>
        <v>105</v>
      </c>
      <c r="D297" s="1" t="s">
        <v>8</v>
      </c>
      <c r="F297">
        <v>1585</v>
      </c>
      <c r="G297" t="str">
        <f t="shared" si="4"/>
        <v>1268,1664</v>
      </c>
    </row>
    <row r="298" spans="1:7">
      <c r="A298" t="s">
        <v>1734</v>
      </c>
      <c r="B298">
        <f>equip.xml!G302</f>
        <v>65</v>
      </c>
      <c r="C298" t="str">
        <f>MID(equip.xml!M302,1,3)</f>
        <v>103</v>
      </c>
      <c r="D298" s="1" t="s">
        <v>8</v>
      </c>
      <c r="F298">
        <v>1585</v>
      </c>
      <c r="G298" t="str">
        <f t="shared" si="4"/>
        <v>1268,1664</v>
      </c>
    </row>
    <row r="299" spans="1:7">
      <c r="A299" t="s">
        <v>1735</v>
      </c>
      <c r="B299">
        <f>equip.xml!G303</f>
        <v>65</v>
      </c>
      <c r="C299" t="str">
        <f>MID(equip.xml!M303,1,3)</f>
        <v>103</v>
      </c>
      <c r="D299" s="1" t="s">
        <v>8</v>
      </c>
      <c r="F299">
        <v>1585</v>
      </c>
      <c r="G299" t="str">
        <f t="shared" si="4"/>
        <v>1268,1664</v>
      </c>
    </row>
    <row r="300" spans="1:7">
      <c r="A300" t="s">
        <v>1736</v>
      </c>
      <c r="B300">
        <f>equip.xml!G304</f>
        <v>65</v>
      </c>
      <c r="C300" t="str">
        <f>MID(equip.xml!M304,1,3)</f>
        <v>108</v>
      </c>
      <c r="D300" s="1" t="s">
        <v>8</v>
      </c>
      <c r="F300">
        <v>1585</v>
      </c>
      <c r="G300" t="str">
        <f t="shared" si="4"/>
        <v>1268,1664</v>
      </c>
    </row>
    <row r="301" spans="1:7">
      <c r="A301" t="s">
        <v>1737</v>
      </c>
      <c r="B301">
        <f>equip.xml!G305</f>
        <v>65</v>
      </c>
      <c r="C301" t="str">
        <f>MID(equip.xml!M305,1,3)</f>
        <v>108</v>
      </c>
      <c r="D301" s="1" t="s">
        <v>8</v>
      </c>
      <c r="F301">
        <v>1585</v>
      </c>
      <c r="G301" t="str">
        <f t="shared" si="4"/>
        <v>1268,1664</v>
      </c>
    </row>
    <row r="302" spans="1:7">
      <c r="A302" t="s">
        <v>1738</v>
      </c>
      <c r="B302">
        <f>equip.xml!G306</f>
        <v>65</v>
      </c>
      <c r="C302" t="str">
        <f>MID(equip.xml!M306,1,3)</f>
        <v>103</v>
      </c>
      <c r="D302" s="1" t="s">
        <v>8</v>
      </c>
      <c r="F302">
        <v>1585</v>
      </c>
      <c r="G302" t="str">
        <f t="shared" si="4"/>
        <v>1268,1664</v>
      </c>
    </row>
    <row r="303" spans="1:7">
      <c r="A303" t="s">
        <v>1739</v>
      </c>
      <c r="B303">
        <f>equip.xml!G307</f>
        <v>65</v>
      </c>
      <c r="C303" t="str">
        <f>MID(equip.xml!M307,1,3)</f>
        <v>103</v>
      </c>
      <c r="D303" s="1" t="s">
        <v>8</v>
      </c>
      <c r="F303">
        <v>1585</v>
      </c>
      <c r="G303" t="str">
        <f t="shared" si="4"/>
        <v>1268,1664</v>
      </c>
    </row>
    <row r="304" spans="1:7">
      <c r="A304" t="s">
        <v>1740</v>
      </c>
      <c r="B304">
        <f>equip.xml!G308</f>
        <v>65</v>
      </c>
      <c r="C304" t="str">
        <f>MID(equip.xml!M308,1,3)</f>
        <v>102</v>
      </c>
      <c r="D304" s="1" t="s">
        <v>8</v>
      </c>
      <c r="F304">
        <v>1585</v>
      </c>
      <c r="G304" t="str">
        <f t="shared" si="4"/>
        <v>1268,1664</v>
      </c>
    </row>
    <row r="305" spans="1:7">
      <c r="A305" t="s">
        <v>1741</v>
      </c>
      <c r="B305">
        <f>equip.xml!G309</f>
        <v>65</v>
      </c>
      <c r="C305" t="str">
        <f>MID(equip.xml!M309,1,3)</f>
        <v>102</v>
      </c>
      <c r="D305" s="1" t="s">
        <v>8</v>
      </c>
      <c r="F305">
        <v>1585</v>
      </c>
      <c r="G305" t="str">
        <f t="shared" si="4"/>
        <v>1268,1664</v>
      </c>
    </row>
    <row r="306" spans="1:7">
      <c r="A306" t="s">
        <v>1742</v>
      </c>
      <c r="B306">
        <f>equip.xml!G310</f>
        <v>65</v>
      </c>
      <c r="C306" t="str">
        <f>MID(equip.xml!M310,1,3)</f>
        <v>105</v>
      </c>
      <c r="D306" s="1" t="s">
        <v>8</v>
      </c>
      <c r="F306">
        <v>1219</v>
      </c>
      <c r="G306" t="str">
        <f t="shared" si="4"/>
        <v>975,1280</v>
      </c>
    </row>
    <row r="307" spans="1:7">
      <c r="A307" t="s">
        <v>1743</v>
      </c>
      <c r="B307">
        <f>equip.xml!G311</f>
        <v>65</v>
      </c>
      <c r="C307" t="str">
        <f>MID(equip.xml!M311,1,3)</f>
        <v>105</v>
      </c>
      <c r="D307" s="1" t="s">
        <v>8</v>
      </c>
      <c r="F307">
        <v>1219</v>
      </c>
      <c r="G307" t="str">
        <f t="shared" si="4"/>
        <v>975,1280</v>
      </c>
    </row>
    <row r="308" spans="1:7">
      <c r="A308" t="s">
        <v>1744</v>
      </c>
      <c r="B308">
        <f>equip.xml!G312</f>
        <v>65</v>
      </c>
      <c r="C308" t="str">
        <f>MID(equip.xml!M312,1,3)</f>
        <v>105</v>
      </c>
      <c r="D308" s="1" t="s">
        <v>8</v>
      </c>
      <c r="F308">
        <v>1219</v>
      </c>
      <c r="G308" t="str">
        <f t="shared" si="4"/>
        <v>975,1280</v>
      </c>
    </row>
    <row r="309" spans="1:7">
      <c r="A309" t="s">
        <v>1745</v>
      </c>
      <c r="B309">
        <f>equip.xml!G313</f>
        <v>65</v>
      </c>
      <c r="C309" t="str">
        <f>MID(equip.xml!M313,1,3)</f>
        <v>105</v>
      </c>
      <c r="D309" s="1" t="s">
        <v>8</v>
      </c>
      <c r="F309">
        <v>1219</v>
      </c>
      <c r="G309" t="str">
        <f t="shared" si="4"/>
        <v>975,1280</v>
      </c>
    </row>
    <row r="310" spans="1:7">
      <c r="A310" t="s">
        <v>1746</v>
      </c>
      <c r="B310">
        <f>equip.xml!G314</f>
        <v>70</v>
      </c>
      <c r="C310" t="str">
        <f>MID(equip.xml!M314,1,3)</f>
        <v>106</v>
      </c>
      <c r="D310" s="1" t="s">
        <v>8</v>
      </c>
      <c r="F310">
        <v>1438</v>
      </c>
      <c r="G310" t="str">
        <f t="shared" si="4"/>
        <v>1150,1510</v>
      </c>
    </row>
    <row r="311" spans="1:7">
      <c r="A311" t="s">
        <v>1747</v>
      </c>
      <c r="B311">
        <f>equip.xml!G315</f>
        <v>70</v>
      </c>
      <c r="C311" t="str">
        <f>MID(equip.xml!M315,1,3)</f>
        <v>102</v>
      </c>
      <c r="D311" s="1" t="s">
        <v>8</v>
      </c>
      <c r="F311">
        <v>1438</v>
      </c>
      <c r="G311" t="str">
        <f t="shared" si="4"/>
        <v>1150,1510</v>
      </c>
    </row>
    <row r="312" spans="1:7">
      <c r="A312" t="s">
        <v>1748</v>
      </c>
      <c r="B312">
        <f>equip.xml!G316</f>
        <v>70</v>
      </c>
      <c r="C312" t="str">
        <f>MID(equip.xml!M316,1,3)</f>
        <v>101</v>
      </c>
      <c r="D312" s="1" t="s">
        <v>8</v>
      </c>
      <c r="F312">
        <v>1438</v>
      </c>
      <c r="G312" t="str">
        <f t="shared" si="4"/>
        <v>1150,1510</v>
      </c>
    </row>
    <row r="313" spans="1:7">
      <c r="A313" t="s">
        <v>1749</v>
      </c>
      <c r="B313">
        <f>equip.xml!G317</f>
        <v>70</v>
      </c>
      <c r="C313" t="str">
        <f>MID(equip.xml!M317,1,3)</f>
        <v>110</v>
      </c>
      <c r="D313" s="1" t="s">
        <v>8</v>
      </c>
      <c r="F313">
        <v>1438</v>
      </c>
      <c r="G313" t="str">
        <f t="shared" si="4"/>
        <v>1150,1510</v>
      </c>
    </row>
    <row r="314" spans="1:7">
      <c r="A314" t="s">
        <v>1750</v>
      </c>
      <c r="B314">
        <f>equip.xml!G318</f>
        <v>70</v>
      </c>
      <c r="C314" t="str">
        <f>MID(equip.xml!M318,1,3)</f>
        <v>108</v>
      </c>
      <c r="D314" s="1" t="s">
        <v>8</v>
      </c>
      <c r="F314">
        <v>1438</v>
      </c>
      <c r="G314" t="str">
        <f t="shared" si="4"/>
        <v>1150,1510</v>
      </c>
    </row>
    <row r="315" spans="1:7">
      <c r="A315" t="s">
        <v>1751</v>
      </c>
      <c r="B315">
        <f>equip.xml!G319</f>
        <v>70</v>
      </c>
      <c r="C315" t="str">
        <f>MID(equip.xml!M319,1,3)</f>
        <v>107</v>
      </c>
      <c r="D315" s="1" t="s">
        <v>8</v>
      </c>
      <c r="F315">
        <v>1438</v>
      </c>
      <c r="G315" t="str">
        <f t="shared" si="4"/>
        <v>1150,1510</v>
      </c>
    </row>
    <row r="316" spans="1:7">
      <c r="A316" t="s">
        <v>1752</v>
      </c>
      <c r="B316">
        <f>equip.xml!G320</f>
        <v>70</v>
      </c>
      <c r="C316" t="str">
        <f>MID(equip.xml!M320,1,3)</f>
        <v>103</v>
      </c>
      <c r="D316" s="1" t="s">
        <v>8</v>
      </c>
      <c r="F316">
        <v>1869</v>
      </c>
      <c r="G316" t="str">
        <f t="shared" si="4"/>
        <v>1495,1962</v>
      </c>
    </row>
    <row r="317" spans="1:7">
      <c r="A317" t="s">
        <v>1753</v>
      </c>
      <c r="B317">
        <f>equip.xml!G321</f>
        <v>70</v>
      </c>
      <c r="C317" t="str">
        <f>MID(equip.xml!M321,1,3)</f>
        <v>103</v>
      </c>
      <c r="D317" s="1" t="s">
        <v>8</v>
      </c>
      <c r="F317">
        <v>1869</v>
      </c>
      <c r="G317" t="str">
        <f t="shared" si="4"/>
        <v>1495,1962</v>
      </c>
    </row>
    <row r="318" spans="1:7">
      <c r="A318" t="s">
        <v>1754</v>
      </c>
      <c r="B318">
        <f>equip.xml!G322</f>
        <v>70</v>
      </c>
      <c r="C318" t="str">
        <f>MID(equip.xml!M322,1,3)</f>
        <v>105</v>
      </c>
      <c r="D318" s="1" t="s">
        <v>8</v>
      </c>
      <c r="F318">
        <v>1869</v>
      </c>
      <c r="G318" t="str">
        <f t="shared" si="4"/>
        <v>1495,1962</v>
      </c>
    </row>
    <row r="319" spans="1:7">
      <c r="A319" t="s">
        <v>1755</v>
      </c>
      <c r="B319">
        <f>equip.xml!G323</f>
        <v>70</v>
      </c>
      <c r="C319" t="str">
        <f>MID(equip.xml!M323,1,3)</f>
        <v>105</v>
      </c>
      <c r="D319" s="1" t="s">
        <v>8</v>
      </c>
      <c r="F319">
        <v>1869</v>
      </c>
      <c r="G319" t="str">
        <f t="shared" si="4"/>
        <v>1495,1962</v>
      </c>
    </row>
    <row r="320" spans="1:7">
      <c r="A320" t="s">
        <v>1756</v>
      </c>
      <c r="B320">
        <f>equip.xml!G324</f>
        <v>70</v>
      </c>
      <c r="C320" t="str">
        <f>MID(equip.xml!M324,1,3)</f>
        <v>103</v>
      </c>
      <c r="D320" s="1" t="s">
        <v>8</v>
      </c>
      <c r="F320">
        <v>1869</v>
      </c>
      <c r="G320" t="str">
        <f t="shared" si="4"/>
        <v>1495,1962</v>
      </c>
    </row>
    <row r="321" spans="1:7">
      <c r="A321" t="s">
        <v>1757</v>
      </c>
      <c r="B321">
        <f>equip.xml!G325</f>
        <v>70</v>
      </c>
      <c r="C321" t="str">
        <f>MID(equip.xml!M325,1,3)</f>
        <v>103</v>
      </c>
      <c r="D321" s="1" t="s">
        <v>8</v>
      </c>
      <c r="F321">
        <v>1869</v>
      </c>
      <c r="G321" t="str">
        <f t="shared" si="4"/>
        <v>1495,1962</v>
      </c>
    </row>
    <row r="322" spans="1:7">
      <c r="A322" t="s">
        <v>1758</v>
      </c>
      <c r="B322">
        <f>equip.xml!G326</f>
        <v>70</v>
      </c>
      <c r="C322" t="str">
        <f>MID(equip.xml!M326,1,3)</f>
        <v>108</v>
      </c>
      <c r="D322" s="1" t="s">
        <v>8</v>
      </c>
      <c r="F322">
        <v>1869</v>
      </c>
      <c r="G322" t="str">
        <f t="shared" si="4"/>
        <v>1495,1962</v>
      </c>
    </row>
    <row r="323" spans="1:7">
      <c r="A323" t="s">
        <v>1759</v>
      </c>
      <c r="B323">
        <f>equip.xml!G327</f>
        <v>70</v>
      </c>
      <c r="C323" t="str">
        <f>MID(equip.xml!M327,1,3)</f>
        <v>108</v>
      </c>
      <c r="D323" s="1" t="s">
        <v>8</v>
      </c>
      <c r="F323">
        <v>1869</v>
      </c>
      <c r="G323" t="str">
        <f t="shared" ref="G323:G331" si="5">ROUND(F323*0.8,0)&amp;","&amp;ROUND(F323*1.05,0)</f>
        <v>1495,1962</v>
      </c>
    </row>
    <row r="324" spans="1:7">
      <c r="A324" t="s">
        <v>1760</v>
      </c>
      <c r="B324">
        <f>equip.xml!G328</f>
        <v>70</v>
      </c>
      <c r="C324" t="str">
        <f>MID(equip.xml!M328,1,3)</f>
        <v>103</v>
      </c>
      <c r="D324" s="1" t="s">
        <v>8</v>
      </c>
      <c r="F324">
        <v>1869</v>
      </c>
      <c r="G324" t="str">
        <f t="shared" si="5"/>
        <v>1495,1962</v>
      </c>
    </row>
    <row r="325" spans="1:7">
      <c r="A325" t="s">
        <v>1761</v>
      </c>
      <c r="B325">
        <f>equip.xml!G329</f>
        <v>70</v>
      </c>
      <c r="C325" t="str">
        <f>MID(equip.xml!M329,1,3)</f>
        <v>103</v>
      </c>
      <c r="D325" s="1" t="s">
        <v>8</v>
      </c>
      <c r="F325">
        <v>1869</v>
      </c>
      <c r="G325" t="str">
        <f t="shared" si="5"/>
        <v>1495,1962</v>
      </c>
    </row>
    <row r="326" spans="1:7">
      <c r="A326" t="s">
        <v>1762</v>
      </c>
      <c r="B326">
        <f>equip.xml!G330</f>
        <v>70</v>
      </c>
      <c r="C326" t="str">
        <f>MID(equip.xml!M330,1,3)</f>
        <v>102</v>
      </c>
      <c r="D326" s="1" t="s">
        <v>8</v>
      </c>
      <c r="F326">
        <v>1869</v>
      </c>
      <c r="G326" t="str">
        <f t="shared" si="5"/>
        <v>1495,1962</v>
      </c>
    </row>
    <row r="327" spans="1:7">
      <c r="A327" t="s">
        <v>1763</v>
      </c>
      <c r="B327">
        <f>equip.xml!G331</f>
        <v>70</v>
      </c>
      <c r="C327" t="str">
        <f>MID(equip.xml!M331,1,3)</f>
        <v>102</v>
      </c>
      <c r="D327" s="1" t="s">
        <v>8</v>
      </c>
      <c r="F327">
        <v>1869</v>
      </c>
      <c r="G327" t="str">
        <f t="shared" si="5"/>
        <v>1495,1962</v>
      </c>
    </row>
    <row r="328" spans="1:7">
      <c r="A328" t="s">
        <v>1764</v>
      </c>
      <c r="B328">
        <f>equip.xml!G332</f>
        <v>70</v>
      </c>
      <c r="C328" t="str">
        <f>MID(equip.xml!M332,1,3)</f>
        <v>105</v>
      </c>
      <c r="D328" s="1" t="s">
        <v>8</v>
      </c>
      <c r="F328">
        <v>1438</v>
      </c>
      <c r="G328" t="str">
        <f t="shared" si="5"/>
        <v>1150,1510</v>
      </c>
    </row>
    <row r="329" spans="1:7">
      <c r="A329" t="s">
        <v>1765</v>
      </c>
      <c r="B329">
        <f>equip.xml!G333</f>
        <v>70</v>
      </c>
      <c r="C329" t="str">
        <f>MID(equip.xml!M333,1,3)</f>
        <v>105</v>
      </c>
      <c r="D329" s="1" t="s">
        <v>8</v>
      </c>
      <c r="F329">
        <v>1438</v>
      </c>
      <c r="G329" t="str">
        <f t="shared" si="5"/>
        <v>1150,1510</v>
      </c>
    </row>
    <row r="330" spans="1:7">
      <c r="A330" t="s">
        <v>1766</v>
      </c>
      <c r="B330">
        <f>equip.xml!G334</f>
        <v>70</v>
      </c>
      <c r="C330" t="str">
        <f>MID(equip.xml!M334,1,3)</f>
        <v>105</v>
      </c>
      <c r="D330" s="1" t="s">
        <v>8</v>
      </c>
      <c r="F330">
        <v>1438</v>
      </c>
      <c r="G330" t="str">
        <f t="shared" si="5"/>
        <v>1150,1510</v>
      </c>
    </row>
    <row r="331" spans="1:7">
      <c r="A331" t="s">
        <v>1767</v>
      </c>
      <c r="B331">
        <f>equip.xml!G335</f>
        <v>70</v>
      </c>
      <c r="C331" t="str">
        <f>MID(equip.xml!M335,1,3)</f>
        <v>105</v>
      </c>
      <c r="D331" s="1" t="s">
        <v>8</v>
      </c>
      <c r="F331">
        <v>1438</v>
      </c>
      <c r="G331" t="str">
        <f t="shared" si="5"/>
        <v>1150,1510</v>
      </c>
    </row>
    <row r="332" spans="1:7">
      <c r="A332" s="1">
        <v>10750010</v>
      </c>
      <c r="B332">
        <f>equip.xml!G336</f>
        <v>75</v>
      </c>
      <c r="C332" t="str">
        <f>MID(equip.xml!M336,1,3)</f>
        <v>106</v>
      </c>
      <c r="D332" s="1" t="s">
        <v>8</v>
      </c>
      <c r="E332">
        <f>VLOOKUP(B332,[1]装备属性设计!$A$17:$AC$23,22,FALSE)</f>
        <v>2633</v>
      </c>
      <c r="G332" t="str">
        <f>C332&amp;"_"&amp;E332&amp;"_"&amp;E332</f>
        <v>106_2633_2633</v>
      </c>
    </row>
    <row r="333" spans="1:7">
      <c r="A333" s="1">
        <v>10750020</v>
      </c>
      <c r="B333">
        <f>equip.xml!G337</f>
        <v>75</v>
      </c>
      <c r="C333" t="str">
        <f>MID(equip.xml!M337,1,3)</f>
        <v>102</v>
      </c>
      <c r="D333" s="1" t="s">
        <v>9</v>
      </c>
      <c r="E333">
        <f>VLOOKUP(B333,[1]装备属性设计!$A$17:$AC$23,2,FALSE)</f>
        <v>1760</v>
      </c>
      <c r="G333" t="str">
        <f t="shared" ref="G333:G396" si="6">C333&amp;"_"&amp;E333&amp;"_"&amp;E333</f>
        <v>102_1760_1760</v>
      </c>
    </row>
    <row r="334" spans="1:7">
      <c r="A334" s="1">
        <v>10750030</v>
      </c>
      <c r="B334">
        <f>equip.xml!G338</f>
        <v>75</v>
      </c>
      <c r="C334" t="str">
        <f>MID(equip.xml!M338,1,3)</f>
        <v>101</v>
      </c>
      <c r="D334" s="1" t="s">
        <v>10</v>
      </c>
      <c r="E334">
        <f>VLOOKUP(B334,[1]装备属性设计!$A$17:$AC$23,4,FALSE)</f>
        <v>21600</v>
      </c>
      <c r="G334" t="str">
        <f t="shared" si="6"/>
        <v>101_21600_21600</v>
      </c>
    </row>
    <row r="335" spans="1:7">
      <c r="A335" s="1">
        <v>10750080</v>
      </c>
      <c r="B335">
        <f>equip.xml!G339</f>
        <v>75</v>
      </c>
      <c r="C335" t="str">
        <f>MID(equip.xml!M339,1,3)</f>
        <v>110</v>
      </c>
      <c r="D335" s="1" t="s">
        <v>15</v>
      </c>
      <c r="E335">
        <f>VLOOKUP(B335,[1]装备属性设计!$A$17:$AC$23,24,FALSE)</f>
        <v>2633</v>
      </c>
      <c r="G335" t="str">
        <f t="shared" si="6"/>
        <v>110_2633_2633</v>
      </c>
    </row>
    <row r="336" spans="1:7">
      <c r="A336" s="1">
        <v>10750090</v>
      </c>
      <c r="B336">
        <f>equip.xml!G340</f>
        <v>75</v>
      </c>
      <c r="C336" t="str">
        <f>MID(equip.xml!M340,1,3)</f>
        <v>108</v>
      </c>
      <c r="D336" s="1" t="s">
        <v>16</v>
      </c>
      <c r="E336">
        <f>VLOOKUP(B336,[1]装备属性设计!$A$17:$AC$23,26,FALSE)</f>
        <v>515</v>
      </c>
      <c r="G336" t="str">
        <f t="shared" si="6"/>
        <v>108_515_515</v>
      </c>
    </row>
    <row r="337" spans="1:7">
      <c r="A337" s="1">
        <v>10750100</v>
      </c>
      <c r="B337">
        <f>equip.xml!G341</f>
        <v>75</v>
      </c>
      <c r="C337" t="str">
        <f>MID(equip.xml!M341,1,3)</f>
        <v>107</v>
      </c>
      <c r="D337" s="1" t="s">
        <v>17</v>
      </c>
      <c r="E337">
        <f>VLOOKUP(B337,[1]装备属性设计!$A$17:$AC$23,22,FALSE)</f>
        <v>2633</v>
      </c>
      <c r="G337" t="str">
        <f t="shared" si="6"/>
        <v>107_2633_2633</v>
      </c>
    </row>
    <row r="338" spans="1:7">
      <c r="A338" s="1">
        <v>10751050</v>
      </c>
      <c r="B338">
        <f>equip.xml!G342</f>
        <v>75</v>
      </c>
      <c r="C338" t="str">
        <f>MID(equip.xml!M342,1,3)</f>
        <v>103</v>
      </c>
      <c r="D338" s="1" t="s">
        <v>12</v>
      </c>
      <c r="E338">
        <f>VLOOKUP(B338,[1]装备属性设计!$A$17:$AC$23,17,FALSE)</f>
        <v>11433</v>
      </c>
      <c r="G338" t="str">
        <f t="shared" si="6"/>
        <v>103_11433_11433</v>
      </c>
    </row>
    <row r="339" spans="1:7">
      <c r="A339" s="1">
        <v>10751051</v>
      </c>
      <c r="B339">
        <f>equip.xml!G343</f>
        <v>75</v>
      </c>
      <c r="C339" t="str">
        <f>MID(equip.xml!M343,1,3)</f>
        <v>103</v>
      </c>
      <c r="D339" s="1" t="s">
        <v>12</v>
      </c>
      <c r="E339">
        <f>VLOOKUP(B339,[1]装备属性设计!$A$17:$AC$23,18,FALSE)</f>
        <v>12057</v>
      </c>
      <c r="G339" t="str">
        <f t="shared" si="6"/>
        <v>103_12057_12057</v>
      </c>
    </row>
    <row r="340" spans="1:7">
      <c r="A340" s="1">
        <v>10751060</v>
      </c>
      <c r="B340">
        <f>equip.xml!G344</f>
        <v>75</v>
      </c>
      <c r="C340" t="str">
        <f>MID(equip.xml!M344,1,3)</f>
        <v>105</v>
      </c>
      <c r="D340" s="1" t="s">
        <v>13</v>
      </c>
      <c r="E340">
        <f>VLOOKUP(B340,[1]装备属性设计!$A$17:$AC$23,12,FALSE)</f>
        <v>3945</v>
      </c>
      <c r="G340" t="str">
        <f t="shared" si="6"/>
        <v>105_3945_3945</v>
      </c>
    </row>
    <row r="341" spans="1:7">
      <c r="A341" s="1">
        <v>10751061</v>
      </c>
      <c r="B341">
        <f>equip.xml!G345</f>
        <v>75</v>
      </c>
      <c r="C341" t="str">
        <f>MID(equip.xml!M345,1,3)</f>
        <v>105</v>
      </c>
      <c r="D341" s="1" t="s">
        <v>13</v>
      </c>
      <c r="E341">
        <f>VLOOKUP(B341,[1]装备属性设计!$A$17:$AC$23,13,FALSE)</f>
        <v>4082</v>
      </c>
      <c r="G341" t="str">
        <f t="shared" si="6"/>
        <v>105_4082_4082</v>
      </c>
    </row>
    <row r="342" spans="1:7">
      <c r="A342" s="1">
        <v>10752050</v>
      </c>
      <c r="B342">
        <f>equip.xml!G346</f>
        <v>75</v>
      </c>
      <c r="C342" t="str">
        <f>MID(equip.xml!M346,1,3)</f>
        <v>103</v>
      </c>
      <c r="D342" s="1" t="s">
        <v>12</v>
      </c>
      <c r="E342">
        <f>VLOOKUP(B342,[1]装备属性设计!$A$17:$AC$23,17,FALSE)</f>
        <v>11433</v>
      </c>
      <c r="G342" t="str">
        <f t="shared" si="6"/>
        <v>103_11433_11433</v>
      </c>
    </row>
    <row r="343" spans="1:7">
      <c r="A343" s="1">
        <v>10752051</v>
      </c>
      <c r="B343">
        <f>equip.xml!G347</f>
        <v>75</v>
      </c>
      <c r="C343" t="str">
        <f>MID(equip.xml!M347,1,3)</f>
        <v>103</v>
      </c>
      <c r="D343" s="1" t="s">
        <v>12</v>
      </c>
      <c r="E343">
        <f>VLOOKUP(B343,[1]装备属性设计!$A$17:$AC$23,18,FALSE)</f>
        <v>12057</v>
      </c>
      <c r="G343" t="str">
        <f t="shared" si="6"/>
        <v>103_12057_12057</v>
      </c>
    </row>
    <row r="344" spans="1:7">
      <c r="A344" s="1">
        <v>10752060</v>
      </c>
      <c r="B344">
        <f>equip.xml!G348</f>
        <v>75</v>
      </c>
      <c r="C344" t="str">
        <f>MID(equip.xml!M348,1,3)</f>
        <v>108</v>
      </c>
      <c r="D344" s="1" t="s">
        <v>13</v>
      </c>
      <c r="E344">
        <f>VLOOKUP(B344,[1]装备属性设计!$A$17:$AC$23,12,FALSE)</f>
        <v>3945</v>
      </c>
      <c r="G344" t="str">
        <f t="shared" si="6"/>
        <v>108_3945_3945</v>
      </c>
    </row>
    <row r="345" spans="1:7">
      <c r="A345" s="1">
        <v>10752061</v>
      </c>
      <c r="B345">
        <f>equip.xml!G349</f>
        <v>75</v>
      </c>
      <c r="C345" t="str">
        <f>MID(equip.xml!M349,1,3)</f>
        <v>108</v>
      </c>
      <c r="D345" s="1" t="s">
        <v>13</v>
      </c>
      <c r="E345">
        <f>VLOOKUP(B345,[1]装备属性设计!$A$17:$AC$23,13,FALSE)</f>
        <v>4082</v>
      </c>
      <c r="G345" t="str">
        <f t="shared" si="6"/>
        <v>108_4082_4082</v>
      </c>
    </row>
    <row r="346" spans="1:7">
      <c r="A346" s="1">
        <v>10753050</v>
      </c>
      <c r="B346">
        <f>equip.xml!G350</f>
        <v>75</v>
      </c>
      <c r="C346" t="str">
        <f>MID(equip.xml!M350,1,3)</f>
        <v>103</v>
      </c>
      <c r="D346" s="1" t="s">
        <v>12</v>
      </c>
      <c r="E346">
        <f>VLOOKUP(B346,[1]装备属性设计!$A$17:$AC$23,17,FALSE)</f>
        <v>11433</v>
      </c>
      <c r="G346" t="str">
        <f t="shared" si="6"/>
        <v>103_11433_11433</v>
      </c>
    </row>
    <row r="347" spans="1:7">
      <c r="A347" s="1">
        <v>10753051</v>
      </c>
      <c r="B347">
        <f>equip.xml!G351</f>
        <v>75</v>
      </c>
      <c r="C347" t="str">
        <f>MID(equip.xml!M351,1,3)</f>
        <v>103</v>
      </c>
      <c r="D347" s="1" t="s">
        <v>12</v>
      </c>
      <c r="E347">
        <f>VLOOKUP(B347,[1]装备属性设计!$A$17:$AC$23,18,FALSE)</f>
        <v>12057</v>
      </c>
      <c r="G347" t="str">
        <f t="shared" si="6"/>
        <v>103_12057_12057</v>
      </c>
    </row>
    <row r="348" spans="1:7">
      <c r="A348" s="1">
        <v>10753060</v>
      </c>
      <c r="B348">
        <f>equip.xml!G352</f>
        <v>75</v>
      </c>
      <c r="C348" t="str">
        <f>MID(equip.xml!M352,1,3)</f>
        <v>102</v>
      </c>
      <c r="D348" s="1" t="s">
        <v>13</v>
      </c>
      <c r="E348">
        <f>VLOOKUP(B348,[1]装备属性设计!$A$17:$AC$23,14,FALSE)</f>
        <v>3350</v>
      </c>
      <c r="G348" t="str">
        <f t="shared" si="6"/>
        <v>102_3350_3350</v>
      </c>
    </row>
    <row r="349" spans="1:7">
      <c r="A349" s="1">
        <v>10753061</v>
      </c>
      <c r="B349">
        <f>equip.xml!G353</f>
        <v>75</v>
      </c>
      <c r="C349" t="str">
        <f>MID(equip.xml!M353,1,3)</f>
        <v>102</v>
      </c>
      <c r="D349" s="1" t="s">
        <v>13</v>
      </c>
      <c r="E349">
        <f>VLOOKUP(B349,[1]装备属性设计!$A$17:$AC$23,15,FALSE)</f>
        <v>3450</v>
      </c>
      <c r="G349" t="str">
        <f t="shared" si="6"/>
        <v>102_3450_3450</v>
      </c>
    </row>
    <row r="350" spans="1:7">
      <c r="A350" s="1">
        <v>10750040</v>
      </c>
      <c r="B350">
        <f>equip.xml!G354</f>
        <v>75</v>
      </c>
      <c r="C350" t="str">
        <f>MID(equip.xml!M354,1,3)</f>
        <v>105</v>
      </c>
      <c r="D350" s="1" t="s">
        <v>11</v>
      </c>
      <c r="E350">
        <f>VLOOKUP(B350,[1]装备属性设计!$A$17:$AC$23,6,FALSE)</f>
        <v>2195</v>
      </c>
      <c r="G350" t="str">
        <f t="shared" si="6"/>
        <v>105_2195_2195</v>
      </c>
    </row>
    <row r="351" spans="1:7">
      <c r="A351" s="1">
        <v>10750041</v>
      </c>
      <c r="B351">
        <f>equip.xml!G355</f>
        <v>75</v>
      </c>
      <c r="C351" t="str">
        <f>MID(equip.xml!M355,1,3)</f>
        <v>105</v>
      </c>
      <c r="D351" s="1" t="s">
        <v>11</v>
      </c>
      <c r="E351">
        <f>VLOOKUP(B351,[1]装备属性设计!$A$17:$AC$23,7,FALSE)</f>
        <v>2346</v>
      </c>
      <c r="G351" t="str">
        <f t="shared" si="6"/>
        <v>105_2346_2346</v>
      </c>
    </row>
    <row r="352" spans="1:7">
      <c r="A352" s="1">
        <v>10750070</v>
      </c>
      <c r="B352">
        <f>equip.xml!G356</f>
        <v>75</v>
      </c>
      <c r="C352" t="str">
        <f>MID(equip.xml!M356,1,3)</f>
        <v>105</v>
      </c>
      <c r="D352" s="1" t="s">
        <v>14</v>
      </c>
      <c r="E352">
        <f>VLOOKUP(B352,[1]装备属性设计!$A$17:$AC$23,6,FALSE)</f>
        <v>2195</v>
      </c>
      <c r="G352" t="str">
        <f t="shared" si="6"/>
        <v>105_2195_2195</v>
      </c>
    </row>
    <row r="353" spans="1:7">
      <c r="A353" s="1">
        <v>10750071</v>
      </c>
      <c r="B353">
        <f>equip.xml!G357</f>
        <v>75</v>
      </c>
      <c r="C353" t="str">
        <f>MID(equip.xml!M357,1,3)</f>
        <v>105</v>
      </c>
      <c r="D353" s="1" t="s">
        <v>14</v>
      </c>
      <c r="E353">
        <f>VLOOKUP(B353,[1]装备属性设计!$A$17:$AC$23,7,FALSE)</f>
        <v>2346</v>
      </c>
      <c r="G353" t="str">
        <f t="shared" si="6"/>
        <v>105_2346_2346</v>
      </c>
    </row>
    <row r="354" spans="1:7">
      <c r="A354" s="1">
        <v>10800010</v>
      </c>
      <c r="B354">
        <f>equip.xml!G358</f>
        <v>80</v>
      </c>
      <c r="C354" t="str">
        <f>MID(equip.xml!M358,1,3)</f>
        <v>106</v>
      </c>
      <c r="D354" s="1" t="s">
        <v>8</v>
      </c>
      <c r="E354">
        <f>VLOOKUP(B354,[1]装备属性设计!$A$17:$AC$23,22,FALSE)</f>
        <v>3066</v>
      </c>
      <c r="G354" t="str">
        <f t="shared" si="6"/>
        <v>106_3066_3066</v>
      </c>
    </row>
    <row r="355" spans="1:7">
      <c r="A355" s="1">
        <v>10800020</v>
      </c>
      <c r="B355">
        <f>equip.xml!G359</f>
        <v>80</v>
      </c>
      <c r="C355" t="str">
        <f>MID(equip.xml!M359,1,3)</f>
        <v>102</v>
      </c>
      <c r="D355" s="1" t="s">
        <v>9</v>
      </c>
      <c r="E355">
        <f>VLOOKUP(B355,[1]装备属性设计!$A$17:$AC$23,2,FALSE)</f>
        <v>1900</v>
      </c>
      <c r="G355" t="str">
        <f t="shared" si="6"/>
        <v>102_1900_1900</v>
      </c>
    </row>
    <row r="356" spans="1:7">
      <c r="A356" s="1">
        <v>10800030</v>
      </c>
      <c r="B356">
        <f>equip.xml!G360</f>
        <v>80</v>
      </c>
      <c r="C356" t="str">
        <f>MID(equip.xml!M360,1,3)</f>
        <v>101</v>
      </c>
      <c r="D356" s="1" t="s">
        <v>10</v>
      </c>
      <c r="E356">
        <f>VLOOKUP(B356,[1]装备属性设计!$A$17:$AC$23,4,FALSE)</f>
        <v>24080</v>
      </c>
      <c r="G356" t="str">
        <f t="shared" si="6"/>
        <v>101_24080_24080</v>
      </c>
    </row>
    <row r="357" spans="1:7">
      <c r="A357" s="1">
        <v>10800080</v>
      </c>
      <c r="B357">
        <f>equip.xml!G361</f>
        <v>80</v>
      </c>
      <c r="C357" t="str">
        <f>MID(equip.xml!M361,1,3)</f>
        <v>110</v>
      </c>
      <c r="D357" s="1" t="s">
        <v>15</v>
      </c>
      <c r="E357">
        <f>VLOOKUP(B357,[1]装备属性设计!$A$17:$AC$23,24,FALSE)</f>
        <v>3066</v>
      </c>
      <c r="G357" t="str">
        <f t="shared" si="6"/>
        <v>110_3066_3066</v>
      </c>
    </row>
    <row r="358" spans="1:7">
      <c r="A358" s="1">
        <v>10800090</v>
      </c>
      <c r="B358">
        <f>equip.xml!G362</f>
        <v>80</v>
      </c>
      <c r="C358" t="str">
        <f>MID(equip.xml!M362,1,3)</f>
        <v>108</v>
      </c>
      <c r="D358" s="1" t="s">
        <v>16</v>
      </c>
      <c r="E358">
        <f>VLOOKUP(B358,[1]装备属性设计!$A$17:$AC$23,26,FALSE)</f>
        <v>568</v>
      </c>
      <c r="G358" t="str">
        <f t="shared" si="6"/>
        <v>108_568_568</v>
      </c>
    </row>
    <row r="359" spans="1:7">
      <c r="A359" s="1">
        <v>10800100</v>
      </c>
      <c r="B359">
        <f>equip.xml!G363</f>
        <v>80</v>
      </c>
      <c r="C359" t="str">
        <f>MID(equip.xml!M363,1,3)</f>
        <v>107</v>
      </c>
      <c r="D359" s="1" t="s">
        <v>17</v>
      </c>
      <c r="E359">
        <f>VLOOKUP(B359,[1]装备属性设计!$A$17:$AC$23,22,FALSE)</f>
        <v>3066</v>
      </c>
      <c r="G359" t="str">
        <f t="shared" si="6"/>
        <v>107_3066_3066</v>
      </c>
    </row>
    <row r="360" spans="1:7">
      <c r="A360" s="1">
        <v>10801050</v>
      </c>
      <c r="B360">
        <f>equip.xml!G364</f>
        <v>80</v>
      </c>
      <c r="C360" t="str">
        <f>MID(equip.xml!M364,1,3)</f>
        <v>103</v>
      </c>
      <c r="D360" s="1" t="s">
        <v>12</v>
      </c>
      <c r="E360">
        <f>VLOOKUP(B360,[1]装备属性设计!$A$17:$AC$23,17,FALSE)</f>
        <v>12993</v>
      </c>
      <c r="G360" t="str">
        <f t="shared" si="6"/>
        <v>103_12993_12993</v>
      </c>
    </row>
    <row r="361" spans="1:7">
      <c r="A361" s="1">
        <v>10801051</v>
      </c>
      <c r="B361">
        <f>equip.xml!G365</f>
        <v>80</v>
      </c>
      <c r="C361" t="str">
        <f>MID(equip.xml!M365,1,3)</f>
        <v>103</v>
      </c>
      <c r="D361" s="1" t="s">
        <v>12</v>
      </c>
      <c r="E361">
        <f>VLOOKUP(B361,[1]装备属性设计!$A$17:$AC$23,18,FALSE)</f>
        <v>13657</v>
      </c>
      <c r="G361" t="str">
        <f t="shared" si="6"/>
        <v>103_13657_13657</v>
      </c>
    </row>
    <row r="362" spans="1:7">
      <c r="A362" s="1">
        <v>10801060</v>
      </c>
      <c r="B362">
        <f>equip.xml!G366</f>
        <v>80</v>
      </c>
      <c r="C362" t="str">
        <f>MID(equip.xml!M366,1,3)</f>
        <v>105</v>
      </c>
      <c r="D362" s="1" t="s">
        <v>13</v>
      </c>
      <c r="E362">
        <f>VLOOKUP(B362,[1]装备属性设计!$A$17:$AC$23,12,FALSE)</f>
        <v>4288</v>
      </c>
      <c r="G362" t="str">
        <f t="shared" si="6"/>
        <v>105_4288_4288</v>
      </c>
    </row>
    <row r="363" spans="1:7">
      <c r="A363" s="1">
        <v>10801061</v>
      </c>
      <c r="B363">
        <f>equip.xml!G367</f>
        <v>80</v>
      </c>
      <c r="C363" t="str">
        <f>MID(equip.xml!M367,1,3)</f>
        <v>105</v>
      </c>
      <c r="D363" s="1" t="s">
        <v>13</v>
      </c>
      <c r="E363">
        <f>VLOOKUP(B363,[1]装备属性设计!$A$17:$AC$23,13,FALSE)</f>
        <v>4419</v>
      </c>
      <c r="G363" t="str">
        <f t="shared" si="6"/>
        <v>105_4419_4419</v>
      </c>
    </row>
    <row r="364" spans="1:7">
      <c r="A364" s="1">
        <v>10802050</v>
      </c>
      <c r="B364">
        <f>equip.xml!G368</f>
        <v>80</v>
      </c>
      <c r="C364" t="str">
        <f>MID(equip.xml!M368,1,3)</f>
        <v>103</v>
      </c>
      <c r="D364" s="1" t="s">
        <v>12</v>
      </c>
      <c r="E364">
        <f>VLOOKUP(B364,[1]装备属性设计!$A$17:$AC$23,17,FALSE)</f>
        <v>12993</v>
      </c>
      <c r="G364" t="str">
        <f t="shared" si="6"/>
        <v>103_12993_12993</v>
      </c>
    </row>
    <row r="365" spans="1:7">
      <c r="A365" s="1">
        <v>10802051</v>
      </c>
      <c r="B365">
        <f>equip.xml!G369</f>
        <v>80</v>
      </c>
      <c r="C365" t="str">
        <f>MID(equip.xml!M369,1,3)</f>
        <v>103</v>
      </c>
      <c r="D365" s="1" t="s">
        <v>12</v>
      </c>
      <c r="E365">
        <f>VLOOKUP(B365,[1]装备属性设计!$A$17:$AC$23,18,FALSE)</f>
        <v>13657</v>
      </c>
      <c r="G365" t="str">
        <f t="shared" si="6"/>
        <v>103_13657_13657</v>
      </c>
    </row>
    <row r="366" spans="1:7">
      <c r="A366" s="1">
        <v>10802060</v>
      </c>
      <c r="B366">
        <f>equip.xml!G370</f>
        <v>80</v>
      </c>
      <c r="C366" t="str">
        <f>MID(equip.xml!M370,1,3)</f>
        <v>108</v>
      </c>
      <c r="D366" s="1" t="s">
        <v>13</v>
      </c>
      <c r="E366">
        <f>VLOOKUP(B366,[1]装备属性设计!$A$17:$AC$23,12,FALSE)</f>
        <v>4288</v>
      </c>
      <c r="G366" t="str">
        <f t="shared" si="6"/>
        <v>108_4288_4288</v>
      </c>
    </row>
    <row r="367" spans="1:7">
      <c r="A367" s="1">
        <v>10802061</v>
      </c>
      <c r="B367">
        <f>equip.xml!G371</f>
        <v>80</v>
      </c>
      <c r="C367" t="str">
        <f>MID(equip.xml!M371,1,3)</f>
        <v>108</v>
      </c>
      <c r="D367" s="1" t="s">
        <v>13</v>
      </c>
      <c r="E367">
        <f>VLOOKUP(B367,[1]装备属性设计!$A$17:$AC$23,13,FALSE)</f>
        <v>4419</v>
      </c>
      <c r="G367" t="str">
        <f t="shared" si="6"/>
        <v>108_4419_4419</v>
      </c>
    </row>
    <row r="368" spans="1:7">
      <c r="A368" s="1">
        <v>10803050</v>
      </c>
      <c r="B368">
        <f>equip.xml!G372</f>
        <v>80</v>
      </c>
      <c r="C368" t="str">
        <f>MID(equip.xml!M372,1,3)</f>
        <v>103</v>
      </c>
      <c r="D368" s="1" t="s">
        <v>12</v>
      </c>
      <c r="E368">
        <f>VLOOKUP(B368,[1]装备属性设计!$A$17:$AC$23,17,FALSE)</f>
        <v>12993</v>
      </c>
      <c r="G368" t="str">
        <f t="shared" si="6"/>
        <v>103_12993_12993</v>
      </c>
    </row>
    <row r="369" spans="1:7">
      <c r="A369" s="1">
        <v>10803051</v>
      </c>
      <c r="B369">
        <f>equip.xml!G373</f>
        <v>80</v>
      </c>
      <c r="C369" t="str">
        <f>MID(equip.xml!M373,1,3)</f>
        <v>103</v>
      </c>
      <c r="D369" s="1" t="s">
        <v>12</v>
      </c>
      <c r="E369">
        <f>VLOOKUP(B369,[1]装备属性设计!$A$17:$AC$23,18,FALSE)</f>
        <v>13657</v>
      </c>
      <c r="G369" t="str">
        <f t="shared" si="6"/>
        <v>103_13657_13657</v>
      </c>
    </row>
    <row r="370" spans="1:7">
      <c r="A370" s="1">
        <v>10803060</v>
      </c>
      <c r="B370">
        <f>equip.xml!G374</f>
        <v>80</v>
      </c>
      <c r="C370" t="str">
        <f>MID(equip.xml!M374,1,3)</f>
        <v>102</v>
      </c>
      <c r="D370" s="1" t="s">
        <v>13</v>
      </c>
      <c r="E370">
        <f>VLOOKUP(B370,[1]装备属性设计!$A$17:$AC$23,14,FALSE)</f>
        <v>3610</v>
      </c>
      <c r="G370" t="str">
        <f t="shared" si="6"/>
        <v>102_3610_3610</v>
      </c>
    </row>
    <row r="371" spans="1:7">
      <c r="A371" s="1">
        <v>10803061</v>
      </c>
      <c r="B371">
        <f>equip.xml!G375</f>
        <v>80</v>
      </c>
      <c r="C371" t="str">
        <f>MID(equip.xml!M375,1,3)</f>
        <v>102</v>
      </c>
      <c r="D371" s="1" t="s">
        <v>13</v>
      </c>
      <c r="E371">
        <f>VLOOKUP(B371,[1]装备属性设计!$A$17:$AC$23,15,FALSE)</f>
        <v>3680</v>
      </c>
      <c r="G371" t="str">
        <f t="shared" si="6"/>
        <v>102_3680_3680</v>
      </c>
    </row>
    <row r="372" spans="1:7">
      <c r="A372" s="1">
        <v>10800040</v>
      </c>
      <c r="B372">
        <f>equip.xml!G376</f>
        <v>80</v>
      </c>
      <c r="C372" t="str">
        <f>MID(equip.xml!M376,1,3)</f>
        <v>105</v>
      </c>
      <c r="D372" s="1" t="s">
        <v>11</v>
      </c>
      <c r="E372">
        <f>VLOOKUP(B372,[1]装备属性设计!$A$17:$AC$23,6,FALSE)</f>
        <v>2573</v>
      </c>
      <c r="G372" t="str">
        <f t="shared" si="6"/>
        <v>105_2573_2573</v>
      </c>
    </row>
    <row r="373" spans="1:7">
      <c r="A373" s="1">
        <v>10800041</v>
      </c>
      <c r="B373">
        <f>equip.xml!G377</f>
        <v>80</v>
      </c>
      <c r="C373" t="str">
        <f>MID(equip.xml!M377,1,3)</f>
        <v>105</v>
      </c>
      <c r="D373" s="1" t="s">
        <v>11</v>
      </c>
      <c r="E373">
        <f>VLOOKUP(B373,[1]装备属性设计!$A$17:$AC$23,7,FALSE)</f>
        <v>2739</v>
      </c>
      <c r="G373" t="str">
        <f t="shared" si="6"/>
        <v>105_2739_2739</v>
      </c>
    </row>
    <row r="374" spans="1:7">
      <c r="A374" s="1">
        <v>10800070</v>
      </c>
      <c r="B374">
        <f>equip.xml!G378</f>
        <v>80</v>
      </c>
      <c r="C374" t="str">
        <f>MID(equip.xml!M378,1,3)</f>
        <v>105</v>
      </c>
      <c r="D374" s="1" t="s">
        <v>14</v>
      </c>
      <c r="E374">
        <f>VLOOKUP(B374,[1]装备属性设计!$A$17:$AC$23,6,FALSE)</f>
        <v>2573</v>
      </c>
      <c r="G374" t="str">
        <f t="shared" si="6"/>
        <v>105_2573_2573</v>
      </c>
    </row>
    <row r="375" spans="1:7">
      <c r="A375" s="1">
        <v>10800071</v>
      </c>
      <c r="B375">
        <f>equip.xml!G379</f>
        <v>80</v>
      </c>
      <c r="C375" t="str">
        <f>MID(equip.xml!M379,1,3)</f>
        <v>105</v>
      </c>
      <c r="D375" s="1" t="s">
        <v>14</v>
      </c>
      <c r="E375">
        <f>VLOOKUP(B375,[1]装备属性设计!$A$17:$AC$23,7,FALSE)</f>
        <v>2739</v>
      </c>
      <c r="G375" t="str">
        <f t="shared" si="6"/>
        <v>105_2739_2739</v>
      </c>
    </row>
    <row r="376" spans="1:7">
      <c r="A376" s="1">
        <v>10850010</v>
      </c>
      <c r="B376">
        <f>equip.xml!G380</f>
        <v>85</v>
      </c>
      <c r="C376" t="str">
        <f>MID(equip.xml!M380,1,3)</f>
        <v>106</v>
      </c>
      <c r="D376" s="1" t="s">
        <v>8</v>
      </c>
      <c r="E376">
        <f>VLOOKUP(B376,[1]装备属性设计!$A$17:$AC$23,22,FALSE)</f>
        <v>3672</v>
      </c>
      <c r="G376" t="str">
        <f t="shared" si="6"/>
        <v>106_3672_3672</v>
      </c>
    </row>
    <row r="377" spans="1:7">
      <c r="A377" s="1">
        <v>10850020</v>
      </c>
      <c r="B377">
        <f>equip.xml!G381</f>
        <v>85</v>
      </c>
      <c r="C377" t="str">
        <f>MID(equip.xml!M381,1,3)</f>
        <v>102</v>
      </c>
      <c r="D377" s="1" t="s">
        <v>9</v>
      </c>
      <c r="E377">
        <f>VLOOKUP(B377,[1]装备属性设计!$A$17:$AC$23,2,FALSE)</f>
        <v>2020</v>
      </c>
      <c r="G377" t="str">
        <f t="shared" si="6"/>
        <v>102_2020_2020</v>
      </c>
    </row>
    <row r="378" spans="1:7">
      <c r="A378" s="1">
        <v>10850030</v>
      </c>
      <c r="B378">
        <f>equip.xml!G382</f>
        <v>85</v>
      </c>
      <c r="C378" t="str">
        <f>MID(equip.xml!M382,1,3)</f>
        <v>101</v>
      </c>
      <c r="D378" s="1" t="s">
        <v>10</v>
      </c>
      <c r="E378">
        <f>VLOOKUP(B378,[1]装备属性设计!$A$17:$AC$23,4,FALSE)</f>
        <v>27040</v>
      </c>
      <c r="G378" t="str">
        <f t="shared" si="6"/>
        <v>101_27040_27040</v>
      </c>
    </row>
    <row r="379" spans="1:7">
      <c r="A379" s="1">
        <v>10850080</v>
      </c>
      <c r="B379">
        <f>equip.xml!G383</f>
        <v>85</v>
      </c>
      <c r="C379" t="str">
        <f>MID(equip.xml!M383,1,3)</f>
        <v>110</v>
      </c>
      <c r="D379" s="1" t="s">
        <v>15</v>
      </c>
      <c r="E379">
        <f>VLOOKUP(B379,[1]装备属性设计!$A$17:$AC$23,24,FALSE)</f>
        <v>3672</v>
      </c>
      <c r="G379" t="str">
        <f t="shared" si="6"/>
        <v>110_3672_3672</v>
      </c>
    </row>
    <row r="380" spans="1:7">
      <c r="A380" s="1">
        <v>10850090</v>
      </c>
      <c r="B380">
        <f>equip.xml!G384</f>
        <v>85</v>
      </c>
      <c r="C380" t="str">
        <f>MID(equip.xml!M384,1,3)</f>
        <v>108</v>
      </c>
      <c r="D380" s="1" t="s">
        <v>16</v>
      </c>
      <c r="E380">
        <f>VLOOKUP(B380,[1]装备属性设计!$A$17:$AC$23,26,FALSE)</f>
        <v>661</v>
      </c>
      <c r="G380" t="str">
        <f t="shared" si="6"/>
        <v>108_661_661</v>
      </c>
    </row>
    <row r="381" spans="1:7">
      <c r="A381" s="1">
        <v>10850100</v>
      </c>
      <c r="B381">
        <f>equip.xml!G385</f>
        <v>85</v>
      </c>
      <c r="C381" t="str">
        <f>MID(equip.xml!M385,1,3)</f>
        <v>107</v>
      </c>
      <c r="D381" s="1" t="s">
        <v>17</v>
      </c>
      <c r="E381">
        <f>VLOOKUP(B381,[1]装备属性设计!$A$17:$AC$23,22,FALSE)</f>
        <v>3672</v>
      </c>
      <c r="G381" t="str">
        <f t="shared" si="6"/>
        <v>107_3672_3672</v>
      </c>
    </row>
    <row r="382" spans="1:7">
      <c r="A382" s="1">
        <v>10851050</v>
      </c>
      <c r="B382">
        <f>equip.xml!G386</f>
        <v>85</v>
      </c>
      <c r="C382" t="str">
        <f>MID(equip.xml!M386,1,3)</f>
        <v>103</v>
      </c>
      <c r="D382" s="1" t="s">
        <v>12</v>
      </c>
      <c r="E382">
        <f>VLOOKUP(B382,[1]装备属性设计!$A$17:$AC$23,17,FALSE)</f>
        <v>14653</v>
      </c>
      <c r="G382" t="str">
        <f t="shared" si="6"/>
        <v>103_14653_14653</v>
      </c>
    </row>
    <row r="383" spans="1:7">
      <c r="A383" s="1">
        <v>10851051</v>
      </c>
      <c r="B383">
        <f>equip.xml!G387</f>
        <v>85</v>
      </c>
      <c r="C383" t="str">
        <f>MID(equip.xml!M387,1,3)</f>
        <v>103</v>
      </c>
      <c r="D383" s="1" t="s">
        <v>12</v>
      </c>
      <c r="E383">
        <f>VLOOKUP(B383,[1]装备属性设计!$A$17:$AC$23,18,FALSE)</f>
        <v>15357</v>
      </c>
      <c r="G383" t="str">
        <f t="shared" si="6"/>
        <v>103_15357_15357</v>
      </c>
    </row>
    <row r="384" spans="1:7">
      <c r="A384" s="1">
        <v>10851060</v>
      </c>
      <c r="B384">
        <f>equip.xml!G388</f>
        <v>85</v>
      </c>
      <c r="C384" t="str">
        <f>MID(equip.xml!M388,1,3)</f>
        <v>105</v>
      </c>
      <c r="D384" s="1" t="s">
        <v>13</v>
      </c>
      <c r="E384">
        <f>VLOOKUP(B384,[1]装备属性设计!$A$17:$AC$23,12,FALSE)</f>
        <v>4616</v>
      </c>
      <c r="G384" t="str">
        <f t="shared" si="6"/>
        <v>105_4616_4616</v>
      </c>
    </row>
    <row r="385" spans="1:7">
      <c r="A385" s="1">
        <v>10851061</v>
      </c>
      <c r="B385">
        <f>equip.xml!G389</f>
        <v>85</v>
      </c>
      <c r="C385" t="str">
        <f>MID(equip.xml!M389,1,3)</f>
        <v>105</v>
      </c>
      <c r="D385" s="1" t="s">
        <v>13</v>
      </c>
      <c r="E385">
        <f>VLOOKUP(B385,[1]装备属性设计!$A$17:$AC$23,13,FALSE)</f>
        <v>4739</v>
      </c>
      <c r="G385" t="str">
        <f t="shared" si="6"/>
        <v>105_4739_4739</v>
      </c>
    </row>
    <row r="386" spans="1:7">
      <c r="A386" s="1">
        <v>10852050</v>
      </c>
      <c r="B386">
        <f>equip.xml!G390</f>
        <v>85</v>
      </c>
      <c r="C386" t="str">
        <f>MID(equip.xml!M390,1,3)</f>
        <v>103</v>
      </c>
      <c r="D386" s="1" t="s">
        <v>12</v>
      </c>
      <c r="E386">
        <f>VLOOKUP(B386,[1]装备属性设计!$A$17:$AC$23,17,FALSE)</f>
        <v>14653</v>
      </c>
      <c r="G386" t="str">
        <f t="shared" si="6"/>
        <v>103_14653_14653</v>
      </c>
    </row>
    <row r="387" spans="1:7">
      <c r="A387" s="1">
        <v>10852051</v>
      </c>
      <c r="B387">
        <f>equip.xml!G391</f>
        <v>85</v>
      </c>
      <c r="C387" t="str">
        <f>MID(equip.xml!M391,1,3)</f>
        <v>103</v>
      </c>
      <c r="D387" s="1" t="s">
        <v>12</v>
      </c>
      <c r="E387">
        <f>VLOOKUP(B387,[1]装备属性设计!$A$17:$AC$23,18,FALSE)</f>
        <v>15357</v>
      </c>
      <c r="G387" t="str">
        <f t="shared" si="6"/>
        <v>103_15357_15357</v>
      </c>
    </row>
    <row r="388" spans="1:7">
      <c r="A388" s="1">
        <v>10852060</v>
      </c>
      <c r="B388">
        <f>equip.xml!G392</f>
        <v>85</v>
      </c>
      <c r="C388" t="str">
        <f>MID(equip.xml!M392,1,3)</f>
        <v>108</v>
      </c>
      <c r="D388" s="1" t="s">
        <v>13</v>
      </c>
      <c r="E388">
        <f>VLOOKUP(B388,[1]装备属性设计!$A$17:$AC$23,12,FALSE)</f>
        <v>4616</v>
      </c>
      <c r="G388" t="str">
        <f t="shared" si="6"/>
        <v>108_4616_4616</v>
      </c>
    </row>
    <row r="389" spans="1:7">
      <c r="A389" s="1">
        <v>10852061</v>
      </c>
      <c r="B389">
        <f>equip.xml!G393</f>
        <v>85</v>
      </c>
      <c r="C389" t="str">
        <f>MID(equip.xml!M393,1,3)</f>
        <v>108</v>
      </c>
      <c r="D389" s="1" t="s">
        <v>13</v>
      </c>
      <c r="E389">
        <f>VLOOKUP(B389,[1]装备属性设计!$A$17:$AC$23,13,FALSE)</f>
        <v>4739</v>
      </c>
      <c r="G389" t="str">
        <f t="shared" si="6"/>
        <v>108_4739_4739</v>
      </c>
    </row>
    <row r="390" spans="1:7">
      <c r="A390" s="1">
        <v>10853050</v>
      </c>
      <c r="B390">
        <f>equip.xml!G394</f>
        <v>85</v>
      </c>
      <c r="C390" t="str">
        <f>MID(equip.xml!M394,1,3)</f>
        <v>103</v>
      </c>
      <c r="D390" s="1" t="s">
        <v>12</v>
      </c>
      <c r="E390">
        <f>VLOOKUP(B390,[1]装备属性设计!$A$17:$AC$23,17,FALSE)</f>
        <v>14653</v>
      </c>
      <c r="G390" t="str">
        <f t="shared" si="6"/>
        <v>103_14653_14653</v>
      </c>
    </row>
    <row r="391" spans="1:7">
      <c r="A391" s="1">
        <v>10853051</v>
      </c>
      <c r="B391">
        <f>equip.xml!G395</f>
        <v>85</v>
      </c>
      <c r="C391" t="str">
        <f>MID(equip.xml!M395,1,3)</f>
        <v>103</v>
      </c>
      <c r="D391" s="1" t="s">
        <v>12</v>
      </c>
      <c r="E391">
        <f>VLOOKUP(B391,[1]装备属性设计!$A$17:$AC$23,18,FALSE)</f>
        <v>15357</v>
      </c>
      <c r="G391" t="str">
        <f t="shared" si="6"/>
        <v>103_15357_15357</v>
      </c>
    </row>
    <row r="392" spans="1:7">
      <c r="A392" s="1">
        <v>10853060</v>
      </c>
      <c r="B392">
        <f>equip.xml!G396</f>
        <v>85</v>
      </c>
      <c r="C392" t="str">
        <f>MID(equip.xml!M396,1,3)</f>
        <v>102</v>
      </c>
      <c r="D392" s="1" t="s">
        <v>13</v>
      </c>
      <c r="E392">
        <f>VLOOKUP(B392,[1]装备属性设计!$A$17:$AC$23,14,FALSE)</f>
        <v>3790</v>
      </c>
      <c r="G392" t="str">
        <f t="shared" si="6"/>
        <v>102_3790_3790</v>
      </c>
    </row>
    <row r="393" spans="1:7">
      <c r="A393" s="1">
        <v>10853061</v>
      </c>
      <c r="B393">
        <f>equip.xml!G397</f>
        <v>85</v>
      </c>
      <c r="C393" t="str">
        <f>MID(equip.xml!M397,1,3)</f>
        <v>102</v>
      </c>
      <c r="D393" s="1" t="s">
        <v>13</v>
      </c>
      <c r="E393">
        <f>VLOOKUP(B393,[1]装备属性设计!$A$17:$AC$23,15,FALSE)</f>
        <v>3890</v>
      </c>
      <c r="G393" t="str">
        <f t="shared" si="6"/>
        <v>102_3890_3890</v>
      </c>
    </row>
    <row r="394" spans="1:7">
      <c r="A394" s="1">
        <v>10850040</v>
      </c>
      <c r="B394">
        <f>equip.xml!G398</f>
        <v>85</v>
      </c>
      <c r="C394" t="str">
        <f>MID(equip.xml!M398,1,3)</f>
        <v>105</v>
      </c>
      <c r="D394" s="1" t="s">
        <v>11</v>
      </c>
      <c r="E394">
        <f>VLOOKUP(B394,[1]装备属性设计!$A$17:$AC$23,6,FALSE)</f>
        <v>2989</v>
      </c>
      <c r="G394" t="str">
        <f t="shared" si="6"/>
        <v>105_2989_2989</v>
      </c>
    </row>
    <row r="395" spans="1:7">
      <c r="A395" s="1">
        <v>10850041</v>
      </c>
      <c r="B395">
        <f>equip.xml!G399</f>
        <v>85</v>
      </c>
      <c r="C395" t="str">
        <f>MID(equip.xml!M399,1,3)</f>
        <v>105</v>
      </c>
      <c r="D395" s="1" t="s">
        <v>11</v>
      </c>
      <c r="E395">
        <f>VLOOKUP(B395,[1]装备属性设计!$A$17:$AC$23,7,FALSE)</f>
        <v>3172</v>
      </c>
      <c r="G395" t="str">
        <f t="shared" si="6"/>
        <v>105_3172_3172</v>
      </c>
    </row>
    <row r="396" spans="1:7">
      <c r="A396" s="1">
        <v>10850070</v>
      </c>
      <c r="B396">
        <f>equip.xml!G400</f>
        <v>85</v>
      </c>
      <c r="C396" t="str">
        <f>MID(equip.xml!M400,1,3)</f>
        <v>105</v>
      </c>
      <c r="D396" s="1" t="s">
        <v>14</v>
      </c>
      <c r="E396">
        <f>VLOOKUP(B396,[1]装备属性设计!$A$17:$AC$23,6,FALSE)</f>
        <v>2989</v>
      </c>
      <c r="G396" t="str">
        <f t="shared" si="6"/>
        <v>105_2989_2989</v>
      </c>
    </row>
    <row r="397" spans="1:7">
      <c r="A397" s="1">
        <v>10850071</v>
      </c>
      <c r="B397">
        <f>equip.xml!G401</f>
        <v>85</v>
      </c>
      <c r="C397" t="str">
        <f>MID(equip.xml!M401,1,3)</f>
        <v>105</v>
      </c>
      <c r="D397" s="1" t="s">
        <v>14</v>
      </c>
      <c r="E397">
        <f>VLOOKUP(B397,[1]装备属性设计!$A$17:$AC$23,7,FALSE)</f>
        <v>3172</v>
      </c>
      <c r="G397" t="str">
        <f t="shared" ref="G397:G460" si="7">C397&amp;"_"&amp;E397&amp;"_"&amp;E397</f>
        <v>105_3172_3172</v>
      </c>
    </row>
    <row r="398" spans="1:7">
      <c r="A398" s="1">
        <v>10900010</v>
      </c>
      <c r="B398">
        <f>equip.xml!G402</f>
        <v>90</v>
      </c>
      <c r="C398" t="str">
        <f>MID(equip.xml!M402,1,3)</f>
        <v>106</v>
      </c>
      <c r="D398" s="1" t="s">
        <v>8</v>
      </c>
      <c r="E398">
        <f>VLOOKUP(B398,[1]装备属性设计!$A$17:$AC$23,22,FALSE)</f>
        <v>4428</v>
      </c>
      <c r="G398" t="str">
        <f t="shared" si="7"/>
        <v>106_4428_4428</v>
      </c>
    </row>
    <row r="399" spans="1:7">
      <c r="A399" s="1">
        <v>10900020</v>
      </c>
      <c r="B399">
        <f>equip.xml!G403</f>
        <v>90</v>
      </c>
      <c r="C399" t="str">
        <f>MID(equip.xml!M403,1,3)</f>
        <v>102</v>
      </c>
      <c r="D399" s="1" t="s">
        <v>9</v>
      </c>
      <c r="E399">
        <f>VLOOKUP(B399,[1]装备属性设计!$A$17:$AC$23,2,FALSE)</f>
        <v>2150</v>
      </c>
      <c r="G399" t="str">
        <f t="shared" si="7"/>
        <v>102_2150_2150</v>
      </c>
    </row>
    <row r="400" spans="1:7">
      <c r="A400" s="1">
        <v>10900030</v>
      </c>
      <c r="B400">
        <f>equip.xml!G404</f>
        <v>90</v>
      </c>
      <c r="C400" t="str">
        <f>MID(equip.xml!M404,1,3)</f>
        <v>101</v>
      </c>
      <c r="D400" s="1" t="s">
        <v>10</v>
      </c>
      <c r="E400">
        <f>VLOOKUP(B400,[1]装备属性设计!$A$17:$AC$23,4,FALSE)</f>
        <v>29800</v>
      </c>
      <c r="G400" t="str">
        <f t="shared" si="7"/>
        <v>101_29800_29800</v>
      </c>
    </row>
    <row r="401" spans="1:7">
      <c r="A401" s="1">
        <v>10900080</v>
      </c>
      <c r="B401">
        <f>equip.xml!G405</f>
        <v>90</v>
      </c>
      <c r="C401" t="str">
        <f>MID(equip.xml!M405,1,3)</f>
        <v>110</v>
      </c>
      <c r="D401" s="1" t="s">
        <v>15</v>
      </c>
      <c r="E401">
        <f>VLOOKUP(B401,[1]装备属性设计!$A$17:$AC$23,24,FALSE)</f>
        <v>4428</v>
      </c>
      <c r="G401" t="str">
        <f t="shared" si="7"/>
        <v>110_4428_4428</v>
      </c>
    </row>
    <row r="402" spans="1:7">
      <c r="A402" s="1">
        <v>10900090</v>
      </c>
      <c r="B402">
        <f>equip.xml!G406</f>
        <v>90</v>
      </c>
      <c r="C402" t="str">
        <f>MID(equip.xml!M406,1,3)</f>
        <v>108</v>
      </c>
      <c r="D402" s="1" t="s">
        <v>16</v>
      </c>
      <c r="E402">
        <f>VLOOKUP(B402,[1]装备属性设计!$A$17:$AC$23,26,FALSE)</f>
        <v>715</v>
      </c>
      <c r="G402" t="str">
        <f t="shared" si="7"/>
        <v>108_715_715</v>
      </c>
    </row>
    <row r="403" spans="1:7">
      <c r="A403" s="1">
        <v>10900100</v>
      </c>
      <c r="B403">
        <f>equip.xml!G407</f>
        <v>90</v>
      </c>
      <c r="C403" t="str">
        <f>MID(equip.xml!M407,1,3)</f>
        <v>107</v>
      </c>
      <c r="D403" s="1" t="s">
        <v>17</v>
      </c>
      <c r="E403">
        <f>VLOOKUP(B403,[1]装备属性设计!$A$17:$AC$23,22,FALSE)</f>
        <v>4428</v>
      </c>
      <c r="G403" t="str">
        <f t="shared" si="7"/>
        <v>107_4428_4428</v>
      </c>
    </row>
    <row r="404" spans="1:7">
      <c r="A404" s="1">
        <v>10901050</v>
      </c>
      <c r="B404">
        <f>equip.xml!G408</f>
        <v>90</v>
      </c>
      <c r="C404" t="str">
        <f>MID(equip.xml!M408,1,3)</f>
        <v>103</v>
      </c>
      <c r="D404" s="1" t="s">
        <v>12</v>
      </c>
      <c r="E404">
        <f>VLOOKUP(B404,[1]装备属性设计!$A$17:$AC$23,17,FALSE)</f>
        <v>16413</v>
      </c>
      <c r="G404" t="str">
        <f t="shared" si="7"/>
        <v>103_16413_16413</v>
      </c>
    </row>
    <row r="405" spans="1:7">
      <c r="A405" s="1">
        <v>10901051</v>
      </c>
      <c r="B405">
        <f>equip.xml!G409</f>
        <v>90</v>
      </c>
      <c r="C405" t="str">
        <f>MID(equip.xml!M409,1,3)</f>
        <v>103</v>
      </c>
      <c r="D405" s="1" t="s">
        <v>12</v>
      </c>
      <c r="E405">
        <f>VLOOKUP(B405,[1]装备属性设计!$A$17:$AC$23,18,FALSE)</f>
        <v>17157</v>
      </c>
      <c r="G405" t="str">
        <f t="shared" si="7"/>
        <v>103_17157_17157</v>
      </c>
    </row>
    <row r="406" spans="1:7">
      <c r="A406" s="1">
        <v>10901060</v>
      </c>
      <c r="B406">
        <f>equip.xml!G410</f>
        <v>90</v>
      </c>
      <c r="C406" t="str">
        <f>MID(equip.xml!M410,1,3)</f>
        <v>105</v>
      </c>
      <c r="D406" s="1" t="s">
        <v>13</v>
      </c>
      <c r="E406">
        <f>VLOOKUP(B406,[1]装备属性设计!$A$17:$AC$23,12,FALSE)</f>
        <v>4924</v>
      </c>
      <c r="G406" t="str">
        <f t="shared" si="7"/>
        <v>105_4924_4924</v>
      </c>
    </row>
    <row r="407" spans="1:7">
      <c r="A407" s="1">
        <v>10901061</v>
      </c>
      <c r="B407">
        <f>equip.xml!G411</f>
        <v>90</v>
      </c>
      <c r="C407" t="str">
        <f>MID(equip.xml!M411,1,3)</f>
        <v>105</v>
      </c>
      <c r="D407" s="1" t="s">
        <v>13</v>
      </c>
      <c r="E407">
        <f>VLOOKUP(B407,[1]装备属性设计!$A$17:$AC$23,13,FALSE)</f>
        <v>5147</v>
      </c>
      <c r="G407" t="str">
        <f t="shared" si="7"/>
        <v>105_5147_5147</v>
      </c>
    </row>
    <row r="408" spans="1:7">
      <c r="A408" s="1">
        <v>10902050</v>
      </c>
      <c r="B408">
        <f>equip.xml!G412</f>
        <v>90</v>
      </c>
      <c r="C408" t="str">
        <f>MID(equip.xml!M412,1,3)</f>
        <v>103</v>
      </c>
      <c r="D408" s="1" t="s">
        <v>12</v>
      </c>
      <c r="E408">
        <f>VLOOKUP(B408,[1]装备属性设计!$A$17:$AC$23,17,FALSE)</f>
        <v>16413</v>
      </c>
      <c r="G408" t="str">
        <f t="shared" si="7"/>
        <v>103_16413_16413</v>
      </c>
    </row>
    <row r="409" spans="1:7">
      <c r="A409" s="1">
        <v>10902051</v>
      </c>
      <c r="B409">
        <f>equip.xml!G413</f>
        <v>90</v>
      </c>
      <c r="C409" t="str">
        <f>MID(equip.xml!M413,1,3)</f>
        <v>103</v>
      </c>
      <c r="D409" s="1" t="s">
        <v>12</v>
      </c>
      <c r="E409">
        <f>VLOOKUP(B409,[1]装备属性设计!$A$17:$AC$23,18,FALSE)</f>
        <v>17157</v>
      </c>
      <c r="G409" t="str">
        <f t="shared" si="7"/>
        <v>103_17157_17157</v>
      </c>
    </row>
    <row r="410" spans="1:7">
      <c r="A410" s="1">
        <v>10902060</v>
      </c>
      <c r="B410">
        <f>equip.xml!G414</f>
        <v>90</v>
      </c>
      <c r="C410" t="str">
        <f>MID(equip.xml!M414,1,3)</f>
        <v>108</v>
      </c>
      <c r="D410" s="1" t="s">
        <v>13</v>
      </c>
      <c r="E410">
        <f>VLOOKUP(B410,[1]装备属性设计!$A$17:$AC$23,12,FALSE)</f>
        <v>4924</v>
      </c>
      <c r="G410" t="str">
        <f t="shared" si="7"/>
        <v>108_4924_4924</v>
      </c>
    </row>
    <row r="411" spans="1:7">
      <c r="A411" s="1">
        <v>10902061</v>
      </c>
      <c r="B411">
        <f>equip.xml!G415</f>
        <v>90</v>
      </c>
      <c r="C411" t="str">
        <f>MID(equip.xml!M415,1,3)</f>
        <v>108</v>
      </c>
      <c r="D411" s="1" t="s">
        <v>13</v>
      </c>
      <c r="E411">
        <f>VLOOKUP(B411,[1]装备属性设计!$A$17:$AC$23,13,FALSE)</f>
        <v>5147</v>
      </c>
      <c r="G411" t="str">
        <f t="shared" si="7"/>
        <v>108_5147_5147</v>
      </c>
    </row>
    <row r="412" spans="1:7">
      <c r="A412" s="1">
        <v>10903050</v>
      </c>
      <c r="B412">
        <f>equip.xml!G416</f>
        <v>90</v>
      </c>
      <c r="C412" t="str">
        <f>MID(equip.xml!M416,1,3)</f>
        <v>103</v>
      </c>
      <c r="D412" s="1" t="s">
        <v>12</v>
      </c>
      <c r="E412">
        <f>VLOOKUP(B412,[1]装备属性设计!$A$17:$AC$23,17,FALSE)</f>
        <v>16413</v>
      </c>
      <c r="G412" t="str">
        <f t="shared" si="7"/>
        <v>103_16413_16413</v>
      </c>
    </row>
    <row r="413" spans="1:7">
      <c r="A413" s="1">
        <v>10903051</v>
      </c>
      <c r="B413">
        <f>equip.xml!G417</f>
        <v>90</v>
      </c>
      <c r="C413" t="str">
        <f>MID(equip.xml!M417,1,3)</f>
        <v>103</v>
      </c>
      <c r="D413" s="1" t="s">
        <v>12</v>
      </c>
      <c r="E413">
        <f>VLOOKUP(B413,[1]装备属性设计!$A$17:$AC$23,18,FALSE)</f>
        <v>17157</v>
      </c>
      <c r="G413" t="str">
        <f t="shared" si="7"/>
        <v>103_17157_17157</v>
      </c>
    </row>
    <row r="414" spans="1:7">
      <c r="A414" s="1">
        <v>10903060</v>
      </c>
      <c r="B414">
        <f>equip.xml!G418</f>
        <v>90</v>
      </c>
      <c r="C414" t="str">
        <f>MID(equip.xml!M418,1,3)</f>
        <v>102</v>
      </c>
      <c r="D414" s="1" t="s">
        <v>13</v>
      </c>
      <c r="E414">
        <f>VLOOKUP(B414,[1]装备属性设计!$A$17:$AC$23,14,FALSE)</f>
        <v>4040</v>
      </c>
      <c r="G414" t="str">
        <f t="shared" si="7"/>
        <v>102_4040_4040</v>
      </c>
    </row>
    <row r="415" spans="1:7">
      <c r="A415" s="1">
        <v>10903061</v>
      </c>
      <c r="B415">
        <f>equip.xml!G419</f>
        <v>90</v>
      </c>
      <c r="C415" t="str">
        <f>MID(equip.xml!M419,1,3)</f>
        <v>102</v>
      </c>
      <c r="D415" s="1" t="s">
        <v>13</v>
      </c>
      <c r="E415">
        <f>VLOOKUP(B415,[1]装备属性设计!$A$17:$AC$23,15,FALSE)</f>
        <v>4140</v>
      </c>
      <c r="G415" t="str">
        <f t="shared" si="7"/>
        <v>102_4140_4140</v>
      </c>
    </row>
    <row r="416" spans="1:7">
      <c r="A416" s="1">
        <v>10900040</v>
      </c>
      <c r="B416">
        <f>equip.xml!G420</f>
        <v>90</v>
      </c>
      <c r="C416" t="str">
        <f>MID(equip.xml!M420,1,3)</f>
        <v>105</v>
      </c>
      <c r="D416" s="1" t="s">
        <v>11</v>
      </c>
      <c r="E416">
        <f>VLOOKUP(B416,[1]装备属性设计!$A$17:$AC$23,6,FALSE)</f>
        <v>3447</v>
      </c>
      <c r="G416" t="str">
        <f t="shared" si="7"/>
        <v>105_3447_3447</v>
      </c>
    </row>
    <row r="417" spans="1:7">
      <c r="A417" s="1">
        <v>10900041</v>
      </c>
      <c r="B417">
        <f>equip.xml!G421</f>
        <v>90</v>
      </c>
      <c r="C417" t="str">
        <f>MID(equip.xml!M421,1,3)</f>
        <v>105</v>
      </c>
      <c r="D417" s="1" t="s">
        <v>11</v>
      </c>
      <c r="E417">
        <f>VLOOKUP(B417,[1]装备属性设计!$A$17:$AC$23,7,FALSE)</f>
        <v>3603</v>
      </c>
      <c r="G417" t="str">
        <f t="shared" si="7"/>
        <v>105_3603_3603</v>
      </c>
    </row>
    <row r="418" spans="1:7">
      <c r="A418" s="1">
        <v>10900070</v>
      </c>
      <c r="B418">
        <f>equip.xml!G422</f>
        <v>90</v>
      </c>
      <c r="C418" t="str">
        <f>MID(equip.xml!M422,1,3)</f>
        <v>105</v>
      </c>
      <c r="D418" s="1" t="s">
        <v>14</v>
      </c>
      <c r="E418">
        <f>VLOOKUP(B418,[1]装备属性设计!$A$17:$AC$23,6,FALSE)</f>
        <v>3447</v>
      </c>
      <c r="G418" t="str">
        <f t="shared" si="7"/>
        <v>105_3447_3447</v>
      </c>
    </row>
    <row r="419" spans="1:7">
      <c r="A419" s="1">
        <v>10900071</v>
      </c>
      <c r="B419">
        <f>equip.xml!G423</f>
        <v>90</v>
      </c>
      <c r="C419" t="str">
        <f>MID(equip.xml!M423,1,3)</f>
        <v>105</v>
      </c>
      <c r="D419" s="1" t="s">
        <v>14</v>
      </c>
      <c r="E419">
        <f>VLOOKUP(B419,[1]装备属性设计!$A$17:$AC$23,7,FALSE)</f>
        <v>3603</v>
      </c>
      <c r="G419" t="str">
        <f t="shared" si="7"/>
        <v>105_3603_3603</v>
      </c>
    </row>
    <row r="420" spans="1:7">
      <c r="A420" s="1">
        <v>10950010</v>
      </c>
      <c r="B420">
        <f>equip.xml!G424</f>
        <v>95</v>
      </c>
      <c r="C420" t="str">
        <f>MID(equip.xml!M424,1,3)</f>
        <v>106</v>
      </c>
      <c r="D420" s="1" t="s">
        <v>8</v>
      </c>
      <c r="E420">
        <f>VLOOKUP(B420,[1]装备属性设计!$A$17:$AC$23,22,FALSE)</f>
        <v>5346</v>
      </c>
      <c r="G420" t="str">
        <f t="shared" si="7"/>
        <v>106_5346_5346</v>
      </c>
    </row>
    <row r="421" spans="1:7">
      <c r="A421" s="1">
        <v>10950020</v>
      </c>
      <c r="B421">
        <f>equip.xml!G425</f>
        <v>95</v>
      </c>
      <c r="C421" t="str">
        <f>MID(equip.xml!M425,1,3)</f>
        <v>102</v>
      </c>
      <c r="D421" s="1" t="s">
        <v>9</v>
      </c>
      <c r="E421">
        <f>VLOOKUP(B421,[1]装备属性设计!$A$17:$AC$23,2,FALSE)</f>
        <v>2240</v>
      </c>
      <c r="G421" t="str">
        <f t="shared" si="7"/>
        <v>102_2240_2240</v>
      </c>
    </row>
    <row r="422" spans="1:7">
      <c r="A422" s="1">
        <v>10950030</v>
      </c>
      <c r="B422">
        <f>equip.xml!G426</f>
        <v>95</v>
      </c>
      <c r="C422" t="str">
        <f>MID(equip.xml!M426,1,3)</f>
        <v>101</v>
      </c>
      <c r="D422" s="1" t="s">
        <v>10</v>
      </c>
      <c r="E422">
        <f>VLOOKUP(B422,[1]装备属性设计!$A$17:$AC$23,4,FALSE)</f>
        <v>32760</v>
      </c>
      <c r="G422" t="str">
        <f t="shared" si="7"/>
        <v>101_32760_32760</v>
      </c>
    </row>
    <row r="423" spans="1:7">
      <c r="A423" s="1">
        <v>10950080</v>
      </c>
      <c r="B423">
        <f>equip.xml!G427</f>
        <v>95</v>
      </c>
      <c r="C423" t="str">
        <f>MID(equip.xml!M427,1,3)</f>
        <v>110</v>
      </c>
      <c r="D423" s="1" t="s">
        <v>15</v>
      </c>
      <c r="E423">
        <f>VLOOKUP(B423,[1]装备属性设计!$A$17:$AC$23,24,FALSE)</f>
        <v>5346</v>
      </c>
      <c r="G423" t="str">
        <f t="shared" si="7"/>
        <v>110_5346_5346</v>
      </c>
    </row>
    <row r="424" spans="1:7">
      <c r="A424" s="1">
        <v>10950090</v>
      </c>
      <c r="B424">
        <f>equip.xml!G428</f>
        <v>95</v>
      </c>
      <c r="C424" t="str">
        <f>MID(equip.xml!M428,1,3)</f>
        <v>108</v>
      </c>
      <c r="D424" s="1" t="s">
        <v>16</v>
      </c>
      <c r="E424">
        <f>VLOOKUP(B424,[1]装备属性设计!$A$17:$AC$23,26,FALSE)</f>
        <v>786</v>
      </c>
      <c r="G424" t="str">
        <f t="shared" si="7"/>
        <v>108_786_786</v>
      </c>
    </row>
    <row r="425" spans="1:7">
      <c r="A425" s="1">
        <v>10950100</v>
      </c>
      <c r="B425">
        <f>equip.xml!G429</f>
        <v>95</v>
      </c>
      <c r="C425" t="str">
        <f>MID(equip.xml!M429,1,3)</f>
        <v>107</v>
      </c>
      <c r="D425" s="1" t="s">
        <v>17</v>
      </c>
      <c r="E425">
        <f>VLOOKUP(B425,[1]装备属性设计!$A$17:$AC$23,22,FALSE)</f>
        <v>5346</v>
      </c>
      <c r="G425" t="str">
        <f t="shared" si="7"/>
        <v>107_5346_5346</v>
      </c>
    </row>
    <row r="426" spans="1:7">
      <c r="A426" s="1">
        <v>10951050</v>
      </c>
      <c r="B426">
        <f>equip.xml!G430</f>
        <v>95</v>
      </c>
      <c r="C426" t="str">
        <f>MID(equip.xml!M430,1,3)</f>
        <v>103</v>
      </c>
      <c r="D426" s="1" t="s">
        <v>12</v>
      </c>
      <c r="E426">
        <f>VLOOKUP(B426,[1]装备属性设计!$A$17:$AC$23,17,FALSE)</f>
        <v>18273</v>
      </c>
      <c r="G426" t="str">
        <f t="shared" si="7"/>
        <v>103_18273_18273</v>
      </c>
    </row>
    <row r="427" spans="1:7">
      <c r="A427" s="1">
        <v>10951051</v>
      </c>
      <c r="B427">
        <f>equip.xml!G431</f>
        <v>95</v>
      </c>
      <c r="C427" t="str">
        <f>MID(equip.xml!M431,1,3)</f>
        <v>103</v>
      </c>
      <c r="D427" s="1" t="s">
        <v>12</v>
      </c>
      <c r="E427">
        <f>VLOOKUP(B427,[1]装备属性设计!$A$17:$AC$23,18,FALSE)</f>
        <v>19057</v>
      </c>
      <c r="G427" t="str">
        <f t="shared" si="7"/>
        <v>103_19057_19057</v>
      </c>
    </row>
    <row r="428" spans="1:7">
      <c r="A428" s="1">
        <v>10951060</v>
      </c>
      <c r="B428">
        <f>equip.xml!G432</f>
        <v>95</v>
      </c>
      <c r="C428" t="str">
        <f>MID(equip.xml!M432,1,3)</f>
        <v>105</v>
      </c>
      <c r="D428" s="1" t="s">
        <v>13</v>
      </c>
      <c r="E428">
        <f>VLOOKUP(B428,[1]装备属性设计!$A$17:$AC$23,12,FALSE)</f>
        <v>5482</v>
      </c>
      <c r="G428" t="str">
        <f t="shared" si="7"/>
        <v>105_5482_5482</v>
      </c>
    </row>
    <row r="429" spans="1:7">
      <c r="A429" s="1">
        <v>10951061</v>
      </c>
      <c r="B429">
        <f>equip.xml!G433</f>
        <v>95</v>
      </c>
      <c r="C429" t="str">
        <f>MID(equip.xml!M433,1,3)</f>
        <v>105</v>
      </c>
      <c r="D429" s="1" t="s">
        <v>13</v>
      </c>
      <c r="E429">
        <f>VLOOKUP(B429,[1]装备属性设计!$A$17:$AC$23,13,FALSE)</f>
        <v>5717</v>
      </c>
      <c r="G429" t="str">
        <f t="shared" si="7"/>
        <v>105_5717_5717</v>
      </c>
    </row>
    <row r="430" spans="1:7">
      <c r="A430" s="1">
        <v>10952050</v>
      </c>
      <c r="B430">
        <f>equip.xml!G434</f>
        <v>95</v>
      </c>
      <c r="C430" t="str">
        <f>MID(equip.xml!M434,1,3)</f>
        <v>103</v>
      </c>
      <c r="D430" s="1" t="s">
        <v>12</v>
      </c>
      <c r="E430">
        <f>VLOOKUP(B430,[1]装备属性设计!$A$17:$AC$23,17,FALSE)</f>
        <v>18273</v>
      </c>
      <c r="G430" t="str">
        <f t="shared" si="7"/>
        <v>103_18273_18273</v>
      </c>
    </row>
    <row r="431" spans="1:7">
      <c r="A431" s="1">
        <v>10952051</v>
      </c>
      <c r="B431">
        <f>equip.xml!G435</f>
        <v>95</v>
      </c>
      <c r="C431" t="str">
        <f>MID(equip.xml!M435,1,3)</f>
        <v>103</v>
      </c>
      <c r="D431" s="1" t="s">
        <v>12</v>
      </c>
      <c r="E431">
        <f>VLOOKUP(B431,[1]装备属性设计!$A$17:$AC$23,18,FALSE)</f>
        <v>19057</v>
      </c>
      <c r="G431" t="str">
        <f t="shared" si="7"/>
        <v>103_19057_19057</v>
      </c>
    </row>
    <row r="432" spans="1:7">
      <c r="A432" s="1">
        <v>10952060</v>
      </c>
      <c r="B432">
        <f>equip.xml!G436</f>
        <v>95</v>
      </c>
      <c r="C432" t="str">
        <f>MID(equip.xml!M436,1,3)</f>
        <v>108</v>
      </c>
      <c r="D432" s="1" t="s">
        <v>13</v>
      </c>
      <c r="E432">
        <f>VLOOKUP(B432,[1]装备属性设计!$A$17:$AC$23,12,FALSE)</f>
        <v>5482</v>
      </c>
      <c r="G432" t="str">
        <f t="shared" si="7"/>
        <v>108_5482_5482</v>
      </c>
    </row>
    <row r="433" spans="1:7">
      <c r="A433" s="1">
        <v>10952061</v>
      </c>
      <c r="B433">
        <f>equip.xml!G437</f>
        <v>95</v>
      </c>
      <c r="C433" t="str">
        <f>MID(equip.xml!M437,1,3)</f>
        <v>108</v>
      </c>
      <c r="D433" s="1" t="s">
        <v>13</v>
      </c>
      <c r="E433">
        <f>VLOOKUP(B433,[1]装备属性设计!$A$17:$AC$23,13,FALSE)</f>
        <v>5717</v>
      </c>
      <c r="G433" t="str">
        <f t="shared" si="7"/>
        <v>108_5717_5717</v>
      </c>
    </row>
    <row r="434" spans="1:7">
      <c r="A434" s="1">
        <v>10953050</v>
      </c>
      <c r="B434">
        <f>equip.xml!G438</f>
        <v>95</v>
      </c>
      <c r="C434" t="str">
        <f>MID(equip.xml!M438,1,3)</f>
        <v>103</v>
      </c>
      <c r="D434" s="1" t="s">
        <v>12</v>
      </c>
      <c r="E434">
        <f>VLOOKUP(B434,[1]装备属性设计!$A$17:$AC$23,17,FALSE)</f>
        <v>18273</v>
      </c>
      <c r="G434" t="str">
        <f t="shared" si="7"/>
        <v>103_18273_18273</v>
      </c>
    </row>
    <row r="435" spans="1:7">
      <c r="A435" s="1">
        <v>10953051</v>
      </c>
      <c r="B435">
        <f>equip.xml!G439</f>
        <v>95</v>
      </c>
      <c r="C435" t="str">
        <f>MID(equip.xml!M439,1,3)</f>
        <v>103</v>
      </c>
      <c r="D435" s="1" t="s">
        <v>12</v>
      </c>
      <c r="E435">
        <f>VLOOKUP(B435,[1]装备属性设计!$A$17:$AC$23,18,FALSE)</f>
        <v>19057</v>
      </c>
      <c r="G435" t="str">
        <f t="shared" si="7"/>
        <v>103_19057_19057</v>
      </c>
    </row>
    <row r="436" spans="1:7">
      <c r="A436" s="1">
        <v>10953060</v>
      </c>
      <c r="B436">
        <f>equip.xml!G440</f>
        <v>95</v>
      </c>
      <c r="C436" t="str">
        <f>MID(equip.xml!M440,1,3)</f>
        <v>102</v>
      </c>
      <c r="D436" s="1" t="s">
        <v>13</v>
      </c>
      <c r="E436">
        <f>VLOOKUP(B436,[1]装备属性设计!$A$17:$AC$23,14,FALSE)</f>
        <v>4280</v>
      </c>
      <c r="G436" t="str">
        <f t="shared" si="7"/>
        <v>102_4280_4280</v>
      </c>
    </row>
    <row r="437" spans="1:7">
      <c r="A437" s="1">
        <v>10953061</v>
      </c>
      <c r="B437">
        <f>equip.xml!G441</f>
        <v>95</v>
      </c>
      <c r="C437" t="str">
        <f>MID(equip.xml!M441,1,3)</f>
        <v>102</v>
      </c>
      <c r="D437" s="1" t="s">
        <v>13</v>
      </c>
      <c r="E437">
        <f>VLOOKUP(B437,[1]装备属性设计!$A$17:$AC$23,15,FALSE)</f>
        <v>4390</v>
      </c>
      <c r="G437" t="str">
        <f t="shared" si="7"/>
        <v>102_4390_4390</v>
      </c>
    </row>
    <row r="438" spans="1:7">
      <c r="A438" s="1">
        <v>10950040</v>
      </c>
      <c r="B438">
        <f>equip.xml!G442</f>
        <v>95</v>
      </c>
      <c r="C438" t="str">
        <f>MID(equip.xml!M442,1,3)</f>
        <v>105</v>
      </c>
      <c r="D438" s="1" t="s">
        <v>11</v>
      </c>
      <c r="E438">
        <f>VLOOKUP(B438,[1]装备属性设计!$A$17:$AC$23,6,FALSE)</f>
        <v>3837</v>
      </c>
      <c r="G438" t="str">
        <f t="shared" si="7"/>
        <v>105_3837_3837</v>
      </c>
    </row>
    <row r="439" spans="1:7">
      <c r="A439" s="1">
        <v>10950041</v>
      </c>
      <c r="B439">
        <f>equip.xml!G443</f>
        <v>95</v>
      </c>
      <c r="C439" t="str">
        <f>MID(equip.xml!M443,1,3)</f>
        <v>105</v>
      </c>
      <c r="D439" s="1" t="s">
        <v>11</v>
      </c>
      <c r="E439">
        <f>VLOOKUP(B439,[1]装备属性设计!$A$17:$AC$23,7,FALSE)</f>
        <v>4002</v>
      </c>
      <c r="G439" t="str">
        <f t="shared" si="7"/>
        <v>105_4002_4002</v>
      </c>
    </row>
    <row r="440" spans="1:7">
      <c r="A440" s="1">
        <v>10950070</v>
      </c>
      <c r="B440">
        <f>equip.xml!G444</f>
        <v>95</v>
      </c>
      <c r="C440" t="str">
        <f>MID(equip.xml!M444,1,3)</f>
        <v>105</v>
      </c>
      <c r="D440" s="1" t="s">
        <v>14</v>
      </c>
      <c r="E440">
        <f>VLOOKUP(B440,[1]装备属性设计!$A$17:$AC$23,6,FALSE)</f>
        <v>3837</v>
      </c>
      <c r="G440" t="str">
        <f t="shared" si="7"/>
        <v>105_3837_3837</v>
      </c>
    </row>
    <row r="441" spans="1:7">
      <c r="A441" s="1">
        <v>10950071</v>
      </c>
      <c r="B441">
        <f>equip.xml!G445</f>
        <v>95</v>
      </c>
      <c r="C441" t="str">
        <f>MID(equip.xml!M445,1,3)</f>
        <v>105</v>
      </c>
      <c r="D441" s="1" t="s">
        <v>14</v>
      </c>
      <c r="E441">
        <f>VLOOKUP(B441,[1]装备属性设计!$A$17:$AC$23,7,FALSE)</f>
        <v>4002</v>
      </c>
      <c r="G441" t="str">
        <f t="shared" si="7"/>
        <v>105_4002_4002</v>
      </c>
    </row>
    <row r="442" spans="1:7">
      <c r="A442" s="1">
        <v>11000010</v>
      </c>
      <c r="B442">
        <f>equip.xml!G446</f>
        <v>100</v>
      </c>
      <c r="C442" t="str">
        <f>MID(equip.xml!M446,1,3)</f>
        <v>106</v>
      </c>
      <c r="D442" s="1" t="s">
        <v>8</v>
      </c>
      <c r="E442">
        <f>VLOOKUP(B442,[1]装备属性设计!$A$17:$AC$23,22,FALSE)</f>
        <v>6460</v>
      </c>
      <c r="G442" t="str">
        <f t="shared" si="7"/>
        <v>106_6460_6460</v>
      </c>
    </row>
    <row r="443" spans="1:7">
      <c r="A443" s="1">
        <v>11000020</v>
      </c>
      <c r="B443">
        <f>equip.xml!G447</f>
        <v>100</v>
      </c>
      <c r="C443" t="str">
        <f>MID(equip.xml!M447,1,3)</f>
        <v>102</v>
      </c>
      <c r="D443" s="1" t="s">
        <v>9</v>
      </c>
      <c r="E443">
        <f>VLOOKUP(B443,[1]装备属性设计!$A$17:$AC$23,2,FALSE)</f>
        <v>2360</v>
      </c>
      <c r="G443" t="str">
        <f t="shared" si="7"/>
        <v>102_2360_2360</v>
      </c>
    </row>
    <row r="444" spans="1:7">
      <c r="A444" s="1">
        <v>11000030</v>
      </c>
      <c r="B444">
        <f>equip.xml!G448</f>
        <v>100</v>
      </c>
      <c r="C444" t="str">
        <f>MID(equip.xml!M448,1,3)</f>
        <v>101</v>
      </c>
      <c r="D444" s="1" t="s">
        <v>10</v>
      </c>
      <c r="E444">
        <f>VLOOKUP(B444,[1]装备属性设计!$A$17:$AC$23,4,FALSE)</f>
        <v>36120</v>
      </c>
      <c r="G444" t="str">
        <f t="shared" si="7"/>
        <v>101_36120_36120</v>
      </c>
    </row>
    <row r="445" spans="1:7">
      <c r="A445" s="1">
        <v>11000080</v>
      </c>
      <c r="B445">
        <f>equip.xml!G449</f>
        <v>100</v>
      </c>
      <c r="C445" t="str">
        <f>MID(equip.xml!M449,1,3)</f>
        <v>110</v>
      </c>
      <c r="D445" s="1" t="s">
        <v>15</v>
      </c>
      <c r="E445">
        <f>VLOOKUP(B445,[1]装备属性设计!$A$17:$AC$23,24,FALSE)</f>
        <v>6460</v>
      </c>
      <c r="G445" t="str">
        <f t="shared" si="7"/>
        <v>110_6460_6460</v>
      </c>
    </row>
    <row r="446" spans="1:7">
      <c r="A446" s="1">
        <v>11000090</v>
      </c>
      <c r="B446">
        <f>equip.xml!G450</f>
        <v>100</v>
      </c>
      <c r="C446" t="str">
        <f>MID(equip.xml!M450,1,3)</f>
        <v>108</v>
      </c>
      <c r="D446" s="1" t="s">
        <v>16</v>
      </c>
      <c r="E446">
        <f>VLOOKUP(B446,[1]装备属性设计!$A$17:$AC$23,26,FALSE)</f>
        <v>871</v>
      </c>
      <c r="G446" t="str">
        <f t="shared" si="7"/>
        <v>108_871_871</v>
      </c>
    </row>
    <row r="447" spans="1:7">
      <c r="A447" s="1">
        <v>11000100</v>
      </c>
      <c r="B447">
        <f>equip.xml!G451</f>
        <v>100</v>
      </c>
      <c r="C447" t="str">
        <f>MID(equip.xml!M451,1,3)</f>
        <v>107</v>
      </c>
      <c r="D447" s="1" t="s">
        <v>17</v>
      </c>
      <c r="E447">
        <f>VLOOKUP(B447,[1]装备属性设计!$A$17:$AC$23,22,FALSE)</f>
        <v>6460</v>
      </c>
      <c r="G447" t="str">
        <f t="shared" si="7"/>
        <v>107_6460_6460</v>
      </c>
    </row>
    <row r="448" spans="1:7">
      <c r="A448" s="1">
        <v>11001050</v>
      </c>
      <c r="B448">
        <f>equip.xml!G452</f>
        <v>100</v>
      </c>
      <c r="C448" t="str">
        <f>MID(equip.xml!M452,1,3)</f>
        <v>103</v>
      </c>
      <c r="D448" s="1" t="s">
        <v>12</v>
      </c>
      <c r="E448">
        <f>VLOOKUP(B448,[1]装备属性设计!$A$17:$AC$23,17,FALSE)</f>
        <v>20233</v>
      </c>
      <c r="G448" t="str">
        <f t="shared" si="7"/>
        <v>103_20233_20233</v>
      </c>
    </row>
    <row r="449" spans="1:7">
      <c r="A449" s="1">
        <v>11001051</v>
      </c>
      <c r="B449">
        <f>equip.xml!G453</f>
        <v>100</v>
      </c>
      <c r="C449" t="str">
        <f>MID(equip.xml!M453,1,3)</f>
        <v>103</v>
      </c>
      <c r="D449" s="1" t="s">
        <v>12</v>
      </c>
      <c r="E449">
        <f>VLOOKUP(B449,[1]装备属性设计!$A$17:$AC$23,18,FALSE)</f>
        <v>0</v>
      </c>
      <c r="G449" t="str">
        <f t="shared" si="7"/>
        <v>103_0_0</v>
      </c>
    </row>
    <row r="450" spans="1:7">
      <c r="A450" s="1">
        <v>11001060</v>
      </c>
      <c r="B450">
        <f>equip.xml!G454</f>
        <v>100</v>
      </c>
      <c r="C450" t="str">
        <f>MID(equip.xml!M454,1,3)</f>
        <v>105</v>
      </c>
      <c r="D450" s="1" t="s">
        <v>13</v>
      </c>
      <c r="E450">
        <f>VLOOKUP(B450,[1]装备属性设计!$A$17:$AC$23,12,FALSE)</f>
        <v>6070</v>
      </c>
      <c r="G450" t="str">
        <f t="shared" si="7"/>
        <v>105_6070_6070</v>
      </c>
    </row>
    <row r="451" spans="1:7">
      <c r="A451" s="1">
        <v>11001061</v>
      </c>
      <c r="B451">
        <f>equip.xml!G455</f>
        <v>100</v>
      </c>
      <c r="C451" t="str">
        <f>MID(equip.xml!M455,1,3)</f>
        <v>105</v>
      </c>
      <c r="D451" s="1" t="s">
        <v>13</v>
      </c>
      <c r="E451">
        <f>VLOOKUP(B451,[1]装备属性设计!$A$17:$AC$23,13,FALSE)</f>
        <v>0</v>
      </c>
      <c r="G451" t="str">
        <f t="shared" si="7"/>
        <v>105_0_0</v>
      </c>
    </row>
    <row r="452" spans="1:7">
      <c r="A452" s="1">
        <v>11002050</v>
      </c>
      <c r="B452">
        <f>equip.xml!G456</f>
        <v>100</v>
      </c>
      <c r="C452" t="str">
        <f>MID(equip.xml!M456,1,3)</f>
        <v>103</v>
      </c>
      <c r="D452" s="1" t="s">
        <v>12</v>
      </c>
      <c r="E452">
        <f>VLOOKUP(B452,[1]装备属性设计!$A$17:$AC$23,17,FALSE)</f>
        <v>20233</v>
      </c>
      <c r="G452" t="str">
        <f t="shared" si="7"/>
        <v>103_20233_20233</v>
      </c>
    </row>
    <row r="453" spans="1:7">
      <c r="A453" s="1">
        <v>11002051</v>
      </c>
      <c r="B453">
        <f>equip.xml!G457</f>
        <v>100</v>
      </c>
      <c r="C453" t="str">
        <f>MID(equip.xml!M457,1,3)</f>
        <v>103</v>
      </c>
      <c r="D453" s="1" t="s">
        <v>12</v>
      </c>
      <c r="E453">
        <f>VLOOKUP(B453,[1]装备属性设计!$A$17:$AC$23,18,FALSE)</f>
        <v>0</v>
      </c>
      <c r="G453" t="str">
        <f t="shared" si="7"/>
        <v>103_0_0</v>
      </c>
    </row>
    <row r="454" spans="1:7">
      <c r="A454" s="1">
        <v>11002060</v>
      </c>
      <c r="B454">
        <f>equip.xml!G458</f>
        <v>100</v>
      </c>
      <c r="C454" t="str">
        <f>MID(equip.xml!M458,1,3)</f>
        <v>108</v>
      </c>
      <c r="D454" s="1" t="s">
        <v>13</v>
      </c>
      <c r="E454">
        <f>VLOOKUP(B454,[1]装备属性设计!$A$17:$AC$23,12,FALSE)</f>
        <v>6070</v>
      </c>
      <c r="G454" t="str">
        <f t="shared" si="7"/>
        <v>108_6070_6070</v>
      </c>
    </row>
    <row r="455" spans="1:7">
      <c r="A455" s="1">
        <v>11002061</v>
      </c>
      <c r="B455">
        <f>equip.xml!G459</f>
        <v>100</v>
      </c>
      <c r="C455" t="str">
        <f>MID(equip.xml!M459,1,3)</f>
        <v>108</v>
      </c>
      <c r="D455" s="1" t="s">
        <v>13</v>
      </c>
      <c r="E455">
        <f>VLOOKUP(B455,[1]装备属性设计!$A$17:$AC$23,13,FALSE)</f>
        <v>0</v>
      </c>
      <c r="G455" t="str">
        <f t="shared" si="7"/>
        <v>108_0_0</v>
      </c>
    </row>
    <row r="456" spans="1:7">
      <c r="A456" s="1">
        <v>11003050</v>
      </c>
      <c r="B456">
        <f>equip.xml!G460</f>
        <v>100</v>
      </c>
      <c r="C456" t="str">
        <f>MID(equip.xml!M460,1,3)</f>
        <v>103</v>
      </c>
      <c r="D456" s="1" t="s">
        <v>12</v>
      </c>
      <c r="E456">
        <f>VLOOKUP(B456,[1]装备属性设计!$A$17:$AC$23,17,FALSE)</f>
        <v>20233</v>
      </c>
      <c r="G456" t="str">
        <f t="shared" si="7"/>
        <v>103_20233_20233</v>
      </c>
    </row>
    <row r="457" spans="1:7">
      <c r="A457" s="1">
        <v>11003051</v>
      </c>
      <c r="B457">
        <f>equip.xml!G461</f>
        <v>100</v>
      </c>
      <c r="C457" t="str">
        <f>MID(equip.xml!M461,1,3)</f>
        <v>103</v>
      </c>
      <c r="D457" s="1" t="s">
        <v>12</v>
      </c>
      <c r="E457">
        <f>VLOOKUP(B457,[1]装备属性设计!$A$17:$AC$23,18,FALSE)</f>
        <v>0</v>
      </c>
      <c r="G457" t="str">
        <f t="shared" si="7"/>
        <v>103_0_0</v>
      </c>
    </row>
    <row r="458" spans="1:7">
      <c r="A458" s="1">
        <v>11003060</v>
      </c>
      <c r="B458">
        <f>equip.xml!G462</f>
        <v>100</v>
      </c>
      <c r="C458" t="str">
        <f>MID(equip.xml!M462,1,3)</f>
        <v>102</v>
      </c>
      <c r="D458" s="1" t="s">
        <v>13</v>
      </c>
      <c r="E458">
        <f>VLOOKUP(B458,[1]装备属性设计!$A$17:$AC$23,14,FALSE)</f>
        <v>4560</v>
      </c>
      <c r="G458" t="str">
        <f t="shared" si="7"/>
        <v>102_4560_4560</v>
      </c>
    </row>
    <row r="459" spans="1:7">
      <c r="A459" s="1">
        <v>11003061</v>
      </c>
      <c r="B459">
        <f>equip.xml!G463</f>
        <v>100</v>
      </c>
      <c r="C459" t="str">
        <f>MID(equip.xml!M463,1,3)</f>
        <v>102</v>
      </c>
      <c r="D459" s="1" t="s">
        <v>13</v>
      </c>
      <c r="E459">
        <f>VLOOKUP(B459,[1]装备属性设计!$A$17:$AC$23,15,FALSE)</f>
        <v>0</v>
      </c>
      <c r="G459" t="str">
        <f t="shared" si="7"/>
        <v>102_0_0</v>
      </c>
    </row>
    <row r="460" spans="1:7">
      <c r="A460" s="1">
        <v>11000040</v>
      </c>
      <c r="B460">
        <f>equip.xml!G464</f>
        <v>100</v>
      </c>
      <c r="C460" t="str">
        <f>MID(equip.xml!M464,1,3)</f>
        <v>105</v>
      </c>
      <c r="D460" s="1" t="s">
        <v>11</v>
      </c>
      <c r="E460">
        <f>VLOOKUP(B460,[1]装备属性设计!$A$17:$AC$23,6,FALSE)</f>
        <v>4249</v>
      </c>
      <c r="G460" t="str">
        <f t="shared" si="7"/>
        <v>105_4249_4249</v>
      </c>
    </row>
    <row r="461" spans="1:7">
      <c r="A461" s="1">
        <v>11000041</v>
      </c>
      <c r="B461">
        <f>equip.xml!G465</f>
        <v>100</v>
      </c>
      <c r="C461" t="str">
        <f>MID(equip.xml!M465,1,3)</f>
        <v>105</v>
      </c>
      <c r="D461" s="1" t="s">
        <v>11</v>
      </c>
      <c r="E461">
        <f>VLOOKUP(B461,[1]装备属性设计!$A$17:$AC$23,7,FALSE)</f>
        <v>0</v>
      </c>
      <c r="G461" t="str">
        <f t="shared" ref="G461:G463" si="8">C461&amp;"_"&amp;E461&amp;"_"&amp;E461</f>
        <v>105_0_0</v>
      </c>
    </row>
    <row r="462" spans="1:7">
      <c r="A462" s="1">
        <v>11000070</v>
      </c>
      <c r="B462">
        <f>equip.xml!G466</f>
        <v>100</v>
      </c>
      <c r="C462" t="str">
        <f>MID(equip.xml!M466,1,3)</f>
        <v>105</v>
      </c>
      <c r="D462" s="1" t="s">
        <v>14</v>
      </c>
      <c r="E462">
        <f>VLOOKUP(B462,[1]装备属性设计!$A$17:$AC$23,6,FALSE)</f>
        <v>4249</v>
      </c>
      <c r="G462" t="str">
        <f t="shared" si="8"/>
        <v>105_4249_4249</v>
      </c>
    </row>
    <row r="463" spans="1:7">
      <c r="A463" s="1">
        <v>11000071</v>
      </c>
      <c r="B463">
        <f>equip.xml!G467</f>
        <v>100</v>
      </c>
      <c r="C463" t="str">
        <f>MID(equip.xml!M467,1,3)</f>
        <v>105</v>
      </c>
      <c r="D463" s="1" t="s">
        <v>14</v>
      </c>
      <c r="E463">
        <f>VLOOKUP(B463,[1]装备属性设计!$A$17:$AC$23,7,FALSE)</f>
        <v>0</v>
      </c>
      <c r="G463" t="str">
        <f t="shared" si="8"/>
        <v>105_0_0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equip.xml</vt:lpstr>
      <vt:lpstr>equip.txt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2014-10-30T06:33:21Z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